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3.xml" ContentType="application/vnd.ms-office.activeX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4.xml" ContentType="application/vnd.ms-office.activeX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7.xml" ContentType="application/vnd.openxmlformats-officedocument.drawing+xml"/>
  <Override PartName="/xl/activeX/activeX5.xml" ContentType="application/vnd.ms-office.activeX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activeX/activeX6.xml" ContentType="application/vnd.ms-office.activeX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7.xml" ContentType="application/vnd.ms-office.activeX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activeX/activeX8.xml" ContentType="application/vnd.ms-office.activeX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activeX/activeX9.xml" ContentType="application/vnd.ms-office.activeX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activeX/activeX10.xml" ContentType="application/vnd.ms-office.activeX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activeX/activeX11.xml" ContentType="application/vnd.ms-office.activeX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activeX/activeX12.xml" ContentType="application/vnd.ms-office.activeX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jimsj\Dropbox\모두의 오피스\금융관련솔루션\"/>
    </mc:Choice>
  </mc:AlternateContent>
  <bookViews>
    <workbookView xWindow="10785" yWindow="-15" windowWidth="10830" windowHeight="10020"/>
  </bookViews>
  <sheets>
    <sheet name="Main" sheetId="2" r:id="rId1"/>
    <sheet name="Universe" sheetId="10" r:id="rId2"/>
    <sheet name="Schedule" sheetId="25" r:id="rId3"/>
    <sheet name="Schedule2" sheetId="26" r:id="rId4"/>
    <sheet name="Earing_s" sheetId="9" r:id="rId5"/>
    <sheet name="Bookvalue&amp;OP" sheetId="20" r:id="rId6"/>
    <sheet name="최종" sheetId="6" r:id="rId7"/>
    <sheet name="W1" sheetId="1" r:id="rId8"/>
    <sheet name="W2" sheetId="4" r:id="rId9"/>
    <sheet name="W3" sheetId="27" r:id="rId10"/>
    <sheet name="W4" sheetId="5" r:id="rId11"/>
    <sheet name="Trend" sheetId="3" r:id="rId12"/>
    <sheet name="liquidity" sheetId="8" r:id="rId13"/>
    <sheet name="Before" sheetId="22" r:id="rId14"/>
    <sheet name="After" sheetId="23" r:id="rId15"/>
    <sheet name="EMS" sheetId="28" r:id="rId16"/>
  </sheets>
  <functionGroups builtInGroupCount="18"/>
  <externalReferences>
    <externalReference r:id="rId17"/>
    <externalReference r:id="rId18"/>
  </externalReferences>
  <definedNames>
    <definedName name="_xlnm._FilterDatabase" localSheetId="0" hidden="1">Main!$A$5:$I$207</definedName>
    <definedName name="_xlnm._FilterDatabase" localSheetId="2" hidden="1">Schedule!$A$13:$D$1794</definedName>
    <definedName name="_xlnm._FilterDatabase" localSheetId="3" hidden="1">Schedule2!$A$15:$I$1743</definedName>
    <definedName name="_xlnm._FilterDatabase" localSheetId="1" hidden="1">Universe!$A$13:$M$1934</definedName>
    <definedName name="quantwise">Main!$J$1</definedName>
    <definedName name="tr_m1">OFFSET(최종!$AD$20,0,0,COUNTA(최종!$AD$20:$AD$65536),1)</definedName>
    <definedName name="tr_m3">OFFSET(최종!$AC$20,0,0,COUNTA(최종!$AC$20:$AC$65536),1)</definedName>
    <definedName name="tr_x">OFFSET(최종!$AB$20,0,0,COUNTA(최종!$AB$20:$AB$65536),1)</definedName>
    <definedName name="w1_1">OFFSET(최종!$L$20,0,0,COUNTA(최종!$L$20:$L$65536),1)</definedName>
    <definedName name="w1_2">OFFSET(최종!$O$20,0,0,COUNTA(최종!$L$20:$L$65536),1)</definedName>
    <definedName name="w2_1">OFFSET(최종!$P$20,0,0,COUNTA(최종!$P$20:$P$65536),1)</definedName>
    <definedName name="w2_2">OFFSET(최종!$S$20,0,0,COUNTA(최종!$P$20:$P$65536),1)</definedName>
    <definedName name="w4_1">OFFSET(최종!$Y$20,0,0,COUNTA(최종!$X$20:$X$65536),1)</definedName>
    <definedName name="w4_2" localSheetId="2">OFFSET(최종!#REF!,0,0,COUNTA(최종!$X$20:$X$65536),1)</definedName>
    <definedName name="w4_2">OFFSET(최종!#REF!,0,0,COUNTA(최종!$X$20:$X$65536),1)</definedName>
  </definedNames>
  <calcPr calcId="171027"/>
</workbook>
</file>

<file path=xl/calcChain.xml><?xml version="1.0" encoding="utf-8"?>
<calcChain xmlns="http://schemas.openxmlformats.org/spreadsheetml/2006/main">
  <c r="H88" i="2" l="1"/>
  <c r="H84" i="2"/>
  <c r="H81" i="2"/>
  <c r="H34" i="2"/>
  <c r="H7" i="2"/>
  <c r="H77" i="2"/>
  <c r="H74" i="2"/>
  <c r="H130" i="2"/>
  <c r="H94" i="2"/>
  <c r="H112" i="2"/>
  <c r="H104" i="2"/>
  <c r="H110" i="2"/>
  <c r="H92" i="2"/>
  <c r="H128" i="2"/>
  <c r="H53" i="2"/>
  <c r="H86" i="2"/>
  <c r="H73" i="2"/>
  <c r="H116" i="2"/>
  <c r="H101" i="2"/>
  <c r="H48" i="2"/>
  <c r="H32" i="2"/>
  <c r="H99" i="2"/>
  <c r="H6" i="2"/>
  <c r="H87" i="2"/>
  <c r="H28" i="2"/>
  <c r="H93" i="2"/>
  <c r="H12" i="2"/>
  <c r="H44" i="2"/>
  <c r="H23" i="2"/>
  <c r="H11" i="2"/>
  <c r="H72" i="2"/>
  <c r="H108" i="2"/>
  <c r="H105" i="2"/>
  <c r="H91" i="2"/>
  <c r="H102" i="2"/>
  <c r="H75" i="2"/>
  <c r="H106" i="2"/>
  <c r="H85" i="2"/>
  <c r="H115" i="2"/>
  <c r="H17" i="2"/>
  <c r="H103" i="2"/>
  <c r="H40" i="2"/>
  <c r="H107" i="2"/>
  <c r="H111" i="2"/>
  <c r="H33" i="2"/>
  <c r="H15" i="2"/>
  <c r="H89" i="2"/>
  <c r="H97" i="2"/>
  <c r="H118" i="2"/>
  <c r="H69" i="2"/>
  <c r="H122" i="2"/>
  <c r="H41" i="2"/>
  <c r="H95" i="2"/>
  <c r="H24" i="2"/>
  <c r="H98" i="2"/>
  <c r="H35" i="2"/>
  <c r="H68" i="2"/>
  <c r="H82" i="2"/>
  <c r="H52" i="2"/>
  <c r="H43" i="2"/>
  <c r="H123" i="2"/>
  <c r="H63" i="2"/>
  <c r="H124" i="2"/>
  <c r="H125" i="2"/>
  <c r="H27" i="2"/>
  <c r="H126" i="2"/>
  <c r="H79" i="2"/>
  <c r="H10" i="2"/>
  <c r="H47" i="2"/>
  <c r="H13" i="2"/>
  <c r="H61" i="2"/>
  <c r="H36" i="2"/>
  <c r="H8" i="2"/>
  <c r="H18" i="2"/>
  <c r="H46" i="2"/>
  <c r="H119" i="2"/>
  <c r="H14" i="2"/>
  <c r="H21" i="2"/>
  <c r="H54" i="2"/>
  <c r="H56" i="2"/>
  <c r="H78" i="2"/>
  <c r="H90" i="2"/>
  <c r="H59" i="2"/>
  <c r="H16" i="2"/>
  <c r="H83" i="2"/>
  <c r="H80" i="2"/>
  <c r="H22" i="2"/>
  <c r="H121" i="2"/>
  <c r="H127" i="2"/>
  <c r="H100" i="2"/>
  <c r="H120" i="2"/>
  <c r="H67" i="2"/>
  <c r="H64" i="2"/>
  <c r="H51" i="2"/>
  <c r="H50" i="2"/>
  <c r="H25" i="2"/>
  <c r="H9" i="2"/>
  <c r="H31" i="2"/>
  <c r="H42" i="2"/>
  <c r="H49" i="2"/>
  <c r="H20" i="2"/>
  <c r="H26" i="2"/>
  <c r="H117" i="2"/>
  <c r="H58" i="2"/>
  <c r="H62" i="2"/>
  <c r="H76" i="2"/>
  <c r="H66" i="2"/>
  <c r="H39" i="2"/>
  <c r="H57" i="2"/>
  <c r="H114" i="2"/>
  <c r="H129" i="2"/>
  <c r="H113" i="2"/>
  <c r="H65" i="2"/>
  <c r="H19" i="2"/>
  <c r="H45" i="2"/>
  <c r="H96" i="2"/>
  <c r="H109" i="2"/>
  <c r="H60" i="2"/>
  <c r="H29" i="2"/>
  <c r="H55" i="2"/>
  <c r="H70" i="2"/>
  <c r="H71" i="2"/>
  <c r="H38" i="2"/>
  <c r="H37" i="2"/>
  <c r="H30" i="2"/>
  <c r="H131" i="2"/>
  <c r="J86" i="2"/>
  <c r="J34" i="2"/>
  <c r="J104" i="2"/>
  <c r="J116" i="2"/>
  <c r="J112" i="2"/>
  <c r="J81" i="2"/>
  <c r="J88" i="2"/>
  <c r="J7" i="2"/>
  <c r="J77" i="2"/>
  <c r="J94" i="2"/>
  <c r="J74" i="2"/>
  <c r="J48" i="2"/>
  <c r="J32" i="2"/>
  <c r="J84" i="2"/>
  <c r="J110" i="2"/>
  <c r="J101" i="2"/>
  <c r="J92" i="2"/>
  <c r="J130" i="2"/>
  <c r="J128" i="2"/>
  <c r="J53" i="2"/>
  <c r="J73" i="2"/>
  <c r="J28" i="2"/>
  <c r="J99" i="2"/>
  <c r="J87" i="2"/>
  <c r="J6" i="2"/>
  <c r="J108" i="2"/>
  <c r="J40" i="2"/>
  <c r="J85" i="2"/>
  <c r="J93" i="2"/>
  <c r="J106" i="2"/>
  <c r="J44" i="2"/>
  <c r="J91" i="2"/>
  <c r="J12" i="2"/>
  <c r="J111" i="2"/>
  <c r="J33" i="2"/>
  <c r="J35" i="2"/>
  <c r="J72" i="2"/>
  <c r="J75" i="2"/>
  <c r="J102" i="2"/>
  <c r="J103" i="2"/>
  <c r="J105" i="2"/>
  <c r="J115" i="2"/>
  <c r="J107" i="2"/>
  <c r="J89" i="2"/>
  <c r="J23" i="2"/>
  <c r="J98" i="2"/>
  <c r="J11" i="2"/>
  <c r="J118" i="2"/>
  <c r="J68" i="2"/>
  <c r="J97" i="2"/>
  <c r="J95" i="2"/>
  <c r="J41" i="2"/>
  <c r="J24" i="2"/>
  <c r="J15" i="2"/>
  <c r="J17" i="2"/>
  <c r="J69" i="2"/>
  <c r="J122" i="2"/>
  <c r="J43" i="2"/>
  <c r="J52" i="2"/>
  <c r="J82" i="2"/>
  <c r="J63" i="2"/>
  <c r="J123" i="2"/>
  <c r="J125" i="2"/>
  <c r="J27" i="2"/>
  <c r="J124" i="2"/>
  <c r="J119" i="2"/>
  <c r="J46" i="2"/>
  <c r="J121" i="2"/>
  <c r="J16" i="2"/>
  <c r="J10" i="2"/>
  <c r="J22" i="2"/>
  <c r="J126" i="2"/>
  <c r="J8" i="2"/>
  <c r="J14" i="2"/>
  <c r="J18" i="2"/>
  <c r="J21" i="2"/>
  <c r="J61" i="2"/>
  <c r="J83" i="2"/>
  <c r="J59" i="2"/>
  <c r="J90" i="2"/>
  <c r="J80" i="2"/>
  <c r="J56" i="2"/>
  <c r="J47" i="2"/>
  <c r="J100" i="2"/>
  <c r="J67" i="2"/>
  <c r="J78" i="2"/>
  <c r="J79" i="2"/>
  <c r="J54" i="2"/>
  <c r="J127" i="2"/>
  <c r="J36" i="2"/>
  <c r="J120" i="2"/>
  <c r="J13" i="2"/>
  <c r="J20" i="2"/>
  <c r="J51" i="2"/>
  <c r="J42" i="2"/>
  <c r="J49" i="2"/>
  <c r="J64" i="2"/>
  <c r="J25" i="2"/>
  <c r="J58" i="2"/>
  <c r="J50" i="2"/>
  <c r="J9" i="2"/>
  <c r="J31" i="2"/>
  <c r="J66" i="2"/>
  <c r="J62" i="2"/>
  <c r="J76" i="2"/>
  <c r="J26" i="2"/>
  <c r="J117" i="2"/>
  <c r="J57" i="2"/>
  <c r="J114" i="2"/>
  <c r="J39" i="2"/>
  <c r="J129" i="2"/>
  <c r="J19" i="2"/>
  <c r="J113" i="2"/>
  <c r="J45" i="2"/>
  <c r="J65" i="2"/>
  <c r="J60" i="2"/>
  <c r="J96" i="2"/>
  <c r="J109" i="2"/>
  <c r="J29" i="2"/>
  <c r="J55" i="2"/>
  <c r="J70" i="2"/>
  <c r="J38" i="2"/>
  <c r="J30" i="2"/>
  <c r="J37" i="2"/>
  <c r="J7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131" i="2"/>
  <c r="AA10" i="6"/>
  <c r="W10" i="6"/>
  <c r="S10" i="6"/>
  <c r="O10" i="6"/>
  <c r="AA11" i="6"/>
  <c r="W11" i="6"/>
  <c r="S11" i="6"/>
  <c r="O11" i="6"/>
  <c r="M1" i="28" l="1"/>
  <c r="C12" i="3"/>
  <c r="W19" i="6"/>
  <c r="I13" i="6" s="1"/>
  <c r="W22" i="6"/>
  <c r="D12" i="27"/>
  <c r="W21" i="6"/>
  <c r="W20" i="6"/>
  <c r="D8" i="27" l="1"/>
  <c r="D12" i="5" l="1"/>
  <c r="D12" i="4"/>
  <c r="D12" i="1"/>
  <c r="C71" i="2"/>
  <c r="C37" i="2"/>
  <c r="C30" i="2"/>
  <c r="C38" i="2"/>
  <c r="C70" i="2"/>
  <c r="C55" i="2"/>
  <c r="C29" i="2"/>
  <c r="C109" i="2"/>
  <c r="C96" i="2"/>
  <c r="C60" i="2"/>
  <c r="C65" i="2"/>
  <c r="C45" i="2"/>
  <c r="C113" i="2"/>
  <c r="C19" i="2"/>
  <c r="C129" i="2"/>
  <c r="C39" i="2"/>
  <c r="C114" i="2"/>
  <c r="C57" i="2"/>
  <c r="C117" i="2"/>
  <c r="C26" i="2"/>
  <c r="C76" i="2"/>
  <c r="C62" i="2"/>
  <c r="C66" i="2"/>
  <c r="C31" i="2"/>
  <c r="C9" i="2"/>
  <c r="C50" i="2"/>
  <c r="C58" i="2"/>
  <c r="C25" i="2"/>
  <c r="C64" i="2"/>
  <c r="C49" i="2"/>
  <c r="C42" i="2"/>
  <c r="C51" i="2"/>
  <c r="C20" i="2"/>
  <c r="C13" i="2"/>
  <c r="C120" i="2"/>
  <c r="C36" i="2"/>
  <c r="C127" i="2"/>
  <c r="C54" i="2"/>
  <c r="C79" i="2"/>
  <c r="C78" i="2"/>
  <c r="C67" i="2"/>
  <c r="C100" i="2"/>
  <c r="C47" i="2"/>
  <c r="C56" i="2"/>
  <c r="C80" i="2"/>
  <c r="C90" i="2"/>
  <c r="C59" i="2"/>
  <c r="C83" i="2"/>
  <c r="C61" i="2"/>
  <c r="C21" i="2"/>
  <c r="C18" i="2"/>
  <c r="C14" i="2"/>
  <c r="C8" i="2"/>
  <c r="C126" i="2"/>
  <c r="C22" i="2"/>
  <c r="C10" i="2"/>
  <c r="C16" i="2"/>
  <c r="C121" i="2"/>
  <c r="C46" i="2"/>
  <c r="C119" i="2"/>
  <c r="C124" i="2"/>
  <c r="C27" i="2"/>
  <c r="C125" i="2"/>
  <c r="C123" i="2"/>
  <c r="C63" i="2"/>
  <c r="C82" i="2"/>
  <c r="C52" i="2"/>
  <c r="C43" i="2"/>
  <c r="C122" i="2"/>
  <c r="C69" i="2"/>
  <c r="C17" i="2"/>
  <c r="C15" i="2"/>
  <c r="C24" i="2"/>
  <c r="C41" i="2"/>
  <c r="C95" i="2"/>
  <c r="C97" i="2"/>
  <c r="C68" i="2"/>
  <c r="C118" i="2"/>
  <c r="C11" i="2"/>
  <c r="C98" i="2"/>
  <c r="C23" i="2"/>
  <c r="C89" i="2"/>
  <c r="C107" i="2"/>
  <c r="C115" i="2"/>
  <c r="C105" i="2"/>
  <c r="C103" i="2"/>
  <c r="C102" i="2"/>
  <c r="C75" i="2"/>
  <c r="C72" i="2"/>
  <c r="C35" i="2"/>
  <c r="C33" i="2"/>
  <c r="C111" i="2"/>
  <c r="C12" i="2"/>
  <c r="C91" i="2"/>
  <c r="C44" i="2"/>
  <c r="C106" i="2"/>
  <c r="C93" i="2"/>
  <c r="C85" i="2"/>
  <c r="C40" i="2"/>
  <c r="C108" i="2"/>
  <c r="C6" i="2"/>
  <c r="C87" i="2"/>
  <c r="C99" i="2"/>
  <c r="C28" i="2"/>
  <c r="C73" i="2"/>
  <c r="C53" i="2"/>
  <c r="C128" i="2"/>
  <c r="C130" i="2"/>
  <c r="C92" i="2"/>
  <c r="C101" i="2"/>
  <c r="C110" i="2"/>
  <c r="C84" i="2"/>
  <c r="C32" i="2"/>
  <c r="C48" i="2"/>
  <c r="C74" i="2"/>
  <c r="C94" i="2"/>
  <c r="C77" i="2"/>
  <c r="C7" i="2"/>
  <c r="C88" i="2"/>
  <c r="C81" i="2"/>
  <c r="C112" i="2"/>
  <c r="C116" i="2"/>
  <c r="C104" i="2"/>
  <c r="C34" i="2"/>
  <c r="C86" i="2"/>
  <c r="C131" i="2"/>
  <c r="G10" i="9" l="1"/>
  <c r="F10" i="9"/>
  <c r="E10" i="9"/>
  <c r="D10" i="9"/>
  <c r="H1742" i="26" l="1"/>
  <c r="H1743" i="26"/>
  <c r="I1742" i="26"/>
  <c r="I1743" i="26"/>
  <c r="A15" i="10" l="1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A797" i="10"/>
  <c r="A798" i="10"/>
  <c r="A799" i="10"/>
  <c r="A800" i="10"/>
  <c r="A801" i="10"/>
  <c r="A802" i="10"/>
  <c r="A803" i="10"/>
  <c r="A804" i="10"/>
  <c r="A805" i="10"/>
  <c r="A806" i="10"/>
  <c r="A807" i="10"/>
  <c r="A808" i="10"/>
  <c r="A809" i="10"/>
  <c r="A810" i="10"/>
  <c r="A811" i="10"/>
  <c r="A812" i="10"/>
  <c r="A813" i="10"/>
  <c r="A814" i="10"/>
  <c r="A815" i="10"/>
  <c r="A816" i="10"/>
  <c r="A817" i="10"/>
  <c r="A818" i="10"/>
  <c r="A819" i="10"/>
  <c r="A820" i="10"/>
  <c r="A821" i="10"/>
  <c r="A822" i="10"/>
  <c r="A823" i="10"/>
  <c r="A824" i="10"/>
  <c r="A825" i="10"/>
  <c r="A826" i="10"/>
  <c r="A827" i="10"/>
  <c r="A828" i="10"/>
  <c r="A829" i="10"/>
  <c r="A830" i="10"/>
  <c r="A831" i="10"/>
  <c r="A832" i="10"/>
  <c r="A833" i="10"/>
  <c r="A834" i="10"/>
  <c r="A835" i="10"/>
  <c r="A836" i="10"/>
  <c r="A837" i="10"/>
  <c r="A838" i="10"/>
  <c r="A839" i="10"/>
  <c r="A840" i="10"/>
  <c r="A841" i="10"/>
  <c r="A842" i="10"/>
  <c r="A843" i="10"/>
  <c r="A844" i="10"/>
  <c r="A845" i="10"/>
  <c r="A846" i="10"/>
  <c r="A847" i="10"/>
  <c r="A848" i="10"/>
  <c r="A849" i="10"/>
  <c r="A850" i="10"/>
  <c r="A851" i="10"/>
  <c r="A852" i="10"/>
  <c r="A853" i="10"/>
  <c r="A854" i="10"/>
  <c r="A855" i="10"/>
  <c r="A856" i="10"/>
  <c r="A857" i="10"/>
  <c r="A858" i="10"/>
  <c r="A859" i="10"/>
  <c r="A860" i="10"/>
  <c r="A861" i="10"/>
  <c r="A862" i="10"/>
  <c r="A863" i="10"/>
  <c r="A864" i="10"/>
  <c r="A865" i="10"/>
  <c r="A866" i="10"/>
  <c r="A867" i="10"/>
  <c r="A868" i="10"/>
  <c r="A869" i="10"/>
  <c r="A870" i="10"/>
  <c r="A871" i="10"/>
  <c r="A872" i="10"/>
  <c r="A873" i="10"/>
  <c r="A874" i="10"/>
  <c r="A875" i="10"/>
  <c r="A876" i="10"/>
  <c r="A877" i="10"/>
  <c r="A878" i="10"/>
  <c r="A879" i="10"/>
  <c r="A880" i="10"/>
  <c r="A881" i="10"/>
  <c r="A882" i="10"/>
  <c r="A883" i="10"/>
  <c r="A884" i="10"/>
  <c r="A885" i="10"/>
  <c r="A886" i="10"/>
  <c r="A887" i="10"/>
  <c r="A888" i="10"/>
  <c r="A889" i="10"/>
  <c r="A890" i="10"/>
  <c r="A891" i="10"/>
  <c r="A892" i="10"/>
  <c r="A893" i="10"/>
  <c r="A894" i="10"/>
  <c r="A895" i="10"/>
  <c r="A896" i="10"/>
  <c r="A897" i="10"/>
  <c r="A898" i="10"/>
  <c r="A899" i="10"/>
  <c r="A900" i="10"/>
  <c r="A901" i="10"/>
  <c r="A902" i="10"/>
  <c r="A903" i="10"/>
  <c r="A904" i="10"/>
  <c r="A905" i="10"/>
  <c r="A906" i="10"/>
  <c r="A907" i="10"/>
  <c r="A908" i="10"/>
  <c r="A909" i="10"/>
  <c r="A910" i="10"/>
  <c r="A911" i="10"/>
  <c r="A912" i="10"/>
  <c r="A913" i="10"/>
  <c r="A914" i="10"/>
  <c r="A915" i="10"/>
  <c r="A916" i="10"/>
  <c r="A917" i="10"/>
  <c r="A918" i="10"/>
  <c r="A919" i="10"/>
  <c r="A920" i="10"/>
  <c r="A921" i="10"/>
  <c r="A922" i="10"/>
  <c r="A923" i="10"/>
  <c r="A924" i="10"/>
  <c r="A925" i="10"/>
  <c r="A926" i="10"/>
  <c r="A927" i="10"/>
  <c r="A928" i="10"/>
  <c r="A929" i="10"/>
  <c r="A930" i="10"/>
  <c r="A931" i="10"/>
  <c r="A932" i="10"/>
  <c r="A933" i="10"/>
  <c r="A934" i="10"/>
  <c r="A935" i="10"/>
  <c r="A936" i="10"/>
  <c r="A937" i="10"/>
  <c r="A938" i="10"/>
  <c r="A939" i="10"/>
  <c r="A940" i="10"/>
  <c r="A941" i="10"/>
  <c r="A942" i="10"/>
  <c r="A943" i="10"/>
  <c r="A944" i="10"/>
  <c r="A945" i="10"/>
  <c r="A946" i="10"/>
  <c r="A947" i="10"/>
  <c r="A948" i="10"/>
  <c r="A949" i="10"/>
  <c r="A950" i="10"/>
  <c r="A951" i="10"/>
  <c r="A952" i="10"/>
  <c r="A953" i="10"/>
  <c r="A954" i="10"/>
  <c r="A955" i="10"/>
  <c r="A956" i="10"/>
  <c r="A957" i="10"/>
  <c r="A958" i="10"/>
  <c r="A959" i="10"/>
  <c r="A960" i="10"/>
  <c r="A961" i="10"/>
  <c r="A962" i="10"/>
  <c r="A963" i="10"/>
  <c r="A964" i="10"/>
  <c r="A965" i="10"/>
  <c r="A966" i="10"/>
  <c r="A967" i="10"/>
  <c r="A968" i="10"/>
  <c r="A969" i="10"/>
  <c r="A970" i="10"/>
  <c r="A971" i="10"/>
  <c r="A972" i="10"/>
  <c r="A973" i="10"/>
  <c r="A974" i="10"/>
  <c r="A975" i="10"/>
  <c r="A976" i="10"/>
  <c r="A977" i="10"/>
  <c r="A978" i="10"/>
  <c r="A979" i="10"/>
  <c r="A980" i="10"/>
  <c r="A981" i="10"/>
  <c r="A982" i="10"/>
  <c r="A983" i="10"/>
  <c r="A984" i="10"/>
  <c r="A985" i="10"/>
  <c r="A986" i="10"/>
  <c r="A987" i="10"/>
  <c r="A988" i="10"/>
  <c r="A989" i="10"/>
  <c r="A990" i="10"/>
  <c r="A991" i="10"/>
  <c r="A992" i="10"/>
  <c r="A993" i="10"/>
  <c r="A994" i="10"/>
  <c r="A995" i="10"/>
  <c r="A996" i="10"/>
  <c r="A997" i="10"/>
  <c r="A998" i="10"/>
  <c r="A999" i="10"/>
  <c r="A1000" i="10"/>
  <c r="A1001" i="10"/>
  <c r="A1002" i="10"/>
  <c r="A1003" i="10"/>
  <c r="A1004" i="10"/>
  <c r="A1005" i="10"/>
  <c r="A1006" i="10"/>
  <c r="A1007" i="10"/>
  <c r="A1008" i="10"/>
  <c r="A1009" i="10"/>
  <c r="A1010" i="10"/>
  <c r="A1011" i="10"/>
  <c r="A1012" i="10"/>
  <c r="A1013" i="10"/>
  <c r="A1014" i="10"/>
  <c r="A1015" i="10"/>
  <c r="A1016" i="10"/>
  <c r="A1017" i="10"/>
  <c r="A1018" i="10"/>
  <c r="A1019" i="10"/>
  <c r="A1020" i="10"/>
  <c r="A1021" i="10"/>
  <c r="A1022" i="10"/>
  <c r="A1023" i="10"/>
  <c r="A1024" i="10"/>
  <c r="A1025" i="10"/>
  <c r="A1026" i="10"/>
  <c r="A1027" i="10"/>
  <c r="A1028" i="10"/>
  <c r="A1029" i="10"/>
  <c r="A1030" i="10"/>
  <c r="A1031" i="10"/>
  <c r="A1032" i="10"/>
  <c r="A1033" i="10"/>
  <c r="A1034" i="10"/>
  <c r="A1035" i="10"/>
  <c r="A1036" i="10"/>
  <c r="A1037" i="10"/>
  <c r="A1038" i="10"/>
  <c r="A1039" i="10"/>
  <c r="A1040" i="10"/>
  <c r="A1041" i="10"/>
  <c r="A1042" i="10"/>
  <c r="A1043" i="10"/>
  <c r="A1044" i="10"/>
  <c r="A1045" i="10"/>
  <c r="A1046" i="10"/>
  <c r="A1047" i="10"/>
  <c r="A1048" i="10"/>
  <c r="A1049" i="10"/>
  <c r="A1050" i="10"/>
  <c r="A1051" i="10"/>
  <c r="A1052" i="10"/>
  <c r="A1053" i="10"/>
  <c r="A1054" i="10"/>
  <c r="A1055" i="10"/>
  <c r="A1056" i="10"/>
  <c r="A1057" i="10"/>
  <c r="A1058" i="10"/>
  <c r="A1059" i="10"/>
  <c r="A1060" i="10"/>
  <c r="A1061" i="10"/>
  <c r="A1062" i="10"/>
  <c r="A1063" i="10"/>
  <c r="A1064" i="10"/>
  <c r="A1065" i="10"/>
  <c r="A1066" i="10"/>
  <c r="A1067" i="10"/>
  <c r="A1068" i="10"/>
  <c r="A1069" i="10"/>
  <c r="A1070" i="10"/>
  <c r="A1071" i="10"/>
  <c r="A1072" i="10"/>
  <c r="A1073" i="10"/>
  <c r="A1074" i="10"/>
  <c r="A1075" i="10"/>
  <c r="A1076" i="10"/>
  <c r="A1077" i="10"/>
  <c r="A1078" i="10"/>
  <c r="A1079" i="10"/>
  <c r="A1080" i="10"/>
  <c r="A1081" i="10"/>
  <c r="A1082" i="10"/>
  <c r="A1083" i="10"/>
  <c r="A1084" i="10"/>
  <c r="A1085" i="10"/>
  <c r="A1086" i="10"/>
  <c r="A1087" i="10"/>
  <c r="A1088" i="10"/>
  <c r="A1089" i="10"/>
  <c r="A1090" i="10"/>
  <c r="A1091" i="10"/>
  <c r="A1092" i="10"/>
  <c r="A1093" i="10"/>
  <c r="A1094" i="10"/>
  <c r="A1095" i="10"/>
  <c r="A1096" i="10"/>
  <c r="A1097" i="10"/>
  <c r="A1098" i="10"/>
  <c r="A1099" i="10"/>
  <c r="A1100" i="10"/>
  <c r="A1101" i="10"/>
  <c r="A1102" i="10"/>
  <c r="A1103" i="10"/>
  <c r="A1104" i="10"/>
  <c r="A1105" i="10"/>
  <c r="A1106" i="10"/>
  <c r="A1107" i="10"/>
  <c r="A1108" i="10"/>
  <c r="A1109" i="10"/>
  <c r="A1110" i="10"/>
  <c r="A1111" i="10"/>
  <c r="A1112" i="10"/>
  <c r="A1113" i="10"/>
  <c r="A1114" i="10"/>
  <c r="A1115" i="10"/>
  <c r="A1116" i="10"/>
  <c r="A1117" i="10"/>
  <c r="A1118" i="10"/>
  <c r="A1119" i="10"/>
  <c r="A1120" i="10"/>
  <c r="A1121" i="10"/>
  <c r="A1122" i="10"/>
  <c r="A1123" i="10"/>
  <c r="A1124" i="10"/>
  <c r="A1125" i="10"/>
  <c r="A1126" i="10"/>
  <c r="A1127" i="10"/>
  <c r="A1128" i="10"/>
  <c r="A1129" i="10"/>
  <c r="A1130" i="10"/>
  <c r="A1131" i="10"/>
  <c r="A1132" i="10"/>
  <c r="A1133" i="10"/>
  <c r="A1134" i="10"/>
  <c r="A1135" i="10"/>
  <c r="A1136" i="10"/>
  <c r="A1137" i="10"/>
  <c r="A1138" i="10"/>
  <c r="A1139" i="10"/>
  <c r="A1140" i="10"/>
  <c r="A1141" i="10"/>
  <c r="A1142" i="10"/>
  <c r="A1143" i="10"/>
  <c r="A1144" i="10"/>
  <c r="A1145" i="10"/>
  <c r="A1146" i="10"/>
  <c r="A1147" i="10"/>
  <c r="A1148" i="10"/>
  <c r="A1149" i="10"/>
  <c r="A1150" i="10"/>
  <c r="A1151" i="10"/>
  <c r="A1152" i="10"/>
  <c r="A1153" i="10"/>
  <c r="A1154" i="10"/>
  <c r="A1155" i="10"/>
  <c r="A1156" i="10"/>
  <c r="A1157" i="10"/>
  <c r="A1158" i="10"/>
  <c r="A1159" i="10"/>
  <c r="A1160" i="10"/>
  <c r="A1161" i="10"/>
  <c r="A1162" i="10"/>
  <c r="A1163" i="10"/>
  <c r="A1164" i="10"/>
  <c r="A1165" i="10"/>
  <c r="A1166" i="10"/>
  <c r="A1167" i="10"/>
  <c r="A1168" i="10"/>
  <c r="A1169" i="10"/>
  <c r="A1170" i="10"/>
  <c r="A1171" i="10"/>
  <c r="A1172" i="10"/>
  <c r="A1173" i="10"/>
  <c r="A1174" i="10"/>
  <c r="A1175" i="10"/>
  <c r="A1176" i="10"/>
  <c r="A1177" i="10"/>
  <c r="A1178" i="10"/>
  <c r="A1179" i="10"/>
  <c r="A1180" i="10"/>
  <c r="A1181" i="10"/>
  <c r="A1182" i="10"/>
  <c r="A1183" i="10"/>
  <c r="A1184" i="10"/>
  <c r="A1185" i="10"/>
  <c r="A1186" i="10"/>
  <c r="A1187" i="10"/>
  <c r="A1188" i="10"/>
  <c r="A1189" i="10"/>
  <c r="A1190" i="10"/>
  <c r="A1191" i="10"/>
  <c r="A1192" i="10"/>
  <c r="A1193" i="10"/>
  <c r="A1194" i="10"/>
  <c r="A1195" i="10"/>
  <c r="A1196" i="10"/>
  <c r="A1197" i="10"/>
  <c r="A1198" i="10"/>
  <c r="A1199" i="10"/>
  <c r="A1200" i="10"/>
  <c r="A1201" i="10"/>
  <c r="A1202" i="10"/>
  <c r="A1203" i="10"/>
  <c r="A1204" i="10"/>
  <c r="A1205" i="10"/>
  <c r="A1206" i="10"/>
  <c r="A1207" i="10"/>
  <c r="A1208" i="10"/>
  <c r="A1209" i="10"/>
  <c r="A1210" i="10"/>
  <c r="A1211" i="10"/>
  <c r="A1212" i="10"/>
  <c r="A1213" i="10"/>
  <c r="A1214" i="10"/>
  <c r="A1215" i="10"/>
  <c r="A1216" i="10"/>
  <c r="A1217" i="10"/>
  <c r="A1218" i="10"/>
  <c r="A1219" i="10"/>
  <c r="A1220" i="10"/>
  <c r="A1221" i="10"/>
  <c r="A1222" i="10"/>
  <c r="A1223" i="10"/>
  <c r="A1224" i="10"/>
  <c r="A1225" i="10"/>
  <c r="A1226" i="10"/>
  <c r="A1227" i="10"/>
  <c r="A1228" i="10"/>
  <c r="A1229" i="10"/>
  <c r="A1230" i="10"/>
  <c r="A1231" i="10"/>
  <c r="A1232" i="10"/>
  <c r="A1233" i="10"/>
  <c r="A1234" i="10"/>
  <c r="A1235" i="10"/>
  <c r="A1236" i="10"/>
  <c r="A1237" i="10"/>
  <c r="A1238" i="10"/>
  <c r="A1239" i="10"/>
  <c r="A1240" i="10"/>
  <c r="A1241" i="10"/>
  <c r="A1242" i="10"/>
  <c r="A1243" i="10"/>
  <c r="A1244" i="10"/>
  <c r="A1245" i="10"/>
  <c r="A1246" i="10"/>
  <c r="A1247" i="10"/>
  <c r="A1248" i="10"/>
  <c r="A1249" i="10"/>
  <c r="A1250" i="10"/>
  <c r="A1251" i="10"/>
  <c r="A1252" i="10"/>
  <c r="A1253" i="10"/>
  <c r="A1254" i="10"/>
  <c r="A1255" i="10"/>
  <c r="A1256" i="10"/>
  <c r="A1257" i="10"/>
  <c r="A1258" i="10"/>
  <c r="A1259" i="10"/>
  <c r="A1260" i="10"/>
  <c r="A1261" i="10"/>
  <c r="A1262" i="10"/>
  <c r="A1263" i="10"/>
  <c r="A1264" i="10"/>
  <c r="A1265" i="10"/>
  <c r="A1266" i="10"/>
  <c r="A1267" i="10"/>
  <c r="A1268" i="10"/>
  <c r="A1269" i="10"/>
  <c r="A1270" i="10"/>
  <c r="A1271" i="10"/>
  <c r="A1272" i="10"/>
  <c r="A1273" i="10"/>
  <c r="A1274" i="10"/>
  <c r="A1275" i="10"/>
  <c r="A1276" i="10"/>
  <c r="A1277" i="10"/>
  <c r="A1278" i="10"/>
  <c r="A1279" i="10"/>
  <c r="A1280" i="10"/>
  <c r="A1281" i="10"/>
  <c r="A1282" i="10"/>
  <c r="A1283" i="10"/>
  <c r="A1284" i="10"/>
  <c r="A1285" i="10"/>
  <c r="A1286" i="10"/>
  <c r="A1287" i="10"/>
  <c r="A1288" i="10"/>
  <c r="A1289" i="10"/>
  <c r="A1290" i="10"/>
  <c r="A1291" i="10"/>
  <c r="A1292" i="10"/>
  <c r="A1293" i="10"/>
  <c r="A1294" i="10"/>
  <c r="A1295" i="10"/>
  <c r="A1296" i="10"/>
  <c r="A1297" i="10"/>
  <c r="A1298" i="10"/>
  <c r="A1299" i="10"/>
  <c r="A1300" i="10"/>
  <c r="A1301" i="10"/>
  <c r="A1302" i="10"/>
  <c r="A1303" i="10"/>
  <c r="A1304" i="10"/>
  <c r="A1305" i="10"/>
  <c r="A1306" i="10"/>
  <c r="A1307" i="10"/>
  <c r="A1308" i="10"/>
  <c r="A1309" i="10"/>
  <c r="A1310" i="10"/>
  <c r="A1311" i="10"/>
  <c r="A1312" i="10"/>
  <c r="A1313" i="10"/>
  <c r="A1314" i="10"/>
  <c r="A1315" i="10"/>
  <c r="A1316" i="10"/>
  <c r="A1317" i="10"/>
  <c r="A1318" i="10"/>
  <c r="A1319" i="10"/>
  <c r="A1320" i="10"/>
  <c r="A1321" i="10"/>
  <c r="A1322" i="10"/>
  <c r="A1323" i="10"/>
  <c r="A1324" i="10"/>
  <c r="A1325" i="10"/>
  <c r="A1326" i="10"/>
  <c r="A1327" i="10"/>
  <c r="A1328" i="10"/>
  <c r="A1329" i="10"/>
  <c r="A1330" i="10"/>
  <c r="A1331" i="10"/>
  <c r="A1332" i="10"/>
  <c r="A1333" i="10"/>
  <c r="A1334" i="10"/>
  <c r="A1335" i="10"/>
  <c r="A1336" i="10"/>
  <c r="A1337" i="10"/>
  <c r="A1338" i="10"/>
  <c r="A1339" i="10"/>
  <c r="A1340" i="10"/>
  <c r="A1341" i="10"/>
  <c r="A1342" i="10"/>
  <c r="A1343" i="10"/>
  <c r="A1344" i="10"/>
  <c r="A1345" i="10"/>
  <c r="A1346" i="10"/>
  <c r="A1347" i="10"/>
  <c r="A1348" i="10"/>
  <c r="A1349" i="10"/>
  <c r="A1350" i="10"/>
  <c r="A1351" i="10"/>
  <c r="A1352" i="10"/>
  <c r="A1353" i="10"/>
  <c r="A1354" i="10"/>
  <c r="A1355" i="10"/>
  <c r="A1356" i="10"/>
  <c r="A1357" i="10"/>
  <c r="A1358" i="10"/>
  <c r="A1359" i="10"/>
  <c r="A1360" i="10"/>
  <c r="A1361" i="10"/>
  <c r="A1362" i="10"/>
  <c r="A1363" i="10"/>
  <c r="A1364" i="10"/>
  <c r="A1365" i="10"/>
  <c r="A1366" i="10"/>
  <c r="A1367" i="10"/>
  <c r="A1368" i="10"/>
  <c r="A1369" i="10"/>
  <c r="A1370" i="10"/>
  <c r="A1371" i="10"/>
  <c r="A1372" i="10"/>
  <c r="A1373" i="10"/>
  <c r="A1374" i="10"/>
  <c r="A1375" i="10"/>
  <c r="A1376" i="10"/>
  <c r="A1377" i="10"/>
  <c r="A1378" i="10"/>
  <c r="A1379" i="10"/>
  <c r="A1380" i="10"/>
  <c r="A1381" i="10"/>
  <c r="A1382" i="10"/>
  <c r="A1383" i="10"/>
  <c r="A1384" i="10"/>
  <c r="A1385" i="10"/>
  <c r="A1386" i="10"/>
  <c r="A1387" i="10"/>
  <c r="A1388" i="10"/>
  <c r="A1389" i="10"/>
  <c r="A1390" i="10"/>
  <c r="A1391" i="10"/>
  <c r="A1392" i="10"/>
  <c r="A1393" i="10"/>
  <c r="A1394" i="10"/>
  <c r="A1395" i="10"/>
  <c r="A1396" i="10"/>
  <c r="A1397" i="10"/>
  <c r="A1398" i="10"/>
  <c r="A1399" i="10"/>
  <c r="A1400" i="10"/>
  <c r="A1401" i="10"/>
  <c r="A1402" i="10"/>
  <c r="A1403" i="10"/>
  <c r="A1404" i="10"/>
  <c r="A1405" i="10"/>
  <c r="A1406" i="10"/>
  <c r="A1407" i="10"/>
  <c r="A1408" i="10"/>
  <c r="A1409" i="10"/>
  <c r="A1410" i="10"/>
  <c r="A1411" i="10"/>
  <c r="A1412" i="10"/>
  <c r="A1413" i="10"/>
  <c r="A1414" i="10"/>
  <c r="A1415" i="10"/>
  <c r="A1416" i="10"/>
  <c r="A1417" i="10"/>
  <c r="A1418" i="10"/>
  <c r="A1419" i="10"/>
  <c r="A1420" i="10"/>
  <c r="A1421" i="10"/>
  <c r="A1422" i="10"/>
  <c r="A1423" i="10"/>
  <c r="A1424" i="10"/>
  <c r="A1425" i="10"/>
  <c r="A1426" i="10"/>
  <c r="A1427" i="10"/>
  <c r="A1428" i="10"/>
  <c r="A1429" i="10"/>
  <c r="A1430" i="10"/>
  <c r="A1431" i="10"/>
  <c r="A1432" i="10"/>
  <c r="A1433" i="10"/>
  <c r="A1434" i="10"/>
  <c r="A1435" i="10"/>
  <c r="A1436" i="10"/>
  <c r="A1437" i="10"/>
  <c r="A1438" i="10"/>
  <c r="A1439" i="10"/>
  <c r="A1440" i="10"/>
  <c r="A1441" i="10"/>
  <c r="A1442" i="10"/>
  <c r="A1443" i="10"/>
  <c r="A1444" i="10"/>
  <c r="A1445" i="10"/>
  <c r="A1446" i="10"/>
  <c r="A1447" i="10"/>
  <c r="A1448" i="10"/>
  <c r="A1449" i="10"/>
  <c r="A1450" i="10"/>
  <c r="A1451" i="10"/>
  <c r="A1452" i="10"/>
  <c r="A1453" i="10"/>
  <c r="A1454" i="10"/>
  <c r="A1455" i="10"/>
  <c r="A1456" i="10"/>
  <c r="A1457" i="10"/>
  <c r="A1458" i="10"/>
  <c r="A1459" i="10"/>
  <c r="A1460" i="10"/>
  <c r="A1461" i="10"/>
  <c r="A1462" i="10"/>
  <c r="A1463" i="10"/>
  <c r="A1464" i="10"/>
  <c r="A1465" i="10"/>
  <c r="A1466" i="10"/>
  <c r="A1467" i="10"/>
  <c r="A1468" i="10"/>
  <c r="A1469" i="10"/>
  <c r="A1470" i="10"/>
  <c r="A1471" i="10"/>
  <c r="A1472" i="10"/>
  <c r="A1473" i="10"/>
  <c r="A1474" i="10"/>
  <c r="A1475" i="10"/>
  <c r="A1476" i="10"/>
  <c r="A1477" i="10"/>
  <c r="A1478" i="10"/>
  <c r="A1479" i="10"/>
  <c r="A1480" i="10"/>
  <c r="A1481" i="10"/>
  <c r="A1482" i="10"/>
  <c r="A1483" i="10"/>
  <c r="A1484" i="10"/>
  <c r="A1485" i="10"/>
  <c r="A1486" i="10"/>
  <c r="A1487" i="10"/>
  <c r="A1488" i="10"/>
  <c r="A1489" i="10"/>
  <c r="A1490" i="10"/>
  <c r="A1491" i="10"/>
  <c r="A1492" i="10"/>
  <c r="A1493" i="10"/>
  <c r="A1494" i="10"/>
  <c r="A1495" i="10"/>
  <c r="A1496" i="10"/>
  <c r="A1497" i="10"/>
  <c r="A1498" i="10"/>
  <c r="A1499" i="10"/>
  <c r="A1500" i="10"/>
  <c r="A1501" i="10"/>
  <c r="A1502" i="10"/>
  <c r="A1503" i="10"/>
  <c r="A1504" i="10"/>
  <c r="A1505" i="10"/>
  <c r="A1506" i="10"/>
  <c r="A1507" i="10"/>
  <c r="A1508" i="10"/>
  <c r="A1509" i="10"/>
  <c r="A1510" i="10"/>
  <c r="A1511" i="10"/>
  <c r="A1512" i="10"/>
  <c r="A1513" i="10"/>
  <c r="A1514" i="10"/>
  <c r="A1515" i="10"/>
  <c r="A1516" i="10"/>
  <c r="A1517" i="10"/>
  <c r="A1518" i="10"/>
  <c r="A1519" i="10"/>
  <c r="A1520" i="10"/>
  <c r="A1521" i="10"/>
  <c r="A1522" i="10"/>
  <c r="A1523" i="10"/>
  <c r="A1524" i="10"/>
  <c r="A1525" i="10"/>
  <c r="A1526" i="10"/>
  <c r="A1527" i="10"/>
  <c r="A1528" i="10"/>
  <c r="A1529" i="10"/>
  <c r="A1530" i="10"/>
  <c r="A1531" i="10"/>
  <c r="A1532" i="10"/>
  <c r="A1533" i="10"/>
  <c r="A1534" i="10"/>
  <c r="A1535" i="10"/>
  <c r="A1536" i="10"/>
  <c r="A1537" i="10"/>
  <c r="A1538" i="10"/>
  <c r="A1539" i="10"/>
  <c r="A1540" i="10"/>
  <c r="A1541" i="10"/>
  <c r="A1542" i="10"/>
  <c r="A1543" i="10"/>
  <c r="A1544" i="10"/>
  <c r="A1545" i="10"/>
  <c r="A1546" i="10"/>
  <c r="A1547" i="10"/>
  <c r="A1548" i="10"/>
  <c r="A1549" i="10"/>
  <c r="A1550" i="10"/>
  <c r="A1551" i="10"/>
  <c r="A1552" i="10"/>
  <c r="A1553" i="10"/>
  <c r="A1554" i="10"/>
  <c r="A1555" i="10"/>
  <c r="A1556" i="10"/>
  <c r="A1557" i="10"/>
  <c r="A1558" i="10"/>
  <c r="A1559" i="10"/>
  <c r="A1560" i="10"/>
  <c r="A1561" i="10"/>
  <c r="A1562" i="10"/>
  <c r="A1563" i="10"/>
  <c r="A1564" i="10"/>
  <c r="A1565" i="10"/>
  <c r="A1566" i="10"/>
  <c r="A1567" i="10"/>
  <c r="A1568" i="10"/>
  <c r="A1569" i="10"/>
  <c r="A1570" i="10"/>
  <c r="A1571" i="10"/>
  <c r="A1572" i="10"/>
  <c r="A1573" i="10"/>
  <c r="A1574" i="10"/>
  <c r="A1575" i="10"/>
  <c r="A1576" i="10"/>
  <c r="A1577" i="10"/>
  <c r="A1578" i="10"/>
  <c r="A1579" i="10"/>
  <c r="A1580" i="10"/>
  <c r="A1581" i="10"/>
  <c r="A1582" i="10"/>
  <c r="A1583" i="10"/>
  <c r="A1584" i="10"/>
  <c r="A1585" i="10"/>
  <c r="A1586" i="10"/>
  <c r="A1587" i="10"/>
  <c r="A1588" i="10"/>
  <c r="A1589" i="10"/>
  <c r="A1590" i="10"/>
  <c r="A1591" i="10"/>
  <c r="A1592" i="10"/>
  <c r="A1593" i="10"/>
  <c r="A1594" i="10"/>
  <c r="A1595" i="10"/>
  <c r="A1596" i="10"/>
  <c r="A1597" i="10"/>
  <c r="A1598" i="10"/>
  <c r="A1599" i="10"/>
  <c r="A1600" i="10"/>
  <c r="A1601" i="10"/>
  <c r="A1602" i="10"/>
  <c r="A1603" i="10"/>
  <c r="A1604" i="10"/>
  <c r="A1605" i="10"/>
  <c r="A1606" i="10"/>
  <c r="A1607" i="10"/>
  <c r="A1608" i="10"/>
  <c r="A1609" i="10"/>
  <c r="A1610" i="10"/>
  <c r="A1611" i="10"/>
  <c r="A1612" i="10"/>
  <c r="A1613" i="10"/>
  <c r="A1614" i="10"/>
  <c r="A1615" i="10"/>
  <c r="A1616" i="10"/>
  <c r="A1617" i="10"/>
  <c r="A1618" i="10"/>
  <c r="A1619" i="10"/>
  <c r="A1620" i="10"/>
  <c r="A1621" i="10"/>
  <c r="A1622" i="10"/>
  <c r="A1623" i="10"/>
  <c r="A1624" i="10"/>
  <c r="A1625" i="10"/>
  <c r="A1626" i="10"/>
  <c r="A1627" i="10"/>
  <c r="A1628" i="10"/>
  <c r="A1629" i="10"/>
  <c r="A1630" i="10"/>
  <c r="A1631" i="10"/>
  <c r="A1632" i="10"/>
  <c r="A1633" i="10"/>
  <c r="A1634" i="10"/>
  <c r="A1635" i="10"/>
  <c r="A1636" i="10"/>
  <c r="A1637" i="10"/>
  <c r="A1638" i="10"/>
  <c r="A1639" i="10"/>
  <c r="A1640" i="10"/>
  <c r="A1641" i="10"/>
  <c r="A1642" i="10"/>
  <c r="A1643" i="10"/>
  <c r="A1644" i="10"/>
  <c r="A1645" i="10"/>
  <c r="A1646" i="10"/>
  <c r="A1647" i="10"/>
  <c r="A1648" i="10"/>
  <c r="A1649" i="10"/>
  <c r="A1650" i="10"/>
  <c r="A1651" i="10"/>
  <c r="A1652" i="10"/>
  <c r="A1653" i="10"/>
  <c r="A1654" i="10"/>
  <c r="A1655" i="10"/>
  <c r="A1656" i="10"/>
  <c r="A1657" i="10"/>
  <c r="A1658" i="10"/>
  <c r="A1659" i="10"/>
  <c r="A1660" i="10"/>
  <c r="A1661" i="10"/>
  <c r="A1662" i="10"/>
  <c r="A1663" i="10"/>
  <c r="A1664" i="10"/>
  <c r="A1665" i="10"/>
  <c r="A1666" i="10"/>
  <c r="A1667" i="10"/>
  <c r="A1668" i="10"/>
  <c r="A1669" i="10"/>
  <c r="A1670" i="10"/>
  <c r="A1671" i="10"/>
  <c r="A1672" i="10"/>
  <c r="A1673" i="10"/>
  <c r="A1674" i="10"/>
  <c r="A1675" i="10"/>
  <c r="A1676" i="10"/>
  <c r="A1677" i="10"/>
  <c r="A1678" i="10"/>
  <c r="A1679" i="10"/>
  <c r="A1680" i="10"/>
  <c r="A1681" i="10"/>
  <c r="A1682" i="10"/>
  <c r="A1683" i="10"/>
  <c r="A1684" i="10"/>
  <c r="A1685" i="10"/>
  <c r="A1686" i="10"/>
  <c r="A1687" i="10"/>
  <c r="A1688" i="10"/>
  <c r="A1689" i="10"/>
  <c r="A1690" i="10"/>
  <c r="A1691" i="10"/>
  <c r="A1692" i="10"/>
  <c r="A1693" i="10"/>
  <c r="A1694" i="10"/>
  <c r="A1695" i="10"/>
  <c r="A1696" i="10"/>
  <c r="A1697" i="10"/>
  <c r="A1698" i="10"/>
  <c r="A1699" i="10"/>
  <c r="A1700" i="10"/>
  <c r="A1701" i="10"/>
  <c r="A1702" i="10"/>
  <c r="A1703" i="10"/>
  <c r="A1704" i="10"/>
  <c r="A1705" i="10"/>
  <c r="A1706" i="10"/>
  <c r="A1707" i="10"/>
  <c r="A1708" i="10"/>
  <c r="A1709" i="10"/>
  <c r="A1710" i="10"/>
  <c r="A1711" i="10"/>
  <c r="A1712" i="10"/>
  <c r="A1713" i="10"/>
  <c r="A1714" i="10"/>
  <c r="A1715" i="10"/>
  <c r="A1716" i="10"/>
  <c r="A1717" i="10"/>
  <c r="A1718" i="10"/>
  <c r="A1719" i="10"/>
  <c r="A1720" i="10"/>
  <c r="A1721" i="10"/>
  <c r="A1722" i="10"/>
  <c r="A1723" i="10"/>
  <c r="A1724" i="10"/>
  <c r="A1725" i="10"/>
  <c r="A1726" i="10"/>
  <c r="A1727" i="10"/>
  <c r="A1728" i="10"/>
  <c r="A1729" i="10"/>
  <c r="A1730" i="10"/>
  <c r="A1731" i="10"/>
  <c r="A1732" i="10"/>
  <c r="A1733" i="10"/>
  <c r="A1734" i="10"/>
  <c r="A1735" i="10"/>
  <c r="A1736" i="10"/>
  <c r="A1737" i="10"/>
  <c r="A1738" i="10"/>
  <c r="A1739" i="10"/>
  <c r="A1740" i="10"/>
  <c r="A1741" i="10"/>
  <c r="A1742" i="10"/>
  <c r="A1743" i="10"/>
  <c r="A1744" i="10"/>
  <c r="A1745" i="10"/>
  <c r="A1746" i="10"/>
  <c r="A1747" i="10"/>
  <c r="A1748" i="10"/>
  <c r="A1749" i="10"/>
  <c r="A1750" i="10"/>
  <c r="A1751" i="10"/>
  <c r="A1752" i="10"/>
  <c r="A1753" i="10"/>
  <c r="A1754" i="10"/>
  <c r="A1755" i="10"/>
  <c r="A1756" i="10"/>
  <c r="A1757" i="10"/>
  <c r="A1758" i="10"/>
  <c r="A1759" i="10"/>
  <c r="A1760" i="10"/>
  <c r="A1761" i="10"/>
  <c r="A1762" i="10"/>
  <c r="A1763" i="10"/>
  <c r="A1764" i="10"/>
  <c r="A1765" i="10"/>
  <c r="A1766" i="10"/>
  <c r="A1767" i="10"/>
  <c r="A1768" i="10"/>
  <c r="A1769" i="10"/>
  <c r="A1770" i="10"/>
  <c r="A1771" i="10"/>
  <c r="A1772" i="10"/>
  <c r="A1773" i="10"/>
  <c r="A1774" i="10"/>
  <c r="A1775" i="10"/>
  <c r="A1776" i="10"/>
  <c r="A1777" i="10"/>
  <c r="A1778" i="10"/>
  <c r="A1779" i="10"/>
  <c r="A1780" i="10"/>
  <c r="A1781" i="10"/>
  <c r="A1782" i="10"/>
  <c r="A1783" i="10"/>
  <c r="A1784" i="10"/>
  <c r="A1785" i="10"/>
  <c r="A1786" i="10"/>
  <c r="A1787" i="10"/>
  <c r="A1788" i="10"/>
  <c r="A1789" i="10"/>
  <c r="A1790" i="10"/>
  <c r="A1791" i="10"/>
  <c r="A1792" i="10"/>
  <c r="A1793" i="10"/>
  <c r="A1794" i="10"/>
  <c r="A1795" i="10"/>
  <c r="A1796" i="10"/>
  <c r="A1797" i="10"/>
  <c r="A1798" i="10"/>
  <c r="A1799" i="10"/>
  <c r="A1800" i="10"/>
  <c r="A1801" i="10"/>
  <c r="A1802" i="10"/>
  <c r="A1803" i="10"/>
  <c r="A1804" i="10"/>
  <c r="A1805" i="10"/>
  <c r="A1806" i="10"/>
  <c r="A1807" i="10"/>
  <c r="A1808" i="10"/>
  <c r="A1809" i="10"/>
  <c r="A1810" i="10"/>
  <c r="A1811" i="10"/>
  <c r="A1812" i="10"/>
  <c r="A1813" i="10"/>
  <c r="A1814" i="10"/>
  <c r="A1815" i="10"/>
  <c r="A1816" i="10"/>
  <c r="A1817" i="10"/>
  <c r="A1818" i="10"/>
  <c r="A1819" i="10"/>
  <c r="A1820" i="10"/>
  <c r="A1821" i="10"/>
  <c r="A1822" i="10"/>
  <c r="A1823" i="10"/>
  <c r="A1824" i="10"/>
  <c r="A1825" i="10"/>
  <c r="A1826" i="10"/>
  <c r="A1827" i="10"/>
  <c r="A1828" i="10"/>
  <c r="A1829" i="10"/>
  <c r="A1830" i="10"/>
  <c r="A1831" i="10"/>
  <c r="A1832" i="10"/>
  <c r="A1833" i="10"/>
  <c r="A1834" i="10"/>
  <c r="A1835" i="10"/>
  <c r="A1836" i="10"/>
  <c r="A1837" i="10"/>
  <c r="A1838" i="10"/>
  <c r="A1839" i="10"/>
  <c r="A1840" i="10"/>
  <c r="A1841" i="10"/>
  <c r="A1842" i="10"/>
  <c r="A1843" i="10"/>
  <c r="A1844" i="10"/>
  <c r="A1845" i="10"/>
  <c r="A1846" i="10"/>
  <c r="A1847" i="10"/>
  <c r="A1848" i="10"/>
  <c r="A1849" i="10"/>
  <c r="A1850" i="10"/>
  <c r="A1851" i="10"/>
  <c r="A1852" i="10"/>
  <c r="A1853" i="10"/>
  <c r="A1854" i="10"/>
  <c r="A1855" i="10"/>
  <c r="A1856" i="10"/>
  <c r="A1857" i="10"/>
  <c r="A1858" i="10"/>
  <c r="A1859" i="10"/>
  <c r="A1860" i="10"/>
  <c r="A1861" i="10"/>
  <c r="A1862" i="10"/>
  <c r="A1863" i="10"/>
  <c r="A1864" i="10"/>
  <c r="A1865" i="10"/>
  <c r="A1866" i="10"/>
  <c r="A1867" i="10"/>
  <c r="A1868" i="10"/>
  <c r="A1869" i="10"/>
  <c r="A1870" i="10"/>
  <c r="A1871" i="10"/>
  <c r="A1872" i="10"/>
  <c r="A1873" i="10"/>
  <c r="A1874" i="10"/>
  <c r="A1875" i="10"/>
  <c r="A1876" i="10"/>
  <c r="A1877" i="10"/>
  <c r="A1878" i="10"/>
  <c r="A1879" i="10"/>
  <c r="A1880" i="10"/>
  <c r="A1881" i="10"/>
  <c r="A1882" i="10"/>
  <c r="A1883" i="10"/>
  <c r="A1884" i="10"/>
  <c r="A1885" i="10"/>
  <c r="A1886" i="10"/>
  <c r="A1887" i="10"/>
  <c r="A1888" i="10"/>
  <c r="A1889" i="10"/>
  <c r="A1890" i="10"/>
  <c r="A1891" i="10"/>
  <c r="A1892" i="10"/>
  <c r="A1893" i="10"/>
  <c r="A1894" i="10"/>
  <c r="A1895" i="10"/>
  <c r="A1896" i="10"/>
  <c r="A1897" i="10"/>
  <c r="A1898" i="10"/>
  <c r="A1899" i="10"/>
  <c r="A1900" i="10"/>
  <c r="A1901" i="10"/>
  <c r="A1902" i="10"/>
  <c r="A1903" i="10"/>
  <c r="A1904" i="10"/>
  <c r="A1905" i="10"/>
  <c r="A1906" i="10"/>
  <c r="A1907" i="10"/>
  <c r="A1908" i="10"/>
  <c r="A1909" i="10"/>
  <c r="A1910" i="10"/>
  <c r="A1911" i="10"/>
  <c r="A1912" i="10"/>
  <c r="A1913" i="10"/>
  <c r="A1914" i="10"/>
  <c r="A1915" i="10"/>
  <c r="A1916" i="10"/>
  <c r="A1917" i="10"/>
  <c r="A1918" i="10"/>
  <c r="A1919" i="10"/>
  <c r="A1920" i="10"/>
  <c r="A1921" i="10"/>
  <c r="A1922" i="10"/>
  <c r="A1923" i="10"/>
  <c r="A1924" i="10"/>
  <c r="A1925" i="10"/>
  <c r="A1926" i="10"/>
  <c r="A1927" i="10"/>
  <c r="A1928" i="10"/>
  <c r="A1929" i="10"/>
  <c r="A1930" i="10"/>
  <c r="A1931" i="10"/>
  <c r="A1932" i="10"/>
  <c r="A1933" i="10"/>
  <c r="A1934" i="10"/>
  <c r="A14" i="10"/>
  <c r="E2" i="2" l="1"/>
  <c r="G2" i="2" l="1"/>
  <c r="F74" i="2" l="1"/>
  <c r="H2" i="2"/>
  <c r="B2" i="2" s="1"/>
  <c r="O1" i="6" s="1"/>
  <c r="O19" i="6"/>
  <c r="G7" i="6" s="1"/>
  <c r="D15" i="25" l="1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D276" i="25"/>
  <c r="D277" i="25"/>
  <c r="D278" i="25"/>
  <c r="D279" i="25"/>
  <c r="D280" i="25"/>
  <c r="D281" i="25"/>
  <c r="D282" i="25"/>
  <c r="D283" i="25"/>
  <c r="D284" i="25"/>
  <c r="D285" i="25"/>
  <c r="D286" i="25"/>
  <c r="D287" i="25"/>
  <c r="D288" i="25"/>
  <c r="D289" i="25"/>
  <c r="D290" i="25"/>
  <c r="D291" i="25"/>
  <c r="D292" i="25"/>
  <c r="D293" i="25"/>
  <c r="D294" i="25"/>
  <c r="D295" i="25"/>
  <c r="D296" i="25"/>
  <c r="D297" i="25"/>
  <c r="D298" i="25"/>
  <c r="D299" i="25"/>
  <c r="D300" i="25"/>
  <c r="D301" i="25"/>
  <c r="D302" i="25"/>
  <c r="D303" i="25"/>
  <c r="D304" i="25"/>
  <c r="D305" i="25"/>
  <c r="D306" i="25"/>
  <c r="D307" i="25"/>
  <c r="D308" i="25"/>
  <c r="D309" i="25"/>
  <c r="D310" i="25"/>
  <c r="D311" i="25"/>
  <c r="D312" i="25"/>
  <c r="D313" i="25"/>
  <c r="D314" i="25"/>
  <c r="D315" i="25"/>
  <c r="D316" i="25"/>
  <c r="D317" i="25"/>
  <c r="D318" i="25"/>
  <c r="D319" i="25"/>
  <c r="D320" i="25"/>
  <c r="D321" i="25"/>
  <c r="D322" i="25"/>
  <c r="D323" i="25"/>
  <c r="D324" i="25"/>
  <c r="D325" i="25"/>
  <c r="D326" i="25"/>
  <c r="D327" i="25"/>
  <c r="D328" i="25"/>
  <c r="D329" i="25"/>
  <c r="D330" i="25"/>
  <c r="D331" i="25"/>
  <c r="D332" i="25"/>
  <c r="D333" i="25"/>
  <c r="D334" i="25"/>
  <c r="D335" i="25"/>
  <c r="D336" i="25"/>
  <c r="D337" i="25"/>
  <c r="D338" i="25"/>
  <c r="D339" i="25"/>
  <c r="D340" i="25"/>
  <c r="D341" i="25"/>
  <c r="D342" i="25"/>
  <c r="D343" i="25"/>
  <c r="D344" i="25"/>
  <c r="D345" i="25"/>
  <c r="D346" i="25"/>
  <c r="D347" i="25"/>
  <c r="D348" i="25"/>
  <c r="D349" i="25"/>
  <c r="D350" i="25"/>
  <c r="D351" i="25"/>
  <c r="D352" i="25"/>
  <c r="D353" i="25"/>
  <c r="D354" i="25"/>
  <c r="D355" i="25"/>
  <c r="D356" i="25"/>
  <c r="D357" i="25"/>
  <c r="D358" i="25"/>
  <c r="D359" i="25"/>
  <c r="D360" i="25"/>
  <c r="D361" i="25"/>
  <c r="D362" i="25"/>
  <c r="D363" i="25"/>
  <c r="D364" i="25"/>
  <c r="D365" i="25"/>
  <c r="D366" i="25"/>
  <c r="D367" i="25"/>
  <c r="D368" i="25"/>
  <c r="D369" i="25"/>
  <c r="D370" i="25"/>
  <c r="D371" i="25"/>
  <c r="D372" i="25"/>
  <c r="D373" i="25"/>
  <c r="D374" i="25"/>
  <c r="D375" i="25"/>
  <c r="D376" i="25"/>
  <c r="D377" i="25"/>
  <c r="D378" i="25"/>
  <c r="D379" i="25"/>
  <c r="D380" i="25"/>
  <c r="D381" i="25"/>
  <c r="D382" i="25"/>
  <c r="D383" i="25"/>
  <c r="D384" i="25"/>
  <c r="D385" i="25"/>
  <c r="D386" i="25"/>
  <c r="D387" i="25"/>
  <c r="D388" i="25"/>
  <c r="D389" i="25"/>
  <c r="D390" i="25"/>
  <c r="D391" i="25"/>
  <c r="D392" i="25"/>
  <c r="D393" i="25"/>
  <c r="D394" i="25"/>
  <c r="D395" i="25"/>
  <c r="D396" i="25"/>
  <c r="D397" i="25"/>
  <c r="D398" i="25"/>
  <c r="D399" i="25"/>
  <c r="D400" i="25"/>
  <c r="D401" i="25"/>
  <c r="D402" i="25"/>
  <c r="D403" i="25"/>
  <c r="D404" i="25"/>
  <c r="D405" i="25"/>
  <c r="D406" i="25"/>
  <c r="D407" i="25"/>
  <c r="D408" i="25"/>
  <c r="D409" i="25"/>
  <c r="D410" i="25"/>
  <c r="D411" i="25"/>
  <c r="D412" i="25"/>
  <c r="D413" i="25"/>
  <c r="D414" i="25"/>
  <c r="D415" i="25"/>
  <c r="D416" i="25"/>
  <c r="D417" i="25"/>
  <c r="D418" i="25"/>
  <c r="D419" i="25"/>
  <c r="D420" i="25"/>
  <c r="D421" i="25"/>
  <c r="D422" i="25"/>
  <c r="D423" i="25"/>
  <c r="D424" i="25"/>
  <c r="D425" i="25"/>
  <c r="D426" i="25"/>
  <c r="D427" i="25"/>
  <c r="D428" i="25"/>
  <c r="D429" i="25"/>
  <c r="D430" i="25"/>
  <c r="D431" i="25"/>
  <c r="D432" i="25"/>
  <c r="D433" i="25"/>
  <c r="D434" i="25"/>
  <c r="D435" i="25"/>
  <c r="D436" i="25"/>
  <c r="D437" i="25"/>
  <c r="D438" i="25"/>
  <c r="D439" i="25"/>
  <c r="D440" i="25"/>
  <c r="D441" i="25"/>
  <c r="D442" i="25"/>
  <c r="D443" i="25"/>
  <c r="D444" i="25"/>
  <c r="D445" i="25"/>
  <c r="D446" i="25"/>
  <c r="D447" i="25"/>
  <c r="D448" i="25"/>
  <c r="D449" i="25"/>
  <c r="D450" i="25"/>
  <c r="D451" i="25"/>
  <c r="D452" i="25"/>
  <c r="D453" i="25"/>
  <c r="D454" i="25"/>
  <c r="D455" i="25"/>
  <c r="D456" i="25"/>
  <c r="D457" i="25"/>
  <c r="D458" i="25"/>
  <c r="D459" i="25"/>
  <c r="D460" i="25"/>
  <c r="D461" i="25"/>
  <c r="D462" i="25"/>
  <c r="D463" i="25"/>
  <c r="D464" i="25"/>
  <c r="D465" i="25"/>
  <c r="D466" i="25"/>
  <c r="D467" i="25"/>
  <c r="D468" i="25"/>
  <c r="D469" i="25"/>
  <c r="D470" i="25"/>
  <c r="D471" i="25"/>
  <c r="D472" i="25"/>
  <c r="D473" i="25"/>
  <c r="D474" i="25"/>
  <c r="D475" i="25"/>
  <c r="D476" i="25"/>
  <c r="D477" i="25"/>
  <c r="D478" i="25"/>
  <c r="D479" i="25"/>
  <c r="D480" i="25"/>
  <c r="D481" i="25"/>
  <c r="D482" i="25"/>
  <c r="D483" i="25"/>
  <c r="D484" i="25"/>
  <c r="D485" i="25"/>
  <c r="D486" i="25"/>
  <c r="D487" i="25"/>
  <c r="D488" i="25"/>
  <c r="D489" i="25"/>
  <c r="D490" i="25"/>
  <c r="D491" i="25"/>
  <c r="D492" i="25"/>
  <c r="D493" i="25"/>
  <c r="D494" i="25"/>
  <c r="D495" i="25"/>
  <c r="D496" i="25"/>
  <c r="D497" i="25"/>
  <c r="D498" i="25"/>
  <c r="D499" i="25"/>
  <c r="D500" i="25"/>
  <c r="D501" i="25"/>
  <c r="D502" i="25"/>
  <c r="D503" i="25"/>
  <c r="D504" i="25"/>
  <c r="D505" i="25"/>
  <c r="D506" i="25"/>
  <c r="D507" i="25"/>
  <c r="D508" i="25"/>
  <c r="D509" i="25"/>
  <c r="D510" i="25"/>
  <c r="D511" i="25"/>
  <c r="D512" i="25"/>
  <c r="D513" i="25"/>
  <c r="D514" i="25"/>
  <c r="D515" i="25"/>
  <c r="D516" i="25"/>
  <c r="D517" i="25"/>
  <c r="D518" i="25"/>
  <c r="D519" i="25"/>
  <c r="D520" i="25"/>
  <c r="D521" i="25"/>
  <c r="D522" i="25"/>
  <c r="D523" i="25"/>
  <c r="D524" i="25"/>
  <c r="D525" i="25"/>
  <c r="D526" i="25"/>
  <c r="D527" i="25"/>
  <c r="D528" i="25"/>
  <c r="D529" i="25"/>
  <c r="D530" i="25"/>
  <c r="D531" i="25"/>
  <c r="D532" i="25"/>
  <c r="D533" i="25"/>
  <c r="D534" i="25"/>
  <c r="D535" i="25"/>
  <c r="D536" i="25"/>
  <c r="D537" i="25"/>
  <c r="D538" i="25"/>
  <c r="D539" i="25"/>
  <c r="D540" i="25"/>
  <c r="D541" i="25"/>
  <c r="D542" i="25"/>
  <c r="D543" i="25"/>
  <c r="D544" i="25"/>
  <c r="D545" i="25"/>
  <c r="D546" i="25"/>
  <c r="D547" i="25"/>
  <c r="D548" i="25"/>
  <c r="D549" i="25"/>
  <c r="D550" i="25"/>
  <c r="D551" i="25"/>
  <c r="D552" i="25"/>
  <c r="D553" i="25"/>
  <c r="D554" i="25"/>
  <c r="D555" i="25"/>
  <c r="D556" i="25"/>
  <c r="D557" i="25"/>
  <c r="D558" i="25"/>
  <c r="D559" i="25"/>
  <c r="D560" i="25"/>
  <c r="D561" i="25"/>
  <c r="D562" i="25"/>
  <c r="D563" i="25"/>
  <c r="D564" i="25"/>
  <c r="D565" i="25"/>
  <c r="D566" i="25"/>
  <c r="D567" i="25"/>
  <c r="D568" i="25"/>
  <c r="D569" i="25"/>
  <c r="D570" i="25"/>
  <c r="D571" i="25"/>
  <c r="D572" i="25"/>
  <c r="D573" i="25"/>
  <c r="D574" i="25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587" i="25"/>
  <c r="D588" i="25"/>
  <c r="D589" i="25"/>
  <c r="D590" i="25"/>
  <c r="D591" i="25"/>
  <c r="D592" i="25"/>
  <c r="D593" i="25"/>
  <c r="D594" i="25"/>
  <c r="D595" i="25"/>
  <c r="D596" i="25"/>
  <c r="D597" i="25"/>
  <c r="D598" i="25"/>
  <c r="D599" i="25"/>
  <c r="D600" i="25"/>
  <c r="D601" i="25"/>
  <c r="D602" i="25"/>
  <c r="D603" i="25"/>
  <c r="D604" i="25"/>
  <c r="D605" i="25"/>
  <c r="D606" i="25"/>
  <c r="D607" i="25"/>
  <c r="D608" i="25"/>
  <c r="D609" i="25"/>
  <c r="D610" i="25"/>
  <c r="D611" i="25"/>
  <c r="D612" i="25"/>
  <c r="D613" i="25"/>
  <c r="D614" i="25"/>
  <c r="D615" i="25"/>
  <c r="D616" i="25"/>
  <c r="D617" i="25"/>
  <c r="D618" i="25"/>
  <c r="D619" i="25"/>
  <c r="D620" i="25"/>
  <c r="D621" i="25"/>
  <c r="D622" i="25"/>
  <c r="D623" i="25"/>
  <c r="D624" i="25"/>
  <c r="D625" i="25"/>
  <c r="D626" i="25"/>
  <c r="D627" i="25"/>
  <c r="D628" i="25"/>
  <c r="D629" i="25"/>
  <c r="D630" i="25"/>
  <c r="D631" i="25"/>
  <c r="D632" i="25"/>
  <c r="D633" i="25"/>
  <c r="D634" i="25"/>
  <c r="D635" i="25"/>
  <c r="D636" i="25"/>
  <c r="D637" i="25"/>
  <c r="D638" i="25"/>
  <c r="D639" i="25"/>
  <c r="D640" i="25"/>
  <c r="D641" i="25"/>
  <c r="D642" i="25"/>
  <c r="D643" i="25"/>
  <c r="D644" i="25"/>
  <c r="D645" i="25"/>
  <c r="D646" i="25"/>
  <c r="D647" i="25"/>
  <c r="D648" i="25"/>
  <c r="D649" i="25"/>
  <c r="D650" i="25"/>
  <c r="D651" i="25"/>
  <c r="D652" i="25"/>
  <c r="D653" i="25"/>
  <c r="D654" i="25"/>
  <c r="D655" i="25"/>
  <c r="D656" i="25"/>
  <c r="D657" i="25"/>
  <c r="D658" i="25"/>
  <c r="D659" i="25"/>
  <c r="D660" i="25"/>
  <c r="D661" i="25"/>
  <c r="D662" i="25"/>
  <c r="D663" i="25"/>
  <c r="D664" i="25"/>
  <c r="D665" i="25"/>
  <c r="D666" i="25"/>
  <c r="D667" i="25"/>
  <c r="D668" i="25"/>
  <c r="D669" i="25"/>
  <c r="D670" i="25"/>
  <c r="D671" i="25"/>
  <c r="D672" i="25"/>
  <c r="D673" i="25"/>
  <c r="D674" i="25"/>
  <c r="D675" i="25"/>
  <c r="D676" i="25"/>
  <c r="D677" i="25"/>
  <c r="D678" i="25"/>
  <c r="D679" i="25"/>
  <c r="D680" i="25"/>
  <c r="D681" i="25"/>
  <c r="D682" i="25"/>
  <c r="D683" i="25"/>
  <c r="D684" i="25"/>
  <c r="D685" i="25"/>
  <c r="D686" i="25"/>
  <c r="D687" i="25"/>
  <c r="D688" i="25"/>
  <c r="D689" i="25"/>
  <c r="D690" i="25"/>
  <c r="D691" i="25"/>
  <c r="D692" i="25"/>
  <c r="D693" i="25"/>
  <c r="D694" i="25"/>
  <c r="D695" i="25"/>
  <c r="D696" i="25"/>
  <c r="D697" i="25"/>
  <c r="D698" i="25"/>
  <c r="D699" i="25"/>
  <c r="D700" i="25"/>
  <c r="D701" i="25"/>
  <c r="D702" i="25"/>
  <c r="D703" i="25"/>
  <c r="D704" i="25"/>
  <c r="D705" i="25"/>
  <c r="D706" i="25"/>
  <c r="D707" i="25"/>
  <c r="D708" i="25"/>
  <c r="D709" i="25"/>
  <c r="D710" i="25"/>
  <c r="D711" i="25"/>
  <c r="D712" i="25"/>
  <c r="D713" i="25"/>
  <c r="D714" i="25"/>
  <c r="D715" i="25"/>
  <c r="D716" i="25"/>
  <c r="D717" i="25"/>
  <c r="D718" i="25"/>
  <c r="D719" i="25"/>
  <c r="D720" i="25"/>
  <c r="D721" i="25"/>
  <c r="D722" i="25"/>
  <c r="D723" i="25"/>
  <c r="D724" i="25"/>
  <c r="D725" i="25"/>
  <c r="D726" i="25"/>
  <c r="D727" i="25"/>
  <c r="D728" i="25"/>
  <c r="D729" i="25"/>
  <c r="D730" i="25"/>
  <c r="D731" i="25"/>
  <c r="D732" i="25"/>
  <c r="D733" i="25"/>
  <c r="D734" i="25"/>
  <c r="D735" i="25"/>
  <c r="D736" i="25"/>
  <c r="D737" i="25"/>
  <c r="D738" i="25"/>
  <c r="D739" i="25"/>
  <c r="D740" i="25"/>
  <c r="D741" i="25"/>
  <c r="D742" i="25"/>
  <c r="D743" i="25"/>
  <c r="D744" i="25"/>
  <c r="D745" i="25"/>
  <c r="D746" i="25"/>
  <c r="D747" i="25"/>
  <c r="D748" i="25"/>
  <c r="D749" i="25"/>
  <c r="D750" i="25"/>
  <c r="D751" i="25"/>
  <c r="D752" i="25"/>
  <c r="D753" i="25"/>
  <c r="D754" i="25"/>
  <c r="D755" i="25"/>
  <c r="D756" i="25"/>
  <c r="D757" i="25"/>
  <c r="D758" i="25"/>
  <c r="D759" i="25"/>
  <c r="D760" i="25"/>
  <c r="D761" i="25"/>
  <c r="D762" i="25"/>
  <c r="D763" i="25"/>
  <c r="D764" i="25"/>
  <c r="D765" i="25"/>
  <c r="D766" i="25"/>
  <c r="D767" i="25"/>
  <c r="D768" i="25"/>
  <c r="D769" i="25"/>
  <c r="D770" i="25"/>
  <c r="D771" i="25"/>
  <c r="D772" i="25"/>
  <c r="D773" i="25"/>
  <c r="D774" i="25"/>
  <c r="D775" i="25"/>
  <c r="D776" i="25"/>
  <c r="D777" i="25"/>
  <c r="D778" i="25"/>
  <c r="D779" i="25"/>
  <c r="D780" i="25"/>
  <c r="D781" i="25"/>
  <c r="D782" i="25"/>
  <c r="D783" i="25"/>
  <c r="D784" i="25"/>
  <c r="D785" i="25"/>
  <c r="D786" i="25"/>
  <c r="D787" i="25"/>
  <c r="D788" i="25"/>
  <c r="D789" i="25"/>
  <c r="D790" i="25"/>
  <c r="D791" i="25"/>
  <c r="D792" i="25"/>
  <c r="D793" i="25"/>
  <c r="D794" i="25"/>
  <c r="D795" i="25"/>
  <c r="D796" i="25"/>
  <c r="D797" i="25"/>
  <c r="D798" i="25"/>
  <c r="D799" i="25"/>
  <c r="D800" i="25"/>
  <c r="D801" i="25"/>
  <c r="D802" i="25"/>
  <c r="D803" i="25"/>
  <c r="D804" i="25"/>
  <c r="D805" i="25"/>
  <c r="D806" i="25"/>
  <c r="D807" i="25"/>
  <c r="D808" i="25"/>
  <c r="D809" i="25"/>
  <c r="D810" i="25"/>
  <c r="D811" i="25"/>
  <c r="D812" i="25"/>
  <c r="D813" i="25"/>
  <c r="D814" i="25"/>
  <c r="D815" i="25"/>
  <c r="D816" i="25"/>
  <c r="D817" i="25"/>
  <c r="D818" i="25"/>
  <c r="D819" i="25"/>
  <c r="D820" i="25"/>
  <c r="D821" i="25"/>
  <c r="D822" i="25"/>
  <c r="D823" i="25"/>
  <c r="D824" i="25"/>
  <c r="D825" i="25"/>
  <c r="D826" i="25"/>
  <c r="D827" i="25"/>
  <c r="D828" i="25"/>
  <c r="D829" i="25"/>
  <c r="D830" i="25"/>
  <c r="D831" i="25"/>
  <c r="D832" i="25"/>
  <c r="D833" i="25"/>
  <c r="D834" i="25"/>
  <c r="D835" i="25"/>
  <c r="D836" i="25"/>
  <c r="D837" i="25"/>
  <c r="D838" i="25"/>
  <c r="D839" i="25"/>
  <c r="D840" i="25"/>
  <c r="D841" i="25"/>
  <c r="D842" i="25"/>
  <c r="D843" i="25"/>
  <c r="D844" i="25"/>
  <c r="D845" i="25"/>
  <c r="D846" i="25"/>
  <c r="D847" i="25"/>
  <c r="D848" i="25"/>
  <c r="D849" i="25"/>
  <c r="D850" i="25"/>
  <c r="D851" i="25"/>
  <c r="D852" i="25"/>
  <c r="D853" i="25"/>
  <c r="D854" i="25"/>
  <c r="D855" i="25"/>
  <c r="D856" i="25"/>
  <c r="D857" i="25"/>
  <c r="D858" i="25"/>
  <c r="D859" i="25"/>
  <c r="D860" i="25"/>
  <c r="D861" i="25"/>
  <c r="D862" i="25"/>
  <c r="D863" i="25"/>
  <c r="D864" i="25"/>
  <c r="D865" i="25"/>
  <c r="D866" i="25"/>
  <c r="D867" i="25"/>
  <c r="D868" i="25"/>
  <c r="D869" i="25"/>
  <c r="D870" i="25"/>
  <c r="D871" i="25"/>
  <c r="D872" i="25"/>
  <c r="D873" i="25"/>
  <c r="D874" i="25"/>
  <c r="D875" i="25"/>
  <c r="D876" i="25"/>
  <c r="D877" i="25"/>
  <c r="D878" i="25"/>
  <c r="D879" i="25"/>
  <c r="D880" i="25"/>
  <c r="D881" i="25"/>
  <c r="D882" i="25"/>
  <c r="D883" i="25"/>
  <c r="D884" i="25"/>
  <c r="D885" i="25"/>
  <c r="D886" i="25"/>
  <c r="D887" i="25"/>
  <c r="D888" i="25"/>
  <c r="D889" i="25"/>
  <c r="D890" i="25"/>
  <c r="D891" i="25"/>
  <c r="D892" i="25"/>
  <c r="D893" i="25"/>
  <c r="D894" i="25"/>
  <c r="D895" i="25"/>
  <c r="D896" i="25"/>
  <c r="D897" i="25"/>
  <c r="D898" i="25"/>
  <c r="D899" i="25"/>
  <c r="D900" i="25"/>
  <c r="D901" i="25"/>
  <c r="D902" i="25"/>
  <c r="D903" i="25"/>
  <c r="D904" i="25"/>
  <c r="D905" i="25"/>
  <c r="D906" i="25"/>
  <c r="D907" i="25"/>
  <c r="D908" i="25"/>
  <c r="D909" i="25"/>
  <c r="D910" i="25"/>
  <c r="D911" i="25"/>
  <c r="D912" i="25"/>
  <c r="D913" i="25"/>
  <c r="D914" i="25"/>
  <c r="D915" i="25"/>
  <c r="D916" i="25"/>
  <c r="D917" i="25"/>
  <c r="D918" i="25"/>
  <c r="D919" i="25"/>
  <c r="D920" i="25"/>
  <c r="D921" i="25"/>
  <c r="D922" i="25"/>
  <c r="D923" i="25"/>
  <c r="D924" i="25"/>
  <c r="D925" i="25"/>
  <c r="D926" i="25"/>
  <c r="D927" i="25"/>
  <c r="D928" i="25"/>
  <c r="D929" i="25"/>
  <c r="D930" i="25"/>
  <c r="D931" i="25"/>
  <c r="D932" i="25"/>
  <c r="D933" i="25"/>
  <c r="D934" i="25"/>
  <c r="D935" i="25"/>
  <c r="D936" i="25"/>
  <c r="D937" i="25"/>
  <c r="D938" i="25"/>
  <c r="D939" i="25"/>
  <c r="D940" i="25"/>
  <c r="D941" i="25"/>
  <c r="D942" i="25"/>
  <c r="D943" i="25"/>
  <c r="D944" i="25"/>
  <c r="D945" i="25"/>
  <c r="D946" i="25"/>
  <c r="D947" i="25"/>
  <c r="D948" i="25"/>
  <c r="D949" i="25"/>
  <c r="D950" i="25"/>
  <c r="D951" i="25"/>
  <c r="D952" i="25"/>
  <c r="D953" i="25"/>
  <c r="D954" i="25"/>
  <c r="D955" i="25"/>
  <c r="D956" i="25"/>
  <c r="D957" i="25"/>
  <c r="D958" i="25"/>
  <c r="D959" i="25"/>
  <c r="D960" i="25"/>
  <c r="D961" i="25"/>
  <c r="D962" i="25"/>
  <c r="D963" i="25"/>
  <c r="D964" i="25"/>
  <c r="D965" i="25"/>
  <c r="D966" i="25"/>
  <c r="D967" i="25"/>
  <c r="D968" i="25"/>
  <c r="D969" i="25"/>
  <c r="D970" i="25"/>
  <c r="D971" i="25"/>
  <c r="D972" i="25"/>
  <c r="D973" i="25"/>
  <c r="D974" i="25"/>
  <c r="D975" i="25"/>
  <c r="D976" i="25"/>
  <c r="D977" i="25"/>
  <c r="D978" i="25"/>
  <c r="D979" i="25"/>
  <c r="D980" i="25"/>
  <c r="D981" i="25"/>
  <c r="D982" i="25"/>
  <c r="D983" i="25"/>
  <c r="D984" i="25"/>
  <c r="D985" i="25"/>
  <c r="D986" i="25"/>
  <c r="D987" i="25"/>
  <c r="D988" i="25"/>
  <c r="D989" i="25"/>
  <c r="D990" i="25"/>
  <c r="D991" i="25"/>
  <c r="D992" i="25"/>
  <c r="D993" i="25"/>
  <c r="D994" i="25"/>
  <c r="D995" i="25"/>
  <c r="D996" i="25"/>
  <c r="D997" i="25"/>
  <c r="D998" i="25"/>
  <c r="D999" i="25"/>
  <c r="D1000" i="25"/>
  <c r="D1001" i="25"/>
  <c r="D1002" i="25"/>
  <c r="D1003" i="25"/>
  <c r="D1004" i="25"/>
  <c r="D1005" i="25"/>
  <c r="D1006" i="25"/>
  <c r="D1007" i="25"/>
  <c r="D1008" i="25"/>
  <c r="D1009" i="25"/>
  <c r="D1010" i="25"/>
  <c r="D1011" i="25"/>
  <c r="D1012" i="25"/>
  <c r="D1013" i="25"/>
  <c r="D1014" i="25"/>
  <c r="D1015" i="25"/>
  <c r="D1016" i="25"/>
  <c r="D1017" i="25"/>
  <c r="D1018" i="25"/>
  <c r="D1019" i="25"/>
  <c r="D1020" i="25"/>
  <c r="D1021" i="25"/>
  <c r="D1022" i="25"/>
  <c r="D1023" i="25"/>
  <c r="D1024" i="25"/>
  <c r="D1025" i="25"/>
  <c r="D1026" i="25"/>
  <c r="D1027" i="25"/>
  <c r="D1028" i="25"/>
  <c r="D1029" i="25"/>
  <c r="D1030" i="25"/>
  <c r="D1031" i="25"/>
  <c r="D1032" i="25"/>
  <c r="D1033" i="25"/>
  <c r="D1034" i="25"/>
  <c r="D1035" i="25"/>
  <c r="D1036" i="25"/>
  <c r="D1037" i="25"/>
  <c r="D1038" i="25"/>
  <c r="D1039" i="25"/>
  <c r="D1040" i="25"/>
  <c r="D1041" i="25"/>
  <c r="D1042" i="25"/>
  <c r="D1043" i="25"/>
  <c r="D1044" i="25"/>
  <c r="D1045" i="25"/>
  <c r="D1046" i="25"/>
  <c r="D1047" i="25"/>
  <c r="D1048" i="25"/>
  <c r="D1049" i="25"/>
  <c r="D1050" i="25"/>
  <c r="D1051" i="25"/>
  <c r="D1052" i="25"/>
  <c r="D1053" i="25"/>
  <c r="D1054" i="25"/>
  <c r="D1055" i="25"/>
  <c r="D1056" i="25"/>
  <c r="D1057" i="25"/>
  <c r="D1058" i="25"/>
  <c r="D1059" i="25"/>
  <c r="D1060" i="25"/>
  <c r="D1061" i="25"/>
  <c r="D1062" i="25"/>
  <c r="D1063" i="25"/>
  <c r="D1064" i="25"/>
  <c r="D1065" i="25"/>
  <c r="D1066" i="25"/>
  <c r="D1067" i="25"/>
  <c r="D1068" i="25"/>
  <c r="D1069" i="25"/>
  <c r="D1070" i="25"/>
  <c r="D1071" i="25"/>
  <c r="D1072" i="25"/>
  <c r="D1073" i="25"/>
  <c r="D1074" i="25"/>
  <c r="D1075" i="25"/>
  <c r="D1076" i="25"/>
  <c r="D1077" i="25"/>
  <c r="D1078" i="25"/>
  <c r="D1079" i="25"/>
  <c r="D1080" i="25"/>
  <c r="D1081" i="25"/>
  <c r="D1082" i="25"/>
  <c r="D1083" i="25"/>
  <c r="D1084" i="25"/>
  <c r="D1085" i="25"/>
  <c r="D1086" i="25"/>
  <c r="D1087" i="25"/>
  <c r="D1088" i="25"/>
  <c r="D1089" i="25"/>
  <c r="D1090" i="25"/>
  <c r="D1091" i="25"/>
  <c r="D1092" i="25"/>
  <c r="D1093" i="25"/>
  <c r="D1094" i="25"/>
  <c r="D1095" i="25"/>
  <c r="D1096" i="25"/>
  <c r="D1097" i="25"/>
  <c r="D1098" i="25"/>
  <c r="D1099" i="25"/>
  <c r="D1100" i="25"/>
  <c r="D1101" i="25"/>
  <c r="D1102" i="25"/>
  <c r="D1103" i="25"/>
  <c r="D1104" i="25"/>
  <c r="D1105" i="25"/>
  <c r="D1106" i="25"/>
  <c r="D1107" i="25"/>
  <c r="D1108" i="25"/>
  <c r="D1109" i="25"/>
  <c r="D1110" i="25"/>
  <c r="D1111" i="25"/>
  <c r="D1112" i="25"/>
  <c r="D1113" i="25"/>
  <c r="D1114" i="25"/>
  <c r="D1115" i="25"/>
  <c r="D1116" i="25"/>
  <c r="D1117" i="25"/>
  <c r="D1118" i="25"/>
  <c r="D1119" i="25"/>
  <c r="D1120" i="25"/>
  <c r="D1121" i="25"/>
  <c r="D1122" i="25"/>
  <c r="D1123" i="25"/>
  <c r="D1124" i="25"/>
  <c r="D1125" i="25"/>
  <c r="D1126" i="25"/>
  <c r="D1127" i="25"/>
  <c r="D1128" i="25"/>
  <c r="D1129" i="25"/>
  <c r="D1130" i="25"/>
  <c r="D1131" i="25"/>
  <c r="D1132" i="25"/>
  <c r="D1133" i="25"/>
  <c r="D1134" i="25"/>
  <c r="D1135" i="25"/>
  <c r="D1136" i="25"/>
  <c r="D1137" i="25"/>
  <c r="D1138" i="25"/>
  <c r="D1139" i="25"/>
  <c r="D1140" i="25"/>
  <c r="D1141" i="25"/>
  <c r="D1142" i="25"/>
  <c r="D1143" i="25"/>
  <c r="D1144" i="25"/>
  <c r="D1145" i="25"/>
  <c r="D1146" i="25"/>
  <c r="D1147" i="25"/>
  <c r="D1148" i="25"/>
  <c r="D1149" i="25"/>
  <c r="D1150" i="25"/>
  <c r="D1151" i="25"/>
  <c r="D1152" i="25"/>
  <c r="D1153" i="25"/>
  <c r="D1154" i="25"/>
  <c r="D1155" i="25"/>
  <c r="D1156" i="25"/>
  <c r="D1157" i="25"/>
  <c r="D1158" i="25"/>
  <c r="D1159" i="25"/>
  <c r="D1160" i="25"/>
  <c r="D1161" i="25"/>
  <c r="D1162" i="25"/>
  <c r="D1163" i="25"/>
  <c r="D1164" i="25"/>
  <c r="D1165" i="25"/>
  <c r="D1166" i="25"/>
  <c r="D1167" i="25"/>
  <c r="D1168" i="25"/>
  <c r="D1169" i="25"/>
  <c r="D1170" i="25"/>
  <c r="D1171" i="25"/>
  <c r="D1172" i="25"/>
  <c r="D1173" i="25"/>
  <c r="D1174" i="25"/>
  <c r="D1175" i="25"/>
  <c r="D1176" i="25"/>
  <c r="D1177" i="25"/>
  <c r="D1178" i="25"/>
  <c r="D1179" i="25"/>
  <c r="D1180" i="25"/>
  <c r="D1181" i="25"/>
  <c r="D1182" i="25"/>
  <c r="D1183" i="25"/>
  <c r="D1184" i="25"/>
  <c r="D1185" i="25"/>
  <c r="D1186" i="25"/>
  <c r="D1187" i="25"/>
  <c r="D1188" i="25"/>
  <c r="D1189" i="25"/>
  <c r="D1190" i="25"/>
  <c r="D1191" i="25"/>
  <c r="D1192" i="25"/>
  <c r="D1193" i="25"/>
  <c r="D1194" i="25"/>
  <c r="D1195" i="25"/>
  <c r="D1196" i="25"/>
  <c r="D1197" i="25"/>
  <c r="D1198" i="25"/>
  <c r="D1199" i="25"/>
  <c r="D1200" i="25"/>
  <c r="D1201" i="25"/>
  <c r="D1202" i="25"/>
  <c r="D1203" i="25"/>
  <c r="D1204" i="25"/>
  <c r="D1205" i="25"/>
  <c r="D1206" i="25"/>
  <c r="D1207" i="25"/>
  <c r="D1208" i="25"/>
  <c r="D1209" i="25"/>
  <c r="D1210" i="25"/>
  <c r="D1211" i="25"/>
  <c r="D1212" i="25"/>
  <c r="D1213" i="25"/>
  <c r="D1214" i="25"/>
  <c r="D1215" i="25"/>
  <c r="D1216" i="25"/>
  <c r="D1217" i="25"/>
  <c r="D1218" i="25"/>
  <c r="D1219" i="25"/>
  <c r="D1220" i="25"/>
  <c r="D1221" i="25"/>
  <c r="D1222" i="25"/>
  <c r="D1223" i="25"/>
  <c r="D1224" i="25"/>
  <c r="D1225" i="25"/>
  <c r="D1226" i="25"/>
  <c r="D1227" i="25"/>
  <c r="D1228" i="25"/>
  <c r="D1229" i="25"/>
  <c r="D1230" i="25"/>
  <c r="D1231" i="25"/>
  <c r="D1232" i="25"/>
  <c r="D1233" i="25"/>
  <c r="D1234" i="25"/>
  <c r="D1235" i="25"/>
  <c r="D1236" i="25"/>
  <c r="D1237" i="25"/>
  <c r="D1238" i="25"/>
  <c r="D1239" i="25"/>
  <c r="D1240" i="25"/>
  <c r="D1241" i="25"/>
  <c r="D1242" i="25"/>
  <c r="D1243" i="25"/>
  <c r="D1244" i="25"/>
  <c r="D1245" i="25"/>
  <c r="D1246" i="25"/>
  <c r="D1247" i="25"/>
  <c r="D1248" i="25"/>
  <c r="D1249" i="25"/>
  <c r="D1250" i="25"/>
  <c r="D1251" i="25"/>
  <c r="D1252" i="25"/>
  <c r="D1253" i="25"/>
  <c r="D1254" i="25"/>
  <c r="D1255" i="25"/>
  <c r="D1256" i="25"/>
  <c r="D1257" i="25"/>
  <c r="D1258" i="25"/>
  <c r="D1259" i="25"/>
  <c r="D1260" i="25"/>
  <c r="D1261" i="25"/>
  <c r="D1262" i="25"/>
  <c r="D1263" i="25"/>
  <c r="D1264" i="25"/>
  <c r="D1265" i="25"/>
  <c r="D1266" i="25"/>
  <c r="D1267" i="25"/>
  <c r="D1268" i="25"/>
  <c r="D1269" i="25"/>
  <c r="D1270" i="25"/>
  <c r="D1271" i="25"/>
  <c r="D1272" i="25"/>
  <c r="D1273" i="25"/>
  <c r="D1274" i="25"/>
  <c r="D1275" i="25"/>
  <c r="D1276" i="25"/>
  <c r="D1277" i="25"/>
  <c r="D1278" i="25"/>
  <c r="D1279" i="25"/>
  <c r="D1280" i="25"/>
  <c r="D1281" i="25"/>
  <c r="D1282" i="25"/>
  <c r="D1283" i="25"/>
  <c r="D1284" i="25"/>
  <c r="D1285" i="25"/>
  <c r="D1286" i="25"/>
  <c r="D1287" i="25"/>
  <c r="D1288" i="25"/>
  <c r="D1289" i="25"/>
  <c r="D1290" i="25"/>
  <c r="D1291" i="25"/>
  <c r="D1292" i="25"/>
  <c r="D1293" i="25"/>
  <c r="D1294" i="25"/>
  <c r="D1295" i="25"/>
  <c r="D1296" i="25"/>
  <c r="D1297" i="25"/>
  <c r="D1298" i="25"/>
  <c r="D1299" i="25"/>
  <c r="D1300" i="25"/>
  <c r="D1301" i="25"/>
  <c r="D1302" i="25"/>
  <c r="D1303" i="25"/>
  <c r="D1304" i="25"/>
  <c r="D1305" i="25"/>
  <c r="D1306" i="25"/>
  <c r="D1307" i="25"/>
  <c r="D1308" i="25"/>
  <c r="D1309" i="25"/>
  <c r="D1310" i="25"/>
  <c r="D1311" i="25"/>
  <c r="D1312" i="25"/>
  <c r="D1313" i="25"/>
  <c r="D1314" i="25"/>
  <c r="D1315" i="25"/>
  <c r="D1316" i="25"/>
  <c r="D1317" i="25"/>
  <c r="D1318" i="25"/>
  <c r="D1319" i="25"/>
  <c r="D1320" i="25"/>
  <c r="D1321" i="25"/>
  <c r="D1322" i="25"/>
  <c r="D1323" i="25"/>
  <c r="D1324" i="25"/>
  <c r="D1325" i="25"/>
  <c r="D1326" i="25"/>
  <c r="D1327" i="25"/>
  <c r="D1328" i="25"/>
  <c r="D1329" i="25"/>
  <c r="D1330" i="25"/>
  <c r="D1331" i="25"/>
  <c r="D1332" i="25"/>
  <c r="D1333" i="25"/>
  <c r="D1334" i="25"/>
  <c r="D1335" i="25"/>
  <c r="D1336" i="25"/>
  <c r="D1337" i="25"/>
  <c r="D1338" i="25"/>
  <c r="D1339" i="25"/>
  <c r="D1340" i="25"/>
  <c r="D1341" i="25"/>
  <c r="D1342" i="25"/>
  <c r="D1343" i="25"/>
  <c r="D1344" i="25"/>
  <c r="D1345" i="25"/>
  <c r="D1346" i="25"/>
  <c r="D1347" i="25"/>
  <c r="D1348" i="25"/>
  <c r="D1349" i="25"/>
  <c r="D1350" i="25"/>
  <c r="D1351" i="25"/>
  <c r="D1352" i="25"/>
  <c r="D1353" i="25"/>
  <c r="D1354" i="25"/>
  <c r="D1355" i="25"/>
  <c r="D1356" i="25"/>
  <c r="D1357" i="25"/>
  <c r="D1358" i="25"/>
  <c r="D1359" i="25"/>
  <c r="D1360" i="25"/>
  <c r="D1361" i="25"/>
  <c r="D1362" i="25"/>
  <c r="D1363" i="25"/>
  <c r="D1364" i="25"/>
  <c r="D1365" i="25"/>
  <c r="D1366" i="25"/>
  <c r="D1367" i="25"/>
  <c r="D1368" i="25"/>
  <c r="D1369" i="25"/>
  <c r="D1370" i="25"/>
  <c r="D1371" i="25"/>
  <c r="D1372" i="25"/>
  <c r="D1373" i="25"/>
  <c r="D1374" i="25"/>
  <c r="D1375" i="25"/>
  <c r="D1376" i="25"/>
  <c r="D1377" i="25"/>
  <c r="D1378" i="25"/>
  <c r="D1379" i="25"/>
  <c r="D1380" i="25"/>
  <c r="D1381" i="25"/>
  <c r="D1382" i="25"/>
  <c r="D1383" i="25"/>
  <c r="D1384" i="25"/>
  <c r="D1385" i="25"/>
  <c r="D1386" i="25"/>
  <c r="D1387" i="25"/>
  <c r="D1388" i="25"/>
  <c r="D1389" i="25"/>
  <c r="D1390" i="25"/>
  <c r="D1391" i="25"/>
  <c r="D1392" i="25"/>
  <c r="D1393" i="25"/>
  <c r="D1394" i="25"/>
  <c r="D1395" i="25"/>
  <c r="D1396" i="25"/>
  <c r="D1397" i="25"/>
  <c r="D1398" i="25"/>
  <c r="D1399" i="25"/>
  <c r="D1400" i="25"/>
  <c r="D1401" i="25"/>
  <c r="D1402" i="25"/>
  <c r="D1403" i="25"/>
  <c r="D1404" i="25"/>
  <c r="D1405" i="25"/>
  <c r="D1406" i="25"/>
  <c r="D1407" i="25"/>
  <c r="D1408" i="25"/>
  <c r="D1409" i="25"/>
  <c r="D1410" i="25"/>
  <c r="D1411" i="25"/>
  <c r="D1412" i="25"/>
  <c r="D1413" i="25"/>
  <c r="D1414" i="25"/>
  <c r="D1415" i="25"/>
  <c r="D1416" i="25"/>
  <c r="D1417" i="25"/>
  <c r="D1418" i="25"/>
  <c r="D1419" i="25"/>
  <c r="D1420" i="25"/>
  <c r="D1421" i="25"/>
  <c r="D1422" i="25"/>
  <c r="D1423" i="25"/>
  <c r="D1424" i="25"/>
  <c r="D1425" i="25"/>
  <c r="D1426" i="25"/>
  <c r="D1427" i="25"/>
  <c r="D1428" i="25"/>
  <c r="D1429" i="25"/>
  <c r="D1430" i="25"/>
  <c r="D1431" i="25"/>
  <c r="D1432" i="25"/>
  <c r="D1433" i="25"/>
  <c r="D1434" i="25"/>
  <c r="D1435" i="25"/>
  <c r="D1436" i="25"/>
  <c r="D1437" i="25"/>
  <c r="D1438" i="25"/>
  <c r="D1439" i="25"/>
  <c r="D1440" i="25"/>
  <c r="D1441" i="25"/>
  <c r="D1442" i="25"/>
  <c r="D1443" i="25"/>
  <c r="D1444" i="25"/>
  <c r="D1445" i="25"/>
  <c r="D1446" i="25"/>
  <c r="D1447" i="25"/>
  <c r="D1448" i="25"/>
  <c r="D1449" i="25"/>
  <c r="D1450" i="25"/>
  <c r="D1451" i="25"/>
  <c r="D1452" i="25"/>
  <c r="D1453" i="25"/>
  <c r="D1454" i="25"/>
  <c r="D1455" i="25"/>
  <c r="D1456" i="25"/>
  <c r="D1457" i="25"/>
  <c r="D1458" i="25"/>
  <c r="D1459" i="25"/>
  <c r="D1460" i="25"/>
  <c r="D1461" i="25"/>
  <c r="D1462" i="25"/>
  <c r="D1463" i="25"/>
  <c r="D1464" i="25"/>
  <c r="D1465" i="25"/>
  <c r="D1466" i="25"/>
  <c r="D1467" i="25"/>
  <c r="D1468" i="25"/>
  <c r="D1469" i="25"/>
  <c r="D1470" i="25"/>
  <c r="D1471" i="25"/>
  <c r="D1472" i="25"/>
  <c r="D1473" i="25"/>
  <c r="D1474" i="25"/>
  <c r="D1475" i="25"/>
  <c r="D1476" i="25"/>
  <c r="D1477" i="25"/>
  <c r="D1478" i="25"/>
  <c r="D1479" i="25"/>
  <c r="D1480" i="25"/>
  <c r="D1481" i="25"/>
  <c r="D1482" i="25"/>
  <c r="D1483" i="25"/>
  <c r="D1484" i="25"/>
  <c r="D1485" i="25"/>
  <c r="D1486" i="25"/>
  <c r="D1487" i="25"/>
  <c r="D1488" i="25"/>
  <c r="D1489" i="25"/>
  <c r="D1490" i="25"/>
  <c r="D1491" i="25"/>
  <c r="D1492" i="25"/>
  <c r="D1493" i="25"/>
  <c r="D1494" i="25"/>
  <c r="D1495" i="25"/>
  <c r="D1496" i="25"/>
  <c r="D1497" i="25"/>
  <c r="D1498" i="25"/>
  <c r="D1499" i="25"/>
  <c r="D1500" i="25"/>
  <c r="D1501" i="25"/>
  <c r="D1502" i="25"/>
  <c r="D1503" i="25"/>
  <c r="D1504" i="25"/>
  <c r="D1505" i="25"/>
  <c r="D1506" i="25"/>
  <c r="D1507" i="25"/>
  <c r="D1508" i="25"/>
  <c r="D1509" i="25"/>
  <c r="D1510" i="25"/>
  <c r="D1511" i="25"/>
  <c r="D1512" i="25"/>
  <c r="D1513" i="25"/>
  <c r="D1514" i="25"/>
  <c r="D1515" i="25"/>
  <c r="D1516" i="25"/>
  <c r="D1517" i="25"/>
  <c r="D1518" i="25"/>
  <c r="D1519" i="25"/>
  <c r="D1520" i="25"/>
  <c r="D1521" i="25"/>
  <c r="D1522" i="25"/>
  <c r="D1523" i="25"/>
  <c r="D1524" i="25"/>
  <c r="D1525" i="25"/>
  <c r="D1526" i="25"/>
  <c r="D1527" i="25"/>
  <c r="D1528" i="25"/>
  <c r="D1529" i="25"/>
  <c r="D1530" i="25"/>
  <c r="D1531" i="25"/>
  <c r="D1532" i="25"/>
  <c r="D1533" i="25"/>
  <c r="D1534" i="25"/>
  <c r="D1535" i="25"/>
  <c r="D1536" i="25"/>
  <c r="D1537" i="25"/>
  <c r="D1538" i="25"/>
  <c r="D1539" i="25"/>
  <c r="D1540" i="25"/>
  <c r="D1541" i="25"/>
  <c r="D1542" i="25"/>
  <c r="D1543" i="25"/>
  <c r="D1544" i="25"/>
  <c r="D1545" i="25"/>
  <c r="D1546" i="25"/>
  <c r="D1547" i="25"/>
  <c r="D1548" i="25"/>
  <c r="D1549" i="25"/>
  <c r="D1550" i="25"/>
  <c r="D1551" i="25"/>
  <c r="D1552" i="25"/>
  <c r="D1553" i="25"/>
  <c r="D1554" i="25"/>
  <c r="D1555" i="25"/>
  <c r="D1556" i="25"/>
  <c r="D1557" i="25"/>
  <c r="D1558" i="25"/>
  <c r="D1559" i="25"/>
  <c r="D1560" i="25"/>
  <c r="D1561" i="25"/>
  <c r="D1562" i="25"/>
  <c r="D1563" i="25"/>
  <c r="D1564" i="25"/>
  <c r="D1565" i="25"/>
  <c r="D1566" i="25"/>
  <c r="D1567" i="25"/>
  <c r="D1568" i="25"/>
  <c r="D1569" i="25"/>
  <c r="D1570" i="25"/>
  <c r="D1571" i="25"/>
  <c r="D1572" i="25"/>
  <c r="D1573" i="25"/>
  <c r="D1574" i="25"/>
  <c r="D1575" i="25"/>
  <c r="D1576" i="25"/>
  <c r="D1577" i="25"/>
  <c r="D1578" i="25"/>
  <c r="D1579" i="25"/>
  <c r="D1580" i="25"/>
  <c r="D1581" i="25"/>
  <c r="D1582" i="25"/>
  <c r="D1583" i="25"/>
  <c r="D1584" i="25"/>
  <c r="D1585" i="25"/>
  <c r="D1586" i="25"/>
  <c r="D1587" i="25"/>
  <c r="D1588" i="25"/>
  <c r="D1589" i="25"/>
  <c r="D1590" i="25"/>
  <c r="D1591" i="25"/>
  <c r="D1592" i="25"/>
  <c r="D1593" i="25"/>
  <c r="D1594" i="25"/>
  <c r="D1595" i="25"/>
  <c r="D1596" i="25"/>
  <c r="D1597" i="25"/>
  <c r="D1598" i="25"/>
  <c r="D1599" i="25"/>
  <c r="D1600" i="25"/>
  <c r="D1601" i="25"/>
  <c r="D1602" i="25"/>
  <c r="D1603" i="25"/>
  <c r="D1604" i="25"/>
  <c r="D1605" i="25"/>
  <c r="D1606" i="25"/>
  <c r="D1607" i="25"/>
  <c r="D1608" i="25"/>
  <c r="D1609" i="25"/>
  <c r="D1610" i="25"/>
  <c r="D1611" i="25"/>
  <c r="D1612" i="25"/>
  <c r="D1613" i="25"/>
  <c r="D1614" i="25"/>
  <c r="D1615" i="25"/>
  <c r="D1616" i="25"/>
  <c r="D1617" i="25"/>
  <c r="D1618" i="25"/>
  <c r="D1619" i="25"/>
  <c r="D1620" i="25"/>
  <c r="D1621" i="25"/>
  <c r="D1622" i="25"/>
  <c r="D1623" i="25"/>
  <c r="D1624" i="25"/>
  <c r="D1625" i="25"/>
  <c r="D1626" i="25"/>
  <c r="D1627" i="25"/>
  <c r="D1628" i="25"/>
  <c r="D1629" i="25"/>
  <c r="D1630" i="25"/>
  <c r="D1631" i="25"/>
  <c r="D1632" i="25"/>
  <c r="D1633" i="25"/>
  <c r="D1634" i="25"/>
  <c r="D1635" i="25"/>
  <c r="D1636" i="25"/>
  <c r="D1637" i="25"/>
  <c r="D1638" i="25"/>
  <c r="D1639" i="25"/>
  <c r="D1640" i="25"/>
  <c r="D1641" i="25"/>
  <c r="D1642" i="25"/>
  <c r="D1643" i="25"/>
  <c r="D1644" i="25"/>
  <c r="D1645" i="25"/>
  <c r="D1646" i="25"/>
  <c r="D1647" i="25"/>
  <c r="D1648" i="25"/>
  <c r="D1649" i="25"/>
  <c r="D1650" i="25"/>
  <c r="D1651" i="25"/>
  <c r="D1652" i="25"/>
  <c r="D1653" i="25"/>
  <c r="D1654" i="25"/>
  <c r="D1655" i="25"/>
  <c r="D1656" i="25"/>
  <c r="D1657" i="25"/>
  <c r="D1658" i="25"/>
  <c r="D1659" i="25"/>
  <c r="D1660" i="25"/>
  <c r="D1661" i="25"/>
  <c r="D1662" i="25"/>
  <c r="D1663" i="25"/>
  <c r="D1664" i="25"/>
  <c r="D1665" i="25"/>
  <c r="D1666" i="25"/>
  <c r="D1667" i="25"/>
  <c r="D1668" i="25"/>
  <c r="D1669" i="25"/>
  <c r="D1670" i="25"/>
  <c r="D1671" i="25"/>
  <c r="D1672" i="25"/>
  <c r="D1673" i="25"/>
  <c r="D1674" i="25"/>
  <c r="D1675" i="25"/>
  <c r="D1676" i="25"/>
  <c r="D1677" i="25"/>
  <c r="D1678" i="25"/>
  <c r="D1679" i="25"/>
  <c r="D1680" i="25"/>
  <c r="D1681" i="25"/>
  <c r="D1682" i="25"/>
  <c r="D1683" i="25"/>
  <c r="D1684" i="25"/>
  <c r="D1685" i="25"/>
  <c r="D1686" i="25"/>
  <c r="D1687" i="25"/>
  <c r="D1688" i="25"/>
  <c r="D1689" i="25"/>
  <c r="D1690" i="25"/>
  <c r="D1691" i="25"/>
  <c r="D1692" i="25"/>
  <c r="D1693" i="25"/>
  <c r="D1694" i="25"/>
  <c r="D1695" i="25"/>
  <c r="D1696" i="25"/>
  <c r="D1697" i="25"/>
  <c r="D1698" i="25"/>
  <c r="D1699" i="25"/>
  <c r="D1700" i="25"/>
  <c r="D1701" i="25"/>
  <c r="D1702" i="25"/>
  <c r="D1703" i="25"/>
  <c r="D1704" i="25"/>
  <c r="D1705" i="25"/>
  <c r="D1706" i="25"/>
  <c r="D1707" i="25"/>
  <c r="D1708" i="25"/>
  <c r="D1709" i="25"/>
  <c r="D1710" i="25"/>
  <c r="D1711" i="25"/>
  <c r="D1712" i="25"/>
  <c r="D1713" i="25"/>
  <c r="D1714" i="25"/>
  <c r="D1715" i="25"/>
  <c r="D1716" i="25"/>
  <c r="D1717" i="25"/>
  <c r="D1718" i="25"/>
  <c r="D1719" i="25"/>
  <c r="D1720" i="25"/>
  <c r="D1721" i="25"/>
  <c r="D1722" i="25"/>
  <c r="D1723" i="25"/>
  <c r="D1724" i="25"/>
  <c r="D1725" i="25"/>
  <c r="D1726" i="25"/>
  <c r="D1727" i="25"/>
  <c r="D1728" i="25"/>
  <c r="D1729" i="25"/>
  <c r="D1730" i="25"/>
  <c r="D1731" i="25"/>
  <c r="D1732" i="25"/>
  <c r="D1733" i="25"/>
  <c r="D1734" i="25"/>
  <c r="D1735" i="25"/>
  <c r="D1736" i="25"/>
  <c r="D1737" i="25"/>
  <c r="D1738" i="25"/>
  <c r="D1739" i="25"/>
  <c r="D1740" i="25"/>
  <c r="D1741" i="25"/>
  <c r="D1742" i="25"/>
  <c r="D1743" i="25"/>
  <c r="D1744" i="25"/>
  <c r="D1745" i="25"/>
  <c r="D1746" i="25"/>
  <c r="D1747" i="25"/>
  <c r="D1748" i="25"/>
  <c r="D1749" i="25"/>
  <c r="D1750" i="25"/>
  <c r="D1751" i="25"/>
  <c r="D1752" i="25"/>
  <c r="D1753" i="25"/>
  <c r="D1754" i="25"/>
  <c r="D1755" i="25"/>
  <c r="D1756" i="25"/>
  <c r="D1757" i="25"/>
  <c r="D1758" i="25"/>
  <c r="D1759" i="25"/>
  <c r="D1760" i="25"/>
  <c r="D1761" i="25"/>
  <c r="D1762" i="25"/>
  <c r="D1763" i="25"/>
  <c r="D1764" i="25"/>
  <c r="D1765" i="25"/>
  <c r="D1766" i="25"/>
  <c r="D1767" i="25"/>
  <c r="D1768" i="25"/>
  <c r="D1769" i="25"/>
  <c r="D1770" i="25"/>
  <c r="D1771" i="25"/>
  <c r="D1772" i="25"/>
  <c r="D1773" i="25"/>
  <c r="D1774" i="25"/>
  <c r="D1775" i="25"/>
  <c r="D1776" i="25"/>
  <c r="D1777" i="25"/>
  <c r="D1778" i="25"/>
  <c r="D1779" i="25"/>
  <c r="D1780" i="25"/>
  <c r="D1781" i="25"/>
  <c r="D1782" i="25"/>
  <c r="D1783" i="25"/>
  <c r="D1784" i="25"/>
  <c r="D1785" i="25"/>
  <c r="D1786" i="25"/>
  <c r="D1787" i="25"/>
  <c r="D1788" i="25"/>
  <c r="D1789" i="25"/>
  <c r="D1790" i="25"/>
  <c r="D1791" i="25"/>
  <c r="D1792" i="25"/>
  <c r="D1793" i="25"/>
  <c r="D1794" i="25"/>
  <c r="D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C58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C105" i="25"/>
  <c r="C106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C120" i="25"/>
  <c r="C121" i="25"/>
  <c r="C122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C138" i="25"/>
  <c r="C139" i="25"/>
  <c r="C140" i="25"/>
  <c r="C141" i="25"/>
  <c r="C142" i="25"/>
  <c r="C143" i="25"/>
  <c r="C144" i="25"/>
  <c r="C145" i="25"/>
  <c r="C146" i="25"/>
  <c r="C147" i="25"/>
  <c r="C148" i="25"/>
  <c r="C149" i="25"/>
  <c r="C150" i="25"/>
  <c r="C151" i="25"/>
  <c r="C152" i="25"/>
  <c r="C153" i="25"/>
  <c r="C154" i="25"/>
  <c r="C155" i="25"/>
  <c r="C156" i="25"/>
  <c r="C157" i="25"/>
  <c r="C158" i="25"/>
  <c r="C159" i="25"/>
  <c r="C160" i="25"/>
  <c r="C161" i="25"/>
  <c r="C162" i="25"/>
  <c r="C163" i="25"/>
  <c r="C164" i="25"/>
  <c r="C165" i="25"/>
  <c r="C166" i="25"/>
  <c r="C167" i="25"/>
  <c r="C168" i="25"/>
  <c r="C169" i="25"/>
  <c r="C170" i="25"/>
  <c r="C171" i="25"/>
  <c r="C172" i="25"/>
  <c r="C173" i="25"/>
  <c r="C174" i="25"/>
  <c r="C175" i="25"/>
  <c r="C176" i="25"/>
  <c r="C177" i="25"/>
  <c r="C178" i="25"/>
  <c r="C179" i="25"/>
  <c r="C180" i="25"/>
  <c r="C181" i="25"/>
  <c r="C182" i="25"/>
  <c r="C183" i="25"/>
  <c r="C184" i="25"/>
  <c r="C185" i="25"/>
  <c r="C186" i="25"/>
  <c r="C187" i="25"/>
  <c r="C188" i="25"/>
  <c r="C189" i="25"/>
  <c r="C190" i="25"/>
  <c r="C191" i="25"/>
  <c r="C192" i="25"/>
  <c r="C193" i="25"/>
  <c r="C194" i="25"/>
  <c r="C195" i="25"/>
  <c r="C196" i="25"/>
  <c r="C197" i="25"/>
  <c r="C198" i="25"/>
  <c r="C199" i="25"/>
  <c r="C200" i="25"/>
  <c r="C201" i="25"/>
  <c r="C202" i="25"/>
  <c r="C203" i="25"/>
  <c r="C204" i="25"/>
  <c r="C205" i="25"/>
  <c r="C206" i="25"/>
  <c r="C207" i="25"/>
  <c r="C208" i="25"/>
  <c r="C209" i="25"/>
  <c r="C210" i="25"/>
  <c r="C211" i="25"/>
  <c r="C212" i="25"/>
  <c r="C213" i="25"/>
  <c r="C214" i="25"/>
  <c r="C215" i="25"/>
  <c r="C216" i="25"/>
  <c r="C217" i="25"/>
  <c r="C218" i="25"/>
  <c r="C219" i="25"/>
  <c r="C220" i="25"/>
  <c r="C221" i="25"/>
  <c r="C222" i="25"/>
  <c r="C223" i="25"/>
  <c r="C224" i="25"/>
  <c r="C225" i="25"/>
  <c r="C226" i="25"/>
  <c r="C227" i="25"/>
  <c r="C228" i="25"/>
  <c r="C229" i="25"/>
  <c r="C230" i="25"/>
  <c r="C231" i="25"/>
  <c r="C232" i="25"/>
  <c r="C233" i="25"/>
  <c r="C234" i="25"/>
  <c r="C235" i="25"/>
  <c r="C236" i="25"/>
  <c r="C237" i="25"/>
  <c r="C238" i="25"/>
  <c r="C239" i="25"/>
  <c r="C240" i="25"/>
  <c r="C241" i="25"/>
  <c r="C242" i="25"/>
  <c r="C243" i="25"/>
  <c r="C244" i="25"/>
  <c r="C245" i="25"/>
  <c r="C246" i="25"/>
  <c r="C247" i="25"/>
  <c r="C248" i="25"/>
  <c r="C249" i="25"/>
  <c r="C250" i="25"/>
  <c r="C251" i="25"/>
  <c r="C252" i="25"/>
  <c r="C253" i="25"/>
  <c r="C254" i="25"/>
  <c r="C255" i="25"/>
  <c r="C256" i="25"/>
  <c r="C257" i="25"/>
  <c r="C258" i="25"/>
  <c r="C259" i="25"/>
  <c r="C260" i="25"/>
  <c r="C261" i="25"/>
  <c r="C262" i="25"/>
  <c r="C263" i="25"/>
  <c r="C264" i="25"/>
  <c r="C265" i="25"/>
  <c r="C266" i="25"/>
  <c r="C267" i="25"/>
  <c r="C268" i="25"/>
  <c r="C269" i="25"/>
  <c r="C270" i="25"/>
  <c r="C271" i="25"/>
  <c r="C272" i="25"/>
  <c r="C273" i="25"/>
  <c r="C274" i="25"/>
  <c r="C275" i="25"/>
  <c r="C276" i="25"/>
  <c r="C277" i="25"/>
  <c r="C278" i="25"/>
  <c r="C279" i="25"/>
  <c r="C280" i="25"/>
  <c r="C281" i="25"/>
  <c r="C282" i="25"/>
  <c r="C283" i="25"/>
  <c r="C284" i="25"/>
  <c r="C285" i="25"/>
  <c r="C286" i="25"/>
  <c r="C287" i="25"/>
  <c r="C288" i="25"/>
  <c r="C289" i="25"/>
  <c r="C290" i="25"/>
  <c r="C291" i="25"/>
  <c r="C292" i="25"/>
  <c r="C293" i="25"/>
  <c r="C294" i="25"/>
  <c r="C295" i="25"/>
  <c r="C296" i="25"/>
  <c r="C297" i="25"/>
  <c r="C298" i="25"/>
  <c r="C299" i="25"/>
  <c r="C300" i="25"/>
  <c r="C301" i="25"/>
  <c r="C302" i="25"/>
  <c r="C303" i="25"/>
  <c r="C304" i="25"/>
  <c r="C305" i="25"/>
  <c r="C306" i="25"/>
  <c r="C307" i="25"/>
  <c r="C308" i="25"/>
  <c r="C309" i="25"/>
  <c r="C310" i="25"/>
  <c r="C311" i="25"/>
  <c r="C312" i="25"/>
  <c r="C313" i="25"/>
  <c r="C314" i="25"/>
  <c r="C315" i="25"/>
  <c r="C316" i="25"/>
  <c r="C317" i="25"/>
  <c r="C318" i="25"/>
  <c r="C319" i="25"/>
  <c r="C320" i="25"/>
  <c r="C321" i="25"/>
  <c r="C322" i="25"/>
  <c r="C323" i="25"/>
  <c r="C324" i="25"/>
  <c r="C325" i="25"/>
  <c r="C326" i="25"/>
  <c r="C327" i="25"/>
  <c r="C328" i="25"/>
  <c r="C329" i="25"/>
  <c r="C330" i="25"/>
  <c r="C331" i="25"/>
  <c r="C332" i="25"/>
  <c r="C333" i="25"/>
  <c r="C334" i="25"/>
  <c r="C335" i="25"/>
  <c r="C336" i="25"/>
  <c r="C337" i="25"/>
  <c r="C338" i="25"/>
  <c r="C339" i="25"/>
  <c r="C340" i="25"/>
  <c r="C341" i="25"/>
  <c r="C342" i="25"/>
  <c r="C343" i="25"/>
  <c r="C344" i="25"/>
  <c r="C345" i="25"/>
  <c r="C346" i="25"/>
  <c r="C347" i="25"/>
  <c r="C348" i="25"/>
  <c r="C349" i="25"/>
  <c r="C350" i="25"/>
  <c r="C351" i="25"/>
  <c r="C352" i="25"/>
  <c r="C353" i="25"/>
  <c r="C354" i="25"/>
  <c r="C355" i="25"/>
  <c r="C356" i="25"/>
  <c r="C357" i="25"/>
  <c r="C358" i="25"/>
  <c r="C359" i="25"/>
  <c r="C360" i="25"/>
  <c r="C361" i="25"/>
  <c r="C362" i="25"/>
  <c r="C363" i="25"/>
  <c r="C364" i="25"/>
  <c r="C365" i="25"/>
  <c r="C366" i="25"/>
  <c r="C367" i="25"/>
  <c r="C368" i="25"/>
  <c r="C369" i="25"/>
  <c r="C370" i="25"/>
  <c r="C371" i="25"/>
  <c r="C372" i="25"/>
  <c r="C373" i="25"/>
  <c r="C374" i="25"/>
  <c r="C375" i="25"/>
  <c r="C376" i="25"/>
  <c r="C377" i="25"/>
  <c r="C378" i="25"/>
  <c r="C379" i="25"/>
  <c r="C380" i="25"/>
  <c r="C381" i="25"/>
  <c r="C382" i="25"/>
  <c r="C383" i="25"/>
  <c r="C384" i="25"/>
  <c r="C385" i="25"/>
  <c r="C386" i="25"/>
  <c r="C387" i="25"/>
  <c r="C388" i="25"/>
  <c r="C389" i="25"/>
  <c r="C390" i="25"/>
  <c r="C391" i="25"/>
  <c r="C392" i="25"/>
  <c r="C393" i="25"/>
  <c r="C394" i="25"/>
  <c r="C395" i="25"/>
  <c r="C396" i="25"/>
  <c r="C397" i="25"/>
  <c r="C398" i="25"/>
  <c r="C399" i="25"/>
  <c r="C400" i="25"/>
  <c r="C401" i="25"/>
  <c r="C402" i="25"/>
  <c r="C403" i="25"/>
  <c r="C404" i="25"/>
  <c r="C405" i="25"/>
  <c r="C406" i="25"/>
  <c r="C407" i="25"/>
  <c r="C408" i="25"/>
  <c r="C409" i="25"/>
  <c r="C410" i="25"/>
  <c r="C411" i="25"/>
  <c r="C412" i="25"/>
  <c r="C413" i="25"/>
  <c r="C414" i="25"/>
  <c r="C415" i="25"/>
  <c r="C416" i="25"/>
  <c r="C417" i="25"/>
  <c r="C418" i="25"/>
  <c r="C419" i="25"/>
  <c r="C420" i="25"/>
  <c r="C421" i="25"/>
  <c r="C422" i="25"/>
  <c r="C423" i="25"/>
  <c r="C424" i="25"/>
  <c r="C425" i="25"/>
  <c r="C426" i="25"/>
  <c r="C427" i="25"/>
  <c r="C428" i="25"/>
  <c r="C429" i="25"/>
  <c r="C430" i="25"/>
  <c r="C431" i="25"/>
  <c r="C432" i="25"/>
  <c r="C433" i="25"/>
  <c r="C434" i="25"/>
  <c r="C435" i="25"/>
  <c r="C436" i="25"/>
  <c r="C437" i="25"/>
  <c r="C438" i="25"/>
  <c r="C439" i="25"/>
  <c r="C440" i="25"/>
  <c r="C441" i="25"/>
  <c r="C442" i="25"/>
  <c r="C443" i="25"/>
  <c r="C444" i="25"/>
  <c r="C445" i="25"/>
  <c r="C446" i="25"/>
  <c r="C447" i="25"/>
  <c r="C448" i="25"/>
  <c r="C449" i="25"/>
  <c r="C450" i="25"/>
  <c r="C451" i="25"/>
  <c r="C452" i="25"/>
  <c r="C453" i="25"/>
  <c r="C454" i="25"/>
  <c r="C455" i="25"/>
  <c r="C456" i="25"/>
  <c r="C457" i="25"/>
  <c r="C458" i="25"/>
  <c r="C459" i="25"/>
  <c r="C460" i="25"/>
  <c r="C461" i="25"/>
  <c r="C462" i="25"/>
  <c r="C463" i="25"/>
  <c r="C464" i="25"/>
  <c r="C465" i="25"/>
  <c r="C466" i="25"/>
  <c r="C467" i="25"/>
  <c r="C468" i="25"/>
  <c r="C469" i="25"/>
  <c r="C470" i="25"/>
  <c r="C471" i="25"/>
  <c r="C472" i="25"/>
  <c r="C473" i="25"/>
  <c r="C474" i="25"/>
  <c r="C475" i="25"/>
  <c r="C476" i="25"/>
  <c r="C477" i="25"/>
  <c r="C478" i="25"/>
  <c r="C479" i="25"/>
  <c r="C480" i="25"/>
  <c r="C481" i="25"/>
  <c r="C482" i="25"/>
  <c r="C483" i="25"/>
  <c r="C484" i="25"/>
  <c r="C485" i="25"/>
  <c r="C486" i="25"/>
  <c r="C487" i="25"/>
  <c r="C488" i="25"/>
  <c r="C489" i="25"/>
  <c r="C490" i="25"/>
  <c r="C491" i="25"/>
  <c r="C492" i="25"/>
  <c r="C493" i="25"/>
  <c r="C494" i="25"/>
  <c r="C495" i="25"/>
  <c r="C496" i="25"/>
  <c r="C497" i="25"/>
  <c r="C498" i="25"/>
  <c r="C499" i="25"/>
  <c r="C500" i="25"/>
  <c r="C501" i="25"/>
  <c r="C502" i="25"/>
  <c r="C503" i="25"/>
  <c r="C504" i="25"/>
  <c r="C505" i="25"/>
  <c r="C506" i="25"/>
  <c r="C507" i="25"/>
  <c r="C508" i="25"/>
  <c r="C509" i="25"/>
  <c r="C510" i="25"/>
  <c r="C511" i="25"/>
  <c r="C512" i="25"/>
  <c r="C513" i="25"/>
  <c r="C514" i="25"/>
  <c r="C515" i="25"/>
  <c r="C516" i="25"/>
  <c r="C517" i="25"/>
  <c r="C518" i="25"/>
  <c r="C519" i="25"/>
  <c r="C520" i="25"/>
  <c r="C521" i="25"/>
  <c r="C522" i="25"/>
  <c r="C523" i="25"/>
  <c r="C524" i="25"/>
  <c r="C525" i="25"/>
  <c r="C526" i="25"/>
  <c r="C527" i="25"/>
  <c r="C528" i="25"/>
  <c r="C529" i="25"/>
  <c r="C530" i="25"/>
  <c r="C531" i="25"/>
  <c r="C532" i="25"/>
  <c r="C533" i="25"/>
  <c r="C534" i="25"/>
  <c r="C535" i="25"/>
  <c r="C536" i="25"/>
  <c r="C537" i="25"/>
  <c r="C538" i="25"/>
  <c r="C539" i="25"/>
  <c r="C540" i="25"/>
  <c r="C541" i="25"/>
  <c r="C542" i="25"/>
  <c r="C543" i="25"/>
  <c r="C544" i="25"/>
  <c r="C545" i="25"/>
  <c r="C546" i="25"/>
  <c r="C547" i="25"/>
  <c r="C548" i="25"/>
  <c r="C549" i="25"/>
  <c r="C550" i="25"/>
  <c r="C551" i="25"/>
  <c r="C552" i="25"/>
  <c r="C553" i="25"/>
  <c r="C554" i="25"/>
  <c r="C555" i="25"/>
  <c r="C556" i="25"/>
  <c r="C557" i="25"/>
  <c r="C558" i="25"/>
  <c r="C559" i="25"/>
  <c r="C560" i="25"/>
  <c r="C561" i="25"/>
  <c r="C562" i="25"/>
  <c r="C563" i="25"/>
  <c r="C564" i="25"/>
  <c r="C565" i="25"/>
  <c r="C566" i="25"/>
  <c r="C567" i="25"/>
  <c r="C568" i="25"/>
  <c r="C569" i="25"/>
  <c r="C570" i="25"/>
  <c r="C571" i="25"/>
  <c r="C572" i="25"/>
  <c r="C573" i="25"/>
  <c r="C574" i="25"/>
  <c r="C575" i="25"/>
  <c r="C576" i="25"/>
  <c r="C577" i="25"/>
  <c r="C578" i="25"/>
  <c r="C579" i="25"/>
  <c r="C580" i="25"/>
  <c r="C581" i="25"/>
  <c r="C582" i="25"/>
  <c r="C583" i="25"/>
  <c r="C584" i="25"/>
  <c r="C585" i="25"/>
  <c r="C586" i="25"/>
  <c r="C587" i="25"/>
  <c r="C588" i="25"/>
  <c r="C589" i="25"/>
  <c r="C590" i="25"/>
  <c r="C591" i="25"/>
  <c r="C592" i="25"/>
  <c r="C593" i="25"/>
  <c r="C594" i="25"/>
  <c r="C595" i="25"/>
  <c r="C596" i="25"/>
  <c r="C597" i="25"/>
  <c r="C598" i="25"/>
  <c r="C599" i="25"/>
  <c r="C600" i="25"/>
  <c r="C601" i="25"/>
  <c r="C602" i="25"/>
  <c r="C603" i="25"/>
  <c r="C604" i="25"/>
  <c r="C605" i="25"/>
  <c r="C606" i="25"/>
  <c r="C607" i="25"/>
  <c r="C608" i="25"/>
  <c r="C609" i="25"/>
  <c r="C610" i="25"/>
  <c r="C611" i="25"/>
  <c r="C612" i="25"/>
  <c r="C613" i="25"/>
  <c r="C614" i="25"/>
  <c r="C615" i="25"/>
  <c r="C616" i="25"/>
  <c r="C617" i="25"/>
  <c r="C618" i="25"/>
  <c r="C619" i="25"/>
  <c r="C620" i="25"/>
  <c r="C621" i="25"/>
  <c r="C622" i="25"/>
  <c r="C623" i="25"/>
  <c r="C624" i="25"/>
  <c r="C625" i="25"/>
  <c r="C626" i="25"/>
  <c r="C627" i="25"/>
  <c r="C628" i="25"/>
  <c r="C629" i="25"/>
  <c r="C630" i="25"/>
  <c r="C631" i="25"/>
  <c r="C632" i="25"/>
  <c r="C633" i="25"/>
  <c r="C634" i="25"/>
  <c r="C635" i="25"/>
  <c r="C636" i="25"/>
  <c r="C637" i="25"/>
  <c r="C638" i="25"/>
  <c r="C639" i="25"/>
  <c r="C640" i="25"/>
  <c r="C641" i="25"/>
  <c r="C642" i="25"/>
  <c r="C643" i="25"/>
  <c r="C644" i="25"/>
  <c r="C645" i="25"/>
  <c r="C646" i="25"/>
  <c r="C647" i="25"/>
  <c r="C648" i="25"/>
  <c r="C649" i="25"/>
  <c r="C650" i="25"/>
  <c r="C651" i="25"/>
  <c r="C652" i="25"/>
  <c r="C653" i="25"/>
  <c r="C654" i="25"/>
  <c r="C655" i="25"/>
  <c r="C656" i="25"/>
  <c r="C657" i="25"/>
  <c r="C658" i="25"/>
  <c r="C659" i="25"/>
  <c r="C660" i="25"/>
  <c r="C661" i="25"/>
  <c r="C662" i="25"/>
  <c r="C663" i="25"/>
  <c r="C664" i="25"/>
  <c r="C665" i="25"/>
  <c r="C666" i="25"/>
  <c r="C667" i="25"/>
  <c r="C668" i="25"/>
  <c r="C669" i="25"/>
  <c r="C670" i="25"/>
  <c r="C671" i="25"/>
  <c r="C672" i="25"/>
  <c r="C673" i="25"/>
  <c r="C674" i="25"/>
  <c r="C675" i="25"/>
  <c r="C676" i="25"/>
  <c r="C677" i="25"/>
  <c r="C678" i="25"/>
  <c r="C679" i="25"/>
  <c r="C680" i="25"/>
  <c r="C681" i="25"/>
  <c r="C682" i="25"/>
  <c r="C683" i="25"/>
  <c r="C684" i="25"/>
  <c r="C685" i="25"/>
  <c r="C686" i="25"/>
  <c r="C687" i="25"/>
  <c r="C688" i="25"/>
  <c r="C689" i="25"/>
  <c r="C690" i="25"/>
  <c r="C691" i="25"/>
  <c r="C692" i="25"/>
  <c r="C693" i="25"/>
  <c r="C694" i="25"/>
  <c r="C695" i="25"/>
  <c r="C696" i="25"/>
  <c r="C697" i="25"/>
  <c r="C698" i="25"/>
  <c r="C699" i="25"/>
  <c r="C700" i="25"/>
  <c r="C701" i="25"/>
  <c r="C702" i="25"/>
  <c r="C703" i="25"/>
  <c r="C704" i="25"/>
  <c r="C705" i="25"/>
  <c r="C706" i="25"/>
  <c r="C707" i="25"/>
  <c r="C708" i="25"/>
  <c r="C709" i="25"/>
  <c r="C710" i="25"/>
  <c r="C711" i="25"/>
  <c r="C712" i="25"/>
  <c r="C713" i="25"/>
  <c r="C714" i="25"/>
  <c r="C715" i="25"/>
  <c r="C716" i="25"/>
  <c r="C717" i="25"/>
  <c r="C718" i="25"/>
  <c r="C719" i="25"/>
  <c r="C720" i="25"/>
  <c r="C721" i="25"/>
  <c r="C722" i="25"/>
  <c r="C723" i="25"/>
  <c r="C724" i="25"/>
  <c r="C725" i="25"/>
  <c r="C726" i="25"/>
  <c r="C727" i="25"/>
  <c r="C728" i="25"/>
  <c r="C729" i="25"/>
  <c r="C730" i="25"/>
  <c r="C731" i="25"/>
  <c r="C732" i="25"/>
  <c r="C733" i="25"/>
  <c r="C734" i="25"/>
  <c r="C735" i="25"/>
  <c r="C736" i="25"/>
  <c r="C737" i="25"/>
  <c r="C738" i="25"/>
  <c r="C739" i="25"/>
  <c r="C740" i="25"/>
  <c r="C741" i="25"/>
  <c r="C742" i="25"/>
  <c r="C743" i="25"/>
  <c r="C744" i="25"/>
  <c r="C745" i="25"/>
  <c r="C746" i="25"/>
  <c r="C747" i="25"/>
  <c r="C748" i="25"/>
  <c r="C749" i="25"/>
  <c r="C750" i="25"/>
  <c r="C751" i="25"/>
  <c r="C752" i="25"/>
  <c r="C753" i="25"/>
  <c r="C754" i="25"/>
  <c r="C755" i="25"/>
  <c r="C756" i="25"/>
  <c r="C757" i="25"/>
  <c r="C758" i="25"/>
  <c r="C759" i="25"/>
  <c r="C760" i="25"/>
  <c r="C761" i="25"/>
  <c r="C762" i="25"/>
  <c r="C763" i="25"/>
  <c r="C764" i="25"/>
  <c r="C765" i="25"/>
  <c r="C766" i="25"/>
  <c r="C767" i="25"/>
  <c r="C768" i="25"/>
  <c r="C769" i="25"/>
  <c r="C770" i="25"/>
  <c r="C771" i="25"/>
  <c r="C772" i="25"/>
  <c r="C773" i="25"/>
  <c r="C774" i="25"/>
  <c r="C775" i="25"/>
  <c r="C776" i="25"/>
  <c r="C777" i="25"/>
  <c r="C778" i="25"/>
  <c r="C779" i="25"/>
  <c r="C780" i="25"/>
  <c r="C781" i="25"/>
  <c r="C782" i="25"/>
  <c r="C783" i="25"/>
  <c r="C784" i="25"/>
  <c r="C785" i="25"/>
  <c r="C786" i="25"/>
  <c r="C787" i="25"/>
  <c r="C788" i="25"/>
  <c r="C789" i="25"/>
  <c r="C790" i="25"/>
  <c r="C791" i="25"/>
  <c r="C792" i="25"/>
  <c r="C793" i="25"/>
  <c r="C794" i="25"/>
  <c r="C795" i="25"/>
  <c r="C796" i="25"/>
  <c r="C797" i="25"/>
  <c r="C798" i="25"/>
  <c r="C799" i="25"/>
  <c r="C800" i="25"/>
  <c r="C801" i="25"/>
  <c r="C802" i="25"/>
  <c r="C803" i="25"/>
  <c r="C804" i="25"/>
  <c r="C805" i="25"/>
  <c r="C806" i="25"/>
  <c r="C807" i="25"/>
  <c r="C808" i="25"/>
  <c r="C809" i="25"/>
  <c r="C810" i="25"/>
  <c r="C811" i="25"/>
  <c r="C812" i="25"/>
  <c r="C813" i="25"/>
  <c r="C814" i="25"/>
  <c r="C815" i="25"/>
  <c r="C816" i="25"/>
  <c r="C817" i="25"/>
  <c r="C818" i="25"/>
  <c r="C819" i="25"/>
  <c r="C820" i="25"/>
  <c r="C821" i="25"/>
  <c r="C822" i="25"/>
  <c r="C823" i="25"/>
  <c r="C824" i="25"/>
  <c r="C825" i="25"/>
  <c r="C826" i="25"/>
  <c r="C827" i="25"/>
  <c r="C828" i="25"/>
  <c r="C829" i="25"/>
  <c r="C830" i="25"/>
  <c r="C831" i="25"/>
  <c r="C832" i="25"/>
  <c r="C833" i="25"/>
  <c r="C834" i="25"/>
  <c r="C835" i="25"/>
  <c r="C836" i="25"/>
  <c r="C837" i="25"/>
  <c r="C838" i="25"/>
  <c r="C839" i="25"/>
  <c r="C840" i="25"/>
  <c r="C841" i="25"/>
  <c r="C842" i="25"/>
  <c r="C843" i="25"/>
  <c r="C844" i="25"/>
  <c r="C845" i="25"/>
  <c r="C846" i="25"/>
  <c r="C847" i="25"/>
  <c r="C848" i="25"/>
  <c r="C849" i="25"/>
  <c r="C850" i="25"/>
  <c r="C851" i="25"/>
  <c r="C852" i="25"/>
  <c r="C853" i="25"/>
  <c r="C854" i="25"/>
  <c r="C855" i="25"/>
  <c r="C856" i="25"/>
  <c r="C857" i="25"/>
  <c r="C858" i="25"/>
  <c r="C859" i="25"/>
  <c r="C860" i="25"/>
  <c r="C861" i="25"/>
  <c r="C862" i="25"/>
  <c r="C863" i="25"/>
  <c r="C864" i="25"/>
  <c r="C865" i="25"/>
  <c r="C866" i="25"/>
  <c r="C867" i="25"/>
  <c r="C868" i="25"/>
  <c r="C869" i="25"/>
  <c r="C870" i="25"/>
  <c r="C871" i="25"/>
  <c r="C872" i="25"/>
  <c r="C873" i="25"/>
  <c r="C874" i="25"/>
  <c r="C875" i="25"/>
  <c r="C876" i="25"/>
  <c r="C877" i="25"/>
  <c r="C878" i="25"/>
  <c r="C879" i="25"/>
  <c r="C880" i="25"/>
  <c r="C881" i="25"/>
  <c r="C882" i="25"/>
  <c r="C883" i="25"/>
  <c r="C884" i="25"/>
  <c r="C885" i="25"/>
  <c r="C886" i="25"/>
  <c r="C887" i="25"/>
  <c r="C888" i="25"/>
  <c r="C889" i="25"/>
  <c r="C890" i="25"/>
  <c r="C891" i="25"/>
  <c r="C892" i="25"/>
  <c r="C893" i="25"/>
  <c r="C894" i="25"/>
  <c r="C895" i="25"/>
  <c r="C896" i="25"/>
  <c r="C897" i="25"/>
  <c r="C898" i="25"/>
  <c r="C899" i="25"/>
  <c r="C900" i="25"/>
  <c r="C901" i="25"/>
  <c r="C902" i="25"/>
  <c r="C903" i="25"/>
  <c r="C904" i="25"/>
  <c r="C905" i="25"/>
  <c r="C906" i="25"/>
  <c r="C907" i="25"/>
  <c r="C908" i="25"/>
  <c r="C909" i="25"/>
  <c r="C910" i="25"/>
  <c r="C911" i="25"/>
  <c r="C912" i="25"/>
  <c r="C913" i="25"/>
  <c r="C914" i="25"/>
  <c r="C915" i="25"/>
  <c r="C916" i="25"/>
  <c r="C917" i="25"/>
  <c r="C918" i="25"/>
  <c r="C919" i="25"/>
  <c r="C920" i="25"/>
  <c r="C921" i="25"/>
  <c r="C922" i="25"/>
  <c r="C923" i="25"/>
  <c r="C924" i="25"/>
  <c r="C925" i="25"/>
  <c r="C926" i="25"/>
  <c r="C927" i="25"/>
  <c r="C928" i="25"/>
  <c r="C929" i="25"/>
  <c r="C930" i="25"/>
  <c r="C931" i="25"/>
  <c r="C932" i="25"/>
  <c r="C933" i="25"/>
  <c r="C934" i="25"/>
  <c r="C935" i="25"/>
  <c r="C936" i="25"/>
  <c r="C937" i="25"/>
  <c r="C938" i="25"/>
  <c r="C939" i="25"/>
  <c r="C940" i="25"/>
  <c r="C941" i="25"/>
  <c r="C942" i="25"/>
  <c r="C943" i="25"/>
  <c r="C944" i="25"/>
  <c r="C945" i="25"/>
  <c r="C946" i="25"/>
  <c r="C947" i="25"/>
  <c r="C948" i="25"/>
  <c r="C949" i="25"/>
  <c r="C950" i="25"/>
  <c r="C951" i="25"/>
  <c r="C952" i="25"/>
  <c r="C953" i="25"/>
  <c r="C954" i="25"/>
  <c r="C955" i="25"/>
  <c r="C956" i="25"/>
  <c r="C957" i="25"/>
  <c r="C958" i="25"/>
  <c r="C959" i="25"/>
  <c r="C960" i="25"/>
  <c r="C961" i="25"/>
  <c r="C962" i="25"/>
  <c r="C963" i="25"/>
  <c r="C964" i="25"/>
  <c r="C965" i="25"/>
  <c r="C966" i="25"/>
  <c r="C967" i="25"/>
  <c r="C968" i="25"/>
  <c r="C969" i="25"/>
  <c r="C970" i="25"/>
  <c r="C971" i="25"/>
  <c r="C972" i="25"/>
  <c r="C973" i="25"/>
  <c r="C974" i="25"/>
  <c r="C975" i="25"/>
  <c r="C976" i="25"/>
  <c r="C977" i="25"/>
  <c r="C978" i="25"/>
  <c r="C979" i="25"/>
  <c r="C980" i="25"/>
  <c r="C981" i="25"/>
  <c r="C982" i="25"/>
  <c r="C983" i="25"/>
  <c r="C984" i="25"/>
  <c r="C985" i="25"/>
  <c r="C986" i="25"/>
  <c r="C987" i="25"/>
  <c r="C988" i="25"/>
  <c r="C989" i="25"/>
  <c r="C990" i="25"/>
  <c r="C991" i="25"/>
  <c r="C992" i="25"/>
  <c r="C993" i="25"/>
  <c r="C994" i="25"/>
  <c r="C995" i="25"/>
  <c r="C996" i="25"/>
  <c r="C997" i="25"/>
  <c r="C998" i="25"/>
  <c r="C999" i="25"/>
  <c r="C1000" i="25"/>
  <c r="C1001" i="25"/>
  <c r="C1002" i="25"/>
  <c r="C1003" i="25"/>
  <c r="C1004" i="25"/>
  <c r="C1005" i="25"/>
  <c r="C1006" i="25"/>
  <c r="C1007" i="25"/>
  <c r="C1008" i="25"/>
  <c r="C1009" i="25"/>
  <c r="C1010" i="25"/>
  <c r="C1011" i="25"/>
  <c r="C1012" i="25"/>
  <c r="C1013" i="25"/>
  <c r="C1014" i="25"/>
  <c r="C1015" i="25"/>
  <c r="C1016" i="25"/>
  <c r="C1017" i="25"/>
  <c r="C1018" i="25"/>
  <c r="C1019" i="25"/>
  <c r="C1020" i="25"/>
  <c r="C1021" i="25"/>
  <c r="C1022" i="25"/>
  <c r="C1023" i="25"/>
  <c r="C1024" i="25"/>
  <c r="C1025" i="25"/>
  <c r="C1026" i="25"/>
  <c r="C1027" i="25"/>
  <c r="C1028" i="25"/>
  <c r="C1029" i="25"/>
  <c r="C1030" i="25"/>
  <c r="C1031" i="25"/>
  <c r="C1032" i="25"/>
  <c r="C1033" i="25"/>
  <c r="C1034" i="25"/>
  <c r="C1035" i="25"/>
  <c r="C1036" i="25"/>
  <c r="C1037" i="25"/>
  <c r="C1038" i="25"/>
  <c r="C1039" i="25"/>
  <c r="C1040" i="25"/>
  <c r="C1041" i="25"/>
  <c r="C1042" i="25"/>
  <c r="C1043" i="25"/>
  <c r="C1044" i="25"/>
  <c r="C1045" i="25"/>
  <c r="C1046" i="25"/>
  <c r="C1047" i="25"/>
  <c r="C1048" i="25"/>
  <c r="C1049" i="25"/>
  <c r="C1050" i="25"/>
  <c r="C1051" i="25"/>
  <c r="C1052" i="25"/>
  <c r="C1053" i="25"/>
  <c r="C1054" i="25"/>
  <c r="C1055" i="25"/>
  <c r="C1056" i="25"/>
  <c r="C1057" i="25"/>
  <c r="C1058" i="25"/>
  <c r="C1059" i="25"/>
  <c r="C1060" i="25"/>
  <c r="C1061" i="25"/>
  <c r="C1062" i="25"/>
  <c r="C1063" i="25"/>
  <c r="C1064" i="25"/>
  <c r="C1065" i="25"/>
  <c r="C1066" i="25"/>
  <c r="C1067" i="25"/>
  <c r="C1068" i="25"/>
  <c r="C1069" i="25"/>
  <c r="C1070" i="25"/>
  <c r="C1071" i="25"/>
  <c r="C1072" i="25"/>
  <c r="C1073" i="25"/>
  <c r="C1074" i="25"/>
  <c r="C1075" i="25"/>
  <c r="C1076" i="25"/>
  <c r="C1077" i="25"/>
  <c r="C1078" i="25"/>
  <c r="C1079" i="25"/>
  <c r="C1080" i="25"/>
  <c r="C1081" i="25"/>
  <c r="C1082" i="25"/>
  <c r="C1083" i="25"/>
  <c r="C1084" i="25"/>
  <c r="C1085" i="25"/>
  <c r="C1086" i="25"/>
  <c r="C1087" i="25"/>
  <c r="C1088" i="25"/>
  <c r="C1089" i="25"/>
  <c r="C1090" i="25"/>
  <c r="C1091" i="25"/>
  <c r="C1092" i="25"/>
  <c r="C1093" i="25"/>
  <c r="C1094" i="25"/>
  <c r="C1095" i="25"/>
  <c r="C1096" i="25"/>
  <c r="C1097" i="25"/>
  <c r="C1098" i="25"/>
  <c r="C1099" i="25"/>
  <c r="C1100" i="25"/>
  <c r="C1101" i="25"/>
  <c r="C1102" i="25"/>
  <c r="C1103" i="25"/>
  <c r="C1104" i="25"/>
  <c r="C1105" i="25"/>
  <c r="C1106" i="25"/>
  <c r="C1107" i="25"/>
  <c r="C1108" i="25"/>
  <c r="C1109" i="25"/>
  <c r="C1110" i="25"/>
  <c r="C1111" i="25"/>
  <c r="C1112" i="25"/>
  <c r="C1113" i="25"/>
  <c r="C1114" i="25"/>
  <c r="C1115" i="25"/>
  <c r="C1116" i="25"/>
  <c r="C1117" i="25"/>
  <c r="C1118" i="25"/>
  <c r="C1119" i="25"/>
  <c r="C1120" i="25"/>
  <c r="C1121" i="25"/>
  <c r="C1122" i="25"/>
  <c r="C1123" i="25"/>
  <c r="C1124" i="25"/>
  <c r="C1125" i="25"/>
  <c r="C1126" i="25"/>
  <c r="C1127" i="25"/>
  <c r="C1128" i="25"/>
  <c r="C1129" i="25"/>
  <c r="C1130" i="25"/>
  <c r="C1131" i="25"/>
  <c r="C1132" i="25"/>
  <c r="C1133" i="25"/>
  <c r="C1134" i="25"/>
  <c r="C1135" i="25"/>
  <c r="C1136" i="25"/>
  <c r="C1137" i="25"/>
  <c r="C1138" i="25"/>
  <c r="C1139" i="25"/>
  <c r="C1140" i="25"/>
  <c r="C1141" i="25"/>
  <c r="C1142" i="25"/>
  <c r="C1143" i="25"/>
  <c r="C1144" i="25"/>
  <c r="C1145" i="25"/>
  <c r="C1146" i="25"/>
  <c r="C1147" i="25"/>
  <c r="C1148" i="25"/>
  <c r="C1149" i="25"/>
  <c r="C1150" i="25"/>
  <c r="C1151" i="25"/>
  <c r="C1152" i="25"/>
  <c r="C1153" i="25"/>
  <c r="C1154" i="25"/>
  <c r="C1155" i="25"/>
  <c r="C1156" i="25"/>
  <c r="C1157" i="25"/>
  <c r="C1158" i="25"/>
  <c r="C1159" i="25"/>
  <c r="C1160" i="25"/>
  <c r="C1161" i="25"/>
  <c r="C1162" i="25"/>
  <c r="C1163" i="25"/>
  <c r="C1164" i="25"/>
  <c r="C1165" i="25"/>
  <c r="C1166" i="25"/>
  <c r="C1167" i="25"/>
  <c r="C1168" i="25"/>
  <c r="C1169" i="25"/>
  <c r="C1170" i="25"/>
  <c r="C1171" i="25"/>
  <c r="C1172" i="25"/>
  <c r="C1173" i="25"/>
  <c r="C1174" i="25"/>
  <c r="C1175" i="25"/>
  <c r="C1176" i="25"/>
  <c r="C1177" i="25"/>
  <c r="C1178" i="25"/>
  <c r="C1179" i="25"/>
  <c r="C1180" i="25"/>
  <c r="C1181" i="25"/>
  <c r="C1182" i="25"/>
  <c r="C1183" i="25"/>
  <c r="C1184" i="25"/>
  <c r="C1185" i="25"/>
  <c r="C1186" i="25"/>
  <c r="C1187" i="25"/>
  <c r="C1188" i="25"/>
  <c r="C1189" i="25"/>
  <c r="C1190" i="25"/>
  <c r="C1191" i="25"/>
  <c r="C1192" i="25"/>
  <c r="C1193" i="25"/>
  <c r="C1194" i="25"/>
  <c r="C1195" i="25"/>
  <c r="C1196" i="25"/>
  <c r="C1197" i="25"/>
  <c r="C1198" i="25"/>
  <c r="C1199" i="25"/>
  <c r="C1200" i="25"/>
  <c r="C1201" i="25"/>
  <c r="C1202" i="25"/>
  <c r="C1203" i="25"/>
  <c r="C1204" i="25"/>
  <c r="C1205" i="25"/>
  <c r="C1206" i="25"/>
  <c r="C1207" i="25"/>
  <c r="C1208" i="25"/>
  <c r="C1209" i="25"/>
  <c r="C1210" i="25"/>
  <c r="C1211" i="25"/>
  <c r="C1212" i="25"/>
  <c r="C1213" i="25"/>
  <c r="C1214" i="25"/>
  <c r="C1215" i="25"/>
  <c r="C1216" i="25"/>
  <c r="C1217" i="25"/>
  <c r="C1218" i="25"/>
  <c r="C1219" i="25"/>
  <c r="C1220" i="25"/>
  <c r="C1221" i="25"/>
  <c r="C1222" i="25"/>
  <c r="C1223" i="25"/>
  <c r="C1224" i="25"/>
  <c r="C1225" i="25"/>
  <c r="C1226" i="25"/>
  <c r="C1227" i="25"/>
  <c r="C1228" i="25"/>
  <c r="C1229" i="25"/>
  <c r="C1230" i="25"/>
  <c r="C1231" i="25"/>
  <c r="C1232" i="25"/>
  <c r="C1233" i="25"/>
  <c r="C1234" i="25"/>
  <c r="C1235" i="25"/>
  <c r="C1236" i="25"/>
  <c r="C1237" i="25"/>
  <c r="C1238" i="25"/>
  <c r="C1239" i="25"/>
  <c r="C1240" i="25"/>
  <c r="C1241" i="25"/>
  <c r="C1242" i="25"/>
  <c r="C1243" i="25"/>
  <c r="C1244" i="25"/>
  <c r="C1245" i="25"/>
  <c r="C1246" i="25"/>
  <c r="C1247" i="25"/>
  <c r="C1248" i="25"/>
  <c r="C1249" i="25"/>
  <c r="C1250" i="25"/>
  <c r="C1251" i="25"/>
  <c r="C1252" i="25"/>
  <c r="C1253" i="25"/>
  <c r="C1254" i="25"/>
  <c r="C1255" i="25"/>
  <c r="C1256" i="25"/>
  <c r="C1257" i="25"/>
  <c r="C1258" i="25"/>
  <c r="C1259" i="25"/>
  <c r="C1260" i="25"/>
  <c r="C1261" i="25"/>
  <c r="C1262" i="25"/>
  <c r="C1263" i="25"/>
  <c r="C1264" i="25"/>
  <c r="C1265" i="25"/>
  <c r="C1266" i="25"/>
  <c r="C1267" i="25"/>
  <c r="C1268" i="25"/>
  <c r="C1269" i="25"/>
  <c r="C1270" i="25"/>
  <c r="C1271" i="25"/>
  <c r="C1272" i="25"/>
  <c r="C1273" i="25"/>
  <c r="C1274" i="25"/>
  <c r="C1275" i="25"/>
  <c r="C1276" i="25"/>
  <c r="C1277" i="25"/>
  <c r="C1278" i="25"/>
  <c r="C1279" i="25"/>
  <c r="C1280" i="25"/>
  <c r="C1281" i="25"/>
  <c r="C1282" i="25"/>
  <c r="C1283" i="25"/>
  <c r="C1284" i="25"/>
  <c r="C1285" i="25"/>
  <c r="C1286" i="25"/>
  <c r="C1287" i="25"/>
  <c r="C1288" i="25"/>
  <c r="C1289" i="25"/>
  <c r="C1290" i="25"/>
  <c r="C1291" i="25"/>
  <c r="C1292" i="25"/>
  <c r="C1293" i="25"/>
  <c r="C1294" i="25"/>
  <c r="C1295" i="25"/>
  <c r="C1296" i="25"/>
  <c r="C1297" i="25"/>
  <c r="C1298" i="25"/>
  <c r="C1299" i="25"/>
  <c r="C1300" i="25"/>
  <c r="C1301" i="25"/>
  <c r="C1302" i="25"/>
  <c r="C1303" i="25"/>
  <c r="C1304" i="25"/>
  <c r="C1305" i="25"/>
  <c r="C1306" i="25"/>
  <c r="C1307" i="25"/>
  <c r="C1308" i="25"/>
  <c r="C1309" i="25"/>
  <c r="C1310" i="25"/>
  <c r="C1311" i="25"/>
  <c r="C1312" i="25"/>
  <c r="C1313" i="25"/>
  <c r="C1314" i="25"/>
  <c r="C1315" i="25"/>
  <c r="C1316" i="25"/>
  <c r="C1317" i="25"/>
  <c r="C1318" i="25"/>
  <c r="C1319" i="25"/>
  <c r="C1320" i="25"/>
  <c r="C1321" i="25"/>
  <c r="C1322" i="25"/>
  <c r="C1323" i="25"/>
  <c r="C1324" i="25"/>
  <c r="C1325" i="25"/>
  <c r="C1326" i="25"/>
  <c r="C1327" i="25"/>
  <c r="C1328" i="25"/>
  <c r="C1329" i="25"/>
  <c r="C1330" i="25"/>
  <c r="C1331" i="25"/>
  <c r="C1332" i="25"/>
  <c r="C1333" i="25"/>
  <c r="C1334" i="25"/>
  <c r="C1335" i="25"/>
  <c r="C1336" i="25"/>
  <c r="C1337" i="25"/>
  <c r="C1338" i="25"/>
  <c r="C1339" i="25"/>
  <c r="C1340" i="25"/>
  <c r="C1341" i="25"/>
  <c r="C1342" i="25"/>
  <c r="C1343" i="25"/>
  <c r="C1344" i="25"/>
  <c r="C1345" i="25"/>
  <c r="C1346" i="25"/>
  <c r="C1347" i="25"/>
  <c r="C1348" i="25"/>
  <c r="C1349" i="25"/>
  <c r="C1350" i="25"/>
  <c r="C1351" i="25"/>
  <c r="C1352" i="25"/>
  <c r="C1353" i="25"/>
  <c r="C1354" i="25"/>
  <c r="C1355" i="25"/>
  <c r="C1356" i="25"/>
  <c r="C1357" i="25"/>
  <c r="C1358" i="25"/>
  <c r="C1359" i="25"/>
  <c r="C1360" i="25"/>
  <c r="C1361" i="25"/>
  <c r="C1362" i="25"/>
  <c r="C1363" i="25"/>
  <c r="C1364" i="25"/>
  <c r="C1365" i="25"/>
  <c r="C1366" i="25"/>
  <c r="C1367" i="25"/>
  <c r="C1368" i="25"/>
  <c r="C1369" i="25"/>
  <c r="C1370" i="25"/>
  <c r="C1371" i="25"/>
  <c r="C1372" i="25"/>
  <c r="C1373" i="25"/>
  <c r="C1374" i="25"/>
  <c r="C1375" i="25"/>
  <c r="C1376" i="25"/>
  <c r="C1377" i="25"/>
  <c r="C1378" i="25"/>
  <c r="C1379" i="25"/>
  <c r="C1380" i="25"/>
  <c r="C1381" i="25"/>
  <c r="C1382" i="25"/>
  <c r="C1383" i="25"/>
  <c r="C1384" i="25"/>
  <c r="C1385" i="25"/>
  <c r="C1386" i="25"/>
  <c r="C1387" i="25"/>
  <c r="C1388" i="25"/>
  <c r="C1389" i="25"/>
  <c r="C1390" i="25"/>
  <c r="C1391" i="25"/>
  <c r="C1392" i="25"/>
  <c r="C1393" i="25"/>
  <c r="C1394" i="25"/>
  <c r="C1395" i="25"/>
  <c r="C1396" i="25"/>
  <c r="C1397" i="25"/>
  <c r="C1398" i="25"/>
  <c r="C1399" i="25"/>
  <c r="C1400" i="25"/>
  <c r="C1401" i="25"/>
  <c r="C1402" i="25"/>
  <c r="C1403" i="25"/>
  <c r="C1404" i="25"/>
  <c r="C1405" i="25"/>
  <c r="C1406" i="25"/>
  <c r="C1407" i="25"/>
  <c r="C1408" i="25"/>
  <c r="C1409" i="25"/>
  <c r="C1410" i="25"/>
  <c r="C1411" i="25"/>
  <c r="C1412" i="25"/>
  <c r="C1413" i="25"/>
  <c r="C1414" i="25"/>
  <c r="C1415" i="25"/>
  <c r="C1416" i="25"/>
  <c r="C1417" i="25"/>
  <c r="C1418" i="25"/>
  <c r="C1419" i="25"/>
  <c r="C1420" i="25"/>
  <c r="C1421" i="25"/>
  <c r="C1422" i="25"/>
  <c r="C1423" i="25"/>
  <c r="C1424" i="25"/>
  <c r="C1425" i="25"/>
  <c r="C1426" i="25"/>
  <c r="C1427" i="25"/>
  <c r="C1428" i="25"/>
  <c r="C1429" i="25"/>
  <c r="C1430" i="25"/>
  <c r="C1431" i="25"/>
  <c r="C1432" i="25"/>
  <c r="C1433" i="25"/>
  <c r="C1434" i="25"/>
  <c r="C1435" i="25"/>
  <c r="C1436" i="25"/>
  <c r="C1437" i="25"/>
  <c r="C1438" i="25"/>
  <c r="C1439" i="25"/>
  <c r="C1440" i="25"/>
  <c r="C1441" i="25"/>
  <c r="C1442" i="25"/>
  <c r="C1443" i="25"/>
  <c r="C1444" i="25"/>
  <c r="C1445" i="25"/>
  <c r="C1446" i="25"/>
  <c r="C1447" i="25"/>
  <c r="C1448" i="25"/>
  <c r="C1449" i="25"/>
  <c r="C1450" i="25"/>
  <c r="C1451" i="25"/>
  <c r="C1452" i="25"/>
  <c r="C1453" i="25"/>
  <c r="C1454" i="25"/>
  <c r="C1455" i="25"/>
  <c r="C1456" i="25"/>
  <c r="C1457" i="25"/>
  <c r="C1458" i="25"/>
  <c r="C1459" i="25"/>
  <c r="C1460" i="25"/>
  <c r="C1461" i="25"/>
  <c r="C1462" i="25"/>
  <c r="C1463" i="25"/>
  <c r="C1464" i="25"/>
  <c r="C1465" i="25"/>
  <c r="C1466" i="25"/>
  <c r="C1467" i="25"/>
  <c r="C1468" i="25"/>
  <c r="C1469" i="25"/>
  <c r="C1470" i="25"/>
  <c r="C1471" i="25"/>
  <c r="C1472" i="25"/>
  <c r="C1473" i="25"/>
  <c r="C1474" i="25"/>
  <c r="C1475" i="25"/>
  <c r="C1476" i="25"/>
  <c r="C1477" i="25"/>
  <c r="C1478" i="25"/>
  <c r="C1479" i="25"/>
  <c r="C1480" i="25"/>
  <c r="C1481" i="25"/>
  <c r="C1482" i="25"/>
  <c r="C1483" i="25"/>
  <c r="C1484" i="25"/>
  <c r="C1485" i="25"/>
  <c r="C1486" i="25"/>
  <c r="C1487" i="25"/>
  <c r="C1488" i="25"/>
  <c r="C1489" i="25"/>
  <c r="C1490" i="25"/>
  <c r="C1491" i="25"/>
  <c r="C1492" i="25"/>
  <c r="C1493" i="25"/>
  <c r="C1494" i="25"/>
  <c r="C1495" i="25"/>
  <c r="C1496" i="25"/>
  <c r="C1497" i="25"/>
  <c r="C1498" i="25"/>
  <c r="C1499" i="25"/>
  <c r="C1500" i="25"/>
  <c r="C1501" i="25"/>
  <c r="C1502" i="25"/>
  <c r="C1503" i="25"/>
  <c r="C1504" i="25"/>
  <c r="C1505" i="25"/>
  <c r="C1506" i="25"/>
  <c r="C1507" i="25"/>
  <c r="C1508" i="25"/>
  <c r="C1509" i="25"/>
  <c r="C1510" i="25"/>
  <c r="C1511" i="25"/>
  <c r="C1512" i="25"/>
  <c r="C1513" i="25"/>
  <c r="C1514" i="25"/>
  <c r="C1515" i="25"/>
  <c r="C1516" i="25"/>
  <c r="C1517" i="25"/>
  <c r="C1518" i="25"/>
  <c r="C1519" i="25"/>
  <c r="C1520" i="25"/>
  <c r="C1521" i="25"/>
  <c r="C1522" i="25"/>
  <c r="C1523" i="25"/>
  <c r="C1524" i="25"/>
  <c r="C1525" i="25"/>
  <c r="C1526" i="25"/>
  <c r="C1527" i="25"/>
  <c r="C1528" i="25"/>
  <c r="C1529" i="25"/>
  <c r="C1530" i="25"/>
  <c r="C1531" i="25"/>
  <c r="C1532" i="25"/>
  <c r="C1533" i="25"/>
  <c r="C1534" i="25"/>
  <c r="C1535" i="25"/>
  <c r="C1536" i="25"/>
  <c r="C1537" i="25"/>
  <c r="C1538" i="25"/>
  <c r="C1539" i="25"/>
  <c r="C1540" i="25"/>
  <c r="C1541" i="25"/>
  <c r="C1542" i="25"/>
  <c r="C1543" i="25"/>
  <c r="C1544" i="25"/>
  <c r="C1545" i="25"/>
  <c r="C1546" i="25"/>
  <c r="C1547" i="25"/>
  <c r="C1548" i="25"/>
  <c r="C1549" i="25"/>
  <c r="C1550" i="25"/>
  <c r="C1551" i="25"/>
  <c r="C1552" i="25"/>
  <c r="C1553" i="25"/>
  <c r="C1554" i="25"/>
  <c r="C1555" i="25"/>
  <c r="C1556" i="25"/>
  <c r="C1557" i="25"/>
  <c r="C1558" i="25"/>
  <c r="C1559" i="25"/>
  <c r="C1560" i="25"/>
  <c r="C1561" i="25"/>
  <c r="C1562" i="25"/>
  <c r="C1563" i="25"/>
  <c r="C1564" i="25"/>
  <c r="C1565" i="25"/>
  <c r="C1566" i="25"/>
  <c r="C1567" i="25"/>
  <c r="C1568" i="25"/>
  <c r="C1569" i="25"/>
  <c r="C1570" i="25"/>
  <c r="C1571" i="25"/>
  <c r="C1572" i="25"/>
  <c r="C1573" i="25"/>
  <c r="C1574" i="25"/>
  <c r="C1575" i="25"/>
  <c r="C1576" i="25"/>
  <c r="C1577" i="25"/>
  <c r="C1578" i="25"/>
  <c r="C1579" i="25"/>
  <c r="C1580" i="25"/>
  <c r="C1581" i="25"/>
  <c r="C1582" i="25"/>
  <c r="C1583" i="25"/>
  <c r="C1584" i="25"/>
  <c r="C1585" i="25"/>
  <c r="C1586" i="25"/>
  <c r="C1587" i="25"/>
  <c r="C1588" i="25"/>
  <c r="C1589" i="25"/>
  <c r="C1590" i="25"/>
  <c r="C1591" i="25"/>
  <c r="C1592" i="25"/>
  <c r="C1593" i="25"/>
  <c r="C1594" i="25"/>
  <c r="C1595" i="25"/>
  <c r="C1596" i="25"/>
  <c r="C1597" i="25"/>
  <c r="C1598" i="25"/>
  <c r="C1599" i="25"/>
  <c r="C1600" i="25"/>
  <c r="C1601" i="25"/>
  <c r="C1602" i="25"/>
  <c r="C1603" i="25"/>
  <c r="C1604" i="25"/>
  <c r="C1605" i="25"/>
  <c r="C1606" i="25"/>
  <c r="C1607" i="25"/>
  <c r="C1608" i="25"/>
  <c r="C1609" i="25"/>
  <c r="C1610" i="25"/>
  <c r="C1611" i="25"/>
  <c r="C1612" i="25"/>
  <c r="C1613" i="25"/>
  <c r="C1614" i="25"/>
  <c r="C1615" i="25"/>
  <c r="C1616" i="25"/>
  <c r="C1617" i="25"/>
  <c r="C1618" i="25"/>
  <c r="C1619" i="25"/>
  <c r="C1620" i="25"/>
  <c r="C1621" i="25"/>
  <c r="C1622" i="25"/>
  <c r="C1623" i="25"/>
  <c r="C1624" i="25"/>
  <c r="C1625" i="25"/>
  <c r="C1626" i="25"/>
  <c r="C1627" i="25"/>
  <c r="C1628" i="25"/>
  <c r="C1629" i="25"/>
  <c r="C1630" i="25"/>
  <c r="C1631" i="25"/>
  <c r="C1632" i="25"/>
  <c r="C1633" i="25"/>
  <c r="C1634" i="25"/>
  <c r="C1635" i="25"/>
  <c r="C1636" i="25"/>
  <c r="C1637" i="25"/>
  <c r="C1638" i="25"/>
  <c r="C1639" i="25"/>
  <c r="C1640" i="25"/>
  <c r="C1641" i="25"/>
  <c r="C1642" i="25"/>
  <c r="C1643" i="25"/>
  <c r="C1644" i="25"/>
  <c r="C1645" i="25"/>
  <c r="C1646" i="25"/>
  <c r="C1647" i="25"/>
  <c r="C1648" i="25"/>
  <c r="C1649" i="25"/>
  <c r="C1650" i="25"/>
  <c r="C1651" i="25"/>
  <c r="C1652" i="25"/>
  <c r="C1653" i="25"/>
  <c r="C1654" i="25"/>
  <c r="C1655" i="25"/>
  <c r="C1656" i="25"/>
  <c r="C1657" i="25"/>
  <c r="C1658" i="25"/>
  <c r="C1659" i="25"/>
  <c r="C1660" i="25"/>
  <c r="C1661" i="25"/>
  <c r="C1662" i="25"/>
  <c r="C1663" i="25"/>
  <c r="C1664" i="25"/>
  <c r="C1665" i="25"/>
  <c r="C1666" i="25"/>
  <c r="C1667" i="25"/>
  <c r="C1668" i="25"/>
  <c r="C1669" i="25"/>
  <c r="C1670" i="25"/>
  <c r="C1671" i="25"/>
  <c r="C1672" i="25"/>
  <c r="C1673" i="25"/>
  <c r="C1674" i="25"/>
  <c r="C1675" i="25"/>
  <c r="C1676" i="25"/>
  <c r="C1677" i="25"/>
  <c r="C1678" i="25"/>
  <c r="C1679" i="25"/>
  <c r="C1680" i="25"/>
  <c r="C1681" i="25"/>
  <c r="C1682" i="25"/>
  <c r="C1683" i="25"/>
  <c r="C1684" i="25"/>
  <c r="C1685" i="25"/>
  <c r="C1686" i="25"/>
  <c r="C1687" i="25"/>
  <c r="C1688" i="25"/>
  <c r="C1689" i="25"/>
  <c r="C1690" i="25"/>
  <c r="C1691" i="25"/>
  <c r="C1692" i="25"/>
  <c r="C1693" i="25"/>
  <c r="C1694" i="25"/>
  <c r="C1695" i="25"/>
  <c r="C1696" i="25"/>
  <c r="C1697" i="25"/>
  <c r="C1698" i="25"/>
  <c r="C1699" i="25"/>
  <c r="C1700" i="25"/>
  <c r="C1701" i="25"/>
  <c r="C1702" i="25"/>
  <c r="C1703" i="25"/>
  <c r="C1704" i="25"/>
  <c r="C1705" i="25"/>
  <c r="C1706" i="25"/>
  <c r="C1707" i="25"/>
  <c r="C1708" i="25"/>
  <c r="C1709" i="25"/>
  <c r="C1710" i="25"/>
  <c r="C1711" i="25"/>
  <c r="C1712" i="25"/>
  <c r="C1713" i="25"/>
  <c r="C1714" i="25"/>
  <c r="C1715" i="25"/>
  <c r="C1716" i="25"/>
  <c r="C1717" i="25"/>
  <c r="C1718" i="25"/>
  <c r="C1719" i="25"/>
  <c r="C1720" i="25"/>
  <c r="C1721" i="25"/>
  <c r="C1722" i="25"/>
  <c r="C1723" i="25"/>
  <c r="C1724" i="25"/>
  <c r="C1725" i="25"/>
  <c r="C1726" i="25"/>
  <c r="C1727" i="25"/>
  <c r="C1728" i="25"/>
  <c r="C1729" i="25"/>
  <c r="C1730" i="25"/>
  <c r="C1731" i="25"/>
  <c r="C1732" i="25"/>
  <c r="C1733" i="25"/>
  <c r="C1734" i="25"/>
  <c r="C1735" i="25"/>
  <c r="C1736" i="25"/>
  <c r="C1737" i="25"/>
  <c r="C1738" i="25"/>
  <c r="C1739" i="25"/>
  <c r="C1740" i="25"/>
  <c r="C1741" i="25"/>
  <c r="C1742" i="25"/>
  <c r="C1743" i="25"/>
  <c r="C1744" i="25"/>
  <c r="C1745" i="25"/>
  <c r="C1746" i="25"/>
  <c r="C1747" i="25"/>
  <c r="C1748" i="25"/>
  <c r="C1749" i="25"/>
  <c r="C1750" i="25"/>
  <c r="C1751" i="25"/>
  <c r="C1752" i="25"/>
  <c r="C1753" i="25"/>
  <c r="C1754" i="25"/>
  <c r="C1755" i="25"/>
  <c r="C1756" i="25"/>
  <c r="C1757" i="25"/>
  <c r="C1758" i="25"/>
  <c r="C1759" i="25"/>
  <c r="C1760" i="25"/>
  <c r="C1761" i="25"/>
  <c r="C1762" i="25"/>
  <c r="C1763" i="25"/>
  <c r="C1764" i="25"/>
  <c r="C1765" i="25"/>
  <c r="C1766" i="25"/>
  <c r="C1767" i="25"/>
  <c r="C1768" i="25"/>
  <c r="C1769" i="25"/>
  <c r="C1770" i="25"/>
  <c r="C1771" i="25"/>
  <c r="C1772" i="25"/>
  <c r="C1773" i="25"/>
  <c r="C1774" i="25"/>
  <c r="C1775" i="25"/>
  <c r="C1776" i="25"/>
  <c r="C1777" i="25"/>
  <c r="C1778" i="25"/>
  <c r="C1779" i="25"/>
  <c r="C1780" i="25"/>
  <c r="C1781" i="25"/>
  <c r="C1782" i="25"/>
  <c r="C1783" i="25"/>
  <c r="C1784" i="25"/>
  <c r="C1785" i="25"/>
  <c r="C1786" i="25"/>
  <c r="C1787" i="25"/>
  <c r="C1788" i="25"/>
  <c r="C1789" i="25"/>
  <c r="C1790" i="25"/>
  <c r="C1791" i="25"/>
  <c r="C1792" i="25"/>
  <c r="C1793" i="25"/>
  <c r="C1794" i="25"/>
  <c r="C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3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B138" i="25"/>
  <c r="B139" i="25"/>
  <c r="B140" i="25"/>
  <c r="B141" i="25"/>
  <c r="B142" i="25"/>
  <c r="B143" i="25"/>
  <c r="B144" i="25"/>
  <c r="B145" i="25"/>
  <c r="B146" i="25"/>
  <c r="B147" i="25"/>
  <c r="B148" i="25"/>
  <c r="B149" i="25"/>
  <c r="B150" i="25"/>
  <c r="B151" i="25"/>
  <c r="B152" i="25"/>
  <c r="B153" i="25"/>
  <c r="B154" i="25"/>
  <c r="B155" i="25"/>
  <c r="B156" i="25"/>
  <c r="B157" i="25"/>
  <c r="B158" i="25"/>
  <c r="B159" i="25"/>
  <c r="B160" i="25"/>
  <c r="B161" i="25"/>
  <c r="B162" i="25"/>
  <c r="B163" i="25"/>
  <c r="B164" i="25"/>
  <c r="B165" i="25"/>
  <c r="B166" i="25"/>
  <c r="B167" i="25"/>
  <c r="B168" i="25"/>
  <c r="B169" i="25"/>
  <c r="B170" i="25"/>
  <c r="B171" i="25"/>
  <c r="B172" i="25"/>
  <c r="B173" i="25"/>
  <c r="B174" i="25"/>
  <c r="B175" i="25"/>
  <c r="B176" i="25"/>
  <c r="B177" i="25"/>
  <c r="B178" i="25"/>
  <c r="B179" i="25"/>
  <c r="B180" i="25"/>
  <c r="B181" i="25"/>
  <c r="B182" i="25"/>
  <c r="B183" i="25"/>
  <c r="B184" i="25"/>
  <c r="B185" i="25"/>
  <c r="B186" i="25"/>
  <c r="B187" i="25"/>
  <c r="B188" i="25"/>
  <c r="B189" i="25"/>
  <c r="B190" i="25"/>
  <c r="B191" i="25"/>
  <c r="B192" i="25"/>
  <c r="B193" i="25"/>
  <c r="B194" i="25"/>
  <c r="B195" i="25"/>
  <c r="B196" i="25"/>
  <c r="B197" i="25"/>
  <c r="B198" i="25"/>
  <c r="B199" i="25"/>
  <c r="B200" i="25"/>
  <c r="B201" i="25"/>
  <c r="B202" i="25"/>
  <c r="B203" i="25"/>
  <c r="B204" i="25"/>
  <c r="B205" i="25"/>
  <c r="B206" i="25"/>
  <c r="B207" i="25"/>
  <c r="B208" i="25"/>
  <c r="B209" i="25"/>
  <c r="B210" i="25"/>
  <c r="B211" i="25"/>
  <c r="B212" i="25"/>
  <c r="B213" i="25"/>
  <c r="B214" i="25"/>
  <c r="B215" i="25"/>
  <c r="B216" i="25"/>
  <c r="B217" i="25"/>
  <c r="B218" i="25"/>
  <c r="B219" i="25"/>
  <c r="B220" i="25"/>
  <c r="B221" i="25"/>
  <c r="B222" i="25"/>
  <c r="B223" i="25"/>
  <c r="B224" i="25"/>
  <c r="B225" i="25"/>
  <c r="B226" i="25"/>
  <c r="B227" i="25"/>
  <c r="B228" i="25"/>
  <c r="B229" i="25"/>
  <c r="B230" i="25"/>
  <c r="B231" i="25"/>
  <c r="B232" i="25"/>
  <c r="B233" i="25"/>
  <c r="B234" i="25"/>
  <c r="B235" i="25"/>
  <c r="B236" i="25"/>
  <c r="B237" i="25"/>
  <c r="B238" i="25"/>
  <c r="B239" i="25"/>
  <c r="B240" i="25"/>
  <c r="B241" i="25"/>
  <c r="B242" i="25"/>
  <c r="B243" i="25"/>
  <c r="B244" i="25"/>
  <c r="B245" i="25"/>
  <c r="B246" i="25"/>
  <c r="B247" i="25"/>
  <c r="B248" i="25"/>
  <c r="B249" i="25"/>
  <c r="B250" i="25"/>
  <c r="B251" i="25"/>
  <c r="B252" i="25"/>
  <c r="B253" i="25"/>
  <c r="B254" i="25"/>
  <c r="B255" i="25"/>
  <c r="B256" i="25"/>
  <c r="B257" i="25"/>
  <c r="B258" i="25"/>
  <c r="B259" i="25"/>
  <c r="B260" i="25"/>
  <c r="B261" i="25"/>
  <c r="B262" i="25"/>
  <c r="B263" i="25"/>
  <c r="B264" i="25"/>
  <c r="B265" i="25"/>
  <c r="B266" i="25"/>
  <c r="B267" i="25"/>
  <c r="B268" i="25"/>
  <c r="B269" i="25"/>
  <c r="B270" i="25"/>
  <c r="B271" i="25"/>
  <c r="B272" i="25"/>
  <c r="B273" i="25"/>
  <c r="B274" i="25"/>
  <c r="B275" i="25"/>
  <c r="B276" i="25"/>
  <c r="B277" i="25"/>
  <c r="B278" i="25"/>
  <c r="B279" i="25"/>
  <c r="B280" i="25"/>
  <c r="B281" i="25"/>
  <c r="B282" i="25"/>
  <c r="B283" i="25"/>
  <c r="B284" i="25"/>
  <c r="B285" i="25"/>
  <c r="B286" i="25"/>
  <c r="B287" i="25"/>
  <c r="B288" i="25"/>
  <c r="B289" i="25"/>
  <c r="B290" i="25"/>
  <c r="B291" i="25"/>
  <c r="B292" i="25"/>
  <c r="B293" i="25"/>
  <c r="B294" i="25"/>
  <c r="B295" i="25"/>
  <c r="B296" i="25"/>
  <c r="B297" i="25"/>
  <c r="B298" i="25"/>
  <c r="B299" i="25"/>
  <c r="B300" i="25"/>
  <c r="B301" i="25"/>
  <c r="B302" i="25"/>
  <c r="B303" i="25"/>
  <c r="B304" i="25"/>
  <c r="B305" i="25"/>
  <c r="B306" i="25"/>
  <c r="B307" i="25"/>
  <c r="B308" i="25"/>
  <c r="B309" i="25"/>
  <c r="B310" i="25"/>
  <c r="B311" i="25"/>
  <c r="B312" i="25"/>
  <c r="B313" i="25"/>
  <c r="B314" i="25"/>
  <c r="B315" i="25"/>
  <c r="B316" i="25"/>
  <c r="B317" i="25"/>
  <c r="B318" i="25"/>
  <c r="B319" i="25"/>
  <c r="B320" i="25"/>
  <c r="B321" i="25"/>
  <c r="B322" i="25"/>
  <c r="B323" i="25"/>
  <c r="B324" i="25"/>
  <c r="B325" i="25"/>
  <c r="B326" i="25"/>
  <c r="B327" i="25"/>
  <c r="B328" i="25"/>
  <c r="B329" i="25"/>
  <c r="B330" i="25"/>
  <c r="B331" i="25"/>
  <c r="B332" i="25"/>
  <c r="B333" i="25"/>
  <c r="B334" i="25"/>
  <c r="B335" i="25"/>
  <c r="B336" i="25"/>
  <c r="B337" i="25"/>
  <c r="B338" i="25"/>
  <c r="B339" i="25"/>
  <c r="B340" i="25"/>
  <c r="B341" i="25"/>
  <c r="B342" i="25"/>
  <c r="B343" i="25"/>
  <c r="B344" i="25"/>
  <c r="B345" i="25"/>
  <c r="B346" i="25"/>
  <c r="B347" i="25"/>
  <c r="B348" i="25"/>
  <c r="B349" i="25"/>
  <c r="B350" i="25"/>
  <c r="B351" i="25"/>
  <c r="B352" i="25"/>
  <c r="B353" i="25"/>
  <c r="B354" i="25"/>
  <c r="B355" i="25"/>
  <c r="B356" i="25"/>
  <c r="B357" i="25"/>
  <c r="B358" i="25"/>
  <c r="B359" i="25"/>
  <c r="B360" i="25"/>
  <c r="B361" i="25"/>
  <c r="B362" i="25"/>
  <c r="B363" i="25"/>
  <c r="B364" i="25"/>
  <c r="B365" i="25"/>
  <c r="B366" i="25"/>
  <c r="B367" i="25"/>
  <c r="B368" i="25"/>
  <c r="B369" i="25"/>
  <c r="B370" i="25"/>
  <c r="B371" i="25"/>
  <c r="B372" i="25"/>
  <c r="B373" i="25"/>
  <c r="B374" i="25"/>
  <c r="B375" i="25"/>
  <c r="B376" i="25"/>
  <c r="B377" i="25"/>
  <c r="B378" i="25"/>
  <c r="B379" i="25"/>
  <c r="B380" i="25"/>
  <c r="B381" i="25"/>
  <c r="B382" i="25"/>
  <c r="B383" i="25"/>
  <c r="B384" i="25"/>
  <c r="B385" i="25"/>
  <c r="B386" i="25"/>
  <c r="B387" i="25"/>
  <c r="B388" i="25"/>
  <c r="B389" i="25"/>
  <c r="B390" i="25"/>
  <c r="B391" i="25"/>
  <c r="B392" i="25"/>
  <c r="B393" i="25"/>
  <c r="B394" i="25"/>
  <c r="B395" i="25"/>
  <c r="B396" i="25"/>
  <c r="B397" i="25"/>
  <c r="B398" i="25"/>
  <c r="B399" i="25"/>
  <c r="B400" i="25"/>
  <c r="B401" i="25"/>
  <c r="B402" i="25"/>
  <c r="B403" i="25"/>
  <c r="B404" i="25"/>
  <c r="B405" i="25"/>
  <c r="B406" i="25"/>
  <c r="B407" i="25"/>
  <c r="B408" i="25"/>
  <c r="B409" i="25"/>
  <c r="B410" i="25"/>
  <c r="B411" i="25"/>
  <c r="B412" i="25"/>
  <c r="B413" i="25"/>
  <c r="B414" i="25"/>
  <c r="B415" i="25"/>
  <c r="B416" i="25"/>
  <c r="B417" i="25"/>
  <c r="B418" i="25"/>
  <c r="B419" i="25"/>
  <c r="B420" i="25"/>
  <c r="B421" i="25"/>
  <c r="B422" i="25"/>
  <c r="B423" i="25"/>
  <c r="B424" i="25"/>
  <c r="B425" i="25"/>
  <c r="B426" i="25"/>
  <c r="B427" i="25"/>
  <c r="B428" i="25"/>
  <c r="B429" i="25"/>
  <c r="B430" i="25"/>
  <c r="B431" i="25"/>
  <c r="B432" i="25"/>
  <c r="B433" i="25"/>
  <c r="B434" i="25"/>
  <c r="B435" i="25"/>
  <c r="B436" i="25"/>
  <c r="B437" i="25"/>
  <c r="B438" i="25"/>
  <c r="B439" i="25"/>
  <c r="B440" i="25"/>
  <c r="B441" i="25"/>
  <c r="B442" i="25"/>
  <c r="B443" i="25"/>
  <c r="B444" i="25"/>
  <c r="B445" i="25"/>
  <c r="B446" i="25"/>
  <c r="B447" i="25"/>
  <c r="B448" i="25"/>
  <c r="B449" i="25"/>
  <c r="B450" i="25"/>
  <c r="B451" i="25"/>
  <c r="B452" i="25"/>
  <c r="B453" i="25"/>
  <c r="B454" i="25"/>
  <c r="B455" i="25"/>
  <c r="B456" i="25"/>
  <c r="B457" i="25"/>
  <c r="B458" i="25"/>
  <c r="B459" i="25"/>
  <c r="B460" i="25"/>
  <c r="B461" i="25"/>
  <c r="B462" i="25"/>
  <c r="B463" i="25"/>
  <c r="B464" i="25"/>
  <c r="B465" i="25"/>
  <c r="B466" i="25"/>
  <c r="B467" i="25"/>
  <c r="B468" i="25"/>
  <c r="B469" i="25"/>
  <c r="B470" i="25"/>
  <c r="B471" i="25"/>
  <c r="B472" i="25"/>
  <c r="B473" i="25"/>
  <c r="B474" i="25"/>
  <c r="B475" i="25"/>
  <c r="B476" i="25"/>
  <c r="B477" i="25"/>
  <c r="B478" i="25"/>
  <c r="B479" i="25"/>
  <c r="B480" i="25"/>
  <c r="B481" i="25"/>
  <c r="B482" i="25"/>
  <c r="B483" i="25"/>
  <c r="B484" i="25"/>
  <c r="B485" i="25"/>
  <c r="B486" i="25"/>
  <c r="B487" i="25"/>
  <c r="B488" i="25"/>
  <c r="B489" i="25"/>
  <c r="B490" i="25"/>
  <c r="B491" i="25"/>
  <c r="B492" i="25"/>
  <c r="B493" i="25"/>
  <c r="B494" i="25"/>
  <c r="B495" i="25"/>
  <c r="B496" i="25"/>
  <c r="B497" i="25"/>
  <c r="B498" i="25"/>
  <c r="B499" i="25"/>
  <c r="B500" i="25"/>
  <c r="B501" i="25"/>
  <c r="B502" i="25"/>
  <c r="B503" i="25"/>
  <c r="B504" i="25"/>
  <c r="B505" i="25"/>
  <c r="B506" i="25"/>
  <c r="B507" i="25"/>
  <c r="B508" i="25"/>
  <c r="B509" i="25"/>
  <c r="B510" i="25"/>
  <c r="B511" i="25"/>
  <c r="B512" i="25"/>
  <c r="B513" i="25"/>
  <c r="B514" i="25"/>
  <c r="B515" i="25"/>
  <c r="B516" i="25"/>
  <c r="B517" i="25"/>
  <c r="B518" i="25"/>
  <c r="B519" i="25"/>
  <c r="B520" i="25"/>
  <c r="B521" i="25"/>
  <c r="B522" i="25"/>
  <c r="B523" i="25"/>
  <c r="B524" i="25"/>
  <c r="B525" i="25"/>
  <c r="B526" i="25"/>
  <c r="B527" i="25"/>
  <c r="B528" i="25"/>
  <c r="B529" i="25"/>
  <c r="B530" i="25"/>
  <c r="B531" i="25"/>
  <c r="B532" i="25"/>
  <c r="B533" i="25"/>
  <c r="B534" i="25"/>
  <c r="B535" i="25"/>
  <c r="B536" i="25"/>
  <c r="B537" i="25"/>
  <c r="B538" i="25"/>
  <c r="B539" i="25"/>
  <c r="B540" i="25"/>
  <c r="B541" i="25"/>
  <c r="B542" i="25"/>
  <c r="B543" i="25"/>
  <c r="B544" i="25"/>
  <c r="B545" i="25"/>
  <c r="B546" i="25"/>
  <c r="B547" i="25"/>
  <c r="B548" i="25"/>
  <c r="B549" i="25"/>
  <c r="B550" i="25"/>
  <c r="B551" i="25"/>
  <c r="B552" i="25"/>
  <c r="B553" i="25"/>
  <c r="B554" i="25"/>
  <c r="B555" i="25"/>
  <c r="B556" i="25"/>
  <c r="B557" i="25"/>
  <c r="B558" i="25"/>
  <c r="B559" i="25"/>
  <c r="B560" i="25"/>
  <c r="B561" i="25"/>
  <c r="B562" i="25"/>
  <c r="B563" i="25"/>
  <c r="B564" i="25"/>
  <c r="B565" i="25"/>
  <c r="B566" i="25"/>
  <c r="B567" i="25"/>
  <c r="B568" i="25"/>
  <c r="B569" i="25"/>
  <c r="B570" i="25"/>
  <c r="B571" i="25"/>
  <c r="B572" i="25"/>
  <c r="B573" i="25"/>
  <c r="B574" i="25"/>
  <c r="B575" i="25"/>
  <c r="B576" i="25"/>
  <c r="B577" i="25"/>
  <c r="B578" i="25"/>
  <c r="B579" i="25"/>
  <c r="B580" i="25"/>
  <c r="B581" i="25"/>
  <c r="B582" i="25"/>
  <c r="B583" i="25"/>
  <c r="B584" i="25"/>
  <c r="B585" i="25"/>
  <c r="B586" i="25"/>
  <c r="B587" i="25"/>
  <c r="B588" i="25"/>
  <c r="B589" i="25"/>
  <c r="B590" i="25"/>
  <c r="B591" i="25"/>
  <c r="B592" i="25"/>
  <c r="B593" i="25"/>
  <c r="B594" i="25"/>
  <c r="B595" i="25"/>
  <c r="B596" i="25"/>
  <c r="B597" i="25"/>
  <c r="B598" i="25"/>
  <c r="B599" i="25"/>
  <c r="B600" i="25"/>
  <c r="B601" i="25"/>
  <c r="B602" i="25"/>
  <c r="B603" i="25"/>
  <c r="B604" i="25"/>
  <c r="B605" i="25"/>
  <c r="B606" i="25"/>
  <c r="B607" i="25"/>
  <c r="B608" i="25"/>
  <c r="B609" i="25"/>
  <c r="B610" i="25"/>
  <c r="B611" i="25"/>
  <c r="B612" i="25"/>
  <c r="B613" i="25"/>
  <c r="B614" i="25"/>
  <c r="B615" i="25"/>
  <c r="B616" i="25"/>
  <c r="B617" i="25"/>
  <c r="B618" i="25"/>
  <c r="B619" i="25"/>
  <c r="B620" i="25"/>
  <c r="B621" i="25"/>
  <c r="B622" i="25"/>
  <c r="B623" i="25"/>
  <c r="B624" i="25"/>
  <c r="B625" i="25"/>
  <c r="B626" i="25"/>
  <c r="B627" i="25"/>
  <c r="B628" i="25"/>
  <c r="B629" i="25"/>
  <c r="B630" i="25"/>
  <c r="B631" i="25"/>
  <c r="B632" i="25"/>
  <c r="B633" i="25"/>
  <c r="B634" i="25"/>
  <c r="B635" i="25"/>
  <c r="B636" i="25"/>
  <c r="B637" i="25"/>
  <c r="B638" i="25"/>
  <c r="B639" i="25"/>
  <c r="B640" i="25"/>
  <c r="B641" i="25"/>
  <c r="B642" i="25"/>
  <c r="B643" i="25"/>
  <c r="B644" i="25"/>
  <c r="B645" i="25"/>
  <c r="B646" i="25"/>
  <c r="B647" i="25"/>
  <c r="B648" i="25"/>
  <c r="B649" i="25"/>
  <c r="B650" i="25"/>
  <c r="B651" i="25"/>
  <c r="B652" i="25"/>
  <c r="B653" i="25"/>
  <c r="B654" i="25"/>
  <c r="B655" i="25"/>
  <c r="B656" i="25"/>
  <c r="B657" i="25"/>
  <c r="B658" i="25"/>
  <c r="B659" i="25"/>
  <c r="B660" i="25"/>
  <c r="B661" i="25"/>
  <c r="B662" i="25"/>
  <c r="B663" i="25"/>
  <c r="B664" i="25"/>
  <c r="B665" i="25"/>
  <c r="B666" i="25"/>
  <c r="B667" i="25"/>
  <c r="B668" i="25"/>
  <c r="B669" i="25"/>
  <c r="B670" i="25"/>
  <c r="B671" i="25"/>
  <c r="B672" i="25"/>
  <c r="B673" i="25"/>
  <c r="B674" i="25"/>
  <c r="B675" i="25"/>
  <c r="B676" i="25"/>
  <c r="B677" i="25"/>
  <c r="B678" i="25"/>
  <c r="B679" i="25"/>
  <c r="B680" i="25"/>
  <c r="B681" i="25"/>
  <c r="B682" i="25"/>
  <c r="B683" i="25"/>
  <c r="B684" i="25"/>
  <c r="B685" i="25"/>
  <c r="B686" i="25"/>
  <c r="B687" i="25"/>
  <c r="B688" i="25"/>
  <c r="B689" i="25"/>
  <c r="B690" i="25"/>
  <c r="B691" i="25"/>
  <c r="B692" i="25"/>
  <c r="B693" i="25"/>
  <c r="B694" i="25"/>
  <c r="B695" i="25"/>
  <c r="B696" i="25"/>
  <c r="B697" i="25"/>
  <c r="B698" i="25"/>
  <c r="B699" i="25"/>
  <c r="B700" i="25"/>
  <c r="B701" i="25"/>
  <c r="B702" i="25"/>
  <c r="B703" i="25"/>
  <c r="B704" i="25"/>
  <c r="B705" i="25"/>
  <c r="B706" i="25"/>
  <c r="B707" i="25"/>
  <c r="B708" i="25"/>
  <c r="B709" i="25"/>
  <c r="B710" i="25"/>
  <c r="B711" i="25"/>
  <c r="B712" i="25"/>
  <c r="B713" i="25"/>
  <c r="B714" i="25"/>
  <c r="B715" i="25"/>
  <c r="B716" i="25"/>
  <c r="B717" i="25"/>
  <c r="B718" i="25"/>
  <c r="B719" i="25"/>
  <c r="B720" i="25"/>
  <c r="B721" i="25"/>
  <c r="B722" i="25"/>
  <c r="B723" i="25"/>
  <c r="B724" i="25"/>
  <c r="B725" i="25"/>
  <c r="B726" i="25"/>
  <c r="B727" i="25"/>
  <c r="B728" i="25"/>
  <c r="B729" i="25"/>
  <c r="B730" i="25"/>
  <c r="B731" i="25"/>
  <c r="B732" i="25"/>
  <c r="B733" i="25"/>
  <c r="B734" i="25"/>
  <c r="B735" i="25"/>
  <c r="B736" i="25"/>
  <c r="B737" i="25"/>
  <c r="B738" i="25"/>
  <c r="B739" i="25"/>
  <c r="B740" i="25"/>
  <c r="B741" i="25"/>
  <c r="B742" i="25"/>
  <c r="B743" i="25"/>
  <c r="B744" i="25"/>
  <c r="B745" i="25"/>
  <c r="B746" i="25"/>
  <c r="B747" i="25"/>
  <c r="B748" i="25"/>
  <c r="B749" i="25"/>
  <c r="B750" i="25"/>
  <c r="B751" i="25"/>
  <c r="B752" i="25"/>
  <c r="B753" i="25"/>
  <c r="B754" i="25"/>
  <c r="B755" i="25"/>
  <c r="B756" i="25"/>
  <c r="B757" i="25"/>
  <c r="B758" i="25"/>
  <c r="B759" i="25"/>
  <c r="B760" i="25"/>
  <c r="B761" i="25"/>
  <c r="B762" i="25"/>
  <c r="B763" i="25"/>
  <c r="B764" i="25"/>
  <c r="B765" i="25"/>
  <c r="B766" i="25"/>
  <c r="B767" i="25"/>
  <c r="B768" i="25"/>
  <c r="B769" i="25"/>
  <c r="B770" i="25"/>
  <c r="B771" i="25"/>
  <c r="B772" i="25"/>
  <c r="B773" i="25"/>
  <c r="B774" i="25"/>
  <c r="B775" i="25"/>
  <c r="B776" i="25"/>
  <c r="B777" i="25"/>
  <c r="B778" i="25"/>
  <c r="B779" i="25"/>
  <c r="B780" i="25"/>
  <c r="B781" i="25"/>
  <c r="B782" i="25"/>
  <c r="B783" i="25"/>
  <c r="B784" i="25"/>
  <c r="B785" i="25"/>
  <c r="B786" i="25"/>
  <c r="B787" i="25"/>
  <c r="B788" i="25"/>
  <c r="B789" i="25"/>
  <c r="B790" i="25"/>
  <c r="B791" i="25"/>
  <c r="B792" i="25"/>
  <c r="B793" i="25"/>
  <c r="B794" i="25"/>
  <c r="B795" i="25"/>
  <c r="B796" i="25"/>
  <c r="B797" i="25"/>
  <c r="B798" i="25"/>
  <c r="B799" i="25"/>
  <c r="B800" i="25"/>
  <c r="B801" i="25"/>
  <c r="B802" i="25"/>
  <c r="B803" i="25"/>
  <c r="B804" i="25"/>
  <c r="B805" i="25"/>
  <c r="B806" i="25"/>
  <c r="B807" i="25"/>
  <c r="B808" i="25"/>
  <c r="B809" i="25"/>
  <c r="B810" i="25"/>
  <c r="B811" i="25"/>
  <c r="B812" i="25"/>
  <c r="B813" i="25"/>
  <c r="B814" i="25"/>
  <c r="B815" i="25"/>
  <c r="B816" i="25"/>
  <c r="B817" i="25"/>
  <c r="B818" i="25"/>
  <c r="B819" i="25"/>
  <c r="B820" i="25"/>
  <c r="B821" i="25"/>
  <c r="B822" i="25"/>
  <c r="B823" i="25"/>
  <c r="B824" i="25"/>
  <c r="B825" i="25"/>
  <c r="B826" i="25"/>
  <c r="B827" i="25"/>
  <c r="B828" i="25"/>
  <c r="B829" i="25"/>
  <c r="B830" i="25"/>
  <c r="B831" i="25"/>
  <c r="B832" i="25"/>
  <c r="B833" i="25"/>
  <c r="B834" i="25"/>
  <c r="B835" i="25"/>
  <c r="B836" i="25"/>
  <c r="B837" i="25"/>
  <c r="B838" i="25"/>
  <c r="B839" i="25"/>
  <c r="B840" i="25"/>
  <c r="B841" i="25"/>
  <c r="B842" i="25"/>
  <c r="B843" i="25"/>
  <c r="B844" i="25"/>
  <c r="B845" i="25"/>
  <c r="B846" i="25"/>
  <c r="B847" i="25"/>
  <c r="B848" i="25"/>
  <c r="B849" i="25"/>
  <c r="B850" i="25"/>
  <c r="B851" i="25"/>
  <c r="B852" i="25"/>
  <c r="B853" i="25"/>
  <c r="B854" i="25"/>
  <c r="B855" i="25"/>
  <c r="B856" i="25"/>
  <c r="B857" i="25"/>
  <c r="B858" i="25"/>
  <c r="B859" i="25"/>
  <c r="B860" i="25"/>
  <c r="B861" i="25"/>
  <c r="B862" i="25"/>
  <c r="B863" i="25"/>
  <c r="B864" i="25"/>
  <c r="B865" i="25"/>
  <c r="B866" i="25"/>
  <c r="B867" i="25"/>
  <c r="B868" i="25"/>
  <c r="B869" i="25"/>
  <c r="B870" i="25"/>
  <c r="B871" i="25"/>
  <c r="B872" i="25"/>
  <c r="B873" i="25"/>
  <c r="B874" i="25"/>
  <c r="B875" i="25"/>
  <c r="B876" i="25"/>
  <c r="B877" i="25"/>
  <c r="B878" i="25"/>
  <c r="B879" i="25"/>
  <c r="B880" i="25"/>
  <c r="B881" i="25"/>
  <c r="B882" i="25"/>
  <c r="B883" i="25"/>
  <c r="B884" i="25"/>
  <c r="B885" i="25"/>
  <c r="B886" i="25"/>
  <c r="B887" i="25"/>
  <c r="B888" i="25"/>
  <c r="B889" i="25"/>
  <c r="B890" i="25"/>
  <c r="B891" i="25"/>
  <c r="B892" i="25"/>
  <c r="B893" i="25"/>
  <c r="B894" i="25"/>
  <c r="B895" i="25"/>
  <c r="B896" i="25"/>
  <c r="B897" i="25"/>
  <c r="B898" i="25"/>
  <c r="B899" i="25"/>
  <c r="B900" i="25"/>
  <c r="B901" i="25"/>
  <c r="B902" i="25"/>
  <c r="B903" i="25"/>
  <c r="B904" i="25"/>
  <c r="B905" i="25"/>
  <c r="B906" i="25"/>
  <c r="B907" i="25"/>
  <c r="B908" i="25"/>
  <c r="B909" i="25"/>
  <c r="B910" i="25"/>
  <c r="B911" i="25"/>
  <c r="B912" i="25"/>
  <c r="B913" i="25"/>
  <c r="B914" i="25"/>
  <c r="B915" i="25"/>
  <c r="B916" i="25"/>
  <c r="B917" i="25"/>
  <c r="B918" i="25"/>
  <c r="B919" i="25"/>
  <c r="B920" i="25"/>
  <c r="B921" i="25"/>
  <c r="B922" i="25"/>
  <c r="B923" i="25"/>
  <c r="B924" i="25"/>
  <c r="B925" i="25"/>
  <c r="B926" i="25"/>
  <c r="B927" i="25"/>
  <c r="B928" i="25"/>
  <c r="B929" i="25"/>
  <c r="B930" i="25"/>
  <c r="B931" i="25"/>
  <c r="B932" i="25"/>
  <c r="B933" i="25"/>
  <c r="B934" i="25"/>
  <c r="B935" i="25"/>
  <c r="B936" i="25"/>
  <c r="B937" i="25"/>
  <c r="B938" i="25"/>
  <c r="B939" i="25"/>
  <c r="B940" i="25"/>
  <c r="B941" i="25"/>
  <c r="B942" i="25"/>
  <c r="B943" i="25"/>
  <c r="B944" i="25"/>
  <c r="B945" i="25"/>
  <c r="B946" i="25"/>
  <c r="B947" i="25"/>
  <c r="B948" i="25"/>
  <c r="B949" i="25"/>
  <c r="B950" i="25"/>
  <c r="B951" i="25"/>
  <c r="B952" i="25"/>
  <c r="B953" i="25"/>
  <c r="B954" i="25"/>
  <c r="B955" i="25"/>
  <c r="B956" i="25"/>
  <c r="B957" i="25"/>
  <c r="B958" i="25"/>
  <c r="B959" i="25"/>
  <c r="B960" i="25"/>
  <c r="B961" i="25"/>
  <c r="B962" i="25"/>
  <c r="B963" i="25"/>
  <c r="B964" i="25"/>
  <c r="B965" i="25"/>
  <c r="B966" i="25"/>
  <c r="B967" i="25"/>
  <c r="B968" i="25"/>
  <c r="B969" i="25"/>
  <c r="B970" i="25"/>
  <c r="B971" i="25"/>
  <c r="B972" i="25"/>
  <c r="B973" i="25"/>
  <c r="B974" i="25"/>
  <c r="B975" i="25"/>
  <c r="B976" i="25"/>
  <c r="B977" i="25"/>
  <c r="B978" i="25"/>
  <c r="B979" i="25"/>
  <c r="B980" i="25"/>
  <c r="B981" i="25"/>
  <c r="B982" i="25"/>
  <c r="B983" i="25"/>
  <c r="B984" i="25"/>
  <c r="B985" i="25"/>
  <c r="B986" i="25"/>
  <c r="B987" i="25"/>
  <c r="B988" i="25"/>
  <c r="B989" i="25"/>
  <c r="B990" i="25"/>
  <c r="B991" i="25"/>
  <c r="B992" i="25"/>
  <c r="B993" i="25"/>
  <c r="B994" i="25"/>
  <c r="B995" i="25"/>
  <c r="B996" i="25"/>
  <c r="B997" i="25"/>
  <c r="B998" i="25"/>
  <c r="B999" i="25"/>
  <c r="B1000" i="25"/>
  <c r="B1001" i="25"/>
  <c r="B1002" i="25"/>
  <c r="B1003" i="25"/>
  <c r="B1004" i="25"/>
  <c r="B1005" i="25"/>
  <c r="B1006" i="25"/>
  <c r="B1007" i="25"/>
  <c r="B1008" i="25"/>
  <c r="B1009" i="25"/>
  <c r="B1010" i="25"/>
  <c r="B1011" i="25"/>
  <c r="B1012" i="25"/>
  <c r="B1013" i="25"/>
  <c r="B1014" i="25"/>
  <c r="B1015" i="25"/>
  <c r="B1016" i="25"/>
  <c r="B1017" i="25"/>
  <c r="B1018" i="25"/>
  <c r="B1019" i="25"/>
  <c r="B1020" i="25"/>
  <c r="B1021" i="25"/>
  <c r="B1022" i="25"/>
  <c r="B1023" i="25"/>
  <c r="B1024" i="25"/>
  <c r="B1025" i="25"/>
  <c r="B1026" i="25"/>
  <c r="B1027" i="25"/>
  <c r="B1028" i="25"/>
  <c r="B1029" i="25"/>
  <c r="B1030" i="25"/>
  <c r="B1031" i="25"/>
  <c r="B1032" i="25"/>
  <c r="B1033" i="25"/>
  <c r="B1034" i="25"/>
  <c r="B1035" i="25"/>
  <c r="B1036" i="25"/>
  <c r="B1037" i="25"/>
  <c r="B1038" i="25"/>
  <c r="B1039" i="25"/>
  <c r="B1040" i="25"/>
  <c r="B1041" i="25"/>
  <c r="B1042" i="25"/>
  <c r="B1043" i="25"/>
  <c r="B1044" i="25"/>
  <c r="B1045" i="25"/>
  <c r="B1046" i="25"/>
  <c r="B1047" i="25"/>
  <c r="B1048" i="25"/>
  <c r="B1049" i="25"/>
  <c r="B1050" i="25"/>
  <c r="B1051" i="25"/>
  <c r="B1052" i="25"/>
  <c r="B1053" i="25"/>
  <c r="B1054" i="25"/>
  <c r="B1055" i="25"/>
  <c r="B1056" i="25"/>
  <c r="B1057" i="25"/>
  <c r="B1058" i="25"/>
  <c r="B1059" i="25"/>
  <c r="B1060" i="25"/>
  <c r="B1061" i="25"/>
  <c r="B1062" i="25"/>
  <c r="B1063" i="25"/>
  <c r="B1064" i="25"/>
  <c r="B1065" i="25"/>
  <c r="B1066" i="25"/>
  <c r="B1067" i="25"/>
  <c r="B1068" i="25"/>
  <c r="B1069" i="25"/>
  <c r="B1070" i="25"/>
  <c r="B1071" i="25"/>
  <c r="B1072" i="25"/>
  <c r="B1073" i="25"/>
  <c r="B1074" i="25"/>
  <c r="B1075" i="25"/>
  <c r="B1076" i="25"/>
  <c r="B1077" i="25"/>
  <c r="B1078" i="25"/>
  <c r="B1079" i="25"/>
  <c r="B1080" i="25"/>
  <c r="B1081" i="25"/>
  <c r="B1082" i="25"/>
  <c r="B1083" i="25"/>
  <c r="B1084" i="25"/>
  <c r="B1085" i="25"/>
  <c r="B1086" i="25"/>
  <c r="B1087" i="25"/>
  <c r="B1088" i="25"/>
  <c r="B1089" i="25"/>
  <c r="B1090" i="25"/>
  <c r="B1091" i="25"/>
  <c r="B1092" i="25"/>
  <c r="B1093" i="25"/>
  <c r="B1094" i="25"/>
  <c r="B1095" i="25"/>
  <c r="B1096" i="25"/>
  <c r="B1097" i="25"/>
  <c r="B1098" i="25"/>
  <c r="B1099" i="25"/>
  <c r="B1100" i="25"/>
  <c r="B1101" i="25"/>
  <c r="B1102" i="25"/>
  <c r="B1103" i="25"/>
  <c r="B1104" i="25"/>
  <c r="B1105" i="25"/>
  <c r="B1106" i="25"/>
  <c r="B1107" i="25"/>
  <c r="B1108" i="25"/>
  <c r="B1109" i="25"/>
  <c r="B1110" i="25"/>
  <c r="B1111" i="25"/>
  <c r="B1112" i="25"/>
  <c r="B1113" i="25"/>
  <c r="B1114" i="25"/>
  <c r="B1115" i="25"/>
  <c r="B1116" i="25"/>
  <c r="B1117" i="25"/>
  <c r="B1118" i="25"/>
  <c r="B1119" i="25"/>
  <c r="B1120" i="25"/>
  <c r="B1121" i="25"/>
  <c r="B1122" i="25"/>
  <c r="B1123" i="25"/>
  <c r="B1124" i="25"/>
  <c r="B1125" i="25"/>
  <c r="B1126" i="25"/>
  <c r="B1127" i="25"/>
  <c r="B1128" i="25"/>
  <c r="B1129" i="25"/>
  <c r="B1130" i="25"/>
  <c r="B1131" i="25"/>
  <c r="B1132" i="25"/>
  <c r="B1133" i="25"/>
  <c r="B1134" i="25"/>
  <c r="B1135" i="25"/>
  <c r="B1136" i="25"/>
  <c r="B1137" i="25"/>
  <c r="B1138" i="25"/>
  <c r="B1139" i="25"/>
  <c r="B1140" i="25"/>
  <c r="B1141" i="25"/>
  <c r="B1142" i="25"/>
  <c r="B1143" i="25"/>
  <c r="B1144" i="25"/>
  <c r="B1145" i="25"/>
  <c r="B1146" i="25"/>
  <c r="B1147" i="25"/>
  <c r="B1148" i="25"/>
  <c r="B1149" i="25"/>
  <c r="B1150" i="25"/>
  <c r="B1151" i="25"/>
  <c r="B1152" i="25"/>
  <c r="B1153" i="25"/>
  <c r="B1154" i="25"/>
  <c r="B1155" i="25"/>
  <c r="B1156" i="25"/>
  <c r="B1157" i="25"/>
  <c r="B1158" i="25"/>
  <c r="B1159" i="25"/>
  <c r="B1160" i="25"/>
  <c r="B1161" i="25"/>
  <c r="B1162" i="25"/>
  <c r="B1163" i="25"/>
  <c r="B1164" i="25"/>
  <c r="B1165" i="25"/>
  <c r="B1166" i="25"/>
  <c r="B1167" i="25"/>
  <c r="B1168" i="25"/>
  <c r="B1169" i="25"/>
  <c r="B1170" i="25"/>
  <c r="B1171" i="25"/>
  <c r="B1172" i="25"/>
  <c r="B1173" i="25"/>
  <c r="B1174" i="25"/>
  <c r="B1175" i="25"/>
  <c r="B1176" i="25"/>
  <c r="B1177" i="25"/>
  <c r="B1178" i="25"/>
  <c r="B1179" i="25"/>
  <c r="B1180" i="25"/>
  <c r="B1181" i="25"/>
  <c r="B1182" i="25"/>
  <c r="B1183" i="25"/>
  <c r="B1184" i="25"/>
  <c r="B1185" i="25"/>
  <c r="B1186" i="25"/>
  <c r="B1187" i="25"/>
  <c r="B1188" i="25"/>
  <c r="B1189" i="25"/>
  <c r="B1190" i="25"/>
  <c r="B1191" i="25"/>
  <c r="B1192" i="25"/>
  <c r="B1193" i="25"/>
  <c r="B1194" i="25"/>
  <c r="B1195" i="25"/>
  <c r="B1196" i="25"/>
  <c r="B1197" i="25"/>
  <c r="B1198" i="25"/>
  <c r="B1199" i="25"/>
  <c r="B1200" i="25"/>
  <c r="B1201" i="25"/>
  <c r="B1202" i="25"/>
  <c r="B1203" i="25"/>
  <c r="B1204" i="25"/>
  <c r="B1205" i="25"/>
  <c r="B1206" i="25"/>
  <c r="B1207" i="25"/>
  <c r="B1208" i="25"/>
  <c r="B1209" i="25"/>
  <c r="B1210" i="25"/>
  <c r="B1211" i="25"/>
  <c r="B1212" i="25"/>
  <c r="B1213" i="25"/>
  <c r="B1214" i="25"/>
  <c r="B1215" i="25"/>
  <c r="B1216" i="25"/>
  <c r="B1217" i="25"/>
  <c r="B1218" i="25"/>
  <c r="B1219" i="25"/>
  <c r="B1220" i="25"/>
  <c r="B1221" i="25"/>
  <c r="B1222" i="25"/>
  <c r="B1223" i="25"/>
  <c r="B1224" i="25"/>
  <c r="B1225" i="25"/>
  <c r="B1226" i="25"/>
  <c r="B1227" i="25"/>
  <c r="B1228" i="25"/>
  <c r="B1229" i="25"/>
  <c r="B1230" i="25"/>
  <c r="B1231" i="25"/>
  <c r="B1232" i="25"/>
  <c r="B1233" i="25"/>
  <c r="B1234" i="25"/>
  <c r="B1235" i="25"/>
  <c r="B1236" i="25"/>
  <c r="B1237" i="25"/>
  <c r="B1238" i="25"/>
  <c r="B1239" i="25"/>
  <c r="B1240" i="25"/>
  <c r="B1241" i="25"/>
  <c r="B1242" i="25"/>
  <c r="B1243" i="25"/>
  <c r="B1244" i="25"/>
  <c r="B1245" i="25"/>
  <c r="B1246" i="25"/>
  <c r="B1247" i="25"/>
  <c r="B1248" i="25"/>
  <c r="B1249" i="25"/>
  <c r="B1250" i="25"/>
  <c r="B1251" i="25"/>
  <c r="B1252" i="25"/>
  <c r="B1253" i="25"/>
  <c r="B1254" i="25"/>
  <c r="B1255" i="25"/>
  <c r="B1256" i="25"/>
  <c r="B1257" i="25"/>
  <c r="B1258" i="25"/>
  <c r="B1259" i="25"/>
  <c r="B1260" i="25"/>
  <c r="B1261" i="25"/>
  <c r="B1262" i="25"/>
  <c r="B1263" i="25"/>
  <c r="B1264" i="25"/>
  <c r="B1265" i="25"/>
  <c r="B1266" i="25"/>
  <c r="B1267" i="25"/>
  <c r="B1268" i="25"/>
  <c r="B1269" i="25"/>
  <c r="B1270" i="25"/>
  <c r="B1271" i="25"/>
  <c r="B1272" i="25"/>
  <c r="B1273" i="25"/>
  <c r="B1274" i="25"/>
  <c r="B1275" i="25"/>
  <c r="B1276" i="25"/>
  <c r="B1277" i="25"/>
  <c r="B1278" i="25"/>
  <c r="B1279" i="25"/>
  <c r="B1280" i="25"/>
  <c r="B1281" i="25"/>
  <c r="B1282" i="25"/>
  <c r="B1283" i="25"/>
  <c r="B1284" i="25"/>
  <c r="B1285" i="25"/>
  <c r="B1286" i="25"/>
  <c r="B1287" i="25"/>
  <c r="B1288" i="25"/>
  <c r="B1289" i="25"/>
  <c r="B1290" i="25"/>
  <c r="B1291" i="25"/>
  <c r="B1292" i="25"/>
  <c r="B1293" i="25"/>
  <c r="B1294" i="25"/>
  <c r="B1295" i="25"/>
  <c r="B1296" i="25"/>
  <c r="B1297" i="25"/>
  <c r="B1298" i="25"/>
  <c r="B1299" i="25"/>
  <c r="B1300" i="25"/>
  <c r="B1301" i="25"/>
  <c r="B1302" i="25"/>
  <c r="B1303" i="25"/>
  <c r="B1304" i="25"/>
  <c r="B1305" i="25"/>
  <c r="B1306" i="25"/>
  <c r="B1307" i="25"/>
  <c r="B1308" i="25"/>
  <c r="B1309" i="25"/>
  <c r="B1310" i="25"/>
  <c r="B1311" i="25"/>
  <c r="B1312" i="25"/>
  <c r="B1313" i="25"/>
  <c r="B1314" i="25"/>
  <c r="B1315" i="25"/>
  <c r="B1316" i="25"/>
  <c r="B1317" i="25"/>
  <c r="B1318" i="25"/>
  <c r="B1319" i="25"/>
  <c r="B1320" i="25"/>
  <c r="B1321" i="25"/>
  <c r="B1322" i="25"/>
  <c r="B1323" i="25"/>
  <c r="B1324" i="25"/>
  <c r="B1325" i="25"/>
  <c r="B1326" i="25"/>
  <c r="B1327" i="25"/>
  <c r="B1328" i="25"/>
  <c r="B1329" i="25"/>
  <c r="B1330" i="25"/>
  <c r="B1331" i="25"/>
  <c r="B1332" i="25"/>
  <c r="B1333" i="25"/>
  <c r="B1334" i="25"/>
  <c r="B1335" i="25"/>
  <c r="B1336" i="25"/>
  <c r="B1337" i="25"/>
  <c r="B1338" i="25"/>
  <c r="B1339" i="25"/>
  <c r="B1340" i="25"/>
  <c r="B1341" i="25"/>
  <c r="B1342" i="25"/>
  <c r="B1343" i="25"/>
  <c r="B1344" i="25"/>
  <c r="B1345" i="25"/>
  <c r="B1346" i="25"/>
  <c r="B1347" i="25"/>
  <c r="B1348" i="25"/>
  <c r="B1349" i="25"/>
  <c r="B1350" i="25"/>
  <c r="B1351" i="25"/>
  <c r="B1352" i="25"/>
  <c r="B1353" i="25"/>
  <c r="B1354" i="25"/>
  <c r="B1355" i="25"/>
  <c r="B1356" i="25"/>
  <c r="B1357" i="25"/>
  <c r="B1358" i="25"/>
  <c r="B1359" i="25"/>
  <c r="B1360" i="25"/>
  <c r="B1361" i="25"/>
  <c r="B1362" i="25"/>
  <c r="B1363" i="25"/>
  <c r="B1364" i="25"/>
  <c r="B1365" i="25"/>
  <c r="B1366" i="25"/>
  <c r="B1367" i="25"/>
  <c r="B1368" i="25"/>
  <c r="B1369" i="25"/>
  <c r="B1370" i="25"/>
  <c r="B1371" i="25"/>
  <c r="B1372" i="25"/>
  <c r="B1373" i="25"/>
  <c r="B1374" i="25"/>
  <c r="B1375" i="25"/>
  <c r="B1376" i="25"/>
  <c r="B1377" i="25"/>
  <c r="B1378" i="25"/>
  <c r="B1379" i="25"/>
  <c r="B1380" i="25"/>
  <c r="B1381" i="25"/>
  <c r="B1382" i="25"/>
  <c r="B1383" i="25"/>
  <c r="B1384" i="25"/>
  <c r="B1385" i="25"/>
  <c r="B1386" i="25"/>
  <c r="B1387" i="25"/>
  <c r="B1388" i="25"/>
  <c r="B1389" i="25"/>
  <c r="B1390" i="25"/>
  <c r="B1391" i="25"/>
  <c r="B1392" i="25"/>
  <c r="B1393" i="25"/>
  <c r="B1394" i="25"/>
  <c r="B1395" i="25"/>
  <c r="B1396" i="25"/>
  <c r="B1397" i="25"/>
  <c r="B1398" i="25"/>
  <c r="B1399" i="25"/>
  <c r="B1400" i="25"/>
  <c r="B1401" i="25"/>
  <c r="B1402" i="25"/>
  <c r="B1403" i="25"/>
  <c r="B1404" i="25"/>
  <c r="B1405" i="25"/>
  <c r="B1406" i="25"/>
  <c r="B1407" i="25"/>
  <c r="B1408" i="25"/>
  <c r="B1409" i="25"/>
  <c r="B1410" i="25"/>
  <c r="B1411" i="25"/>
  <c r="B1412" i="25"/>
  <c r="B1413" i="25"/>
  <c r="B1414" i="25"/>
  <c r="B1415" i="25"/>
  <c r="B1416" i="25"/>
  <c r="B1417" i="25"/>
  <c r="B1418" i="25"/>
  <c r="B1419" i="25"/>
  <c r="B1420" i="25"/>
  <c r="B1421" i="25"/>
  <c r="B1422" i="25"/>
  <c r="B1423" i="25"/>
  <c r="B1424" i="25"/>
  <c r="B1425" i="25"/>
  <c r="B1426" i="25"/>
  <c r="B1427" i="25"/>
  <c r="B1428" i="25"/>
  <c r="B1429" i="25"/>
  <c r="B1430" i="25"/>
  <c r="B1431" i="25"/>
  <c r="B1432" i="25"/>
  <c r="B1433" i="25"/>
  <c r="B1434" i="25"/>
  <c r="B1435" i="25"/>
  <c r="B1436" i="25"/>
  <c r="B1437" i="25"/>
  <c r="B1438" i="25"/>
  <c r="B1439" i="25"/>
  <c r="B1440" i="25"/>
  <c r="B1441" i="25"/>
  <c r="B1442" i="25"/>
  <c r="B1443" i="25"/>
  <c r="B1444" i="25"/>
  <c r="B1445" i="25"/>
  <c r="B1446" i="25"/>
  <c r="B1447" i="25"/>
  <c r="B1448" i="25"/>
  <c r="B1449" i="25"/>
  <c r="B1450" i="25"/>
  <c r="B1451" i="25"/>
  <c r="B1452" i="25"/>
  <c r="B1453" i="25"/>
  <c r="B1454" i="25"/>
  <c r="B1455" i="25"/>
  <c r="B1456" i="25"/>
  <c r="B1457" i="25"/>
  <c r="B1458" i="25"/>
  <c r="B1459" i="25"/>
  <c r="B1460" i="25"/>
  <c r="B1461" i="25"/>
  <c r="B1462" i="25"/>
  <c r="B1463" i="25"/>
  <c r="B1464" i="25"/>
  <c r="B1465" i="25"/>
  <c r="B1466" i="25"/>
  <c r="B1467" i="25"/>
  <c r="B1468" i="25"/>
  <c r="B1469" i="25"/>
  <c r="B1470" i="25"/>
  <c r="B1471" i="25"/>
  <c r="B1472" i="25"/>
  <c r="B1473" i="25"/>
  <c r="B1474" i="25"/>
  <c r="B1475" i="25"/>
  <c r="B1476" i="25"/>
  <c r="B1477" i="25"/>
  <c r="B1478" i="25"/>
  <c r="B1479" i="25"/>
  <c r="B1480" i="25"/>
  <c r="B1481" i="25"/>
  <c r="B1482" i="25"/>
  <c r="B1483" i="25"/>
  <c r="B1484" i="25"/>
  <c r="B1485" i="25"/>
  <c r="B1486" i="25"/>
  <c r="B1487" i="25"/>
  <c r="B1488" i="25"/>
  <c r="B1489" i="25"/>
  <c r="B1490" i="25"/>
  <c r="B1491" i="25"/>
  <c r="B1492" i="25"/>
  <c r="B1493" i="25"/>
  <c r="B1494" i="25"/>
  <c r="B1495" i="25"/>
  <c r="B1496" i="25"/>
  <c r="B1497" i="25"/>
  <c r="B1498" i="25"/>
  <c r="B1499" i="25"/>
  <c r="B1500" i="25"/>
  <c r="B1501" i="25"/>
  <c r="B1502" i="25"/>
  <c r="B1503" i="25"/>
  <c r="B1504" i="25"/>
  <c r="B1505" i="25"/>
  <c r="B1506" i="25"/>
  <c r="B1507" i="25"/>
  <c r="B1508" i="25"/>
  <c r="B1509" i="25"/>
  <c r="B1510" i="25"/>
  <c r="B1511" i="25"/>
  <c r="B1512" i="25"/>
  <c r="B1513" i="25"/>
  <c r="B1514" i="25"/>
  <c r="B1515" i="25"/>
  <c r="B1516" i="25"/>
  <c r="B1517" i="25"/>
  <c r="B1518" i="25"/>
  <c r="B1519" i="25"/>
  <c r="B1520" i="25"/>
  <c r="B1521" i="25"/>
  <c r="B1522" i="25"/>
  <c r="B1523" i="25"/>
  <c r="B1524" i="25"/>
  <c r="B1525" i="25"/>
  <c r="B1526" i="25"/>
  <c r="B1527" i="25"/>
  <c r="B1528" i="25"/>
  <c r="B1529" i="25"/>
  <c r="B1530" i="25"/>
  <c r="B1531" i="25"/>
  <c r="B1532" i="25"/>
  <c r="B1533" i="25"/>
  <c r="B1534" i="25"/>
  <c r="B1535" i="25"/>
  <c r="B1536" i="25"/>
  <c r="B1537" i="25"/>
  <c r="B1538" i="25"/>
  <c r="B1539" i="25"/>
  <c r="B1540" i="25"/>
  <c r="B1541" i="25"/>
  <c r="B1542" i="25"/>
  <c r="B1543" i="25"/>
  <c r="B1544" i="25"/>
  <c r="B1545" i="25"/>
  <c r="B1546" i="25"/>
  <c r="B1547" i="25"/>
  <c r="B1548" i="25"/>
  <c r="B1549" i="25"/>
  <c r="B1550" i="25"/>
  <c r="B1551" i="25"/>
  <c r="B1552" i="25"/>
  <c r="B1553" i="25"/>
  <c r="B1554" i="25"/>
  <c r="B1555" i="25"/>
  <c r="B1556" i="25"/>
  <c r="B1557" i="25"/>
  <c r="B1558" i="25"/>
  <c r="B1559" i="25"/>
  <c r="B1560" i="25"/>
  <c r="B1561" i="25"/>
  <c r="B1562" i="25"/>
  <c r="B1563" i="25"/>
  <c r="B1564" i="25"/>
  <c r="B1565" i="25"/>
  <c r="B1566" i="25"/>
  <c r="B1567" i="25"/>
  <c r="B1568" i="25"/>
  <c r="B1569" i="25"/>
  <c r="B1570" i="25"/>
  <c r="B1571" i="25"/>
  <c r="B1572" i="25"/>
  <c r="B1573" i="25"/>
  <c r="B1574" i="25"/>
  <c r="B1575" i="25"/>
  <c r="B1576" i="25"/>
  <c r="B1577" i="25"/>
  <c r="B1578" i="25"/>
  <c r="B1579" i="25"/>
  <c r="B1580" i="25"/>
  <c r="B1581" i="25"/>
  <c r="B1582" i="25"/>
  <c r="B1583" i="25"/>
  <c r="B1584" i="25"/>
  <c r="B1585" i="25"/>
  <c r="B1586" i="25"/>
  <c r="B1587" i="25"/>
  <c r="B1588" i="25"/>
  <c r="B1589" i="25"/>
  <c r="B1590" i="25"/>
  <c r="B1591" i="25"/>
  <c r="B1592" i="25"/>
  <c r="B1593" i="25"/>
  <c r="B1594" i="25"/>
  <c r="B1595" i="25"/>
  <c r="B1596" i="25"/>
  <c r="B1597" i="25"/>
  <c r="B1598" i="25"/>
  <c r="B1599" i="25"/>
  <c r="B1600" i="25"/>
  <c r="B1601" i="25"/>
  <c r="B1602" i="25"/>
  <c r="B1603" i="25"/>
  <c r="B1604" i="25"/>
  <c r="B1605" i="25"/>
  <c r="B1606" i="25"/>
  <c r="B1607" i="25"/>
  <c r="B1608" i="25"/>
  <c r="B1609" i="25"/>
  <c r="B1610" i="25"/>
  <c r="B1611" i="25"/>
  <c r="B1612" i="25"/>
  <c r="B1613" i="25"/>
  <c r="B1614" i="25"/>
  <c r="B1615" i="25"/>
  <c r="B1616" i="25"/>
  <c r="B1617" i="25"/>
  <c r="B1618" i="25"/>
  <c r="B1619" i="25"/>
  <c r="B1620" i="25"/>
  <c r="B1621" i="25"/>
  <c r="B1622" i="25"/>
  <c r="B1623" i="25"/>
  <c r="B1624" i="25"/>
  <c r="B1625" i="25"/>
  <c r="B1626" i="25"/>
  <c r="B1627" i="25"/>
  <c r="B1628" i="25"/>
  <c r="B1629" i="25"/>
  <c r="B1630" i="25"/>
  <c r="B1631" i="25"/>
  <c r="B1632" i="25"/>
  <c r="B1633" i="25"/>
  <c r="B1634" i="25"/>
  <c r="B1635" i="25"/>
  <c r="B1636" i="25"/>
  <c r="B1637" i="25"/>
  <c r="B1638" i="25"/>
  <c r="B1639" i="25"/>
  <c r="B1640" i="25"/>
  <c r="B1641" i="25"/>
  <c r="B1642" i="25"/>
  <c r="B1643" i="25"/>
  <c r="B1644" i="25"/>
  <c r="B1645" i="25"/>
  <c r="B1646" i="25"/>
  <c r="B1647" i="25"/>
  <c r="B1648" i="25"/>
  <c r="B1649" i="25"/>
  <c r="B1650" i="25"/>
  <c r="B1651" i="25"/>
  <c r="B1652" i="25"/>
  <c r="B1653" i="25"/>
  <c r="B1654" i="25"/>
  <c r="B1655" i="25"/>
  <c r="B1656" i="25"/>
  <c r="B1657" i="25"/>
  <c r="B1658" i="25"/>
  <c r="B1659" i="25"/>
  <c r="B1660" i="25"/>
  <c r="B1661" i="25"/>
  <c r="B1662" i="25"/>
  <c r="B1663" i="25"/>
  <c r="B1664" i="25"/>
  <c r="B1665" i="25"/>
  <c r="B1666" i="25"/>
  <c r="B1667" i="25"/>
  <c r="B1668" i="25"/>
  <c r="B1669" i="25"/>
  <c r="B1670" i="25"/>
  <c r="B1671" i="25"/>
  <c r="B1672" i="25"/>
  <c r="B1673" i="25"/>
  <c r="B1674" i="25"/>
  <c r="B1675" i="25"/>
  <c r="B1676" i="25"/>
  <c r="B1677" i="25"/>
  <c r="B1678" i="25"/>
  <c r="B1679" i="25"/>
  <c r="B1680" i="25"/>
  <c r="B1681" i="25"/>
  <c r="B1682" i="25"/>
  <c r="B1683" i="25"/>
  <c r="B1684" i="25"/>
  <c r="B1685" i="25"/>
  <c r="B1686" i="25"/>
  <c r="B1687" i="25"/>
  <c r="B1688" i="25"/>
  <c r="B1689" i="25"/>
  <c r="B1690" i="25"/>
  <c r="B1691" i="25"/>
  <c r="B1692" i="25"/>
  <c r="B1693" i="25"/>
  <c r="B1694" i="25"/>
  <c r="B1695" i="25"/>
  <c r="B1696" i="25"/>
  <c r="B1697" i="25"/>
  <c r="B1698" i="25"/>
  <c r="B1699" i="25"/>
  <c r="B1700" i="25"/>
  <c r="B1701" i="25"/>
  <c r="B1702" i="25"/>
  <c r="B1703" i="25"/>
  <c r="B1704" i="25"/>
  <c r="B1705" i="25"/>
  <c r="B1706" i="25"/>
  <c r="B1707" i="25"/>
  <c r="B1708" i="25"/>
  <c r="B1709" i="25"/>
  <c r="B1710" i="25"/>
  <c r="B1711" i="25"/>
  <c r="B1712" i="25"/>
  <c r="B1713" i="25"/>
  <c r="B1714" i="25"/>
  <c r="B1715" i="25"/>
  <c r="B1716" i="25"/>
  <c r="B1717" i="25"/>
  <c r="B1718" i="25"/>
  <c r="B1719" i="25"/>
  <c r="B1720" i="25"/>
  <c r="B1721" i="25"/>
  <c r="B1722" i="25"/>
  <c r="B1723" i="25"/>
  <c r="B1724" i="25"/>
  <c r="B1725" i="25"/>
  <c r="B1726" i="25"/>
  <c r="B1727" i="25"/>
  <c r="B1728" i="25"/>
  <c r="B1729" i="25"/>
  <c r="B1730" i="25"/>
  <c r="B1731" i="25"/>
  <c r="B1732" i="25"/>
  <c r="B1733" i="25"/>
  <c r="B1734" i="25"/>
  <c r="B1735" i="25"/>
  <c r="B1736" i="25"/>
  <c r="B1737" i="25"/>
  <c r="B1738" i="25"/>
  <c r="B1739" i="25"/>
  <c r="B1740" i="25"/>
  <c r="B1741" i="25"/>
  <c r="B1742" i="25"/>
  <c r="B1743" i="25"/>
  <c r="B1744" i="25"/>
  <c r="B1745" i="25"/>
  <c r="B1746" i="25"/>
  <c r="B1747" i="25"/>
  <c r="B1748" i="25"/>
  <c r="B1749" i="25"/>
  <c r="B1750" i="25"/>
  <c r="B1751" i="25"/>
  <c r="B1752" i="25"/>
  <c r="B1753" i="25"/>
  <c r="B1754" i="25"/>
  <c r="B1755" i="25"/>
  <c r="B1756" i="25"/>
  <c r="B1757" i="25"/>
  <c r="B1758" i="25"/>
  <c r="B1759" i="25"/>
  <c r="B1760" i="25"/>
  <c r="B1761" i="25"/>
  <c r="B1762" i="25"/>
  <c r="B1763" i="25"/>
  <c r="B1764" i="25"/>
  <c r="B1765" i="25"/>
  <c r="B1766" i="25"/>
  <c r="B1767" i="25"/>
  <c r="B1768" i="25"/>
  <c r="B1769" i="25"/>
  <c r="B1770" i="25"/>
  <c r="B1771" i="25"/>
  <c r="B1772" i="25"/>
  <c r="B1773" i="25"/>
  <c r="B1774" i="25"/>
  <c r="B1775" i="25"/>
  <c r="B1776" i="25"/>
  <c r="B1777" i="25"/>
  <c r="B1778" i="25"/>
  <c r="B1779" i="25"/>
  <c r="B1780" i="25"/>
  <c r="B1781" i="25"/>
  <c r="B1782" i="25"/>
  <c r="B1783" i="25"/>
  <c r="B1784" i="25"/>
  <c r="B1785" i="25"/>
  <c r="B1786" i="25"/>
  <c r="B1787" i="25"/>
  <c r="B1788" i="25"/>
  <c r="B1789" i="25"/>
  <c r="B1790" i="25"/>
  <c r="B1791" i="25"/>
  <c r="B1792" i="25"/>
  <c r="B1793" i="25"/>
  <c r="B1794" i="25"/>
  <c r="B14" i="25"/>
  <c r="C2" i="2"/>
  <c r="G20" i="6" l="1"/>
  <c r="B3" i="2" l="1"/>
  <c r="A17" i="26"/>
  <c r="C17" i="26" s="1"/>
  <c r="A18" i="26"/>
  <c r="C18" i="26" s="1"/>
  <c r="A19" i="26"/>
  <c r="C19" i="26" s="1"/>
  <c r="A20" i="26"/>
  <c r="A21" i="26"/>
  <c r="C21" i="26" s="1"/>
  <c r="A22" i="26"/>
  <c r="C22" i="26" s="1"/>
  <c r="A23" i="26"/>
  <c r="C23" i="26" s="1"/>
  <c r="A24" i="26"/>
  <c r="C24" i="26" s="1"/>
  <c r="A25" i="26"/>
  <c r="C25" i="26" s="1"/>
  <c r="A26" i="26"/>
  <c r="C26" i="26" s="1"/>
  <c r="A27" i="26"/>
  <c r="C27" i="26" s="1"/>
  <c r="A28" i="26"/>
  <c r="A29" i="26"/>
  <c r="C29" i="26" s="1"/>
  <c r="A30" i="26"/>
  <c r="C30" i="26" s="1"/>
  <c r="A31" i="26"/>
  <c r="C31" i="26" s="1"/>
  <c r="A32" i="26"/>
  <c r="C32" i="26" s="1"/>
  <c r="A33" i="26"/>
  <c r="C33" i="26" s="1"/>
  <c r="A34" i="26"/>
  <c r="C34" i="26" s="1"/>
  <c r="A35" i="26"/>
  <c r="C35" i="26" s="1"/>
  <c r="A36" i="26"/>
  <c r="C36" i="26" s="1"/>
  <c r="A37" i="26"/>
  <c r="C37" i="26" s="1"/>
  <c r="A38" i="26"/>
  <c r="C38" i="26" s="1"/>
  <c r="A39" i="26"/>
  <c r="C39" i="26" s="1"/>
  <c r="A40" i="26"/>
  <c r="C40" i="26" s="1"/>
  <c r="A41" i="26"/>
  <c r="C41" i="26" s="1"/>
  <c r="A42" i="26"/>
  <c r="C42" i="26" s="1"/>
  <c r="A43" i="26"/>
  <c r="C43" i="26" s="1"/>
  <c r="A44" i="26"/>
  <c r="C44" i="26" s="1"/>
  <c r="A45" i="26"/>
  <c r="C45" i="26" s="1"/>
  <c r="A46" i="26"/>
  <c r="C46" i="26" s="1"/>
  <c r="A47" i="26"/>
  <c r="C47" i="26" s="1"/>
  <c r="A48" i="26"/>
  <c r="C48" i="26" s="1"/>
  <c r="A49" i="26"/>
  <c r="C49" i="26" s="1"/>
  <c r="A50" i="26"/>
  <c r="C50" i="26" s="1"/>
  <c r="A51" i="26"/>
  <c r="C51" i="26" s="1"/>
  <c r="A52" i="26"/>
  <c r="C52" i="26" s="1"/>
  <c r="A53" i="26"/>
  <c r="C53" i="26" s="1"/>
  <c r="A54" i="26"/>
  <c r="C54" i="26" s="1"/>
  <c r="A55" i="26"/>
  <c r="C55" i="26" s="1"/>
  <c r="A56" i="26"/>
  <c r="C56" i="26" s="1"/>
  <c r="A57" i="26"/>
  <c r="C57" i="26" s="1"/>
  <c r="A58" i="26"/>
  <c r="C58" i="26" s="1"/>
  <c r="A59" i="26"/>
  <c r="C59" i="26" s="1"/>
  <c r="A60" i="26"/>
  <c r="C60" i="26" s="1"/>
  <c r="A61" i="26"/>
  <c r="C61" i="26" s="1"/>
  <c r="A62" i="26"/>
  <c r="C62" i="26" s="1"/>
  <c r="A63" i="26"/>
  <c r="C63" i="26" s="1"/>
  <c r="A64" i="26"/>
  <c r="C64" i="26" s="1"/>
  <c r="A65" i="26"/>
  <c r="C65" i="26" s="1"/>
  <c r="A66" i="26"/>
  <c r="C66" i="26" s="1"/>
  <c r="A67" i="26"/>
  <c r="C67" i="26" s="1"/>
  <c r="A68" i="26"/>
  <c r="C68" i="26" s="1"/>
  <c r="A69" i="26"/>
  <c r="C69" i="26" s="1"/>
  <c r="A70" i="26"/>
  <c r="C70" i="26" s="1"/>
  <c r="A71" i="26"/>
  <c r="C71" i="26" s="1"/>
  <c r="A72" i="26"/>
  <c r="C72" i="26" s="1"/>
  <c r="A73" i="26"/>
  <c r="C73" i="26" s="1"/>
  <c r="A74" i="26"/>
  <c r="C74" i="26" s="1"/>
  <c r="A75" i="26"/>
  <c r="C75" i="26" s="1"/>
  <c r="A76" i="26"/>
  <c r="C76" i="26" s="1"/>
  <c r="A77" i="26"/>
  <c r="C77" i="26" s="1"/>
  <c r="A78" i="26"/>
  <c r="C78" i="26" s="1"/>
  <c r="A79" i="26"/>
  <c r="C79" i="26" s="1"/>
  <c r="A80" i="26"/>
  <c r="C80" i="26" s="1"/>
  <c r="A81" i="26"/>
  <c r="C81" i="26" s="1"/>
  <c r="A82" i="26"/>
  <c r="C82" i="26" s="1"/>
  <c r="A83" i="26"/>
  <c r="C83" i="26" s="1"/>
  <c r="A84" i="26"/>
  <c r="C84" i="26" s="1"/>
  <c r="A85" i="26"/>
  <c r="C85" i="26" s="1"/>
  <c r="A86" i="26"/>
  <c r="C86" i="26" s="1"/>
  <c r="A87" i="26"/>
  <c r="C87" i="26" s="1"/>
  <c r="A88" i="26"/>
  <c r="C88" i="26" s="1"/>
  <c r="A89" i="26"/>
  <c r="C89" i="26" s="1"/>
  <c r="A90" i="26"/>
  <c r="C90" i="26" s="1"/>
  <c r="A91" i="26"/>
  <c r="C91" i="26" s="1"/>
  <c r="A92" i="26"/>
  <c r="C92" i="26" s="1"/>
  <c r="A93" i="26"/>
  <c r="C93" i="26" s="1"/>
  <c r="A94" i="26"/>
  <c r="C94" i="26" s="1"/>
  <c r="A95" i="26"/>
  <c r="C95" i="26" s="1"/>
  <c r="A96" i="26"/>
  <c r="C96" i="26" s="1"/>
  <c r="A97" i="26"/>
  <c r="C97" i="26" s="1"/>
  <c r="A98" i="26"/>
  <c r="C98" i="26" s="1"/>
  <c r="A99" i="26"/>
  <c r="C99" i="26" s="1"/>
  <c r="A100" i="26"/>
  <c r="C100" i="26" s="1"/>
  <c r="A101" i="26"/>
  <c r="C101" i="26" s="1"/>
  <c r="A102" i="26"/>
  <c r="C102" i="26" s="1"/>
  <c r="A103" i="26"/>
  <c r="C103" i="26" s="1"/>
  <c r="A104" i="26"/>
  <c r="C104" i="26" s="1"/>
  <c r="A105" i="26"/>
  <c r="C105" i="26" s="1"/>
  <c r="A106" i="26"/>
  <c r="C106" i="26" s="1"/>
  <c r="A107" i="26"/>
  <c r="C107" i="26" s="1"/>
  <c r="A108" i="26"/>
  <c r="C108" i="26" s="1"/>
  <c r="A109" i="26"/>
  <c r="C109" i="26" s="1"/>
  <c r="A110" i="26"/>
  <c r="C110" i="26" s="1"/>
  <c r="A111" i="26"/>
  <c r="C111" i="26" s="1"/>
  <c r="A112" i="26"/>
  <c r="C112" i="26" s="1"/>
  <c r="A113" i="26"/>
  <c r="C113" i="26" s="1"/>
  <c r="A114" i="26"/>
  <c r="C114" i="26" s="1"/>
  <c r="A115" i="26"/>
  <c r="C115" i="26" s="1"/>
  <c r="A116" i="26"/>
  <c r="C116" i="26" s="1"/>
  <c r="A117" i="26"/>
  <c r="C117" i="26" s="1"/>
  <c r="A118" i="26"/>
  <c r="C118" i="26" s="1"/>
  <c r="A119" i="26"/>
  <c r="C119" i="26" s="1"/>
  <c r="A120" i="26"/>
  <c r="C120" i="26" s="1"/>
  <c r="A121" i="26"/>
  <c r="C121" i="26" s="1"/>
  <c r="A122" i="26"/>
  <c r="C122" i="26" s="1"/>
  <c r="A123" i="26"/>
  <c r="C123" i="26" s="1"/>
  <c r="A124" i="26"/>
  <c r="C124" i="26" s="1"/>
  <c r="A125" i="26"/>
  <c r="C125" i="26" s="1"/>
  <c r="A126" i="26"/>
  <c r="C126" i="26" s="1"/>
  <c r="A127" i="26"/>
  <c r="C127" i="26" s="1"/>
  <c r="A128" i="26"/>
  <c r="C128" i="26" s="1"/>
  <c r="A129" i="26"/>
  <c r="C129" i="26" s="1"/>
  <c r="A130" i="26"/>
  <c r="C130" i="26" s="1"/>
  <c r="A131" i="26"/>
  <c r="C131" i="26" s="1"/>
  <c r="A132" i="26"/>
  <c r="C132" i="26" s="1"/>
  <c r="A133" i="26"/>
  <c r="C133" i="26" s="1"/>
  <c r="A134" i="26"/>
  <c r="C134" i="26" s="1"/>
  <c r="A135" i="26"/>
  <c r="C135" i="26" s="1"/>
  <c r="A136" i="26"/>
  <c r="C136" i="26" s="1"/>
  <c r="A137" i="26"/>
  <c r="C137" i="26" s="1"/>
  <c r="A138" i="26"/>
  <c r="C138" i="26" s="1"/>
  <c r="A139" i="26"/>
  <c r="C139" i="26" s="1"/>
  <c r="A140" i="26"/>
  <c r="C140" i="26" s="1"/>
  <c r="A141" i="26"/>
  <c r="C141" i="26" s="1"/>
  <c r="A142" i="26"/>
  <c r="C142" i="26" s="1"/>
  <c r="A143" i="26"/>
  <c r="C143" i="26" s="1"/>
  <c r="A144" i="26"/>
  <c r="C144" i="26" s="1"/>
  <c r="A145" i="26"/>
  <c r="C145" i="26" s="1"/>
  <c r="A146" i="26"/>
  <c r="C146" i="26" s="1"/>
  <c r="A147" i="26"/>
  <c r="C147" i="26" s="1"/>
  <c r="A148" i="26"/>
  <c r="C148" i="26" s="1"/>
  <c r="A149" i="26"/>
  <c r="C149" i="26" s="1"/>
  <c r="A150" i="26"/>
  <c r="C150" i="26" s="1"/>
  <c r="A151" i="26"/>
  <c r="C151" i="26" s="1"/>
  <c r="A152" i="26"/>
  <c r="C152" i="26" s="1"/>
  <c r="A153" i="26"/>
  <c r="C153" i="26" s="1"/>
  <c r="A154" i="26"/>
  <c r="C154" i="26" s="1"/>
  <c r="A155" i="26"/>
  <c r="C155" i="26" s="1"/>
  <c r="A156" i="26"/>
  <c r="C156" i="26" s="1"/>
  <c r="A157" i="26"/>
  <c r="C157" i="26" s="1"/>
  <c r="A158" i="26"/>
  <c r="C158" i="26" s="1"/>
  <c r="A159" i="26"/>
  <c r="C159" i="26" s="1"/>
  <c r="A160" i="26"/>
  <c r="C160" i="26" s="1"/>
  <c r="A161" i="26"/>
  <c r="C161" i="26" s="1"/>
  <c r="A162" i="26"/>
  <c r="C162" i="26" s="1"/>
  <c r="A163" i="26"/>
  <c r="C163" i="26" s="1"/>
  <c r="A164" i="26"/>
  <c r="C164" i="26" s="1"/>
  <c r="A165" i="26"/>
  <c r="C165" i="26" s="1"/>
  <c r="A166" i="26"/>
  <c r="C166" i="26" s="1"/>
  <c r="A167" i="26"/>
  <c r="C167" i="26" s="1"/>
  <c r="A168" i="26"/>
  <c r="C168" i="26" s="1"/>
  <c r="A169" i="26"/>
  <c r="C169" i="26" s="1"/>
  <c r="A170" i="26"/>
  <c r="C170" i="26" s="1"/>
  <c r="A171" i="26"/>
  <c r="C171" i="26" s="1"/>
  <c r="A172" i="26"/>
  <c r="C172" i="26" s="1"/>
  <c r="A173" i="26"/>
  <c r="C173" i="26" s="1"/>
  <c r="A174" i="26"/>
  <c r="C174" i="26" s="1"/>
  <c r="A175" i="26"/>
  <c r="C175" i="26" s="1"/>
  <c r="A176" i="26"/>
  <c r="C176" i="26" s="1"/>
  <c r="A177" i="26"/>
  <c r="C177" i="26" s="1"/>
  <c r="A178" i="26"/>
  <c r="C178" i="26" s="1"/>
  <c r="A179" i="26"/>
  <c r="C179" i="26" s="1"/>
  <c r="A180" i="26"/>
  <c r="C180" i="26" s="1"/>
  <c r="A181" i="26"/>
  <c r="C181" i="26" s="1"/>
  <c r="A182" i="26"/>
  <c r="C182" i="26" s="1"/>
  <c r="A183" i="26"/>
  <c r="C183" i="26" s="1"/>
  <c r="A184" i="26"/>
  <c r="C184" i="26" s="1"/>
  <c r="A185" i="26"/>
  <c r="C185" i="26" s="1"/>
  <c r="A186" i="26"/>
  <c r="C186" i="26" s="1"/>
  <c r="A187" i="26"/>
  <c r="C187" i="26" s="1"/>
  <c r="A188" i="26"/>
  <c r="C188" i="26" s="1"/>
  <c r="A189" i="26"/>
  <c r="C189" i="26" s="1"/>
  <c r="A190" i="26"/>
  <c r="C190" i="26" s="1"/>
  <c r="A191" i="26"/>
  <c r="C191" i="26" s="1"/>
  <c r="A192" i="26"/>
  <c r="C192" i="26" s="1"/>
  <c r="A193" i="26"/>
  <c r="C193" i="26" s="1"/>
  <c r="A194" i="26"/>
  <c r="C194" i="26" s="1"/>
  <c r="A195" i="26"/>
  <c r="C195" i="26" s="1"/>
  <c r="A196" i="26"/>
  <c r="C196" i="26" s="1"/>
  <c r="A197" i="26"/>
  <c r="C197" i="26" s="1"/>
  <c r="A198" i="26"/>
  <c r="C198" i="26" s="1"/>
  <c r="A199" i="26"/>
  <c r="C199" i="26" s="1"/>
  <c r="A200" i="26"/>
  <c r="C200" i="26" s="1"/>
  <c r="A201" i="26"/>
  <c r="C201" i="26" s="1"/>
  <c r="A202" i="26"/>
  <c r="C202" i="26" s="1"/>
  <c r="A203" i="26"/>
  <c r="C203" i="26" s="1"/>
  <c r="A204" i="26"/>
  <c r="C204" i="26" s="1"/>
  <c r="A205" i="26"/>
  <c r="C205" i="26" s="1"/>
  <c r="A206" i="26"/>
  <c r="C206" i="26" s="1"/>
  <c r="A207" i="26"/>
  <c r="C207" i="26" s="1"/>
  <c r="A208" i="26"/>
  <c r="C208" i="26" s="1"/>
  <c r="A209" i="26"/>
  <c r="C209" i="26" s="1"/>
  <c r="A210" i="26"/>
  <c r="C210" i="26" s="1"/>
  <c r="A211" i="26"/>
  <c r="C211" i="26" s="1"/>
  <c r="A212" i="26"/>
  <c r="C212" i="26" s="1"/>
  <c r="A213" i="26"/>
  <c r="C213" i="26" s="1"/>
  <c r="A214" i="26"/>
  <c r="C214" i="26" s="1"/>
  <c r="A215" i="26"/>
  <c r="C215" i="26" s="1"/>
  <c r="A216" i="26"/>
  <c r="C216" i="26" s="1"/>
  <c r="A217" i="26"/>
  <c r="C217" i="26" s="1"/>
  <c r="A218" i="26"/>
  <c r="C218" i="26" s="1"/>
  <c r="A219" i="26"/>
  <c r="C219" i="26" s="1"/>
  <c r="A220" i="26"/>
  <c r="C220" i="26" s="1"/>
  <c r="A221" i="26"/>
  <c r="C221" i="26" s="1"/>
  <c r="A222" i="26"/>
  <c r="C222" i="26" s="1"/>
  <c r="A223" i="26"/>
  <c r="C223" i="26" s="1"/>
  <c r="A224" i="26"/>
  <c r="C224" i="26" s="1"/>
  <c r="A225" i="26"/>
  <c r="C225" i="26" s="1"/>
  <c r="A226" i="26"/>
  <c r="C226" i="26" s="1"/>
  <c r="A227" i="26"/>
  <c r="C227" i="26" s="1"/>
  <c r="A228" i="26"/>
  <c r="C228" i="26" s="1"/>
  <c r="A229" i="26"/>
  <c r="C229" i="26" s="1"/>
  <c r="A230" i="26"/>
  <c r="C230" i="26" s="1"/>
  <c r="A231" i="26"/>
  <c r="C231" i="26" s="1"/>
  <c r="A232" i="26"/>
  <c r="C232" i="26" s="1"/>
  <c r="A233" i="26"/>
  <c r="C233" i="26" s="1"/>
  <c r="A234" i="26"/>
  <c r="C234" i="26" s="1"/>
  <c r="A235" i="26"/>
  <c r="C235" i="26" s="1"/>
  <c r="A236" i="26"/>
  <c r="C236" i="26" s="1"/>
  <c r="A237" i="26"/>
  <c r="C237" i="26" s="1"/>
  <c r="A238" i="26"/>
  <c r="C238" i="26" s="1"/>
  <c r="A239" i="26"/>
  <c r="C239" i="26" s="1"/>
  <c r="A240" i="26"/>
  <c r="C240" i="26" s="1"/>
  <c r="A241" i="26"/>
  <c r="C241" i="26" s="1"/>
  <c r="A242" i="26"/>
  <c r="C242" i="26" s="1"/>
  <c r="A243" i="26"/>
  <c r="C243" i="26" s="1"/>
  <c r="A244" i="26"/>
  <c r="C244" i="26" s="1"/>
  <c r="A245" i="26"/>
  <c r="C245" i="26" s="1"/>
  <c r="A246" i="26"/>
  <c r="C246" i="26" s="1"/>
  <c r="A247" i="26"/>
  <c r="C247" i="26" s="1"/>
  <c r="A248" i="26"/>
  <c r="C248" i="26" s="1"/>
  <c r="A249" i="26"/>
  <c r="C249" i="26" s="1"/>
  <c r="A250" i="26"/>
  <c r="C250" i="26" s="1"/>
  <c r="A251" i="26"/>
  <c r="C251" i="26" s="1"/>
  <c r="A252" i="26"/>
  <c r="C252" i="26" s="1"/>
  <c r="A253" i="26"/>
  <c r="C253" i="26" s="1"/>
  <c r="A254" i="26"/>
  <c r="C254" i="26" s="1"/>
  <c r="A255" i="26"/>
  <c r="C255" i="26" s="1"/>
  <c r="A256" i="26"/>
  <c r="C256" i="26" s="1"/>
  <c r="A257" i="26"/>
  <c r="C257" i="26" s="1"/>
  <c r="A258" i="26"/>
  <c r="C258" i="26" s="1"/>
  <c r="A259" i="26"/>
  <c r="C259" i="26" s="1"/>
  <c r="A260" i="26"/>
  <c r="C260" i="26" s="1"/>
  <c r="A261" i="26"/>
  <c r="C261" i="26" s="1"/>
  <c r="A262" i="26"/>
  <c r="C262" i="26" s="1"/>
  <c r="A263" i="26"/>
  <c r="C263" i="26" s="1"/>
  <c r="A264" i="26"/>
  <c r="C264" i="26" s="1"/>
  <c r="A265" i="26"/>
  <c r="C265" i="26" s="1"/>
  <c r="A266" i="26"/>
  <c r="C266" i="26" s="1"/>
  <c r="A267" i="26"/>
  <c r="C267" i="26" s="1"/>
  <c r="A268" i="26"/>
  <c r="C268" i="26" s="1"/>
  <c r="A269" i="26"/>
  <c r="C269" i="26" s="1"/>
  <c r="A270" i="26"/>
  <c r="C270" i="26" s="1"/>
  <c r="A271" i="26"/>
  <c r="C271" i="26" s="1"/>
  <c r="A272" i="26"/>
  <c r="C272" i="26" s="1"/>
  <c r="A273" i="26"/>
  <c r="C273" i="26" s="1"/>
  <c r="A274" i="26"/>
  <c r="C274" i="26" s="1"/>
  <c r="A275" i="26"/>
  <c r="C275" i="26" s="1"/>
  <c r="A276" i="26"/>
  <c r="C276" i="26" s="1"/>
  <c r="A277" i="26"/>
  <c r="C277" i="26" s="1"/>
  <c r="A278" i="26"/>
  <c r="C278" i="26" s="1"/>
  <c r="A279" i="26"/>
  <c r="C279" i="26" s="1"/>
  <c r="A280" i="26"/>
  <c r="C280" i="26" s="1"/>
  <c r="A281" i="26"/>
  <c r="C281" i="26" s="1"/>
  <c r="A282" i="26"/>
  <c r="C282" i="26" s="1"/>
  <c r="A283" i="26"/>
  <c r="C283" i="26" s="1"/>
  <c r="A284" i="26"/>
  <c r="C284" i="26" s="1"/>
  <c r="A285" i="26"/>
  <c r="C285" i="26" s="1"/>
  <c r="A286" i="26"/>
  <c r="C286" i="26" s="1"/>
  <c r="A287" i="26"/>
  <c r="C287" i="26" s="1"/>
  <c r="A288" i="26"/>
  <c r="C288" i="26" s="1"/>
  <c r="A289" i="26"/>
  <c r="C289" i="26" s="1"/>
  <c r="A290" i="26"/>
  <c r="C290" i="26" s="1"/>
  <c r="A291" i="26"/>
  <c r="C291" i="26" s="1"/>
  <c r="A292" i="26"/>
  <c r="C292" i="26" s="1"/>
  <c r="A293" i="26"/>
  <c r="C293" i="26" s="1"/>
  <c r="A294" i="26"/>
  <c r="C294" i="26" s="1"/>
  <c r="A295" i="26"/>
  <c r="C295" i="26" s="1"/>
  <c r="A296" i="26"/>
  <c r="C296" i="26" s="1"/>
  <c r="A297" i="26"/>
  <c r="C297" i="26" s="1"/>
  <c r="A298" i="26"/>
  <c r="C298" i="26" s="1"/>
  <c r="A299" i="26"/>
  <c r="C299" i="26" s="1"/>
  <c r="A300" i="26"/>
  <c r="C300" i="26" s="1"/>
  <c r="A301" i="26"/>
  <c r="C301" i="26" s="1"/>
  <c r="A302" i="26"/>
  <c r="C302" i="26" s="1"/>
  <c r="A303" i="26"/>
  <c r="C303" i="26" s="1"/>
  <c r="A304" i="26"/>
  <c r="C304" i="26" s="1"/>
  <c r="A305" i="26"/>
  <c r="C305" i="26" s="1"/>
  <c r="A306" i="26"/>
  <c r="C306" i="26" s="1"/>
  <c r="A307" i="26"/>
  <c r="C307" i="26" s="1"/>
  <c r="A308" i="26"/>
  <c r="C308" i="26" s="1"/>
  <c r="A309" i="26"/>
  <c r="C309" i="26" s="1"/>
  <c r="A310" i="26"/>
  <c r="C310" i="26" s="1"/>
  <c r="A311" i="26"/>
  <c r="C311" i="26" s="1"/>
  <c r="A312" i="26"/>
  <c r="C312" i="26" s="1"/>
  <c r="A313" i="26"/>
  <c r="C313" i="26" s="1"/>
  <c r="A314" i="26"/>
  <c r="C314" i="26" s="1"/>
  <c r="A315" i="26"/>
  <c r="C315" i="26" s="1"/>
  <c r="A316" i="26"/>
  <c r="C316" i="26" s="1"/>
  <c r="A317" i="26"/>
  <c r="C317" i="26" s="1"/>
  <c r="A318" i="26"/>
  <c r="C318" i="26" s="1"/>
  <c r="A319" i="26"/>
  <c r="C319" i="26" s="1"/>
  <c r="A320" i="26"/>
  <c r="C320" i="26" s="1"/>
  <c r="A321" i="26"/>
  <c r="C321" i="26" s="1"/>
  <c r="A322" i="26"/>
  <c r="C322" i="26" s="1"/>
  <c r="A323" i="26"/>
  <c r="C323" i="26" s="1"/>
  <c r="A324" i="26"/>
  <c r="C324" i="26" s="1"/>
  <c r="A325" i="26"/>
  <c r="C325" i="26" s="1"/>
  <c r="A326" i="26"/>
  <c r="C326" i="26" s="1"/>
  <c r="A327" i="26"/>
  <c r="C327" i="26" s="1"/>
  <c r="A328" i="26"/>
  <c r="C328" i="26" s="1"/>
  <c r="A329" i="26"/>
  <c r="C329" i="26" s="1"/>
  <c r="A330" i="26"/>
  <c r="C330" i="26" s="1"/>
  <c r="A331" i="26"/>
  <c r="C331" i="26" s="1"/>
  <c r="A332" i="26"/>
  <c r="C332" i="26" s="1"/>
  <c r="A333" i="26"/>
  <c r="C333" i="26" s="1"/>
  <c r="A334" i="26"/>
  <c r="C334" i="26" s="1"/>
  <c r="A335" i="26"/>
  <c r="C335" i="26" s="1"/>
  <c r="A336" i="26"/>
  <c r="C336" i="26" s="1"/>
  <c r="A337" i="26"/>
  <c r="C337" i="26" s="1"/>
  <c r="A338" i="26"/>
  <c r="C338" i="26" s="1"/>
  <c r="A339" i="26"/>
  <c r="C339" i="26" s="1"/>
  <c r="A340" i="26"/>
  <c r="C340" i="26" s="1"/>
  <c r="A341" i="26"/>
  <c r="C341" i="26" s="1"/>
  <c r="A342" i="26"/>
  <c r="C342" i="26" s="1"/>
  <c r="A343" i="26"/>
  <c r="C343" i="26" s="1"/>
  <c r="A344" i="26"/>
  <c r="C344" i="26" s="1"/>
  <c r="A345" i="26"/>
  <c r="C345" i="26" s="1"/>
  <c r="A346" i="26"/>
  <c r="C346" i="26" s="1"/>
  <c r="A347" i="26"/>
  <c r="C347" i="26" s="1"/>
  <c r="A348" i="26"/>
  <c r="C348" i="26" s="1"/>
  <c r="A349" i="26"/>
  <c r="C349" i="26" s="1"/>
  <c r="A350" i="26"/>
  <c r="C350" i="26" s="1"/>
  <c r="A351" i="26"/>
  <c r="C351" i="26" s="1"/>
  <c r="A352" i="26"/>
  <c r="C352" i="26" s="1"/>
  <c r="A353" i="26"/>
  <c r="C353" i="26" s="1"/>
  <c r="A354" i="26"/>
  <c r="C354" i="26" s="1"/>
  <c r="A355" i="26"/>
  <c r="C355" i="26" s="1"/>
  <c r="A356" i="26"/>
  <c r="C356" i="26" s="1"/>
  <c r="A357" i="26"/>
  <c r="C357" i="26" s="1"/>
  <c r="A358" i="26"/>
  <c r="C358" i="26" s="1"/>
  <c r="A359" i="26"/>
  <c r="C359" i="26" s="1"/>
  <c r="A360" i="26"/>
  <c r="C360" i="26" s="1"/>
  <c r="A361" i="26"/>
  <c r="C361" i="26" s="1"/>
  <c r="A362" i="26"/>
  <c r="C362" i="26" s="1"/>
  <c r="A363" i="26"/>
  <c r="C363" i="26" s="1"/>
  <c r="A364" i="26"/>
  <c r="C364" i="26" s="1"/>
  <c r="A365" i="26"/>
  <c r="C365" i="26" s="1"/>
  <c r="A366" i="26"/>
  <c r="C366" i="26" s="1"/>
  <c r="A367" i="26"/>
  <c r="C367" i="26" s="1"/>
  <c r="A368" i="26"/>
  <c r="C368" i="26" s="1"/>
  <c r="A369" i="26"/>
  <c r="C369" i="26" s="1"/>
  <c r="A370" i="26"/>
  <c r="C370" i="26" s="1"/>
  <c r="A371" i="26"/>
  <c r="C371" i="26" s="1"/>
  <c r="A372" i="26"/>
  <c r="C372" i="26" s="1"/>
  <c r="A373" i="26"/>
  <c r="C373" i="26" s="1"/>
  <c r="A374" i="26"/>
  <c r="C374" i="26" s="1"/>
  <c r="A375" i="26"/>
  <c r="C375" i="26" s="1"/>
  <c r="A376" i="26"/>
  <c r="C376" i="26" s="1"/>
  <c r="A377" i="26"/>
  <c r="C377" i="26" s="1"/>
  <c r="A378" i="26"/>
  <c r="C378" i="26" s="1"/>
  <c r="A379" i="26"/>
  <c r="C379" i="26" s="1"/>
  <c r="A380" i="26"/>
  <c r="C380" i="26" s="1"/>
  <c r="A381" i="26"/>
  <c r="C381" i="26" s="1"/>
  <c r="A382" i="26"/>
  <c r="C382" i="26" s="1"/>
  <c r="A383" i="26"/>
  <c r="C383" i="26" s="1"/>
  <c r="A384" i="26"/>
  <c r="C384" i="26" s="1"/>
  <c r="A385" i="26"/>
  <c r="C385" i="26" s="1"/>
  <c r="A386" i="26"/>
  <c r="C386" i="26" s="1"/>
  <c r="A387" i="26"/>
  <c r="C387" i="26" s="1"/>
  <c r="A388" i="26"/>
  <c r="C388" i="26" s="1"/>
  <c r="A389" i="26"/>
  <c r="C389" i="26" s="1"/>
  <c r="A390" i="26"/>
  <c r="C390" i="26" s="1"/>
  <c r="A391" i="26"/>
  <c r="C391" i="26" s="1"/>
  <c r="A392" i="26"/>
  <c r="C392" i="26" s="1"/>
  <c r="A393" i="26"/>
  <c r="C393" i="26" s="1"/>
  <c r="A394" i="26"/>
  <c r="C394" i="26" s="1"/>
  <c r="A395" i="26"/>
  <c r="C395" i="26" s="1"/>
  <c r="A396" i="26"/>
  <c r="C396" i="26" s="1"/>
  <c r="A397" i="26"/>
  <c r="C397" i="26" s="1"/>
  <c r="A398" i="26"/>
  <c r="C398" i="26" s="1"/>
  <c r="A399" i="26"/>
  <c r="C399" i="26" s="1"/>
  <c r="A400" i="26"/>
  <c r="C400" i="26" s="1"/>
  <c r="A401" i="26"/>
  <c r="C401" i="26" s="1"/>
  <c r="A402" i="26"/>
  <c r="C402" i="26" s="1"/>
  <c r="A403" i="26"/>
  <c r="C403" i="26" s="1"/>
  <c r="A404" i="26"/>
  <c r="C404" i="26" s="1"/>
  <c r="A405" i="26"/>
  <c r="C405" i="26" s="1"/>
  <c r="A406" i="26"/>
  <c r="C406" i="26" s="1"/>
  <c r="A407" i="26"/>
  <c r="C407" i="26" s="1"/>
  <c r="A408" i="26"/>
  <c r="C408" i="26" s="1"/>
  <c r="A409" i="26"/>
  <c r="C409" i="26" s="1"/>
  <c r="A410" i="26"/>
  <c r="C410" i="26" s="1"/>
  <c r="A411" i="26"/>
  <c r="C411" i="26" s="1"/>
  <c r="A412" i="26"/>
  <c r="C412" i="26" s="1"/>
  <c r="A413" i="26"/>
  <c r="C413" i="26" s="1"/>
  <c r="A414" i="26"/>
  <c r="C414" i="26" s="1"/>
  <c r="A415" i="26"/>
  <c r="C415" i="26" s="1"/>
  <c r="A416" i="26"/>
  <c r="C416" i="26" s="1"/>
  <c r="A417" i="26"/>
  <c r="C417" i="26" s="1"/>
  <c r="A418" i="26"/>
  <c r="C418" i="26" s="1"/>
  <c r="A419" i="26"/>
  <c r="C419" i="26" s="1"/>
  <c r="A420" i="26"/>
  <c r="C420" i="26" s="1"/>
  <c r="A421" i="26"/>
  <c r="C421" i="26" s="1"/>
  <c r="A422" i="26"/>
  <c r="C422" i="26" s="1"/>
  <c r="A423" i="26"/>
  <c r="C423" i="26" s="1"/>
  <c r="A424" i="26"/>
  <c r="C424" i="26" s="1"/>
  <c r="A425" i="26"/>
  <c r="C425" i="26" s="1"/>
  <c r="A426" i="26"/>
  <c r="C426" i="26" s="1"/>
  <c r="A427" i="26"/>
  <c r="C427" i="26" s="1"/>
  <c r="A428" i="26"/>
  <c r="C428" i="26" s="1"/>
  <c r="A429" i="26"/>
  <c r="C429" i="26" s="1"/>
  <c r="A430" i="26"/>
  <c r="C430" i="26" s="1"/>
  <c r="A431" i="26"/>
  <c r="C431" i="26" s="1"/>
  <c r="A432" i="26"/>
  <c r="C432" i="26" s="1"/>
  <c r="A433" i="26"/>
  <c r="C433" i="26" s="1"/>
  <c r="A434" i="26"/>
  <c r="C434" i="26" s="1"/>
  <c r="A435" i="26"/>
  <c r="C435" i="26" s="1"/>
  <c r="A436" i="26"/>
  <c r="C436" i="26" s="1"/>
  <c r="A437" i="26"/>
  <c r="C437" i="26" s="1"/>
  <c r="A438" i="26"/>
  <c r="C438" i="26" s="1"/>
  <c r="A439" i="26"/>
  <c r="C439" i="26" s="1"/>
  <c r="A440" i="26"/>
  <c r="C440" i="26" s="1"/>
  <c r="A441" i="26"/>
  <c r="C441" i="26" s="1"/>
  <c r="A442" i="26"/>
  <c r="C442" i="26" s="1"/>
  <c r="A443" i="26"/>
  <c r="C443" i="26" s="1"/>
  <c r="A444" i="26"/>
  <c r="C444" i="26" s="1"/>
  <c r="A445" i="26"/>
  <c r="C445" i="26" s="1"/>
  <c r="A446" i="26"/>
  <c r="C446" i="26" s="1"/>
  <c r="A447" i="26"/>
  <c r="C447" i="26" s="1"/>
  <c r="A448" i="26"/>
  <c r="C448" i="26" s="1"/>
  <c r="A449" i="26"/>
  <c r="C449" i="26" s="1"/>
  <c r="A450" i="26"/>
  <c r="C450" i="26" s="1"/>
  <c r="A451" i="26"/>
  <c r="C451" i="26" s="1"/>
  <c r="A452" i="26"/>
  <c r="C452" i="26" s="1"/>
  <c r="A453" i="26"/>
  <c r="C453" i="26" s="1"/>
  <c r="A454" i="26"/>
  <c r="C454" i="26" s="1"/>
  <c r="A455" i="26"/>
  <c r="C455" i="26" s="1"/>
  <c r="A456" i="26"/>
  <c r="C456" i="26" s="1"/>
  <c r="A457" i="26"/>
  <c r="C457" i="26" s="1"/>
  <c r="A458" i="26"/>
  <c r="C458" i="26" s="1"/>
  <c r="A459" i="26"/>
  <c r="C459" i="26" s="1"/>
  <c r="A460" i="26"/>
  <c r="C460" i="26" s="1"/>
  <c r="A461" i="26"/>
  <c r="C461" i="26" s="1"/>
  <c r="A462" i="26"/>
  <c r="C462" i="26" s="1"/>
  <c r="A463" i="26"/>
  <c r="C463" i="26" s="1"/>
  <c r="A464" i="26"/>
  <c r="C464" i="26" s="1"/>
  <c r="A465" i="26"/>
  <c r="C465" i="26" s="1"/>
  <c r="A466" i="26"/>
  <c r="C466" i="26" s="1"/>
  <c r="A467" i="26"/>
  <c r="C467" i="26" s="1"/>
  <c r="A468" i="26"/>
  <c r="C468" i="26" s="1"/>
  <c r="A469" i="26"/>
  <c r="C469" i="26" s="1"/>
  <c r="A470" i="26"/>
  <c r="C470" i="26" s="1"/>
  <c r="A471" i="26"/>
  <c r="C471" i="26" s="1"/>
  <c r="A472" i="26"/>
  <c r="C472" i="26" s="1"/>
  <c r="A473" i="26"/>
  <c r="C473" i="26" s="1"/>
  <c r="A474" i="26"/>
  <c r="C474" i="26" s="1"/>
  <c r="A475" i="26"/>
  <c r="C475" i="26" s="1"/>
  <c r="A476" i="26"/>
  <c r="C476" i="26" s="1"/>
  <c r="A477" i="26"/>
  <c r="C477" i="26" s="1"/>
  <c r="A478" i="26"/>
  <c r="C478" i="26" s="1"/>
  <c r="A479" i="26"/>
  <c r="C479" i="26" s="1"/>
  <c r="A480" i="26"/>
  <c r="C480" i="26" s="1"/>
  <c r="A481" i="26"/>
  <c r="C481" i="26" s="1"/>
  <c r="A482" i="26"/>
  <c r="C482" i="26" s="1"/>
  <c r="A483" i="26"/>
  <c r="C483" i="26" s="1"/>
  <c r="A484" i="26"/>
  <c r="C484" i="26" s="1"/>
  <c r="A485" i="26"/>
  <c r="C485" i="26" s="1"/>
  <c r="A486" i="26"/>
  <c r="C486" i="26" s="1"/>
  <c r="A487" i="26"/>
  <c r="C487" i="26" s="1"/>
  <c r="A488" i="26"/>
  <c r="C488" i="26" s="1"/>
  <c r="A489" i="26"/>
  <c r="C489" i="26" s="1"/>
  <c r="A490" i="26"/>
  <c r="C490" i="26" s="1"/>
  <c r="A491" i="26"/>
  <c r="C491" i="26" s="1"/>
  <c r="A492" i="26"/>
  <c r="C492" i="26" s="1"/>
  <c r="A493" i="26"/>
  <c r="C493" i="26" s="1"/>
  <c r="A494" i="26"/>
  <c r="C494" i="26" s="1"/>
  <c r="A495" i="26"/>
  <c r="C495" i="26" s="1"/>
  <c r="A496" i="26"/>
  <c r="C496" i="26" s="1"/>
  <c r="A497" i="26"/>
  <c r="C497" i="26" s="1"/>
  <c r="A498" i="26"/>
  <c r="C498" i="26" s="1"/>
  <c r="A499" i="26"/>
  <c r="C499" i="26" s="1"/>
  <c r="A500" i="26"/>
  <c r="C500" i="26" s="1"/>
  <c r="A501" i="26"/>
  <c r="C501" i="26" s="1"/>
  <c r="A502" i="26"/>
  <c r="C502" i="26" s="1"/>
  <c r="A503" i="26"/>
  <c r="C503" i="26" s="1"/>
  <c r="A504" i="26"/>
  <c r="C504" i="26" s="1"/>
  <c r="A505" i="26"/>
  <c r="C505" i="26" s="1"/>
  <c r="A506" i="26"/>
  <c r="C506" i="26" s="1"/>
  <c r="A507" i="26"/>
  <c r="C507" i="26" s="1"/>
  <c r="A508" i="26"/>
  <c r="C508" i="26" s="1"/>
  <c r="A509" i="26"/>
  <c r="C509" i="26" s="1"/>
  <c r="A510" i="26"/>
  <c r="C510" i="26" s="1"/>
  <c r="A511" i="26"/>
  <c r="C511" i="26" s="1"/>
  <c r="A512" i="26"/>
  <c r="C512" i="26" s="1"/>
  <c r="A513" i="26"/>
  <c r="C513" i="26" s="1"/>
  <c r="A514" i="26"/>
  <c r="C514" i="26" s="1"/>
  <c r="A515" i="26"/>
  <c r="C515" i="26" s="1"/>
  <c r="A516" i="26"/>
  <c r="C516" i="26" s="1"/>
  <c r="A517" i="26"/>
  <c r="C517" i="26" s="1"/>
  <c r="A518" i="26"/>
  <c r="C518" i="26" s="1"/>
  <c r="A519" i="26"/>
  <c r="C519" i="26" s="1"/>
  <c r="A520" i="26"/>
  <c r="C520" i="26" s="1"/>
  <c r="A521" i="26"/>
  <c r="C521" i="26" s="1"/>
  <c r="A522" i="26"/>
  <c r="C522" i="26" s="1"/>
  <c r="A523" i="26"/>
  <c r="C523" i="26" s="1"/>
  <c r="A524" i="26"/>
  <c r="C524" i="26" s="1"/>
  <c r="A525" i="26"/>
  <c r="C525" i="26" s="1"/>
  <c r="A526" i="26"/>
  <c r="C526" i="26" s="1"/>
  <c r="A527" i="26"/>
  <c r="C527" i="26" s="1"/>
  <c r="A528" i="26"/>
  <c r="C528" i="26" s="1"/>
  <c r="A529" i="26"/>
  <c r="C529" i="26" s="1"/>
  <c r="A530" i="26"/>
  <c r="C530" i="26" s="1"/>
  <c r="A531" i="26"/>
  <c r="C531" i="26" s="1"/>
  <c r="A532" i="26"/>
  <c r="C532" i="26" s="1"/>
  <c r="A533" i="26"/>
  <c r="C533" i="26" s="1"/>
  <c r="A534" i="26"/>
  <c r="C534" i="26" s="1"/>
  <c r="A535" i="26"/>
  <c r="C535" i="26" s="1"/>
  <c r="A536" i="26"/>
  <c r="C536" i="26" s="1"/>
  <c r="A537" i="26"/>
  <c r="C537" i="26" s="1"/>
  <c r="A538" i="26"/>
  <c r="C538" i="26" s="1"/>
  <c r="A539" i="26"/>
  <c r="C539" i="26" s="1"/>
  <c r="A540" i="26"/>
  <c r="C540" i="26" s="1"/>
  <c r="A541" i="26"/>
  <c r="C541" i="26" s="1"/>
  <c r="A542" i="26"/>
  <c r="C542" i="26" s="1"/>
  <c r="A543" i="26"/>
  <c r="C543" i="26" s="1"/>
  <c r="A544" i="26"/>
  <c r="C544" i="26" s="1"/>
  <c r="A545" i="26"/>
  <c r="C545" i="26" s="1"/>
  <c r="A546" i="26"/>
  <c r="C546" i="26" s="1"/>
  <c r="A547" i="26"/>
  <c r="C547" i="26" s="1"/>
  <c r="A548" i="26"/>
  <c r="C548" i="26" s="1"/>
  <c r="A549" i="26"/>
  <c r="C549" i="26" s="1"/>
  <c r="A550" i="26"/>
  <c r="C550" i="26" s="1"/>
  <c r="A551" i="26"/>
  <c r="C551" i="26" s="1"/>
  <c r="A552" i="26"/>
  <c r="C552" i="26" s="1"/>
  <c r="A553" i="26"/>
  <c r="C553" i="26" s="1"/>
  <c r="A554" i="26"/>
  <c r="C554" i="26" s="1"/>
  <c r="A555" i="26"/>
  <c r="C555" i="26" s="1"/>
  <c r="A556" i="26"/>
  <c r="C556" i="26" s="1"/>
  <c r="A557" i="26"/>
  <c r="C557" i="26" s="1"/>
  <c r="A558" i="26"/>
  <c r="C558" i="26" s="1"/>
  <c r="A559" i="26"/>
  <c r="C559" i="26" s="1"/>
  <c r="A560" i="26"/>
  <c r="C560" i="26" s="1"/>
  <c r="A561" i="26"/>
  <c r="C561" i="26" s="1"/>
  <c r="A562" i="26"/>
  <c r="C562" i="26" s="1"/>
  <c r="A563" i="26"/>
  <c r="C563" i="26" s="1"/>
  <c r="A564" i="26"/>
  <c r="C564" i="26" s="1"/>
  <c r="A565" i="26"/>
  <c r="C565" i="26" s="1"/>
  <c r="A566" i="26"/>
  <c r="C566" i="26" s="1"/>
  <c r="A567" i="26"/>
  <c r="C567" i="26" s="1"/>
  <c r="A568" i="26"/>
  <c r="C568" i="26" s="1"/>
  <c r="A569" i="26"/>
  <c r="C569" i="26" s="1"/>
  <c r="A570" i="26"/>
  <c r="C570" i="26" s="1"/>
  <c r="A571" i="26"/>
  <c r="C571" i="26" s="1"/>
  <c r="A572" i="26"/>
  <c r="C572" i="26" s="1"/>
  <c r="A573" i="26"/>
  <c r="C573" i="26" s="1"/>
  <c r="A574" i="26"/>
  <c r="C574" i="26" s="1"/>
  <c r="A575" i="26"/>
  <c r="C575" i="26" s="1"/>
  <c r="A576" i="26"/>
  <c r="C576" i="26" s="1"/>
  <c r="A577" i="26"/>
  <c r="C577" i="26" s="1"/>
  <c r="A578" i="26"/>
  <c r="C578" i="26" s="1"/>
  <c r="A579" i="26"/>
  <c r="C579" i="26" s="1"/>
  <c r="A580" i="26"/>
  <c r="C580" i="26" s="1"/>
  <c r="A581" i="26"/>
  <c r="C581" i="26" s="1"/>
  <c r="A582" i="26"/>
  <c r="C582" i="26" s="1"/>
  <c r="A583" i="26"/>
  <c r="C583" i="26" s="1"/>
  <c r="A584" i="26"/>
  <c r="C584" i="26" s="1"/>
  <c r="A585" i="26"/>
  <c r="C585" i="26" s="1"/>
  <c r="A586" i="26"/>
  <c r="C586" i="26" s="1"/>
  <c r="A587" i="26"/>
  <c r="C587" i="26" s="1"/>
  <c r="A588" i="26"/>
  <c r="C588" i="26" s="1"/>
  <c r="A589" i="26"/>
  <c r="C589" i="26" s="1"/>
  <c r="A590" i="26"/>
  <c r="C590" i="26" s="1"/>
  <c r="A591" i="26"/>
  <c r="C591" i="26" s="1"/>
  <c r="A592" i="26"/>
  <c r="C592" i="26" s="1"/>
  <c r="A593" i="26"/>
  <c r="C593" i="26" s="1"/>
  <c r="A594" i="26"/>
  <c r="C594" i="26" s="1"/>
  <c r="A595" i="26"/>
  <c r="C595" i="26" s="1"/>
  <c r="A596" i="26"/>
  <c r="C596" i="26" s="1"/>
  <c r="A597" i="26"/>
  <c r="C597" i="26" s="1"/>
  <c r="A598" i="26"/>
  <c r="C598" i="26" s="1"/>
  <c r="A599" i="26"/>
  <c r="C599" i="26" s="1"/>
  <c r="A600" i="26"/>
  <c r="C600" i="26" s="1"/>
  <c r="A601" i="26"/>
  <c r="C601" i="26" s="1"/>
  <c r="A602" i="26"/>
  <c r="C602" i="26" s="1"/>
  <c r="A603" i="26"/>
  <c r="C603" i="26" s="1"/>
  <c r="A604" i="26"/>
  <c r="C604" i="26" s="1"/>
  <c r="A605" i="26"/>
  <c r="C605" i="26" s="1"/>
  <c r="A606" i="26"/>
  <c r="C606" i="26" s="1"/>
  <c r="A607" i="26"/>
  <c r="C607" i="26" s="1"/>
  <c r="A608" i="26"/>
  <c r="C608" i="26" s="1"/>
  <c r="A609" i="26"/>
  <c r="C609" i="26" s="1"/>
  <c r="A610" i="26"/>
  <c r="C610" i="26" s="1"/>
  <c r="A611" i="26"/>
  <c r="C611" i="26" s="1"/>
  <c r="A612" i="26"/>
  <c r="C612" i="26" s="1"/>
  <c r="A613" i="26"/>
  <c r="C613" i="26" s="1"/>
  <c r="A614" i="26"/>
  <c r="C614" i="26" s="1"/>
  <c r="A615" i="26"/>
  <c r="C615" i="26" s="1"/>
  <c r="A616" i="26"/>
  <c r="C616" i="26" s="1"/>
  <c r="A617" i="26"/>
  <c r="C617" i="26" s="1"/>
  <c r="A618" i="26"/>
  <c r="C618" i="26" s="1"/>
  <c r="A619" i="26"/>
  <c r="C619" i="26" s="1"/>
  <c r="A620" i="26"/>
  <c r="C620" i="26" s="1"/>
  <c r="A621" i="26"/>
  <c r="C621" i="26" s="1"/>
  <c r="A622" i="26"/>
  <c r="C622" i="26" s="1"/>
  <c r="A623" i="26"/>
  <c r="C623" i="26" s="1"/>
  <c r="A624" i="26"/>
  <c r="C624" i="26" s="1"/>
  <c r="A625" i="26"/>
  <c r="C625" i="26" s="1"/>
  <c r="A626" i="26"/>
  <c r="C626" i="26" s="1"/>
  <c r="A627" i="26"/>
  <c r="C627" i="26" s="1"/>
  <c r="A628" i="26"/>
  <c r="C628" i="26" s="1"/>
  <c r="A629" i="26"/>
  <c r="C629" i="26" s="1"/>
  <c r="A630" i="26"/>
  <c r="C630" i="26" s="1"/>
  <c r="A631" i="26"/>
  <c r="C631" i="26" s="1"/>
  <c r="A632" i="26"/>
  <c r="C632" i="26" s="1"/>
  <c r="A633" i="26"/>
  <c r="C633" i="26" s="1"/>
  <c r="A634" i="26"/>
  <c r="C634" i="26" s="1"/>
  <c r="A635" i="26"/>
  <c r="C635" i="26" s="1"/>
  <c r="A636" i="26"/>
  <c r="C636" i="26" s="1"/>
  <c r="A637" i="26"/>
  <c r="C637" i="26" s="1"/>
  <c r="A638" i="26"/>
  <c r="C638" i="26" s="1"/>
  <c r="A639" i="26"/>
  <c r="C639" i="26" s="1"/>
  <c r="A640" i="26"/>
  <c r="C640" i="26" s="1"/>
  <c r="A641" i="26"/>
  <c r="C641" i="26" s="1"/>
  <c r="A642" i="26"/>
  <c r="C642" i="26" s="1"/>
  <c r="A643" i="26"/>
  <c r="C643" i="26" s="1"/>
  <c r="A644" i="26"/>
  <c r="C644" i="26" s="1"/>
  <c r="A645" i="26"/>
  <c r="C645" i="26" s="1"/>
  <c r="A646" i="26"/>
  <c r="C646" i="26" s="1"/>
  <c r="A647" i="26"/>
  <c r="C647" i="26" s="1"/>
  <c r="A648" i="26"/>
  <c r="C648" i="26" s="1"/>
  <c r="A649" i="26"/>
  <c r="C649" i="26" s="1"/>
  <c r="A650" i="26"/>
  <c r="C650" i="26" s="1"/>
  <c r="A651" i="26"/>
  <c r="C651" i="26" s="1"/>
  <c r="A652" i="26"/>
  <c r="C652" i="26" s="1"/>
  <c r="A653" i="26"/>
  <c r="C653" i="26" s="1"/>
  <c r="A654" i="26"/>
  <c r="C654" i="26" s="1"/>
  <c r="A655" i="26"/>
  <c r="C655" i="26" s="1"/>
  <c r="A656" i="26"/>
  <c r="C656" i="26" s="1"/>
  <c r="A657" i="26"/>
  <c r="C657" i="26" s="1"/>
  <c r="A658" i="26"/>
  <c r="C658" i="26" s="1"/>
  <c r="A659" i="26"/>
  <c r="C659" i="26" s="1"/>
  <c r="A660" i="26"/>
  <c r="C660" i="26" s="1"/>
  <c r="A661" i="26"/>
  <c r="C661" i="26" s="1"/>
  <c r="A662" i="26"/>
  <c r="C662" i="26" s="1"/>
  <c r="A663" i="26"/>
  <c r="C663" i="26" s="1"/>
  <c r="A664" i="26"/>
  <c r="C664" i="26" s="1"/>
  <c r="A665" i="26"/>
  <c r="C665" i="26" s="1"/>
  <c r="A666" i="26"/>
  <c r="C666" i="26" s="1"/>
  <c r="A667" i="26"/>
  <c r="C667" i="26" s="1"/>
  <c r="A668" i="26"/>
  <c r="C668" i="26" s="1"/>
  <c r="A669" i="26"/>
  <c r="C669" i="26" s="1"/>
  <c r="A670" i="26"/>
  <c r="C670" i="26" s="1"/>
  <c r="A671" i="26"/>
  <c r="C671" i="26" s="1"/>
  <c r="A672" i="26"/>
  <c r="C672" i="26" s="1"/>
  <c r="A673" i="26"/>
  <c r="C673" i="26" s="1"/>
  <c r="A674" i="26"/>
  <c r="C674" i="26" s="1"/>
  <c r="A675" i="26"/>
  <c r="C675" i="26" s="1"/>
  <c r="A676" i="26"/>
  <c r="C676" i="26" s="1"/>
  <c r="A677" i="26"/>
  <c r="C677" i="26" s="1"/>
  <c r="A678" i="26"/>
  <c r="C678" i="26" s="1"/>
  <c r="A679" i="26"/>
  <c r="C679" i="26" s="1"/>
  <c r="A680" i="26"/>
  <c r="C680" i="26" s="1"/>
  <c r="A681" i="26"/>
  <c r="C681" i="26" s="1"/>
  <c r="A682" i="26"/>
  <c r="C682" i="26" s="1"/>
  <c r="A683" i="26"/>
  <c r="C683" i="26" s="1"/>
  <c r="A684" i="26"/>
  <c r="C684" i="26" s="1"/>
  <c r="A685" i="26"/>
  <c r="C685" i="26" s="1"/>
  <c r="A686" i="26"/>
  <c r="C686" i="26" s="1"/>
  <c r="A687" i="26"/>
  <c r="C687" i="26" s="1"/>
  <c r="A688" i="26"/>
  <c r="C688" i="26" s="1"/>
  <c r="A689" i="26"/>
  <c r="C689" i="26" s="1"/>
  <c r="A690" i="26"/>
  <c r="C690" i="26" s="1"/>
  <c r="A691" i="26"/>
  <c r="C691" i="26" s="1"/>
  <c r="A692" i="26"/>
  <c r="C692" i="26" s="1"/>
  <c r="A693" i="26"/>
  <c r="C693" i="26" s="1"/>
  <c r="A694" i="26"/>
  <c r="C694" i="26" s="1"/>
  <c r="A695" i="26"/>
  <c r="C695" i="26" s="1"/>
  <c r="A696" i="26"/>
  <c r="C696" i="26" s="1"/>
  <c r="A697" i="26"/>
  <c r="C697" i="26" s="1"/>
  <c r="A698" i="26"/>
  <c r="C698" i="26" s="1"/>
  <c r="A699" i="26"/>
  <c r="C699" i="26" s="1"/>
  <c r="A700" i="26"/>
  <c r="C700" i="26" s="1"/>
  <c r="A701" i="26"/>
  <c r="C701" i="26" s="1"/>
  <c r="A702" i="26"/>
  <c r="C702" i="26" s="1"/>
  <c r="A703" i="26"/>
  <c r="C703" i="26" s="1"/>
  <c r="A704" i="26"/>
  <c r="C704" i="26" s="1"/>
  <c r="A705" i="26"/>
  <c r="C705" i="26" s="1"/>
  <c r="A706" i="26"/>
  <c r="C706" i="26" s="1"/>
  <c r="A707" i="26"/>
  <c r="C707" i="26" s="1"/>
  <c r="A708" i="26"/>
  <c r="C708" i="26" s="1"/>
  <c r="A709" i="26"/>
  <c r="C709" i="26" s="1"/>
  <c r="A710" i="26"/>
  <c r="C710" i="26" s="1"/>
  <c r="A711" i="26"/>
  <c r="C711" i="26" s="1"/>
  <c r="A712" i="26"/>
  <c r="C712" i="26" s="1"/>
  <c r="A713" i="26"/>
  <c r="C713" i="26" s="1"/>
  <c r="A714" i="26"/>
  <c r="C714" i="26" s="1"/>
  <c r="A715" i="26"/>
  <c r="C715" i="26" s="1"/>
  <c r="A716" i="26"/>
  <c r="C716" i="26" s="1"/>
  <c r="A717" i="26"/>
  <c r="C717" i="26" s="1"/>
  <c r="A718" i="26"/>
  <c r="C718" i="26" s="1"/>
  <c r="A719" i="26"/>
  <c r="C719" i="26" s="1"/>
  <c r="A720" i="26"/>
  <c r="C720" i="26" s="1"/>
  <c r="A721" i="26"/>
  <c r="C721" i="26" s="1"/>
  <c r="A722" i="26"/>
  <c r="C722" i="26" s="1"/>
  <c r="A723" i="26"/>
  <c r="C723" i="26" s="1"/>
  <c r="A724" i="26"/>
  <c r="C724" i="26" s="1"/>
  <c r="A725" i="26"/>
  <c r="C725" i="26" s="1"/>
  <c r="A726" i="26"/>
  <c r="C726" i="26" s="1"/>
  <c r="A727" i="26"/>
  <c r="C727" i="26" s="1"/>
  <c r="A728" i="26"/>
  <c r="C728" i="26" s="1"/>
  <c r="A729" i="26"/>
  <c r="C729" i="26" s="1"/>
  <c r="A730" i="26"/>
  <c r="C730" i="26" s="1"/>
  <c r="A731" i="26"/>
  <c r="C731" i="26" s="1"/>
  <c r="A732" i="26"/>
  <c r="C732" i="26" s="1"/>
  <c r="A733" i="26"/>
  <c r="C733" i="26" s="1"/>
  <c r="A734" i="26"/>
  <c r="C734" i="26" s="1"/>
  <c r="A735" i="26"/>
  <c r="C735" i="26" s="1"/>
  <c r="A736" i="26"/>
  <c r="C736" i="26" s="1"/>
  <c r="A737" i="26"/>
  <c r="C737" i="26" s="1"/>
  <c r="A738" i="26"/>
  <c r="C738" i="26" s="1"/>
  <c r="A739" i="26"/>
  <c r="C739" i="26" s="1"/>
  <c r="A740" i="26"/>
  <c r="C740" i="26" s="1"/>
  <c r="A741" i="26"/>
  <c r="C741" i="26" s="1"/>
  <c r="A742" i="26"/>
  <c r="C742" i="26" s="1"/>
  <c r="A743" i="26"/>
  <c r="C743" i="26" s="1"/>
  <c r="A744" i="26"/>
  <c r="C744" i="26" s="1"/>
  <c r="A745" i="26"/>
  <c r="C745" i="26" s="1"/>
  <c r="A746" i="26"/>
  <c r="C746" i="26" s="1"/>
  <c r="A747" i="26"/>
  <c r="C747" i="26" s="1"/>
  <c r="A748" i="26"/>
  <c r="C748" i="26" s="1"/>
  <c r="A749" i="26"/>
  <c r="C749" i="26" s="1"/>
  <c r="A750" i="26"/>
  <c r="C750" i="26" s="1"/>
  <c r="A751" i="26"/>
  <c r="C751" i="26" s="1"/>
  <c r="A752" i="26"/>
  <c r="C752" i="26" s="1"/>
  <c r="A753" i="26"/>
  <c r="C753" i="26" s="1"/>
  <c r="A754" i="26"/>
  <c r="C754" i="26" s="1"/>
  <c r="A755" i="26"/>
  <c r="C755" i="26" s="1"/>
  <c r="A756" i="26"/>
  <c r="C756" i="26" s="1"/>
  <c r="A757" i="26"/>
  <c r="C757" i="26" s="1"/>
  <c r="A758" i="26"/>
  <c r="C758" i="26" s="1"/>
  <c r="A759" i="26"/>
  <c r="C759" i="26" s="1"/>
  <c r="A760" i="26"/>
  <c r="C760" i="26" s="1"/>
  <c r="A761" i="26"/>
  <c r="C761" i="26" s="1"/>
  <c r="A762" i="26"/>
  <c r="C762" i="26" s="1"/>
  <c r="A763" i="26"/>
  <c r="C763" i="26" s="1"/>
  <c r="A764" i="26"/>
  <c r="C764" i="26" s="1"/>
  <c r="A765" i="26"/>
  <c r="C765" i="26" s="1"/>
  <c r="A766" i="26"/>
  <c r="C766" i="26" s="1"/>
  <c r="A767" i="26"/>
  <c r="C767" i="26" s="1"/>
  <c r="A768" i="26"/>
  <c r="C768" i="26" s="1"/>
  <c r="A769" i="26"/>
  <c r="C769" i="26" s="1"/>
  <c r="A770" i="26"/>
  <c r="C770" i="26" s="1"/>
  <c r="A771" i="26"/>
  <c r="C771" i="26" s="1"/>
  <c r="A772" i="26"/>
  <c r="C772" i="26" s="1"/>
  <c r="A773" i="26"/>
  <c r="C773" i="26" s="1"/>
  <c r="A774" i="26"/>
  <c r="C774" i="26" s="1"/>
  <c r="A775" i="26"/>
  <c r="C775" i="26" s="1"/>
  <c r="A776" i="26"/>
  <c r="C776" i="26" s="1"/>
  <c r="A777" i="26"/>
  <c r="C777" i="26" s="1"/>
  <c r="A778" i="26"/>
  <c r="C778" i="26" s="1"/>
  <c r="A779" i="26"/>
  <c r="C779" i="26" s="1"/>
  <c r="A780" i="26"/>
  <c r="C780" i="26" s="1"/>
  <c r="A781" i="26"/>
  <c r="C781" i="26" s="1"/>
  <c r="A782" i="26"/>
  <c r="C782" i="26" s="1"/>
  <c r="A783" i="26"/>
  <c r="C783" i="26" s="1"/>
  <c r="A784" i="26"/>
  <c r="C784" i="26" s="1"/>
  <c r="A785" i="26"/>
  <c r="C785" i="26" s="1"/>
  <c r="A786" i="26"/>
  <c r="C786" i="26" s="1"/>
  <c r="A787" i="26"/>
  <c r="C787" i="26" s="1"/>
  <c r="A788" i="26"/>
  <c r="C788" i="26" s="1"/>
  <c r="A789" i="26"/>
  <c r="C789" i="26" s="1"/>
  <c r="A790" i="26"/>
  <c r="C790" i="26" s="1"/>
  <c r="A791" i="26"/>
  <c r="C791" i="26" s="1"/>
  <c r="A792" i="26"/>
  <c r="C792" i="26" s="1"/>
  <c r="A793" i="26"/>
  <c r="C793" i="26" s="1"/>
  <c r="A794" i="26"/>
  <c r="C794" i="26" s="1"/>
  <c r="A795" i="26"/>
  <c r="C795" i="26" s="1"/>
  <c r="A796" i="26"/>
  <c r="C796" i="26" s="1"/>
  <c r="A797" i="26"/>
  <c r="C797" i="26" s="1"/>
  <c r="A798" i="26"/>
  <c r="C798" i="26" s="1"/>
  <c r="A799" i="26"/>
  <c r="C799" i="26" s="1"/>
  <c r="A800" i="26"/>
  <c r="C800" i="26" s="1"/>
  <c r="A801" i="26"/>
  <c r="C801" i="26" s="1"/>
  <c r="A802" i="26"/>
  <c r="C802" i="26" s="1"/>
  <c r="A803" i="26"/>
  <c r="C803" i="26" s="1"/>
  <c r="A804" i="26"/>
  <c r="C804" i="26" s="1"/>
  <c r="A805" i="26"/>
  <c r="C805" i="26" s="1"/>
  <c r="A806" i="26"/>
  <c r="C806" i="26" s="1"/>
  <c r="A807" i="26"/>
  <c r="C807" i="26" s="1"/>
  <c r="A808" i="26"/>
  <c r="C808" i="26" s="1"/>
  <c r="A809" i="26"/>
  <c r="C809" i="26" s="1"/>
  <c r="A810" i="26"/>
  <c r="C810" i="26" s="1"/>
  <c r="A811" i="26"/>
  <c r="C811" i="26" s="1"/>
  <c r="A812" i="26"/>
  <c r="C812" i="26" s="1"/>
  <c r="A813" i="26"/>
  <c r="C813" i="26" s="1"/>
  <c r="A814" i="26"/>
  <c r="C814" i="26" s="1"/>
  <c r="A815" i="26"/>
  <c r="C815" i="26" s="1"/>
  <c r="A816" i="26"/>
  <c r="C816" i="26" s="1"/>
  <c r="A817" i="26"/>
  <c r="C817" i="26" s="1"/>
  <c r="A818" i="26"/>
  <c r="C818" i="26" s="1"/>
  <c r="A819" i="26"/>
  <c r="C819" i="26" s="1"/>
  <c r="A820" i="26"/>
  <c r="C820" i="26" s="1"/>
  <c r="A821" i="26"/>
  <c r="C821" i="26" s="1"/>
  <c r="A822" i="26"/>
  <c r="C822" i="26" s="1"/>
  <c r="A823" i="26"/>
  <c r="C823" i="26" s="1"/>
  <c r="A824" i="26"/>
  <c r="C824" i="26" s="1"/>
  <c r="A825" i="26"/>
  <c r="C825" i="26" s="1"/>
  <c r="A826" i="26"/>
  <c r="C826" i="26" s="1"/>
  <c r="A827" i="26"/>
  <c r="C827" i="26" s="1"/>
  <c r="A828" i="26"/>
  <c r="C828" i="26" s="1"/>
  <c r="A829" i="26"/>
  <c r="C829" i="26" s="1"/>
  <c r="A830" i="26"/>
  <c r="C830" i="26" s="1"/>
  <c r="A831" i="26"/>
  <c r="C831" i="26" s="1"/>
  <c r="A832" i="26"/>
  <c r="C832" i="26" s="1"/>
  <c r="A833" i="26"/>
  <c r="C833" i="26" s="1"/>
  <c r="A834" i="26"/>
  <c r="C834" i="26" s="1"/>
  <c r="A835" i="26"/>
  <c r="C835" i="26" s="1"/>
  <c r="A836" i="26"/>
  <c r="C836" i="26" s="1"/>
  <c r="A837" i="26"/>
  <c r="C837" i="26" s="1"/>
  <c r="A838" i="26"/>
  <c r="C838" i="26" s="1"/>
  <c r="A839" i="26"/>
  <c r="C839" i="26" s="1"/>
  <c r="A840" i="26"/>
  <c r="C840" i="26" s="1"/>
  <c r="A841" i="26"/>
  <c r="C841" i="26" s="1"/>
  <c r="A842" i="26"/>
  <c r="C842" i="26" s="1"/>
  <c r="A843" i="26"/>
  <c r="C843" i="26" s="1"/>
  <c r="A844" i="26"/>
  <c r="C844" i="26" s="1"/>
  <c r="A845" i="26"/>
  <c r="C845" i="26" s="1"/>
  <c r="A846" i="26"/>
  <c r="C846" i="26" s="1"/>
  <c r="A847" i="26"/>
  <c r="C847" i="26" s="1"/>
  <c r="A848" i="26"/>
  <c r="C848" i="26" s="1"/>
  <c r="A849" i="26"/>
  <c r="C849" i="26" s="1"/>
  <c r="A850" i="26"/>
  <c r="C850" i="26" s="1"/>
  <c r="A851" i="26"/>
  <c r="C851" i="26" s="1"/>
  <c r="A852" i="26"/>
  <c r="C852" i="26" s="1"/>
  <c r="A853" i="26"/>
  <c r="C853" i="26" s="1"/>
  <c r="A854" i="26"/>
  <c r="C854" i="26" s="1"/>
  <c r="A855" i="26"/>
  <c r="C855" i="26" s="1"/>
  <c r="A856" i="26"/>
  <c r="C856" i="26" s="1"/>
  <c r="A857" i="26"/>
  <c r="C857" i="26" s="1"/>
  <c r="A858" i="26"/>
  <c r="C858" i="26" s="1"/>
  <c r="A859" i="26"/>
  <c r="C859" i="26" s="1"/>
  <c r="A860" i="26"/>
  <c r="C860" i="26" s="1"/>
  <c r="A861" i="26"/>
  <c r="C861" i="26" s="1"/>
  <c r="A862" i="26"/>
  <c r="C862" i="26" s="1"/>
  <c r="A863" i="26"/>
  <c r="C863" i="26" s="1"/>
  <c r="A864" i="26"/>
  <c r="C864" i="26" s="1"/>
  <c r="A865" i="26"/>
  <c r="C865" i="26" s="1"/>
  <c r="A866" i="26"/>
  <c r="C866" i="26" s="1"/>
  <c r="A867" i="26"/>
  <c r="C867" i="26" s="1"/>
  <c r="A868" i="26"/>
  <c r="C868" i="26" s="1"/>
  <c r="A869" i="26"/>
  <c r="C869" i="26" s="1"/>
  <c r="A870" i="26"/>
  <c r="C870" i="26" s="1"/>
  <c r="A871" i="26"/>
  <c r="C871" i="26" s="1"/>
  <c r="A872" i="26"/>
  <c r="C872" i="26" s="1"/>
  <c r="A873" i="26"/>
  <c r="C873" i="26" s="1"/>
  <c r="A874" i="26"/>
  <c r="C874" i="26" s="1"/>
  <c r="A875" i="26"/>
  <c r="C875" i="26" s="1"/>
  <c r="A876" i="26"/>
  <c r="C876" i="26" s="1"/>
  <c r="A877" i="26"/>
  <c r="C877" i="26" s="1"/>
  <c r="A878" i="26"/>
  <c r="C878" i="26" s="1"/>
  <c r="A879" i="26"/>
  <c r="C879" i="26" s="1"/>
  <c r="A880" i="26"/>
  <c r="C880" i="26" s="1"/>
  <c r="A881" i="26"/>
  <c r="C881" i="26" s="1"/>
  <c r="A882" i="26"/>
  <c r="C882" i="26" s="1"/>
  <c r="A883" i="26"/>
  <c r="C883" i="26" s="1"/>
  <c r="A884" i="26"/>
  <c r="C884" i="26" s="1"/>
  <c r="A885" i="26"/>
  <c r="C885" i="26" s="1"/>
  <c r="A886" i="26"/>
  <c r="C886" i="26" s="1"/>
  <c r="A887" i="26"/>
  <c r="C887" i="26" s="1"/>
  <c r="A888" i="26"/>
  <c r="C888" i="26" s="1"/>
  <c r="A889" i="26"/>
  <c r="C889" i="26" s="1"/>
  <c r="A890" i="26"/>
  <c r="C890" i="26" s="1"/>
  <c r="A891" i="26"/>
  <c r="C891" i="26" s="1"/>
  <c r="A892" i="26"/>
  <c r="C892" i="26" s="1"/>
  <c r="A893" i="26"/>
  <c r="C893" i="26" s="1"/>
  <c r="A894" i="26"/>
  <c r="C894" i="26" s="1"/>
  <c r="A895" i="26"/>
  <c r="C895" i="26" s="1"/>
  <c r="A896" i="26"/>
  <c r="C896" i="26" s="1"/>
  <c r="A897" i="26"/>
  <c r="C897" i="26" s="1"/>
  <c r="A898" i="26"/>
  <c r="C898" i="26" s="1"/>
  <c r="A899" i="26"/>
  <c r="C899" i="26" s="1"/>
  <c r="A900" i="26"/>
  <c r="C900" i="26" s="1"/>
  <c r="A901" i="26"/>
  <c r="C901" i="26" s="1"/>
  <c r="A902" i="26"/>
  <c r="C902" i="26" s="1"/>
  <c r="A903" i="26"/>
  <c r="C903" i="26" s="1"/>
  <c r="A904" i="26"/>
  <c r="C904" i="26" s="1"/>
  <c r="A905" i="26"/>
  <c r="C905" i="26" s="1"/>
  <c r="A906" i="26"/>
  <c r="C906" i="26" s="1"/>
  <c r="A907" i="26"/>
  <c r="C907" i="26" s="1"/>
  <c r="A908" i="26"/>
  <c r="C908" i="26" s="1"/>
  <c r="A909" i="26"/>
  <c r="C909" i="26" s="1"/>
  <c r="A910" i="26"/>
  <c r="C910" i="26" s="1"/>
  <c r="A911" i="26"/>
  <c r="C911" i="26" s="1"/>
  <c r="A912" i="26"/>
  <c r="C912" i="26" s="1"/>
  <c r="A913" i="26"/>
  <c r="C913" i="26" s="1"/>
  <c r="A914" i="26"/>
  <c r="C914" i="26" s="1"/>
  <c r="A915" i="26"/>
  <c r="C915" i="26" s="1"/>
  <c r="A916" i="26"/>
  <c r="C916" i="26" s="1"/>
  <c r="A917" i="26"/>
  <c r="C917" i="26" s="1"/>
  <c r="A918" i="26"/>
  <c r="C918" i="26" s="1"/>
  <c r="A919" i="26"/>
  <c r="C919" i="26" s="1"/>
  <c r="A920" i="26"/>
  <c r="C920" i="26" s="1"/>
  <c r="A921" i="26"/>
  <c r="C921" i="26" s="1"/>
  <c r="A922" i="26"/>
  <c r="C922" i="26" s="1"/>
  <c r="A923" i="26"/>
  <c r="C923" i="26" s="1"/>
  <c r="A924" i="26"/>
  <c r="C924" i="26" s="1"/>
  <c r="A925" i="26"/>
  <c r="C925" i="26" s="1"/>
  <c r="A926" i="26"/>
  <c r="C926" i="26" s="1"/>
  <c r="A927" i="26"/>
  <c r="C927" i="26" s="1"/>
  <c r="A928" i="26"/>
  <c r="C928" i="26" s="1"/>
  <c r="A929" i="26"/>
  <c r="C929" i="26" s="1"/>
  <c r="A930" i="26"/>
  <c r="C930" i="26" s="1"/>
  <c r="A931" i="26"/>
  <c r="C931" i="26" s="1"/>
  <c r="A932" i="26"/>
  <c r="C932" i="26" s="1"/>
  <c r="A933" i="26"/>
  <c r="C933" i="26" s="1"/>
  <c r="A934" i="26"/>
  <c r="C934" i="26" s="1"/>
  <c r="A935" i="26"/>
  <c r="C935" i="26" s="1"/>
  <c r="A936" i="26"/>
  <c r="C936" i="26" s="1"/>
  <c r="A937" i="26"/>
  <c r="C937" i="26" s="1"/>
  <c r="A938" i="26"/>
  <c r="C938" i="26" s="1"/>
  <c r="A939" i="26"/>
  <c r="C939" i="26" s="1"/>
  <c r="A940" i="26"/>
  <c r="C940" i="26" s="1"/>
  <c r="A941" i="26"/>
  <c r="C941" i="26" s="1"/>
  <c r="A942" i="26"/>
  <c r="C942" i="26" s="1"/>
  <c r="A943" i="26"/>
  <c r="C943" i="26" s="1"/>
  <c r="A944" i="26"/>
  <c r="C944" i="26" s="1"/>
  <c r="A945" i="26"/>
  <c r="C945" i="26" s="1"/>
  <c r="A946" i="26"/>
  <c r="C946" i="26" s="1"/>
  <c r="A947" i="26"/>
  <c r="C947" i="26" s="1"/>
  <c r="A948" i="26"/>
  <c r="C948" i="26" s="1"/>
  <c r="A949" i="26"/>
  <c r="C949" i="26" s="1"/>
  <c r="A950" i="26"/>
  <c r="C950" i="26" s="1"/>
  <c r="A951" i="26"/>
  <c r="C951" i="26" s="1"/>
  <c r="A952" i="26"/>
  <c r="C952" i="26" s="1"/>
  <c r="A953" i="26"/>
  <c r="C953" i="26" s="1"/>
  <c r="A954" i="26"/>
  <c r="C954" i="26" s="1"/>
  <c r="A955" i="26"/>
  <c r="C955" i="26" s="1"/>
  <c r="A956" i="26"/>
  <c r="C956" i="26" s="1"/>
  <c r="A957" i="26"/>
  <c r="C957" i="26" s="1"/>
  <c r="A958" i="26"/>
  <c r="C958" i="26" s="1"/>
  <c r="A959" i="26"/>
  <c r="C959" i="26" s="1"/>
  <c r="A960" i="26"/>
  <c r="C960" i="26" s="1"/>
  <c r="A961" i="26"/>
  <c r="C961" i="26" s="1"/>
  <c r="A962" i="26"/>
  <c r="C962" i="26" s="1"/>
  <c r="A963" i="26"/>
  <c r="C963" i="26" s="1"/>
  <c r="A964" i="26"/>
  <c r="C964" i="26" s="1"/>
  <c r="A965" i="26"/>
  <c r="C965" i="26" s="1"/>
  <c r="A966" i="26"/>
  <c r="C966" i="26" s="1"/>
  <c r="A967" i="26"/>
  <c r="C967" i="26" s="1"/>
  <c r="A968" i="26"/>
  <c r="C968" i="26" s="1"/>
  <c r="A969" i="26"/>
  <c r="C969" i="26" s="1"/>
  <c r="A970" i="26"/>
  <c r="C970" i="26" s="1"/>
  <c r="A971" i="26"/>
  <c r="C971" i="26" s="1"/>
  <c r="A972" i="26"/>
  <c r="C972" i="26" s="1"/>
  <c r="A973" i="26"/>
  <c r="C973" i="26" s="1"/>
  <c r="A974" i="26"/>
  <c r="C974" i="26" s="1"/>
  <c r="A975" i="26"/>
  <c r="C975" i="26" s="1"/>
  <c r="A976" i="26"/>
  <c r="C976" i="26" s="1"/>
  <c r="A977" i="26"/>
  <c r="C977" i="26" s="1"/>
  <c r="A978" i="26"/>
  <c r="C978" i="26" s="1"/>
  <c r="A979" i="26"/>
  <c r="C979" i="26" s="1"/>
  <c r="A980" i="26"/>
  <c r="C980" i="26" s="1"/>
  <c r="A981" i="26"/>
  <c r="C981" i="26" s="1"/>
  <c r="A982" i="26"/>
  <c r="C982" i="26" s="1"/>
  <c r="A983" i="26"/>
  <c r="C983" i="26" s="1"/>
  <c r="A984" i="26"/>
  <c r="C984" i="26" s="1"/>
  <c r="A985" i="26"/>
  <c r="C985" i="26" s="1"/>
  <c r="A986" i="26"/>
  <c r="C986" i="26" s="1"/>
  <c r="A987" i="26"/>
  <c r="C987" i="26" s="1"/>
  <c r="A988" i="26"/>
  <c r="C988" i="26" s="1"/>
  <c r="A989" i="26"/>
  <c r="C989" i="26" s="1"/>
  <c r="A990" i="26"/>
  <c r="C990" i="26" s="1"/>
  <c r="A991" i="26"/>
  <c r="C991" i="26" s="1"/>
  <c r="A992" i="26"/>
  <c r="C992" i="26" s="1"/>
  <c r="A993" i="26"/>
  <c r="C993" i="26" s="1"/>
  <c r="A994" i="26"/>
  <c r="C994" i="26" s="1"/>
  <c r="A995" i="26"/>
  <c r="C995" i="26" s="1"/>
  <c r="A996" i="26"/>
  <c r="C996" i="26" s="1"/>
  <c r="A997" i="26"/>
  <c r="C997" i="26" s="1"/>
  <c r="A998" i="26"/>
  <c r="C998" i="26" s="1"/>
  <c r="A999" i="26"/>
  <c r="C999" i="26" s="1"/>
  <c r="A1000" i="26"/>
  <c r="C1000" i="26" s="1"/>
  <c r="A1001" i="26"/>
  <c r="C1001" i="26" s="1"/>
  <c r="A1002" i="26"/>
  <c r="C1002" i="26" s="1"/>
  <c r="A1003" i="26"/>
  <c r="C1003" i="26" s="1"/>
  <c r="A1004" i="26"/>
  <c r="C1004" i="26" s="1"/>
  <c r="A1005" i="26"/>
  <c r="C1005" i="26" s="1"/>
  <c r="A1006" i="26"/>
  <c r="C1006" i="26" s="1"/>
  <c r="A1007" i="26"/>
  <c r="C1007" i="26" s="1"/>
  <c r="A1008" i="26"/>
  <c r="C1008" i="26" s="1"/>
  <c r="A1009" i="26"/>
  <c r="C1009" i="26" s="1"/>
  <c r="A1010" i="26"/>
  <c r="C1010" i="26" s="1"/>
  <c r="A1011" i="26"/>
  <c r="C1011" i="26" s="1"/>
  <c r="A1012" i="26"/>
  <c r="C1012" i="26" s="1"/>
  <c r="A1013" i="26"/>
  <c r="C1013" i="26" s="1"/>
  <c r="A1014" i="26"/>
  <c r="C1014" i="26" s="1"/>
  <c r="A1015" i="26"/>
  <c r="C1015" i="26" s="1"/>
  <c r="A1016" i="26"/>
  <c r="C1016" i="26" s="1"/>
  <c r="A1017" i="26"/>
  <c r="C1017" i="26" s="1"/>
  <c r="A1018" i="26"/>
  <c r="C1018" i="26" s="1"/>
  <c r="A1019" i="26"/>
  <c r="C1019" i="26" s="1"/>
  <c r="A1020" i="26"/>
  <c r="C1020" i="26" s="1"/>
  <c r="A1021" i="26"/>
  <c r="C1021" i="26" s="1"/>
  <c r="A1022" i="26"/>
  <c r="C1022" i="26" s="1"/>
  <c r="A1023" i="26"/>
  <c r="C1023" i="26" s="1"/>
  <c r="A1024" i="26"/>
  <c r="C1024" i="26" s="1"/>
  <c r="A1025" i="26"/>
  <c r="C1025" i="26" s="1"/>
  <c r="A1026" i="26"/>
  <c r="C1026" i="26" s="1"/>
  <c r="A1027" i="26"/>
  <c r="C1027" i="26" s="1"/>
  <c r="A1028" i="26"/>
  <c r="C1028" i="26" s="1"/>
  <c r="A1029" i="26"/>
  <c r="C1029" i="26" s="1"/>
  <c r="A1030" i="26"/>
  <c r="C1030" i="26" s="1"/>
  <c r="A1031" i="26"/>
  <c r="C1031" i="26" s="1"/>
  <c r="A1032" i="26"/>
  <c r="C1032" i="26" s="1"/>
  <c r="A1033" i="26"/>
  <c r="C1033" i="26" s="1"/>
  <c r="A1034" i="26"/>
  <c r="C1034" i="26" s="1"/>
  <c r="A1035" i="26"/>
  <c r="C1035" i="26" s="1"/>
  <c r="A1036" i="26"/>
  <c r="C1036" i="26" s="1"/>
  <c r="A1037" i="26"/>
  <c r="C1037" i="26" s="1"/>
  <c r="A1038" i="26"/>
  <c r="C1038" i="26" s="1"/>
  <c r="A1039" i="26"/>
  <c r="C1039" i="26" s="1"/>
  <c r="A1040" i="26"/>
  <c r="C1040" i="26" s="1"/>
  <c r="A1041" i="26"/>
  <c r="C1041" i="26" s="1"/>
  <c r="A1042" i="26"/>
  <c r="C1042" i="26" s="1"/>
  <c r="A1043" i="26"/>
  <c r="C1043" i="26" s="1"/>
  <c r="A1044" i="26"/>
  <c r="C1044" i="26" s="1"/>
  <c r="A1045" i="26"/>
  <c r="C1045" i="26" s="1"/>
  <c r="A1046" i="26"/>
  <c r="C1046" i="26" s="1"/>
  <c r="A1047" i="26"/>
  <c r="C1047" i="26" s="1"/>
  <c r="A1048" i="26"/>
  <c r="C1048" i="26" s="1"/>
  <c r="A1049" i="26"/>
  <c r="C1049" i="26" s="1"/>
  <c r="A1050" i="26"/>
  <c r="C1050" i="26" s="1"/>
  <c r="A1051" i="26"/>
  <c r="C1051" i="26" s="1"/>
  <c r="A1052" i="26"/>
  <c r="C1052" i="26" s="1"/>
  <c r="A1053" i="26"/>
  <c r="C1053" i="26" s="1"/>
  <c r="A1054" i="26"/>
  <c r="C1054" i="26" s="1"/>
  <c r="A1055" i="26"/>
  <c r="C1055" i="26" s="1"/>
  <c r="A1056" i="26"/>
  <c r="C1056" i="26" s="1"/>
  <c r="A1057" i="26"/>
  <c r="C1057" i="26" s="1"/>
  <c r="A1058" i="26"/>
  <c r="C1058" i="26" s="1"/>
  <c r="A1059" i="26"/>
  <c r="C1059" i="26" s="1"/>
  <c r="A1060" i="26"/>
  <c r="C1060" i="26" s="1"/>
  <c r="A1061" i="26"/>
  <c r="C1061" i="26" s="1"/>
  <c r="A1062" i="26"/>
  <c r="C1062" i="26" s="1"/>
  <c r="A1063" i="26"/>
  <c r="C1063" i="26" s="1"/>
  <c r="A1064" i="26"/>
  <c r="C1064" i="26" s="1"/>
  <c r="A1065" i="26"/>
  <c r="C1065" i="26" s="1"/>
  <c r="A1066" i="26"/>
  <c r="C1066" i="26" s="1"/>
  <c r="A1067" i="26"/>
  <c r="C1067" i="26" s="1"/>
  <c r="A1068" i="26"/>
  <c r="C1068" i="26" s="1"/>
  <c r="A1069" i="26"/>
  <c r="C1069" i="26" s="1"/>
  <c r="A1070" i="26"/>
  <c r="C1070" i="26" s="1"/>
  <c r="A1071" i="26"/>
  <c r="C1071" i="26" s="1"/>
  <c r="A1072" i="26"/>
  <c r="C1072" i="26" s="1"/>
  <c r="A1073" i="26"/>
  <c r="C1073" i="26" s="1"/>
  <c r="A1074" i="26"/>
  <c r="C1074" i="26" s="1"/>
  <c r="A1075" i="26"/>
  <c r="C1075" i="26" s="1"/>
  <c r="A1076" i="26"/>
  <c r="C1076" i="26" s="1"/>
  <c r="A1077" i="26"/>
  <c r="C1077" i="26" s="1"/>
  <c r="A1078" i="26"/>
  <c r="C1078" i="26" s="1"/>
  <c r="A1079" i="26"/>
  <c r="C1079" i="26" s="1"/>
  <c r="A1080" i="26"/>
  <c r="C1080" i="26" s="1"/>
  <c r="A1081" i="26"/>
  <c r="C1081" i="26" s="1"/>
  <c r="A1082" i="26"/>
  <c r="C1082" i="26" s="1"/>
  <c r="A1083" i="26"/>
  <c r="C1083" i="26" s="1"/>
  <c r="A1084" i="26"/>
  <c r="C1084" i="26" s="1"/>
  <c r="A1085" i="26"/>
  <c r="C1085" i="26" s="1"/>
  <c r="A1086" i="26"/>
  <c r="C1086" i="26" s="1"/>
  <c r="A1087" i="26"/>
  <c r="C1087" i="26" s="1"/>
  <c r="A1088" i="26"/>
  <c r="C1088" i="26" s="1"/>
  <c r="A1089" i="26"/>
  <c r="C1089" i="26" s="1"/>
  <c r="A1090" i="26"/>
  <c r="C1090" i="26" s="1"/>
  <c r="A1091" i="26"/>
  <c r="C1091" i="26" s="1"/>
  <c r="A1092" i="26"/>
  <c r="C1092" i="26" s="1"/>
  <c r="A1093" i="26"/>
  <c r="C1093" i="26" s="1"/>
  <c r="A1094" i="26"/>
  <c r="C1094" i="26" s="1"/>
  <c r="A1095" i="26"/>
  <c r="C1095" i="26" s="1"/>
  <c r="A1096" i="26"/>
  <c r="C1096" i="26" s="1"/>
  <c r="A1097" i="26"/>
  <c r="C1097" i="26" s="1"/>
  <c r="A1098" i="26"/>
  <c r="C1098" i="26" s="1"/>
  <c r="A1099" i="26"/>
  <c r="C1099" i="26" s="1"/>
  <c r="A1100" i="26"/>
  <c r="C1100" i="26" s="1"/>
  <c r="A1101" i="26"/>
  <c r="C1101" i="26" s="1"/>
  <c r="A1102" i="26"/>
  <c r="C1102" i="26" s="1"/>
  <c r="A1103" i="26"/>
  <c r="C1103" i="26" s="1"/>
  <c r="A1104" i="26"/>
  <c r="C1104" i="26" s="1"/>
  <c r="A1105" i="26"/>
  <c r="C1105" i="26" s="1"/>
  <c r="A1106" i="26"/>
  <c r="C1106" i="26" s="1"/>
  <c r="A1107" i="26"/>
  <c r="C1107" i="26" s="1"/>
  <c r="A1108" i="26"/>
  <c r="C1108" i="26" s="1"/>
  <c r="A1109" i="26"/>
  <c r="C1109" i="26" s="1"/>
  <c r="A1110" i="26"/>
  <c r="C1110" i="26" s="1"/>
  <c r="A1111" i="26"/>
  <c r="C1111" i="26" s="1"/>
  <c r="A1112" i="26"/>
  <c r="C1112" i="26" s="1"/>
  <c r="A1113" i="26"/>
  <c r="C1113" i="26" s="1"/>
  <c r="A1114" i="26"/>
  <c r="C1114" i="26" s="1"/>
  <c r="A1115" i="26"/>
  <c r="C1115" i="26" s="1"/>
  <c r="A1116" i="26"/>
  <c r="C1116" i="26" s="1"/>
  <c r="A1117" i="26"/>
  <c r="C1117" i="26" s="1"/>
  <c r="A1118" i="26"/>
  <c r="C1118" i="26" s="1"/>
  <c r="A1119" i="26"/>
  <c r="C1119" i="26" s="1"/>
  <c r="A1120" i="26"/>
  <c r="C1120" i="26" s="1"/>
  <c r="A1121" i="26"/>
  <c r="C1121" i="26" s="1"/>
  <c r="A1122" i="26"/>
  <c r="C1122" i="26" s="1"/>
  <c r="A1123" i="26"/>
  <c r="C1123" i="26" s="1"/>
  <c r="A1124" i="26"/>
  <c r="C1124" i="26" s="1"/>
  <c r="A1125" i="26"/>
  <c r="C1125" i="26" s="1"/>
  <c r="A1126" i="26"/>
  <c r="C1126" i="26" s="1"/>
  <c r="A1127" i="26"/>
  <c r="C1127" i="26" s="1"/>
  <c r="A1128" i="26"/>
  <c r="C1128" i="26" s="1"/>
  <c r="A1129" i="26"/>
  <c r="C1129" i="26" s="1"/>
  <c r="A1130" i="26"/>
  <c r="C1130" i="26" s="1"/>
  <c r="A1131" i="26"/>
  <c r="C1131" i="26" s="1"/>
  <c r="A1132" i="26"/>
  <c r="C1132" i="26" s="1"/>
  <c r="A1133" i="26"/>
  <c r="C1133" i="26" s="1"/>
  <c r="A1134" i="26"/>
  <c r="C1134" i="26" s="1"/>
  <c r="A1135" i="26"/>
  <c r="C1135" i="26" s="1"/>
  <c r="A1136" i="26"/>
  <c r="C1136" i="26" s="1"/>
  <c r="A1137" i="26"/>
  <c r="C1137" i="26" s="1"/>
  <c r="A1138" i="26"/>
  <c r="C1138" i="26" s="1"/>
  <c r="A1139" i="26"/>
  <c r="C1139" i="26" s="1"/>
  <c r="A1140" i="26"/>
  <c r="C1140" i="26" s="1"/>
  <c r="A1141" i="26"/>
  <c r="C1141" i="26" s="1"/>
  <c r="A1142" i="26"/>
  <c r="C1142" i="26" s="1"/>
  <c r="A1143" i="26"/>
  <c r="C1143" i="26" s="1"/>
  <c r="A1144" i="26"/>
  <c r="C1144" i="26" s="1"/>
  <c r="A1145" i="26"/>
  <c r="C1145" i="26" s="1"/>
  <c r="A1146" i="26"/>
  <c r="C1146" i="26" s="1"/>
  <c r="A1147" i="26"/>
  <c r="C1147" i="26" s="1"/>
  <c r="A1148" i="26"/>
  <c r="C1148" i="26" s="1"/>
  <c r="A1149" i="26"/>
  <c r="C1149" i="26" s="1"/>
  <c r="A1150" i="26"/>
  <c r="C1150" i="26" s="1"/>
  <c r="A1151" i="26"/>
  <c r="C1151" i="26" s="1"/>
  <c r="A1152" i="26"/>
  <c r="C1152" i="26" s="1"/>
  <c r="A1153" i="26"/>
  <c r="C1153" i="26" s="1"/>
  <c r="A1154" i="26"/>
  <c r="C1154" i="26" s="1"/>
  <c r="A1155" i="26"/>
  <c r="C1155" i="26" s="1"/>
  <c r="A1156" i="26"/>
  <c r="C1156" i="26" s="1"/>
  <c r="A1157" i="26"/>
  <c r="C1157" i="26" s="1"/>
  <c r="A1158" i="26"/>
  <c r="C1158" i="26" s="1"/>
  <c r="A1159" i="26"/>
  <c r="C1159" i="26" s="1"/>
  <c r="A1160" i="26"/>
  <c r="C1160" i="26" s="1"/>
  <c r="A1161" i="26"/>
  <c r="C1161" i="26" s="1"/>
  <c r="A1162" i="26"/>
  <c r="C1162" i="26" s="1"/>
  <c r="A1163" i="26"/>
  <c r="C1163" i="26" s="1"/>
  <c r="A1164" i="26"/>
  <c r="C1164" i="26" s="1"/>
  <c r="A1165" i="26"/>
  <c r="C1165" i="26" s="1"/>
  <c r="A1166" i="26"/>
  <c r="C1166" i="26" s="1"/>
  <c r="A1167" i="26"/>
  <c r="C1167" i="26" s="1"/>
  <c r="A1168" i="26"/>
  <c r="C1168" i="26" s="1"/>
  <c r="A1169" i="26"/>
  <c r="C1169" i="26" s="1"/>
  <c r="A1170" i="26"/>
  <c r="C1170" i="26" s="1"/>
  <c r="A1171" i="26"/>
  <c r="C1171" i="26" s="1"/>
  <c r="A1172" i="26"/>
  <c r="C1172" i="26" s="1"/>
  <c r="A1173" i="26"/>
  <c r="C1173" i="26" s="1"/>
  <c r="A1174" i="26"/>
  <c r="C1174" i="26" s="1"/>
  <c r="A1175" i="26"/>
  <c r="C1175" i="26" s="1"/>
  <c r="A1176" i="26"/>
  <c r="C1176" i="26" s="1"/>
  <c r="A1177" i="26"/>
  <c r="C1177" i="26" s="1"/>
  <c r="A1178" i="26"/>
  <c r="C1178" i="26" s="1"/>
  <c r="A1179" i="26"/>
  <c r="C1179" i="26" s="1"/>
  <c r="A1180" i="26"/>
  <c r="C1180" i="26" s="1"/>
  <c r="A1181" i="26"/>
  <c r="C1181" i="26" s="1"/>
  <c r="A1182" i="26"/>
  <c r="C1182" i="26" s="1"/>
  <c r="A1183" i="26"/>
  <c r="C1183" i="26" s="1"/>
  <c r="A1184" i="26"/>
  <c r="C1184" i="26" s="1"/>
  <c r="A1185" i="26"/>
  <c r="C1185" i="26" s="1"/>
  <c r="A1186" i="26"/>
  <c r="C1186" i="26" s="1"/>
  <c r="A1187" i="26"/>
  <c r="C1187" i="26" s="1"/>
  <c r="A1188" i="26"/>
  <c r="C1188" i="26" s="1"/>
  <c r="A1189" i="26"/>
  <c r="C1189" i="26" s="1"/>
  <c r="A1190" i="26"/>
  <c r="C1190" i="26" s="1"/>
  <c r="A1191" i="26"/>
  <c r="C1191" i="26" s="1"/>
  <c r="A1192" i="26"/>
  <c r="C1192" i="26" s="1"/>
  <c r="A1193" i="26"/>
  <c r="C1193" i="26" s="1"/>
  <c r="A1194" i="26"/>
  <c r="C1194" i="26" s="1"/>
  <c r="A1195" i="26"/>
  <c r="C1195" i="26" s="1"/>
  <c r="A1196" i="26"/>
  <c r="C1196" i="26" s="1"/>
  <c r="A1197" i="26"/>
  <c r="C1197" i="26" s="1"/>
  <c r="A1198" i="26"/>
  <c r="C1198" i="26" s="1"/>
  <c r="A1199" i="26"/>
  <c r="C1199" i="26" s="1"/>
  <c r="A1200" i="26"/>
  <c r="C1200" i="26" s="1"/>
  <c r="A1201" i="26"/>
  <c r="C1201" i="26" s="1"/>
  <c r="A1202" i="26"/>
  <c r="C1202" i="26" s="1"/>
  <c r="A1203" i="26"/>
  <c r="C1203" i="26" s="1"/>
  <c r="A1204" i="26"/>
  <c r="C1204" i="26" s="1"/>
  <c r="A1205" i="26"/>
  <c r="C1205" i="26" s="1"/>
  <c r="A1206" i="26"/>
  <c r="C1206" i="26" s="1"/>
  <c r="A1207" i="26"/>
  <c r="C1207" i="26" s="1"/>
  <c r="A1208" i="26"/>
  <c r="C1208" i="26" s="1"/>
  <c r="A1209" i="26"/>
  <c r="C1209" i="26" s="1"/>
  <c r="A1210" i="26"/>
  <c r="C1210" i="26" s="1"/>
  <c r="A1211" i="26"/>
  <c r="C1211" i="26" s="1"/>
  <c r="A1212" i="26"/>
  <c r="C1212" i="26" s="1"/>
  <c r="A1213" i="26"/>
  <c r="C1213" i="26" s="1"/>
  <c r="A1214" i="26"/>
  <c r="C1214" i="26" s="1"/>
  <c r="A1215" i="26"/>
  <c r="C1215" i="26" s="1"/>
  <c r="A1216" i="26"/>
  <c r="C1216" i="26" s="1"/>
  <c r="A1217" i="26"/>
  <c r="C1217" i="26" s="1"/>
  <c r="A1218" i="26"/>
  <c r="C1218" i="26" s="1"/>
  <c r="A1219" i="26"/>
  <c r="C1219" i="26" s="1"/>
  <c r="A1220" i="26"/>
  <c r="C1220" i="26" s="1"/>
  <c r="A1221" i="26"/>
  <c r="C1221" i="26" s="1"/>
  <c r="A1222" i="26"/>
  <c r="C1222" i="26" s="1"/>
  <c r="A1223" i="26"/>
  <c r="C1223" i="26" s="1"/>
  <c r="A1224" i="26"/>
  <c r="C1224" i="26" s="1"/>
  <c r="A1225" i="26"/>
  <c r="C1225" i="26" s="1"/>
  <c r="A1226" i="26"/>
  <c r="C1226" i="26" s="1"/>
  <c r="A1227" i="26"/>
  <c r="C1227" i="26" s="1"/>
  <c r="A1228" i="26"/>
  <c r="C1228" i="26" s="1"/>
  <c r="A1229" i="26"/>
  <c r="C1229" i="26" s="1"/>
  <c r="A1230" i="26"/>
  <c r="C1230" i="26" s="1"/>
  <c r="A1231" i="26"/>
  <c r="C1231" i="26" s="1"/>
  <c r="A1232" i="26"/>
  <c r="C1232" i="26" s="1"/>
  <c r="A1233" i="26"/>
  <c r="C1233" i="26" s="1"/>
  <c r="A1234" i="26"/>
  <c r="C1234" i="26" s="1"/>
  <c r="A1235" i="26"/>
  <c r="C1235" i="26" s="1"/>
  <c r="A1236" i="26"/>
  <c r="C1236" i="26" s="1"/>
  <c r="A1237" i="26"/>
  <c r="C1237" i="26" s="1"/>
  <c r="A1238" i="26"/>
  <c r="C1238" i="26" s="1"/>
  <c r="A1239" i="26"/>
  <c r="C1239" i="26" s="1"/>
  <c r="A1240" i="26"/>
  <c r="C1240" i="26" s="1"/>
  <c r="A1241" i="26"/>
  <c r="C1241" i="26" s="1"/>
  <c r="A1242" i="26"/>
  <c r="C1242" i="26" s="1"/>
  <c r="A1243" i="26"/>
  <c r="C1243" i="26" s="1"/>
  <c r="A1244" i="26"/>
  <c r="C1244" i="26" s="1"/>
  <c r="A1245" i="26"/>
  <c r="C1245" i="26" s="1"/>
  <c r="A1246" i="26"/>
  <c r="C1246" i="26" s="1"/>
  <c r="A1247" i="26"/>
  <c r="C1247" i="26" s="1"/>
  <c r="A1248" i="26"/>
  <c r="C1248" i="26" s="1"/>
  <c r="A1249" i="26"/>
  <c r="C1249" i="26" s="1"/>
  <c r="A1250" i="26"/>
  <c r="C1250" i="26" s="1"/>
  <c r="A1251" i="26"/>
  <c r="C1251" i="26" s="1"/>
  <c r="A1252" i="26"/>
  <c r="C1252" i="26" s="1"/>
  <c r="A1253" i="26"/>
  <c r="C1253" i="26" s="1"/>
  <c r="A1254" i="26"/>
  <c r="C1254" i="26" s="1"/>
  <c r="A1255" i="26"/>
  <c r="C1255" i="26" s="1"/>
  <c r="A1256" i="26"/>
  <c r="C1256" i="26" s="1"/>
  <c r="A1257" i="26"/>
  <c r="C1257" i="26" s="1"/>
  <c r="A1258" i="26"/>
  <c r="C1258" i="26" s="1"/>
  <c r="A1259" i="26"/>
  <c r="C1259" i="26" s="1"/>
  <c r="A1260" i="26"/>
  <c r="C1260" i="26" s="1"/>
  <c r="A1261" i="26"/>
  <c r="C1261" i="26" s="1"/>
  <c r="A1262" i="26"/>
  <c r="C1262" i="26" s="1"/>
  <c r="A1263" i="26"/>
  <c r="C1263" i="26" s="1"/>
  <c r="A1264" i="26"/>
  <c r="C1264" i="26" s="1"/>
  <c r="A1265" i="26"/>
  <c r="C1265" i="26" s="1"/>
  <c r="A1266" i="26"/>
  <c r="C1266" i="26" s="1"/>
  <c r="A1267" i="26"/>
  <c r="C1267" i="26" s="1"/>
  <c r="A1268" i="26"/>
  <c r="C1268" i="26" s="1"/>
  <c r="A1269" i="26"/>
  <c r="C1269" i="26" s="1"/>
  <c r="A1270" i="26"/>
  <c r="C1270" i="26" s="1"/>
  <c r="A1271" i="26"/>
  <c r="C1271" i="26" s="1"/>
  <c r="A1272" i="26"/>
  <c r="C1272" i="26" s="1"/>
  <c r="A1273" i="26"/>
  <c r="C1273" i="26" s="1"/>
  <c r="A1274" i="26"/>
  <c r="C1274" i="26" s="1"/>
  <c r="A1275" i="26"/>
  <c r="C1275" i="26" s="1"/>
  <c r="A1276" i="26"/>
  <c r="C1276" i="26" s="1"/>
  <c r="A1277" i="26"/>
  <c r="C1277" i="26" s="1"/>
  <c r="A1278" i="26"/>
  <c r="C1278" i="26" s="1"/>
  <c r="A1279" i="26"/>
  <c r="C1279" i="26" s="1"/>
  <c r="A1280" i="26"/>
  <c r="C1280" i="26" s="1"/>
  <c r="A1281" i="26"/>
  <c r="C1281" i="26" s="1"/>
  <c r="A1282" i="26"/>
  <c r="C1282" i="26" s="1"/>
  <c r="A1283" i="26"/>
  <c r="C1283" i="26" s="1"/>
  <c r="A1284" i="26"/>
  <c r="C1284" i="26" s="1"/>
  <c r="A1285" i="26"/>
  <c r="C1285" i="26" s="1"/>
  <c r="A1286" i="26"/>
  <c r="C1286" i="26" s="1"/>
  <c r="A1287" i="26"/>
  <c r="C1287" i="26" s="1"/>
  <c r="A1288" i="26"/>
  <c r="C1288" i="26" s="1"/>
  <c r="A1289" i="26"/>
  <c r="C1289" i="26" s="1"/>
  <c r="A1290" i="26"/>
  <c r="C1290" i="26" s="1"/>
  <c r="A1291" i="26"/>
  <c r="C1291" i="26" s="1"/>
  <c r="A1292" i="26"/>
  <c r="C1292" i="26" s="1"/>
  <c r="A1293" i="26"/>
  <c r="C1293" i="26" s="1"/>
  <c r="A1294" i="26"/>
  <c r="C1294" i="26" s="1"/>
  <c r="A1295" i="26"/>
  <c r="C1295" i="26" s="1"/>
  <c r="A1296" i="26"/>
  <c r="C1296" i="26" s="1"/>
  <c r="A1297" i="26"/>
  <c r="C1297" i="26" s="1"/>
  <c r="A1298" i="26"/>
  <c r="C1298" i="26" s="1"/>
  <c r="A1299" i="26"/>
  <c r="C1299" i="26" s="1"/>
  <c r="A1300" i="26"/>
  <c r="C1300" i="26" s="1"/>
  <c r="A1301" i="26"/>
  <c r="C1301" i="26" s="1"/>
  <c r="A1302" i="26"/>
  <c r="C1302" i="26" s="1"/>
  <c r="A1303" i="26"/>
  <c r="C1303" i="26" s="1"/>
  <c r="A1304" i="26"/>
  <c r="C1304" i="26" s="1"/>
  <c r="A1305" i="26"/>
  <c r="C1305" i="26" s="1"/>
  <c r="A1306" i="26"/>
  <c r="C1306" i="26" s="1"/>
  <c r="A1307" i="26"/>
  <c r="C1307" i="26" s="1"/>
  <c r="A1308" i="26"/>
  <c r="C1308" i="26" s="1"/>
  <c r="A1309" i="26"/>
  <c r="C1309" i="26" s="1"/>
  <c r="A1310" i="26"/>
  <c r="C1310" i="26" s="1"/>
  <c r="A1311" i="26"/>
  <c r="C1311" i="26" s="1"/>
  <c r="A1312" i="26"/>
  <c r="C1312" i="26" s="1"/>
  <c r="A1313" i="26"/>
  <c r="C1313" i="26" s="1"/>
  <c r="A1314" i="26"/>
  <c r="C1314" i="26" s="1"/>
  <c r="A1315" i="26"/>
  <c r="C1315" i="26" s="1"/>
  <c r="A1316" i="26"/>
  <c r="C1316" i="26" s="1"/>
  <c r="A1317" i="26"/>
  <c r="C1317" i="26" s="1"/>
  <c r="A1318" i="26"/>
  <c r="C1318" i="26" s="1"/>
  <c r="A1319" i="26"/>
  <c r="C1319" i="26" s="1"/>
  <c r="A1320" i="26"/>
  <c r="C1320" i="26" s="1"/>
  <c r="A1321" i="26"/>
  <c r="C1321" i="26" s="1"/>
  <c r="A1322" i="26"/>
  <c r="C1322" i="26" s="1"/>
  <c r="A1323" i="26"/>
  <c r="C1323" i="26" s="1"/>
  <c r="A1324" i="26"/>
  <c r="C1324" i="26" s="1"/>
  <c r="A1325" i="26"/>
  <c r="C1325" i="26" s="1"/>
  <c r="A1326" i="26"/>
  <c r="C1326" i="26" s="1"/>
  <c r="A1327" i="26"/>
  <c r="C1327" i="26" s="1"/>
  <c r="A1328" i="26"/>
  <c r="C1328" i="26" s="1"/>
  <c r="A1329" i="26"/>
  <c r="C1329" i="26" s="1"/>
  <c r="A1330" i="26"/>
  <c r="C1330" i="26" s="1"/>
  <c r="A1331" i="26"/>
  <c r="C1331" i="26" s="1"/>
  <c r="A1332" i="26"/>
  <c r="C1332" i="26" s="1"/>
  <c r="A1333" i="26"/>
  <c r="C1333" i="26" s="1"/>
  <c r="A1334" i="26"/>
  <c r="C1334" i="26" s="1"/>
  <c r="A1335" i="26"/>
  <c r="C1335" i="26" s="1"/>
  <c r="A1336" i="26"/>
  <c r="C1336" i="26" s="1"/>
  <c r="A1337" i="26"/>
  <c r="C1337" i="26" s="1"/>
  <c r="A1338" i="26"/>
  <c r="C1338" i="26" s="1"/>
  <c r="A1339" i="26"/>
  <c r="C1339" i="26" s="1"/>
  <c r="A1340" i="26"/>
  <c r="C1340" i="26" s="1"/>
  <c r="A1341" i="26"/>
  <c r="C1341" i="26" s="1"/>
  <c r="A1342" i="26"/>
  <c r="C1342" i="26" s="1"/>
  <c r="A1343" i="26"/>
  <c r="C1343" i="26" s="1"/>
  <c r="A1344" i="26"/>
  <c r="C1344" i="26" s="1"/>
  <c r="A1345" i="26"/>
  <c r="C1345" i="26" s="1"/>
  <c r="A1346" i="26"/>
  <c r="C1346" i="26" s="1"/>
  <c r="A1347" i="26"/>
  <c r="C1347" i="26" s="1"/>
  <c r="A1348" i="26"/>
  <c r="C1348" i="26" s="1"/>
  <c r="A1349" i="26"/>
  <c r="C1349" i="26" s="1"/>
  <c r="A1350" i="26"/>
  <c r="C1350" i="26" s="1"/>
  <c r="A1351" i="26"/>
  <c r="C1351" i="26" s="1"/>
  <c r="A1352" i="26"/>
  <c r="C1352" i="26" s="1"/>
  <c r="A1353" i="26"/>
  <c r="C1353" i="26" s="1"/>
  <c r="A1354" i="26"/>
  <c r="C1354" i="26" s="1"/>
  <c r="A1355" i="26"/>
  <c r="C1355" i="26" s="1"/>
  <c r="A1356" i="26"/>
  <c r="C1356" i="26" s="1"/>
  <c r="A1357" i="26"/>
  <c r="C1357" i="26" s="1"/>
  <c r="A1358" i="26"/>
  <c r="C1358" i="26" s="1"/>
  <c r="A1359" i="26"/>
  <c r="C1359" i="26" s="1"/>
  <c r="A1360" i="26"/>
  <c r="C1360" i="26" s="1"/>
  <c r="A1361" i="26"/>
  <c r="C1361" i="26" s="1"/>
  <c r="A1362" i="26"/>
  <c r="C1362" i="26" s="1"/>
  <c r="A1363" i="26"/>
  <c r="C1363" i="26" s="1"/>
  <c r="A1364" i="26"/>
  <c r="C1364" i="26" s="1"/>
  <c r="A1365" i="26"/>
  <c r="C1365" i="26" s="1"/>
  <c r="A1366" i="26"/>
  <c r="C1366" i="26" s="1"/>
  <c r="A1367" i="26"/>
  <c r="C1367" i="26" s="1"/>
  <c r="A1368" i="26"/>
  <c r="C1368" i="26" s="1"/>
  <c r="A1369" i="26"/>
  <c r="C1369" i="26" s="1"/>
  <c r="A1370" i="26"/>
  <c r="C1370" i="26" s="1"/>
  <c r="A1371" i="26"/>
  <c r="C1371" i="26" s="1"/>
  <c r="A1372" i="26"/>
  <c r="C1372" i="26" s="1"/>
  <c r="A1373" i="26"/>
  <c r="C1373" i="26" s="1"/>
  <c r="A1374" i="26"/>
  <c r="C1374" i="26" s="1"/>
  <c r="A1375" i="26"/>
  <c r="C1375" i="26" s="1"/>
  <c r="A1376" i="26"/>
  <c r="C1376" i="26" s="1"/>
  <c r="A1377" i="26"/>
  <c r="C1377" i="26" s="1"/>
  <c r="A1378" i="26"/>
  <c r="C1378" i="26" s="1"/>
  <c r="A1379" i="26"/>
  <c r="C1379" i="26" s="1"/>
  <c r="A1380" i="26"/>
  <c r="C1380" i="26" s="1"/>
  <c r="A1381" i="26"/>
  <c r="C1381" i="26" s="1"/>
  <c r="A1382" i="26"/>
  <c r="C1382" i="26" s="1"/>
  <c r="A1383" i="26"/>
  <c r="C1383" i="26" s="1"/>
  <c r="A1384" i="26"/>
  <c r="C1384" i="26" s="1"/>
  <c r="A1385" i="26"/>
  <c r="C1385" i="26" s="1"/>
  <c r="A1386" i="26"/>
  <c r="C1386" i="26" s="1"/>
  <c r="A1387" i="26"/>
  <c r="C1387" i="26" s="1"/>
  <c r="A1388" i="26"/>
  <c r="C1388" i="26" s="1"/>
  <c r="A1389" i="26"/>
  <c r="C1389" i="26" s="1"/>
  <c r="A1390" i="26"/>
  <c r="C1390" i="26" s="1"/>
  <c r="A1391" i="26"/>
  <c r="C1391" i="26" s="1"/>
  <c r="A1392" i="26"/>
  <c r="C1392" i="26" s="1"/>
  <c r="A1393" i="26"/>
  <c r="C1393" i="26" s="1"/>
  <c r="A1394" i="26"/>
  <c r="C1394" i="26" s="1"/>
  <c r="A1395" i="26"/>
  <c r="C1395" i="26" s="1"/>
  <c r="A1396" i="26"/>
  <c r="C1396" i="26" s="1"/>
  <c r="A1397" i="26"/>
  <c r="C1397" i="26" s="1"/>
  <c r="A1398" i="26"/>
  <c r="C1398" i="26" s="1"/>
  <c r="A1399" i="26"/>
  <c r="C1399" i="26" s="1"/>
  <c r="A1400" i="26"/>
  <c r="C1400" i="26" s="1"/>
  <c r="A1401" i="26"/>
  <c r="C1401" i="26" s="1"/>
  <c r="A1402" i="26"/>
  <c r="C1402" i="26" s="1"/>
  <c r="A1403" i="26"/>
  <c r="C1403" i="26" s="1"/>
  <c r="A1404" i="26"/>
  <c r="C1404" i="26" s="1"/>
  <c r="A1405" i="26"/>
  <c r="C1405" i="26" s="1"/>
  <c r="A1406" i="26"/>
  <c r="C1406" i="26" s="1"/>
  <c r="A1407" i="26"/>
  <c r="C1407" i="26" s="1"/>
  <c r="A1408" i="26"/>
  <c r="C1408" i="26" s="1"/>
  <c r="A1409" i="26"/>
  <c r="C1409" i="26" s="1"/>
  <c r="A1410" i="26"/>
  <c r="C1410" i="26" s="1"/>
  <c r="A1411" i="26"/>
  <c r="C1411" i="26" s="1"/>
  <c r="A1412" i="26"/>
  <c r="C1412" i="26" s="1"/>
  <c r="A1413" i="26"/>
  <c r="C1413" i="26" s="1"/>
  <c r="A1414" i="26"/>
  <c r="C1414" i="26" s="1"/>
  <c r="A1415" i="26"/>
  <c r="C1415" i="26" s="1"/>
  <c r="A1416" i="26"/>
  <c r="C1416" i="26" s="1"/>
  <c r="A1417" i="26"/>
  <c r="C1417" i="26" s="1"/>
  <c r="A1418" i="26"/>
  <c r="C1418" i="26" s="1"/>
  <c r="A1419" i="26"/>
  <c r="C1419" i="26" s="1"/>
  <c r="A1420" i="26"/>
  <c r="C1420" i="26" s="1"/>
  <c r="A1421" i="26"/>
  <c r="C1421" i="26" s="1"/>
  <c r="A1422" i="26"/>
  <c r="C1422" i="26" s="1"/>
  <c r="A1423" i="26"/>
  <c r="C1423" i="26" s="1"/>
  <c r="A1424" i="26"/>
  <c r="C1424" i="26" s="1"/>
  <c r="A1425" i="26"/>
  <c r="C1425" i="26" s="1"/>
  <c r="A1426" i="26"/>
  <c r="C1426" i="26" s="1"/>
  <c r="A1427" i="26"/>
  <c r="C1427" i="26" s="1"/>
  <c r="A1428" i="26"/>
  <c r="C1428" i="26" s="1"/>
  <c r="A1429" i="26"/>
  <c r="C1429" i="26" s="1"/>
  <c r="A1430" i="26"/>
  <c r="C1430" i="26" s="1"/>
  <c r="A1431" i="26"/>
  <c r="C1431" i="26" s="1"/>
  <c r="A1432" i="26"/>
  <c r="C1432" i="26" s="1"/>
  <c r="A1433" i="26"/>
  <c r="C1433" i="26" s="1"/>
  <c r="A1434" i="26"/>
  <c r="C1434" i="26" s="1"/>
  <c r="A1435" i="26"/>
  <c r="C1435" i="26" s="1"/>
  <c r="A1436" i="26"/>
  <c r="C1436" i="26" s="1"/>
  <c r="A1437" i="26"/>
  <c r="C1437" i="26" s="1"/>
  <c r="A1438" i="26"/>
  <c r="C1438" i="26" s="1"/>
  <c r="A1439" i="26"/>
  <c r="C1439" i="26" s="1"/>
  <c r="A1440" i="26"/>
  <c r="C1440" i="26" s="1"/>
  <c r="A1441" i="26"/>
  <c r="C1441" i="26" s="1"/>
  <c r="A1442" i="26"/>
  <c r="C1442" i="26" s="1"/>
  <c r="A1443" i="26"/>
  <c r="C1443" i="26" s="1"/>
  <c r="A1444" i="26"/>
  <c r="C1444" i="26" s="1"/>
  <c r="A1445" i="26"/>
  <c r="C1445" i="26" s="1"/>
  <c r="A1446" i="26"/>
  <c r="C1446" i="26" s="1"/>
  <c r="A1447" i="26"/>
  <c r="C1447" i="26" s="1"/>
  <c r="A1448" i="26"/>
  <c r="C1448" i="26" s="1"/>
  <c r="A1449" i="26"/>
  <c r="C1449" i="26" s="1"/>
  <c r="A1450" i="26"/>
  <c r="C1450" i="26" s="1"/>
  <c r="A1451" i="26"/>
  <c r="C1451" i="26" s="1"/>
  <c r="A1452" i="26"/>
  <c r="C1452" i="26" s="1"/>
  <c r="A1453" i="26"/>
  <c r="C1453" i="26" s="1"/>
  <c r="A1454" i="26"/>
  <c r="C1454" i="26" s="1"/>
  <c r="A1455" i="26"/>
  <c r="C1455" i="26" s="1"/>
  <c r="A1456" i="26"/>
  <c r="C1456" i="26" s="1"/>
  <c r="A1457" i="26"/>
  <c r="C1457" i="26" s="1"/>
  <c r="A1458" i="26"/>
  <c r="C1458" i="26" s="1"/>
  <c r="A1459" i="26"/>
  <c r="C1459" i="26" s="1"/>
  <c r="A1460" i="26"/>
  <c r="C1460" i="26" s="1"/>
  <c r="A1461" i="26"/>
  <c r="C1461" i="26" s="1"/>
  <c r="A1462" i="26"/>
  <c r="C1462" i="26" s="1"/>
  <c r="A1463" i="26"/>
  <c r="C1463" i="26" s="1"/>
  <c r="A1464" i="26"/>
  <c r="C1464" i="26" s="1"/>
  <c r="A1465" i="26"/>
  <c r="C1465" i="26" s="1"/>
  <c r="A1466" i="26"/>
  <c r="C1466" i="26" s="1"/>
  <c r="A1467" i="26"/>
  <c r="C1467" i="26" s="1"/>
  <c r="A1468" i="26"/>
  <c r="C1468" i="26" s="1"/>
  <c r="A1469" i="26"/>
  <c r="C1469" i="26" s="1"/>
  <c r="A1470" i="26"/>
  <c r="C1470" i="26" s="1"/>
  <c r="A1471" i="26"/>
  <c r="C1471" i="26" s="1"/>
  <c r="A1472" i="26"/>
  <c r="C1472" i="26" s="1"/>
  <c r="A1473" i="26"/>
  <c r="C1473" i="26" s="1"/>
  <c r="A1474" i="26"/>
  <c r="C1474" i="26" s="1"/>
  <c r="A1475" i="26"/>
  <c r="C1475" i="26" s="1"/>
  <c r="A1476" i="26"/>
  <c r="C1476" i="26" s="1"/>
  <c r="A1477" i="26"/>
  <c r="C1477" i="26" s="1"/>
  <c r="A1478" i="26"/>
  <c r="C1478" i="26" s="1"/>
  <c r="A1479" i="26"/>
  <c r="C1479" i="26" s="1"/>
  <c r="A1480" i="26"/>
  <c r="C1480" i="26" s="1"/>
  <c r="A1481" i="26"/>
  <c r="C1481" i="26" s="1"/>
  <c r="A1482" i="26"/>
  <c r="C1482" i="26" s="1"/>
  <c r="A1483" i="26"/>
  <c r="C1483" i="26" s="1"/>
  <c r="A1484" i="26"/>
  <c r="C1484" i="26" s="1"/>
  <c r="A1485" i="26"/>
  <c r="C1485" i="26" s="1"/>
  <c r="A1486" i="26"/>
  <c r="C1486" i="26" s="1"/>
  <c r="A1487" i="26"/>
  <c r="C1487" i="26" s="1"/>
  <c r="A1488" i="26"/>
  <c r="C1488" i="26" s="1"/>
  <c r="A1489" i="26"/>
  <c r="C1489" i="26" s="1"/>
  <c r="A1490" i="26"/>
  <c r="C1490" i="26" s="1"/>
  <c r="A1491" i="26"/>
  <c r="C1491" i="26" s="1"/>
  <c r="A1492" i="26"/>
  <c r="C1492" i="26" s="1"/>
  <c r="A1493" i="26"/>
  <c r="C1493" i="26" s="1"/>
  <c r="A1494" i="26"/>
  <c r="C1494" i="26" s="1"/>
  <c r="A1495" i="26"/>
  <c r="C1495" i="26" s="1"/>
  <c r="A1496" i="26"/>
  <c r="C1496" i="26" s="1"/>
  <c r="A1497" i="26"/>
  <c r="C1497" i="26" s="1"/>
  <c r="A1498" i="26"/>
  <c r="C1498" i="26" s="1"/>
  <c r="A1499" i="26"/>
  <c r="C1499" i="26" s="1"/>
  <c r="A1500" i="26"/>
  <c r="C1500" i="26" s="1"/>
  <c r="A1501" i="26"/>
  <c r="C1501" i="26" s="1"/>
  <c r="A1502" i="26"/>
  <c r="C1502" i="26" s="1"/>
  <c r="A1503" i="26"/>
  <c r="C1503" i="26" s="1"/>
  <c r="A1504" i="26"/>
  <c r="C1504" i="26" s="1"/>
  <c r="A1505" i="26"/>
  <c r="C1505" i="26" s="1"/>
  <c r="A1506" i="26"/>
  <c r="C1506" i="26" s="1"/>
  <c r="A1507" i="26"/>
  <c r="C1507" i="26" s="1"/>
  <c r="A1508" i="26"/>
  <c r="C1508" i="26" s="1"/>
  <c r="A1509" i="26"/>
  <c r="C1509" i="26" s="1"/>
  <c r="A1510" i="26"/>
  <c r="C1510" i="26" s="1"/>
  <c r="A1511" i="26"/>
  <c r="C1511" i="26" s="1"/>
  <c r="A1512" i="26"/>
  <c r="C1512" i="26" s="1"/>
  <c r="A1513" i="26"/>
  <c r="C1513" i="26" s="1"/>
  <c r="A1514" i="26"/>
  <c r="C1514" i="26" s="1"/>
  <c r="A1515" i="26"/>
  <c r="C1515" i="26" s="1"/>
  <c r="A1516" i="26"/>
  <c r="C1516" i="26" s="1"/>
  <c r="A1517" i="26"/>
  <c r="C1517" i="26" s="1"/>
  <c r="A1518" i="26"/>
  <c r="C1518" i="26" s="1"/>
  <c r="A1519" i="26"/>
  <c r="C1519" i="26" s="1"/>
  <c r="A1520" i="26"/>
  <c r="C1520" i="26" s="1"/>
  <c r="A1521" i="26"/>
  <c r="C1521" i="26" s="1"/>
  <c r="A1522" i="26"/>
  <c r="C1522" i="26" s="1"/>
  <c r="A1523" i="26"/>
  <c r="C1523" i="26" s="1"/>
  <c r="A1524" i="26"/>
  <c r="C1524" i="26" s="1"/>
  <c r="A1525" i="26"/>
  <c r="C1525" i="26" s="1"/>
  <c r="A1526" i="26"/>
  <c r="C1526" i="26" s="1"/>
  <c r="A1527" i="26"/>
  <c r="C1527" i="26" s="1"/>
  <c r="A1528" i="26"/>
  <c r="C1528" i="26" s="1"/>
  <c r="A1529" i="26"/>
  <c r="C1529" i="26" s="1"/>
  <c r="A1530" i="26"/>
  <c r="C1530" i="26" s="1"/>
  <c r="A1531" i="26"/>
  <c r="C1531" i="26" s="1"/>
  <c r="A1532" i="26"/>
  <c r="C1532" i="26" s="1"/>
  <c r="A1533" i="26"/>
  <c r="C1533" i="26" s="1"/>
  <c r="A1534" i="26"/>
  <c r="C1534" i="26" s="1"/>
  <c r="A1535" i="26"/>
  <c r="C1535" i="26" s="1"/>
  <c r="A1536" i="26"/>
  <c r="C1536" i="26" s="1"/>
  <c r="A1537" i="26"/>
  <c r="C1537" i="26" s="1"/>
  <c r="A1538" i="26"/>
  <c r="C1538" i="26" s="1"/>
  <c r="A1539" i="26"/>
  <c r="C1539" i="26" s="1"/>
  <c r="A1540" i="26"/>
  <c r="C1540" i="26" s="1"/>
  <c r="A1541" i="26"/>
  <c r="C1541" i="26" s="1"/>
  <c r="A1542" i="26"/>
  <c r="C1542" i="26" s="1"/>
  <c r="A1543" i="26"/>
  <c r="C1543" i="26" s="1"/>
  <c r="A1544" i="26"/>
  <c r="C1544" i="26" s="1"/>
  <c r="A1545" i="26"/>
  <c r="C1545" i="26" s="1"/>
  <c r="A1546" i="26"/>
  <c r="C1546" i="26" s="1"/>
  <c r="A1547" i="26"/>
  <c r="C1547" i="26" s="1"/>
  <c r="A1548" i="26"/>
  <c r="C1548" i="26" s="1"/>
  <c r="A1549" i="26"/>
  <c r="C1549" i="26" s="1"/>
  <c r="A1550" i="26"/>
  <c r="C1550" i="26" s="1"/>
  <c r="A1551" i="26"/>
  <c r="C1551" i="26" s="1"/>
  <c r="A1552" i="26"/>
  <c r="C1552" i="26" s="1"/>
  <c r="A1553" i="26"/>
  <c r="C1553" i="26" s="1"/>
  <c r="A1554" i="26"/>
  <c r="C1554" i="26" s="1"/>
  <c r="A1555" i="26"/>
  <c r="C1555" i="26" s="1"/>
  <c r="A1556" i="26"/>
  <c r="C1556" i="26" s="1"/>
  <c r="A1557" i="26"/>
  <c r="C1557" i="26" s="1"/>
  <c r="A1558" i="26"/>
  <c r="C1558" i="26" s="1"/>
  <c r="A1559" i="26"/>
  <c r="C1559" i="26" s="1"/>
  <c r="A1560" i="26"/>
  <c r="C1560" i="26" s="1"/>
  <c r="A1561" i="26"/>
  <c r="C1561" i="26" s="1"/>
  <c r="A1562" i="26"/>
  <c r="C1562" i="26" s="1"/>
  <c r="A1563" i="26"/>
  <c r="C1563" i="26" s="1"/>
  <c r="A1564" i="26"/>
  <c r="C1564" i="26" s="1"/>
  <c r="A1565" i="26"/>
  <c r="C1565" i="26" s="1"/>
  <c r="A1566" i="26"/>
  <c r="C1566" i="26" s="1"/>
  <c r="A1567" i="26"/>
  <c r="C1567" i="26" s="1"/>
  <c r="A1568" i="26"/>
  <c r="C1568" i="26" s="1"/>
  <c r="A1569" i="26"/>
  <c r="C1569" i="26" s="1"/>
  <c r="A1570" i="26"/>
  <c r="C1570" i="26" s="1"/>
  <c r="A1571" i="26"/>
  <c r="C1571" i="26" s="1"/>
  <c r="A1572" i="26"/>
  <c r="C1572" i="26" s="1"/>
  <c r="A1573" i="26"/>
  <c r="C1573" i="26" s="1"/>
  <c r="A1574" i="26"/>
  <c r="C1574" i="26" s="1"/>
  <c r="A1575" i="26"/>
  <c r="C1575" i="26" s="1"/>
  <c r="A1576" i="26"/>
  <c r="C1576" i="26" s="1"/>
  <c r="A1577" i="26"/>
  <c r="C1577" i="26" s="1"/>
  <c r="A1578" i="26"/>
  <c r="C1578" i="26" s="1"/>
  <c r="A1579" i="26"/>
  <c r="C1579" i="26" s="1"/>
  <c r="A1580" i="26"/>
  <c r="C1580" i="26" s="1"/>
  <c r="A1581" i="26"/>
  <c r="C1581" i="26" s="1"/>
  <c r="A1582" i="26"/>
  <c r="C1582" i="26" s="1"/>
  <c r="A1583" i="26"/>
  <c r="C1583" i="26" s="1"/>
  <c r="A1584" i="26"/>
  <c r="C1584" i="26" s="1"/>
  <c r="A1585" i="26"/>
  <c r="C1585" i="26" s="1"/>
  <c r="A1586" i="26"/>
  <c r="C1586" i="26" s="1"/>
  <c r="A1587" i="26"/>
  <c r="C1587" i="26" s="1"/>
  <c r="A1588" i="26"/>
  <c r="C1588" i="26" s="1"/>
  <c r="A1589" i="26"/>
  <c r="C1589" i="26" s="1"/>
  <c r="A1590" i="26"/>
  <c r="C1590" i="26" s="1"/>
  <c r="A1591" i="26"/>
  <c r="C1591" i="26" s="1"/>
  <c r="A1592" i="26"/>
  <c r="C1592" i="26" s="1"/>
  <c r="A1593" i="26"/>
  <c r="C1593" i="26" s="1"/>
  <c r="A1594" i="26"/>
  <c r="C1594" i="26" s="1"/>
  <c r="A1595" i="26"/>
  <c r="C1595" i="26" s="1"/>
  <c r="A1596" i="26"/>
  <c r="C1596" i="26" s="1"/>
  <c r="A1597" i="26"/>
  <c r="C1597" i="26" s="1"/>
  <c r="A1598" i="26"/>
  <c r="C1598" i="26" s="1"/>
  <c r="A1599" i="26"/>
  <c r="C1599" i="26" s="1"/>
  <c r="A1600" i="26"/>
  <c r="C1600" i="26" s="1"/>
  <c r="A1601" i="26"/>
  <c r="C1601" i="26" s="1"/>
  <c r="A1602" i="26"/>
  <c r="C1602" i="26" s="1"/>
  <c r="A1603" i="26"/>
  <c r="C1603" i="26" s="1"/>
  <c r="A1604" i="26"/>
  <c r="C1604" i="26" s="1"/>
  <c r="A1605" i="26"/>
  <c r="C1605" i="26" s="1"/>
  <c r="A1606" i="26"/>
  <c r="C1606" i="26" s="1"/>
  <c r="A1607" i="26"/>
  <c r="C1607" i="26" s="1"/>
  <c r="A1608" i="26"/>
  <c r="C1608" i="26" s="1"/>
  <c r="A1609" i="26"/>
  <c r="C1609" i="26" s="1"/>
  <c r="A1610" i="26"/>
  <c r="C1610" i="26" s="1"/>
  <c r="A1611" i="26"/>
  <c r="C1611" i="26" s="1"/>
  <c r="A1612" i="26"/>
  <c r="C1612" i="26" s="1"/>
  <c r="A1613" i="26"/>
  <c r="C1613" i="26" s="1"/>
  <c r="A1614" i="26"/>
  <c r="C1614" i="26" s="1"/>
  <c r="A1615" i="26"/>
  <c r="C1615" i="26" s="1"/>
  <c r="A1616" i="26"/>
  <c r="C1616" i="26" s="1"/>
  <c r="A1617" i="26"/>
  <c r="C1617" i="26" s="1"/>
  <c r="A1618" i="26"/>
  <c r="C1618" i="26" s="1"/>
  <c r="A1619" i="26"/>
  <c r="C1619" i="26" s="1"/>
  <c r="A1620" i="26"/>
  <c r="C1620" i="26" s="1"/>
  <c r="A1621" i="26"/>
  <c r="C1621" i="26" s="1"/>
  <c r="A1622" i="26"/>
  <c r="C1622" i="26" s="1"/>
  <c r="A1623" i="26"/>
  <c r="C1623" i="26" s="1"/>
  <c r="A1624" i="26"/>
  <c r="C1624" i="26" s="1"/>
  <c r="A1625" i="26"/>
  <c r="C1625" i="26" s="1"/>
  <c r="A1626" i="26"/>
  <c r="C1626" i="26" s="1"/>
  <c r="A1627" i="26"/>
  <c r="C1627" i="26" s="1"/>
  <c r="A1628" i="26"/>
  <c r="C1628" i="26" s="1"/>
  <c r="A1629" i="26"/>
  <c r="C1629" i="26" s="1"/>
  <c r="A1630" i="26"/>
  <c r="C1630" i="26" s="1"/>
  <c r="A1631" i="26"/>
  <c r="C1631" i="26" s="1"/>
  <c r="A1632" i="26"/>
  <c r="C1632" i="26" s="1"/>
  <c r="A1633" i="26"/>
  <c r="C1633" i="26" s="1"/>
  <c r="A1634" i="26"/>
  <c r="C1634" i="26" s="1"/>
  <c r="A1635" i="26"/>
  <c r="C1635" i="26" s="1"/>
  <c r="A1636" i="26"/>
  <c r="C1636" i="26" s="1"/>
  <c r="A1637" i="26"/>
  <c r="C1637" i="26" s="1"/>
  <c r="A1638" i="26"/>
  <c r="C1638" i="26" s="1"/>
  <c r="A1639" i="26"/>
  <c r="C1639" i="26" s="1"/>
  <c r="A1640" i="26"/>
  <c r="C1640" i="26" s="1"/>
  <c r="A1641" i="26"/>
  <c r="C1641" i="26" s="1"/>
  <c r="A1642" i="26"/>
  <c r="C1642" i="26" s="1"/>
  <c r="A1643" i="26"/>
  <c r="C1643" i="26" s="1"/>
  <c r="A1644" i="26"/>
  <c r="C1644" i="26" s="1"/>
  <c r="A1645" i="26"/>
  <c r="C1645" i="26" s="1"/>
  <c r="A1646" i="26"/>
  <c r="C1646" i="26" s="1"/>
  <c r="A1647" i="26"/>
  <c r="C1647" i="26" s="1"/>
  <c r="A1648" i="26"/>
  <c r="C1648" i="26" s="1"/>
  <c r="A1649" i="26"/>
  <c r="C1649" i="26" s="1"/>
  <c r="A1650" i="26"/>
  <c r="C1650" i="26" s="1"/>
  <c r="A1651" i="26"/>
  <c r="C1651" i="26" s="1"/>
  <c r="A1652" i="26"/>
  <c r="C1652" i="26" s="1"/>
  <c r="A1653" i="26"/>
  <c r="C1653" i="26" s="1"/>
  <c r="A1654" i="26"/>
  <c r="C1654" i="26" s="1"/>
  <c r="A1655" i="26"/>
  <c r="C1655" i="26" s="1"/>
  <c r="A1656" i="26"/>
  <c r="C1656" i="26" s="1"/>
  <c r="A1657" i="26"/>
  <c r="C1657" i="26" s="1"/>
  <c r="A1658" i="26"/>
  <c r="C1658" i="26" s="1"/>
  <c r="A1659" i="26"/>
  <c r="C1659" i="26" s="1"/>
  <c r="A1660" i="26"/>
  <c r="C1660" i="26" s="1"/>
  <c r="A1661" i="26"/>
  <c r="C1661" i="26" s="1"/>
  <c r="A1662" i="26"/>
  <c r="C1662" i="26" s="1"/>
  <c r="A1663" i="26"/>
  <c r="C1663" i="26" s="1"/>
  <c r="A1664" i="26"/>
  <c r="C1664" i="26" s="1"/>
  <c r="A1665" i="26"/>
  <c r="C1665" i="26" s="1"/>
  <c r="A1666" i="26"/>
  <c r="C1666" i="26" s="1"/>
  <c r="A1667" i="26"/>
  <c r="C1667" i="26" s="1"/>
  <c r="A1668" i="26"/>
  <c r="C1668" i="26" s="1"/>
  <c r="A1669" i="26"/>
  <c r="C1669" i="26" s="1"/>
  <c r="A1670" i="26"/>
  <c r="C1670" i="26" s="1"/>
  <c r="A1671" i="26"/>
  <c r="C1671" i="26" s="1"/>
  <c r="A1672" i="26"/>
  <c r="C1672" i="26" s="1"/>
  <c r="A1673" i="26"/>
  <c r="C1673" i="26" s="1"/>
  <c r="A1674" i="26"/>
  <c r="C1674" i="26" s="1"/>
  <c r="A1675" i="26"/>
  <c r="C1675" i="26" s="1"/>
  <c r="A1676" i="26"/>
  <c r="C1676" i="26" s="1"/>
  <c r="A1677" i="26"/>
  <c r="C1677" i="26" s="1"/>
  <c r="A1678" i="26"/>
  <c r="C1678" i="26" s="1"/>
  <c r="A1679" i="26"/>
  <c r="C1679" i="26" s="1"/>
  <c r="A1680" i="26"/>
  <c r="C1680" i="26" s="1"/>
  <c r="A1681" i="26"/>
  <c r="C1681" i="26" s="1"/>
  <c r="A1682" i="26"/>
  <c r="C1682" i="26" s="1"/>
  <c r="A1683" i="26"/>
  <c r="C1683" i="26" s="1"/>
  <c r="A1684" i="26"/>
  <c r="C1684" i="26" s="1"/>
  <c r="A1685" i="26"/>
  <c r="C1685" i="26" s="1"/>
  <c r="A1686" i="26"/>
  <c r="C1686" i="26" s="1"/>
  <c r="A1687" i="26"/>
  <c r="C1687" i="26" s="1"/>
  <c r="A1688" i="26"/>
  <c r="C1688" i="26" s="1"/>
  <c r="A1689" i="26"/>
  <c r="C1689" i="26" s="1"/>
  <c r="A1690" i="26"/>
  <c r="C1690" i="26" s="1"/>
  <c r="A1691" i="26"/>
  <c r="C1691" i="26" s="1"/>
  <c r="A1692" i="26"/>
  <c r="C1692" i="26" s="1"/>
  <c r="A1693" i="26"/>
  <c r="C1693" i="26" s="1"/>
  <c r="A1694" i="26"/>
  <c r="C1694" i="26" s="1"/>
  <c r="A1695" i="26"/>
  <c r="C1695" i="26" s="1"/>
  <c r="A1696" i="26"/>
  <c r="C1696" i="26" s="1"/>
  <c r="A1697" i="26"/>
  <c r="C1697" i="26" s="1"/>
  <c r="A1698" i="26"/>
  <c r="C1698" i="26" s="1"/>
  <c r="A1699" i="26"/>
  <c r="C1699" i="26" s="1"/>
  <c r="A1700" i="26"/>
  <c r="C1700" i="26" s="1"/>
  <c r="A1701" i="26"/>
  <c r="C1701" i="26" s="1"/>
  <c r="A1702" i="26"/>
  <c r="C1702" i="26" s="1"/>
  <c r="A1703" i="26"/>
  <c r="C1703" i="26" s="1"/>
  <c r="A1704" i="26"/>
  <c r="C1704" i="26" s="1"/>
  <c r="A1705" i="26"/>
  <c r="C1705" i="26" s="1"/>
  <c r="A1706" i="26"/>
  <c r="C1706" i="26" s="1"/>
  <c r="A1707" i="26"/>
  <c r="C1707" i="26" s="1"/>
  <c r="A1708" i="26"/>
  <c r="C1708" i="26" s="1"/>
  <c r="A1709" i="26"/>
  <c r="C1709" i="26" s="1"/>
  <c r="A1710" i="26"/>
  <c r="C1710" i="26" s="1"/>
  <c r="A1711" i="26"/>
  <c r="C1711" i="26" s="1"/>
  <c r="A1712" i="26"/>
  <c r="C1712" i="26" s="1"/>
  <c r="A1713" i="26"/>
  <c r="C1713" i="26" s="1"/>
  <c r="A1714" i="26"/>
  <c r="C1714" i="26" s="1"/>
  <c r="A1715" i="26"/>
  <c r="C1715" i="26" s="1"/>
  <c r="A1716" i="26"/>
  <c r="C1716" i="26" s="1"/>
  <c r="A1717" i="26"/>
  <c r="C1717" i="26" s="1"/>
  <c r="A1718" i="26"/>
  <c r="C1718" i="26" s="1"/>
  <c r="A1719" i="26"/>
  <c r="C1719" i="26" s="1"/>
  <c r="A1720" i="26"/>
  <c r="C1720" i="26" s="1"/>
  <c r="A1721" i="26"/>
  <c r="C1721" i="26" s="1"/>
  <c r="A1722" i="26"/>
  <c r="C1722" i="26" s="1"/>
  <c r="A1723" i="26"/>
  <c r="C1723" i="26" s="1"/>
  <c r="A1724" i="26"/>
  <c r="C1724" i="26" s="1"/>
  <c r="A1725" i="26"/>
  <c r="C1725" i="26" s="1"/>
  <c r="A1726" i="26"/>
  <c r="C1726" i="26" s="1"/>
  <c r="A1727" i="26"/>
  <c r="C1727" i="26" s="1"/>
  <c r="A1728" i="26"/>
  <c r="C1728" i="26" s="1"/>
  <c r="A1729" i="26"/>
  <c r="C1729" i="26" s="1"/>
  <c r="A1730" i="26"/>
  <c r="C1730" i="26" s="1"/>
  <c r="A1731" i="26"/>
  <c r="C1731" i="26" s="1"/>
  <c r="A1732" i="26"/>
  <c r="C1732" i="26" s="1"/>
  <c r="A1733" i="26"/>
  <c r="C1733" i="26" s="1"/>
  <c r="A1734" i="26"/>
  <c r="C1734" i="26" s="1"/>
  <c r="A1735" i="26"/>
  <c r="C1735" i="26" s="1"/>
  <c r="A1736" i="26"/>
  <c r="C1736" i="26" s="1"/>
  <c r="A1737" i="26"/>
  <c r="C1737" i="26" s="1"/>
  <c r="A1738" i="26"/>
  <c r="C1738" i="26" s="1"/>
  <c r="A1739" i="26"/>
  <c r="C1739" i="26" s="1"/>
  <c r="A1740" i="26"/>
  <c r="C1740" i="26" s="1"/>
  <c r="A1741" i="26"/>
  <c r="C1741" i="26" s="1"/>
  <c r="A15" i="26"/>
  <c r="A16" i="26"/>
  <c r="C16" i="26" s="1"/>
  <c r="G17" i="6"/>
  <c r="AU47" i="6"/>
  <c r="AU48" i="6"/>
  <c r="AU49" i="6"/>
  <c r="AU50" i="6"/>
  <c r="AU51" i="6"/>
  <c r="AU52" i="6"/>
  <c r="AU53" i="6"/>
  <c r="AU54" i="6"/>
  <c r="AU55" i="6"/>
  <c r="AU56" i="6"/>
  <c r="AU57" i="6"/>
  <c r="AU58" i="6"/>
  <c r="AU59" i="6"/>
  <c r="AU60" i="6"/>
  <c r="AU61" i="6"/>
  <c r="AU62" i="6"/>
  <c r="AU63" i="6"/>
  <c r="AU64" i="6"/>
  <c r="AU65" i="6"/>
  <c r="AU46" i="6"/>
  <c r="AT47" i="6"/>
  <c r="AT48" i="6"/>
  <c r="AT49" i="6"/>
  <c r="AT50" i="6"/>
  <c r="AT51" i="6"/>
  <c r="AT52" i="6"/>
  <c r="AT53" i="6"/>
  <c r="AT54" i="6"/>
  <c r="AT55" i="6"/>
  <c r="AT56" i="6"/>
  <c r="AT57" i="6"/>
  <c r="AT58" i="6"/>
  <c r="AT59" i="6"/>
  <c r="AT60" i="6"/>
  <c r="AT61" i="6"/>
  <c r="AT62" i="6"/>
  <c r="AT63" i="6"/>
  <c r="AT64" i="6"/>
  <c r="AT65" i="6"/>
  <c r="AT46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38" i="6"/>
  <c r="AU39" i="6"/>
  <c r="AU40" i="6"/>
  <c r="AU41" i="6"/>
  <c r="AU42" i="6"/>
  <c r="AU43" i="6"/>
  <c r="AU44" i="6"/>
  <c r="AU45" i="6"/>
  <c r="AU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38" i="6"/>
  <c r="AT39" i="6"/>
  <c r="AT40" i="6"/>
  <c r="AT41" i="6"/>
  <c r="AT42" i="6"/>
  <c r="AT43" i="6"/>
  <c r="AT44" i="6"/>
  <c r="AT45" i="6"/>
  <c r="AT25" i="6"/>
  <c r="F1740" i="26" l="1"/>
  <c r="H1740" i="26" s="1"/>
  <c r="G1740" i="26"/>
  <c r="I1740" i="26" s="1"/>
  <c r="F1738" i="26"/>
  <c r="H1738" i="26" s="1"/>
  <c r="G1738" i="26"/>
  <c r="I1738" i="26" s="1"/>
  <c r="F1734" i="26"/>
  <c r="H1734" i="26" s="1"/>
  <c r="G1734" i="26"/>
  <c r="I1734" i="26" s="1"/>
  <c r="F1732" i="26"/>
  <c r="H1732" i="26" s="1"/>
  <c r="G1732" i="26"/>
  <c r="I1732" i="26" s="1"/>
  <c r="G1741" i="26"/>
  <c r="I1741" i="26" s="1"/>
  <c r="F1741" i="26"/>
  <c r="H1741" i="26" s="1"/>
  <c r="G1739" i="26"/>
  <c r="I1739" i="26" s="1"/>
  <c r="F1739" i="26"/>
  <c r="H1739" i="26" s="1"/>
  <c r="G1737" i="26"/>
  <c r="I1737" i="26" s="1"/>
  <c r="F1737" i="26"/>
  <c r="H1737" i="26" s="1"/>
  <c r="G1735" i="26"/>
  <c r="I1735" i="26" s="1"/>
  <c r="F1735" i="26"/>
  <c r="H1735" i="26" s="1"/>
  <c r="G1733" i="26"/>
  <c r="I1733" i="26" s="1"/>
  <c r="F1733" i="26"/>
  <c r="H1733" i="26" s="1"/>
  <c r="G1731" i="26"/>
  <c r="I1731" i="26" s="1"/>
  <c r="F1731" i="26"/>
  <c r="H1731" i="26" s="1"/>
  <c r="G1729" i="26"/>
  <c r="I1729" i="26" s="1"/>
  <c r="F1729" i="26"/>
  <c r="H1729" i="26" s="1"/>
  <c r="F1736" i="26"/>
  <c r="H1736" i="26" s="1"/>
  <c r="G1736" i="26"/>
  <c r="I1736" i="26" s="1"/>
  <c r="F1730" i="26"/>
  <c r="H1730" i="26" s="1"/>
  <c r="G1730" i="26"/>
  <c r="I1730" i="26" s="1"/>
  <c r="G16" i="26"/>
  <c r="I16" i="26" s="1"/>
  <c r="F16" i="26"/>
  <c r="H16" i="26" s="1"/>
  <c r="G1727" i="26"/>
  <c r="I1727" i="26" s="1"/>
  <c r="F1727" i="26"/>
  <c r="H1727" i="26" s="1"/>
  <c r="G1723" i="26"/>
  <c r="I1723" i="26" s="1"/>
  <c r="F1723" i="26"/>
  <c r="H1723" i="26" s="1"/>
  <c r="G1719" i="26"/>
  <c r="I1719" i="26" s="1"/>
  <c r="F1719" i="26"/>
  <c r="H1719" i="26" s="1"/>
  <c r="G1715" i="26"/>
  <c r="I1715" i="26" s="1"/>
  <c r="F1715" i="26"/>
  <c r="H1715" i="26" s="1"/>
  <c r="G1711" i="26"/>
  <c r="I1711" i="26" s="1"/>
  <c r="F1711" i="26"/>
  <c r="H1711" i="26" s="1"/>
  <c r="G1707" i="26"/>
  <c r="I1707" i="26" s="1"/>
  <c r="F1707" i="26"/>
  <c r="H1707" i="26" s="1"/>
  <c r="G1703" i="26"/>
  <c r="I1703" i="26" s="1"/>
  <c r="F1703" i="26"/>
  <c r="H1703" i="26" s="1"/>
  <c r="G1699" i="26"/>
  <c r="I1699" i="26" s="1"/>
  <c r="F1699" i="26"/>
  <c r="H1699" i="26" s="1"/>
  <c r="G1695" i="26"/>
  <c r="I1695" i="26" s="1"/>
  <c r="F1695" i="26"/>
  <c r="H1695" i="26" s="1"/>
  <c r="G1691" i="26"/>
  <c r="I1691" i="26" s="1"/>
  <c r="F1691" i="26"/>
  <c r="H1691" i="26" s="1"/>
  <c r="G1687" i="26"/>
  <c r="I1687" i="26" s="1"/>
  <c r="F1687" i="26"/>
  <c r="H1687" i="26" s="1"/>
  <c r="G1683" i="26"/>
  <c r="I1683" i="26" s="1"/>
  <c r="F1683" i="26"/>
  <c r="H1683" i="26" s="1"/>
  <c r="G1679" i="26"/>
  <c r="I1679" i="26" s="1"/>
  <c r="F1679" i="26"/>
  <c r="H1679" i="26" s="1"/>
  <c r="G1675" i="26"/>
  <c r="I1675" i="26" s="1"/>
  <c r="F1675" i="26"/>
  <c r="H1675" i="26" s="1"/>
  <c r="G1671" i="26"/>
  <c r="I1671" i="26" s="1"/>
  <c r="F1671" i="26"/>
  <c r="H1671" i="26" s="1"/>
  <c r="G1667" i="26"/>
  <c r="I1667" i="26" s="1"/>
  <c r="F1667" i="26"/>
  <c r="H1667" i="26" s="1"/>
  <c r="G1663" i="26"/>
  <c r="I1663" i="26" s="1"/>
  <c r="F1663" i="26"/>
  <c r="H1663" i="26" s="1"/>
  <c r="G1659" i="26"/>
  <c r="I1659" i="26" s="1"/>
  <c r="F1659" i="26"/>
  <c r="H1659" i="26" s="1"/>
  <c r="G1655" i="26"/>
  <c r="I1655" i="26" s="1"/>
  <c r="F1655" i="26"/>
  <c r="H1655" i="26" s="1"/>
  <c r="G1651" i="26"/>
  <c r="I1651" i="26" s="1"/>
  <c r="F1651" i="26"/>
  <c r="H1651" i="26" s="1"/>
  <c r="G1647" i="26"/>
  <c r="I1647" i="26" s="1"/>
  <c r="F1647" i="26"/>
  <c r="H1647" i="26" s="1"/>
  <c r="G1643" i="26"/>
  <c r="I1643" i="26" s="1"/>
  <c r="F1643" i="26"/>
  <c r="H1643" i="26" s="1"/>
  <c r="G1639" i="26"/>
  <c r="I1639" i="26" s="1"/>
  <c r="F1639" i="26"/>
  <c r="H1639" i="26" s="1"/>
  <c r="G1635" i="26"/>
  <c r="I1635" i="26" s="1"/>
  <c r="F1635" i="26"/>
  <c r="H1635" i="26" s="1"/>
  <c r="G1631" i="26"/>
  <c r="I1631" i="26" s="1"/>
  <c r="F1631" i="26"/>
  <c r="H1631" i="26" s="1"/>
  <c r="G1627" i="26"/>
  <c r="I1627" i="26" s="1"/>
  <c r="F1627" i="26"/>
  <c r="H1627" i="26" s="1"/>
  <c r="G1623" i="26"/>
  <c r="I1623" i="26" s="1"/>
  <c r="F1623" i="26"/>
  <c r="H1623" i="26" s="1"/>
  <c r="G1619" i="26"/>
  <c r="I1619" i="26" s="1"/>
  <c r="F1619" i="26"/>
  <c r="H1619" i="26" s="1"/>
  <c r="G1615" i="26"/>
  <c r="I1615" i="26" s="1"/>
  <c r="F1615" i="26"/>
  <c r="H1615" i="26" s="1"/>
  <c r="G1611" i="26"/>
  <c r="I1611" i="26" s="1"/>
  <c r="F1611" i="26"/>
  <c r="H1611" i="26" s="1"/>
  <c r="G1607" i="26"/>
  <c r="I1607" i="26" s="1"/>
  <c r="F1607" i="26"/>
  <c r="H1607" i="26" s="1"/>
  <c r="G1603" i="26"/>
  <c r="I1603" i="26" s="1"/>
  <c r="F1603" i="26"/>
  <c r="H1603" i="26" s="1"/>
  <c r="G1599" i="26"/>
  <c r="I1599" i="26" s="1"/>
  <c r="F1599" i="26"/>
  <c r="H1599" i="26" s="1"/>
  <c r="G1595" i="26"/>
  <c r="I1595" i="26" s="1"/>
  <c r="F1595" i="26"/>
  <c r="H1595" i="26" s="1"/>
  <c r="G1591" i="26"/>
  <c r="I1591" i="26" s="1"/>
  <c r="F1591" i="26"/>
  <c r="H1591" i="26" s="1"/>
  <c r="G1587" i="26"/>
  <c r="I1587" i="26" s="1"/>
  <c r="F1587" i="26"/>
  <c r="H1587" i="26" s="1"/>
  <c r="G1583" i="26"/>
  <c r="I1583" i="26" s="1"/>
  <c r="F1583" i="26"/>
  <c r="H1583" i="26" s="1"/>
  <c r="G1579" i="26"/>
  <c r="I1579" i="26" s="1"/>
  <c r="F1579" i="26"/>
  <c r="H1579" i="26" s="1"/>
  <c r="G1575" i="26"/>
  <c r="I1575" i="26" s="1"/>
  <c r="F1575" i="26"/>
  <c r="H1575" i="26" s="1"/>
  <c r="G1571" i="26"/>
  <c r="I1571" i="26" s="1"/>
  <c r="F1571" i="26"/>
  <c r="H1571" i="26" s="1"/>
  <c r="G1567" i="26"/>
  <c r="I1567" i="26" s="1"/>
  <c r="F1567" i="26"/>
  <c r="H1567" i="26" s="1"/>
  <c r="G1563" i="26"/>
  <c r="I1563" i="26" s="1"/>
  <c r="F1563" i="26"/>
  <c r="H1563" i="26" s="1"/>
  <c r="G1559" i="26"/>
  <c r="I1559" i="26" s="1"/>
  <c r="F1559" i="26"/>
  <c r="H1559" i="26" s="1"/>
  <c r="G1555" i="26"/>
  <c r="I1555" i="26" s="1"/>
  <c r="F1555" i="26"/>
  <c r="H1555" i="26" s="1"/>
  <c r="G1551" i="26"/>
  <c r="I1551" i="26" s="1"/>
  <c r="F1551" i="26"/>
  <c r="H1551" i="26" s="1"/>
  <c r="G1547" i="26"/>
  <c r="I1547" i="26" s="1"/>
  <c r="F1547" i="26"/>
  <c r="H1547" i="26" s="1"/>
  <c r="G1543" i="26"/>
  <c r="I1543" i="26" s="1"/>
  <c r="F1543" i="26"/>
  <c r="H1543" i="26" s="1"/>
  <c r="G1539" i="26"/>
  <c r="I1539" i="26" s="1"/>
  <c r="F1539" i="26"/>
  <c r="H1539" i="26" s="1"/>
  <c r="G1535" i="26"/>
  <c r="I1535" i="26" s="1"/>
  <c r="F1535" i="26"/>
  <c r="H1535" i="26" s="1"/>
  <c r="G1531" i="26"/>
  <c r="I1531" i="26" s="1"/>
  <c r="F1531" i="26"/>
  <c r="H1531" i="26" s="1"/>
  <c r="G1527" i="26"/>
  <c r="I1527" i="26" s="1"/>
  <c r="F1527" i="26"/>
  <c r="H1527" i="26" s="1"/>
  <c r="G1523" i="26"/>
  <c r="I1523" i="26" s="1"/>
  <c r="F1523" i="26"/>
  <c r="H1523" i="26" s="1"/>
  <c r="G1519" i="26"/>
  <c r="I1519" i="26" s="1"/>
  <c r="F1519" i="26"/>
  <c r="H1519" i="26" s="1"/>
  <c r="G1515" i="26"/>
  <c r="I1515" i="26" s="1"/>
  <c r="F1515" i="26"/>
  <c r="H1515" i="26" s="1"/>
  <c r="G1511" i="26"/>
  <c r="I1511" i="26" s="1"/>
  <c r="F1511" i="26"/>
  <c r="H1511" i="26" s="1"/>
  <c r="G1507" i="26"/>
  <c r="I1507" i="26" s="1"/>
  <c r="F1507" i="26"/>
  <c r="H1507" i="26" s="1"/>
  <c r="G1503" i="26"/>
  <c r="I1503" i="26" s="1"/>
  <c r="F1503" i="26"/>
  <c r="H1503" i="26" s="1"/>
  <c r="G1499" i="26"/>
  <c r="I1499" i="26" s="1"/>
  <c r="F1499" i="26"/>
  <c r="H1499" i="26" s="1"/>
  <c r="G1495" i="26"/>
  <c r="I1495" i="26" s="1"/>
  <c r="F1495" i="26"/>
  <c r="H1495" i="26" s="1"/>
  <c r="G1491" i="26"/>
  <c r="I1491" i="26" s="1"/>
  <c r="F1491" i="26"/>
  <c r="H1491" i="26" s="1"/>
  <c r="G1487" i="26"/>
  <c r="I1487" i="26" s="1"/>
  <c r="F1487" i="26"/>
  <c r="H1487" i="26" s="1"/>
  <c r="G1483" i="26"/>
  <c r="I1483" i="26" s="1"/>
  <c r="F1483" i="26"/>
  <c r="H1483" i="26" s="1"/>
  <c r="G1479" i="26"/>
  <c r="I1479" i="26" s="1"/>
  <c r="F1479" i="26"/>
  <c r="H1479" i="26" s="1"/>
  <c r="G1475" i="26"/>
  <c r="I1475" i="26" s="1"/>
  <c r="F1475" i="26"/>
  <c r="H1475" i="26" s="1"/>
  <c r="G1471" i="26"/>
  <c r="I1471" i="26" s="1"/>
  <c r="F1471" i="26"/>
  <c r="H1471" i="26" s="1"/>
  <c r="G1467" i="26"/>
  <c r="I1467" i="26" s="1"/>
  <c r="F1467" i="26"/>
  <c r="H1467" i="26" s="1"/>
  <c r="G1463" i="26"/>
  <c r="I1463" i="26" s="1"/>
  <c r="F1463" i="26"/>
  <c r="H1463" i="26" s="1"/>
  <c r="G1459" i="26"/>
  <c r="I1459" i="26" s="1"/>
  <c r="F1459" i="26"/>
  <c r="H1459" i="26" s="1"/>
  <c r="G1455" i="26"/>
  <c r="I1455" i="26" s="1"/>
  <c r="F1455" i="26"/>
  <c r="H1455" i="26" s="1"/>
  <c r="G1451" i="26"/>
  <c r="I1451" i="26" s="1"/>
  <c r="F1451" i="26"/>
  <c r="H1451" i="26" s="1"/>
  <c r="G1447" i="26"/>
  <c r="I1447" i="26" s="1"/>
  <c r="F1447" i="26"/>
  <c r="H1447" i="26" s="1"/>
  <c r="G1443" i="26"/>
  <c r="I1443" i="26" s="1"/>
  <c r="F1443" i="26"/>
  <c r="H1443" i="26" s="1"/>
  <c r="G1439" i="26"/>
  <c r="I1439" i="26" s="1"/>
  <c r="F1439" i="26"/>
  <c r="H1439" i="26" s="1"/>
  <c r="G1435" i="26"/>
  <c r="I1435" i="26" s="1"/>
  <c r="F1435" i="26"/>
  <c r="H1435" i="26" s="1"/>
  <c r="G1431" i="26"/>
  <c r="I1431" i="26" s="1"/>
  <c r="F1431" i="26"/>
  <c r="H1431" i="26" s="1"/>
  <c r="G1427" i="26"/>
  <c r="I1427" i="26" s="1"/>
  <c r="F1427" i="26"/>
  <c r="H1427" i="26" s="1"/>
  <c r="G1423" i="26"/>
  <c r="I1423" i="26" s="1"/>
  <c r="F1423" i="26"/>
  <c r="H1423" i="26" s="1"/>
  <c r="G1419" i="26"/>
  <c r="I1419" i="26" s="1"/>
  <c r="F1419" i="26"/>
  <c r="H1419" i="26" s="1"/>
  <c r="G1415" i="26"/>
  <c r="I1415" i="26" s="1"/>
  <c r="F1415" i="26"/>
  <c r="H1415" i="26" s="1"/>
  <c r="G1411" i="26"/>
  <c r="I1411" i="26" s="1"/>
  <c r="F1411" i="26"/>
  <c r="H1411" i="26" s="1"/>
  <c r="G1407" i="26"/>
  <c r="I1407" i="26" s="1"/>
  <c r="F1407" i="26"/>
  <c r="H1407" i="26" s="1"/>
  <c r="G1403" i="26"/>
  <c r="I1403" i="26" s="1"/>
  <c r="F1403" i="26"/>
  <c r="H1403" i="26" s="1"/>
  <c r="G1399" i="26"/>
  <c r="I1399" i="26" s="1"/>
  <c r="F1399" i="26"/>
  <c r="H1399" i="26" s="1"/>
  <c r="G1395" i="26"/>
  <c r="I1395" i="26" s="1"/>
  <c r="F1395" i="26"/>
  <c r="H1395" i="26" s="1"/>
  <c r="G1391" i="26"/>
  <c r="I1391" i="26" s="1"/>
  <c r="F1391" i="26"/>
  <c r="H1391" i="26" s="1"/>
  <c r="G1387" i="26"/>
  <c r="I1387" i="26" s="1"/>
  <c r="F1387" i="26"/>
  <c r="H1387" i="26" s="1"/>
  <c r="G1383" i="26"/>
  <c r="I1383" i="26" s="1"/>
  <c r="F1383" i="26"/>
  <c r="H1383" i="26" s="1"/>
  <c r="G1379" i="26"/>
  <c r="I1379" i="26" s="1"/>
  <c r="F1379" i="26"/>
  <c r="H1379" i="26" s="1"/>
  <c r="G1375" i="26"/>
  <c r="I1375" i="26" s="1"/>
  <c r="F1375" i="26"/>
  <c r="H1375" i="26" s="1"/>
  <c r="G1371" i="26"/>
  <c r="I1371" i="26" s="1"/>
  <c r="F1371" i="26"/>
  <c r="H1371" i="26" s="1"/>
  <c r="G1367" i="26"/>
  <c r="I1367" i="26" s="1"/>
  <c r="F1367" i="26"/>
  <c r="H1367" i="26" s="1"/>
  <c r="G1363" i="26"/>
  <c r="I1363" i="26" s="1"/>
  <c r="F1363" i="26"/>
  <c r="H1363" i="26" s="1"/>
  <c r="G1359" i="26"/>
  <c r="I1359" i="26" s="1"/>
  <c r="F1359" i="26"/>
  <c r="H1359" i="26" s="1"/>
  <c r="G1355" i="26"/>
  <c r="I1355" i="26" s="1"/>
  <c r="F1355" i="26"/>
  <c r="H1355" i="26" s="1"/>
  <c r="G1351" i="26"/>
  <c r="I1351" i="26" s="1"/>
  <c r="F1351" i="26"/>
  <c r="H1351" i="26" s="1"/>
  <c r="G1347" i="26"/>
  <c r="I1347" i="26" s="1"/>
  <c r="F1347" i="26"/>
  <c r="H1347" i="26" s="1"/>
  <c r="G1343" i="26"/>
  <c r="I1343" i="26" s="1"/>
  <c r="F1343" i="26"/>
  <c r="H1343" i="26" s="1"/>
  <c r="G1339" i="26"/>
  <c r="I1339" i="26" s="1"/>
  <c r="F1339" i="26"/>
  <c r="H1339" i="26" s="1"/>
  <c r="G1335" i="26"/>
  <c r="I1335" i="26" s="1"/>
  <c r="F1335" i="26"/>
  <c r="H1335" i="26" s="1"/>
  <c r="G1331" i="26"/>
  <c r="I1331" i="26" s="1"/>
  <c r="F1331" i="26"/>
  <c r="H1331" i="26" s="1"/>
  <c r="G1327" i="26"/>
  <c r="I1327" i="26" s="1"/>
  <c r="F1327" i="26"/>
  <c r="H1327" i="26" s="1"/>
  <c r="G1323" i="26"/>
  <c r="I1323" i="26" s="1"/>
  <c r="F1323" i="26"/>
  <c r="H1323" i="26" s="1"/>
  <c r="G1319" i="26"/>
  <c r="I1319" i="26" s="1"/>
  <c r="F1319" i="26"/>
  <c r="H1319" i="26" s="1"/>
  <c r="G1315" i="26"/>
  <c r="I1315" i="26" s="1"/>
  <c r="F1315" i="26"/>
  <c r="H1315" i="26" s="1"/>
  <c r="G1311" i="26"/>
  <c r="I1311" i="26" s="1"/>
  <c r="F1311" i="26"/>
  <c r="H1311" i="26" s="1"/>
  <c r="G1307" i="26"/>
  <c r="I1307" i="26" s="1"/>
  <c r="F1307" i="26"/>
  <c r="H1307" i="26" s="1"/>
  <c r="G1303" i="26"/>
  <c r="I1303" i="26" s="1"/>
  <c r="F1303" i="26"/>
  <c r="H1303" i="26" s="1"/>
  <c r="G1299" i="26"/>
  <c r="I1299" i="26" s="1"/>
  <c r="F1299" i="26"/>
  <c r="H1299" i="26" s="1"/>
  <c r="G1295" i="26"/>
  <c r="I1295" i="26" s="1"/>
  <c r="F1295" i="26"/>
  <c r="H1295" i="26" s="1"/>
  <c r="G1291" i="26"/>
  <c r="I1291" i="26" s="1"/>
  <c r="F1291" i="26"/>
  <c r="H1291" i="26" s="1"/>
  <c r="G1287" i="26"/>
  <c r="I1287" i="26" s="1"/>
  <c r="F1287" i="26"/>
  <c r="H1287" i="26" s="1"/>
  <c r="G1283" i="26"/>
  <c r="I1283" i="26" s="1"/>
  <c r="F1283" i="26"/>
  <c r="H1283" i="26" s="1"/>
  <c r="G1279" i="26"/>
  <c r="I1279" i="26" s="1"/>
  <c r="F1279" i="26"/>
  <c r="H1279" i="26" s="1"/>
  <c r="G1275" i="26"/>
  <c r="I1275" i="26" s="1"/>
  <c r="F1275" i="26"/>
  <c r="H1275" i="26" s="1"/>
  <c r="G1271" i="26"/>
  <c r="I1271" i="26" s="1"/>
  <c r="F1271" i="26"/>
  <c r="H1271" i="26" s="1"/>
  <c r="G1267" i="26"/>
  <c r="I1267" i="26" s="1"/>
  <c r="F1267" i="26"/>
  <c r="H1267" i="26" s="1"/>
  <c r="G1263" i="26"/>
  <c r="I1263" i="26" s="1"/>
  <c r="F1263" i="26"/>
  <c r="H1263" i="26" s="1"/>
  <c r="G1259" i="26"/>
  <c r="I1259" i="26" s="1"/>
  <c r="F1259" i="26"/>
  <c r="H1259" i="26" s="1"/>
  <c r="G1255" i="26"/>
  <c r="I1255" i="26" s="1"/>
  <c r="F1255" i="26"/>
  <c r="H1255" i="26" s="1"/>
  <c r="G1251" i="26"/>
  <c r="I1251" i="26" s="1"/>
  <c r="F1251" i="26"/>
  <c r="H1251" i="26" s="1"/>
  <c r="G1247" i="26"/>
  <c r="I1247" i="26" s="1"/>
  <c r="F1247" i="26"/>
  <c r="H1247" i="26" s="1"/>
  <c r="G1243" i="26"/>
  <c r="I1243" i="26" s="1"/>
  <c r="F1243" i="26"/>
  <c r="H1243" i="26" s="1"/>
  <c r="G1239" i="26"/>
  <c r="I1239" i="26" s="1"/>
  <c r="F1239" i="26"/>
  <c r="H1239" i="26" s="1"/>
  <c r="G1235" i="26"/>
  <c r="I1235" i="26" s="1"/>
  <c r="F1235" i="26"/>
  <c r="H1235" i="26" s="1"/>
  <c r="G1231" i="26"/>
  <c r="I1231" i="26" s="1"/>
  <c r="F1231" i="26"/>
  <c r="H1231" i="26" s="1"/>
  <c r="G1227" i="26"/>
  <c r="I1227" i="26" s="1"/>
  <c r="F1227" i="26"/>
  <c r="H1227" i="26" s="1"/>
  <c r="G1223" i="26"/>
  <c r="I1223" i="26" s="1"/>
  <c r="F1223" i="26"/>
  <c r="H1223" i="26" s="1"/>
  <c r="G1219" i="26"/>
  <c r="I1219" i="26" s="1"/>
  <c r="F1219" i="26"/>
  <c r="H1219" i="26" s="1"/>
  <c r="G1215" i="26"/>
  <c r="I1215" i="26" s="1"/>
  <c r="F1215" i="26"/>
  <c r="H1215" i="26" s="1"/>
  <c r="G1211" i="26"/>
  <c r="I1211" i="26" s="1"/>
  <c r="F1211" i="26"/>
  <c r="H1211" i="26" s="1"/>
  <c r="G1207" i="26"/>
  <c r="I1207" i="26" s="1"/>
  <c r="F1207" i="26"/>
  <c r="H1207" i="26" s="1"/>
  <c r="G1203" i="26"/>
  <c r="I1203" i="26" s="1"/>
  <c r="F1203" i="26"/>
  <c r="H1203" i="26" s="1"/>
  <c r="G1199" i="26"/>
  <c r="I1199" i="26" s="1"/>
  <c r="F1199" i="26"/>
  <c r="H1199" i="26" s="1"/>
  <c r="G1195" i="26"/>
  <c r="I1195" i="26" s="1"/>
  <c r="F1195" i="26"/>
  <c r="H1195" i="26" s="1"/>
  <c r="G1191" i="26"/>
  <c r="I1191" i="26" s="1"/>
  <c r="F1191" i="26"/>
  <c r="H1191" i="26" s="1"/>
  <c r="G1187" i="26"/>
  <c r="I1187" i="26" s="1"/>
  <c r="F1187" i="26"/>
  <c r="H1187" i="26" s="1"/>
  <c r="G1183" i="26"/>
  <c r="I1183" i="26" s="1"/>
  <c r="F1183" i="26"/>
  <c r="H1183" i="26" s="1"/>
  <c r="G1179" i="26"/>
  <c r="I1179" i="26" s="1"/>
  <c r="F1179" i="26"/>
  <c r="H1179" i="26" s="1"/>
  <c r="G1175" i="26"/>
  <c r="I1175" i="26" s="1"/>
  <c r="F1175" i="26"/>
  <c r="H1175" i="26" s="1"/>
  <c r="G1171" i="26"/>
  <c r="I1171" i="26" s="1"/>
  <c r="F1171" i="26"/>
  <c r="H1171" i="26" s="1"/>
  <c r="G1167" i="26"/>
  <c r="I1167" i="26" s="1"/>
  <c r="F1167" i="26"/>
  <c r="H1167" i="26" s="1"/>
  <c r="G1163" i="26"/>
  <c r="I1163" i="26" s="1"/>
  <c r="F1163" i="26"/>
  <c r="H1163" i="26" s="1"/>
  <c r="G1159" i="26"/>
  <c r="I1159" i="26" s="1"/>
  <c r="F1159" i="26"/>
  <c r="H1159" i="26" s="1"/>
  <c r="G1155" i="26"/>
  <c r="I1155" i="26" s="1"/>
  <c r="F1155" i="26"/>
  <c r="H1155" i="26" s="1"/>
  <c r="G1151" i="26"/>
  <c r="I1151" i="26" s="1"/>
  <c r="F1151" i="26"/>
  <c r="H1151" i="26" s="1"/>
  <c r="G1147" i="26"/>
  <c r="I1147" i="26" s="1"/>
  <c r="F1147" i="26"/>
  <c r="H1147" i="26" s="1"/>
  <c r="G1143" i="26"/>
  <c r="I1143" i="26" s="1"/>
  <c r="F1143" i="26"/>
  <c r="H1143" i="26" s="1"/>
  <c r="G1139" i="26"/>
  <c r="I1139" i="26" s="1"/>
  <c r="F1139" i="26"/>
  <c r="H1139" i="26" s="1"/>
  <c r="G1135" i="26"/>
  <c r="I1135" i="26" s="1"/>
  <c r="F1135" i="26"/>
  <c r="H1135" i="26" s="1"/>
  <c r="G1131" i="26"/>
  <c r="I1131" i="26" s="1"/>
  <c r="F1131" i="26"/>
  <c r="H1131" i="26" s="1"/>
  <c r="G1127" i="26"/>
  <c r="I1127" i="26" s="1"/>
  <c r="F1127" i="26"/>
  <c r="H1127" i="26" s="1"/>
  <c r="G1123" i="26"/>
  <c r="I1123" i="26" s="1"/>
  <c r="F1123" i="26"/>
  <c r="H1123" i="26" s="1"/>
  <c r="G1119" i="26"/>
  <c r="I1119" i="26" s="1"/>
  <c r="F1119" i="26"/>
  <c r="H1119" i="26" s="1"/>
  <c r="G1115" i="26"/>
  <c r="I1115" i="26" s="1"/>
  <c r="F1115" i="26"/>
  <c r="H1115" i="26" s="1"/>
  <c r="G1111" i="26"/>
  <c r="I1111" i="26" s="1"/>
  <c r="F1111" i="26"/>
  <c r="H1111" i="26" s="1"/>
  <c r="G1107" i="26"/>
  <c r="I1107" i="26" s="1"/>
  <c r="F1107" i="26"/>
  <c r="H1107" i="26" s="1"/>
  <c r="G1103" i="26"/>
  <c r="I1103" i="26" s="1"/>
  <c r="F1103" i="26"/>
  <c r="H1103" i="26" s="1"/>
  <c r="G1099" i="26"/>
  <c r="I1099" i="26" s="1"/>
  <c r="F1099" i="26"/>
  <c r="H1099" i="26" s="1"/>
  <c r="G1095" i="26"/>
  <c r="I1095" i="26" s="1"/>
  <c r="F1095" i="26"/>
  <c r="H1095" i="26" s="1"/>
  <c r="G1091" i="26"/>
  <c r="I1091" i="26" s="1"/>
  <c r="F1091" i="26"/>
  <c r="H1091" i="26" s="1"/>
  <c r="G1087" i="26"/>
  <c r="I1087" i="26" s="1"/>
  <c r="F1087" i="26"/>
  <c r="H1087" i="26" s="1"/>
  <c r="G1083" i="26"/>
  <c r="I1083" i="26" s="1"/>
  <c r="F1083" i="26"/>
  <c r="H1083" i="26" s="1"/>
  <c r="G1079" i="26"/>
  <c r="I1079" i="26" s="1"/>
  <c r="F1079" i="26"/>
  <c r="H1079" i="26" s="1"/>
  <c r="G1075" i="26"/>
  <c r="I1075" i="26" s="1"/>
  <c r="F1075" i="26"/>
  <c r="H1075" i="26" s="1"/>
  <c r="G1071" i="26"/>
  <c r="I1071" i="26" s="1"/>
  <c r="F1071" i="26"/>
  <c r="H1071" i="26" s="1"/>
  <c r="G1067" i="26"/>
  <c r="I1067" i="26" s="1"/>
  <c r="F1067" i="26"/>
  <c r="H1067" i="26" s="1"/>
  <c r="G1063" i="26"/>
  <c r="I1063" i="26" s="1"/>
  <c r="F1063" i="26"/>
  <c r="H1063" i="26" s="1"/>
  <c r="G1059" i="26"/>
  <c r="I1059" i="26" s="1"/>
  <c r="F1059" i="26"/>
  <c r="H1059" i="26" s="1"/>
  <c r="G1055" i="26"/>
  <c r="I1055" i="26" s="1"/>
  <c r="F1055" i="26"/>
  <c r="H1055" i="26" s="1"/>
  <c r="G1051" i="26"/>
  <c r="I1051" i="26" s="1"/>
  <c r="F1051" i="26"/>
  <c r="H1051" i="26" s="1"/>
  <c r="G1047" i="26"/>
  <c r="I1047" i="26" s="1"/>
  <c r="F1047" i="26"/>
  <c r="H1047" i="26" s="1"/>
  <c r="G1043" i="26"/>
  <c r="I1043" i="26" s="1"/>
  <c r="F1043" i="26"/>
  <c r="H1043" i="26" s="1"/>
  <c r="G1039" i="26"/>
  <c r="I1039" i="26" s="1"/>
  <c r="F1039" i="26"/>
  <c r="H1039" i="26" s="1"/>
  <c r="G1035" i="26"/>
  <c r="I1035" i="26" s="1"/>
  <c r="F1035" i="26"/>
  <c r="H1035" i="26" s="1"/>
  <c r="G1031" i="26"/>
  <c r="I1031" i="26" s="1"/>
  <c r="F1031" i="26"/>
  <c r="H1031" i="26" s="1"/>
  <c r="G1027" i="26"/>
  <c r="I1027" i="26" s="1"/>
  <c r="F1027" i="26"/>
  <c r="H1027" i="26" s="1"/>
  <c r="G1023" i="26"/>
  <c r="I1023" i="26" s="1"/>
  <c r="F1023" i="26"/>
  <c r="H1023" i="26" s="1"/>
  <c r="G1019" i="26"/>
  <c r="I1019" i="26" s="1"/>
  <c r="F1019" i="26"/>
  <c r="H1019" i="26" s="1"/>
  <c r="G1015" i="26"/>
  <c r="I1015" i="26" s="1"/>
  <c r="F1015" i="26"/>
  <c r="H1015" i="26" s="1"/>
  <c r="G1011" i="26"/>
  <c r="I1011" i="26" s="1"/>
  <c r="F1011" i="26"/>
  <c r="H1011" i="26" s="1"/>
  <c r="G1007" i="26"/>
  <c r="I1007" i="26" s="1"/>
  <c r="F1007" i="26"/>
  <c r="H1007" i="26" s="1"/>
  <c r="G1003" i="26"/>
  <c r="I1003" i="26" s="1"/>
  <c r="F1003" i="26"/>
  <c r="H1003" i="26" s="1"/>
  <c r="G999" i="26"/>
  <c r="I999" i="26" s="1"/>
  <c r="F999" i="26"/>
  <c r="H999" i="26" s="1"/>
  <c r="G995" i="26"/>
  <c r="I995" i="26" s="1"/>
  <c r="F995" i="26"/>
  <c r="H995" i="26" s="1"/>
  <c r="G991" i="26"/>
  <c r="I991" i="26" s="1"/>
  <c r="F991" i="26"/>
  <c r="H991" i="26" s="1"/>
  <c r="G987" i="26"/>
  <c r="I987" i="26" s="1"/>
  <c r="F987" i="26"/>
  <c r="H987" i="26" s="1"/>
  <c r="G983" i="26"/>
  <c r="I983" i="26" s="1"/>
  <c r="F983" i="26"/>
  <c r="H983" i="26" s="1"/>
  <c r="G979" i="26"/>
  <c r="I979" i="26" s="1"/>
  <c r="F979" i="26"/>
  <c r="H979" i="26" s="1"/>
  <c r="G975" i="26"/>
  <c r="I975" i="26" s="1"/>
  <c r="F975" i="26"/>
  <c r="H975" i="26" s="1"/>
  <c r="G971" i="26"/>
  <c r="I971" i="26" s="1"/>
  <c r="F971" i="26"/>
  <c r="H971" i="26" s="1"/>
  <c r="G967" i="26"/>
  <c r="I967" i="26" s="1"/>
  <c r="F967" i="26"/>
  <c r="H967" i="26" s="1"/>
  <c r="G963" i="26"/>
  <c r="I963" i="26" s="1"/>
  <c r="F963" i="26"/>
  <c r="H963" i="26" s="1"/>
  <c r="G959" i="26"/>
  <c r="I959" i="26" s="1"/>
  <c r="F959" i="26"/>
  <c r="H959" i="26" s="1"/>
  <c r="G955" i="26"/>
  <c r="I955" i="26" s="1"/>
  <c r="F955" i="26"/>
  <c r="H955" i="26" s="1"/>
  <c r="G951" i="26"/>
  <c r="I951" i="26" s="1"/>
  <c r="F951" i="26"/>
  <c r="H951" i="26" s="1"/>
  <c r="G947" i="26"/>
  <c r="I947" i="26" s="1"/>
  <c r="F947" i="26"/>
  <c r="H947" i="26" s="1"/>
  <c r="G943" i="26"/>
  <c r="I943" i="26" s="1"/>
  <c r="F943" i="26"/>
  <c r="H943" i="26" s="1"/>
  <c r="G939" i="26"/>
  <c r="I939" i="26" s="1"/>
  <c r="F939" i="26"/>
  <c r="H939" i="26" s="1"/>
  <c r="G935" i="26"/>
  <c r="I935" i="26" s="1"/>
  <c r="F935" i="26"/>
  <c r="H935" i="26" s="1"/>
  <c r="G931" i="26"/>
  <c r="I931" i="26" s="1"/>
  <c r="F931" i="26"/>
  <c r="H931" i="26" s="1"/>
  <c r="G927" i="26"/>
  <c r="I927" i="26" s="1"/>
  <c r="F927" i="26"/>
  <c r="H927" i="26" s="1"/>
  <c r="G923" i="26"/>
  <c r="I923" i="26" s="1"/>
  <c r="F923" i="26"/>
  <c r="H923" i="26" s="1"/>
  <c r="G919" i="26"/>
  <c r="I919" i="26" s="1"/>
  <c r="F919" i="26"/>
  <c r="H919" i="26" s="1"/>
  <c r="G915" i="26"/>
  <c r="I915" i="26" s="1"/>
  <c r="F915" i="26"/>
  <c r="H915" i="26" s="1"/>
  <c r="G911" i="26"/>
  <c r="I911" i="26" s="1"/>
  <c r="F911" i="26"/>
  <c r="H911" i="26" s="1"/>
  <c r="G907" i="26"/>
  <c r="I907" i="26" s="1"/>
  <c r="F907" i="26"/>
  <c r="H907" i="26" s="1"/>
  <c r="G903" i="26"/>
  <c r="I903" i="26" s="1"/>
  <c r="F903" i="26"/>
  <c r="H903" i="26" s="1"/>
  <c r="G899" i="26"/>
  <c r="I899" i="26" s="1"/>
  <c r="F899" i="26"/>
  <c r="H899" i="26" s="1"/>
  <c r="G895" i="26"/>
  <c r="I895" i="26" s="1"/>
  <c r="F895" i="26"/>
  <c r="H895" i="26" s="1"/>
  <c r="G891" i="26"/>
  <c r="I891" i="26" s="1"/>
  <c r="F891" i="26"/>
  <c r="H891" i="26" s="1"/>
  <c r="G887" i="26"/>
  <c r="I887" i="26" s="1"/>
  <c r="F887" i="26"/>
  <c r="H887" i="26" s="1"/>
  <c r="G883" i="26"/>
  <c r="I883" i="26" s="1"/>
  <c r="F883" i="26"/>
  <c r="H883" i="26" s="1"/>
  <c r="G879" i="26"/>
  <c r="I879" i="26" s="1"/>
  <c r="F879" i="26"/>
  <c r="H879" i="26" s="1"/>
  <c r="G875" i="26"/>
  <c r="I875" i="26" s="1"/>
  <c r="F875" i="26"/>
  <c r="H875" i="26" s="1"/>
  <c r="G871" i="26"/>
  <c r="I871" i="26" s="1"/>
  <c r="F871" i="26"/>
  <c r="H871" i="26" s="1"/>
  <c r="G867" i="26"/>
  <c r="I867" i="26" s="1"/>
  <c r="F867" i="26"/>
  <c r="H867" i="26" s="1"/>
  <c r="G863" i="26"/>
  <c r="I863" i="26" s="1"/>
  <c r="F863" i="26"/>
  <c r="H863" i="26" s="1"/>
  <c r="G859" i="26"/>
  <c r="I859" i="26" s="1"/>
  <c r="F859" i="26"/>
  <c r="H859" i="26" s="1"/>
  <c r="G855" i="26"/>
  <c r="I855" i="26" s="1"/>
  <c r="F855" i="26"/>
  <c r="H855" i="26" s="1"/>
  <c r="G851" i="26"/>
  <c r="I851" i="26" s="1"/>
  <c r="F851" i="26"/>
  <c r="H851" i="26" s="1"/>
  <c r="G847" i="26"/>
  <c r="I847" i="26" s="1"/>
  <c r="F847" i="26"/>
  <c r="H847" i="26" s="1"/>
  <c r="G843" i="26"/>
  <c r="I843" i="26" s="1"/>
  <c r="F843" i="26"/>
  <c r="H843" i="26" s="1"/>
  <c r="G839" i="26"/>
  <c r="I839" i="26" s="1"/>
  <c r="F839" i="26"/>
  <c r="H839" i="26" s="1"/>
  <c r="G835" i="26"/>
  <c r="I835" i="26" s="1"/>
  <c r="F835" i="26"/>
  <c r="H835" i="26" s="1"/>
  <c r="G831" i="26"/>
  <c r="I831" i="26" s="1"/>
  <c r="F831" i="26"/>
  <c r="H831" i="26" s="1"/>
  <c r="G827" i="26"/>
  <c r="I827" i="26" s="1"/>
  <c r="F827" i="26"/>
  <c r="H827" i="26" s="1"/>
  <c r="G823" i="26"/>
  <c r="I823" i="26" s="1"/>
  <c r="F823" i="26"/>
  <c r="H823" i="26" s="1"/>
  <c r="G819" i="26"/>
  <c r="I819" i="26" s="1"/>
  <c r="F819" i="26"/>
  <c r="H819" i="26" s="1"/>
  <c r="G815" i="26"/>
  <c r="I815" i="26" s="1"/>
  <c r="F815" i="26"/>
  <c r="H815" i="26" s="1"/>
  <c r="G811" i="26"/>
  <c r="I811" i="26" s="1"/>
  <c r="F811" i="26"/>
  <c r="H811" i="26" s="1"/>
  <c r="G807" i="26"/>
  <c r="I807" i="26" s="1"/>
  <c r="F807" i="26"/>
  <c r="H807" i="26" s="1"/>
  <c r="G803" i="26"/>
  <c r="I803" i="26" s="1"/>
  <c r="F803" i="26"/>
  <c r="H803" i="26" s="1"/>
  <c r="G799" i="26"/>
  <c r="I799" i="26" s="1"/>
  <c r="F799" i="26"/>
  <c r="H799" i="26" s="1"/>
  <c r="G795" i="26"/>
  <c r="I795" i="26" s="1"/>
  <c r="F795" i="26"/>
  <c r="H795" i="26" s="1"/>
  <c r="G791" i="26"/>
  <c r="I791" i="26" s="1"/>
  <c r="F791" i="26"/>
  <c r="H791" i="26" s="1"/>
  <c r="G787" i="26"/>
  <c r="I787" i="26" s="1"/>
  <c r="F787" i="26"/>
  <c r="H787" i="26" s="1"/>
  <c r="G783" i="26"/>
  <c r="I783" i="26" s="1"/>
  <c r="F783" i="26"/>
  <c r="H783" i="26" s="1"/>
  <c r="G779" i="26"/>
  <c r="I779" i="26" s="1"/>
  <c r="I55" i="2" s="1"/>
  <c r="F779" i="26"/>
  <c r="H779" i="26" s="1"/>
  <c r="G775" i="26"/>
  <c r="I775" i="26" s="1"/>
  <c r="F775" i="26"/>
  <c r="H775" i="26" s="1"/>
  <c r="G771" i="26"/>
  <c r="I771" i="26" s="1"/>
  <c r="F771" i="26"/>
  <c r="H771" i="26" s="1"/>
  <c r="G767" i="26"/>
  <c r="I767" i="26" s="1"/>
  <c r="F767" i="26"/>
  <c r="H767" i="26" s="1"/>
  <c r="G763" i="26"/>
  <c r="I763" i="26" s="1"/>
  <c r="F763" i="26"/>
  <c r="H763" i="26" s="1"/>
  <c r="G759" i="26"/>
  <c r="I759" i="26" s="1"/>
  <c r="F759" i="26"/>
  <c r="H759" i="26" s="1"/>
  <c r="G755" i="26"/>
  <c r="I755" i="26" s="1"/>
  <c r="F755" i="26"/>
  <c r="H755" i="26" s="1"/>
  <c r="G751" i="26"/>
  <c r="I751" i="26" s="1"/>
  <c r="F751" i="26"/>
  <c r="H751" i="26" s="1"/>
  <c r="G747" i="26"/>
  <c r="I747" i="26" s="1"/>
  <c r="F747" i="26"/>
  <c r="H747" i="26" s="1"/>
  <c r="G743" i="26"/>
  <c r="I743" i="26" s="1"/>
  <c r="F743" i="26"/>
  <c r="H743" i="26" s="1"/>
  <c r="G739" i="26"/>
  <c r="I739" i="26" s="1"/>
  <c r="F739" i="26"/>
  <c r="H739" i="26" s="1"/>
  <c r="G735" i="26"/>
  <c r="I735" i="26" s="1"/>
  <c r="F735" i="26"/>
  <c r="H735" i="26" s="1"/>
  <c r="G731" i="26"/>
  <c r="I731" i="26" s="1"/>
  <c r="F731" i="26"/>
  <c r="H731" i="26" s="1"/>
  <c r="G727" i="26"/>
  <c r="I727" i="26" s="1"/>
  <c r="F727" i="26"/>
  <c r="H727" i="26" s="1"/>
  <c r="G723" i="26"/>
  <c r="I723" i="26" s="1"/>
  <c r="F723" i="26"/>
  <c r="H723" i="26" s="1"/>
  <c r="G719" i="26"/>
  <c r="I719" i="26" s="1"/>
  <c r="F719" i="26"/>
  <c r="H719" i="26" s="1"/>
  <c r="G715" i="26"/>
  <c r="I715" i="26" s="1"/>
  <c r="F715" i="26"/>
  <c r="H715" i="26" s="1"/>
  <c r="G711" i="26"/>
  <c r="I711" i="26" s="1"/>
  <c r="F711" i="26"/>
  <c r="H711" i="26" s="1"/>
  <c r="G707" i="26"/>
  <c r="I707" i="26" s="1"/>
  <c r="F707" i="26"/>
  <c r="H707" i="26" s="1"/>
  <c r="G703" i="26"/>
  <c r="I703" i="26" s="1"/>
  <c r="F703" i="26"/>
  <c r="H703" i="26" s="1"/>
  <c r="G699" i="26"/>
  <c r="I699" i="26" s="1"/>
  <c r="I119" i="2" s="1"/>
  <c r="F699" i="26"/>
  <c r="H699" i="26" s="1"/>
  <c r="G695" i="26"/>
  <c r="I695" i="26" s="1"/>
  <c r="F695" i="26"/>
  <c r="H695" i="26" s="1"/>
  <c r="G691" i="26"/>
  <c r="I691" i="26" s="1"/>
  <c r="F691" i="26"/>
  <c r="H691" i="26" s="1"/>
  <c r="G687" i="26"/>
  <c r="I687" i="26" s="1"/>
  <c r="F687" i="26"/>
  <c r="H687" i="26" s="1"/>
  <c r="G683" i="26"/>
  <c r="I683" i="26" s="1"/>
  <c r="F683" i="26"/>
  <c r="H683" i="26" s="1"/>
  <c r="G679" i="26"/>
  <c r="I679" i="26" s="1"/>
  <c r="F679" i="26"/>
  <c r="H679" i="26" s="1"/>
  <c r="G675" i="26"/>
  <c r="I675" i="26" s="1"/>
  <c r="F675" i="26"/>
  <c r="H675" i="26" s="1"/>
  <c r="G671" i="26"/>
  <c r="I671" i="26" s="1"/>
  <c r="F671" i="26"/>
  <c r="H671" i="26" s="1"/>
  <c r="G667" i="26"/>
  <c r="I667" i="26" s="1"/>
  <c r="F667" i="26"/>
  <c r="H667" i="26" s="1"/>
  <c r="G663" i="26"/>
  <c r="I663" i="26" s="1"/>
  <c r="F663" i="26"/>
  <c r="H663" i="26" s="1"/>
  <c r="G659" i="26"/>
  <c r="I659" i="26" s="1"/>
  <c r="F659" i="26"/>
  <c r="H659" i="26" s="1"/>
  <c r="G655" i="26"/>
  <c r="I655" i="26" s="1"/>
  <c r="F655" i="26"/>
  <c r="H655" i="26" s="1"/>
  <c r="G651" i="26"/>
  <c r="I651" i="26" s="1"/>
  <c r="F651" i="26"/>
  <c r="H651" i="26" s="1"/>
  <c r="G647" i="26"/>
  <c r="I647" i="26" s="1"/>
  <c r="F647" i="26"/>
  <c r="H647" i="26" s="1"/>
  <c r="G643" i="26"/>
  <c r="I643" i="26" s="1"/>
  <c r="F643" i="26"/>
  <c r="H643" i="26" s="1"/>
  <c r="G639" i="26"/>
  <c r="I639" i="26" s="1"/>
  <c r="F639" i="26"/>
  <c r="H639" i="26" s="1"/>
  <c r="G635" i="26"/>
  <c r="I635" i="26" s="1"/>
  <c r="F635" i="26"/>
  <c r="H635" i="26" s="1"/>
  <c r="G631" i="26"/>
  <c r="I631" i="26" s="1"/>
  <c r="F631" i="26"/>
  <c r="H631" i="26" s="1"/>
  <c r="G627" i="26"/>
  <c r="I627" i="26" s="1"/>
  <c r="F627" i="26"/>
  <c r="H627" i="26" s="1"/>
  <c r="G623" i="26"/>
  <c r="I623" i="26" s="1"/>
  <c r="F623" i="26"/>
  <c r="H623" i="26" s="1"/>
  <c r="G619" i="26"/>
  <c r="I619" i="26" s="1"/>
  <c r="F619" i="26"/>
  <c r="H619" i="26" s="1"/>
  <c r="G615" i="26"/>
  <c r="I615" i="26" s="1"/>
  <c r="F615" i="26"/>
  <c r="H615" i="26" s="1"/>
  <c r="G611" i="26"/>
  <c r="I611" i="26" s="1"/>
  <c r="F611" i="26"/>
  <c r="H611" i="26" s="1"/>
  <c r="G607" i="26"/>
  <c r="I607" i="26" s="1"/>
  <c r="F607" i="26"/>
  <c r="H607" i="26" s="1"/>
  <c r="G603" i="26"/>
  <c r="I603" i="26" s="1"/>
  <c r="F603" i="26"/>
  <c r="H603" i="26" s="1"/>
  <c r="G599" i="26"/>
  <c r="I599" i="26" s="1"/>
  <c r="F599" i="26"/>
  <c r="H599" i="26" s="1"/>
  <c r="G595" i="26"/>
  <c r="I595" i="26" s="1"/>
  <c r="F595" i="26"/>
  <c r="H595" i="26" s="1"/>
  <c r="G591" i="26"/>
  <c r="I591" i="26" s="1"/>
  <c r="F591" i="26"/>
  <c r="H591" i="26" s="1"/>
  <c r="G587" i="26"/>
  <c r="I587" i="26" s="1"/>
  <c r="F587" i="26"/>
  <c r="H587" i="26" s="1"/>
  <c r="G583" i="26"/>
  <c r="I583" i="26" s="1"/>
  <c r="F583" i="26"/>
  <c r="H583" i="26" s="1"/>
  <c r="G579" i="26"/>
  <c r="I579" i="26" s="1"/>
  <c r="F579" i="26"/>
  <c r="H579" i="26" s="1"/>
  <c r="G575" i="26"/>
  <c r="I575" i="26" s="1"/>
  <c r="F575" i="26"/>
  <c r="H575" i="26" s="1"/>
  <c r="G571" i="26"/>
  <c r="I571" i="26" s="1"/>
  <c r="F571" i="26"/>
  <c r="H571" i="26" s="1"/>
  <c r="G567" i="26"/>
  <c r="I567" i="26" s="1"/>
  <c r="F567" i="26"/>
  <c r="H567" i="26" s="1"/>
  <c r="G563" i="26"/>
  <c r="I563" i="26" s="1"/>
  <c r="F563" i="26"/>
  <c r="H563" i="26" s="1"/>
  <c r="G559" i="26"/>
  <c r="I559" i="26" s="1"/>
  <c r="F559" i="26"/>
  <c r="H559" i="26" s="1"/>
  <c r="G555" i="26"/>
  <c r="I555" i="26" s="1"/>
  <c r="F555" i="26"/>
  <c r="H555" i="26" s="1"/>
  <c r="G551" i="26"/>
  <c r="I551" i="26" s="1"/>
  <c r="F551" i="26"/>
  <c r="H551" i="26" s="1"/>
  <c r="G547" i="26"/>
  <c r="I547" i="26" s="1"/>
  <c r="F547" i="26"/>
  <c r="H547" i="26" s="1"/>
  <c r="G543" i="26"/>
  <c r="I543" i="26" s="1"/>
  <c r="F543" i="26"/>
  <c r="H543" i="26" s="1"/>
  <c r="G539" i="26"/>
  <c r="I539" i="26" s="1"/>
  <c r="F539" i="26"/>
  <c r="H539" i="26" s="1"/>
  <c r="G535" i="26"/>
  <c r="I535" i="26" s="1"/>
  <c r="F535" i="26"/>
  <c r="H535" i="26" s="1"/>
  <c r="G531" i="26"/>
  <c r="I531" i="26" s="1"/>
  <c r="F531" i="26"/>
  <c r="H531" i="26" s="1"/>
  <c r="G527" i="26"/>
  <c r="I527" i="26" s="1"/>
  <c r="F527" i="26"/>
  <c r="H527" i="26" s="1"/>
  <c r="G523" i="26"/>
  <c r="I523" i="26" s="1"/>
  <c r="F523" i="26"/>
  <c r="H523" i="26" s="1"/>
  <c r="G519" i="26"/>
  <c r="I519" i="26" s="1"/>
  <c r="F519" i="26"/>
  <c r="H519" i="26" s="1"/>
  <c r="G515" i="26"/>
  <c r="I515" i="26" s="1"/>
  <c r="F515" i="26"/>
  <c r="H515" i="26" s="1"/>
  <c r="G511" i="26"/>
  <c r="I511" i="26" s="1"/>
  <c r="F511" i="26"/>
  <c r="H511" i="26" s="1"/>
  <c r="G507" i="26"/>
  <c r="I507" i="26" s="1"/>
  <c r="F507" i="26"/>
  <c r="H507" i="26" s="1"/>
  <c r="G503" i="26"/>
  <c r="I503" i="26" s="1"/>
  <c r="F503" i="26"/>
  <c r="H503" i="26" s="1"/>
  <c r="G499" i="26"/>
  <c r="I499" i="26" s="1"/>
  <c r="F499" i="26"/>
  <c r="H499" i="26" s="1"/>
  <c r="G495" i="26"/>
  <c r="I495" i="26" s="1"/>
  <c r="F495" i="26"/>
  <c r="H495" i="26" s="1"/>
  <c r="G491" i="26"/>
  <c r="I491" i="26" s="1"/>
  <c r="F491" i="26"/>
  <c r="H491" i="26" s="1"/>
  <c r="G487" i="26"/>
  <c r="I487" i="26" s="1"/>
  <c r="F487" i="26"/>
  <c r="H487" i="26" s="1"/>
  <c r="G483" i="26"/>
  <c r="I483" i="26" s="1"/>
  <c r="F483" i="26"/>
  <c r="H483" i="26" s="1"/>
  <c r="G479" i="26"/>
  <c r="I479" i="26" s="1"/>
  <c r="F479" i="26"/>
  <c r="H479" i="26" s="1"/>
  <c r="G475" i="26"/>
  <c r="I475" i="26" s="1"/>
  <c r="F475" i="26"/>
  <c r="H475" i="26" s="1"/>
  <c r="G471" i="26"/>
  <c r="I471" i="26" s="1"/>
  <c r="F471" i="26"/>
  <c r="H471" i="26" s="1"/>
  <c r="G467" i="26"/>
  <c r="I467" i="26" s="1"/>
  <c r="F467" i="26"/>
  <c r="H467" i="26" s="1"/>
  <c r="G463" i="26"/>
  <c r="I463" i="26" s="1"/>
  <c r="F463" i="26"/>
  <c r="H463" i="26" s="1"/>
  <c r="G459" i="26"/>
  <c r="I459" i="26" s="1"/>
  <c r="F459" i="26"/>
  <c r="H459" i="26" s="1"/>
  <c r="G455" i="26"/>
  <c r="I455" i="26" s="1"/>
  <c r="F455" i="26"/>
  <c r="H455" i="26" s="1"/>
  <c r="G451" i="26"/>
  <c r="I451" i="26" s="1"/>
  <c r="F451" i="26"/>
  <c r="H451" i="26" s="1"/>
  <c r="G447" i="26"/>
  <c r="I447" i="26" s="1"/>
  <c r="F447" i="26"/>
  <c r="H447" i="26" s="1"/>
  <c r="G443" i="26"/>
  <c r="I443" i="26" s="1"/>
  <c r="F443" i="26"/>
  <c r="H443" i="26" s="1"/>
  <c r="G439" i="26"/>
  <c r="I439" i="26" s="1"/>
  <c r="F439" i="26"/>
  <c r="H439" i="26" s="1"/>
  <c r="G435" i="26"/>
  <c r="I435" i="26" s="1"/>
  <c r="F435" i="26"/>
  <c r="H435" i="26" s="1"/>
  <c r="G431" i="26"/>
  <c r="I431" i="26" s="1"/>
  <c r="F431" i="26"/>
  <c r="H431" i="26" s="1"/>
  <c r="G427" i="26"/>
  <c r="I427" i="26" s="1"/>
  <c r="F427" i="26"/>
  <c r="H427" i="26" s="1"/>
  <c r="G423" i="26"/>
  <c r="I423" i="26" s="1"/>
  <c r="F423" i="26"/>
  <c r="H423" i="26" s="1"/>
  <c r="G419" i="26"/>
  <c r="I419" i="26" s="1"/>
  <c r="F419" i="26"/>
  <c r="H419" i="26" s="1"/>
  <c r="G415" i="26"/>
  <c r="I415" i="26" s="1"/>
  <c r="F415" i="26"/>
  <c r="H415" i="26" s="1"/>
  <c r="G411" i="26"/>
  <c r="I411" i="26" s="1"/>
  <c r="F411" i="26"/>
  <c r="H411" i="26" s="1"/>
  <c r="G407" i="26"/>
  <c r="I407" i="26" s="1"/>
  <c r="F407" i="26"/>
  <c r="H407" i="26" s="1"/>
  <c r="G403" i="26"/>
  <c r="I403" i="26" s="1"/>
  <c r="F403" i="26"/>
  <c r="H403" i="26" s="1"/>
  <c r="G399" i="26"/>
  <c r="I399" i="26" s="1"/>
  <c r="F399" i="26"/>
  <c r="H399" i="26" s="1"/>
  <c r="G395" i="26"/>
  <c r="I395" i="26" s="1"/>
  <c r="F395" i="26"/>
  <c r="H395" i="26" s="1"/>
  <c r="G391" i="26"/>
  <c r="I391" i="26" s="1"/>
  <c r="F391" i="26"/>
  <c r="H391" i="26" s="1"/>
  <c r="G387" i="26"/>
  <c r="I387" i="26" s="1"/>
  <c r="F387" i="26"/>
  <c r="H387" i="26" s="1"/>
  <c r="G383" i="26"/>
  <c r="I383" i="26" s="1"/>
  <c r="F383" i="26"/>
  <c r="H383" i="26" s="1"/>
  <c r="G379" i="26"/>
  <c r="I379" i="26" s="1"/>
  <c r="F379" i="26"/>
  <c r="H379" i="26" s="1"/>
  <c r="G375" i="26"/>
  <c r="I375" i="26" s="1"/>
  <c r="F375" i="26"/>
  <c r="H375" i="26" s="1"/>
  <c r="G371" i="26"/>
  <c r="I371" i="26" s="1"/>
  <c r="F371" i="26"/>
  <c r="H371" i="26" s="1"/>
  <c r="G367" i="26"/>
  <c r="I367" i="26" s="1"/>
  <c r="F367" i="26"/>
  <c r="H367" i="26" s="1"/>
  <c r="G363" i="26"/>
  <c r="I363" i="26" s="1"/>
  <c r="F363" i="26"/>
  <c r="H363" i="26" s="1"/>
  <c r="G359" i="26"/>
  <c r="I359" i="26" s="1"/>
  <c r="F359" i="26"/>
  <c r="H359" i="26" s="1"/>
  <c r="G355" i="26"/>
  <c r="I355" i="26" s="1"/>
  <c r="F355" i="26"/>
  <c r="H355" i="26" s="1"/>
  <c r="G351" i="26"/>
  <c r="I351" i="26" s="1"/>
  <c r="F351" i="26"/>
  <c r="H351" i="26" s="1"/>
  <c r="G347" i="26"/>
  <c r="I347" i="26" s="1"/>
  <c r="F347" i="26"/>
  <c r="H347" i="26" s="1"/>
  <c r="G343" i="26"/>
  <c r="I343" i="26" s="1"/>
  <c r="F343" i="26"/>
  <c r="H343" i="26" s="1"/>
  <c r="G339" i="26"/>
  <c r="I339" i="26" s="1"/>
  <c r="F339" i="26"/>
  <c r="H339" i="26" s="1"/>
  <c r="G335" i="26"/>
  <c r="I335" i="26" s="1"/>
  <c r="F335" i="26"/>
  <c r="H335" i="26" s="1"/>
  <c r="G331" i="26"/>
  <c r="I331" i="26" s="1"/>
  <c r="F331" i="26"/>
  <c r="H331" i="26" s="1"/>
  <c r="G327" i="26"/>
  <c r="I327" i="26" s="1"/>
  <c r="F327" i="26"/>
  <c r="H327" i="26" s="1"/>
  <c r="G323" i="26"/>
  <c r="I323" i="26" s="1"/>
  <c r="F323" i="26"/>
  <c r="H323" i="26" s="1"/>
  <c r="G319" i="26"/>
  <c r="I319" i="26" s="1"/>
  <c r="F319" i="26"/>
  <c r="H319" i="26" s="1"/>
  <c r="G315" i="26"/>
  <c r="I315" i="26" s="1"/>
  <c r="F315" i="26"/>
  <c r="H315" i="26" s="1"/>
  <c r="G311" i="26"/>
  <c r="I311" i="26" s="1"/>
  <c r="F311" i="26"/>
  <c r="H311" i="26" s="1"/>
  <c r="G307" i="26"/>
  <c r="I307" i="26" s="1"/>
  <c r="F307" i="26"/>
  <c r="H307" i="26" s="1"/>
  <c r="G303" i="26"/>
  <c r="I303" i="26" s="1"/>
  <c r="F303" i="26"/>
  <c r="H303" i="26" s="1"/>
  <c r="G299" i="26"/>
  <c r="I299" i="26" s="1"/>
  <c r="F299" i="26"/>
  <c r="H299" i="26" s="1"/>
  <c r="G295" i="26"/>
  <c r="I295" i="26" s="1"/>
  <c r="F295" i="26"/>
  <c r="H295" i="26" s="1"/>
  <c r="G291" i="26"/>
  <c r="I291" i="26" s="1"/>
  <c r="F291" i="26"/>
  <c r="H291" i="26" s="1"/>
  <c r="G287" i="26"/>
  <c r="I287" i="26" s="1"/>
  <c r="F287" i="26"/>
  <c r="H287" i="26" s="1"/>
  <c r="G283" i="26"/>
  <c r="I283" i="26" s="1"/>
  <c r="F283" i="26"/>
  <c r="H283" i="26" s="1"/>
  <c r="G279" i="26"/>
  <c r="I279" i="26" s="1"/>
  <c r="F279" i="26"/>
  <c r="H279" i="26" s="1"/>
  <c r="G275" i="26"/>
  <c r="I275" i="26" s="1"/>
  <c r="F275" i="26"/>
  <c r="H275" i="26" s="1"/>
  <c r="G271" i="26"/>
  <c r="I271" i="26" s="1"/>
  <c r="F271" i="26"/>
  <c r="H271" i="26" s="1"/>
  <c r="G267" i="26"/>
  <c r="I267" i="26" s="1"/>
  <c r="F267" i="26"/>
  <c r="H267" i="26" s="1"/>
  <c r="G263" i="26"/>
  <c r="I263" i="26" s="1"/>
  <c r="F263" i="26"/>
  <c r="H263" i="26" s="1"/>
  <c r="G259" i="26"/>
  <c r="I259" i="26" s="1"/>
  <c r="F259" i="26"/>
  <c r="H259" i="26" s="1"/>
  <c r="G255" i="26"/>
  <c r="I255" i="26" s="1"/>
  <c r="F255" i="26"/>
  <c r="H255" i="26" s="1"/>
  <c r="G251" i="26"/>
  <c r="I251" i="26" s="1"/>
  <c r="F251" i="26"/>
  <c r="H251" i="26" s="1"/>
  <c r="G247" i="26"/>
  <c r="I247" i="26" s="1"/>
  <c r="F247" i="26"/>
  <c r="H247" i="26" s="1"/>
  <c r="G243" i="26"/>
  <c r="I243" i="26" s="1"/>
  <c r="F243" i="26"/>
  <c r="H243" i="26" s="1"/>
  <c r="G239" i="26"/>
  <c r="I239" i="26" s="1"/>
  <c r="F239" i="26"/>
  <c r="H239" i="26" s="1"/>
  <c r="G235" i="26"/>
  <c r="I235" i="26" s="1"/>
  <c r="F235" i="26"/>
  <c r="H235" i="26" s="1"/>
  <c r="G231" i="26"/>
  <c r="I231" i="26" s="1"/>
  <c r="F231" i="26"/>
  <c r="H231" i="26" s="1"/>
  <c r="G227" i="26"/>
  <c r="I227" i="26" s="1"/>
  <c r="F227" i="26"/>
  <c r="H227" i="26" s="1"/>
  <c r="G223" i="26"/>
  <c r="I223" i="26" s="1"/>
  <c r="F223" i="26"/>
  <c r="H223" i="26" s="1"/>
  <c r="G219" i="26"/>
  <c r="I219" i="26" s="1"/>
  <c r="F219" i="26"/>
  <c r="H219" i="26" s="1"/>
  <c r="G215" i="26"/>
  <c r="I215" i="26" s="1"/>
  <c r="F215" i="26"/>
  <c r="H215" i="26" s="1"/>
  <c r="G211" i="26"/>
  <c r="I211" i="26" s="1"/>
  <c r="F211" i="26"/>
  <c r="H211" i="26" s="1"/>
  <c r="G207" i="26"/>
  <c r="I207" i="26" s="1"/>
  <c r="F207" i="26"/>
  <c r="H207" i="26" s="1"/>
  <c r="G203" i="26"/>
  <c r="I203" i="26" s="1"/>
  <c r="F203" i="26"/>
  <c r="H203" i="26" s="1"/>
  <c r="G199" i="26"/>
  <c r="I199" i="26" s="1"/>
  <c r="F199" i="26"/>
  <c r="H199" i="26" s="1"/>
  <c r="G195" i="26"/>
  <c r="I195" i="26" s="1"/>
  <c r="F195" i="26"/>
  <c r="H195" i="26" s="1"/>
  <c r="G191" i="26"/>
  <c r="I191" i="26" s="1"/>
  <c r="F191" i="26"/>
  <c r="H191" i="26" s="1"/>
  <c r="G187" i="26"/>
  <c r="I187" i="26" s="1"/>
  <c r="F187" i="26"/>
  <c r="H187" i="26" s="1"/>
  <c r="G183" i="26"/>
  <c r="I183" i="26" s="1"/>
  <c r="F183" i="26"/>
  <c r="H183" i="26" s="1"/>
  <c r="G179" i="26"/>
  <c r="I179" i="26" s="1"/>
  <c r="F179" i="26"/>
  <c r="H179" i="26" s="1"/>
  <c r="G175" i="26"/>
  <c r="I175" i="26" s="1"/>
  <c r="F175" i="26"/>
  <c r="H175" i="26" s="1"/>
  <c r="G171" i="26"/>
  <c r="I171" i="26" s="1"/>
  <c r="F171" i="26"/>
  <c r="H171" i="26" s="1"/>
  <c r="G167" i="26"/>
  <c r="I167" i="26" s="1"/>
  <c r="F167" i="26"/>
  <c r="H167" i="26" s="1"/>
  <c r="G163" i="26"/>
  <c r="I163" i="26" s="1"/>
  <c r="F163" i="26"/>
  <c r="H163" i="26" s="1"/>
  <c r="G159" i="26"/>
  <c r="I159" i="26" s="1"/>
  <c r="F159" i="26"/>
  <c r="H159" i="26" s="1"/>
  <c r="G155" i="26"/>
  <c r="I155" i="26" s="1"/>
  <c r="F155" i="26"/>
  <c r="H155" i="26" s="1"/>
  <c r="G151" i="26"/>
  <c r="I151" i="26" s="1"/>
  <c r="F151" i="26"/>
  <c r="H151" i="26" s="1"/>
  <c r="G147" i="26"/>
  <c r="I147" i="26" s="1"/>
  <c r="F147" i="26"/>
  <c r="H147" i="26" s="1"/>
  <c r="G143" i="26"/>
  <c r="I143" i="26" s="1"/>
  <c r="F143" i="26"/>
  <c r="H143" i="26" s="1"/>
  <c r="G139" i="26"/>
  <c r="I139" i="26" s="1"/>
  <c r="F139" i="26"/>
  <c r="H139" i="26" s="1"/>
  <c r="G135" i="26"/>
  <c r="I135" i="26" s="1"/>
  <c r="F135" i="26"/>
  <c r="H135" i="26" s="1"/>
  <c r="G131" i="26"/>
  <c r="I131" i="26" s="1"/>
  <c r="F131" i="26"/>
  <c r="H131" i="26" s="1"/>
  <c r="G127" i="26"/>
  <c r="I127" i="26" s="1"/>
  <c r="F127" i="26"/>
  <c r="H127" i="26" s="1"/>
  <c r="G123" i="26"/>
  <c r="I123" i="26" s="1"/>
  <c r="F123" i="26"/>
  <c r="H123" i="26" s="1"/>
  <c r="G119" i="26"/>
  <c r="I119" i="26" s="1"/>
  <c r="F119" i="26"/>
  <c r="H119" i="26" s="1"/>
  <c r="G115" i="26"/>
  <c r="I115" i="26" s="1"/>
  <c r="F115" i="26"/>
  <c r="H115" i="26" s="1"/>
  <c r="G111" i="26"/>
  <c r="I111" i="26" s="1"/>
  <c r="F111" i="26"/>
  <c r="H111" i="26" s="1"/>
  <c r="G107" i="26"/>
  <c r="I107" i="26" s="1"/>
  <c r="F107" i="26"/>
  <c r="H107" i="26" s="1"/>
  <c r="G103" i="26"/>
  <c r="I103" i="26" s="1"/>
  <c r="F103" i="26"/>
  <c r="H103" i="26" s="1"/>
  <c r="G99" i="26"/>
  <c r="I99" i="26" s="1"/>
  <c r="F99" i="26"/>
  <c r="H99" i="26" s="1"/>
  <c r="G95" i="26"/>
  <c r="I95" i="26" s="1"/>
  <c r="F95" i="26"/>
  <c r="H95" i="26" s="1"/>
  <c r="G91" i="26"/>
  <c r="I91" i="26" s="1"/>
  <c r="F91" i="26"/>
  <c r="H91" i="26" s="1"/>
  <c r="G87" i="26"/>
  <c r="I87" i="26" s="1"/>
  <c r="F87" i="26"/>
  <c r="H87" i="26" s="1"/>
  <c r="G83" i="26"/>
  <c r="I83" i="26" s="1"/>
  <c r="I31" i="2" s="1"/>
  <c r="F83" i="26"/>
  <c r="H83" i="26" s="1"/>
  <c r="G79" i="26"/>
  <c r="I79" i="26" s="1"/>
  <c r="F79" i="26"/>
  <c r="H79" i="26" s="1"/>
  <c r="G75" i="26"/>
  <c r="I75" i="26" s="1"/>
  <c r="F75" i="26"/>
  <c r="H75" i="26" s="1"/>
  <c r="G71" i="26"/>
  <c r="I71" i="26" s="1"/>
  <c r="F71" i="26"/>
  <c r="H71" i="26" s="1"/>
  <c r="G67" i="26"/>
  <c r="I67" i="26" s="1"/>
  <c r="F67" i="26"/>
  <c r="H67" i="26" s="1"/>
  <c r="G63" i="26"/>
  <c r="I63" i="26" s="1"/>
  <c r="F63" i="26"/>
  <c r="H63" i="26" s="1"/>
  <c r="G59" i="26"/>
  <c r="I59" i="26" s="1"/>
  <c r="F59" i="26"/>
  <c r="H59" i="26" s="1"/>
  <c r="G55" i="26"/>
  <c r="I55" i="26" s="1"/>
  <c r="F55" i="26"/>
  <c r="H55" i="26" s="1"/>
  <c r="G51" i="26"/>
  <c r="I51" i="26" s="1"/>
  <c r="F51" i="26"/>
  <c r="H51" i="26" s="1"/>
  <c r="G47" i="26"/>
  <c r="I47" i="26" s="1"/>
  <c r="F47" i="26"/>
  <c r="H47" i="26" s="1"/>
  <c r="G43" i="26"/>
  <c r="I43" i="26" s="1"/>
  <c r="F43" i="26"/>
  <c r="H43" i="26" s="1"/>
  <c r="G39" i="26"/>
  <c r="I39" i="26" s="1"/>
  <c r="F39" i="26"/>
  <c r="H39" i="26" s="1"/>
  <c r="G35" i="26"/>
  <c r="I35" i="26" s="1"/>
  <c r="F35" i="26"/>
  <c r="H35" i="26" s="1"/>
  <c r="G31" i="26"/>
  <c r="I31" i="26" s="1"/>
  <c r="F31" i="26"/>
  <c r="H31" i="26" s="1"/>
  <c r="G27" i="26"/>
  <c r="I27" i="26" s="1"/>
  <c r="F27" i="26"/>
  <c r="H27" i="26" s="1"/>
  <c r="G23" i="26"/>
  <c r="I23" i="26" s="1"/>
  <c r="F23" i="26"/>
  <c r="H23" i="26" s="1"/>
  <c r="G19" i="26"/>
  <c r="I19" i="26" s="1"/>
  <c r="F19" i="26"/>
  <c r="H19" i="26" s="1"/>
  <c r="G1726" i="26"/>
  <c r="I1726" i="26" s="1"/>
  <c r="F1726" i="26"/>
  <c r="H1726" i="26" s="1"/>
  <c r="G1722" i="26"/>
  <c r="I1722" i="26" s="1"/>
  <c r="F1722" i="26"/>
  <c r="H1722" i="26" s="1"/>
  <c r="G1718" i="26"/>
  <c r="I1718" i="26" s="1"/>
  <c r="F1718" i="26"/>
  <c r="H1718" i="26" s="1"/>
  <c r="G1714" i="26"/>
  <c r="I1714" i="26" s="1"/>
  <c r="F1714" i="26"/>
  <c r="H1714" i="26" s="1"/>
  <c r="G1710" i="26"/>
  <c r="I1710" i="26" s="1"/>
  <c r="I87" i="2" s="1"/>
  <c r="F1710" i="26"/>
  <c r="H1710" i="26" s="1"/>
  <c r="G1706" i="26"/>
  <c r="I1706" i="26" s="1"/>
  <c r="F1706" i="26"/>
  <c r="H1706" i="26" s="1"/>
  <c r="G1702" i="26"/>
  <c r="I1702" i="26" s="1"/>
  <c r="F1702" i="26"/>
  <c r="H1702" i="26" s="1"/>
  <c r="G1698" i="26"/>
  <c r="I1698" i="26" s="1"/>
  <c r="F1698" i="26"/>
  <c r="H1698" i="26" s="1"/>
  <c r="G1694" i="26"/>
  <c r="I1694" i="26" s="1"/>
  <c r="F1694" i="26"/>
  <c r="H1694" i="26" s="1"/>
  <c r="G1690" i="26"/>
  <c r="I1690" i="26" s="1"/>
  <c r="F1690" i="26"/>
  <c r="H1690" i="26" s="1"/>
  <c r="G1686" i="26"/>
  <c r="I1686" i="26" s="1"/>
  <c r="F1686" i="26"/>
  <c r="H1686" i="26" s="1"/>
  <c r="G1682" i="26"/>
  <c r="I1682" i="26" s="1"/>
  <c r="F1682" i="26"/>
  <c r="H1682" i="26" s="1"/>
  <c r="G1678" i="26"/>
  <c r="I1678" i="26" s="1"/>
  <c r="F1678" i="26"/>
  <c r="H1678" i="26" s="1"/>
  <c r="G1674" i="26"/>
  <c r="I1674" i="26" s="1"/>
  <c r="F1674" i="26"/>
  <c r="H1674" i="26" s="1"/>
  <c r="G1670" i="26"/>
  <c r="I1670" i="26" s="1"/>
  <c r="F1670" i="26"/>
  <c r="H1670" i="26" s="1"/>
  <c r="G1666" i="26"/>
  <c r="I1666" i="26" s="1"/>
  <c r="F1666" i="26"/>
  <c r="H1666" i="26" s="1"/>
  <c r="G1662" i="26"/>
  <c r="I1662" i="26" s="1"/>
  <c r="F1662" i="26"/>
  <c r="H1662" i="26" s="1"/>
  <c r="G1658" i="26"/>
  <c r="I1658" i="26" s="1"/>
  <c r="F1658" i="26"/>
  <c r="H1658" i="26" s="1"/>
  <c r="G1654" i="26"/>
  <c r="I1654" i="26" s="1"/>
  <c r="F1654" i="26"/>
  <c r="H1654" i="26" s="1"/>
  <c r="G1650" i="26"/>
  <c r="I1650" i="26" s="1"/>
  <c r="F1650" i="26"/>
  <c r="H1650" i="26" s="1"/>
  <c r="G1646" i="26"/>
  <c r="I1646" i="26" s="1"/>
  <c r="F1646" i="26"/>
  <c r="H1646" i="26" s="1"/>
  <c r="G1642" i="26"/>
  <c r="I1642" i="26" s="1"/>
  <c r="F1642" i="26"/>
  <c r="H1642" i="26" s="1"/>
  <c r="G1638" i="26"/>
  <c r="I1638" i="26" s="1"/>
  <c r="F1638" i="26"/>
  <c r="H1638" i="26" s="1"/>
  <c r="G1634" i="26"/>
  <c r="I1634" i="26" s="1"/>
  <c r="F1634" i="26"/>
  <c r="H1634" i="26" s="1"/>
  <c r="G1630" i="26"/>
  <c r="I1630" i="26" s="1"/>
  <c r="F1630" i="26"/>
  <c r="H1630" i="26" s="1"/>
  <c r="G1626" i="26"/>
  <c r="I1626" i="26" s="1"/>
  <c r="F1626" i="26"/>
  <c r="H1626" i="26" s="1"/>
  <c r="G1622" i="26"/>
  <c r="I1622" i="26" s="1"/>
  <c r="F1622" i="26"/>
  <c r="H1622" i="26" s="1"/>
  <c r="G1618" i="26"/>
  <c r="I1618" i="26" s="1"/>
  <c r="F1618" i="26"/>
  <c r="H1618" i="26" s="1"/>
  <c r="G1614" i="26"/>
  <c r="I1614" i="26" s="1"/>
  <c r="F1614" i="26"/>
  <c r="H1614" i="26" s="1"/>
  <c r="G1610" i="26"/>
  <c r="I1610" i="26" s="1"/>
  <c r="F1610" i="26"/>
  <c r="H1610" i="26" s="1"/>
  <c r="G1606" i="26"/>
  <c r="I1606" i="26" s="1"/>
  <c r="F1606" i="26"/>
  <c r="H1606" i="26" s="1"/>
  <c r="G1602" i="26"/>
  <c r="I1602" i="26" s="1"/>
  <c r="F1602" i="26"/>
  <c r="H1602" i="26" s="1"/>
  <c r="G1598" i="26"/>
  <c r="I1598" i="26" s="1"/>
  <c r="F1598" i="26"/>
  <c r="H1598" i="26" s="1"/>
  <c r="G1594" i="26"/>
  <c r="I1594" i="26" s="1"/>
  <c r="F1594" i="26"/>
  <c r="H1594" i="26" s="1"/>
  <c r="G1590" i="26"/>
  <c r="I1590" i="26" s="1"/>
  <c r="F1590" i="26"/>
  <c r="H1590" i="26" s="1"/>
  <c r="G1586" i="26"/>
  <c r="I1586" i="26" s="1"/>
  <c r="F1586" i="26"/>
  <c r="H1586" i="26" s="1"/>
  <c r="G1582" i="26"/>
  <c r="I1582" i="26" s="1"/>
  <c r="F1582" i="26"/>
  <c r="H1582" i="26" s="1"/>
  <c r="G1578" i="26"/>
  <c r="I1578" i="26" s="1"/>
  <c r="F1578" i="26"/>
  <c r="H1578" i="26" s="1"/>
  <c r="G1574" i="26"/>
  <c r="I1574" i="26" s="1"/>
  <c r="F1574" i="26"/>
  <c r="H1574" i="26" s="1"/>
  <c r="G1570" i="26"/>
  <c r="I1570" i="26" s="1"/>
  <c r="F1570" i="26"/>
  <c r="H1570" i="26" s="1"/>
  <c r="G1566" i="26"/>
  <c r="I1566" i="26" s="1"/>
  <c r="F1566" i="26"/>
  <c r="H1566" i="26" s="1"/>
  <c r="G1562" i="26"/>
  <c r="I1562" i="26" s="1"/>
  <c r="F1562" i="26"/>
  <c r="H1562" i="26" s="1"/>
  <c r="G1558" i="26"/>
  <c r="I1558" i="26" s="1"/>
  <c r="F1558" i="26"/>
  <c r="H1558" i="26" s="1"/>
  <c r="G1554" i="26"/>
  <c r="I1554" i="26" s="1"/>
  <c r="F1554" i="26"/>
  <c r="H1554" i="26" s="1"/>
  <c r="G1550" i="26"/>
  <c r="I1550" i="26" s="1"/>
  <c r="F1550" i="26"/>
  <c r="H1550" i="26" s="1"/>
  <c r="G1546" i="26"/>
  <c r="I1546" i="26" s="1"/>
  <c r="F1546" i="26"/>
  <c r="H1546" i="26" s="1"/>
  <c r="G1542" i="26"/>
  <c r="I1542" i="26" s="1"/>
  <c r="F1542" i="26"/>
  <c r="H1542" i="26" s="1"/>
  <c r="G1538" i="26"/>
  <c r="I1538" i="26" s="1"/>
  <c r="F1538" i="26"/>
  <c r="H1538" i="26" s="1"/>
  <c r="G1534" i="26"/>
  <c r="I1534" i="26" s="1"/>
  <c r="F1534" i="26"/>
  <c r="H1534" i="26" s="1"/>
  <c r="G1530" i="26"/>
  <c r="I1530" i="26" s="1"/>
  <c r="F1530" i="26"/>
  <c r="H1530" i="26" s="1"/>
  <c r="G1526" i="26"/>
  <c r="I1526" i="26" s="1"/>
  <c r="F1526" i="26"/>
  <c r="H1526" i="26" s="1"/>
  <c r="G1522" i="26"/>
  <c r="I1522" i="26" s="1"/>
  <c r="F1522" i="26"/>
  <c r="H1522" i="26" s="1"/>
  <c r="G1518" i="26"/>
  <c r="I1518" i="26" s="1"/>
  <c r="F1518" i="26"/>
  <c r="H1518" i="26" s="1"/>
  <c r="G1514" i="26"/>
  <c r="I1514" i="26" s="1"/>
  <c r="F1514" i="26"/>
  <c r="H1514" i="26" s="1"/>
  <c r="G1510" i="26"/>
  <c r="I1510" i="26" s="1"/>
  <c r="F1510" i="26"/>
  <c r="H1510" i="26" s="1"/>
  <c r="G1506" i="26"/>
  <c r="I1506" i="26" s="1"/>
  <c r="F1506" i="26"/>
  <c r="H1506" i="26" s="1"/>
  <c r="G1502" i="26"/>
  <c r="I1502" i="26" s="1"/>
  <c r="I38" i="2" s="1"/>
  <c r="F1502" i="26"/>
  <c r="H1502" i="26" s="1"/>
  <c r="G1498" i="26"/>
  <c r="I1498" i="26" s="1"/>
  <c r="F1498" i="26"/>
  <c r="H1498" i="26" s="1"/>
  <c r="G1494" i="26"/>
  <c r="I1494" i="26" s="1"/>
  <c r="F1494" i="26"/>
  <c r="H1494" i="26" s="1"/>
  <c r="G1490" i="26"/>
  <c r="I1490" i="26" s="1"/>
  <c r="F1490" i="26"/>
  <c r="H1490" i="26" s="1"/>
  <c r="G1486" i="26"/>
  <c r="I1486" i="26" s="1"/>
  <c r="F1486" i="26"/>
  <c r="H1486" i="26" s="1"/>
  <c r="G1482" i="26"/>
  <c r="I1482" i="26" s="1"/>
  <c r="F1482" i="26"/>
  <c r="H1482" i="26" s="1"/>
  <c r="G1478" i="26"/>
  <c r="I1478" i="26" s="1"/>
  <c r="F1478" i="26"/>
  <c r="H1478" i="26" s="1"/>
  <c r="G1474" i="26"/>
  <c r="I1474" i="26" s="1"/>
  <c r="F1474" i="26"/>
  <c r="H1474" i="26" s="1"/>
  <c r="G1470" i="26"/>
  <c r="I1470" i="26" s="1"/>
  <c r="F1470" i="26"/>
  <c r="H1470" i="26" s="1"/>
  <c r="G1466" i="26"/>
  <c r="I1466" i="26" s="1"/>
  <c r="F1466" i="26"/>
  <c r="H1466" i="26" s="1"/>
  <c r="G1462" i="26"/>
  <c r="I1462" i="26" s="1"/>
  <c r="F1462" i="26"/>
  <c r="H1462" i="26" s="1"/>
  <c r="G1458" i="26"/>
  <c r="I1458" i="26" s="1"/>
  <c r="F1458" i="26"/>
  <c r="H1458" i="26" s="1"/>
  <c r="G1454" i="26"/>
  <c r="I1454" i="26" s="1"/>
  <c r="F1454" i="26"/>
  <c r="H1454" i="26" s="1"/>
  <c r="G1450" i="26"/>
  <c r="I1450" i="26" s="1"/>
  <c r="F1450" i="26"/>
  <c r="H1450" i="26" s="1"/>
  <c r="G1446" i="26"/>
  <c r="I1446" i="26" s="1"/>
  <c r="F1446" i="26"/>
  <c r="H1446" i="26" s="1"/>
  <c r="G1442" i="26"/>
  <c r="I1442" i="26" s="1"/>
  <c r="F1442" i="26"/>
  <c r="H1442" i="26" s="1"/>
  <c r="G1438" i="26"/>
  <c r="I1438" i="26" s="1"/>
  <c r="F1438" i="26"/>
  <c r="H1438" i="26" s="1"/>
  <c r="G1434" i="26"/>
  <c r="I1434" i="26" s="1"/>
  <c r="F1434" i="26"/>
  <c r="H1434" i="26" s="1"/>
  <c r="G1430" i="26"/>
  <c r="I1430" i="26" s="1"/>
  <c r="F1430" i="26"/>
  <c r="H1430" i="26" s="1"/>
  <c r="G1426" i="26"/>
  <c r="I1426" i="26" s="1"/>
  <c r="F1426" i="26"/>
  <c r="H1426" i="26" s="1"/>
  <c r="G1422" i="26"/>
  <c r="I1422" i="26" s="1"/>
  <c r="F1422" i="26"/>
  <c r="H1422" i="26" s="1"/>
  <c r="G1418" i="26"/>
  <c r="I1418" i="26" s="1"/>
  <c r="F1418" i="26"/>
  <c r="H1418" i="26" s="1"/>
  <c r="G1414" i="26"/>
  <c r="I1414" i="26" s="1"/>
  <c r="F1414" i="26"/>
  <c r="H1414" i="26" s="1"/>
  <c r="G1410" i="26"/>
  <c r="I1410" i="26" s="1"/>
  <c r="F1410" i="26"/>
  <c r="H1410" i="26" s="1"/>
  <c r="G1406" i="26"/>
  <c r="I1406" i="26" s="1"/>
  <c r="F1406" i="26"/>
  <c r="H1406" i="26" s="1"/>
  <c r="G1402" i="26"/>
  <c r="I1402" i="26" s="1"/>
  <c r="F1402" i="26"/>
  <c r="H1402" i="26" s="1"/>
  <c r="G1398" i="26"/>
  <c r="I1398" i="26" s="1"/>
  <c r="F1398" i="26"/>
  <c r="H1398" i="26" s="1"/>
  <c r="G1394" i="26"/>
  <c r="I1394" i="26" s="1"/>
  <c r="F1394" i="26"/>
  <c r="H1394" i="26" s="1"/>
  <c r="G1390" i="26"/>
  <c r="I1390" i="26" s="1"/>
  <c r="F1390" i="26"/>
  <c r="H1390" i="26" s="1"/>
  <c r="G1386" i="26"/>
  <c r="I1386" i="26" s="1"/>
  <c r="F1386" i="26"/>
  <c r="H1386" i="26" s="1"/>
  <c r="G1382" i="26"/>
  <c r="I1382" i="26" s="1"/>
  <c r="F1382" i="26"/>
  <c r="H1382" i="26" s="1"/>
  <c r="G1378" i="26"/>
  <c r="I1378" i="26" s="1"/>
  <c r="F1378" i="26"/>
  <c r="H1378" i="26" s="1"/>
  <c r="G1374" i="26"/>
  <c r="I1374" i="26" s="1"/>
  <c r="F1374" i="26"/>
  <c r="H1374" i="26" s="1"/>
  <c r="G1370" i="26"/>
  <c r="I1370" i="26" s="1"/>
  <c r="F1370" i="26"/>
  <c r="H1370" i="26" s="1"/>
  <c r="G1366" i="26"/>
  <c r="I1366" i="26" s="1"/>
  <c r="F1366" i="26"/>
  <c r="H1366" i="26" s="1"/>
  <c r="G1362" i="26"/>
  <c r="I1362" i="26" s="1"/>
  <c r="F1362" i="26"/>
  <c r="H1362" i="26" s="1"/>
  <c r="G1358" i="26"/>
  <c r="I1358" i="26" s="1"/>
  <c r="F1358" i="26"/>
  <c r="H1358" i="26" s="1"/>
  <c r="G1354" i="26"/>
  <c r="I1354" i="26" s="1"/>
  <c r="F1354" i="26"/>
  <c r="H1354" i="26" s="1"/>
  <c r="G1350" i="26"/>
  <c r="I1350" i="26" s="1"/>
  <c r="F1350" i="26"/>
  <c r="H1350" i="26" s="1"/>
  <c r="G1346" i="26"/>
  <c r="I1346" i="26" s="1"/>
  <c r="F1346" i="26"/>
  <c r="H1346" i="26" s="1"/>
  <c r="G1342" i="26"/>
  <c r="I1342" i="26" s="1"/>
  <c r="F1342" i="26"/>
  <c r="H1342" i="26" s="1"/>
  <c r="G1338" i="26"/>
  <c r="I1338" i="26" s="1"/>
  <c r="F1338" i="26"/>
  <c r="H1338" i="26" s="1"/>
  <c r="G1334" i="26"/>
  <c r="I1334" i="26" s="1"/>
  <c r="F1334" i="26"/>
  <c r="H1334" i="26" s="1"/>
  <c r="G1330" i="26"/>
  <c r="I1330" i="26" s="1"/>
  <c r="F1330" i="26"/>
  <c r="H1330" i="26" s="1"/>
  <c r="G1326" i="26"/>
  <c r="I1326" i="26" s="1"/>
  <c r="F1326" i="26"/>
  <c r="H1326" i="26" s="1"/>
  <c r="G1322" i="26"/>
  <c r="I1322" i="26" s="1"/>
  <c r="F1322" i="26"/>
  <c r="H1322" i="26" s="1"/>
  <c r="G1318" i="26"/>
  <c r="I1318" i="26" s="1"/>
  <c r="F1318" i="26"/>
  <c r="H1318" i="26" s="1"/>
  <c r="G1314" i="26"/>
  <c r="I1314" i="26" s="1"/>
  <c r="F1314" i="26"/>
  <c r="H1314" i="26" s="1"/>
  <c r="G1310" i="26"/>
  <c r="I1310" i="26" s="1"/>
  <c r="F1310" i="26"/>
  <c r="H1310" i="26" s="1"/>
  <c r="G1306" i="26"/>
  <c r="I1306" i="26" s="1"/>
  <c r="I128" i="2" s="1"/>
  <c r="F1306" i="26"/>
  <c r="H1306" i="26" s="1"/>
  <c r="G1302" i="26"/>
  <c r="I1302" i="26" s="1"/>
  <c r="F1302" i="26"/>
  <c r="H1302" i="26" s="1"/>
  <c r="G1298" i="26"/>
  <c r="I1298" i="26" s="1"/>
  <c r="F1298" i="26"/>
  <c r="H1298" i="26" s="1"/>
  <c r="G1294" i="26"/>
  <c r="I1294" i="26" s="1"/>
  <c r="F1294" i="26"/>
  <c r="H1294" i="26" s="1"/>
  <c r="G1290" i="26"/>
  <c r="I1290" i="26" s="1"/>
  <c r="F1290" i="26"/>
  <c r="H1290" i="26" s="1"/>
  <c r="G1286" i="26"/>
  <c r="I1286" i="26" s="1"/>
  <c r="F1286" i="26"/>
  <c r="H1286" i="26" s="1"/>
  <c r="G1282" i="26"/>
  <c r="I1282" i="26" s="1"/>
  <c r="F1282" i="26"/>
  <c r="H1282" i="26" s="1"/>
  <c r="G1278" i="26"/>
  <c r="I1278" i="26" s="1"/>
  <c r="F1278" i="26"/>
  <c r="H1278" i="26" s="1"/>
  <c r="G1274" i="26"/>
  <c r="I1274" i="26" s="1"/>
  <c r="F1274" i="26"/>
  <c r="H1274" i="26" s="1"/>
  <c r="G1270" i="26"/>
  <c r="I1270" i="26" s="1"/>
  <c r="F1270" i="26"/>
  <c r="H1270" i="26" s="1"/>
  <c r="G1266" i="26"/>
  <c r="I1266" i="26" s="1"/>
  <c r="F1266" i="26"/>
  <c r="H1266" i="26" s="1"/>
  <c r="G1262" i="26"/>
  <c r="I1262" i="26" s="1"/>
  <c r="F1262" i="26"/>
  <c r="H1262" i="26" s="1"/>
  <c r="G1258" i="26"/>
  <c r="I1258" i="26" s="1"/>
  <c r="F1258" i="26"/>
  <c r="H1258" i="26" s="1"/>
  <c r="G1254" i="26"/>
  <c r="I1254" i="26" s="1"/>
  <c r="F1254" i="26"/>
  <c r="H1254" i="26" s="1"/>
  <c r="G1250" i="26"/>
  <c r="I1250" i="26" s="1"/>
  <c r="F1250" i="26"/>
  <c r="H1250" i="26" s="1"/>
  <c r="G1246" i="26"/>
  <c r="I1246" i="26" s="1"/>
  <c r="F1246" i="26"/>
  <c r="H1246" i="26" s="1"/>
  <c r="G1242" i="26"/>
  <c r="I1242" i="26" s="1"/>
  <c r="F1242" i="26"/>
  <c r="H1242" i="26" s="1"/>
  <c r="G1238" i="26"/>
  <c r="I1238" i="26" s="1"/>
  <c r="F1238" i="26"/>
  <c r="H1238" i="26" s="1"/>
  <c r="G1234" i="26"/>
  <c r="I1234" i="26" s="1"/>
  <c r="F1234" i="26"/>
  <c r="H1234" i="26" s="1"/>
  <c r="G1230" i="26"/>
  <c r="I1230" i="26" s="1"/>
  <c r="F1230" i="26"/>
  <c r="H1230" i="26" s="1"/>
  <c r="G1226" i="26"/>
  <c r="I1226" i="26" s="1"/>
  <c r="F1226" i="26"/>
  <c r="H1226" i="26" s="1"/>
  <c r="G1222" i="26"/>
  <c r="I1222" i="26" s="1"/>
  <c r="F1222" i="26"/>
  <c r="H1222" i="26" s="1"/>
  <c r="G1218" i="26"/>
  <c r="I1218" i="26" s="1"/>
  <c r="F1218" i="26"/>
  <c r="H1218" i="26" s="1"/>
  <c r="G1214" i="26"/>
  <c r="I1214" i="26" s="1"/>
  <c r="F1214" i="26"/>
  <c r="H1214" i="26" s="1"/>
  <c r="G1210" i="26"/>
  <c r="I1210" i="26" s="1"/>
  <c r="F1210" i="26"/>
  <c r="H1210" i="26" s="1"/>
  <c r="G1206" i="26"/>
  <c r="I1206" i="26" s="1"/>
  <c r="F1206" i="26"/>
  <c r="H1206" i="26" s="1"/>
  <c r="G1202" i="26"/>
  <c r="I1202" i="26" s="1"/>
  <c r="F1202" i="26"/>
  <c r="H1202" i="26" s="1"/>
  <c r="G1198" i="26"/>
  <c r="I1198" i="26" s="1"/>
  <c r="F1198" i="26"/>
  <c r="H1198" i="26" s="1"/>
  <c r="G1194" i="26"/>
  <c r="I1194" i="26" s="1"/>
  <c r="F1194" i="26"/>
  <c r="H1194" i="26" s="1"/>
  <c r="G1190" i="26"/>
  <c r="I1190" i="26" s="1"/>
  <c r="F1190" i="26"/>
  <c r="H1190" i="26" s="1"/>
  <c r="G1186" i="26"/>
  <c r="I1186" i="26" s="1"/>
  <c r="F1186" i="26"/>
  <c r="H1186" i="26" s="1"/>
  <c r="G1182" i="26"/>
  <c r="I1182" i="26" s="1"/>
  <c r="F1182" i="26"/>
  <c r="H1182" i="26" s="1"/>
  <c r="G1178" i="26"/>
  <c r="I1178" i="26" s="1"/>
  <c r="F1178" i="26"/>
  <c r="H1178" i="26" s="1"/>
  <c r="G1174" i="26"/>
  <c r="I1174" i="26" s="1"/>
  <c r="F1174" i="26"/>
  <c r="H1174" i="26" s="1"/>
  <c r="G1170" i="26"/>
  <c r="I1170" i="26" s="1"/>
  <c r="F1170" i="26"/>
  <c r="H1170" i="26" s="1"/>
  <c r="G1166" i="26"/>
  <c r="I1166" i="26" s="1"/>
  <c r="F1166" i="26"/>
  <c r="H1166" i="26" s="1"/>
  <c r="G1162" i="26"/>
  <c r="I1162" i="26" s="1"/>
  <c r="F1162" i="26"/>
  <c r="H1162" i="26" s="1"/>
  <c r="G1158" i="26"/>
  <c r="I1158" i="26" s="1"/>
  <c r="F1158" i="26"/>
  <c r="H1158" i="26" s="1"/>
  <c r="G1154" i="26"/>
  <c r="I1154" i="26" s="1"/>
  <c r="F1154" i="26"/>
  <c r="H1154" i="26" s="1"/>
  <c r="G1150" i="26"/>
  <c r="I1150" i="26" s="1"/>
  <c r="F1150" i="26"/>
  <c r="H1150" i="26" s="1"/>
  <c r="G1146" i="26"/>
  <c r="I1146" i="26" s="1"/>
  <c r="F1146" i="26"/>
  <c r="H1146" i="26" s="1"/>
  <c r="G1142" i="26"/>
  <c r="I1142" i="26" s="1"/>
  <c r="F1142" i="26"/>
  <c r="H1142" i="26" s="1"/>
  <c r="G1138" i="26"/>
  <c r="I1138" i="26" s="1"/>
  <c r="F1138" i="26"/>
  <c r="H1138" i="26" s="1"/>
  <c r="G1134" i="26"/>
  <c r="I1134" i="26" s="1"/>
  <c r="F1134" i="26"/>
  <c r="H1134" i="26" s="1"/>
  <c r="G1130" i="26"/>
  <c r="I1130" i="26" s="1"/>
  <c r="F1130" i="26"/>
  <c r="H1130" i="26" s="1"/>
  <c r="G1126" i="26"/>
  <c r="I1126" i="26" s="1"/>
  <c r="F1126" i="26"/>
  <c r="H1126" i="26" s="1"/>
  <c r="G1122" i="26"/>
  <c r="I1122" i="26" s="1"/>
  <c r="F1122" i="26"/>
  <c r="H1122" i="26" s="1"/>
  <c r="G1118" i="26"/>
  <c r="I1118" i="26" s="1"/>
  <c r="F1118" i="26"/>
  <c r="H1118" i="26" s="1"/>
  <c r="G1114" i="26"/>
  <c r="I1114" i="26" s="1"/>
  <c r="F1114" i="26"/>
  <c r="H1114" i="26" s="1"/>
  <c r="G1110" i="26"/>
  <c r="I1110" i="26" s="1"/>
  <c r="F1110" i="26"/>
  <c r="H1110" i="26" s="1"/>
  <c r="G1106" i="26"/>
  <c r="I1106" i="26" s="1"/>
  <c r="F1106" i="26"/>
  <c r="H1106" i="26" s="1"/>
  <c r="G1102" i="26"/>
  <c r="I1102" i="26" s="1"/>
  <c r="F1102" i="26"/>
  <c r="H1102" i="26" s="1"/>
  <c r="G1098" i="26"/>
  <c r="I1098" i="26" s="1"/>
  <c r="F1098" i="26"/>
  <c r="H1098" i="26" s="1"/>
  <c r="G1094" i="26"/>
  <c r="I1094" i="26" s="1"/>
  <c r="F1094" i="26"/>
  <c r="H1094" i="26" s="1"/>
  <c r="G1090" i="26"/>
  <c r="I1090" i="26" s="1"/>
  <c r="F1090" i="26"/>
  <c r="H1090" i="26" s="1"/>
  <c r="G1086" i="26"/>
  <c r="I1086" i="26" s="1"/>
  <c r="F1086" i="26"/>
  <c r="H1086" i="26" s="1"/>
  <c r="G1082" i="26"/>
  <c r="I1082" i="26" s="1"/>
  <c r="F1082" i="26"/>
  <c r="H1082" i="26" s="1"/>
  <c r="G1078" i="26"/>
  <c r="I1078" i="26" s="1"/>
  <c r="F1078" i="26"/>
  <c r="H1078" i="26" s="1"/>
  <c r="G1074" i="26"/>
  <c r="I1074" i="26" s="1"/>
  <c r="F1074" i="26"/>
  <c r="H1074" i="26" s="1"/>
  <c r="G1070" i="26"/>
  <c r="I1070" i="26" s="1"/>
  <c r="F1070" i="26"/>
  <c r="H1070" i="26" s="1"/>
  <c r="G1066" i="26"/>
  <c r="I1066" i="26" s="1"/>
  <c r="F1066" i="26"/>
  <c r="H1066" i="26" s="1"/>
  <c r="G1062" i="26"/>
  <c r="I1062" i="26" s="1"/>
  <c r="F1062" i="26"/>
  <c r="H1062" i="26" s="1"/>
  <c r="G1058" i="26"/>
  <c r="I1058" i="26" s="1"/>
  <c r="F1058" i="26"/>
  <c r="H1058" i="26" s="1"/>
  <c r="G1054" i="26"/>
  <c r="I1054" i="26" s="1"/>
  <c r="F1054" i="26"/>
  <c r="H1054" i="26" s="1"/>
  <c r="G1050" i="26"/>
  <c r="I1050" i="26" s="1"/>
  <c r="F1050" i="26"/>
  <c r="H1050" i="26" s="1"/>
  <c r="G1046" i="26"/>
  <c r="I1046" i="26" s="1"/>
  <c r="F1046" i="26"/>
  <c r="H1046" i="26" s="1"/>
  <c r="G1042" i="26"/>
  <c r="I1042" i="26" s="1"/>
  <c r="F1042" i="26"/>
  <c r="H1042" i="26" s="1"/>
  <c r="G1038" i="26"/>
  <c r="I1038" i="26" s="1"/>
  <c r="F1038" i="26"/>
  <c r="H1038" i="26" s="1"/>
  <c r="G1034" i="26"/>
  <c r="I1034" i="26" s="1"/>
  <c r="F1034" i="26"/>
  <c r="H1034" i="26" s="1"/>
  <c r="G1030" i="26"/>
  <c r="I1030" i="26" s="1"/>
  <c r="F1030" i="26"/>
  <c r="H1030" i="26" s="1"/>
  <c r="G1026" i="26"/>
  <c r="I1026" i="26" s="1"/>
  <c r="F1026" i="26"/>
  <c r="H1026" i="26" s="1"/>
  <c r="G1022" i="26"/>
  <c r="I1022" i="26" s="1"/>
  <c r="F1022" i="26"/>
  <c r="H1022" i="26" s="1"/>
  <c r="G1018" i="26"/>
  <c r="I1018" i="26" s="1"/>
  <c r="F1018" i="26"/>
  <c r="H1018" i="26" s="1"/>
  <c r="G1014" i="26"/>
  <c r="I1014" i="26" s="1"/>
  <c r="F1014" i="26"/>
  <c r="H1014" i="26" s="1"/>
  <c r="G1010" i="26"/>
  <c r="I1010" i="26" s="1"/>
  <c r="F1010" i="26"/>
  <c r="H1010" i="26" s="1"/>
  <c r="G1006" i="26"/>
  <c r="I1006" i="26" s="1"/>
  <c r="F1006" i="26"/>
  <c r="H1006" i="26" s="1"/>
  <c r="G1002" i="26"/>
  <c r="I1002" i="26" s="1"/>
  <c r="F1002" i="26"/>
  <c r="H1002" i="26" s="1"/>
  <c r="G998" i="26"/>
  <c r="I998" i="26" s="1"/>
  <c r="F998" i="26"/>
  <c r="H998" i="26" s="1"/>
  <c r="G994" i="26"/>
  <c r="I994" i="26" s="1"/>
  <c r="F994" i="26"/>
  <c r="H994" i="26" s="1"/>
  <c r="G990" i="26"/>
  <c r="I990" i="26" s="1"/>
  <c r="F990" i="26"/>
  <c r="H990" i="26" s="1"/>
  <c r="G986" i="26"/>
  <c r="I986" i="26" s="1"/>
  <c r="F986" i="26"/>
  <c r="H986" i="26" s="1"/>
  <c r="G982" i="26"/>
  <c r="I982" i="26" s="1"/>
  <c r="F982" i="26"/>
  <c r="H982" i="26" s="1"/>
  <c r="G978" i="26"/>
  <c r="I978" i="26" s="1"/>
  <c r="F978" i="26"/>
  <c r="H978" i="26" s="1"/>
  <c r="G974" i="26"/>
  <c r="I974" i="26" s="1"/>
  <c r="F974" i="26"/>
  <c r="H974" i="26" s="1"/>
  <c r="G970" i="26"/>
  <c r="I970" i="26" s="1"/>
  <c r="F970" i="26"/>
  <c r="H970" i="26" s="1"/>
  <c r="G966" i="26"/>
  <c r="I966" i="26" s="1"/>
  <c r="F966" i="26"/>
  <c r="H966" i="26" s="1"/>
  <c r="G962" i="26"/>
  <c r="I962" i="26" s="1"/>
  <c r="F962" i="26"/>
  <c r="H962" i="26" s="1"/>
  <c r="G958" i="26"/>
  <c r="I958" i="26" s="1"/>
  <c r="F958" i="26"/>
  <c r="H958" i="26" s="1"/>
  <c r="G954" i="26"/>
  <c r="I954" i="26" s="1"/>
  <c r="F954" i="26"/>
  <c r="H954" i="26" s="1"/>
  <c r="G950" i="26"/>
  <c r="I950" i="26" s="1"/>
  <c r="F950" i="26"/>
  <c r="H950" i="26" s="1"/>
  <c r="G946" i="26"/>
  <c r="I946" i="26" s="1"/>
  <c r="F946" i="26"/>
  <c r="H946" i="26" s="1"/>
  <c r="G942" i="26"/>
  <c r="I942" i="26" s="1"/>
  <c r="F942" i="26"/>
  <c r="H942" i="26" s="1"/>
  <c r="G938" i="26"/>
  <c r="I938" i="26" s="1"/>
  <c r="F938" i="26"/>
  <c r="H938" i="26" s="1"/>
  <c r="G934" i="26"/>
  <c r="I934" i="26" s="1"/>
  <c r="F934" i="26"/>
  <c r="H934" i="26" s="1"/>
  <c r="G930" i="26"/>
  <c r="I930" i="26" s="1"/>
  <c r="F930" i="26"/>
  <c r="H930" i="26" s="1"/>
  <c r="G926" i="26"/>
  <c r="I926" i="26" s="1"/>
  <c r="F926" i="26"/>
  <c r="H926" i="26" s="1"/>
  <c r="G922" i="26"/>
  <c r="I922" i="26" s="1"/>
  <c r="F922" i="26"/>
  <c r="H922" i="26" s="1"/>
  <c r="G918" i="26"/>
  <c r="I918" i="26" s="1"/>
  <c r="F918" i="26"/>
  <c r="H918" i="26" s="1"/>
  <c r="G914" i="26"/>
  <c r="I914" i="26" s="1"/>
  <c r="F914" i="26"/>
  <c r="H914" i="26" s="1"/>
  <c r="G910" i="26"/>
  <c r="I910" i="26" s="1"/>
  <c r="F910" i="26"/>
  <c r="H910" i="26" s="1"/>
  <c r="G906" i="26"/>
  <c r="I906" i="26" s="1"/>
  <c r="F906" i="26"/>
  <c r="H906" i="26" s="1"/>
  <c r="G902" i="26"/>
  <c r="I902" i="26" s="1"/>
  <c r="F902" i="26"/>
  <c r="H902" i="26" s="1"/>
  <c r="G898" i="26"/>
  <c r="I898" i="26" s="1"/>
  <c r="F898" i="26"/>
  <c r="H898" i="26" s="1"/>
  <c r="G894" i="26"/>
  <c r="I894" i="26" s="1"/>
  <c r="F894" i="26"/>
  <c r="H894" i="26" s="1"/>
  <c r="G890" i="26"/>
  <c r="I890" i="26" s="1"/>
  <c r="F890" i="26"/>
  <c r="H890" i="26" s="1"/>
  <c r="G886" i="26"/>
  <c r="I886" i="26" s="1"/>
  <c r="F886" i="26"/>
  <c r="H886" i="26" s="1"/>
  <c r="G882" i="26"/>
  <c r="I882" i="26" s="1"/>
  <c r="F882" i="26"/>
  <c r="H882" i="26" s="1"/>
  <c r="G878" i="26"/>
  <c r="I878" i="26" s="1"/>
  <c r="F878" i="26"/>
  <c r="H878" i="26" s="1"/>
  <c r="G874" i="26"/>
  <c r="I874" i="26" s="1"/>
  <c r="F874" i="26"/>
  <c r="H874" i="26" s="1"/>
  <c r="G870" i="26"/>
  <c r="I870" i="26" s="1"/>
  <c r="F870" i="26"/>
  <c r="H870" i="26" s="1"/>
  <c r="G866" i="26"/>
  <c r="I866" i="26" s="1"/>
  <c r="F866" i="26"/>
  <c r="H866" i="26" s="1"/>
  <c r="G862" i="26"/>
  <c r="I862" i="26" s="1"/>
  <c r="F862" i="26"/>
  <c r="H862" i="26" s="1"/>
  <c r="G858" i="26"/>
  <c r="I858" i="26" s="1"/>
  <c r="F858" i="26"/>
  <c r="H858" i="26" s="1"/>
  <c r="G854" i="26"/>
  <c r="I854" i="26" s="1"/>
  <c r="F854" i="26"/>
  <c r="H854" i="26" s="1"/>
  <c r="G850" i="26"/>
  <c r="I850" i="26" s="1"/>
  <c r="F850" i="26"/>
  <c r="H850" i="26" s="1"/>
  <c r="G846" i="26"/>
  <c r="I846" i="26" s="1"/>
  <c r="F846" i="26"/>
  <c r="H846" i="26" s="1"/>
  <c r="G842" i="26"/>
  <c r="I842" i="26" s="1"/>
  <c r="F842" i="26"/>
  <c r="H842" i="26" s="1"/>
  <c r="G838" i="26"/>
  <c r="I838" i="26" s="1"/>
  <c r="F838" i="26"/>
  <c r="H838" i="26" s="1"/>
  <c r="G834" i="26"/>
  <c r="I834" i="26" s="1"/>
  <c r="F834" i="26"/>
  <c r="H834" i="26" s="1"/>
  <c r="G830" i="26"/>
  <c r="I830" i="26" s="1"/>
  <c r="F830" i="26"/>
  <c r="H830" i="26" s="1"/>
  <c r="G826" i="26"/>
  <c r="I826" i="26" s="1"/>
  <c r="F826" i="26"/>
  <c r="H826" i="26" s="1"/>
  <c r="G822" i="26"/>
  <c r="I822" i="26" s="1"/>
  <c r="F822" i="26"/>
  <c r="H822" i="26" s="1"/>
  <c r="G818" i="26"/>
  <c r="I818" i="26" s="1"/>
  <c r="F818" i="26"/>
  <c r="H818" i="26" s="1"/>
  <c r="G814" i="26"/>
  <c r="I814" i="26" s="1"/>
  <c r="F814" i="26"/>
  <c r="H814" i="26" s="1"/>
  <c r="G810" i="26"/>
  <c r="I810" i="26" s="1"/>
  <c r="F810" i="26"/>
  <c r="H810" i="26" s="1"/>
  <c r="G806" i="26"/>
  <c r="I806" i="26" s="1"/>
  <c r="F806" i="26"/>
  <c r="H806" i="26" s="1"/>
  <c r="G802" i="26"/>
  <c r="I802" i="26" s="1"/>
  <c r="F802" i="26"/>
  <c r="H802" i="26" s="1"/>
  <c r="G798" i="26"/>
  <c r="I798" i="26" s="1"/>
  <c r="F798" i="26"/>
  <c r="H798" i="26" s="1"/>
  <c r="G794" i="26"/>
  <c r="I794" i="26" s="1"/>
  <c r="F794" i="26"/>
  <c r="H794" i="26" s="1"/>
  <c r="G790" i="26"/>
  <c r="I790" i="26" s="1"/>
  <c r="F790" i="26"/>
  <c r="H790" i="26" s="1"/>
  <c r="G786" i="26"/>
  <c r="I786" i="26" s="1"/>
  <c r="I103" i="2" s="1"/>
  <c r="F786" i="26"/>
  <c r="H786" i="26" s="1"/>
  <c r="G782" i="26"/>
  <c r="I782" i="26" s="1"/>
  <c r="F782" i="26"/>
  <c r="H782" i="26" s="1"/>
  <c r="G778" i="26"/>
  <c r="I778" i="26" s="1"/>
  <c r="F778" i="26"/>
  <c r="H778" i="26" s="1"/>
  <c r="G774" i="26"/>
  <c r="I774" i="26" s="1"/>
  <c r="F774" i="26"/>
  <c r="H774" i="26" s="1"/>
  <c r="G770" i="26"/>
  <c r="I770" i="26" s="1"/>
  <c r="F770" i="26"/>
  <c r="H770" i="26" s="1"/>
  <c r="G766" i="26"/>
  <c r="I766" i="26" s="1"/>
  <c r="F766" i="26"/>
  <c r="H766" i="26" s="1"/>
  <c r="G762" i="26"/>
  <c r="I762" i="26" s="1"/>
  <c r="F762" i="26"/>
  <c r="H762" i="26" s="1"/>
  <c r="G758" i="26"/>
  <c r="I758" i="26" s="1"/>
  <c r="F758" i="26"/>
  <c r="H758" i="26" s="1"/>
  <c r="G754" i="26"/>
  <c r="I754" i="26" s="1"/>
  <c r="F754" i="26"/>
  <c r="H754" i="26" s="1"/>
  <c r="G750" i="26"/>
  <c r="I750" i="26" s="1"/>
  <c r="F750" i="26"/>
  <c r="H750" i="26" s="1"/>
  <c r="G746" i="26"/>
  <c r="I746" i="26" s="1"/>
  <c r="F746" i="26"/>
  <c r="H746" i="26" s="1"/>
  <c r="G742" i="26"/>
  <c r="I742" i="26" s="1"/>
  <c r="F742" i="26"/>
  <c r="H742" i="26" s="1"/>
  <c r="G738" i="26"/>
  <c r="I738" i="26" s="1"/>
  <c r="F738" i="26"/>
  <c r="H738" i="26" s="1"/>
  <c r="G734" i="26"/>
  <c r="I734" i="26" s="1"/>
  <c r="F734" i="26"/>
  <c r="H734" i="26" s="1"/>
  <c r="G730" i="26"/>
  <c r="I730" i="26" s="1"/>
  <c r="F730" i="26"/>
  <c r="H730" i="26" s="1"/>
  <c r="G726" i="26"/>
  <c r="I726" i="26" s="1"/>
  <c r="F726" i="26"/>
  <c r="H726" i="26" s="1"/>
  <c r="G722" i="26"/>
  <c r="I722" i="26" s="1"/>
  <c r="F722" i="26"/>
  <c r="H722" i="26" s="1"/>
  <c r="G718" i="26"/>
  <c r="I718" i="26" s="1"/>
  <c r="F718" i="26"/>
  <c r="H718" i="26" s="1"/>
  <c r="G714" i="26"/>
  <c r="I714" i="26" s="1"/>
  <c r="F714" i="26"/>
  <c r="H714" i="26" s="1"/>
  <c r="G710" i="26"/>
  <c r="I710" i="26" s="1"/>
  <c r="I106" i="2" s="1"/>
  <c r="F710" i="26"/>
  <c r="H710" i="26" s="1"/>
  <c r="G706" i="26"/>
  <c r="I706" i="26" s="1"/>
  <c r="F706" i="26"/>
  <c r="H706" i="26" s="1"/>
  <c r="G702" i="26"/>
  <c r="I702" i="26" s="1"/>
  <c r="F702" i="26"/>
  <c r="H702" i="26" s="1"/>
  <c r="G698" i="26"/>
  <c r="I698" i="26" s="1"/>
  <c r="F698" i="26"/>
  <c r="H698" i="26" s="1"/>
  <c r="G694" i="26"/>
  <c r="I694" i="26" s="1"/>
  <c r="F694" i="26"/>
  <c r="H694" i="26" s="1"/>
  <c r="G690" i="26"/>
  <c r="I690" i="26" s="1"/>
  <c r="F690" i="26"/>
  <c r="H690" i="26" s="1"/>
  <c r="G686" i="26"/>
  <c r="I686" i="26" s="1"/>
  <c r="F686" i="26"/>
  <c r="H686" i="26" s="1"/>
  <c r="G682" i="26"/>
  <c r="I682" i="26" s="1"/>
  <c r="F682" i="26"/>
  <c r="H682" i="26" s="1"/>
  <c r="G678" i="26"/>
  <c r="I678" i="26" s="1"/>
  <c r="F678" i="26"/>
  <c r="H678" i="26" s="1"/>
  <c r="G674" i="26"/>
  <c r="I674" i="26" s="1"/>
  <c r="F674" i="26"/>
  <c r="H674" i="26" s="1"/>
  <c r="G670" i="26"/>
  <c r="I670" i="26" s="1"/>
  <c r="F670" i="26"/>
  <c r="H670" i="26" s="1"/>
  <c r="G666" i="26"/>
  <c r="I666" i="26" s="1"/>
  <c r="F666" i="26"/>
  <c r="H666" i="26" s="1"/>
  <c r="G662" i="26"/>
  <c r="I662" i="26" s="1"/>
  <c r="F662" i="26"/>
  <c r="H662" i="26" s="1"/>
  <c r="G658" i="26"/>
  <c r="I658" i="26" s="1"/>
  <c r="F658" i="26"/>
  <c r="H658" i="26" s="1"/>
  <c r="G654" i="26"/>
  <c r="I654" i="26" s="1"/>
  <c r="F654" i="26"/>
  <c r="H654" i="26" s="1"/>
  <c r="G650" i="26"/>
  <c r="I650" i="26" s="1"/>
  <c r="F650" i="26"/>
  <c r="H650" i="26" s="1"/>
  <c r="G646" i="26"/>
  <c r="I646" i="26" s="1"/>
  <c r="F646" i="26"/>
  <c r="H646" i="26" s="1"/>
  <c r="G642" i="26"/>
  <c r="I642" i="26" s="1"/>
  <c r="F642" i="26"/>
  <c r="H642" i="26" s="1"/>
  <c r="G638" i="26"/>
  <c r="I638" i="26" s="1"/>
  <c r="F638" i="26"/>
  <c r="H638" i="26" s="1"/>
  <c r="G634" i="26"/>
  <c r="I634" i="26" s="1"/>
  <c r="F634" i="26"/>
  <c r="H634" i="26" s="1"/>
  <c r="G630" i="26"/>
  <c r="I630" i="26" s="1"/>
  <c r="F630" i="26"/>
  <c r="H630" i="26" s="1"/>
  <c r="G626" i="26"/>
  <c r="I626" i="26" s="1"/>
  <c r="F626" i="26"/>
  <c r="H626" i="26" s="1"/>
  <c r="G622" i="26"/>
  <c r="I622" i="26" s="1"/>
  <c r="F622" i="26"/>
  <c r="H622" i="26" s="1"/>
  <c r="G618" i="26"/>
  <c r="I618" i="26" s="1"/>
  <c r="F618" i="26"/>
  <c r="H618" i="26" s="1"/>
  <c r="G614" i="26"/>
  <c r="I614" i="26" s="1"/>
  <c r="F614" i="26"/>
  <c r="H614" i="26" s="1"/>
  <c r="G610" i="26"/>
  <c r="I610" i="26" s="1"/>
  <c r="F610" i="26"/>
  <c r="H610" i="26" s="1"/>
  <c r="G606" i="26"/>
  <c r="I606" i="26" s="1"/>
  <c r="F606" i="26"/>
  <c r="H606" i="26" s="1"/>
  <c r="G602" i="26"/>
  <c r="I602" i="26" s="1"/>
  <c r="F602" i="26"/>
  <c r="H602" i="26" s="1"/>
  <c r="G598" i="26"/>
  <c r="I598" i="26" s="1"/>
  <c r="F598" i="26"/>
  <c r="H598" i="26" s="1"/>
  <c r="G594" i="26"/>
  <c r="I594" i="26" s="1"/>
  <c r="F594" i="26"/>
  <c r="H594" i="26" s="1"/>
  <c r="G590" i="26"/>
  <c r="I590" i="26" s="1"/>
  <c r="F590" i="26"/>
  <c r="H590" i="26" s="1"/>
  <c r="G586" i="26"/>
  <c r="I586" i="26" s="1"/>
  <c r="I102" i="2" s="1"/>
  <c r="F586" i="26"/>
  <c r="H586" i="26" s="1"/>
  <c r="G582" i="26"/>
  <c r="I582" i="26" s="1"/>
  <c r="F582" i="26"/>
  <c r="H582" i="26" s="1"/>
  <c r="G578" i="26"/>
  <c r="I578" i="26" s="1"/>
  <c r="F578" i="26"/>
  <c r="H578" i="26" s="1"/>
  <c r="G574" i="26"/>
  <c r="I574" i="26" s="1"/>
  <c r="F574" i="26"/>
  <c r="H574" i="26" s="1"/>
  <c r="G570" i="26"/>
  <c r="I570" i="26" s="1"/>
  <c r="F570" i="26"/>
  <c r="H570" i="26" s="1"/>
  <c r="G566" i="26"/>
  <c r="I566" i="26" s="1"/>
  <c r="F566" i="26"/>
  <c r="H566" i="26" s="1"/>
  <c r="G562" i="26"/>
  <c r="I562" i="26" s="1"/>
  <c r="F562" i="26"/>
  <c r="H562" i="26" s="1"/>
  <c r="G558" i="26"/>
  <c r="I558" i="26" s="1"/>
  <c r="F558" i="26"/>
  <c r="H558" i="26" s="1"/>
  <c r="G554" i="26"/>
  <c r="I554" i="26" s="1"/>
  <c r="F554" i="26"/>
  <c r="H554" i="26" s="1"/>
  <c r="G550" i="26"/>
  <c r="I550" i="26" s="1"/>
  <c r="F550" i="26"/>
  <c r="H550" i="26" s="1"/>
  <c r="G546" i="26"/>
  <c r="I546" i="26" s="1"/>
  <c r="F546" i="26"/>
  <c r="H546" i="26" s="1"/>
  <c r="G542" i="26"/>
  <c r="I542" i="26" s="1"/>
  <c r="F542" i="26"/>
  <c r="H542" i="26" s="1"/>
  <c r="G538" i="26"/>
  <c r="I538" i="26" s="1"/>
  <c r="I113" i="2" s="1"/>
  <c r="F538" i="26"/>
  <c r="H538" i="26" s="1"/>
  <c r="G534" i="26"/>
  <c r="I534" i="26" s="1"/>
  <c r="F534" i="26"/>
  <c r="H534" i="26" s="1"/>
  <c r="G530" i="26"/>
  <c r="I530" i="26" s="1"/>
  <c r="F530" i="26"/>
  <c r="H530" i="26" s="1"/>
  <c r="G526" i="26"/>
  <c r="I526" i="26" s="1"/>
  <c r="F526" i="26"/>
  <c r="H526" i="26" s="1"/>
  <c r="G522" i="26"/>
  <c r="I522" i="26" s="1"/>
  <c r="F522" i="26"/>
  <c r="H522" i="26" s="1"/>
  <c r="G518" i="26"/>
  <c r="I518" i="26" s="1"/>
  <c r="F518" i="26"/>
  <c r="H518" i="26" s="1"/>
  <c r="G514" i="26"/>
  <c r="I514" i="26" s="1"/>
  <c r="F514" i="26"/>
  <c r="H514" i="26" s="1"/>
  <c r="G510" i="26"/>
  <c r="I510" i="26" s="1"/>
  <c r="F510" i="26"/>
  <c r="H510" i="26" s="1"/>
  <c r="G506" i="26"/>
  <c r="I506" i="26" s="1"/>
  <c r="F506" i="26"/>
  <c r="H506" i="26" s="1"/>
  <c r="G502" i="26"/>
  <c r="I502" i="26" s="1"/>
  <c r="F502" i="26"/>
  <c r="H502" i="26" s="1"/>
  <c r="G498" i="26"/>
  <c r="I498" i="26" s="1"/>
  <c r="F498" i="26"/>
  <c r="H498" i="26" s="1"/>
  <c r="G494" i="26"/>
  <c r="I494" i="26" s="1"/>
  <c r="F494" i="26"/>
  <c r="H494" i="26" s="1"/>
  <c r="G490" i="26"/>
  <c r="I490" i="26" s="1"/>
  <c r="F490" i="26"/>
  <c r="H490" i="26" s="1"/>
  <c r="G486" i="26"/>
  <c r="I486" i="26" s="1"/>
  <c r="F486" i="26"/>
  <c r="H486" i="26" s="1"/>
  <c r="G482" i="26"/>
  <c r="I482" i="26" s="1"/>
  <c r="F482" i="26"/>
  <c r="H482" i="26" s="1"/>
  <c r="G478" i="26"/>
  <c r="I478" i="26" s="1"/>
  <c r="I12" i="2" s="1"/>
  <c r="F478" i="26"/>
  <c r="H478" i="26" s="1"/>
  <c r="G474" i="26"/>
  <c r="I474" i="26" s="1"/>
  <c r="F474" i="26"/>
  <c r="H474" i="26" s="1"/>
  <c r="G470" i="26"/>
  <c r="I470" i="26" s="1"/>
  <c r="F470" i="26"/>
  <c r="H470" i="26" s="1"/>
  <c r="G466" i="26"/>
  <c r="I466" i="26" s="1"/>
  <c r="F466" i="26"/>
  <c r="H466" i="26" s="1"/>
  <c r="G462" i="26"/>
  <c r="I462" i="26" s="1"/>
  <c r="F462" i="26"/>
  <c r="H462" i="26" s="1"/>
  <c r="G458" i="26"/>
  <c r="I458" i="26" s="1"/>
  <c r="F458" i="26"/>
  <c r="H458" i="26" s="1"/>
  <c r="G454" i="26"/>
  <c r="I454" i="26" s="1"/>
  <c r="F454" i="26"/>
  <c r="H454" i="26" s="1"/>
  <c r="G450" i="26"/>
  <c r="I450" i="26" s="1"/>
  <c r="F450" i="26"/>
  <c r="H450" i="26" s="1"/>
  <c r="G446" i="26"/>
  <c r="I446" i="26" s="1"/>
  <c r="I104" i="2" s="1"/>
  <c r="F446" i="26"/>
  <c r="H446" i="26" s="1"/>
  <c r="G442" i="26"/>
  <c r="I442" i="26" s="1"/>
  <c r="F442" i="26"/>
  <c r="H442" i="26" s="1"/>
  <c r="G438" i="26"/>
  <c r="I438" i="26" s="1"/>
  <c r="F438" i="26"/>
  <c r="H438" i="26" s="1"/>
  <c r="G434" i="26"/>
  <c r="I434" i="26" s="1"/>
  <c r="F434" i="26"/>
  <c r="H434" i="26" s="1"/>
  <c r="G430" i="26"/>
  <c r="I430" i="26" s="1"/>
  <c r="F430" i="26"/>
  <c r="H430" i="26" s="1"/>
  <c r="G426" i="26"/>
  <c r="I426" i="26" s="1"/>
  <c r="F426" i="26"/>
  <c r="H426" i="26" s="1"/>
  <c r="G422" i="26"/>
  <c r="I422" i="26" s="1"/>
  <c r="F422" i="26"/>
  <c r="H422" i="26" s="1"/>
  <c r="G418" i="26"/>
  <c r="I418" i="26" s="1"/>
  <c r="F418" i="26"/>
  <c r="H418" i="26" s="1"/>
  <c r="G414" i="26"/>
  <c r="I414" i="26" s="1"/>
  <c r="F414" i="26"/>
  <c r="H414" i="26" s="1"/>
  <c r="G410" i="26"/>
  <c r="I410" i="26" s="1"/>
  <c r="F410" i="26"/>
  <c r="H410" i="26" s="1"/>
  <c r="G406" i="26"/>
  <c r="I406" i="26" s="1"/>
  <c r="F406" i="26"/>
  <c r="H406" i="26" s="1"/>
  <c r="G402" i="26"/>
  <c r="I402" i="26" s="1"/>
  <c r="F402" i="26"/>
  <c r="H402" i="26" s="1"/>
  <c r="G398" i="26"/>
  <c r="I398" i="26" s="1"/>
  <c r="F398" i="26"/>
  <c r="H398" i="26" s="1"/>
  <c r="G394" i="26"/>
  <c r="I394" i="26" s="1"/>
  <c r="F394" i="26"/>
  <c r="H394" i="26" s="1"/>
  <c r="G390" i="26"/>
  <c r="I390" i="26" s="1"/>
  <c r="F390" i="26"/>
  <c r="H390" i="26" s="1"/>
  <c r="G386" i="26"/>
  <c r="I386" i="26" s="1"/>
  <c r="F386" i="26"/>
  <c r="H386" i="26" s="1"/>
  <c r="G382" i="26"/>
  <c r="I382" i="26" s="1"/>
  <c r="F382" i="26"/>
  <c r="H382" i="26" s="1"/>
  <c r="G378" i="26"/>
  <c r="I378" i="26" s="1"/>
  <c r="F378" i="26"/>
  <c r="H378" i="26" s="1"/>
  <c r="G374" i="26"/>
  <c r="I374" i="26" s="1"/>
  <c r="F374" i="26"/>
  <c r="H374" i="26" s="1"/>
  <c r="G370" i="26"/>
  <c r="I370" i="26" s="1"/>
  <c r="F370" i="26"/>
  <c r="H370" i="26" s="1"/>
  <c r="G366" i="26"/>
  <c r="I366" i="26" s="1"/>
  <c r="F366" i="26"/>
  <c r="H366" i="26" s="1"/>
  <c r="G362" i="26"/>
  <c r="I362" i="26" s="1"/>
  <c r="F362" i="26"/>
  <c r="H362" i="26" s="1"/>
  <c r="G358" i="26"/>
  <c r="I358" i="26" s="1"/>
  <c r="F358" i="26"/>
  <c r="H358" i="26" s="1"/>
  <c r="G354" i="26"/>
  <c r="I354" i="26" s="1"/>
  <c r="F354" i="26"/>
  <c r="H354" i="26" s="1"/>
  <c r="G350" i="26"/>
  <c r="I350" i="26" s="1"/>
  <c r="F350" i="26"/>
  <c r="H350" i="26" s="1"/>
  <c r="G346" i="26"/>
  <c r="I346" i="26" s="1"/>
  <c r="F346" i="26"/>
  <c r="H346" i="26" s="1"/>
  <c r="G342" i="26"/>
  <c r="I342" i="26" s="1"/>
  <c r="F342" i="26"/>
  <c r="H342" i="26" s="1"/>
  <c r="G338" i="26"/>
  <c r="I338" i="26" s="1"/>
  <c r="F338" i="26"/>
  <c r="H338" i="26" s="1"/>
  <c r="G334" i="26"/>
  <c r="I334" i="26" s="1"/>
  <c r="F334" i="26"/>
  <c r="H334" i="26" s="1"/>
  <c r="G330" i="26"/>
  <c r="I330" i="26" s="1"/>
  <c r="F330" i="26"/>
  <c r="H330" i="26" s="1"/>
  <c r="G326" i="26"/>
  <c r="I326" i="26" s="1"/>
  <c r="F326" i="26"/>
  <c r="H326" i="26" s="1"/>
  <c r="G322" i="26"/>
  <c r="I322" i="26" s="1"/>
  <c r="F322" i="26"/>
  <c r="H322" i="26" s="1"/>
  <c r="G318" i="26"/>
  <c r="I318" i="26" s="1"/>
  <c r="F318" i="26"/>
  <c r="H318" i="26" s="1"/>
  <c r="G314" i="26"/>
  <c r="I314" i="26" s="1"/>
  <c r="F314" i="26"/>
  <c r="H314" i="26" s="1"/>
  <c r="G310" i="26"/>
  <c r="I310" i="26" s="1"/>
  <c r="F310" i="26"/>
  <c r="H310" i="26" s="1"/>
  <c r="G306" i="26"/>
  <c r="I306" i="26" s="1"/>
  <c r="F306" i="26"/>
  <c r="H306" i="26" s="1"/>
  <c r="G302" i="26"/>
  <c r="I302" i="26" s="1"/>
  <c r="F302" i="26"/>
  <c r="H302" i="26" s="1"/>
  <c r="G298" i="26"/>
  <c r="I298" i="26" s="1"/>
  <c r="F298" i="26"/>
  <c r="H298" i="26" s="1"/>
  <c r="G294" i="26"/>
  <c r="I294" i="26" s="1"/>
  <c r="F294" i="26"/>
  <c r="H294" i="26" s="1"/>
  <c r="G290" i="26"/>
  <c r="I290" i="26" s="1"/>
  <c r="F290" i="26"/>
  <c r="H290" i="26" s="1"/>
  <c r="G286" i="26"/>
  <c r="I286" i="26" s="1"/>
  <c r="F286" i="26"/>
  <c r="H286" i="26" s="1"/>
  <c r="G282" i="26"/>
  <c r="I282" i="26" s="1"/>
  <c r="F282" i="26"/>
  <c r="H282" i="26" s="1"/>
  <c r="G278" i="26"/>
  <c r="I278" i="26" s="1"/>
  <c r="F278" i="26"/>
  <c r="H278" i="26" s="1"/>
  <c r="G274" i="26"/>
  <c r="I274" i="26" s="1"/>
  <c r="F274" i="26"/>
  <c r="H274" i="26" s="1"/>
  <c r="G270" i="26"/>
  <c r="I270" i="26" s="1"/>
  <c r="F270" i="26"/>
  <c r="H270" i="26" s="1"/>
  <c r="G266" i="26"/>
  <c r="I266" i="26" s="1"/>
  <c r="F266" i="26"/>
  <c r="H266" i="26" s="1"/>
  <c r="G262" i="26"/>
  <c r="I262" i="26" s="1"/>
  <c r="F262" i="26"/>
  <c r="H262" i="26" s="1"/>
  <c r="G258" i="26"/>
  <c r="I258" i="26" s="1"/>
  <c r="F258" i="26"/>
  <c r="H258" i="26" s="1"/>
  <c r="G254" i="26"/>
  <c r="I254" i="26" s="1"/>
  <c r="F254" i="26"/>
  <c r="H254" i="26" s="1"/>
  <c r="G250" i="26"/>
  <c r="I250" i="26" s="1"/>
  <c r="F250" i="26"/>
  <c r="H250" i="26" s="1"/>
  <c r="G246" i="26"/>
  <c r="I246" i="26" s="1"/>
  <c r="F246" i="26"/>
  <c r="H246" i="26" s="1"/>
  <c r="G242" i="26"/>
  <c r="I242" i="26" s="1"/>
  <c r="F242" i="26"/>
  <c r="H242" i="26" s="1"/>
  <c r="G238" i="26"/>
  <c r="I238" i="26" s="1"/>
  <c r="F238" i="26"/>
  <c r="H238" i="26" s="1"/>
  <c r="G234" i="26"/>
  <c r="I234" i="26" s="1"/>
  <c r="F234" i="26"/>
  <c r="H234" i="26" s="1"/>
  <c r="G230" i="26"/>
  <c r="I230" i="26" s="1"/>
  <c r="F230" i="26"/>
  <c r="H230" i="26" s="1"/>
  <c r="G226" i="26"/>
  <c r="I226" i="26" s="1"/>
  <c r="F226" i="26"/>
  <c r="H226" i="26" s="1"/>
  <c r="G222" i="26"/>
  <c r="I222" i="26" s="1"/>
  <c r="F222" i="26"/>
  <c r="H222" i="26" s="1"/>
  <c r="G218" i="26"/>
  <c r="I218" i="26" s="1"/>
  <c r="F218" i="26"/>
  <c r="H218" i="26" s="1"/>
  <c r="G214" i="26"/>
  <c r="I214" i="26" s="1"/>
  <c r="F214" i="26"/>
  <c r="H214" i="26" s="1"/>
  <c r="G210" i="26"/>
  <c r="I210" i="26" s="1"/>
  <c r="F210" i="26"/>
  <c r="H210" i="26" s="1"/>
  <c r="G206" i="26"/>
  <c r="I206" i="26" s="1"/>
  <c r="F206" i="26"/>
  <c r="H206" i="26" s="1"/>
  <c r="G202" i="26"/>
  <c r="I202" i="26" s="1"/>
  <c r="F202" i="26"/>
  <c r="H202" i="26" s="1"/>
  <c r="G198" i="26"/>
  <c r="I198" i="26" s="1"/>
  <c r="F198" i="26"/>
  <c r="H198" i="26" s="1"/>
  <c r="G194" i="26"/>
  <c r="I194" i="26" s="1"/>
  <c r="F194" i="26"/>
  <c r="H194" i="26" s="1"/>
  <c r="G190" i="26"/>
  <c r="I190" i="26" s="1"/>
  <c r="F190" i="26"/>
  <c r="H190" i="26" s="1"/>
  <c r="G186" i="26"/>
  <c r="I186" i="26" s="1"/>
  <c r="F186" i="26"/>
  <c r="H186" i="26" s="1"/>
  <c r="G182" i="26"/>
  <c r="I182" i="26" s="1"/>
  <c r="F182" i="26"/>
  <c r="H182" i="26" s="1"/>
  <c r="G178" i="26"/>
  <c r="I178" i="26" s="1"/>
  <c r="F178" i="26"/>
  <c r="H178" i="26" s="1"/>
  <c r="G174" i="26"/>
  <c r="I174" i="26" s="1"/>
  <c r="F174" i="26"/>
  <c r="H174" i="26" s="1"/>
  <c r="G170" i="26"/>
  <c r="I170" i="26" s="1"/>
  <c r="F170" i="26"/>
  <c r="H170" i="26" s="1"/>
  <c r="G166" i="26"/>
  <c r="I166" i="26" s="1"/>
  <c r="F166" i="26"/>
  <c r="H166" i="26" s="1"/>
  <c r="G162" i="26"/>
  <c r="I162" i="26" s="1"/>
  <c r="F162" i="26"/>
  <c r="H162" i="26" s="1"/>
  <c r="G158" i="26"/>
  <c r="I158" i="26" s="1"/>
  <c r="F158" i="26"/>
  <c r="H158" i="26" s="1"/>
  <c r="G154" i="26"/>
  <c r="I154" i="26" s="1"/>
  <c r="F154" i="26"/>
  <c r="H154" i="26" s="1"/>
  <c r="G150" i="26"/>
  <c r="I150" i="26" s="1"/>
  <c r="F150" i="26"/>
  <c r="H150" i="26" s="1"/>
  <c r="G146" i="26"/>
  <c r="I146" i="26" s="1"/>
  <c r="F146" i="26"/>
  <c r="H146" i="26" s="1"/>
  <c r="G142" i="26"/>
  <c r="I142" i="26" s="1"/>
  <c r="F142" i="26"/>
  <c r="H142" i="26" s="1"/>
  <c r="G138" i="26"/>
  <c r="I138" i="26" s="1"/>
  <c r="F138" i="26"/>
  <c r="H138" i="26" s="1"/>
  <c r="G134" i="26"/>
  <c r="I134" i="26" s="1"/>
  <c r="F134" i="26"/>
  <c r="H134" i="26" s="1"/>
  <c r="G130" i="26"/>
  <c r="I130" i="26" s="1"/>
  <c r="F130" i="26"/>
  <c r="H130" i="26" s="1"/>
  <c r="G126" i="26"/>
  <c r="I126" i="26" s="1"/>
  <c r="F126" i="26"/>
  <c r="H126" i="26" s="1"/>
  <c r="G122" i="26"/>
  <c r="I122" i="26" s="1"/>
  <c r="F122" i="26"/>
  <c r="H122" i="26" s="1"/>
  <c r="G118" i="26"/>
  <c r="I118" i="26" s="1"/>
  <c r="F118" i="26"/>
  <c r="H118" i="26" s="1"/>
  <c r="G114" i="26"/>
  <c r="I114" i="26" s="1"/>
  <c r="F114" i="26"/>
  <c r="H114" i="26" s="1"/>
  <c r="G110" i="26"/>
  <c r="I110" i="26" s="1"/>
  <c r="F110" i="26"/>
  <c r="H110" i="26" s="1"/>
  <c r="G106" i="26"/>
  <c r="I106" i="26" s="1"/>
  <c r="F106" i="26"/>
  <c r="H106" i="26" s="1"/>
  <c r="G102" i="26"/>
  <c r="I102" i="26" s="1"/>
  <c r="F102" i="26"/>
  <c r="H102" i="26" s="1"/>
  <c r="G98" i="26"/>
  <c r="I98" i="26" s="1"/>
  <c r="F98" i="26"/>
  <c r="H98" i="26" s="1"/>
  <c r="G94" i="26"/>
  <c r="I94" i="26" s="1"/>
  <c r="F94" i="26"/>
  <c r="H94" i="26" s="1"/>
  <c r="G90" i="26"/>
  <c r="I90" i="26" s="1"/>
  <c r="F90" i="26"/>
  <c r="H90" i="26" s="1"/>
  <c r="G86" i="26"/>
  <c r="I86" i="26" s="1"/>
  <c r="F86" i="26"/>
  <c r="H86" i="26" s="1"/>
  <c r="G82" i="26"/>
  <c r="I82" i="26" s="1"/>
  <c r="F82" i="26"/>
  <c r="H82" i="26" s="1"/>
  <c r="G78" i="26"/>
  <c r="I78" i="26" s="1"/>
  <c r="I76" i="2" s="1"/>
  <c r="F78" i="26"/>
  <c r="H78" i="26" s="1"/>
  <c r="G74" i="26"/>
  <c r="I74" i="26" s="1"/>
  <c r="F74" i="26"/>
  <c r="H74" i="26" s="1"/>
  <c r="G70" i="26"/>
  <c r="I70" i="26" s="1"/>
  <c r="F70" i="26"/>
  <c r="H70" i="26" s="1"/>
  <c r="G66" i="26"/>
  <c r="I66" i="26" s="1"/>
  <c r="F66" i="26"/>
  <c r="H66" i="26" s="1"/>
  <c r="G62" i="26"/>
  <c r="I62" i="26" s="1"/>
  <c r="F62" i="26"/>
  <c r="H62" i="26" s="1"/>
  <c r="G58" i="26"/>
  <c r="I58" i="26" s="1"/>
  <c r="F58" i="26"/>
  <c r="H58" i="26" s="1"/>
  <c r="G54" i="26"/>
  <c r="I54" i="26" s="1"/>
  <c r="F54" i="26"/>
  <c r="H54" i="26" s="1"/>
  <c r="G50" i="26"/>
  <c r="I50" i="26" s="1"/>
  <c r="I88" i="2" s="1"/>
  <c r="F50" i="26"/>
  <c r="H50" i="26" s="1"/>
  <c r="G46" i="26"/>
  <c r="I46" i="26" s="1"/>
  <c r="F46" i="26"/>
  <c r="H46" i="26" s="1"/>
  <c r="G42" i="26"/>
  <c r="I42" i="26" s="1"/>
  <c r="F42" i="26"/>
  <c r="H42" i="26" s="1"/>
  <c r="G38" i="26"/>
  <c r="I38" i="26" s="1"/>
  <c r="F38" i="26"/>
  <c r="H38" i="26" s="1"/>
  <c r="G34" i="26"/>
  <c r="I34" i="26" s="1"/>
  <c r="F34" i="26"/>
  <c r="H34" i="26" s="1"/>
  <c r="G30" i="26"/>
  <c r="I30" i="26" s="1"/>
  <c r="F30" i="26"/>
  <c r="H30" i="26" s="1"/>
  <c r="G26" i="26"/>
  <c r="I26" i="26" s="1"/>
  <c r="F26" i="26"/>
  <c r="H26" i="26" s="1"/>
  <c r="G22" i="26"/>
  <c r="I22" i="26" s="1"/>
  <c r="F22" i="26"/>
  <c r="H22" i="26" s="1"/>
  <c r="G18" i="26"/>
  <c r="I18" i="26" s="1"/>
  <c r="F18" i="26"/>
  <c r="H18" i="26" s="1"/>
  <c r="G1725" i="26"/>
  <c r="I1725" i="26" s="1"/>
  <c r="F1725" i="26"/>
  <c r="H1725" i="26" s="1"/>
  <c r="G1717" i="26"/>
  <c r="I1717" i="26" s="1"/>
  <c r="F1717" i="26"/>
  <c r="H1717" i="26" s="1"/>
  <c r="G1709" i="26"/>
  <c r="I1709" i="26" s="1"/>
  <c r="F1709" i="26"/>
  <c r="H1709" i="26" s="1"/>
  <c r="G1705" i="26"/>
  <c r="I1705" i="26" s="1"/>
  <c r="F1705" i="26"/>
  <c r="H1705" i="26" s="1"/>
  <c r="G1701" i="26"/>
  <c r="I1701" i="26" s="1"/>
  <c r="F1701" i="26"/>
  <c r="H1701" i="26" s="1"/>
  <c r="G1697" i="26"/>
  <c r="I1697" i="26" s="1"/>
  <c r="F1697" i="26"/>
  <c r="H1697" i="26" s="1"/>
  <c r="G1693" i="26"/>
  <c r="I1693" i="26" s="1"/>
  <c r="F1693" i="26"/>
  <c r="H1693" i="26" s="1"/>
  <c r="G1689" i="26"/>
  <c r="I1689" i="26" s="1"/>
  <c r="F1689" i="26"/>
  <c r="H1689" i="26" s="1"/>
  <c r="G1685" i="26"/>
  <c r="I1685" i="26" s="1"/>
  <c r="F1685" i="26"/>
  <c r="H1685" i="26" s="1"/>
  <c r="G1681" i="26"/>
  <c r="I1681" i="26" s="1"/>
  <c r="F1681" i="26"/>
  <c r="H1681" i="26" s="1"/>
  <c r="G1677" i="26"/>
  <c r="I1677" i="26" s="1"/>
  <c r="F1677" i="26"/>
  <c r="H1677" i="26" s="1"/>
  <c r="G1673" i="26"/>
  <c r="I1673" i="26" s="1"/>
  <c r="F1673" i="26"/>
  <c r="H1673" i="26" s="1"/>
  <c r="G1669" i="26"/>
  <c r="I1669" i="26" s="1"/>
  <c r="F1669" i="26"/>
  <c r="H1669" i="26" s="1"/>
  <c r="G1665" i="26"/>
  <c r="I1665" i="26" s="1"/>
  <c r="F1665" i="26"/>
  <c r="H1665" i="26" s="1"/>
  <c r="G1661" i="26"/>
  <c r="I1661" i="26" s="1"/>
  <c r="F1661" i="26"/>
  <c r="H1661" i="26" s="1"/>
  <c r="G1657" i="26"/>
  <c r="I1657" i="26" s="1"/>
  <c r="F1657" i="26"/>
  <c r="H1657" i="26" s="1"/>
  <c r="G1653" i="26"/>
  <c r="I1653" i="26" s="1"/>
  <c r="F1653" i="26"/>
  <c r="H1653" i="26" s="1"/>
  <c r="G1649" i="26"/>
  <c r="I1649" i="26" s="1"/>
  <c r="F1649" i="26"/>
  <c r="H1649" i="26" s="1"/>
  <c r="G1645" i="26"/>
  <c r="I1645" i="26" s="1"/>
  <c r="F1645" i="26"/>
  <c r="H1645" i="26" s="1"/>
  <c r="G1641" i="26"/>
  <c r="I1641" i="26" s="1"/>
  <c r="F1641" i="26"/>
  <c r="H1641" i="26" s="1"/>
  <c r="G1637" i="26"/>
  <c r="I1637" i="26" s="1"/>
  <c r="F1637" i="26"/>
  <c r="H1637" i="26" s="1"/>
  <c r="G1633" i="26"/>
  <c r="I1633" i="26" s="1"/>
  <c r="F1633" i="26"/>
  <c r="H1633" i="26" s="1"/>
  <c r="G1629" i="26"/>
  <c r="I1629" i="26" s="1"/>
  <c r="F1629" i="26"/>
  <c r="H1629" i="26" s="1"/>
  <c r="G1625" i="26"/>
  <c r="I1625" i="26" s="1"/>
  <c r="F1625" i="26"/>
  <c r="H1625" i="26" s="1"/>
  <c r="G1621" i="26"/>
  <c r="I1621" i="26" s="1"/>
  <c r="F1621" i="26"/>
  <c r="H1621" i="26" s="1"/>
  <c r="G1617" i="26"/>
  <c r="I1617" i="26" s="1"/>
  <c r="F1617" i="26"/>
  <c r="H1617" i="26" s="1"/>
  <c r="G1613" i="26"/>
  <c r="I1613" i="26" s="1"/>
  <c r="F1613" i="26"/>
  <c r="H1613" i="26" s="1"/>
  <c r="G1609" i="26"/>
  <c r="I1609" i="26" s="1"/>
  <c r="F1609" i="26"/>
  <c r="H1609" i="26" s="1"/>
  <c r="G1605" i="26"/>
  <c r="I1605" i="26" s="1"/>
  <c r="F1605" i="26"/>
  <c r="H1605" i="26" s="1"/>
  <c r="G1601" i="26"/>
  <c r="I1601" i="26" s="1"/>
  <c r="F1601" i="26"/>
  <c r="H1601" i="26" s="1"/>
  <c r="G1597" i="26"/>
  <c r="I1597" i="26" s="1"/>
  <c r="F1597" i="26"/>
  <c r="H1597" i="26" s="1"/>
  <c r="G1593" i="26"/>
  <c r="I1593" i="26" s="1"/>
  <c r="F1593" i="26"/>
  <c r="H1593" i="26" s="1"/>
  <c r="G1589" i="26"/>
  <c r="I1589" i="26" s="1"/>
  <c r="F1589" i="26"/>
  <c r="H1589" i="26" s="1"/>
  <c r="G1585" i="26"/>
  <c r="I1585" i="26" s="1"/>
  <c r="F1585" i="26"/>
  <c r="H1585" i="26" s="1"/>
  <c r="G1581" i="26"/>
  <c r="I1581" i="26" s="1"/>
  <c r="F1581" i="26"/>
  <c r="H1581" i="26" s="1"/>
  <c r="G1577" i="26"/>
  <c r="I1577" i="26" s="1"/>
  <c r="F1577" i="26"/>
  <c r="H1577" i="26" s="1"/>
  <c r="G1573" i="26"/>
  <c r="I1573" i="26" s="1"/>
  <c r="F1573" i="26"/>
  <c r="H1573" i="26" s="1"/>
  <c r="G1569" i="26"/>
  <c r="I1569" i="26" s="1"/>
  <c r="F1569" i="26"/>
  <c r="H1569" i="26" s="1"/>
  <c r="G1565" i="26"/>
  <c r="I1565" i="26" s="1"/>
  <c r="F1565" i="26"/>
  <c r="H1565" i="26" s="1"/>
  <c r="G1561" i="26"/>
  <c r="I1561" i="26" s="1"/>
  <c r="F1561" i="26"/>
  <c r="H1561" i="26" s="1"/>
  <c r="G1557" i="26"/>
  <c r="I1557" i="26" s="1"/>
  <c r="F1557" i="26"/>
  <c r="H1557" i="26" s="1"/>
  <c r="G1553" i="26"/>
  <c r="I1553" i="26" s="1"/>
  <c r="F1553" i="26"/>
  <c r="H1553" i="26" s="1"/>
  <c r="G1549" i="26"/>
  <c r="I1549" i="26" s="1"/>
  <c r="F1549" i="26"/>
  <c r="H1549" i="26" s="1"/>
  <c r="G1545" i="26"/>
  <c r="I1545" i="26" s="1"/>
  <c r="F1545" i="26"/>
  <c r="H1545" i="26" s="1"/>
  <c r="G1541" i="26"/>
  <c r="I1541" i="26" s="1"/>
  <c r="F1541" i="26"/>
  <c r="H1541" i="26" s="1"/>
  <c r="G1537" i="26"/>
  <c r="I1537" i="26" s="1"/>
  <c r="F1537" i="26"/>
  <c r="H1537" i="26" s="1"/>
  <c r="G1533" i="26"/>
  <c r="I1533" i="26" s="1"/>
  <c r="F1533" i="26"/>
  <c r="H1533" i="26" s="1"/>
  <c r="G1529" i="26"/>
  <c r="I1529" i="26" s="1"/>
  <c r="F1529" i="26"/>
  <c r="H1529" i="26" s="1"/>
  <c r="G1525" i="26"/>
  <c r="I1525" i="26" s="1"/>
  <c r="F1525" i="26"/>
  <c r="H1525" i="26" s="1"/>
  <c r="G1521" i="26"/>
  <c r="I1521" i="26" s="1"/>
  <c r="F1521" i="26"/>
  <c r="H1521" i="26" s="1"/>
  <c r="G1517" i="26"/>
  <c r="I1517" i="26" s="1"/>
  <c r="F1517" i="26"/>
  <c r="H1517" i="26" s="1"/>
  <c r="G1513" i="26"/>
  <c r="I1513" i="26" s="1"/>
  <c r="F1513" i="26"/>
  <c r="H1513" i="26" s="1"/>
  <c r="G1509" i="26"/>
  <c r="I1509" i="26" s="1"/>
  <c r="F1509" i="26"/>
  <c r="H1509" i="26" s="1"/>
  <c r="G1505" i="26"/>
  <c r="I1505" i="26" s="1"/>
  <c r="F1505" i="26"/>
  <c r="H1505" i="26" s="1"/>
  <c r="G1501" i="26"/>
  <c r="I1501" i="26" s="1"/>
  <c r="F1501" i="26"/>
  <c r="H1501" i="26" s="1"/>
  <c r="G1497" i="26"/>
  <c r="I1497" i="26" s="1"/>
  <c r="F1497" i="26"/>
  <c r="H1497" i="26" s="1"/>
  <c r="G1493" i="26"/>
  <c r="I1493" i="26" s="1"/>
  <c r="F1493" i="26"/>
  <c r="H1493" i="26" s="1"/>
  <c r="G1489" i="26"/>
  <c r="I1489" i="26" s="1"/>
  <c r="F1489" i="26"/>
  <c r="H1489" i="26" s="1"/>
  <c r="G1485" i="26"/>
  <c r="I1485" i="26" s="1"/>
  <c r="F1485" i="26"/>
  <c r="H1485" i="26" s="1"/>
  <c r="G1481" i="26"/>
  <c r="I1481" i="26" s="1"/>
  <c r="F1481" i="26"/>
  <c r="H1481" i="26" s="1"/>
  <c r="G1477" i="26"/>
  <c r="I1477" i="26" s="1"/>
  <c r="F1477" i="26"/>
  <c r="H1477" i="26" s="1"/>
  <c r="G1473" i="26"/>
  <c r="I1473" i="26" s="1"/>
  <c r="F1473" i="26"/>
  <c r="H1473" i="26" s="1"/>
  <c r="G1469" i="26"/>
  <c r="I1469" i="26" s="1"/>
  <c r="F1469" i="26"/>
  <c r="H1469" i="26" s="1"/>
  <c r="G1465" i="26"/>
  <c r="I1465" i="26" s="1"/>
  <c r="F1465" i="26"/>
  <c r="H1465" i="26" s="1"/>
  <c r="G1461" i="26"/>
  <c r="I1461" i="26" s="1"/>
  <c r="F1461" i="26"/>
  <c r="H1461" i="26" s="1"/>
  <c r="G1457" i="26"/>
  <c r="I1457" i="26" s="1"/>
  <c r="F1457" i="26"/>
  <c r="H1457" i="26" s="1"/>
  <c r="G1453" i="26"/>
  <c r="I1453" i="26" s="1"/>
  <c r="F1453" i="26"/>
  <c r="H1453" i="26" s="1"/>
  <c r="G1449" i="26"/>
  <c r="I1449" i="26" s="1"/>
  <c r="F1449" i="26"/>
  <c r="H1449" i="26" s="1"/>
  <c r="G1445" i="26"/>
  <c r="I1445" i="26" s="1"/>
  <c r="F1445" i="26"/>
  <c r="H1445" i="26" s="1"/>
  <c r="G1441" i="26"/>
  <c r="I1441" i="26" s="1"/>
  <c r="F1441" i="26"/>
  <c r="H1441" i="26" s="1"/>
  <c r="G1437" i="26"/>
  <c r="I1437" i="26" s="1"/>
  <c r="F1437" i="26"/>
  <c r="H1437" i="26" s="1"/>
  <c r="G1433" i="26"/>
  <c r="I1433" i="26" s="1"/>
  <c r="F1433" i="26"/>
  <c r="H1433" i="26" s="1"/>
  <c r="G1429" i="26"/>
  <c r="I1429" i="26" s="1"/>
  <c r="F1429" i="26"/>
  <c r="H1429" i="26" s="1"/>
  <c r="G1425" i="26"/>
  <c r="I1425" i="26" s="1"/>
  <c r="F1425" i="26"/>
  <c r="H1425" i="26" s="1"/>
  <c r="G1421" i="26"/>
  <c r="I1421" i="26" s="1"/>
  <c r="F1421" i="26"/>
  <c r="H1421" i="26" s="1"/>
  <c r="G1417" i="26"/>
  <c r="I1417" i="26" s="1"/>
  <c r="F1417" i="26"/>
  <c r="H1417" i="26" s="1"/>
  <c r="G1413" i="26"/>
  <c r="I1413" i="26" s="1"/>
  <c r="F1413" i="26"/>
  <c r="H1413" i="26" s="1"/>
  <c r="G1409" i="26"/>
  <c r="I1409" i="26" s="1"/>
  <c r="F1409" i="26"/>
  <c r="H1409" i="26" s="1"/>
  <c r="G1405" i="26"/>
  <c r="I1405" i="26" s="1"/>
  <c r="F1405" i="26"/>
  <c r="H1405" i="26" s="1"/>
  <c r="G1401" i="26"/>
  <c r="I1401" i="26" s="1"/>
  <c r="F1401" i="26"/>
  <c r="H1401" i="26" s="1"/>
  <c r="G1397" i="26"/>
  <c r="I1397" i="26" s="1"/>
  <c r="F1397" i="26"/>
  <c r="H1397" i="26" s="1"/>
  <c r="G1393" i="26"/>
  <c r="I1393" i="26" s="1"/>
  <c r="F1393" i="26"/>
  <c r="H1393" i="26" s="1"/>
  <c r="G1389" i="26"/>
  <c r="I1389" i="26" s="1"/>
  <c r="F1389" i="26"/>
  <c r="H1389" i="26" s="1"/>
  <c r="G1385" i="26"/>
  <c r="I1385" i="26" s="1"/>
  <c r="F1385" i="26"/>
  <c r="H1385" i="26" s="1"/>
  <c r="G1381" i="26"/>
  <c r="I1381" i="26" s="1"/>
  <c r="F1381" i="26"/>
  <c r="H1381" i="26" s="1"/>
  <c r="G1377" i="26"/>
  <c r="I1377" i="26" s="1"/>
  <c r="F1377" i="26"/>
  <c r="H1377" i="26" s="1"/>
  <c r="G1373" i="26"/>
  <c r="I1373" i="26" s="1"/>
  <c r="F1373" i="26"/>
  <c r="H1373" i="26" s="1"/>
  <c r="G1369" i="26"/>
  <c r="I1369" i="26" s="1"/>
  <c r="F1369" i="26"/>
  <c r="H1369" i="26" s="1"/>
  <c r="G1365" i="26"/>
  <c r="I1365" i="26" s="1"/>
  <c r="F1365" i="26"/>
  <c r="H1365" i="26" s="1"/>
  <c r="G1361" i="26"/>
  <c r="I1361" i="26" s="1"/>
  <c r="F1361" i="26"/>
  <c r="H1361" i="26" s="1"/>
  <c r="G1357" i="26"/>
  <c r="I1357" i="26" s="1"/>
  <c r="F1357" i="26"/>
  <c r="H1357" i="26" s="1"/>
  <c r="G1353" i="26"/>
  <c r="I1353" i="26" s="1"/>
  <c r="F1353" i="26"/>
  <c r="H1353" i="26" s="1"/>
  <c r="G1349" i="26"/>
  <c r="I1349" i="26" s="1"/>
  <c r="F1349" i="26"/>
  <c r="H1349" i="26" s="1"/>
  <c r="G1345" i="26"/>
  <c r="I1345" i="26" s="1"/>
  <c r="F1345" i="26"/>
  <c r="H1345" i="26" s="1"/>
  <c r="G1341" i="26"/>
  <c r="I1341" i="26" s="1"/>
  <c r="F1341" i="26"/>
  <c r="H1341" i="26" s="1"/>
  <c r="G1337" i="26"/>
  <c r="I1337" i="26" s="1"/>
  <c r="F1337" i="26"/>
  <c r="H1337" i="26" s="1"/>
  <c r="G1333" i="26"/>
  <c r="I1333" i="26" s="1"/>
  <c r="F1333" i="26"/>
  <c r="H1333" i="26" s="1"/>
  <c r="G1329" i="26"/>
  <c r="I1329" i="26" s="1"/>
  <c r="F1329" i="26"/>
  <c r="H1329" i="26" s="1"/>
  <c r="G1325" i="26"/>
  <c r="I1325" i="26" s="1"/>
  <c r="I129" i="2" s="1"/>
  <c r="F1325" i="26"/>
  <c r="H1325" i="26" s="1"/>
  <c r="G1321" i="26"/>
  <c r="I1321" i="26" s="1"/>
  <c r="F1321" i="26"/>
  <c r="H1321" i="26" s="1"/>
  <c r="G1317" i="26"/>
  <c r="I1317" i="26" s="1"/>
  <c r="F1317" i="26"/>
  <c r="H1317" i="26" s="1"/>
  <c r="G1313" i="26"/>
  <c r="I1313" i="26" s="1"/>
  <c r="F1313" i="26"/>
  <c r="H1313" i="26" s="1"/>
  <c r="G1309" i="26"/>
  <c r="I1309" i="26" s="1"/>
  <c r="F1309" i="26"/>
  <c r="H1309" i="26" s="1"/>
  <c r="G1305" i="26"/>
  <c r="I1305" i="26" s="1"/>
  <c r="F1305" i="26"/>
  <c r="H1305" i="26" s="1"/>
  <c r="G1301" i="26"/>
  <c r="I1301" i="26" s="1"/>
  <c r="F1301" i="26"/>
  <c r="H1301" i="26" s="1"/>
  <c r="G1297" i="26"/>
  <c r="I1297" i="26" s="1"/>
  <c r="F1297" i="26"/>
  <c r="H1297" i="26" s="1"/>
  <c r="G1293" i="26"/>
  <c r="I1293" i="26" s="1"/>
  <c r="F1293" i="26"/>
  <c r="H1293" i="26" s="1"/>
  <c r="G1289" i="26"/>
  <c r="I1289" i="26" s="1"/>
  <c r="F1289" i="26"/>
  <c r="H1289" i="26" s="1"/>
  <c r="G1285" i="26"/>
  <c r="I1285" i="26" s="1"/>
  <c r="F1285" i="26"/>
  <c r="H1285" i="26" s="1"/>
  <c r="G1281" i="26"/>
  <c r="I1281" i="26" s="1"/>
  <c r="F1281" i="26"/>
  <c r="H1281" i="26" s="1"/>
  <c r="G1277" i="26"/>
  <c r="I1277" i="26" s="1"/>
  <c r="F1277" i="26"/>
  <c r="H1277" i="26" s="1"/>
  <c r="G1273" i="26"/>
  <c r="I1273" i="26" s="1"/>
  <c r="F1273" i="26"/>
  <c r="H1273" i="26" s="1"/>
  <c r="G1269" i="26"/>
  <c r="I1269" i="26" s="1"/>
  <c r="F1269" i="26"/>
  <c r="H1269" i="26" s="1"/>
  <c r="G1265" i="26"/>
  <c r="I1265" i="26" s="1"/>
  <c r="F1265" i="26"/>
  <c r="H1265" i="26" s="1"/>
  <c r="G1261" i="26"/>
  <c r="I1261" i="26" s="1"/>
  <c r="F1261" i="26"/>
  <c r="H1261" i="26" s="1"/>
  <c r="G1257" i="26"/>
  <c r="I1257" i="26" s="1"/>
  <c r="F1257" i="26"/>
  <c r="H1257" i="26" s="1"/>
  <c r="G1253" i="26"/>
  <c r="I1253" i="26" s="1"/>
  <c r="F1253" i="26"/>
  <c r="H1253" i="26" s="1"/>
  <c r="G1249" i="26"/>
  <c r="I1249" i="26" s="1"/>
  <c r="F1249" i="26"/>
  <c r="H1249" i="26" s="1"/>
  <c r="G1245" i="26"/>
  <c r="I1245" i="26" s="1"/>
  <c r="F1245" i="26"/>
  <c r="H1245" i="26" s="1"/>
  <c r="G1241" i="26"/>
  <c r="I1241" i="26" s="1"/>
  <c r="F1241" i="26"/>
  <c r="H1241" i="26" s="1"/>
  <c r="G1237" i="26"/>
  <c r="I1237" i="26" s="1"/>
  <c r="F1237" i="26"/>
  <c r="H1237" i="26" s="1"/>
  <c r="G1233" i="26"/>
  <c r="I1233" i="26" s="1"/>
  <c r="F1233" i="26"/>
  <c r="H1233" i="26" s="1"/>
  <c r="G1229" i="26"/>
  <c r="I1229" i="26" s="1"/>
  <c r="F1229" i="26"/>
  <c r="H1229" i="26" s="1"/>
  <c r="G1225" i="26"/>
  <c r="I1225" i="26" s="1"/>
  <c r="F1225" i="26"/>
  <c r="H1225" i="26" s="1"/>
  <c r="G1221" i="26"/>
  <c r="I1221" i="26" s="1"/>
  <c r="F1221" i="26"/>
  <c r="H1221" i="26" s="1"/>
  <c r="G1217" i="26"/>
  <c r="I1217" i="26" s="1"/>
  <c r="F1217" i="26"/>
  <c r="H1217" i="26" s="1"/>
  <c r="G1213" i="26"/>
  <c r="I1213" i="26" s="1"/>
  <c r="F1213" i="26"/>
  <c r="H1213" i="26" s="1"/>
  <c r="G1209" i="26"/>
  <c r="I1209" i="26" s="1"/>
  <c r="F1209" i="26"/>
  <c r="H1209" i="26" s="1"/>
  <c r="G1205" i="26"/>
  <c r="I1205" i="26" s="1"/>
  <c r="F1205" i="26"/>
  <c r="H1205" i="26" s="1"/>
  <c r="G1201" i="26"/>
  <c r="I1201" i="26" s="1"/>
  <c r="F1201" i="26"/>
  <c r="H1201" i="26" s="1"/>
  <c r="G1197" i="26"/>
  <c r="I1197" i="26" s="1"/>
  <c r="F1197" i="26"/>
  <c r="H1197" i="26" s="1"/>
  <c r="G1193" i="26"/>
  <c r="I1193" i="26" s="1"/>
  <c r="F1193" i="26"/>
  <c r="H1193" i="26" s="1"/>
  <c r="G1189" i="26"/>
  <c r="I1189" i="26" s="1"/>
  <c r="F1189" i="26"/>
  <c r="H1189" i="26" s="1"/>
  <c r="G1185" i="26"/>
  <c r="I1185" i="26" s="1"/>
  <c r="F1185" i="26"/>
  <c r="H1185" i="26" s="1"/>
  <c r="G1181" i="26"/>
  <c r="I1181" i="26" s="1"/>
  <c r="F1181" i="26"/>
  <c r="H1181" i="26" s="1"/>
  <c r="G1177" i="26"/>
  <c r="I1177" i="26" s="1"/>
  <c r="F1177" i="26"/>
  <c r="H1177" i="26" s="1"/>
  <c r="G1173" i="26"/>
  <c r="I1173" i="26" s="1"/>
  <c r="F1173" i="26"/>
  <c r="H1173" i="26" s="1"/>
  <c r="G1169" i="26"/>
  <c r="I1169" i="26" s="1"/>
  <c r="F1169" i="26"/>
  <c r="H1169" i="26" s="1"/>
  <c r="G1165" i="26"/>
  <c r="I1165" i="26" s="1"/>
  <c r="F1165" i="26"/>
  <c r="H1165" i="26" s="1"/>
  <c r="G1161" i="26"/>
  <c r="I1161" i="26" s="1"/>
  <c r="F1161" i="26"/>
  <c r="H1161" i="26" s="1"/>
  <c r="G1157" i="26"/>
  <c r="I1157" i="26" s="1"/>
  <c r="F1157" i="26"/>
  <c r="H1157" i="26" s="1"/>
  <c r="G1153" i="26"/>
  <c r="I1153" i="26" s="1"/>
  <c r="F1153" i="26"/>
  <c r="H1153" i="26" s="1"/>
  <c r="G1149" i="26"/>
  <c r="I1149" i="26" s="1"/>
  <c r="F1149" i="26"/>
  <c r="H1149" i="26" s="1"/>
  <c r="G1145" i="26"/>
  <c r="I1145" i="26" s="1"/>
  <c r="F1145" i="26"/>
  <c r="H1145" i="26" s="1"/>
  <c r="G1141" i="26"/>
  <c r="I1141" i="26" s="1"/>
  <c r="F1141" i="26"/>
  <c r="H1141" i="26" s="1"/>
  <c r="G1137" i="26"/>
  <c r="I1137" i="26" s="1"/>
  <c r="F1137" i="26"/>
  <c r="H1137" i="26" s="1"/>
  <c r="G1133" i="26"/>
  <c r="I1133" i="26" s="1"/>
  <c r="F1133" i="26"/>
  <c r="H1133" i="26" s="1"/>
  <c r="G1129" i="26"/>
  <c r="I1129" i="26" s="1"/>
  <c r="F1129" i="26"/>
  <c r="H1129" i="26" s="1"/>
  <c r="G1125" i="26"/>
  <c r="I1125" i="26" s="1"/>
  <c r="F1125" i="26"/>
  <c r="H1125" i="26" s="1"/>
  <c r="G1121" i="26"/>
  <c r="I1121" i="26" s="1"/>
  <c r="F1121" i="26"/>
  <c r="H1121" i="26" s="1"/>
  <c r="G1117" i="26"/>
  <c r="I1117" i="26" s="1"/>
  <c r="F1117" i="26"/>
  <c r="H1117" i="26" s="1"/>
  <c r="G1113" i="26"/>
  <c r="I1113" i="26" s="1"/>
  <c r="F1113" i="26"/>
  <c r="H1113" i="26" s="1"/>
  <c r="G1109" i="26"/>
  <c r="I1109" i="26" s="1"/>
  <c r="I82" i="2" s="1"/>
  <c r="F1109" i="26"/>
  <c r="H1109" i="26" s="1"/>
  <c r="G1105" i="26"/>
  <c r="I1105" i="26" s="1"/>
  <c r="F1105" i="26"/>
  <c r="H1105" i="26" s="1"/>
  <c r="G1101" i="26"/>
  <c r="I1101" i="26" s="1"/>
  <c r="F1101" i="26"/>
  <c r="H1101" i="26" s="1"/>
  <c r="G1097" i="26"/>
  <c r="I1097" i="26" s="1"/>
  <c r="F1097" i="26"/>
  <c r="H1097" i="26" s="1"/>
  <c r="G1093" i="26"/>
  <c r="I1093" i="26" s="1"/>
  <c r="F1093" i="26"/>
  <c r="H1093" i="26" s="1"/>
  <c r="G1089" i="26"/>
  <c r="I1089" i="26" s="1"/>
  <c r="F1089" i="26"/>
  <c r="H1089" i="26" s="1"/>
  <c r="G1085" i="26"/>
  <c r="I1085" i="26" s="1"/>
  <c r="F1085" i="26"/>
  <c r="H1085" i="26" s="1"/>
  <c r="G1081" i="26"/>
  <c r="I1081" i="26" s="1"/>
  <c r="F1081" i="26"/>
  <c r="H1081" i="26" s="1"/>
  <c r="G1077" i="26"/>
  <c r="I1077" i="26" s="1"/>
  <c r="F1077" i="26"/>
  <c r="H1077" i="26" s="1"/>
  <c r="G1073" i="26"/>
  <c r="I1073" i="26" s="1"/>
  <c r="F1073" i="26"/>
  <c r="H1073" i="26" s="1"/>
  <c r="G1069" i="26"/>
  <c r="I1069" i="26" s="1"/>
  <c r="F1069" i="26"/>
  <c r="H1069" i="26" s="1"/>
  <c r="G1065" i="26"/>
  <c r="I1065" i="26" s="1"/>
  <c r="F1065" i="26"/>
  <c r="H1065" i="26" s="1"/>
  <c r="G1061" i="26"/>
  <c r="I1061" i="26" s="1"/>
  <c r="F1061" i="26"/>
  <c r="H1061" i="26" s="1"/>
  <c r="G1057" i="26"/>
  <c r="I1057" i="26" s="1"/>
  <c r="F1057" i="26"/>
  <c r="H1057" i="26" s="1"/>
  <c r="G1053" i="26"/>
  <c r="I1053" i="26" s="1"/>
  <c r="F1053" i="26"/>
  <c r="H1053" i="26" s="1"/>
  <c r="G1049" i="26"/>
  <c r="I1049" i="26" s="1"/>
  <c r="F1049" i="26"/>
  <c r="H1049" i="26" s="1"/>
  <c r="G1045" i="26"/>
  <c r="I1045" i="26" s="1"/>
  <c r="F1045" i="26"/>
  <c r="H1045" i="26" s="1"/>
  <c r="G1041" i="26"/>
  <c r="I1041" i="26" s="1"/>
  <c r="I51" i="2" s="1"/>
  <c r="F1041" i="26"/>
  <c r="H1041" i="26" s="1"/>
  <c r="G1037" i="26"/>
  <c r="I1037" i="26" s="1"/>
  <c r="I45" i="2" s="1"/>
  <c r="F1037" i="26"/>
  <c r="H1037" i="26" s="1"/>
  <c r="G1033" i="26"/>
  <c r="I1033" i="26" s="1"/>
  <c r="F1033" i="26"/>
  <c r="H1033" i="26" s="1"/>
  <c r="G1029" i="26"/>
  <c r="I1029" i="26" s="1"/>
  <c r="F1029" i="26"/>
  <c r="H1029" i="26" s="1"/>
  <c r="G1025" i="26"/>
  <c r="I1025" i="26" s="1"/>
  <c r="F1025" i="26"/>
  <c r="H1025" i="26" s="1"/>
  <c r="G1021" i="26"/>
  <c r="I1021" i="26" s="1"/>
  <c r="F1021" i="26"/>
  <c r="H1021" i="26" s="1"/>
  <c r="G1017" i="26"/>
  <c r="I1017" i="26" s="1"/>
  <c r="F1017" i="26"/>
  <c r="H1017" i="26" s="1"/>
  <c r="G1013" i="26"/>
  <c r="I1013" i="26" s="1"/>
  <c r="F1013" i="26"/>
  <c r="H1013" i="26" s="1"/>
  <c r="G1009" i="26"/>
  <c r="I1009" i="26" s="1"/>
  <c r="F1009" i="26"/>
  <c r="H1009" i="26" s="1"/>
  <c r="G1005" i="26"/>
  <c r="I1005" i="26" s="1"/>
  <c r="F1005" i="26"/>
  <c r="H1005" i="26" s="1"/>
  <c r="G1001" i="26"/>
  <c r="I1001" i="26" s="1"/>
  <c r="F1001" i="26"/>
  <c r="H1001" i="26" s="1"/>
  <c r="G997" i="26"/>
  <c r="I997" i="26" s="1"/>
  <c r="F997" i="26"/>
  <c r="H997" i="26" s="1"/>
  <c r="G993" i="26"/>
  <c r="I993" i="26" s="1"/>
  <c r="F993" i="26"/>
  <c r="H993" i="26" s="1"/>
  <c r="G989" i="26"/>
  <c r="I989" i="26" s="1"/>
  <c r="F989" i="26"/>
  <c r="H989" i="26" s="1"/>
  <c r="G985" i="26"/>
  <c r="I985" i="26" s="1"/>
  <c r="F985" i="26"/>
  <c r="H985" i="26" s="1"/>
  <c r="G981" i="26"/>
  <c r="I981" i="26" s="1"/>
  <c r="I112" i="2" s="1"/>
  <c r="F981" i="26"/>
  <c r="H981" i="26" s="1"/>
  <c r="G977" i="26"/>
  <c r="I977" i="26" s="1"/>
  <c r="F977" i="26"/>
  <c r="H977" i="26" s="1"/>
  <c r="G973" i="26"/>
  <c r="I973" i="26" s="1"/>
  <c r="F973" i="26"/>
  <c r="H973" i="26" s="1"/>
  <c r="G969" i="26"/>
  <c r="I969" i="26" s="1"/>
  <c r="F969" i="26"/>
  <c r="H969" i="26" s="1"/>
  <c r="G965" i="26"/>
  <c r="I965" i="26" s="1"/>
  <c r="F965" i="26"/>
  <c r="H965" i="26" s="1"/>
  <c r="G961" i="26"/>
  <c r="I961" i="26" s="1"/>
  <c r="F961" i="26"/>
  <c r="H961" i="26" s="1"/>
  <c r="G957" i="26"/>
  <c r="I957" i="26" s="1"/>
  <c r="F957" i="26"/>
  <c r="H957" i="26" s="1"/>
  <c r="G953" i="26"/>
  <c r="I953" i="26" s="1"/>
  <c r="F953" i="26"/>
  <c r="H953" i="26" s="1"/>
  <c r="G949" i="26"/>
  <c r="I949" i="26" s="1"/>
  <c r="F949" i="26"/>
  <c r="H949" i="26" s="1"/>
  <c r="G945" i="26"/>
  <c r="I945" i="26" s="1"/>
  <c r="F945" i="26"/>
  <c r="H945" i="26" s="1"/>
  <c r="G941" i="26"/>
  <c r="I941" i="26" s="1"/>
  <c r="F941" i="26"/>
  <c r="H941" i="26" s="1"/>
  <c r="G937" i="26"/>
  <c r="I937" i="26" s="1"/>
  <c r="F937" i="26"/>
  <c r="H937" i="26" s="1"/>
  <c r="G933" i="26"/>
  <c r="I933" i="26" s="1"/>
  <c r="I16" i="2" s="1"/>
  <c r="F933" i="26"/>
  <c r="H933" i="26" s="1"/>
  <c r="G929" i="26"/>
  <c r="I929" i="26" s="1"/>
  <c r="F929" i="26"/>
  <c r="H929" i="26" s="1"/>
  <c r="G925" i="26"/>
  <c r="I925" i="26" s="1"/>
  <c r="F925" i="26"/>
  <c r="H925" i="26" s="1"/>
  <c r="G921" i="26"/>
  <c r="I921" i="26" s="1"/>
  <c r="F921" i="26"/>
  <c r="H921" i="26" s="1"/>
  <c r="G917" i="26"/>
  <c r="I917" i="26" s="1"/>
  <c r="F917" i="26"/>
  <c r="H917" i="26" s="1"/>
  <c r="G913" i="26"/>
  <c r="I913" i="26" s="1"/>
  <c r="F913" i="26"/>
  <c r="H913" i="26" s="1"/>
  <c r="G909" i="26"/>
  <c r="I909" i="26" s="1"/>
  <c r="F909" i="26"/>
  <c r="H909" i="26" s="1"/>
  <c r="G905" i="26"/>
  <c r="I905" i="26" s="1"/>
  <c r="F905" i="26"/>
  <c r="H905" i="26" s="1"/>
  <c r="G901" i="26"/>
  <c r="I901" i="26" s="1"/>
  <c r="F901" i="26"/>
  <c r="H901" i="26" s="1"/>
  <c r="G897" i="26"/>
  <c r="I897" i="26" s="1"/>
  <c r="F897" i="26"/>
  <c r="H897" i="26" s="1"/>
  <c r="G893" i="26"/>
  <c r="I893" i="26" s="1"/>
  <c r="F893" i="26"/>
  <c r="H893" i="26" s="1"/>
  <c r="G889" i="26"/>
  <c r="I889" i="26" s="1"/>
  <c r="F889" i="26"/>
  <c r="H889" i="26" s="1"/>
  <c r="G885" i="26"/>
  <c r="I885" i="26" s="1"/>
  <c r="F885" i="26"/>
  <c r="H885" i="26" s="1"/>
  <c r="G881" i="26"/>
  <c r="I881" i="26" s="1"/>
  <c r="F881" i="26"/>
  <c r="H881" i="26" s="1"/>
  <c r="G877" i="26"/>
  <c r="I877" i="26" s="1"/>
  <c r="F877" i="26"/>
  <c r="H877" i="26" s="1"/>
  <c r="G873" i="26"/>
  <c r="I873" i="26" s="1"/>
  <c r="F873" i="26"/>
  <c r="H873" i="26" s="1"/>
  <c r="G869" i="26"/>
  <c r="I869" i="26" s="1"/>
  <c r="F869" i="26"/>
  <c r="H869" i="26" s="1"/>
  <c r="G865" i="26"/>
  <c r="I865" i="26" s="1"/>
  <c r="F865" i="26"/>
  <c r="H865" i="26" s="1"/>
  <c r="G861" i="26"/>
  <c r="I861" i="26" s="1"/>
  <c r="F861" i="26"/>
  <c r="H861" i="26" s="1"/>
  <c r="G857" i="26"/>
  <c r="I857" i="26" s="1"/>
  <c r="I97" i="2" s="1"/>
  <c r="F857" i="26"/>
  <c r="H857" i="26" s="1"/>
  <c r="G853" i="26"/>
  <c r="I853" i="26" s="1"/>
  <c r="F853" i="26"/>
  <c r="H853" i="26" s="1"/>
  <c r="G849" i="26"/>
  <c r="I849" i="26" s="1"/>
  <c r="F849" i="26"/>
  <c r="H849" i="26" s="1"/>
  <c r="G845" i="26"/>
  <c r="I845" i="26" s="1"/>
  <c r="F845" i="26"/>
  <c r="H845" i="26" s="1"/>
  <c r="G841" i="26"/>
  <c r="I841" i="26" s="1"/>
  <c r="F841" i="26"/>
  <c r="H841" i="26" s="1"/>
  <c r="G837" i="26"/>
  <c r="I837" i="26" s="1"/>
  <c r="F837" i="26"/>
  <c r="H837" i="26" s="1"/>
  <c r="G833" i="26"/>
  <c r="I833" i="26" s="1"/>
  <c r="F833" i="26"/>
  <c r="H833" i="26" s="1"/>
  <c r="G829" i="26"/>
  <c r="I829" i="26" s="1"/>
  <c r="F829" i="26"/>
  <c r="H829" i="26" s="1"/>
  <c r="G825" i="26"/>
  <c r="I825" i="26" s="1"/>
  <c r="F825" i="26"/>
  <c r="H825" i="26" s="1"/>
  <c r="G821" i="26"/>
  <c r="I821" i="26" s="1"/>
  <c r="F821" i="26"/>
  <c r="H821" i="26" s="1"/>
  <c r="G817" i="26"/>
  <c r="I817" i="26" s="1"/>
  <c r="F817" i="26"/>
  <c r="H817" i="26" s="1"/>
  <c r="G813" i="26"/>
  <c r="I813" i="26" s="1"/>
  <c r="F813" i="26"/>
  <c r="H813" i="26" s="1"/>
  <c r="G809" i="26"/>
  <c r="I809" i="26" s="1"/>
  <c r="F809" i="26"/>
  <c r="H809" i="26" s="1"/>
  <c r="G805" i="26"/>
  <c r="I805" i="26" s="1"/>
  <c r="F805" i="26"/>
  <c r="H805" i="26" s="1"/>
  <c r="G801" i="26"/>
  <c r="I801" i="26" s="1"/>
  <c r="F801" i="26"/>
  <c r="H801" i="26" s="1"/>
  <c r="G797" i="26"/>
  <c r="I797" i="26" s="1"/>
  <c r="F797" i="26"/>
  <c r="H797" i="26" s="1"/>
  <c r="G793" i="26"/>
  <c r="I793" i="26" s="1"/>
  <c r="F793" i="26"/>
  <c r="H793" i="26" s="1"/>
  <c r="G789" i="26"/>
  <c r="I789" i="26" s="1"/>
  <c r="F789" i="26"/>
  <c r="H789" i="26" s="1"/>
  <c r="G785" i="26"/>
  <c r="I785" i="26" s="1"/>
  <c r="F785" i="26"/>
  <c r="H785" i="26" s="1"/>
  <c r="G781" i="26"/>
  <c r="I781" i="26" s="1"/>
  <c r="F781" i="26"/>
  <c r="H781" i="26" s="1"/>
  <c r="G777" i="26"/>
  <c r="I777" i="26" s="1"/>
  <c r="F777" i="26"/>
  <c r="H777" i="26" s="1"/>
  <c r="G773" i="26"/>
  <c r="I773" i="26" s="1"/>
  <c r="F773" i="26"/>
  <c r="H773" i="26" s="1"/>
  <c r="G769" i="26"/>
  <c r="I769" i="26" s="1"/>
  <c r="F769" i="26"/>
  <c r="H769" i="26" s="1"/>
  <c r="G765" i="26"/>
  <c r="I765" i="26" s="1"/>
  <c r="F765" i="26"/>
  <c r="H765" i="26" s="1"/>
  <c r="G761" i="26"/>
  <c r="I761" i="26" s="1"/>
  <c r="F761" i="26"/>
  <c r="H761" i="26" s="1"/>
  <c r="G757" i="26"/>
  <c r="I757" i="26" s="1"/>
  <c r="F757" i="26"/>
  <c r="H757" i="26" s="1"/>
  <c r="G753" i="26"/>
  <c r="I753" i="26" s="1"/>
  <c r="F753" i="26"/>
  <c r="H753" i="26" s="1"/>
  <c r="G749" i="26"/>
  <c r="I749" i="26" s="1"/>
  <c r="F749" i="26"/>
  <c r="H749" i="26" s="1"/>
  <c r="G745" i="26"/>
  <c r="I745" i="26" s="1"/>
  <c r="F745" i="26"/>
  <c r="H745" i="26" s="1"/>
  <c r="G741" i="26"/>
  <c r="I741" i="26" s="1"/>
  <c r="F741" i="26"/>
  <c r="H741" i="26" s="1"/>
  <c r="G737" i="26"/>
  <c r="I737" i="26" s="1"/>
  <c r="F737" i="26"/>
  <c r="H737" i="26" s="1"/>
  <c r="G733" i="26"/>
  <c r="I733" i="26" s="1"/>
  <c r="F733" i="26"/>
  <c r="H733" i="26" s="1"/>
  <c r="G729" i="26"/>
  <c r="I729" i="26" s="1"/>
  <c r="F729" i="26"/>
  <c r="H729" i="26" s="1"/>
  <c r="G725" i="26"/>
  <c r="I725" i="26" s="1"/>
  <c r="F725" i="26"/>
  <c r="H725" i="26" s="1"/>
  <c r="G721" i="26"/>
  <c r="I721" i="26" s="1"/>
  <c r="F721" i="26"/>
  <c r="H721" i="26" s="1"/>
  <c r="G717" i="26"/>
  <c r="I717" i="26" s="1"/>
  <c r="F717" i="26"/>
  <c r="H717" i="26" s="1"/>
  <c r="G713" i="26"/>
  <c r="I713" i="26" s="1"/>
  <c r="F713" i="26"/>
  <c r="H713" i="26" s="1"/>
  <c r="G709" i="26"/>
  <c r="I709" i="26" s="1"/>
  <c r="F709" i="26"/>
  <c r="H709" i="26" s="1"/>
  <c r="G705" i="26"/>
  <c r="I705" i="26" s="1"/>
  <c r="F705" i="26"/>
  <c r="H705" i="26" s="1"/>
  <c r="G701" i="26"/>
  <c r="I701" i="26" s="1"/>
  <c r="F701" i="26"/>
  <c r="H701" i="26" s="1"/>
  <c r="G697" i="26"/>
  <c r="I697" i="26" s="1"/>
  <c r="F697" i="26"/>
  <c r="H697" i="26" s="1"/>
  <c r="G693" i="26"/>
  <c r="I693" i="26" s="1"/>
  <c r="F693" i="26"/>
  <c r="H693" i="26" s="1"/>
  <c r="G689" i="26"/>
  <c r="I689" i="26" s="1"/>
  <c r="F689" i="26"/>
  <c r="H689" i="26" s="1"/>
  <c r="G685" i="26"/>
  <c r="I685" i="26" s="1"/>
  <c r="F685" i="26"/>
  <c r="H685" i="26" s="1"/>
  <c r="G681" i="26"/>
  <c r="I681" i="26" s="1"/>
  <c r="F681" i="26"/>
  <c r="H681" i="26" s="1"/>
  <c r="G677" i="26"/>
  <c r="I677" i="26" s="1"/>
  <c r="F677" i="26"/>
  <c r="H677" i="26" s="1"/>
  <c r="G673" i="26"/>
  <c r="I673" i="26" s="1"/>
  <c r="F673" i="26"/>
  <c r="H673" i="26" s="1"/>
  <c r="G669" i="26"/>
  <c r="I669" i="26" s="1"/>
  <c r="F669" i="26"/>
  <c r="H669" i="26" s="1"/>
  <c r="G665" i="26"/>
  <c r="I665" i="26" s="1"/>
  <c r="F665" i="26"/>
  <c r="H665" i="26" s="1"/>
  <c r="G661" i="26"/>
  <c r="I661" i="26" s="1"/>
  <c r="F661" i="26"/>
  <c r="H661" i="26" s="1"/>
  <c r="G657" i="26"/>
  <c r="I657" i="26" s="1"/>
  <c r="F657" i="26"/>
  <c r="H657" i="26" s="1"/>
  <c r="G653" i="26"/>
  <c r="I653" i="26" s="1"/>
  <c r="F653" i="26"/>
  <c r="H653" i="26" s="1"/>
  <c r="G649" i="26"/>
  <c r="I649" i="26" s="1"/>
  <c r="F649" i="26"/>
  <c r="H649" i="26" s="1"/>
  <c r="G645" i="26"/>
  <c r="I645" i="26" s="1"/>
  <c r="I63" i="2" s="1"/>
  <c r="F645" i="26"/>
  <c r="H645" i="26" s="1"/>
  <c r="G641" i="26"/>
  <c r="I641" i="26" s="1"/>
  <c r="F641" i="26"/>
  <c r="H641" i="26" s="1"/>
  <c r="G637" i="26"/>
  <c r="I637" i="26" s="1"/>
  <c r="F637" i="26"/>
  <c r="H637" i="26" s="1"/>
  <c r="G633" i="26"/>
  <c r="I633" i="26" s="1"/>
  <c r="F633" i="26"/>
  <c r="H633" i="26" s="1"/>
  <c r="G629" i="26"/>
  <c r="I629" i="26" s="1"/>
  <c r="F629" i="26"/>
  <c r="H629" i="26" s="1"/>
  <c r="G625" i="26"/>
  <c r="I625" i="26" s="1"/>
  <c r="F625" i="26"/>
  <c r="H625" i="26" s="1"/>
  <c r="G621" i="26"/>
  <c r="I621" i="26" s="1"/>
  <c r="F621" i="26"/>
  <c r="H621" i="26" s="1"/>
  <c r="G617" i="26"/>
  <c r="I617" i="26" s="1"/>
  <c r="F617" i="26"/>
  <c r="H617" i="26" s="1"/>
  <c r="G613" i="26"/>
  <c r="I613" i="26" s="1"/>
  <c r="F613" i="26"/>
  <c r="H613" i="26" s="1"/>
  <c r="G609" i="26"/>
  <c r="I609" i="26" s="1"/>
  <c r="F609" i="26"/>
  <c r="H609" i="26" s="1"/>
  <c r="G605" i="26"/>
  <c r="I605" i="26" s="1"/>
  <c r="F605" i="26"/>
  <c r="H605" i="26" s="1"/>
  <c r="G601" i="26"/>
  <c r="I601" i="26" s="1"/>
  <c r="F601" i="26"/>
  <c r="H601" i="26" s="1"/>
  <c r="G597" i="26"/>
  <c r="I597" i="26" s="1"/>
  <c r="F597" i="26"/>
  <c r="H597" i="26" s="1"/>
  <c r="G593" i="26"/>
  <c r="I593" i="26" s="1"/>
  <c r="F593" i="26"/>
  <c r="H593" i="26" s="1"/>
  <c r="G589" i="26"/>
  <c r="I589" i="26" s="1"/>
  <c r="F589" i="26"/>
  <c r="H589" i="26" s="1"/>
  <c r="G585" i="26"/>
  <c r="I585" i="26" s="1"/>
  <c r="F585" i="26"/>
  <c r="H585" i="26" s="1"/>
  <c r="G581" i="26"/>
  <c r="I581" i="26" s="1"/>
  <c r="F581" i="26"/>
  <c r="H581" i="26" s="1"/>
  <c r="G577" i="26"/>
  <c r="I577" i="26" s="1"/>
  <c r="F577" i="26"/>
  <c r="H577" i="26" s="1"/>
  <c r="G573" i="26"/>
  <c r="I573" i="26" s="1"/>
  <c r="F573" i="26"/>
  <c r="H573" i="26" s="1"/>
  <c r="G569" i="26"/>
  <c r="I569" i="26" s="1"/>
  <c r="F569" i="26"/>
  <c r="H569" i="26" s="1"/>
  <c r="G565" i="26"/>
  <c r="I565" i="26" s="1"/>
  <c r="F565" i="26"/>
  <c r="H565" i="26" s="1"/>
  <c r="G561" i="26"/>
  <c r="I561" i="26" s="1"/>
  <c r="F561" i="26"/>
  <c r="H561" i="26" s="1"/>
  <c r="G557" i="26"/>
  <c r="I557" i="26" s="1"/>
  <c r="F557" i="26"/>
  <c r="H557" i="26" s="1"/>
  <c r="G553" i="26"/>
  <c r="I553" i="26" s="1"/>
  <c r="F553" i="26"/>
  <c r="H553" i="26" s="1"/>
  <c r="G549" i="26"/>
  <c r="I549" i="26" s="1"/>
  <c r="F549" i="26"/>
  <c r="H549" i="26" s="1"/>
  <c r="G545" i="26"/>
  <c r="I545" i="26" s="1"/>
  <c r="I124" i="2" s="1"/>
  <c r="F545" i="26"/>
  <c r="H545" i="26" s="1"/>
  <c r="G541" i="26"/>
  <c r="I541" i="26" s="1"/>
  <c r="F541" i="26"/>
  <c r="H541" i="26" s="1"/>
  <c r="G537" i="26"/>
  <c r="I537" i="26" s="1"/>
  <c r="F537" i="26"/>
  <c r="H537" i="26" s="1"/>
  <c r="G533" i="26"/>
  <c r="I533" i="26" s="1"/>
  <c r="F533" i="26"/>
  <c r="H533" i="26" s="1"/>
  <c r="G529" i="26"/>
  <c r="I529" i="26" s="1"/>
  <c r="F529" i="26"/>
  <c r="H529" i="26" s="1"/>
  <c r="G525" i="26"/>
  <c r="I525" i="26" s="1"/>
  <c r="F525" i="26"/>
  <c r="H525" i="26" s="1"/>
  <c r="G521" i="26"/>
  <c r="I521" i="26" s="1"/>
  <c r="F521" i="26"/>
  <c r="H521" i="26" s="1"/>
  <c r="G517" i="26"/>
  <c r="I517" i="26" s="1"/>
  <c r="F517" i="26"/>
  <c r="H517" i="26" s="1"/>
  <c r="G513" i="26"/>
  <c r="I513" i="26" s="1"/>
  <c r="F513" i="26"/>
  <c r="H513" i="26" s="1"/>
  <c r="G509" i="26"/>
  <c r="I509" i="26" s="1"/>
  <c r="F509" i="26"/>
  <c r="H509" i="26" s="1"/>
  <c r="G505" i="26"/>
  <c r="I505" i="26" s="1"/>
  <c r="F505" i="26"/>
  <c r="H505" i="26" s="1"/>
  <c r="G501" i="26"/>
  <c r="I501" i="26" s="1"/>
  <c r="F501" i="26"/>
  <c r="H501" i="26" s="1"/>
  <c r="G497" i="26"/>
  <c r="I497" i="26" s="1"/>
  <c r="F497" i="26"/>
  <c r="H497" i="26" s="1"/>
  <c r="G493" i="26"/>
  <c r="I493" i="26" s="1"/>
  <c r="F493" i="26"/>
  <c r="H493" i="26" s="1"/>
  <c r="G489" i="26"/>
  <c r="I489" i="26" s="1"/>
  <c r="F489" i="26"/>
  <c r="H489" i="26" s="1"/>
  <c r="G485" i="26"/>
  <c r="I485" i="26" s="1"/>
  <c r="F485" i="26"/>
  <c r="H485" i="26" s="1"/>
  <c r="G481" i="26"/>
  <c r="I481" i="26" s="1"/>
  <c r="F481" i="26"/>
  <c r="H481" i="26" s="1"/>
  <c r="G477" i="26"/>
  <c r="I477" i="26" s="1"/>
  <c r="F477" i="26"/>
  <c r="H477" i="26" s="1"/>
  <c r="G473" i="26"/>
  <c r="I473" i="26" s="1"/>
  <c r="F473" i="26"/>
  <c r="H473" i="26" s="1"/>
  <c r="G469" i="26"/>
  <c r="I469" i="26" s="1"/>
  <c r="F469" i="26"/>
  <c r="H469" i="26" s="1"/>
  <c r="G465" i="26"/>
  <c r="I465" i="26" s="1"/>
  <c r="F465" i="26"/>
  <c r="H465" i="26" s="1"/>
  <c r="G461" i="26"/>
  <c r="I461" i="26" s="1"/>
  <c r="F461" i="26"/>
  <c r="H461" i="26" s="1"/>
  <c r="G457" i="26"/>
  <c r="I457" i="26" s="1"/>
  <c r="F457" i="26"/>
  <c r="H457" i="26" s="1"/>
  <c r="G453" i="26"/>
  <c r="I453" i="26" s="1"/>
  <c r="I91" i="2" s="1"/>
  <c r="F453" i="26"/>
  <c r="H453" i="26" s="1"/>
  <c r="G449" i="26"/>
  <c r="I449" i="26" s="1"/>
  <c r="F449" i="26"/>
  <c r="H449" i="26" s="1"/>
  <c r="G445" i="26"/>
  <c r="I445" i="26" s="1"/>
  <c r="F445" i="26"/>
  <c r="H445" i="26" s="1"/>
  <c r="G441" i="26"/>
  <c r="I441" i="26" s="1"/>
  <c r="F441" i="26"/>
  <c r="H441" i="26" s="1"/>
  <c r="G437" i="26"/>
  <c r="I437" i="26" s="1"/>
  <c r="F437" i="26"/>
  <c r="H437" i="26" s="1"/>
  <c r="G433" i="26"/>
  <c r="I433" i="26" s="1"/>
  <c r="F433" i="26"/>
  <c r="H433" i="26" s="1"/>
  <c r="G429" i="26"/>
  <c r="I429" i="26" s="1"/>
  <c r="F429" i="26"/>
  <c r="H429" i="26" s="1"/>
  <c r="G425" i="26"/>
  <c r="I425" i="26" s="1"/>
  <c r="F425" i="26"/>
  <c r="H425" i="26" s="1"/>
  <c r="G421" i="26"/>
  <c r="I421" i="26" s="1"/>
  <c r="F421" i="26"/>
  <c r="H421" i="26" s="1"/>
  <c r="G417" i="26"/>
  <c r="I417" i="26" s="1"/>
  <c r="F417" i="26"/>
  <c r="H417" i="26" s="1"/>
  <c r="G413" i="26"/>
  <c r="I413" i="26" s="1"/>
  <c r="F413" i="26"/>
  <c r="H413" i="26" s="1"/>
  <c r="G409" i="26"/>
  <c r="I409" i="26" s="1"/>
  <c r="F409" i="26"/>
  <c r="H409" i="26" s="1"/>
  <c r="G405" i="26"/>
  <c r="I405" i="26" s="1"/>
  <c r="F405" i="26"/>
  <c r="H405" i="26" s="1"/>
  <c r="G401" i="26"/>
  <c r="I401" i="26" s="1"/>
  <c r="F401" i="26"/>
  <c r="H401" i="26" s="1"/>
  <c r="G397" i="26"/>
  <c r="I397" i="26" s="1"/>
  <c r="F397" i="26"/>
  <c r="H397" i="26" s="1"/>
  <c r="G393" i="26"/>
  <c r="I393" i="26" s="1"/>
  <c r="F393" i="26"/>
  <c r="H393" i="26" s="1"/>
  <c r="G389" i="26"/>
  <c r="I389" i="26" s="1"/>
  <c r="F389" i="26"/>
  <c r="H389" i="26" s="1"/>
  <c r="G385" i="26"/>
  <c r="I385" i="26" s="1"/>
  <c r="F385" i="26"/>
  <c r="H385" i="26" s="1"/>
  <c r="G381" i="26"/>
  <c r="I381" i="26" s="1"/>
  <c r="F381" i="26"/>
  <c r="H381" i="26" s="1"/>
  <c r="G377" i="26"/>
  <c r="I377" i="26" s="1"/>
  <c r="F377" i="26"/>
  <c r="H377" i="26" s="1"/>
  <c r="G373" i="26"/>
  <c r="I373" i="26" s="1"/>
  <c r="F373" i="26"/>
  <c r="H373" i="26" s="1"/>
  <c r="G369" i="26"/>
  <c r="I369" i="26" s="1"/>
  <c r="F369" i="26"/>
  <c r="H369" i="26" s="1"/>
  <c r="G365" i="26"/>
  <c r="I365" i="26" s="1"/>
  <c r="F365" i="26"/>
  <c r="H365" i="26" s="1"/>
  <c r="G361" i="26"/>
  <c r="I361" i="26" s="1"/>
  <c r="F361" i="26"/>
  <c r="H361" i="26" s="1"/>
  <c r="G357" i="26"/>
  <c r="I357" i="26" s="1"/>
  <c r="F357" i="26"/>
  <c r="H357" i="26" s="1"/>
  <c r="G353" i="26"/>
  <c r="I353" i="26" s="1"/>
  <c r="F353" i="26"/>
  <c r="H353" i="26" s="1"/>
  <c r="G349" i="26"/>
  <c r="I349" i="26" s="1"/>
  <c r="F349" i="26"/>
  <c r="H349" i="26" s="1"/>
  <c r="G345" i="26"/>
  <c r="I345" i="26" s="1"/>
  <c r="F345" i="26"/>
  <c r="H345" i="26" s="1"/>
  <c r="G341" i="26"/>
  <c r="I341" i="26" s="1"/>
  <c r="F341" i="26"/>
  <c r="H341" i="26" s="1"/>
  <c r="G337" i="26"/>
  <c r="I337" i="26" s="1"/>
  <c r="F337" i="26"/>
  <c r="H337" i="26" s="1"/>
  <c r="G333" i="26"/>
  <c r="I333" i="26" s="1"/>
  <c r="I85" i="2" s="1"/>
  <c r="F333" i="26"/>
  <c r="H333" i="26" s="1"/>
  <c r="G329" i="26"/>
  <c r="I329" i="26" s="1"/>
  <c r="F329" i="26"/>
  <c r="H329" i="26" s="1"/>
  <c r="G325" i="26"/>
  <c r="I325" i="26" s="1"/>
  <c r="F325" i="26"/>
  <c r="H325" i="26" s="1"/>
  <c r="G321" i="26"/>
  <c r="I321" i="26" s="1"/>
  <c r="F321" i="26"/>
  <c r="H321" i="26" s="1"/>
  <c r="G317" i="26"/>
  <c r="I317" i="26" s="1"/>
  <c r="F317" i="26"/>
  <c r="H317" i="26" s="1"/>
  <c r="G313" i="26"/>
  <c r="I313" i="26" s="1"/>
  <c r="F313" i="26"/>
  <c r="H313" i="26" s="1"/>
  <c r="G309" i="26"/>
  <c r="I309" i="26" s="1"/>
  <c r="F309" i="26"/>
  <c r="H309" i="26" s="1"/>
  <c r="G305" i="26"/>
  <c r="I305" i="26" s="1"/>
  <c r="F305" i="26"/>
  <c r="H305" i="26" s="1"/>
  <c r="G301" i="26"/>
  <c r="I301" i="26" s="1"/>
  <c r="F301" i="26"/>
  <c r="H301" i="26" s="1"/>
  <c r="G297" i="26"/>
  <c r="I297" i="26" s="1"/>
  <c r="F297" i="26"/>
  <c r="H297" i="26" s="1"/>
  <c r="G293" i="26"/>
  <c r="I293" i="26" s="1"/>
  <c r="F293" i="26"/>
  <c r="H293" i="26" s="1"/>
  <c r="G289" i="26"/>
  <c r="I289" i="26" s="1"/>
  <c r="F289" i="26"/>
  <c r="H289" i="26" s="1"/>
  <c r="G285" i="26"/>
  <c r="I285" i="26" s="1"/>
  <c r="F285" i="26"/>
  <c r="H285" i="26" s="1"/>
  <c r="G281" i="26"/>
  <c r="I281" i="26" s="1"/>
  <c r="F281" i="26"/>
  <c r="H281" i="26" s="1"/>
  <c r="G277" i="26"/>
  <c r="I277" i="26" s="1"/>
  <c r="F277" i="26"/>
  <c r="H277" i="26" s="1"/>
  <c r="G273" i="26"/>
  <c r="I273" i="26" s="1"/>
  <c r="F273" i="26"/>
  <c r="H273" i="26" s="1"/>
  <c r="G269" i="26"/>
  <c r="I269" i="26" s="1"/>
  <c r="I93" i="2" s="1"/>
  <c r="F269" i="26"/>
  <c r="H269" i="26" s="1"/>
  <c r="G265" i="26"/>
  <c r="I265" i="26" s="1"/>
  <c r="F265" i="26"/>
  <c r="H265" i="26" s="1"/>
  <c r="G261" i="26"/>
  <c r="I261" i="26" s="1"/>
  <c r="F261" i="26"/>
  <c r="H261" i="26" s="1"/>
  <c r="G257" i="26"/>
  <c r="I257" i="26" s="1"/>
  <c r="F257" i="26"/>
  <c r="H257" i="26" s="1"/>
  <c r="G253" i="26"/>
  <c r="I253" i="26" s="1"/>
  <c r="F253" i="26"/>
  <c r="H253" i="26" s="1"/>
  <c r="G249" i="26"/>
  <c r="I249" i="26" s="1"/>
  <c r="F249" i="26"/>
  <c r="H249" i="26" s="1"/>
  <c r="G245" i="26"/>
  <c r="I245" i="26" s="1"/>
  <c r="F245" i="26"/>
  <c r="H245" i="26" s="1"/>
  <c r="G241" i="26"/>
  <c r="I241" i="26" s="1"/>
  <c r="F241" i="26"/>
  <c r="H241" i="26" s="1"/>
  <c r="G237" i="26"/>
  <c r="I237" i="26" s="1"/>
  <c r="F237" i="26"/>
  <c r="H237" i="26" s="1"/>
  <c r="G233" i="26"/>
  <c r="I233" i="26" s="1"/>
  <c r="F233" i="26"/>
  <c r="H233" i="26" s="1"/>
  <c r="G229" i="26"/>
  <c r="I229" i="26" s="1"/>
  <c r="F229" i="26"/>
  <c r="H229" i="26" s="1"/>
  <c r="G225" i="26"/>
  <c r="I225" i="26" s="1"/>
  <c r="F225" i="26"/>
  <c r="H225" i="26" s="1"/>
  <c r="G221" i="26"/>
  <c r="I221" i="26" s="1"/>
  <c r="I40" i="2" s="1"/>
  <c r="F221" i="26"/>
  <c r="H221" i="26" s="1"/>
  <c r="G217" i="26"/>
  <c r="I217" i="26" s="1"/>
  <c r="F217" i="26"/>
  <c r="H217" i="26" s="1"/>
  <c r="G213" i="26"/>
  <c r="I213" i="26" s="1"/>
  <c r="I50" i="2" s="1"/>
  <c r="F213" i="26"/>
  <c r="H213" i="26" s="1"/>
  <c r="G209" i="26"/>
  <c r="I209" i="26" s="1"/>
  <c r="F209" i="26"/>
  <c r="H209" i="26" s="1"/>
  <c r="G205" i="26"/>
  <c r="I205" i="26" s="1"/>
  <c r="F205" i="26"/>
  <c r="H205" i="26" s="1"/>
  <c r="G201" i="26"/>
  <c r="I201" i="26" s="1"/>
  <c r="F201" i="26"/>
  <c r="H201" i="26" s="1"/>
  <c r="G197" i="26"/>
  <c r="I197" i="26" s="1"/>
  <c r="F197" i="26"/>
  <c r="H197" i="26" s="1"/>
  <c r="G193" i="26"/>
  <c r="I193" i="26" s="1"/>
  <c r="F193" i="26"/>
  <c r="H193" i="26" s="1"/>
  <c r="G189" i="26"/>
  <c r="I189" i="26" s="1"/>
  <c r="F189" i="26"/>
  <c r="H189" i="26" s="1"/>
  <c r="G185" i="26"/>
  <c r="I185" i="26" s="1"/>
  <c r="F185" i="26"/>
  <c r="H185" i="26" s="1"/>
  <c r="G181" i="26"/>
  <c r="I181" i="26" s="1"/>
  <c r="F181" i="26"/>
  <c r="H181" i="26" s="1"/>
  <c r="G177" i="26"/>
  <c r="I177" i="26" s="1"/>
  <c r="F177" i="26"/>
  <c r="H177" i="26" s="1"/>
  <c r="G173" i="26"/>
  <c r="I173" i="26" s="1"/>
  <c r="F173" i="26"/>
  <c r="H173" i="26" s="1"/>
  <c r="G169" i="26"/>
  <c r="I169" i="26" s="1"/>
  <c r="F169" i="26"/>
  <c r="H169" i="26" s="1"/>
  <c r="G165" i="26"/>
  <c r="I165" i="26" s="1"/>
  <c r="F165" i="26"/>
  <c r="H165" i="26" s="1"/>
  <c r="G161" i="26"/>
  <c r="I161" i="26" s="1"/>
  <c r="F161" i="26"/>
  <c r="H161" i="26" s="1"/>
  <c r="G157" i="26"/>
  <c r="I157" i="26" s="1"/>
  <c r="F157" i="26"/>
  <c r="H157" i="26" s="1"/>
  <c r="G153" i="26"/>
  <c r="I153" i="26" s="1"/>
  <c r="F153" i="26"/>
  <c r="H153" i="26" s="1"/>
  <c r="G149" i="26"/>
  <c r="I149" i="26" s="1"/>
  <c r="F149" i="26"/>
  <c r="H149" i="26" s="1"/>
  <c r="G145" i="26"/>
  <c r="I145" i="26" s="1"/>
  <c r="F145" i="26"/>
  <c r="H145" i="26" s="1"/>
  <c r="G141" i="26"/>
  <c r="I141" i="26" s="1"/>
  <c r="F141" i="26"/>
  <c r="H141" i="26" s="1"/>
  <c r="G137" i="26"/>
  <c r="I137" i="26" s="1"/>
  <c r="F137" i="26"/>
  <c r="H137" i="26" s="1"/>
  <c r="G133" i="26"/>
  <c r="I133" i="26" s="1"/>
  <c r="F133" i="26"/>
  <c r="H133" i="26" s="1"/>
  <c r="G129" i="26"/>
  <c r="I129" i="26" s="1"/>
  <c r="F129" i="26"/>
  <c r="H129" i="26" s="1"/>
  <c r="G125" i="26"/>
  <c r="I125" i="26" s="1"/>
  <c r="F125" i="26"/>
  <c r="H125" i="26" s="1"/>
  <c r="G121" i="26"/>
  <c r="I121" i="26" s="1"/>
  <c r="F121" i="26"/>
  <c r="H121" i="26" s="1"/>
  <c r="G117" i="26"/>
  <c r="I117" i="26" s="1"/>
  <c r="F117" i="26"/>
  <c r="H117" i="26" s="1"/>
  <c r="G113" i="26"/>
  <c r="I113" i="26" s="1"/>
  <c r="F113" i="26"/>
  <c r="H113" i="26" s="1"/>
  <c r="G109" i="26"/>
  <c r="I109" i="26" s="1"/>
  <c r="F109" i="26"/>
  <c r="H109" i="26" s="1"/>
  <c r="G105" i="26"/>
  <c r="I105" i="26" s="1"/>
  <c r="F105" i="26"/>
  <c r="H105" i="26" s="1"/>
  <c r="G101" i="26"/>
  <c r="I101" i="26" s="1"/>
  <c r="F101" i="26"/>
  <c r="H101" i="26" s="1"/>
  <c r="G97" i="26"/>
  <c r="I97" i="26" s="1"/>
  <c r="F97" i="26"/>
  <c r="H97" i="26" s="1"/>
  <c r="G93" i="26"/>
  <c r="I93" i="26" s="1"/>
  <c r="F93" i="26"/>
  <c r="H93" i="26" s="1"/>
  <c r="G89" i="26"/>
  <c r="I89" i="26" s="1"/>
  <c r="I58" i="2" s="1"/>
  <c r="F89" i="26"/>
  <c r="H89" i="26" s="1"/>
  <c r="G85" i="26"/>
  <c r="I85" i="26" s="1"/>
  <c r="F85" i="26"/>
  <c r="H85" i="26" s="1"/>
  <c r="G81" i="26"/>
  <c r="I81" i="26" s="1"/>
  <c r="F81" i="26"/>
  <c r="H81" i="26" s="1"/>
  <c r="G77" i="26"/>
  <c r="I77" i="26" s="1"/>
  <c r="F77" i="26"/>
  <c r="H77" i="26" s="1"/>
  <c r="G73" i="26"/>
  <c r="I73" i="26" s="1"/>
  <c r="I121" i="2" s="1"/>
  <c r="F73" i="26"/>
  <c r="H73" i="26" s="1"/>
  <c r="G69" i="26"/>
  <c r="I69" i="26" s="1"/>
  <c r="I37" i="2" s="1"/>
  <c r="F69" i="26"/>
  <c r="H69" i="26" s="1"/>
  <c r="G65" i="26"/>
  <c r="I65" i="26" s="1"/>
  <c r="F65" i="26"/>
  <c r="H65" i="26" s="1"/>
  <c r="G61" i="26"/>
  <c r="I61" i="26" s="1"/>
  <c r="F61" i="26"/>
  <c r="H61" i="26" s="1"/>
  <c r="G57" i="26"/>
  <c r="I57" i="26" s="1"/>
  <c r="F57" i="26"/>
  <c r="H57" i="26" s="1"/>
  <c r="G53" i="26"/>
  <c r="I53" i="26" s="1"/>
  <c r="F53" i="26"/>
  <c r="H53" i="26" s="1"/>
  <c r="G49" i="26"/>
  <c r="I49" i="26" s="1"/>
  <c r="F49" i="26"/>
  <c r="H49" i="26" s="1"/>
  <c r="G45" i="26"/>
  <c r="I45" i="26" s="1"/>
  <c r="F45" i="26"/>
  <c r="H45" i="26" s="1"/>
  <c r="G41" i="26"/>
  <c r="I41" i="26" s="1"/>
  <c r="F41" i="26"/>
  <c r="H41" i="26" s="1"/>
  <c r="G37" i="26"/>
  <c r="I37" i="26" s="1"/>
  <c r="F37" i="26"/>
  <c r="H37" i="26" s="1"/>
  <c r="G33" i="26"/>
  <c r="I33" i="26" s="1"/>
  <c r="F33" i="26"/>
  <c r="H33" i="26" s="1"/>
  <c r="G29" i="26"/>
  <c r="I29" i="26" s="1"/>
  <c r="F29" i="26"/>
  <c r="H29" i="26" s="1"/>
  <c r="G25" i="26"/>
  <c r="I25" i="26" s="1"/>
  <c r="F25" i="26"/>
  <c r="H25" i="26" s="1"/>
  <c r="G21" i="26"/>
  <c r="I21" i="26" s="1"/>
  <c r="I30" i="2" s="1"/>
  <c r="F21" i="26"/>
  <c r="H21" i="26" s="1"/>
  <c r="G17" i="26"/>
  <c r="I17" i="26" s="1"/>
  <c r="F17" i="26"/>
  <c r="H17" i="26" s="1"/>
  <c r="G1721" i="26"/>
  <c r="I1721" i="26" s="1"/>
  <c r="F1721" i="26"/>
  <c r="H1721" i="26" s="1"/>
  <c r="G1713" i="26"/>
  <c r="I1713" i="26" s="1"/>
  <c r="F1713" i="26"/>
  <c r="H1713" i="26" s="1"/>
  <c r="G1728" i="26"/>
  <c r="I1728" i="26" s="1"/>
  <c r="F1728" i="26"/>
  <c r="H1728" i="26" s="1"/>
  <c r="G1724" i="26"/>
  <c r="I1724" i="26" s="1"/>
  <c r="F1724" i="26"/>
  <c r="H1724" i="26" s="1"/>
  <c r="G1720" i="26"/>
  <c r="I1720" i="26" s="1"/>
  <c r="F1720" i="26"/>
  <c r="H1720" i="26" s="1"/>
  <c r="G1716" i="26"/>
  <c r="I1716" i="26" s="1"/>
  <c r="F1716" i="26"/>
  <c r="H1716" i="26" s="1"/>
  <c r="G1712" i="26"/>
  <c r="I1712" i="26" s="1"/>
  <c r="F1712" i="26"/>
  <c r="H1712" i="26" s="1"/>
  <c r="G1708" i="26"/>
  <c r="I1708" i="26" s="1"/>
  <c r="F1708" i="26"/>
  <c r="H1708" i="26" s="1"/>
  <c r="G1704" i="26"/>
  <c r="I1704" i="26" s="1"/>
  <c r="F1704" i="26"/>
  <c r="H1704" i="26" s="1"/>
  <c r="G1700" i="26"/>
  <c r="I1700" i="26" s="1"/>
  <c r="F1700" i="26"/>
  <c r="H1700" i="26" s="1"/>
  <c r="G1696" i="26"/>
  <c r="I1696" i="26" s="1"/>
  <c r="F1696" i="26"/>
  <c r="H1696" i="26" s="1"/>
  <c r="G1692" i="26"/>
  <c r="I1692" i="26" s="1"/>
  <c r="F1692" i="26"/>
  <c r="H1692" i="26" s="1"/>
  <c r="G1688" i="26"/>
  <c r="I1688" i="26" s="1"/>
  <c r="F1688" i="26"/>
  <c r="H1688" i="26" s="1"/>
  <c r="G1684" i="26"/>
  <c r="I1684" i="26" s="1"/>
  <c r="F1684" i="26"/>
  <c r="H1684" i="26" s="1"/>
  <c r="G1680" i="26"/>
  <c r="I1680" i="26" s="1"/>
  <c r="F1680" i="26"/>
  <c r="H1680" i="26" s="1"/>
  <c r="G1676" i="26"/>
  <c r="I1676" i="26" s="1"/>
  <c r="F1676" i="26"/>
  <c r="H1676" i="26" s="1"/>
  <c r="G1672" i="26"/>
  <c r="I1672" i="26" s="1"/>
  <c r="F1672" i="26"/>
  <c r="H1672" i="26" s="1"/>
  <c r="G1668" i="26"/>
  <c r="I1668" i="26" s="1"/>
  <c r="F1668" i="26"/>
  <c r="H1668" i="26" s="1"/>
  <c r="G1664" i="26"/>
  <c r="I1664" i="26" s="1"/>
  <c r="F1664" i="26"/>
  <c r="H1664" i="26" s="1"/>
  <c r="G1660" i="26"/>
  <c r="I1660" i="26" s="1"/>
  <c r="F1660" i="26"/>
  <c r="H1660" i="26" s="1"/>
  <c r="G1656" i="26"/>
  <c r="I1656" i="26" s="1"/>
  <c r="F1656" i="26"/>
  <c r="H1656" i="26" s="1"/>
  <c r="G1652" i="26"/>
  <c r="I1652" i="26" s="1"/>
  <c r="F1652" i="26"/>
  <c r="H1652" i="26" s="1"/>
  <c r="G1648" i="26"/>
  <c r="I1648" i="26" s="1"/>
  <c r="F1648" i="26"/>
  <c r="H1648" i="26" s="1"/>
  <c r="G1644" i="26"/>
  <c r="I1644" i="26" s="1"/>
  <c r="F1644" i="26"/>
  <c r="H1644" i="26" s="1"/>
  <c r="G1640" i="26"/>
  <c r="I1640" i="26" s="1"/>
  <c r="F1640" i="26"/>
  <c r="H1640" i="26" s="1"/>
  <c r="G1636" i="26"/>
  <c r="I1636" i="26" s="1"/>
  <c r="F1636" i="26"/>
  <c r="H1636" i="26" s="1"/>
  <c r="G1632" i="26"/>
  <c r="I1632" i="26" s="1"/>
  <c r="F1632" i="26"/>
  <c r="H1632" i="26" s="1"/>
  <c r="G1628" i="26"/>
  <c r="I1628" i="26" s="1"/>
  <c r="I24" i="2" s="1"/>
  <c r="F1628" i="26"/>
  <c r="H1628" i="26" s="1"/>
  <c r="G1624" i="26"/>
  <c r="I1624" i="26" s="1"/>
  <c r="F1624" i="26"/>
  <c r="H1624" i="26" s="1"/>
  <c r="G1620" i="26"/>
  <c r="I1620" i="26" s="1"/>
  <c r="F1620" i="26"/>
  <c r="H1620" i="26" s="1"/>
  <c r="G1616" i="26"/>
  <c r="I1616" i="26" s="1"/>
  <c r="F1616" i="26"/>
  <c r="H1616" i="26" s="1"/>
  <c r="G1612" i="26"/>
  <c r="I1612" i="26" s="1"/>
  <c r="F1612" i="26"/>
  <c r="H1612" i="26" s="1"/>
  <c r="G1608" i="26"/>
  <c r="I1608" i="26" s="1"/>
  <c r="F1608" i="26"/>
  <c r="H1608" i="26" s="1"/>
  <c r="G1604" i="26"/>
  <c r="I1604" i="26" s="1"/>
  <c r="F1604" i="26"/>
  <c r="H1604" i="26" s="1"/>
  <c r="G1600" i="26"/>
  <c r="I1600" i="26" s="1"/>
  <c r="F1600" i="26"/>
  <c r="H1600" i="26" s="1"/>
  <c r="G1596" i="26"/>
  <c r="I1596" i="26" s="1"/>
  <c r="F1596" i="26"/>
  <c r="H1596" i="26" s="1"/>
  <c r="G1592" i="26"/>
  <c r="I1592" i="26" s="1"/>
  <c r="F1592" i="26"/>
  <c r="H1592" i="26" s="1"/>
  <c r="G1588" i="26"/>
  <c r="I1588" i="26" s="1"/>
  <c r="F1588" i="26"/>
  <c r="H1588" i="26" s="1"/>
  <c r="G1584" i="26"/>
  <c r="I1584" i="26" s="1"/>
  <c r="F1584" i="26"/>
  <c r="H1584" i="26" s="1"/>
  <c r="G1580" i="26"/>
  <c r="I1580" i="26" s="1"/>
  <c r="F1580" i="26"/>
  <c r="H1580" i="26" s="1"/>
  <c r="G1576" i="26"/>
  <c r="I1576" i="26" s="1"/>
  <c r="F1576" i="26"/>
  <c r="H1576" i="26" s="1"/>
  <c r="G1572" i="26"/>
  <c r="I1572" i="26" s="1"/>
  <c r="F1572" i="26"/>
  <c r="H1572" i="26" s="1"/>
  <c r="G1568" i="26"/>
  <c r="I1568" i="26" s="1"/>
  <c r="F1568" i="26"/>
  <c r="H1568" i="26" s="1"/>
  <c r="G1564" i="26"/>
  <c r="I1564" i="26" s="1"/>
  <c r="F1564" i="26"/>
  <c r="H1564" i="26" s="1"/>
  <c r="G1560" i="26"/>
  <c r="I1560" i="26" s="1"/>
  <c r="I52" i="2" s="1"/>
  <c r="F1560" i="26"/>
  <c r="H1560" i="26" s="1"/>
  <c r="G1556" i="26"/>
  <c r="I1556" i="26" s="1"/>
  <c r="F1556" i="26"/>
  <c r="H1556" i="26" s="1"/>
  <c r="G1552" i="26"/>
  <c r="I1552" i="26" s="1"/>
  <c r="F1552" i="26"/>
  <c r="H1552" i="26" s="1"/>
  <c r="G1548" i="26"/>
  <c r="I1548" i="26" s="1"/>
  <c r="F1548" i="26"/>
  <c r="H1548" i="26" s="1"/>
  <c r="G1544" i="26"/>
  <c r="I1544" i="26" s="1"/>
  <c r="F1544" i="26"/>
  <c r="H1544" i="26" s="1"/>
  <c r="G1540" i="26"/>
  <c r="I1540" i="26" s="1"/>
  <c r="F1540" i="26"/>
  <c r="H1540" i="26" s="1"/>
  <c r="G1536" i="26"/>
  <c r="I1536" i="26" s="1"/>
  <c r="F1536" i="26"/>
  <c r="H1536" i="26" s="1"/>
  <c r="G1532" i="26"/>
  <c r="I1532" i="26" s="1"/>
  <c r="F1532" i="26"/>
  <c r="H1532" i="26" s="1"/>
  <c r="G1528" i="26"/>
  <c r="I1528" i="26" s="1"/>
  <c r="F1528" i="26"/>
  <c r="H1528" i="26" s="1"/>
  <c r="G1524" i="26"/>
  <c r="I1524" i="26" s="1"/>
  <c r="F1524" i="26"/>
  <c r="H1524" i="26" s="1"/>
  <c r="G1520" i="26"/>
  <c r="I1520" i="26" s="1"/>
  <c r="F1520" i="26"/>
  <c r="H1520" i="26" s="1"/>
  <c r="G1516" i="26"/>
  <c r="I1516" i="26" s="1"/>
  <c r="F1516" i="26"/>
  <c r="H1516" i="26" s="1"/>
  <c r="G1512" i="26"/>
  <c r="I1512" i="26" s="1"/>
  <c r="F1512" i="26"/>
  <c r="H1512" i="26" s="1"/>
  <c r="G1508" i="26"/>
  <c r="I1508" i="26" s="1"/>
  <c r="F1508" i="26"/>
  <c r="H1508" i="26" s="1"/>
  <c r="G1504" i="26"/>
  <c r="I1504" i="26" s="1"/>
  <c r="F1504" i="26"/>
  <c r="H1504" i="26" s="1"/>
  <c r="G1500" i="26"/>
  <c r="I1500" i="26" s="1"/>
  <c r="F1500" i="26"/>
  <c r="H1500" i="26" s="1"/>
  <c r="G1496" i="26"/>
  <c r="I1496" i="26" s="1"/>
  <c r="F1496" i="26"/>
  <c r="H1496" i="26" s="1"/>
  <c r="G1492" i="26"/>
  <c r="I1492" i="26" s="1"/>
  <c r="F1492" i="26"/>
  <c r="H1492" i="26" s="1"/>
  <c r="G1488" i="26"/>
  <c r="I1488" i="26" s="1"/>
  <c r="F1488" i="26"/>
  <c r="H1488" i="26" s="1"/>
  <c r="G1484" i="26"/>
  <c r="I1484" i="26" s="1"/>
  <c r="F1484" i="26"/>
  <c r="H1484" i="26" s="1"/>
  <c r="G1480" i="26"/>
  <c r="I1480" i="26" s="1"/>
  <c r="F1480" i="26"/>
  <c r="H1480" i="26" s="1"/>
  <c r="G1476" i="26"/>
  <c r="I1476" i="26" s="1"/>
  <c r="F1476" i="26"/>
  <c r="H1476" i="26" s="1"/>
  <c r="G1472" i="26"/>
  <c r="I1472" i="26" s="1"/>
  <c r="F1472" i="26"/>
  <c r="H1472" i="26" s="1"/>
  <c r="G1468" i="26"/>
  <c r="I1468" i="26" s="1"/>
  <c r="F1468" i="26"/>
  <c r="H1468" i="26" s="1"/>
  <c r="G1464" i="26"/>
  <c r="I1464" i="26" s="1"/>
  <c r="F1464" i="26"/>
  <c r="H1464" i="26" s="1"/>
  <c r="G1460" i="26"/>
  <c r="I1460" i="26" s="1"/>
  <c r="F1460" i="26"/>
  <c r="H1460" i="26" s="1"/>
  <c r="G1456" i="26"/>
  <c r="I1456" i="26" s="1"/>
  <c r="F1456" i="26"/>
  <c r="H1456" i="26" s="1"/>
  <c r="G1452" i="26"/>
  <c r="I1452" i="26" s="1"/>
  <c r="F1452" i="26"/>
  <c r="H1452" i="26" s="1"/>
  <c r="G1448" i="26"/>
  <c r="I1448" i="26" s="1"/>
  <c r="F1448" i="26"/>
  <c r="H1448" i="26" s="1"/>
  <c r="G1444" i="26"/>
  <c r="I1444" i="26" s="1"/>
  <c r="F1444" i="26"/>
  <c r="H1444" i="26" s="1"/>
  <c r="G1440" i="26"/>
  <c r="I1440" i="26" s="1"/>
  <c r="F1440" i="26"/>
  <c r="H1440" i="26" s="1"/>
  <c r="G1436" i="26"/>
  <c r="I1436" i="26" s="1"/>
  <c r="F1436" i="26"/>
  <c r="H1436" i="26" s="1"/>
  <c r="G1432" i="26"/>
  <c r="I1432" i="26" s="1"/>
  <c r="F1432" i="26"/>
  <c r="H1432" i="26" s="1"/>
  <c r="G1428" i="26"/>
  <c r="I1428" i="26" s="1"/>
  <c r="F1428" i="26"/>
  <c r="H1428" i="26" s="1"/>
  <c r="G1424" i="26"/>
  <c r="I1424" i="26" s="1"/>
  <c r="F1424" i="26"/>
  <c r="H1424" i="26" s="1"/>
  <c r="G1420" i="26"/>
  <c r="I1420" i="26" s="1"/>
  <c r="F1420" i="26"/>
  <c r="H1420" i="26" s="1"/>
  <c r="G1416" i="26"/>
  <c r="I1416" i="26" s="1"/>
  <c r="F1416" i="26"/>
  <c r="H1416" i="26" s="1"/>
  <c r="G1412" i="26"/>
  <c r="I1412" i="26" s="1"/>
  <c r="F1412" i="26"/>
  <c r="H1412" i="26" s="1"/>
  <c r="G1408" i="26"/>
  <c r="I1408" i="26" s="1"/>
  <c r="F1408" i="26"/>
  <c r="H1408" i="26" s="1"/>
  <c r="G1404" i="26"/>
  <c r="I1404" i="26" s="1"/>
  <c r="F1404" i="26"/>
  <c r="H1404" i="26" s="1"/>
  <c r="G1400" i="26"/>
  <c r="I1400" i="26" s="1"/>
  <c r="I43" i="2" s="1"/>
  <c r="F1400" i="26"/>
  <c r="H1400" i="26" s="1"/>
  <c r="G1396" i="26"/>
  <c r="I1396" i="26" s="1"/>
  <c r="F1396" i="26"/>
  <c r="H1396" i="26" s="1"/>
  <c r="G1392" i="26"/>
  <c r="I1392" i="26" s="1"/>
  <c r="F1392" i="26"/>
  <c r="H1392" i="26" s="1"/>
  <c r="G1388" i="26"/>
  <c r="I1388" i="26" s="1"/>
  <c r="F1388" i="26"/>
  <c r="H1388" i="26" s="1"/>
  <c r="G1384" i="26"/>
  <c r="I1384" i="26" s="1"/>
  <c r="I35" i="2" s="1"/>
  <c r="F1384" i="26"/>
  <c r="H1384" i="26" s="1"/>
  <c r="G1380" i="26"/>
  <c r="I1380" i="26" s="1"/>
  <c r="F1380" i="26"/>
  <c r="H1380" i="26" s="1"/>
  <c r="G1376" i="26"/>
  <c r="I1376" i="26" s="1"/>
  <c r="F1376" i="26"/>
  <c r="H1376" i="26" s="1"/>
  <c r="G1372" i="26"/>
  <c r="I1372" i="26" s="1"/>
  <c r="F1372" i="26"/>
  <c r="H1372" i="26" s="1"/>
  <c r="G1368" i="26"/>
  <c r="I1368" i="26" s="1"/>
  <c r="F1368" i="26"/>
  <c r="H1368" i="26" s="1"/>
  <c r="G1364" i="26"/>
  <c r="I1364" i="26" s="1"/>
  <c r="F1364" i="26"/>
  <c r="H1364" i="26" s="1"/>
  <c r="G1360" i="26"/>
  <c r="I1360" i="26" s="1"/>
  <c r="F1360" i="26"/>
  <c r="H1360" i="26" s="1"/>
  <c r="G1356" i="26"/>
  <c r="I1356" i="26" s="1"/>
  <c r="F1356" i="26"/>
  <c r="H1356" i="26" s="1"/>
  <c r="G1352" i="26"/>
  <c r="I1352" i="26" s="1"/>
  <c r="F1352" i="26"/>
  <c r="H1352" i="26" s="1"/>
  <c r="G1348" i="26"/>
  <c r="I1348" i="26" s="1"/>
  <c r="F1348" i="26"/>
  <c r="H1348" i="26" s="1"/>
  <c r="G1344" i="26"/>
  <c r="I1344" i="26" s="1"/>
  <c r="F1344" i="26"/>
  <c r="H1344" i="26" s="1"/>
  <c r="G1340" i="26"/>
  <c r="I1340" i="26" s="1"/>
  <c r="F1340" i="26"/>
  <c r="H1340" i="26" s="1"/>
  <c r="G1336" i="26"/>
  <c r="I1336" i="26" s="1"/>
  <c r="F1336" i="26"/>
  <c r="H1336" i="26" s="1"/>
  <c r="G1332" i="26"/>
  <c r="I1332" i="26" s="1"/>
  <c r="F1332" i="26"/>
  <c r="H1332" i="26" s="1"/>
  <c r="G1328" i="26"/>
  <c r="I1328" i="26" s="1"/>
  <c r="F1328" i="26"/>
  <c r="H1328" i="26" s="1"/>
  <c r="G1324" i="26"/>
  <c r="I1324" i="26" s="1"/>
  <c r="F1324" i="26"/>
  <c r="H1324" i="26" s="1"/>
  <c r="G1320" i="26"/>
  <c r="I1320" i="26" s="1"/>
  <c r="F1320" i="26"/>
  <c r="H1320" i="26" s="1"/>
  <c r="G1316" i="26"/>
  <c r="I1316" i="26" s="1"/>
  <c r="I48" i="2" s="1"/>
  <c r="F1316" i="26"/>
  <c r="H1316" i="26" s="1"/>
  <c r="G1312" i="26"/>
  <c r="I1312" i="26" s="1"/>
  <c r="F1312" i="26"/>
  <c r="H1312" i="26" s="1"/>
  <c r="G1308" i="26"/>
  <c r="I1308" i="26" s="1"/>
  <c r="F1308" i="26"/>
  <c r="H1308" i="26" s="1"/>
  <c r="G1304" i="26"/>
  <c r="I1304" i="26" s="1"/>
  <c r="F1304" i="26"/>
  <c r="H1304" i="26" s="1"/>
  <c r="G1300" i="26"/>
  <c r="I1300" i="26" s="1"/>
  <c r="F1300" i="26"/>
  <c r="H1300" i="26" s="1"/>
  <c r="G1296" i="26"/>
  <c r="I1296" i="26" s="1"/>
  <c r="F1296" i="26"/>
  <c r="H1296" i="26" s="1"/>
  <c r="G1292" i="26"/>
  <c r="I1292" i="26" s="1"/>
  <c r="F1292" i="26"/>
  <c r="H1292" i="26" s="1"/>
  <c r="G1288" i="26"/>
  <c r="I1288" i="26" s="1"/>
  <c r="F1288" i="26"/>
  <c r="H1288" i="26" s="1"/>
  <c r="G1284" i="26"/>
  <c r="I1284" i="26" s="1"/>
  <c r="F1284" i="26"/>
  <c r="H1284" i="26" s="1"/>
  <c r="G1280" i="26"/>
  <c r="I1280" i="26" s="1"/>
  <c r="F1280" i="26"/>
  <c r="H1280" i="26" s="1"/>
  <c r="G1276" i="26"/>
  <c r="I1276" i="26" s="1"/>
  <c r="F1276" i="26"/>
  <c r="H1276" i="26" s="1"/>
  <c r="G1272" i="26"/>
  <c r="I1272" i="26" s="1"/>
  <c r="F1272" i="26"/>
  <c r="H1272" i="26" s="1"/>
  <c r="G1268" i="26"/>
  <c r="I1268" i="26" s="1"/>
  <c r="F1268" i="26"/>
  <c r="H1268" i="26" s="1"/>
  <c r="G1264" i="26"/>
  <c r="I1264" i="26" s="1"/>
  <c r="F1264" i="26"/>
  <c r="H1264" i="26" s="1"/>
  <c r="G1260" i="26"/>
  <c r="I1260" i="26" s="1"/>
  <c r="F1260" i="26"/>
  <c r="H1260" i="26" s="1"/>
  <c r="G1256" i="26"/>
  <c r="I1256" i="26" s="1"/>
  <c r="F1256" i="26"/>
  <c r="H1256" i="26" s="1"/>
  <c r="G1252" i="26"/>
  <c r="I1252" i="26" s="1"/>
  <c r="F1252" i="26"/>
  <c r="H1252" i="26" s="1"/>
  <c r="G1248" i="26"/>
  <c r="I1248" i="26" s="1"/>
  <c r="F1248" i="26"/>
  <c r="H1248" i="26" s="1"/>
  <c r="G1244" i="26"/>
  <c r="I1244" i="26" s="1"/>
  <c r="F1244" i="26"/>
  <c r="H1244" i="26" s="1"/>
  <c r="G1240" i="26"/>
  <c r="I1240" i="26" s="1"/>
  <c r="F1240" i="26"/>
  <c r="H1240" i="26" s="1"/>
  <c r="G1236" i="26"/>
  <c r="I1236" i="26" s="1"/>
  <c r="F1236" i="26"/>
  <c r="H1236" i="26" s="1"/>
  <c r="G1232" i="26"/>
  <c r="I1232" i="26" s="1"/>
  <c r="F1232" i="26"/>
  <c r="H1232" i="26" s="1"/>
  <c r="G1228" i="26"/>
  <c r="I1228" i="26" s="1"/>
  <c r="F1228" i="26"/>
  <c r="H1228" i="26" s="1"/>
  <c r="G1224" i="26"/>
  <c r="I1224" i="26" s="1"/>
  <c r="F1224" i="26"/>
  <c r="H1224" i="26" s="1"/>
  <c r="G1220" i="26"/>
  <c r="I1220" i="26" s="1"/>
  <c r="F1220" i="26"/>
  <c r="H1220" i="26" s="1"/>
  <c r="G1216" i="26"/>
  <c r="I1216" i="26" s="1"/>
  <c r="F1216" i="26"/>
  <c r="H1216" i="26" s="1"/>
  <c r="G1212" i="26"/>
  <c r="I1212" i="26" s="1"/>
  <c r="I81" i="2" s="1"/>
  <c r="F1212" i="26"/>
  <c r="H1212" i="26" s="1"/>
  <c r="G1208" i="26"/>
  <c r="I1208" i="26" s="1"/>
  <c r="F1208" i="26"/>
  <c r="H1208" i="26" s="1"/>
  <c r="G1204" i="26"/>
  <c r="I1204" i="26" s="1"/>
  <c r="F1204" i="26"/>
  <c r="H1204" i="26" s="1"/>
  <c r="G1200" i="26"/>
  <c r="I1200" i="26" s="1"/>
  <c r="F1200" i="26"/>
  <c r="H1200" i="26" s="1"/>
  <c r="G1196" i="26"/>
  <c r="I1196" i="26" s="1"/>
  <c r="F1196" i="26"/>
  <c r="H1196" i="26" s="1"/>
  <c r="G1192" i="26"/>
  <c r="I1192" i="26" s="1"/>
  <c r="F1192" i="26"/>
  <c r="H1192" i="26" s="1"/>
  <c r="G1188" i="26"/>
  <c r="I1188" i="26" s="1"/>
  <c r="F1188" i="26"/>
  <c r="H1188" i="26" s="1"/>
  <c r="G1184" i="26"/>
  <c r="I1184" i="26" s="1"/>
  <c r="F1184" i="26"/>
  <c r="H1184" i="26" s="1"/>
  <c r="G1180" i="26"/>
  <c r="I1180" i="26" s="1"/>
  <c r="F1180" i="26"/>
  <c r="H1180" i="26" s="1"/>
  <c r="G1176" i="26"/>
  <c r="I1176" i="26" s="1"/>
  <c r="F1176" i="26"/>
  <c r="H1176" i="26" s="1"/>
  <c r="G1172" i="26"/>
  <c r="I1172" i="26" s="1"/>
  <c r="F1172" i="26"/>
  <c r="H1172" i="26" s="1"/>
  <c r="G1168" i="26"/>
  <c r="I1168" i="26" s="1"/>
  <c r="F1168" i="26"/>
  <c r="H1168" i="26" s="1"/>
  <c r="G1164" i="26"/>
  <c r="I1164" i="26" s="1"/>
  <c r="F1164" i="26"/>
  <c r="H1164" i="26" s="1"/>
  <c r="G1160" i="26"/>
  <c r="I1160" i="26" s="1"/>
  <c r="F1160" i="26"/>
  <c r="H1160" i="26" s="1"/>
  <c r="G1156" i="26"/>
  <c r="I1156" i="26" s="1"/>
  <c r="F1156" i="26"/>
  <c r="H1156" i="26" s="1"/>
  <c r="G1152" i="26"/>
  <c r="I1152" i="26" s="1"/>
  <c r="F1152" i="26"/>
  <c r="H1152" i="26" s="1"/>
  <c r="G1148" i="26"/>
  <c r="I1148" i="26" s="1"/>
  <c r="F1148" i="26"/>
  <c r="H1148" i="26" s="1"/>
  <c r="G1144" i="26"/>
  <c r="I1144" i="26" s="1"/>
  <c r="F1144" i="26"/>
  <c r="H1144" i="26" s="1"/>
  <c r="G1140" i="26"/>
  <c r="I1140" i="26" s="1"/>
  <c r="F1140" i="26"/>
  <c r="H1140" i="26" s="1"/>
  <c r="G1136" i="26"/>
  <c r="I1136" i="26" s="1"/>
  <c r="F1136" i="26"/>
  <c r="H1136" i="26" s="1"/>
  <c r="G1132" i="26"/>
  <c r="I1132" i="26" s="1"/>
  <c r="F1132" i="26"/>
  <c r="H1132" i="26" s="1"/>
  <c r="G1128" i="26"/>
  <c r="I1128" i="26" s="1"/>
  <c r="F1128" i="26"/>
  <c r="H1128" i="26" s="1"/>
  <c r="G1124" i="26"/>
  <c r="I1124" i="26" s="1"/>
  <c r="F1124" i="26"/>
  <c r="H1124" i="26" s="1"/>
  <c r="G1120" i="26"/>
  <c r="I1120" i="26" s="1"/>
  <c r="F1120" i="26"/>
  <c r="H1120" i="26" s="1"/>
  <c r="G1116" i="26"/>
  <c r="I1116" i="26" s="1"/>
  <c r="F1116" i="26"/>
  <c r="H1116" i="26" s="1"/>
  <c r="G1112" i="26"/>
  <c r="I1112" i="26" s="1"/>
  <c r="F1112" i="26"/>
  <c r="H1112" i="26" s="1"/>
  <c r="G1108" i="26"/>
  <c r="I1108" i="26" s="1"/>
  <c r="F1108" i="26"/>
  <c r="H1108" i="26" s="1"/>
  <c r="G1104" i="26"/>
  <c r="I1104" i="26" s="1"/>
  <c r="F1104" i="26"/>
  <c r="H1104" i="26" s="1"/>
  <c r="G1100" i="26"/>
  <c r="I1100" i="26" s="1"/>
  <c r="F1100" i="26"/>
  <c r="H1100" i="26" s="1"/>
  <c r="G1096" i="26"/>
  <c r="I1096" i="26" s="1"/>
  <c r="F1096" i="26"/>
  <c r="H1096" i="26" s="1"/>
  <c r="G1092" i="26"/>
  <c r="I1092" i="26" s="1"/>
  <c r="F1092" i="26"/>
  <c r="H1092" i="26" s="1"/>
  <c r="G1088" i="26"/>
  <c r="I1088" i="26" s="1"/>
  <c r="F1088" i="26"/>
  <c r="H1088" i="26" s="1"/>
  <c r="G1084" i="26"/>
  <c r="I1084" i="26" s="1"/>
  <c r="F1084" i="26"/>
  <c r="H1084" i="26" s="1"/>
  <c r="G1080" i="26"/>
  <c r="I1080" i="26" s="1"/>
  <c r="F1080" i="26"/>
  <c r="H1080" i="26" s="1"/>
  <c r="G1076" i="26"/>
  <c r="I1076" i="26" s="1"/>
  <c r="F1076" i="26"/>
  <c r="H1076" i="26" s="1"/>
  <c r="G1072" i="26"/>
  <c r="I1072" i="26" s="1"/>
  <c r="F1072" i="26"/>
  <c r="H1072" i="26" s="1"/>
  <c r="G1068" i="26"/>
  <c r="I1068" i="26" s="1"/>
  <c r="F1068" i="26"/>
  <c r="H1068" i="26" s="1"/>
  <c r="G1064" i="26"/>
  <c r="I1064" i="26" s="1"/>
  <c r="F1064" i="26"/>
  <c r="H1064" i="26" s="1"/>
  <c r="G1060" i="26"/>
  <c r="I1060" i="26" s="1"/>
  <c r="F1060" i="26"/>
  <c r="H1060" i="26" s="1"/>
  <c r="G1056" i="26"/>
  <c r="I1056" i="26" s="1"/>
  <c r="I19" i="2" s="1"/>
  <c r="F1056" i="26"/>
  <c r="H1056" i="26" s="1"/>
  <c r="G1052" i="26"/>
  <c r="I1052" i="26" s="1"/>
  <c r="F1052" i="26"/>
  <c r="H1052" i="26" s="1"/>
  <c r="G1048" i="26"/>
  <c r="I1048" i="26" s="1"/>
  <c r="F1048" i="26"/>
  <c r="H1048" i="26" s="1"/>
  <c r="G1044" i="26"/>
  <c r="I1044" i="26" s="1"/>
  <c r="F1044" i="26"/>
  <c r="H1044" i="26" s="1"/>
  <c r="G1040" i="26"/>
  <c r="I1040" i="26" s="1"/>
  <c r="I70" i="2" s="1"/>
  <c r="F1040" i="26"/>
  <c r="H1040" i="26" s="1"/>
  <c r="G1036" i="26"/>
  <c r="I1036" i="26" s="1"/>
  <c r="F1036" i="26"/>
  <c r="H1036" i="26" s="1"/>
  <c r="G1032" i="26"/>
  <c r="I1032" i="26" s="1"/>
  <c r="F1032" i="26"/>
  <c r="H1032" i="26" s="1"/>
  <c r="G1028" i="26"/>
  <c r="I1028" i="26" s="1"/>
  <c r="F1028" i="26"/>
  <c r="H1028" i="26" s="1"/>
  <c r="G1024" i="26"/>
  <c r="I1024" i="26" s="1"/>
  <c r="F1024" i="26"/>
  <c r="H1024" i="26" s="1"/>
  <c r="G1020" i="26"/>
  <c r="I1020" i="26" s="1"/>
  <c r="F1020" i="26"/>
  <c r="H1020" i="26" s="1"/>
  <c r="G1016" i="26"/>
  <c r="I1016" i="26" s="1"/>
  <c r="F1016" i="26"/>
  <c r="H1016" i="26" s="1"/>
  <c r="G1012" i="26"/>
  <c r="I1012" i="26" s="1"/>
  <c r="F1012" i="26"/>
  <c r="H1012" i="26" s="1"/>
  <c r="G1008" i="26"/>
  <c r="I1008" i="26" s="1"/>
  <c r="F1008" i="26"/>
  <c r="H1008" i="26" s="1"/>
  <c r="G1004" i="26"/>
  <c r="I1004" i="26" s="1"/>
  <c r="F1004" i="26"/>
  <c r="H1004" i="26" s="1"/>
  <c r="G1000" i="26"/>
  <c r="I1000" i="26" s="1"/>
  <c r="F1000" i="26"/>
  <c r="H1000" i="26" s="1"/>
  <c r="G996" i="26"/>
  <c r="I996" i="26" s="1"/>
  <c r="F996" i="26"/>
  <c r="H996" i="26" s="1"/>
  <c r="G992" i="26"/>
  <c r="I992" i="26" s="1"/>
  <c r="F992" i="26"/>
  <c r="H992" i="26" s="1"/>
  <c r="G988" i="26"/>
  <c r="I988" i="26" s="1"/>
  <c r="F988" i="26"/>
  <c r="H988" i="26" s="1"/>
  <c r="G984" i="26"/>
  <c r="I984" i="26" s="1"/>
  <c r="I14" i="2" s="1"/>
  <c r="F984" i="26"/>
  <c r="H984" i="26" s="1"/>
  <c r="G980" i="26"/>
  <c r="I980" i="26" s="1"/>
  <c r="F980" i="26"/>
  <c r="H980" i="26" s="1"/>
  <c r="G976" i="26"/>
  <c r="I976" i="26" s="1"/>
  <c r="F976" i="26"/>
  <c r="H976" i="26" s="1"/>
  <c r="G972" i="26"/>
  <c r="I972" i="26" s="1"/>
  <c r="F972" i="26"/>
  <c r="H972" i="26" s="1"/>
  <c r="G968" i="26"/>
  <c r="I968" i="26" s="1"/>
  <c r="F968" i="26"/>
  <c r="H968" i="26" s="1"/>
  <c r="G964" i="26"/>
  <c r="I964" i="26" s="1"/>
  <c r="F964" i="26"/>
  <c r="H964" i="26" s="1"/>
  <c r="G960" i="26"/>
  <c r="I960" i="26" s="1"/>
  <c r="I95" i="2" s="1"/>
  <c r="F960" i="26"/>
  <c r="H960" i="26" s="1"/>
  <c r="G956" i="26"/>
  <c r="I956" i="26" s="1"/>
  <c r="F956" i="26"/>
  <c r="H956" i="26" s="1"/>
  <c r="G952" i="26"/>
  <c r="I952" i="26" s="1"/>
  <c r="F952" i="26"/>
  <c r="H952" i="26" s="1"/>
  <c r="G948" i="26"/>
  <c r="I948" i="26" s="1"/>
  <c r="F948" i="26"/>
  <c r="H948" i="26" s="1"/>
  <c r="G944" i="26"/>
  <c r="I944" i="26" s="1"/>
  <c r="F944" i="26"/>
  <c r="H944" i="26" s="1"/>
  <c r="G940" i="26"/>
  <c r="I940" i="26" s="1"/>
  <c r="F940" i="26"/>
  <c r="H940" i="26" s="1"/>
  <c r="G936" i="26"/>
  <c r="I936" i="26" s="1"/>
  <c r="F936" i="26"/>
  <c r="H936" i="26" s="1"/>
  <c r="G932" i="26"/>
  <c r="I932" i="26" s="1"/>
  <c r="I36" i="2" s="1"/>
  <c r="F932" i="26"/>
  <c r="H932" i="26" s="1"/>
  <c r="G928" i="26"/>
  <c r="I928" i="26" s="1"/>
  <c r="F928" i="26"/>
  <c r="H928" i="26" s="1"/>
  <c r="G924" i="26"/>
  <c r="I924" i="26" s="1"/>
  <c r="F924" i="26"/>
  <c r="H924" i="26" s="1"/>
  <c r="G920" i="26"/>
  <c r="I920" i="26" s="1"/>
  <c r="F920" i="26"/>
  <c r="H920" i="26" s="1"/>
  <c r="G916" i="26"/>
  <c r="I916" i="26" s="1"/>
  <c r="F916" i="26"/>
  <c r="H916" i="26" s="1"/>
  <c r="G912" i="26"/>
  <c r="I912" i="26" s="1"/>
  <c r="F912" i="26"/>
  <c r="H912" i="26" s="1"/>
  <c r="G908" i="26"/>
  <c r="I908" i="26" s="1"/>
  <c r="F908" i="26"/>
  <c r="H908" i="26" s="1"/>
  <c r="G904" i="26"/>
  <c r="I904" i="26" s="1"/>
  <c r="F904" i="26"/>
  <c r="H904" i="26" s="1"/>
  <c r="G900" i="26"/>
  <c r="I900" i="26" s="1"/>
  <c r="F900" i="26"/>
  <c r="H900" i="26" s="1"/>
  <c r="G896" i="26"/>
  <c r="I896" i="26" s="1"/>
  <c r="F896" i="26"/>
  <c r="H896" i="26" s="1"/>
  <c r="G892" i="26"/>
  <c r="I892" i="26" s="1"/>
  <c r="F892" i="26"/>
  <c r="H892" i="26" s="1"/>
  <c r="G888" i="26"/>
  <c r="I888" i="26" s="1"/>
  <c r="F888" i="26"/>
  <c r="H888" i="26" s="1"/>
  <c r="G884" i="26"/>
  <c r="I884" i="26" s="1"/>
  <c r="F884" i="26"/>
  <c r="H884" i="26" s="1"/>
  <c r="G880" i="26"/>
  <c r="I880" i="26" s="1"/>
  <c r="F880" i="26"/>
  <c r="H880" i="26" s="1"/>
  <c r="G876" i="26"/>
  <c r="I876" i="26" s="1"/>
  <c r="F876" i="26"/>
  <c r="H876" i="26" s="1"/>
  <c r="G872" i="26"/>
  <c r="I872" i="26" s="1"/>
  <c r="F872" i="26"/>
  <c r="H872" i="26" s="1"/>
  <c r="G868" i="26"/>
  <c r="I868" i="26" s="1"/>
  <c r="F868" i="26"/>
  <c r="H868" i="26" s="1"/>
  <c r="G864" i="26"/>
  <c r="I864" i="26" s="1"/>
  <c r="F864" i="26"/>
  <c r="H864" i="26" s="1"/>
  <c r="G860" i="26"/>
  <c r="I860" i="26" s="1"/>
  <c r="F860" i="26"/>
  <c r="H860" i="26" s="1"/>
  <c r="G856" i="26"/>
  <c r="I856" i="26" s="1"/>
  <c r="F856" i="26"/>
  <c r="H856" i="26" s="1"/>
  <c r="G852" i="26"/>
  <c r="I852" i="26" s="1"/>
  <c r="F852" i="26"/>
  <c r="H852" i="26" s="1"/>
  <c r="G848" i="26"/>
  <c r="I848" i="26" s="1"/>
  <c r="F848" i="26"/>
  <c r="H848" i="26" s="1"/>
  <c r="G844" i="26"/>
  <c r="I844" i="26" s="1"/>
  <c r="F844" i="26"/>
  <c r="H844" i="26" s="1"/>
  <c r="G840" i="26"/>
  <c r="I840" i="26" s="1"/>
  <c r="F840" i="26"/>
  <c r="H840" i="26" s="1"/>
  <c r="G836" i="26"/>
  <c r="I836" i="26" s="1"/>
  <c r="F836" i="26"/>
  <c r="H836" i="26" s="1"/>
  <c r="G832" i="26"/>
  <c r="I832" i="26" s="1"/>
  <c r="F832" i="26"/>
  <c r="H832" i="26" s="1"/>
  <c r="G828" i="26"/>
  <c r="I828" i="26" s="1"/>
  <c r="F828" i="26"/>
  <c r="H828" i="26" s="1"/>
  <c r="G824" i="26"/>
  <c r="I824" i="26" s="1"/>
  <c r="F824" i="26"/>
  <c r="H824" i="26" s="1"/>
  <c r="G820" i="26"/>
  <c r="I820" i="26" s="1"/>
  <c r="F820" i="26"/>
  <c r="H820" i="26" s="1"/>
  <c r="G816" i="26"/>
  <c r="I816" i="26" s="1"/>
  <c r="F816" i="26"/>
  <c r="H816" i="26" s="1"/>
  <c r="G812" i="26"/>
  <c r="I812" i="26" s="1"/>
  <c r="F812" i="26"/>
  <c r="H812" i="26" s="1"/>
  <c r="G808" i="26"/>
  <c r="I808" i="26" s="1"/>
  <c r="F808" i="26"/>
  <c r="H808" i="26" s="1"/>
  <c r="G804" i="26"/>
  <c r="I804" i="26" s="1"/>
  <c r="F804" i="26"/>
  <c r="H804" i="26" s="1"/>
  <c r="G800" i="26"/>
  <c r="I800" i="26" s="1"/>
  <c r="F800" i="26"/>
  <c r="H800" i="26" s="1"/>
  <c r="G796" i="26"/>
  <c r="I796" i="26" s="1"/>
  <c r="I98" i="2" s="1"/>
  <c r="F796" i="26"/>
  <c r="H796" i="26" s="1"/>
  <c r="G792" i="26"/>
  <c r="I792" i="26" s="1"/>
  <c r="F792" i="26"/>
  <c r="H792" i="26" s="1"/>
  <c r="G788" i="26"/>
  <c r="I788" i="26" s="1"/>
  <c r="F788" i="26"/>
  <c r="H788" i="26" s="1"/>
  <c r="G784" i="26"/>
  <c r="I784" i="26" s="1"/>
  <c r="F784" i="26"/>
  <c r="H784" i="26" s="1"/>
  <c r="G780" i="26"/>
  <c r="I780" i="26" s="1"/>
  <c r="F780" i="26"/>
  <c r="H780" i="26" s="1"/>
  <c r="G776" i="26"/>
  <c r="I776" i="26" s="1"/>
  <c r="I29" i="2" s="1"/>
  <c r="F776" i="26"/>
  <c r="H776" i="26" s="1"/>
  <c r="G772" i="26"/>
  <c r="I772" i="26" s="1"/>
  <c r="F772" i="26"/>
  <c r="H772" i="26" s="1"/>
  <c r="G768" i="26"/>
  <c r="I768" i="26" s="1"/>
  <c r="F768" i="26"/>
  <c r="H768" i="26" s="1"/>
  <c r="G764" i="26"/>
  <c r="I764" i="26" s="1"/>
  <c r="F764" i="26"/>
  <c r="H764" i="26" s="1"/>
  <c r="G760" i="26"/>
  <c r="I760" i="26" s="1"/>
  <c r="F760" i="26"/>
  <c r="H760" i="26" s="1"/>
  <c r="G756" i="26"/>
  <c r="I756" i="26" s="1"/>
  <c r="F756" i="26"/>
  <c r="H756" i="26" s="1"/>
  <c r="G752" i="26"/>
  <c r="I752" i="26" s="1"/>
  <c r="F752" i="26"/>
  <c r="H752" i="26" s="1"/>
  <c r="G748" i="26"/>
  <c r="I748" i="26" s="1"/>
  <c r="F748" i="26"/>
  <c r="H748" i="26" s="1"/>
  <c r="G744" i="26"/>
  <c r="I744" i="26" s="1"/>
  <c r="F744" i="26"/>
  <c r="H744" i="26" s="1"/>
  <c r="G740" i="26"/>
  <c r="I740" i="26" s="1"/>
  <c r="F740" i="26"/>
  <c r="H740" i="26" s="1"/>
  <c r="G736" i="26"/>
  <c r="I736" i="26" s="1"/>
  <c r="F736" i="26"/>
  <c r="H736" i="26" s="1"/>
  <c r="G732" i="26"/>
  <c r="I732" i="26" s="1"/>
  <c r="F732" i="26"/>
  <c r="H732" i="26" s="1"/>
  <c r="G728" i="26"/>
  <c r="I728" i="26" s="1"/>
  <c r="F728" i="26"/>
  <c r="H728" i="26" s="1"/>
  <c r="G724" i="26"/>
  <c r="I724" i="26" s="1"/>
  <c r="F724" i="26"/>
  <c r="H724" i="26" s="1"/>
  <c r="G720" i="26"/>
  <c r="I720" i="26" s="1"/>
  <c r="F720" i="26"/>
  <c r="H720" i="26" s="1"/>
  <c r="G716" i="26"/>
  <c r="I716" i="26" s="1"/>
  <c r="F716" i="26"/>
  <c r="H716" i="26" s="1"/>
  <c r="G712" i="26"/>
  <c r="I712" i="26" s="1"/>
  <c r="I109" i="2" s="1"/>
  <c r="F712" i="26"/>
  <c r="H712" i="26" s="1"/>
  <c r="G708" i="26"/>
  <c r="I708" i="26" s="1"/>
  <c r="F708" i="26"/>
  <c r="H708" i="26" s="1"/>
  <c r="G704" i="26"/>
  <c r="I704" i="26" s="1"/>
  <c r="F704" i="26"/>
  <c r="H704" i="26" s="1"/>
  <c r="G700" i="26"/>
  <c r="I700" i="26" s="1"/>
  <c r="F700" i="26"/>
  <c r="H700" i="26" s="1"/>
  <c r="G696" i="26"/>
  <c r="I696" i="26" s="1"/>
  <c r="F696" i="26"/>
  <c r="H696" i="26" s="1"/>
  <c r="G692" i="26"/>
  <c r="I692" i="26" s="1"/>
  <c r="F692" i="26"/>
  <c r="H692" i="26" s="1"/>
  <c r="G688" i="26"/>
  <c r="I688" i="26" s="1"/>
  <c r="F688" i="26"/>
  <c r="H688" i="26" s="1"/>
  <c r="G684" i="26"/>
  <c r="I684" i="26" s="1"/>
  <c r="F684" i="26"/>
  <c r="H684" i="26" s="1"/>
  <c r="G680" i="26"/>
  <c r="I680" i="26" s="1"/>
  <c r="F680" i="26"/>
  <c r="H680" i="26" s="1"/>
  <c r="G676" i="26"/>
  <c r="I676" i="26" s="1"/>
  <c r="F676" i="26"/>
  <c r="H676" i="26" s="1"/>
  <c r="G672" i="26"/>
  <c r="I672" i="26" s="1"/>
  <c r="F672" i="26"/>
  <c r="H672" i="26" s="1"/>
  <c r="G668" i="26"/>
  <c r="I668" i="26" s="1"/>
  <c r="F668" i="26"/>
  <c r="H668" i="26" s="1"/>
  <c r="G664" i="26"/>
  <c r="I664" i="26" s="1"/>
  <c r="F664" i="26"/>
  <c r="H664" i="26" s="1"/>
  <c r="G660" i="26"/>
  <c r="I660" i="26" s="1"/>
  <c r="F660" i="26"/>
  <c r="H660" i="26" s="1"/>
  <c r="G656" i="26"/>
  <c r="I656" i="26" s="1"/>
  <c r="F656" i="26"/>
  <c r="H656" i="26" s="1"/>
  <c r="G652" i="26"/>
  <c r="I652" i="26" s="1"/>
  <c r="F652" i="26"/>
  <c r="H652" i="26" s="1"/>
  <c r="G648" i="26"/>
  <c r="I648" i="26" s="1"/>
  <c r="F648" i="26"/>
  <c r="H648" i="26" s="1"/>
  <c r="G644" i="26"/>
  <c r="I644" i="26" s="1"/>
  <c r="F644" i="26"/>
  <c r="H644" i="26" s="1"/>
  <c r="G640" i="26"/>
  <c r="I640" i="26" s="1"/>
  <c r="F640" i="26"/>
  <c r="H640" i="26" s="1"/>
  <c r="G636" i="26"/>
  <c r="I636" i="26" s="1"/>
  <c r="F636" i="26"/>
  <c r="H636" i="26" s="1"/>
  <c r="G632" i="26"/>
  <c r="I632" i="26" s="1"/>
  <c r="F632" i="26"/>
  <c r="H632" i="26" s="1"/>
  <c r="G628" i="26"/>
  <c r="I628" i="26" s="1"/>
  <c r="F628" i="26"/>
  <c r="H628" i="26" s="1"/>
  <c r="G624" i="26"/>
  <c r="I624" i="26" s="1"/>
  <c r="F624" i="26"/>
  <c r="H624" i="26" s="1"/>
  <c r="G620" i="26"/>
  <c r="I620" i="26" s="1"/>
  <c r="F620" i="26"/>
  <c r="H620" i="26" s="1"/>
  <c r="G616" i="26"/>
  <c r="I616" i="26" s="1"/>
  <c r="F616" i="26"/>
  <c r="H616" i="26" s="1"/>
  <c r="G612" i="26"/>
  <c r="I612" i="26" s="1"/>
  <c r="F612" i="26"/>
  <c r="H612" i="26" s="1"/>
  <c r="G608" i="26"/>
  <c r="I608" i="26" s="1"/>
  <c r="F608" i="26"/>
  <c r="H608" i="26" s="1"/>
  <c r="G604" i="26"/>
  <c r="I604" i="26" s="1"/>
  <c r="F604" i="26"/>
  <c r="H604" i="26" s="1"/>
  <c r="G600" i="26"/>
  <c r="I600" i="26" s="1"/>
  <c r="F600" i="26"/>
  <c r="H600" i="26" s="1"/>
  <c r="G596" i="26"/>
  <c r="I596" i="26" s="1"/>
  <c r="F596" i="26"/>
  <c r="H596" i="26" s="1"/>
  <c r="G592" i="26"/>
  <c r="I592" i="26" s="1"/>
  <c r="F592" i="26"/>
  <c r="H592" i="26" s="1"/>
  <c r="G588" i="26"/>
  <c r="I588" i="26" s="1"/>
  <c r="F588" i="26"/>
  <c r="H588" i="26" s="1"/>
  <c r="G584" i="26"/>
  <c r="I584" i="26" s="1"/>
  <c r="F584" i="26"/>
  <c r="H584" i="26" s="1"/>
  <c r="G580" i="26"/>
  <c r="I580" i="26" s="1"/>
  <c r="F580" i="26"/>
  <c r="H580" i="26" s="1"/>
  <c r="G576" i="26"/>
  <c r="I576" i="26" s="1"/>
  <c r="F576" i="26"/>
  <c r="H576" i="26" s="1"/>
  <c r="G572" i="26"/>
  <c r="I572" i="26" s="1"/>
  <c r="F572" i="26"/>
  <c r="H572" i="26" s="1"/>
  <c r="G568" i="26"/>
  <c r="I568" i="26" s="1"/>
  <c r="I96" i="2" s="1"/>
  <c r="F568" i="26"/>
  <c r="H568" i="26" s="1"/>
  <c r="G564" i="26"/>
  <c r="I564" i="26" s="1"/>
  <c r="F564" i="26"/>
  <c r="H564" i="26" s="1"/>
  <c r="G560" i="26"/>
  <c r="I560" i="26" s="1"/>
  <c r="F560" i="26"/>
  <c r="H560" i="26" s="1"/>
  <c r="G556" i="26"/>
  <c r="I556" i="26" s="1"/>
  <c r="F556" i="26"/>
  <c r="H556" i="26" s="1"/>
  <c r="G552" i="26"/>
  <c r="I552" i="26" s="1"/>
  <c r="F552" i="26"/>
  <c r="H552" i="26" s="1"/>
  <c r="G548" i="26"/>
  <c r="I548" i="26" s="1"/>
  <c r="F548" i="26"/>
  <c r="H548" i="26" s="1"/>
  <c r="G544" i="26"/>
  <c r="I544" i="26" s="1"/>
  <c r="F544" i="26"/>
  <c r="H544" i="26" s="1"/>
  <c r="G540" i="26"/>
  <c r="I540" i="26" s="1"/>
  <c r="F540" i="26"/>
  <c r="H540" i="26" s="1"/>
  <c r="G536" i="26"/>
  <c r="I536" i="26" s="1"/>
  <c r="F536" i="26"/>
  <c r="H536" i="26" s="1"/>
  <c r="G532" i="26"/>
  <c r="I532" i="26" s="1"/>
  <c r="F532" i="26"/>
  <c r="H532" i="26" s="1"/>
  <c r="G528" i="26"/>
  <c r="I528" i="26" s="1"/>
  <c r="F528" i="26"/>
  <c r="H528" i="26" s="1"/>
  <c r="G524" i="26"/>
  <c r="I524" i="26" s="1"/>
  <c r="F524" i="26"/>
  <c r="H524" i="26" s="1"/>
  <c r="G520" i="26"/>
  <c r="I520" i="26" s="1"/>
  <c r="F520" i="26"/>
  <c r="H520" i="26" s="1"/>
  <c r="G516" i="26"/>
  <c r="I516" i="26" s="1"/>
  <c r="F516" i="26"/>
  <c r="H516" i="26" s="1"/>
  <c r="G512" i="26"/>
  <c r="I512" i="26" s="1"/>
  <c r="F512" i="26"/>
  <c r="H512" i="26" s="1"/>
  <c r="G508" i="26"/>
  <c r="I508" i="26" s="1"/>
  <c r="F508" i="26"/>
  <c r="H508" i="26" s="1"/>
  <c r="G504" i="26"/>
  <c r="I504" i="26" s="1"/>
  <c r="F504" i="26"/>
  <c r="H504" i="26" s="1"/>
  <c r="G500" i="26"/>
  <c r="I500" i="26" s="1"/>
  <c r="F500" i="26"/>
  <c r="H500" i="26" s="1"/>
  <c r="G496" i="26"/>
  <c r="I496" i="26" s="1"/>
  <c r="F496" i="26"/>
  <c r="H496" i="26" s="1"/>
  <c r="G492" i="26"/>
  <c r="I492" i="26" s="1"/>
  <c r="F492" i="26"/>
  <c r="H492" i="26" s="1"/>
  <c r="G488" i="26"/>
  <c r="I488" i="26" s="1"/>
  <c r="F488" i="26"/>
  <c r="H488" i="26" s="1"/>
  <c r="G484" i="26"/>
  <c r="I484" i="26" s="1"/>
  <c r="F484" i="26"/>
  <c r="H484" i="26" s="1"/>
  <c r="G480" i="26"/>
  <c r="I480" i="26" s="1"/>
  <c r="I94" i="2" s="1"/>
  <c r="F480" i="26"/>
  <c r="H480" i="26" s="1"/>
  <c r="G476" i="26"/>
  <c r="I476" i="26" s="1"/>
  <c r="F476" i="26"/>
  <c r="H476" i="26" s="1"/>
  <c r="G472" i="26"/>
  <c r="I472" i="26" s="1"/>
  <c r="F472" i="26"/>
  <c r="H472" i="26" s="1"/>
  <c r="G468" i="26"/>
  <c r="I468" i="26" s="1"/>
  <c r="I20" i="2" s="1"/>
  <c r="F468" i="26"/>
  <c r="H468" i="26" s="1"/>
  <c r="G464" i="26"/>
  <c r="I464" i="26" s="1"/>
  <c r="F464" i="26"/>
  <c r="H464" i="26" s="1"/>
  <c r="G460" i="26"/>
  <c r="I460" i="26" s="1"/>
  <c r="F460" i="26"/>
  <c r="H460" i="26" s="1"/>
  <c r="G456" i="26"/>
  <c r="I456" i="26" s="1"/>
  <c r="F456" i="26"/>
  <c r="H456" i="26" s="1"/>
  <c r="G452" i="26"/>
  <c r="I452" i="26" s="1"/>
  <c r="F452" i="26"/>
  <c r="H452" i="26" s="1"/>
  <c r="G448" i="26"/>
  <c r="I448" i="26" s="1"/>
  <c r="F448" i="26"/>
  <c r="H448" i="26" s="1"/>
  <c r="G444" i="26"/>
  <c r="I444" i="26" s="1"/>
  <c r="F444" i="26"/>
  <c r="H444" i="26" s="1"/>
  <c r="G440" i="26"/>
  <c r="I440" i="26" s="1"/>
  <c r="F440" i="26"/>
  <c r="H440" i="26" s="1"/>
  <c r="G436" i="26"/>
  <c r="I436" i="26" s="1"/>
  <c r="F436" i="26"/>
  <c r="H436" i="26" s="1"/>
  <c r="G432" i="26"/>
  <c r="I432" i="26" s="1"/>
  <c r="F432" i="26"/>
  <c r="H432" i="26" s="1"/>
  <c r="G428" i="26"/>
  <c r="I428" i="26" s="1"/>
  <c r="F428" i="26"/>
  <c r="H428" i="26" s="1"/>
  <c r="G424" i="26"/>
  <c r="I424" i="26" s="1"/>
  <c r="I47" i="2" s="1"/>
  <c r="F424" i="26"/>
  <c r="H424" i="26" s="1"/>
  <c r="G420" i="26"/>
  <c r="I420" i="26" s="1"/>
  <c r="I42" i="2" s="1"/>
  <c r="F420" i="26"/>
  <c r="H420" i="26" s="1"/>
  <c r="G416" i="26"/>
  <c r="I416" i="26" s="1"/>
  <c r="I26" i="2" s="1"/>
  <c r="F416" i="26"/>
  <c r="H416" i="26" s="1"/>
  <c r="G412" i="26"/>
  <c r="I412" i="26" s="1"/>
  <c r="F412" i="26"/>
  <c r="H412" i="26" s="1"/>
  <c r="G408" i="26"/>
  <c r="I408" i="26" s="1"/>
  <c r="I126" i="2" s="1"/>
  <c r="F408" i="26"/>
  <c r="H408" i="26" s="1"/>
  <c r="G404" i="26"/>
  <c r="I404" i="26" s="1"/>
  <c r="F404" i="26"/>
  <c r="H404" i="26" s="1"/>
  <c r="G400" i="26"/>
  <c r="I400" i="26" s="1"/>
  <c r="F400" i="26"/>
  <c r="H400" i="26" s="1"/>
  <c r="G396" i="26"/>
  <c r="I396" i="26" s="1"/>
  <c r="F396" i="26"/>
  <c r="H396" i="26" s="1"/>
  <c r="G392" i="26"/>
  <c r="I392" i="26" s="1"/>
  <c r="F392" i="26"/>
  <c r="H392" i="26" s="1"/>
  <c r="G388" i="26"/>
  <c r="I388" i="26" s="1"/>
  <c r="F388" i="26"/>
  <c r="H388" i="26" s="1"/>
  <c r="G384" i="26"/>
  <c r="I384" i="26" s="1"/>
  <c r="F384" i="26"/>
  <c r="H384" i="26" s="1"/>
  <c r="G380" i="26"/>
  <c r="I380" i="26" s="1"/>
  <c r="F380" i="26"/>
  <c r="H380" i="26" s="1"/>
  <c r="G376" i="26"/>
  <c r="I376" i="26" s="1"/>
  <c r="F376" i="26"/>
  <c r="H376" i="26" s="1"/>
  <c r="G372" i="26"/>
  <c r="I372" i="26" s="1"/>
  <c r="F372" i="26"/>
  <c r="H372" i="26" s="1"/>
  <c r="G368" i="26"/>
  <c r="I368" i="26" s="1"/>
  <c r="F368" i="26"/>
  <c r="H368" i="26" s="1"/>
  <c r="G364" i="26"/>
  <c r="I364" i="26" s="1"/>
  <c r="F364" i="26"/>
  <c r="H364" i="26" s="1"/>
  <c r="G360" i="26"/>
  <c r="I360" i="26" s="1"/>
  <c r="F360" i="26"/>
  <c r="H360" i="26" s="1"/>
  <c r="G356" i="26"/>
  <c r="I356" i="26" s="1"/>
  <c r="F356" i="26"/>
  <c r="H356" i="26" s="1"/>
  <c r="G352" i="26"/>
  <c r="I352" i="26" s="1"/>
  <c r="F352" i="26"/>
  <c r="H352" i="26" s="1"/>
  <c r="G348" i="26"/>
  <c r="I348" i="26" s="1"/>
  <c r="F348" i="26"/>
  <c r="H348" i="26" s="1"/>
  <c r="G344" i="26"/>
  <c r="I344" i="26" s="1"/>
  <c r="F344" i="26"/>
  <c r="H344" i="26" s="1"/>
  <c r="G340" i="26"/>
  <c r="I340" i="26" s="1"/>
  <c r="F340" i="26"/>
  <c r="H340" i="26" s="1"/>
  <c r="G336" i="26"/>
  <c r="I336" i="26" s="1"/>
  <c r="F336" i="26"/>
  <c r="H336" i="26" s="1"/>
  <c r="G332" i="26"/>
  <c r="I332" i="26" s="1"/>
  <c r="F332" i="26"/>
  <c r="H332" i="26" s="1"/>
  <c r="G328" i="26"/>
  <c r="I328" i="26" s="1"/>
  <c r="F328" i="26"/>
  <c r="H328" i="26" s="1"/>
  <c r="G324" i="26"/>
  <c r="I324" i="26" s="1"/>
  <c r="F324" i="26"/>
  <c r="H324" i="26" s="1"/>
  <c r="G320" i="26"/>
  <c r="I320" i="26" s="1"/>
  <c r="F320" i="26"/>
  <c r="H320" i="26" s="1"/>
  <c r="G316" i="26"/>
  <c r="I316" i="26" s="1"/>
  <c r="F316" i="26"/>
  <c r="H316" i="26" s="1"/>
  <c r="G312" i="26"/>
  <c r="I312" i="26" s="1"/>
  <c r="I99" i="2" s="1"/>
  <c r="F312" i="26"/>
  <c r="H312" i="26" s="1"/>
  <c r="G308" i="26"/>
  <c r="I308" i="26" s="1"/>
  <c r="F308" i="26"/>
  <c r="H308" i="26" s="1"/>
  <c r="G304" i="26"/>
  <c r="I304" i="26" s="1"/>
  <c r="F304" i="26"/>
  <c r="H304" i="26" s="1"/>
  <c r="G300" i="26"/>
  <c r="I300" i="26" s="1"/>
  <c r="F300" i="26"/>
  <c r="H300" i="26" s="1"/>
  <c r="G296" i="26"/>
  <c r="I296" i="26" s="1"/>
  <c r="I131" i="2" s="1"/>
  <c r="F296" i="26"/>
  <c r="H296" i="26" s="1"/>
  <c r="G292" i="26"/>
  <c r="I292" i="26" s="1"/>
  <c r="F292" i="26"/>
  <c r="H292" i="26" s="1"/>
  <c r="G288" i="26"/>
  <c r="I288" i="26" s="1"/>
  <c r="F288" i="26"/>
  <c r="H288" i="26" s="1"/>
  <c r="G284" i="26"/>
  <c r="I284" i="26" s="1"/>
  <c r="F284" i="26"/>
  <c r="H284" i="26" s="1"/>
  <c r="G280" i="26"/>
  <c r="I280" i="26" s="1"/>
  <c r="F280" i="26"/>
  <c r="H280" i="26" s="1"/>
  <c r="G276" i="26"/>
  <c r="I276" i="26" s="1"/>
  <c r="F276" i="26"/>
  <c r="H276" i="26" s="1"/>
  <c r="G272" i="26"/>
  <c r="I272" i="26" s="1"/>
  <c r="F272" i="26"/>
  <c r="H272" i="26" s="1"/>
  <c r="G268" i="26"/>
  <c r="I268" i="26" s="1"/>
  <c r="F268" i="26"/>
  <c r="H268" i="26" s="1"/>
  <c r="G264" i="26"/>
  <c r="I264" i="26" s="1"/>
  <c r="F264" i="26"/>
  <c r="H264" i="26" s="1"/>
  <c r="G260" i="26"/>
  <c r="I260" i="26" s="1"/>
  <c r="F260" i="26"/>
  <c r="H260" i="26" s="1"/>
  <c r="G256" i="26"/>
  <c r="I256" i="26" s="1"/>
  <c r="F256" i="26"/>
  <c r="H256" i="26" s="1"/>
  <c r="G252" i="26"/>
  <c r="I252" i="26" s="1"/>
  <c r="F252" i="26"/>
  <c r="H252" i="26" s="1"/>
  <c r="G248" i="26"/>
  <c r="I248" i="26" s="1"/>
  <c r="F248" i="26"/>
  <c r="H248" i="26" s="1"/>
  <c r="G244" i="26"/>
  <c r="I244" i="26" s="1"/>
  <c r="F244" i="26"/>
  <c r="H244" i="26" s="1"/>
  <c r="G240" i="26"/>
  <c r="I240" i="26" s="1"/>
  <c r="F240" i="26"/>
  <c r="H240" i="26" s="1"/>
  <c r="G236" i="26"/>
  <c r="I236" i="26" s="1"/>
  <c r="F236" i="26"/>
  <c r="H236" i="26" s="1"/>
  <c r="G232" i="26"/>
  <c r="I232" i="26" s="1"/>
  <c r="F232" i="26"/>
  <c r="H232" i="26" s="1"/>
  <c r="G228" i="26"/>
  <c r="I228" i="26" s="1"/>
  <c r="F228" i="26"/>
  <c r="H228" i="26" s="1"/>
  <c r="G224" i="26"/>
  <c r="I224" i="26" s="1"/>
  <c r="F224" i="26"/>
  <c r="H224" i="26" s="1"/>
  <c r="G220" i="26"/>
  <c r="I220" i="26" s="1"/>
  <c r="F220" i="26"/>
  <c r="H220" i="26" s="1"/>
  <c r="G216" i="26"/>
  <c r="I216" i="26" s="1"/>
  <c r="F216" i="26"/>
  <c r="H216" i="26" s="1"/>
  <c r="G212" i="26"/>
  <c r="I212" i="26" s="1"/>
  <c r="F212" i="26"/>
  <c r="H212" i="26" s="1"/>
  <c r="G208" i="26"/>
  <c r="I208" i="26" s="1"/>
  <c r="F208" i="26"/>
  <c r="H208" i="26" s="1"/>
  <c r="G204" i="26"/>
  <c r="I204" i="26" s="1"/>
  <c r="F204" i="26"/>
  <c r="H204" i="26" s="1"/>
  <c r="G200" i="26"/>
  <c r="I200" i="26" s="1"/>
  <c r="F200" i="26"/>
  <c r="H200" i="26" s="1"/>
  <c r="G196" i="26"/>
  <c r="I196" i="26" s="1"/>
  <c r="I114" i="2" s="1"/>
  <c r="F196" i="26"/>
  <c r="H196" i="26" s="1"/>
  <c r="G192" i="26"/>
  <c r="I192" i="26" s="1"/>
  <c r="I79" i="2" s="1"/>
  <c r="F192" i="26"/>
  <c r="H192" i="26" s="1"/>
  <c r="G188" i="26"/>
  <c r="I188" i="26" s="1"/>
  <c r="I56" i="2" s="1"/>
  <c r="F188" i="26"/>
  <c r="H188" i="26" s="1"/>
  <c r="G184" i="26"/>
  <c r="I184" i="26" s="1"/>
  <c r="F184" i="26"/>
  <c r="H184" i="26" s="1"/>
  <c r="G180" i="26"/>
  <c r="I180" i="26" s="1"/>
  <c r="F180" i="26"/>
  <c r="H180" i="26" s="1"/>
  <c r="G176" i="26"/>
  <c r="I176" i="26" s="1"/>
  <c r="F176" i="26"/>
  <c r="H176" i="26" s="1"/>
  <c r="G172" i="26"/>
  <c r="I172" i="26" s="1"/>
  <c r="F172" i="26"/>
  <c r="H172" i="26" s="1"/>
  <c r="G168" i="26"/>
  <c r="I168" i="26" s="1"/>
  <c r="F168" i="26"/>
  <c r="H168" i="26" s="1"/>
  <c r="G164" i="26"/>
  <c r="I164" i="26" s="1"/>
  <c r="F164" i="26"/>
  <c r="H164" i="26" s="1"/>
  <c r="G160" i="26"/>
  <c r="I160" i="26" s="1"/>
  <c r="F160" i="26"/>
  <c r="H160" i="26" s="1"/>
  <c r="G156" i="26"/>
  <c r="I156" i="26" s="1"/>
  <c r="F156" i="26"/>
  <c r="H156" i="26" s="1"/>
  <c r="G152" i="26"/>
  <c r="I152" i="26" s="1"/>
  <c r="F152" i="26"/>
  <c r="H152" i="26" s="1"/>
  <c r="G148" i="26"/>
  <c r="I148" i="26" s="1"/>
  <c r="F148" i="26"/>
  <c r="H148" i="26" s="1"/>
  <c r="G144" i="26"/>
  <c r="I144" i="26" s="1"/>
  <c r="F144" i="26"/>
  <c r="H144" i="26" s="1"/>
  <c r="G140" i="26"/>
  <c r="I140" i="26" s="1"/>
  <c r="F140" i="26"/>
  <c r="H140" i="26" s="1"/>
  <c r="G136" i="26"/>
  <c r="I136" i="26" s="1"/>
  <c r="I89" i="2" s="1"/>
  <c r="F136" i="26"/>
  <c r="H136" i="26" s="1"/>
  <c r="G132" i="26"/>
  <c r="I132" i="26" s="1"/>
  <c r="F132" i="26"/>
  <c r="H132" i="26" s="1"/>
  <c r="G128" i="26"/>
  <c r="I128" i="26" s="1"/>
  <c r="F128" i="26"/>
  <c r="H128" i="26" s="1"/>
  <c r="G124" i="26"/>
  <c r="I124" i="26" s="1"/>
  <c r="F124" i="26"/>
  <c r="H124" i="26" s="1"/>
  <c r="G120" i="26"/>
  <c r="I120" i="26" s="1"/>
  <c r="F120" i="26"/>
  <c r="H120" i="26" s="1"/>
  <c r="G116" i="26"/>
  <c r="I116" i="26" s="1"/>
  <c r="F116" i="26"/>
  <c r="H116" i="26" s="1"/>
  <c r="G112" i="26"/>
  <c r="I112" i="26" s="1"/>
  <c r="F112" i="26"/>
  <c r="H112" i="26" s="1"/>
  <c r="G108" i="26"/>
  <c r="I108" i="26" s="1"/>
  <c r="F108" i="26"/>
  <c r="H108" i="26" s="1"/>
  <c r="G104" i="26"/>
  <c r="I104" i="26" s="1"/>
  <c r="F104" i="26"/>
  <c r="H104" i="26" s="1"/>
  <c r="G100" i="26"/>
  <c r="I100" i="26" s="1"/>
  <c r="F100" i="26"/>
  <c r="H100" i="26" s="1"/>
  <c r="G96" i="26"/>
  <c r="I96" i="26" s="1"/>
  <c r="F96" i="26"/>
  <c r="H96" i="26" s="1"/>
  <c r="G92" i="26"/>
  <c r="I92" i="26" s="1"/>
  <c r="F92" i="26"/>
  <c r="H92" i="26" s="1"/>
  <c r="G88" i="26"/>
  <c r="I88" i="26" s="1"/>
  <c r="F88" i="26"/>
  <c r="H88" i="26" s="1"/>
  <c r="G84" i="26"/>
  <c r="I84" i="26" s="1"/>
  <c r="F84" i="26"/>
  <c r="H84" i="26" s="1"/>
  <c r="G80" i="26"/>
  <c r="I80" i="26" s="1"/>
  <c r="F80" i="26"/>
  <c r="H80" i="26" s="1"/>
  <c r="G76" i="26"/>
  <c r="I76" i="26" s="1"/>
  <c r="F76" i="26"/>
  <c r="H76" i="26" s="1"/>
  <c r="G72" i="26"/>
  <c r="I72" i="26" s="1"/>
  <c r="F72" i="26"/>
  <c r="H72" i="26" s="1"/>
  <c r="G68" i="26"/>
  <c r="I68" i="26" s="1"/>
  <c r="F68" i="26"/>
  <c r="H68" i="26" s="1"/>
  <c r="G64" i="26"/>
  <c r="I64" i="26" s="1"/>
  <c r="F64" i="26"/>
  <c r="H64" i="26" s="1"/>
  <c r="G60" i="26"/>
  <c r="I60" i="26" s="1"/>
  <c r="F60" i="26"/>
  <c r="H60" i="26" s="1"/>
  <c r="G56" i="26"/>
  <c r="I56" i="26" s="1"/>
  <c r="F56" i="26"/>
  <c r="H56" i="26" s="1"/>
  <c r="G52" i="26"/>
  <c r="I52" i="26" s="1"/>
  <c r="F52" i="26"/>
  <c r="H52" i="26" s="1"/>
  <c r="G48" i="26"/>
  <c r="I48" i="26" s="1"/>
  <c r="F48" i="26"/>
  <c r="H48" i="26" s="1"/>
  <c r="G44" i="26"/>
  <c r="I44" i="26" s="1"/>
  <c r="F44" i="26"/>
  <c r="H44" i="26" s="1"/>
  <c r="G40" i="26"/>
  <c r="I40" i="26" s="1"/>
  <c r="F40" i="26"/>
  <c r="H40" i="26" s="1"/>
  <c r="G36" i="26"/>
  <c r="I36" i="26" s="1"/>
  <c r="F36" i="26"/>
  <c r="H36" i="26" s="1"/>
  <c r="G32" i="26"/>
  <c r="I32" i="26" s="1"/>
  <c r="I44" i="2" s="1"/>
  <c r="F32" i="26"/>
  <c r="H32" i="26" s="1"/>
  <c r="G24" i="26"/>
  <c r="I24" i="26" s="1"/>
  <c r="F24" i="26"/>
  <c r="H24" i="26" s="1"/>
  <c r="D1740" i="26"/>
  <c r="D1738" i="26"/>
  <c r="D1739" i="26"/>
  <c r="D1741" i="26"/>
  <c r="C20" i="26"/>
  <c r="C28" i="26"/>
  <c r="AV62" i="6"/>
  <c r="AV61" i="6"/>
  <c r="AV58" i="6"/>
  <c r="AV64" i="6"/>
  <c r="AV55" i="6"/>
  <c r="AV65" i="6"/>
  <c r="AV57" i="6"/>
  <c r="AV49" i="6"/>
  <c r="AV59" i="6"/>
  <c r="AV53" i="6"/>
  <c r="AV63" i="6"/>
  <c r="AV56" i="6"/>
  <c r="AV48" i="6"/>
  <c r="AV60" i="6"/>
  <c r="AV54" i="6"/>
  <c r="AV50" i="6"/>
  <c r="AV52" i="6"/>
  <c r="AV47" i="6"/>
  <c r="AV51" i="6"/>
  <c r="AV46" i="6"/>
  <c r="AV45" i="6"/>
  <c r="AV43" i="6"/>
  <c r="AV41" i="6"/>
  <c r="AV39" i="6"/>
  <c r="AV37" i="6"/>
  <c r="AV35" i="6"/>
  <c r="AV31" i="6"/>
  <c r="AV29" i="6"/>
  <c r="AV27" i="6"/>
  <c r="AV33" i="6"/>
  <c r="AV40" i="6"/>
  <c r="AV44" i="6"/>
  <c r="AV42" i="6"/>
  <c r="AV38" i="6"/>
  <c r="AV36" i="6"/>
  <c r="AV34" i="6"/>
  <c r="AV32" i="6"/>
  <c r="AV30" i="6"/>
  <c r="AV28" i="6"/>
  <c r="AV26" i="6"/>
  <c r="AV25" i="6"/>
  <c r="I73" i="2" l="1"/>
  <c r="I53" i="2"/>
  <c r="I86" i="2"/>
  <c r="I105" i="2"/>
  <c r="I21" i="2"/>
  <c r="I62" i="2"/>
  <c r="I59" i="2"/>
  <c r="I116" i="2"/>
  <c r="I32" i="2"/>
  <c r="I34" i="2"/>
  <c r="I84" i="2"/>
  <c r="I110" i="2"/>
  <c r="I18" i="2"/>
  <c r="I101" i="2"/>
  <c r="I107" i="2"/>
  <c r="I122" i="2"/>
  <c r="I100" i="2"/>
  <c r="I117" i="2"/>
  <c r="I27" i="2"/>
  <c r="I61" i="2"/>
  <c r="I10" i="2"/>
  <c r="I80" i="2"/>
  <c r="I7" i="2"/>
  <c r="I83" i="2"/>
  <c r="I54" i="2"/>
  <c r="I57" i="2"/>
  <c r="I23" i="2"/>
  <c r="I15" i="2"/>
  <c r="I68" i="2"/>
  <c r="I60" i="2"/>
  <c r="I74" i="2"/>
  <c r="I17" i="2"/>
  <c r="I130" i="2"/>
  <c r="I69" i="2"/>
  <c r="I123" i="2"/>
  <c r="I41" i="2"/>
  <c r="I115" i="2"/>
  <c r="I6" i="2"/>
  <c r="I108" i="2"/>
  <c r="I90" i="2"/>
  <c r="I46" i="2"/>
  <c r="I71" i="2"/>
  <c r="I64" i="2"/>
  <c r="I78" i="2"/>
  <c r="I22" i="2"/>
  <c r="I77" i="2"/>
  <c r="I25" i="2"/>
  <c r="I49" i="2"/>
  <c r="I9" i="2"/>
  <c r="I120" i="2"/>
  <c r="I127" i="2"/>
  <c r="I67" i="2"/>
  <c r="I8" i="2"/>
  <c r="I11" i="2"/>
  <c r="I65" i="2"/>
  <c r="I33" i="2"/>
  <c r="I111" i="2"/>
  <c r="I28" i="2"/>
  <c r="I75" i="2"/>
  <c r="I13" i="2"/>
  <c r="I39" i="2"/>
  <c r="I66" i="2"/>
  <c r="I92" i="2"/>
  <c r="I118" i="2"/>
  <c r="I125" i="2"/>
  <c r="I72" i="2"/>
  <c r="G28" i="26"/>
  <c r="I28" i="26" s="1"/>
  <c r="F28" i="26"/>
  <c r="H28" i="26" s="1"/>
  <c r="G20" i="26"/>
  <c r="I20" i="26" s="1"/>
  <c r="F20" i="26"/>
  <c r="H20" i="26" s="1"/>
  <c r="AA22" i="6"/>
  <c r="AA21" i="6"/>
  <c r="AA20" i="6"/>
  <c r="AA19" i="6"/>
  <c r="J13" i="6" s="1"/>
  <c r="S22" i="6"/>
  <c r="S21" i="6"/>
  <c r="S20" i="6"/>
  <c r="S19" i="6"/>
  <c r="H13" i="6" s="1"/>
  <c r="O22" i="6"/>
  <c r="O21" i="6"/>
  <c r="O20" i="6"/>
  <c r="G25" i="6"/>
  <c r="H17" i="6" s="1"/>
  <c r="E15" i="1" l="1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122" i="25"/>
  <c r="A123" i="25"/>
  <c r="A124" i="25"/>
  <c r="A125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150" i="25"/>
  <c r="A151" i="25"/>
  <c r="A152" i="25"/>
  <c r="A153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206" i="25"/>
  <c r="A207" i="25"/>
  <c r="A208" i="25"/>
  <c r="A209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234" i="25"/>
  <c r="A235" i="25"/>
  <c r="A236" i="25"/>
  <c r="A237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62" i="25"/>
  <c r="A263" i="25"/>
  <c r="A264" i="25"/>
  <c r="A265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90" i="25"/>
  <c r="A291" i="25"/>
  <c r="A292" i="25"/>
  <c r="A293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318" i="25"/>
  <c r="A319" i="25"/>
  <c r="A320" i="25"/>
  <c r="A321" i="25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346" i="25"/>
  <c r="A347" i="25"/>
  <c r="A348" i="25"/>
  <c r="A349" i="25"/>
  <c r="A350" i="25"/>
  <c r="A351" i="25"/>
  <c r="A352" i="25"/>
  <c r="A353" i="25"/>
  <c r="A354" i="25"/>
  <c r="A355" i="25"/>
  <c r="A356" i="25"/>
  <c r="A357" i="25"/>
  <c r="A358" i="25"/>
  <c r="A359" i="25"/>
  <c r="A360" i="25"/>
  <c r="A361" i="25"/>
  <c r="A362" i="25"/>
  <c r="A363" i="25"/>
  <c r="A364" i="25"/>
  <c r="A365" i="25"/>
  <c r="A366" i="25"/>
  <c r="A367" i="25"/>
  <c r="A368" i="25"/>
  <c r="A369" i="25"/>
  <c r="A370" i="25"/>
  <c r="A371" i="25"/>
  <c r="A372" i="25"/>
  <c r="A373" i="25"/>
  <c r="A374" i="25"/>
  <c r="A375" i="25"/>
  <c r="A376" i="25"/>
  <c r="A377" i="25"/>
  <c r="A378" i="25"/>
  <c r="A379" i="25"/>
  <c r="A380" i="25"/>
  <c r="A381" i="25"/>
  <c r="A382" i="25"/>
  <c r="A383" i="25"/>
  <c r="A384" i="25"/>
  <c r="A385" i="25"/>
  <c r="A386" i="25"/>
  <c r="A387" i="25"/>
  <c r="A388" i="25"/>
  <c r="A389" i="25"/>
  <c r="A390" i="25"/>
  <c r="A391" i="25"/>
  <c r="A392" i="25"/>
  <c r="A393" i="25"/>
  <c r="A394" i="25"/>
  <c r="A395" i="25"/>
  <c r="A396" i="25"/>
  <c r="A397" i="25"/>
  <c r="A398" i="25"/>
  <c r="A399" i="25"/>
  <c r="A400" i="25"/>
  <c r="A401" i="25"/>
  <c r="A402" i="25"/>
  <c r="A403" i="25"/>
  <c r="A404" i="25"/>
  <c r="A405" i="25"/>
  <c r="A406" i="25"/>
  <c r="A407" i="25"/>
  <c r="A408" i="25"/>
  <c r="A409" i="25"/>
  <c r="A410" i="25"/>
  <c r="A411" i="25"/>
  <c r="A412" i="25"/>
  <c r="A413" i="25"/>
  <c r="A414" i="25"/>
  <c r="A415" i="25"/>
  <c r="A416" i="25"/>
  <c r="A417" i="25"/>
  <c r="A418" i="25"/>
  <c r="A419" i="25"/>
  <c r="A420" i="25"/>
  <c r="A421" i="25"/>
  <c r="A422" i="25"/>
  <c r="A423" i="25"/>
  <c r="A424" i="25"/>
  <c r="A425" i="25"/>
  <c r="A426" i="25"/>
  <c r="A427" i="25"/>
  <c r="A428" i="25"/>
  <c r="A429" i="25"/>
  <c r="A430" i="25"/>
  <c r="A431" i="25"/>
  <c r="A432" i="25"/>
  <c r="A433" i="25"/>
  <c r="A434" i="25"/>
  <c r="A435" i="25"/>
  <c r="A436" i="25"/>
  <c r="A437" i="25"/>
  <c r="A438" i="25"/>
  <c r="A439" i="25"/>
  <c r="A440" i="25"/>
  <c r="A441" i="25"/>
  <c r="A442" i="25"/>
  <c r="A443" i="25"/>
  <c r="A444" i="25"/>
  <c r="A445" i="25"/>
  <c r="A446" i="25"/>
  <c r="A447" i="25"/>
  <c r="A448" i="25"/>
  <c r="A449" i="25"/>
  <c r="A450" i="25"/>
  <c r="A451" i="25"/>
  <c r="A452" i="25"/>
  <c r="A453" i="25"/>
  <c r="A454" i="25"/>
  <c r="A455" i="25"/>
  <c r="A456" i="25"/>
  <c r="A457" i="25"/>
  <c r="A458" i="25"/>
  <c r="A459" i="25"/>
  <c r="A460" i="25"/>
  <c r="A461" i="25"/>
  <c r="A462" i="25"/>
  <c r="A463" i="25"/>
  <c r="A464" i="25"/>
  <c r="A465" i="25"/>
  <c r="A466" i="25"/>
  <c r="A467" i="25"/>
  <c r="A468" i="25"/>
  <c r="A469" i="25"/>
  <c r="A470" i="25"/>
  <c r="A471" i="25"/>
  <c r="A472" i="25"/>
  <c r="A473" i="25"/>
  <c r="A474" i="25"/>
  <c r="A475" i="25"/>
  <c r="A476" i="25"/>
  <c r="A477" i="25"/>
  <c r="A478" i="25"/>
  <c r="A479" i="25"/>
  <c r="A480" i="25"/>
  <c r="A481" i="25"/>
  <c r="A482" i="25"/>
  <c r="A483" i="25"/>
  <c r="A484" i="25"/>
  <c r="A485" i="25"/>
  <c r="A486" i="25"/>
  <c r="A487" i="25"/>
  <c r="A488" i="25"/>
  <c r="A489" i="25"/>
  <c r="A490" i="25"/>
  <c r="A491" i="25"/>
  <c r="A492" i="25"/>
  <c r="A493" i="25"/>
  <c r="A494" i="25"/>
  <c r="A495" i="25"/>
  <c r="A496" i="25"/>
  <c r="A497" i="25"/>
  <c r="A498" i="25"/>
  <c r="A499" i="25"/>
  <c r="A500" i="25"/>
  <c r="A501" i="25"/>
  <c r="A502" i="25"/>
  <c r="A503" i="25"/>
  <c r="A504" i="25"/>
  <c r="A505" i="25"/>
  <c r="A506" i="25"/>
  <c r="A507" i="25"/>
  <c r="A508" i="25"/>
  <c r="A509" i="25"/>
  <c r="A510" i="25"/>
  <c r="A511" i="25"/>
  <c r="A512" i="25"/>
  <c r="A513" i="25"/>
  <c r="A514" i="25"/>
  <c r="A515" i="25"/>
  <c r="A516" i="25"/>
  <c r="A517" i="25"/>
  <c r="A518" i="25"/>
  <c r="A519" i="25"/>
  <c r="A520" i="25"/>
  <c r="A521" i="25"/>
  <c r="A522" i="25"/>
  <c r="A523" i="25"/>
  <c r="A524" i="25"/>
  <c r="A525" i="25"/>
  <c r="A526" i="25"/>
  <c r="A527" i="25"/>
  <c r="A528" i="25"/>
  <c r="A529" i="25"/>
  <c r="A530" i="25"/>
  <c r="A531" i="25"/>
  <c r="A532" i="25"/>
  <c r="A533" i="25"/>
  <c r="A534" i="25"/>
  <c r="A535" i="25"/>
  <c r="A536" i="25"/>
  <c r="A537" i="25"/>
  <c r="A538" i="25"/>
  <c r="A539" i="25"/>
  <c r="A540" i="25"/>
  <c r="A541" i="25"/>
  <c r="A542" i="25"/>
  <c r="A543" i="25"/>
  <c r="A544" i="25"/>
  <c r="A545" i="25"/>
  <c r="A546" i="25"/>
  <c r="A547" i="25"/>
  <c r="A548" i="25"/>
  <c r="A549" i="25"/>
  <c r="A550" i="25"/>
  <c r="A551" i="25"/>
  <c r="A552" i="25"/>
  <c r="A553" i="25"/>
  <c r="A554" i="25"/>
  <c r="A555" i="25"/>
  <c r="A556" i="25"/>
  <c r="A557" i="25"/>
  <c r="A558" i="25"/>
  <c r="A559" i="25"/>
  <c r="A560" i="25"/>
  <c r="A561" i="25"/>
  <c r="A562" i="25"/>
  <c r="A563" i="25"/>
  <c r="A564" i="25"/>
  <c r="A565" i="25"/>
  <c r="A566" i="25"/>
  <c r="A567" i="25"/>
  <c r="A568" i="25"/>
  <c r="A569" i="25"/>
  <c r="A570" i="25"/>
  <c r="A571" i="25"/>
  <c r="A572" i="25"/>
  <c r="A573" i="25"/>
  <c r="A574" i="25"/>
  <c r="A575" i="25"/>
  <c r="A576" i="25"/>
  <c r="A577" i="25"/>
  <c r="A578" i="25"/>
  <c r="A579" i="25"/>
  <c r="A580" i="25"/>
  <c r="A581" i="25"/>
  <c r="A582" i="25"/>
  <c r="A583" i="25"/>
  <c r="A584" i="25"/>
  <c r="A585" i="25"/>
  <c r="A586" i="25"/>
  <c r="A587" i="25"/>
  <c r="A588" i="25"/>
  <c r="A589" i="25"/>
  <c r="A590" i="25"/>
  <c r="A591" i="25"/>
  <c r="A592" i="25"/>
  <c r="A593" i="25"/>
  <c r="A594" i="25"/>
  <c r="A595" i="25"/>
  <c r="A596" i="25"/>
  <c r="A597" i="25"/>
  <c r="A598" i="25"/>
  <c r="A599" i="25"/>
  <c r="A600" i="25"/>
  <c r="A601" i="25"/>
  <c r="A602" i="25"/>
  <c r="A603" i="25"/>
  <c r="A604" i="25"/>
  <c r="A605" i="25"/>
  <c r="A606" i="25"/>
  <c r="A607" i="25"/>
  <c r="A608" i="25"/>
  <c r="A609" i="25"/>
  <c r="A610" i="25"/>
  <c r="A611" i="25"/>
  <c r="A612" i="25"/>
  <c r="A613" i="25"/>
  <c r="A614" i="25"/>
  <c r="A615" i="25"/>
  <c r="A616" i="25"/>
  <c r="A617" i="25"/>
  <c r="A618" i="25"/>
  <c r="A619" i="25"/>
  <c r="A620" i="25"/>
  <c r="A621" i="25"/>
  <c r="A622" i="25"/>
  <c r="A623" i="25"/>
  <c r="A624" i="25"/>
  <c r="A625" i="25"/>
  <c r="A626" i="25"/>
  <c r="A627" i="25"/>
  <c r="A628" i="25"/>
  <c r="A629" i="25"/>
  <c r="A630" i="25"/>
  <c r="A631" i="25"/>
  <c r="A632" i="25"/>
  <c r="A633" i="25"/>
  <c r="A634" i="25"/>
  <c r="A635" i="25"/>
  <c r="A636" i="25"/>
  <c r="A637" i="25"/>
  <c r="A638" i="25"/>
  <c r="A639" i="25"/>
  <c r="A640" i="25"/>
  <c r="A641" i="25"/>
  <c r="A642" i="25"/>
  <c r="A643" i="25"/>
  <c r="A644" i="25"/>
  <c r="A645" i="25"/>
  <c r="A646" i="25"/>
  <c r="A647" i="25"/>
  <c r="A648" i="25"/>
  <c r="A649" i="25"/>
  <c r="A650" i="25"/>
  <c r="A651" i="25"/>
  <c r="A652" i="25"/>
  <c r="A653" i="25"/>
  <c r="A654" i="25"/>
  <c r="A655" i="25"/>
  <c r="A656" i="25"/>
  <c r="A657" i="25"/>
  <c r="A658" i="25"/>
  <c r="A659" i="25"/>
  <c r="A660" i="25"/>
  <c r="A661" i="25"/>
  <c r="A662" i="25"/>
  <c r="A663" i="25"/>
  <c r="A664" i="25"/>
  <c r="A665" i="25"/>
  <c r="A666" i="25"/>
  <c r="A667" i="25"/>
  <c r="A668" i="25"/>
  <c r="A669" i="25"/>
  <c r="A670" i="25"/>
  <c r="A671" i="25"/>
  <c r="A672" i="25"/>
  <c r="A673" i="25"/>
  <c r="A674" i="25"/>
  <c r="A675" i="25"/>
  <c r="A676" i="25"/>
  <c r="A677" i="25"/>
  <c r="A678" i="25"/>
  <c r="A679" i="25"/>
  <c r="A680" i="25"/>
  <c r="A681" i="25"/>
  <c r="A682" i="25"/>
  <c r="A683" i="25"/>
  <c r="A684" i="25"/>
  <c r="A685" i="25"/>
  <c r="A686" i="25"/>
  <c r="A687" i="25"/>
  <c r="A688" i="25"/>
  <c r="A689" i="25"/>
  <c r="A690" i="25"/>
  <c r="A691" i="25"/>
  <c r="A692" i="25"/>
  <c r="A693" i="25"/>
  <c r="A694" i="25"/>
  <c r="A695" i="25"/>
  <c r="A696" i="25"/>
  <c r="A697" i="25"/>
  <c r="A698" i="25"/>
  <c r="A699" i="25"/>
  <c r="A700" i="25"/>
  <c r="A701" i="25"/>
  <c r="A702" i="25"/>
  <c r="A703" i="25"/>
  <c r="A704" i="25"/>
  <c r="A705" i="25"/>
  <c r="A706" i="25"/>
  <c r="A707" i="25"/>
  <c r="A708" i="25"/>
  <c r="A709" i="25"/>
  <c r="A710" i="25"/>
  <c r="A711" i="25"/>
  <c r="A712" i="25"/>
  <c r="A713" i="25"/>
  <c r="A714" i="25"/>
  <c r="A715" i="25"/>
  <c r="A716" i="25"/>
  <c r="A717" i="25"/>
  <c r="A718" i="25"/>
  <c r="A719" i="25"/>
  <c r="A720" i="25"/>
  <c r="A721" i="25"/>
  <c r="A722" i="25"/>
  <c r="A723" i="25"/>
  <c r="A724" i="25"/>
  <c r="A725" i="25"/>
  <c r="A726" i="25"/>
  <c r="A727" i="25"/>
  <c r="A728" i="25"/>
  <c r="A729" i="25"/>
  <c r="A730" i="25"/>
  <c r="A731" i="25"/>
  <c r="A732" i="25"/>
  <c r="A733" i="25"/>
  <c r="A734" i="25"/>
  <c r="A735" i="25"/>
  <c r="A736" i="25"/>
  <c r="A737" i="25"/>
  <c r="A738" i="25"/>
  <c r="A739" i="25"/>
  <c r="A740" i="25"/>
  <c r="A741" i="25"/>
  <c r="A742" i="25"/>
  <c r="A743" i="25"/>
  <c r="A744" i="25"/>
  <c r="A745" i="25"/>
  <c r="A746" i="25"/>
  <c r="A747" i="25"/>
  <c r="A748" i="25"/>
  <c r="A749" i="25"/>
  <c r="A750" i="25"/>
  <c r="A751" i="25"/>
  <c r="A752" i="25"/>
  <c r="A753" i="25"/>
  <c r="A754" i="25"/>
  <c r="A755" i="25"/>
  <c r="A756" i="25"/>
  <c r="A757" i="25"/>
  <c r="A758" i="25"/>
  <c r="A759" i="25"/>
  <c r="A760" i="25"/>
  <c r="A761" i="25"/>
  <c r="A762" i="25"/>
  <c r="A763" i="25"/>
  <c r="A764" i="25"/>
  <c r="A765" i="25"/>
  <c r="A766" i="25"/>
  <c r="A767" i="25"/>
  <c r="A768" i="25"/>
  <c r="A769" i="25"/>
  <c r="A770" i="25"/>
  <c r="A771" i="25"/>
  <c r="A772" i="25"/>
  <c r="A773" i="25"/>
  <c r="A774" i="25"/>
  <c r="A775" i="25"/>
  <c r="A776" i="25"/>
  <c r="A777" i="25"/>
  <c r="A778" i="25"/>
  <c r="A779" i="25"/>
  <c r="A780" i="25"/>
  <c r="A781" i="25"/>
  <c r="A782" i="25"/>
  <c r="A783" i="25"/>
  <c r="A784" i="25"/>
  <c r="A785" i="25"/>
  <c r="A786" i="25"/>
  <c r="A787" i="25"/>
  <c r="A788" i="25"/>
  <c r="A789" i="25"/>
  <c r="A790" i="25"/>
  <c r="A791" i="25"/>
  <c r="A792" i="25"/>
  <c r="A793" i="25"/>
  <c r="A794" i="25"/>
  <c r="A795" i="25"/>
  <c r="A796" i="25"/>
  <c r="A797" i="25"/>
  <c r="A798" i="25"/>
  <c r="A799" i="25"/>
  <c r="A800" i="25"/>
  <c r="A801" i="25"/>
  <c r="A802" i="25"/>
  <c r="A803" i="25"/>
  <c r="A804" i="25"/>
  <c r="A805" i="25"/>
  <c r="A806" i="25"/>
  <c r="A807" i="25"/>
  <c r="A808" i="25"/>
  <c r="A809" i="25"/>
  <c r="A810" i="25"/>
  <c r="A811" i="25"/>
  <c r="A812" i="25"/>
  <c r="A813" i="25"/>
  <c r="A814" i="25"/>
  <c r="A815" i="25"/>
  <c r="A816" i="25"/>
  <c r="A817" i="25"/>
  <c r="A818" i="25"/>
  <c r="A819" i="25"/>
  <c r="A820" i="25"/>
  <c r="A821" i="25"/>
  <c r="A822" i="25"/>
  <c r="A823" i="25"/>
  <c r="A824" i="25"/>
  <c r="A825" i="25"/>
  <c r="A826" i="25"/>
  <c r="A827" i="25"/>
  <c r="A828" i="25"/>
  <c r="A829" i="25"/>
  <c r="A830" i="25"/>
  <c r="A831" i="25"/>
  <c r="A832" i="25"/>
  <c r="A833" i="25"/>
  <c r="A834" i="25"/>
  <c r="A835" i="25"/>
  <c r="A836" i="25"/>
  <c r="A837" i="25"/>
  <c r="A838" i="25"/>
  <c r="A839" i="25"/>
  <c r="A840" i="25"/>
  <c r="A841" i="25"/>
  <c r="A842" i="25"/>
  <c r="A843" i="25"/>
  <c r="A844" i="25"/>
  <c r="A845" i="25"/>
  <c r="A846" i="25"/>
  <c r="A847" i="25"/>
  <c r="A848" i="25"/>
  <c r="A849" i="25"/>
  <c r="A850" i="25"/>
  <c r="A851" i="25"/>
  <c r="A852" i="25"/>
  <c r="A853" i="25"/>
  <c r="A854" i="25"/>
  <c r="A855" i="25"/>
  <c r="A856" i="25"/>
  <c r="A857" i="25"/>
  <c r="A858" i="25"/>
  <c r="A859" i="25"/>
  <c r="A860" i="25"/>
  <c r="A861" i="25"/>
  <c r="A862" i="25"/>
  <c r="A863" i="25"/>
  <c r="A864" i="25"/>
  <c r="A865" i="25"/>
  <c r="A866" i="25"/>
  <c r="A867" i="25"/>
  <c r="A868" i="25"/>
  <c r="A869" i="25"/>
  <c r="A870" i="25"/>
  <c r="A871" i="25"/>
  <c r="A872" i="25"/>
  <c r="A873" i="25"/>
  <c r="A874" i="25"/>
  <c r="A875" i="25"/>
  <c r="A876" i="25"/>
  <c r="A877" i="25"/>
  <c r="A878" i="25"/>
  <c r="A879" i="25"/>
  <c r="A880" i="25"/>
  <c r="A881" i="25"/>
  <c r="A882" i="25"/>
  <c r="A883" i="25"/>
  <c r="A884" i="25"/>
  <c r="A885" i="25"/>
  <c r="A886" i="25"/>
  <c r="A887" i="25"/>
  <c r="A888" i="25"/>
  <c r="A889" i="25"/>
  <c r="A890" i="25"/>
  <c r="A891" i="25"/>
  <c r="A892" i="25"/>
  <c r="A893" i="25"/>
  <c r="A894" i="25"/>
  <c r="A895" i="25"/>
  <c r="A896" i="25"/>
  <c r="A897" i="25"/>
  <c r="A898" i="25"/>
  <c r="A899" i="25"/>
  <c r="A900" i="25"/>
  <c r="A901" i="25"/>
  <c r="A902" i="25"/>
  <c r="A903" i="25"/>
  <c r="A904" i="25"/>
  <c r="A905" i="25"/>
  <c r="A906" i="25"/>
  <c r="A907" i="25"/>
  <c r="A908" i="25"/>
  <c r="A909" i="25"/>
  <c r="A910" i="25"/>
  <c r="A911" i="25"/>
  <c r="A912" i="25"/>
  <c r="A913" i="25"/>
  <c r="A914" i="25"/>
  <c r="A915" i="25"/>
  <c r="A916" i="25"/>
  <c r="A917" i="25"/>
  <c r="A918" i="25"/>
  <c r="A919" i="25"/>
  <c r="A920" i="25"/>
  <c r="A921" i="25"/>
  <c r="A922" i="25"/>
  <c r="A923" i="25"/>
  <c r="A924" i="25"/>
  <c r="A925" i="25"/>
  <c r="A926" i="25"/>
  <c r="A927" i="25"/>
  <c r="A928" i="25"/>
  <c r="A929" i="25"/>
  <c r="A930" i="25"/>
  <c r="A931" i="25"/>
  <c r="A932" i="25"/>
  <c r="A933" i="25"/>
  <c r="A934" i="25"/>
  <c r="A935" i="25"/>
  <c r="A936" i="25"/>
  <c r="A937" i="25"/>
  <c r="A938" i="25"/>
  <c r="A939" i="25"/>
  <c r="A940" i="25"/>
  <c r="A941" i="25"/>
  <c r="A942" i="25"/>
  <c r="A943" i="25"/>
  <c r="A944" i="25"/>
  <c r="A945" i="25"/>
  <c r="A946" i="25"/>
  <c r="A947" i="25"/>
  <c r="A948" i="25"/>
  <c r="A949" i="25"/>
  <c r="A950" i="25"/>
  <c r="A951" i="25"/>
  <c r="A952" i="25"/>
  <c r="A953" i="25"/>
  <c r="A954" i="25"/>
  <c r="A955" i="25"/>
  <c r="A956" i="25"/>
  <c r="A957" i="25"/>
  <c r="A958" i="25"/>
  <c r="A959" i="25"/>
  <c r="A960" i="25"/>
  <c r="A961" i="25"/>
  <c r="A962" i="25"/>
  <c r="A963" i="25"/>
  <c r="A964" i="25"/>
  <c r="A965" i="25"/>
  <c r="A966" i="25"/>
  <c r="A967" i="25"/>
  <c r="A968" i="25"/>
  <c r="A969" i="25"/>
  <c r="A970" i="25"/>
  <c r="A971" i="25"/>
  <c r="A972" i="25"/>
  <c r="A973" i="25"/>
  <c r="A974" i="25"/>
  <c r="A975" i="25"/>
  <c r="A976" i="25"/>
  <c r="A977" i="25"/>
  <c r="A978" i="25"/>
  <c r="A979" i="25"/>
  <c r="A980" i="25"/>
  <c r="A981" i="25"/>
  <c r="A982" i="25"/>
  <c r="A983" i="25"/>
  <c r="A984" i="25"/>
  <c r="A985" i="25"/>
  <c r="A986" i="25"/>
  <c r="A987" i="25"/>
  <c r="A988" i="25"/>
  <c r="A989" i="25"/>
  <c r="A990" i="25"/>
  <c r="A991" i="25"/>
  <c r="A992" i="25"/>
  <c r="A993" i="25"/>
  <c r="A994" i="25"/>
  <c r="A995" i="25"/>
  <c r="A996" i="25"/>
  <c r="A997" i="25"/>
  <c r="A998" i="25"/>
  <c r="A999" i="25"/>
  <c r="A1000" i="25"/>
  <c r="A1001" i="25"/>
  <c r="A1002" i="25"/>
  <c r="A1003" i="25"/>
  <c r="A1004" i="25"/>
  <c r="A1005" i="25"/>
  <c r="A1006" i="25"/>
  <c r="A1007" i="25"/>
  <c r="A1008" i="25"/>
  <c r="A1009" i="25"/>
  <c r="A1010" i="25"/>
  <c r="A1011" i="25"/>
  <c r="A1012" i="25"/>
  <c r="A1013" i="25"/>
  <c r="A1014" i="25"/>
  <c r="A1015" i="25"/>
  <c r="A1016" i="25"/>
  <c r="A1017" i="25"/>
  <c r="A1018" i="25"/>
  <c r="A1019" i="25"/>
  <c r="A1020" i="25"/>
  <c r="A1021" i="25"/>
  <c r="A1022" i="25"/>
  <c r="A1023" i="25"/>
  <c r="A1024" i="25"/>
  <c r="A1025" i="25"/>
  <c r="A1026" i="25"/>
  <c r="A1027" i="25"/>
  <c r="A1028" i="25"/>
  <c r="A1029" i="25"/>
  <c r="A1030" i="25"/>
  <c r="A1031" i="25"/>
  <c r="A1032" i="25"/>
  <c r="A1033" i="25"/>
  <c r="A1034" i="25"/>
  <c r="A1035" i="25"/>
  <c r="A1036" i="25"/>
  <c r="A1037" i="25"/>
  <c r="A1038" i="25"/>
  <c r="A1039" i="25"/>
  <c r="A1040" i="25"/>
  <c r="A1041" i="25"/>
  <c r="A1042" i="25"/>
  <c r="A1043" i="25"/>
  <c r="A1044" i="25"/>
  <c r="A1045" i="25"/>
  <c r="A1046" i="25"/>
  <c r="A1047" i="25"/>
  <c r="A1048" i="25"/>
  <c r="A1049" i="25"/>
  <c r="A1050" i="25"/>
  <c r="A1051" i="25"/>
  <c r="A1052" i="25"/>
  <c r="A1053" i="25"/>
  <c r="A1054" i="25"/>
  <c r="A1055" i="25"/>
  <c r="A1056" i="25"/>
  <c r="A1057" i="25"/>
  <c r="A1058" i="25"/>
  <c r="A1059" i="25"/>
  <c r="A1060" i="25"/>
  <c r="A1061" i="25"/>
  <c r="A1062" i="25"/>
  <c r="A1063" i="25"/>
  <c r="A1064" i="25"/>
  <c r="A1065" i="25"/>
  <c r="A1066" i="25"/>
  <c r="A1067" i="25"/>
  <c r="A1068" i="25"/>
  <c r="A1069" i="25"/>
  <c r="A1070" i="25"/>
  <c r="A1071" i="25"/>
  <c r="A1072" i="25"/>
  <c r="A1073" i="25"/>
  <c r="A1074" i="25"/>
  <c r="A1075" i="25"/>
  <c r="A1076" i="25"/>
  <c r="A1077" i="25"/>
  <c r="A1078" i="25"/>
  <c r="A1079" i="25"/>
  <c r="A1080" i="25"/>
  <c r="A1081" i="25"/>
  <c r="A1082" i="25"/>
  <c r="A1083" i="25"/>
  <c r="A1084" i="25"/>
  <c r="A1085" i="25"/>
  <c r="A1086" i="25"/>
  <c r="A1087" i="25"/>
  <c r="A1088" i="25"/>
  <c r="A1089" i="25"/>
  <c r="A1090" i="25"/>
  <c r="A1091" i="25"/>
  <c r="A1092" i="25"/>
  <c r="A1093" i="25"/>
  <c r="A1094" i="25"/>
  <c r="A1095" i="25"/>
  <c r="A1096" i="25"/>
  <c r="A1097" i="25"/>
  <c r="A1098" i="25"/>
  <c r="A1099" i="25"/>
  <c r="A1100" i="25"/>
  <c r="A1101" i="25"/>
  <c r="A1102" i="25"/>
  <c r="A1103" i="25"/>
  <c r="A1104" i="25"/>
  <c r="A1105" i="25"/>
  <c r="A1106" i="25"/>
  <c r="A1107" i="25"/>
  <c r="A1108" i="25"/>
  <c r="A1109" i="25"/>
  <c r="A1110" i="25"/>
  <c r="A1111" i="25"/>
  <c r="A1112" i="25"/>
  <c r="A1113" i="25"/>
  <c r="A1114" i="25"/>
  <c r="A1115" i="25"/>
  <c r="A1116" i="25"/>
  <c r="A1117" i="25"/>
  <c r="A1118" i="25"/>
  <c r="A1119" i="25"/>
  <c r="A1120" i="25"/>
  <c r="A1121" i="25"/>
  <c r="A1122" i="25"/>
  <c r="A1123" i="25"/>
  <c r="A1124" i="25"/>
  <c r="A1125" i="25"/>
  <c r="A1126" i="25"/>
  <c r="A1127" i="25"/>
  <c r="A1128" i="25"/>
  <c r="A1129" i="25"/>
  <c r="A1130" i="25"/>
  <c r="A1131" i="25"/>
  <c r="A1132" i="25"/>
  <c r="A1133" i="25"/>
  <c r="A1134" i="25"/>
  <c r="A1135" i="25"/>
  <c r="A1136" i="25"/>
  <c r="A1137" i="25"/>
  <c r="A1138" i="25"/>
  <c r="A1139" i="25"/>
  <c r="A1140" i="25"/>
  <c r="A1141" i="25"/>
  <c r="A1142" i="25"/>
  <c r="A1143" i="25"/>
  <c r="A1144" i="25"/>
  <c r="A1145" i="25"/>
  <c r="A1146" i="25"/>
  <c r="A1147" i="25"/>
  <c r="A1148" i="25"/>
  <c r="A1149" i="25"/>
  <c r="A1150" i="25"/>
  <c r="A1151" i="25"/>
  <c r="A1152" i="25"/>
  <c r="A1153" i="25"/>
  <c r="A1154" i="25"/>
  <c r="A1155" i="25"/>
  <c r="A1156" i="25"/>
  <c r="A1157" i="25"/>
  <c r="A1158" i="25"/>
  <c r="A1159" i="25"/>
  <c r="A1160" i="25"/>
  <c r="A1161" i="25"/>
  <c r="A1162" i="25"/>
  <c r="A1163" i="25"/>
  <c r="A1164" i="25"/>
  <c r="A1165" i="25"/>
  <c r="A1166" i="25"/>
  <c r="A1167" i="25"/>
  <c r="A1168" i="25"/>
  <c r="A1169" i="25"/>
  <c r="A1170" i="25"/>
  <c r="A1171" i="25"/>
  <c r="A1172" i="25"/>
  <c r="A1173" i="25"/>
  <c r="A1174" i="25"/>
  <c r="A1175" i="25"/>
  <c r="A1176" i="25"/>
  <c r="A1177" i="25"/>
  <c r="A1178" i="25"/>
  <c r="A1179" i="25"/>
  <c r="A1180" i="25"/>
  <c r="A1181" i="25"/>
  <c r="A1182" i="25"/>
  <c r="A1183" i="25"/>
  <c r="A1184" i="25"/>
  <c r="A1185" i="25"/>
  <c r="A1186" i="25"/>
  <c r="A1187" i="25"/>
  <c r="A1188" i="25"/>
  <c r="A1189" i="25"/>
  <c r="A1190" i="25"/>
  <c r="A1191" i="25"/>
  <c r="A1192" i="25"/>
  <c r="A1193" i="25"/>
  <c r="A1194" i="25"/>
  <c r="A1195" i="25"/>
  <c r="A1196" i="25"/>
  <c r="A1197" i="25"/>
  <c r="A1198" i="25"/>
  <c r="A1199" i="25"/>
  <c r="A1200" i="25"/>
  <c r="A1201" i="25"/>
  <c r="A1202" i="25"/>
  <c r="A1203" i="25"/>
  <c r="A1204" i="25"/>
  <c r="A1205" i="25"/>
  <c r="A1206" i="25"/>
  <c r="A1207" i="25"/>
  <c r="A1208" i="25"/>
  <c r="A1209" i="25"/>
  <c r="A1210" i="25"/>
  <c r="A1211" i="25"/>
  <c r="A1212" i="25"/>
  <c r="A1213" i="25"/>
  <c r="A1214" i="25"/>
  <c r="A1215" i="25"/>
  <c r="A1216" i="25"/>
  <c r="A1217" i="25"/>
  <c r="A1218" i="25"/>
  <c r="A1219" i="25"/>
  <c r="A1220" i="25"/>
  <c r="A1221" i="25"/>
  <c r="A1222" i="25"/>
  <c r="A1223" i="25"/>
  <c r="A1224" i="25"/>
  <c r="A1225" i="25"/>
  <c r="A1226" i="25"/>
  <c r="A1227" i="25"/>
  <c r="A1228" i="25"/>
  <c r="A1229" i="25"/>
  <c r="A1230" i="25"/>
  <c r="A1231" i="25"/>
  <c r="A1232" i="25"/>
  <c r="A1233" i="25"/>
  <c r="A1234" i="25"/>
  <c r="A1235" i="25"/>
  <c r="A1236" i="25"/>
  <c r="A1237" i="25"/>
  <c r="A1238" i="25"/>
  <c r="A1239" i="25"/>
  <c r="A1240" i="25"/>
  <c r="A1241" i="25"/>
  <c r="A1242" i="25"/>
  <c r="A1243" i="25"/>
  <c r="A1244" i="25"/>
  <c r="A1245" i="25"/>
  <c r="A1246" i="25"/>
  <c r="A1247" i="25"/>
  <c r="A1248" i="25"/>
  <c r="A1249" i="25"/>
  <c r="A1250" i="25"/>
  <c r="A1251" i="25"/>
  <c r="A1252" i="25"/>
  <c r="A1253" i="25"/>
  <c r="A1254" i="25"/>
  <c r="A1255" i="25"/>
  <c r="A1256" i="25"/>
  <c r="A1257" i="25"/>
  <c r="A1258" i="25"/>
  <c r="A1259" i="25"/>
  <c r="A1260" i="25"/>
  <c r="A1261" i="25"/>
  <c r="A1262" i="25"/>
  <c r="A1263" i="25"/>
  <c r="A1264" i="25"/>
  <c r="A1265" i="25"/>
  <c r="A1266" i="25"/>
  <c r="A1267" i="25"/>
  <c r="A1268" i="25"/>
  <c r="A1269" i="25"/>
  <c r="A1270" i="25"/>
  <c r="A1271" i="25"/>
  <c r="A1272" i="25"/>
  <c r="A1273" i="25"/>
  <c r="A1274" i="25"/>
  <c r="A1275" i="25"/>
  <c r="A1276" i="25"/>
  <c r="A1277" i="25"/>
  <c r="A1278" i="25"/>
  <c r="A1279" i="25"/>
  <c r="A1280" i="25"/>
  <c r="A1281" i="25"/>
  <c r="A1282" i="25"/>
  <c r="A1283" i="25"/>
  <c r="A1284" i="25"/>
  <c r="A1285" i="25"/>
  <c r="A1286" i="25"/>
  <c r="A1287" i="25"/>
  <c r="A1288" i="25"/>
  <c r="A1289" i="25"/>
  <c r="A1290" i="25"/>
  <c r="A1291" i="25"/>
  <c r="A1292" i="25"/>
  <c r="A1293" i="25"/>
  <c r="A1294" i="25"/>
  <c r="A1295" i="25"/>
  <c r="A1296" i="25"/>
  <c r="A1297" i="25"/>
  <c r="A1298" i="25"/>
  <c r="A1299" i="25"/>
  <c r="A1300" i="25"/>
  <c r="A1301" i="25"/>
  <c r="A1302" i="25"/>
  <c r="A1303" i="25"/>
  <c r="A1304" i="25"/>
  <c r="A1305" i="25"/>
  <c r="A1306" i="25"/>
  <c r="A1307" i="25"/>
  <c r="A1308" i="25"/>
  <c r="A1309" i="25"/>
  <c r="A1310" i="25"/>
  <c r="A1311" i="25"/>
  <c r="A1312" i="25"/>
  <c r="A1313" i="25"/>
  <c r="A1314" i="25"/>
  <c r="A1315" i="25"/>
  <c r="A1316" i="25"/>
  <c r="A1317" i="25"/>
  <c r="A1318" i="25"/>
  <c r="A1319" i="25"/>
  <c r="A1320" i="25"/>
  <c r="A1321" i="25"/>
  <c r="A1322" i="25"/>
  <c r="A1323" i="25"/>
  <c r="A1324" i="25"/>
  <c r="A1325" i="25"/>
  <c r="A1326" i="25"/>
  <c r="A1327" i="25"/>
  <c r="A1328" i="25"/>
  <c r="A1329" i="25"/>
  <c r="A1330" i="25"/>
  <c r="A1331" i="25"/>
  <c r="A1332" i="25"/>
  <c r="A1333" i="25"/>
  <c r="A1334" i="25"/>
  <c r="A1335" i="25"/>
  <c r="A1336" i="25"/>
  <c r="A1337" i="25"/>
  <c r="A1338" i="25"/>
  <c r="A1339" i="25"/>
  <c r="A1340" i="25"/>
  <c r="A1341" i="25"/>
  <c r="A1342" i="25"/>
  <c r="A1343" i="25"/>
  <c r="A1344" i="25"/>
  <c r="A1345" i="25"/>
  <c r="A1346" i="25"/>
  <c r="A1347" i="25"/>
  <c r="A1348" i="25"/>
  <c r="A1349" i="25"/>
  <c r="A1350" i="25"/>
  <c r="A1351" i="25"/>
  <c r="A1352" i="25"/>
  <c r="A1353" i="25"/>
  <c r="A1354" i="25"/>
  <c r="A1355" i="25"/>
  <c r="A1356" i="25"/>
  <c r="A1357" i="25"/>
  <c r="A1358" i="25"/>
  <c r="A1359" i="25"/>
  <c r="A1360" i="25"/>
  <c r="A1361" i="25"/>
  <c r="A1362" i="25"/>
  <c r="A1363" i="25"/>
  <c r="A1364" i="25"/>
  <c r="A1365" i="25"/>
  <c r="A1366" i="25"/>
  <c r="A1367" i="25"/>
  <c r="A1368" i="25"/>
  <c r="A1369" i="25"/>
  <c r="A1370" i="25"/>
  <c r="A1371" i="25"/>
  <c r="A1372" i="25"/>
  <c r="A1373" i="25"/>
  <c r="A1374" i="25"/>
  <c r="A1375" i="25"/>
  <c r="A1376" i="25"/>
  <c r="A1377" i="25"/>
  <c r="A1378" i="25"/>
  <c r="A1379" i="25"/>
  <c r="A1380" i="25"/>
  <c r="A1381" i="25"/>
  <c r="A1382" i="25"/>
  <c r="A1383" i="25"/>
  <c r="A1384" i="25"/>
  <c r="A1385" i="25"/>
  <c r="A1386" i="25"/>
  <c r="A1387" i="25"/>
  <c r="A1388" i="25"/>
  <c r="A1389" i="25"/>
  <c r="A1390" i="25"/>
  <c r="A1391" i="25"/>
  <c r="A1392" i="25"/>
  <c r="A1393" i="25"/>
  <c r="A1394" i="25"/>
  <c r="A1395" i="25"/>
  <c r="A1396" i="25"/>
  <c r="A1397" i="25"/>
  <c r="A1398" i="25"/>
  <c r="A1399" i="25"/>
  <c r="A1400" i="25"/>
  <c r="A1401" i="25"/>
  <c r="A1402" i="25"/>
  <c r="A1403" i="25"/>
  <c r="A1404" i="25"/>
  <c r="A1405" i="25"/>
  <c r="A1406" i="25"/>
  <c r="A1407" i="25"/>
  <c r="A1408" i="25"/>
  <c r="A1409" i="25"/>
  <c r="A1410" i="25"/>
  <c r="A1411" i="25"/>
  <c r="A1412" i="25"/>
  <c r="A1413" i="25"/>
  <c r="A1414" i="25"/>
  <c r="A1415" i="25"/>
  <c r="A1416" i="25"/>
  <c r="A1417" i="25"/>
  <c r="A1418" i="25"/>
  <c r="A1419" i="25"/>
  <c r="A1420" i="25"/>
  <c r="A1421" i="25"/>
  <c r="A1422" i="25"/>
  <c r="A1423" i="25"/>
  <c r="A1424" i="25"/>
  <c r="A1425" i="25"/>
  <c r="A1426" i="25"/>
  <c r="A1427" i="25"/>
  <c r="A1428" i="25"/>
  <c r="A1429" i="25"/>
  <c r="A1430" i="25"/>
  <c r="A1431" i="25"/>
  <c r="A1432" i="25"/>
  <c r="A1433" i="25"/>
  <c r="A1434" i="25"/>
  <c r="A1435" i="25"/>
  <c r="A1436" i="25"/>
  <c r="A1437" i="25"/>
  <c r="A1438" i="25"/>
  <c r="A1439" i="25"/>
  <c r="A1440" i="25"/>
  <c r="A1441" i="25"/>
  <c r="A1442" i="25"/>
  <c r="A1443" i="25"/>
  <c r="A1444" i="25"/>
  <c r="A1445" i="25"/>
  <c r="A1446" i="25"/>
  <c r="A1447" i="25"/>
  <c r="A1448" i="25"/>
  <c r="A1449" i="25"/>
  <c r="A1450" i="25"/>
  <c r="A1451" i="25"/>
  <c r="A1452" i="25"/>
  <c r="A1453" i="25"/>
  <c r="A1454" i="25"/>
  <c r="A1455" i="25"/>
  <c r="A1456" i="25"/>
  <c r="A1457" i="25"/>
  <c r="A1458" i="25"/>
  <c r="A1459" i="25"/>
  <c r="A1460" i="25"/>
  <c r="A1461" i="25"/>
  <c r="A1462" i="25"/>
  <c r="A1463" i="25"/>
  <c r="A1464" i="25"/>
  <c r="A1465" i="25"/>
  <c r="A1466" i="25"/>
  <c r="A1467" i="25"/>
  <c r="A1468" i="25"/>
  <c r="A1469" i="25"/>
  <c r="A1470" i="25"/>
  <c r="A1471" i="25"/>
  <c r="A1472" i="25"/>
  <c r="A1473" i="25"/>
  <c r="A1474" i="25"/>
  <c r="A1475" i="25"/>
  <c r="A1476" i="25"/>
  <c r="A1477" i="25"/>
  <c r="A1478" i="25"/>
  <c r="A1479" i="25"/>
  <c r="A1480" i="25"/>
  <c r="A1481" i="25"/>
  <c r="A1482" i="25"/>
  <c r="A1483" i="25"/>
  <c r="A1484" i="25"/>
  <c r="A1485" i="25"/>
  <c r="A1486" i="25"/>
  <c r="A1487" i="25"/>
  <c r="A1488" i="25"/>
  <c r="A1489" i="25"/>
  <c r="A1490" i="25"/>
  <c r="A1491" i="25"/>
  <c r="A1492" i="25"/>
  <c r="A1493" i="25"/>
  <c r="A1494" i="25"/>
  <c r="A1495" i="25"/>
  <c r="A1496" i="25"/>
  <c r="A1497" i="25"/>
  <c r="A1498" i="25"/>
  <c r="A1499" i="25"/>
  <c r="A1500" i="25"/>
  <c r="A1501" i="25"/>
  <c r="A1502" i="25"/>
  <c r="A1503" i="25"/>
  <c r="A1504" i="25"/>
  <c r="A1505" i="25"/>
  <c r="A1506" i="25"/>
  <c r="A1507" i="25"/>
  <c r="A1508" i="25"/>
  <c r="A1509" i="25"/>
  <c r="A1510" i="25"/>
  <c r="A1511" i="25"/>
  <c r="A1512" i="25"/>
  <c r="A1513" i="25"/>
  <c r="A1514" i="25"/>
  <c r="A1515" i="25"/>
  <c r="A1516" i="25"/>
  <c r="A1517" i="25"/>
  <c r="A1518" i="25"/>
  <c r="A1519" i="25"/>
  <c r="A1520" i="25"/>
  <c r="A1521" i="25"/>
  <c r="A1522" i="25"/>
  <c r="A1523" i="25"/>
  <c r="A1524" i="25"/>
  <c r="A1525" i="25"/>
  <c r="A1526" i="25"/>
  <c r="A1527" i="25"/>
  <c r="A1528" i="25"/>
  <c r="A1529" i="25"/>
  <c r="A1530" i="25"/>
  <c r="A1531" i="25"/>
  <c r="A1532" i="25"/>
  <c r="A1533" i="25"/>
  <c r="A1534" i="25"/>
  <c r="A1535" i="25"/>
  <c r="A1536" i="25"/>
  <c r="A1537" i="25"/>
  <c r="A1538" i="25"/>
  <c r="A1539" i="25"/>
  <c r="A1540" i="25"/>
  <c r="A1541" i="25"/>
  <c r="A1542" i="25"/>
  <c r="A1543" i="25"/>
  <c r="A1544" i="25"/>
  <c r="A1545" i="25"/>
  <c r="A1546" i="25"/>
  <c r="A1547" i="25"/>
  <c r="A1548" i="25"/>
  <c r="A1549" i="25"/>
  <c r="A1550" i="25"/>
  <c r="A1551" i="25"/>
  <c r="A1552" i="25"/>
  <c r="A1553" i="25"/>
  <c r="A1554" i="25"/>
  <c r="A1555" i="25"/>
  <c r="A1556" i="25"/>
  <c r="A1557" i="25"/>
  <c r="A1558" i="25"/>
  <c r="A1559" i="25"/>
  <c r="A1560" i="25"/>
  <c r="A1561" i="25"/>
  <c r="A1562" i="25"/>
  <c r="A1563" i="25"/>
  <c r="A1564" i="25"/>
  <c r="A1565" i="25"/>
  <c r="A1566" i="25"/>
  <c r="A1567" i="25"/>
  <c r="A1568" i="25"/>
  <c r="A1569" i="25"/>
  <c r="A1570" i="25"/>
  <c r="A1571" i="25"/>
  <c r="A1572" i="25"/>
  <c r="A1573" i="25"/>
  <c r="A1574" i="25"/>
  <c r="A1575" i="25"/>
  <c r="A1576" i="25"/>
  <c r="A1577" i="25"/>
  <c r="A1578" i="25"/>
  <c r="A1579" i="25"/>
  <c r="A1580" i="25"/>
  <c r="A1581" i="25"/>
  <c r="A1582" i="25"/>
  <c r="A1583" i="25"/>
  <c r="A1584" i="25"/>
  <c r="A1585" i="25"/>
  <c r="A1586" i="25"/>
  <c r="A1587" i="25"/>
  <c r="A1588" i="25"/>
  <c r="A1589" i="25"/>
  <c r="A1590" i="25"/>
  <c r="A1591" i="25"/>
  <c r="A1592" i="25"/>
  <c r="A1593" i="25"/>
  <c r="A1594" i="25"/>
  <c r="A1595" i="25"/>
  <c r="A1596" i="25"/>
  <c r="A1597" i="25"/>
  <c r="A1598" i="25"/>
  <c r="A1599" i="25"/>
  <c r="A1600" i="25"/>
  <c r="A1601" i="25"/>
  <c r="A1602" i="25"/>
  <c r="A1603" i="25"/>
  <c r="A1604" i="25"/>
  <c r="A1605" i="25"/>
  <c r="A1606" i="25"/>
  <c r="A1607" i="25"/>
  <c r="A1608" i="25"/>
  <c r="A1609" i="25"/>
  <c r="A1610" i="25"/>
  <c r="A1611" i="25"/>
  <c r="A1612" i="25"/>
  <c r="A1613" i="25"/>
  <c r="A1614" i="25"/>
  <c r="A1615" i="25"/>
  <c r="A1616" i="25"/>
  <c r="A1617" i="25"/>
  <c r="A1618" i="25"/>
  <c r="A1619" i="25"/>
  <c r="A1620" i="25"/>
  <c r="A1621" i="25"/>
  <c r="A1622" i="25"/>
  <c r="A1623" i="25"/>
  <c r="A1624" i="25"/>
  <c r="A1625" i="25"/>
  <c r="A1626" i="25"/>
  <c r="A1627" i="25"/>
  <c r="A1628" i="25"/>
  <c r="A1629" i="25"/>
  <c r="A1630" i="25"/>
  <c r="A1631" i="25"/>
  <c r="A1632" i="25"/>
  <c r="A1633" i="25"/>
  <c r="A1634" i="25"/>
  <c r="A1635" i="25"/>
  <c r="A1636" i="25"/>
  <c r="A1637" i="25"/>
  <c r="A1638" i="25"/>
  <c r="A1639" i="25"/>
  <c r="A1640" i="25"/>
  <c r="A1641" i="25"/>
  <c r="A1642" i="25"/>
  <c r="A1643" i="25"/>
  <c r="A1644" i="25"/>
  <c r="A1645" i="25"/>
  <c r="A1646" i="25"/>
  <c r="A1647" i="25"/>
  <c r="A1648" i="25"/>
  <c r="A1649" i="25"/>
  <c r="A1650" i="25"/>
  <c r="A1651" i="25"/>
  <c r="A1652" i="25"/>
  <c r="A1653" i="25"/>
  <c r="A1654" i="25"/>
  <c r="A1655" i="25"/>
  <c r="A1656" i="25"/>
  <c r="A1657" i="25"/>
  <c r="A1658" i="25"/>
  <c r="A1659" i="25"/>
  <c r="A1660" i="25"/>
  <c r="A1661" i="25"/>
  <c r="A1662" i="25"/>
  <c r="A1663" i="25"/>
  <c r="A1664" i="25"/>
  <c r="A1665" i="25"/>
  <c r="A1666" i="25"/>
  <c r="A1667" i="25"/>
  <c r="A1668" i="25"/>
  <c r="A1669" i="25"/>
  <c r="A1670" i="25"/>
  <c r="A1671" i="25"/>
  <c r="A1672" i="25"/>
  <c r="A1673" i="25"/>
  <c r="A1674" i="25"/>
  <c r="A1675" i="25"/>
  <c r="A1676" i="25"/>
  <c r="A1677" i="25"/>
  <c r="A1678" i="25"/>
  <c r="A1679" i="25"/>
  <c r="A1680" i="25"/>
  <c r="A1681" i="25"/>
  <c r="A1682" i="25"/>
  <c r="A1683" i="25"/>
  <c r="A1684" i="25"/>
  <c r="A1685" i="25"/>
  <c r="A1686" i="25"/>
  <c r="A1687" i="25"/>
  <c r="A1688" i="25"/>
  <c r="A1689" i="25"/>
  <c r="A1690" i="25"/>
  <c r="A1691" i="25"/>
  <c r="A1692" i="25"/>
  <c r="A1693" i="25"/>
  <c r="A1694" i="25"/>
  <c r="A1695" i="25"/>
  <c r="A1696" i="25"/>
  <c r="A1697" i="25"/>
  <c r="A1698" i="25"/>
  <c r="A1699" i="25"/>
  <c r="A1700" i="25"/>
  <c r="A1701" i="25"/>
  <c r="A1702" i="25"/>
  <c r="A1703" i="25"/>
  <c r="A1704" i="25"/>
  <c r="A1705" i="25"/>
  <c r="A1706" i="25"/>
  <c r="A1707" i="25"/>
  <c r="A1708" i="25"/>
  <c r="A1709" i="25"/>
  <c r="A1710" i="25"/>
  <c r="A1711" i="25"/>
  <c r="A1712" i="25"/>
  <c r="A1713" i="25"/>
  <c r="A1714" i="25"/>
  <c r="A1715" i="25"/>
  <c r="A1716" i="25"/>
  <c r="A1717" i="25"/>
  <c r="A1718" i="25"/>
  <c r="A1719" i="25"/>
  <c r="A1720" i="25"/>
  <c r="A1721" i="25"/>
  <c r="A1722" i="25"/>
  <c r="A1723" i="25"/>
  <c r="A1724" i="25"/>
  <c r="A1725" i="25"/>
  <c r="A1726" i="25"/>
  <c r="A1727" i="25"/>
  <c r="A1728" i="25"/>
  <c r="A1729" i="25"/>
  <c r="A1730" i="25"/>
  <c r="A1731" i="25"/>
  <c r="A1732" i="25"/>
  <c r="A1733" i="25"/>
  <c r="A1734" i="25"/>
  <c r="A1735" i="25"/>
  <c r="A1736" i="25"/>
  <c r="A1737" i="25"/>
  <c r="A1738" i="25"/>
  <c r="A1739" i="25"/>
  <c r="A1740" i="25"/>
  <c r="A1741" i="25"/>
  <c r="A1742" i="25"/>
  <c r="A1743" i="25"/>
  <c r="A1744" i="25"/>
  <c r="A1745" i="25"/>
  <c r="A1746" i="25"/>
  <c r="A1747" i="25"/>
  <c r="A1748" i="25"/>
  <c r="A1749" i="25"/>
  <c r="A1750" i="25"/>
  <c r="A1751" i="25"/>
  <c r="A1752" i="25"/>
  <c r="A1753" i="25"/>
  <c r="A1754" i="25"/>
  <c r="A1755" i="25"/>
  <c r="A1756" i="25"/>
  <c r="A1757" i="25"/>
  <c r="A1758" i="25"/>
  <c r="A1759" i="25"/>
  <c r="A1760" i="25"/>
  <c r="A1761" i="25"/>
  <c r="A1762" i="25"/>
  <c r="A1763" i="25"/>
  <c r="A1764" i="25"/>
  <c r="A1765" i="25"/>
  <c r="A1766" i="25"/>
  <c r="A1767" i="25"/>
  <c r="A1768" i="25"/>
  <c r="A1769" i="25"/>
  <c r="A1770" i="25"/>
  <c r="A1771" i="25"/>
  <c r="A1772" i="25"/>
  <c r="A1773" i="25"/>
  <c r="A1774" i="25"/>
  <c r="A1775" i="25"/>
  <c r="A1776" i="25"/>
  <c r="A1777" i="25"/>
  <c r="A1778" i="25"/>
  <c r="A1779" i="25"/>
  <c r="A1780" i="25"/>
  <c r="A1781" i="25"/>
  <c r="A1782" i="25"/>
  <c r="A1783" i="25"/>
  <c r="A1784" i="25"/>
  <c r="A1785" i="25"/>
  <c r="A1786" i="25"/>
  <c r="A1787" i="25"/>
  <c r="A1788" i="25"/>
  <c r="A1789" i="25"/>
  <c r="A1790" i="25"/>
  <c r="A1791" i="25"/>
  <c r="A1792" i="25"/>
  <c r="A1793" i="25"/>
  <c r="A1794" i="25"/>
  <c r="A22" i="25"/>
  <c r="A23" i="25"/>
  <c r="A24" i="25"/>
  <c r="A25" i="25"/>
  <c r="A26" i="25"/>
  <c r="A27" i="25"/>
  <c r="A21" i="25"/>
  <c r="A20" i="25"/>
  <c r="A19" i="25"/>
  <c r="A18" i="25"/>
  <c r="A17" i="25"/>
  <c r="A16" i="25"/>
  <c r="A15" i="25"/>
  <c r="A14" i="25"/>
  <c r="H10" i="25"/>
  <c r="I10" i="25" s="1"/>
  <c r="C3" i="2"/>
  <c r="I17" i="6"/>
  <c r="J17" i="6" s="1"/>
  <c r="F10" i="20"/>
  <c r="D10" i="20"/>
  <c r="E10" i="20" s="1"/>
  <c r="G13" i="6"/>
  <c r="G28" i="6"/>
  <c r="I28" i="6" s="1"/>
  <c r="G27" i="6"/>
  <c r="H27" i="6" s="1"/>
  <c r="G26" i="6"/>
  <c r="J26" i="6" s="1"/>
  <c r="B8" i="23"/>
  <c r="B8" i="22"/>
  <c r="E267" i="8"/>
  <c r="D267" i="8"/>
  <c r="C267" i="8"/>
  <c r="B267" i="8"/>
  <c r="A267" i="8"/>
  <c r="E266" i="8"/>
  <c r="D266" i="8"/>
  <c r="C266" i="8"/>
  <c r="B266" i="8"/>
  <c r="A266" i="8"/>
  <c r="A16" i="8"/>
  <c r="B16" i="8"/>
  <c r="C16" i="8"/>
  <c r="D16" i="8"/>
  <c r="E16" i="8"/>
  <c r="A17" i="8"/>
  <c r="B17" i="8"/>
  <c r="C17" i="8"/>
  <c r="D17" i="8"/>
  <c r="E17" i="8"/>
  <c r="A18" i="8"/>
  <c r="B18" i="8"/>
  <c r="C18" i="8"/>
  <c r="D18" i="8"/>
  <c r="E18" i="8"/>
  <c r="A19" i="8"/>
  <c r="B19" i="8"/>
  <c r="C19" i="8"/>
  <c r="D19" i="8"/>
  <c r="E19" i="8"/>
  <c r="A20" i="8"/>
  <c r="B20" i="8"/>
  <c r="C20" i="8"/>
  <c r="D20" i="8"/>
  <c r="E20" i="8"/>
  <c r="A21" i="8"/>
  <c r="B21" i="8"/>
  <c r="C21" i="8"/>
  <c r="D21" i="8"/>
  <c r="E21" i="8"/>
  <c r="A22" i="8"/>
  <c r="B22" i="8"/>
  <c r="C22" i="8"/>
  <c r="D22" i="8"/>
  <c r="E22" i="8"/>
  <c r="A23" i="8"/>
  <c r="B23" i="8"/>
  <c r="C23" i="8"/>
  <c r="D23" i="8"/>
  <c r="E23" i="8"/>
  <c r="A24" i="8"/>
  <c r="B24" i="8"/>
  <c r="C24" i="8"/>
  <c r="D24" i="8"/>
  <c r="E24" i="8"/>
  <c r="A25" i="8"/>
  <c r="B25" i="8"/>
  <c r="C25" i="8"/>
  <c r="D25" i="8"/>
  <c r="E25" i="8"/>
  <c r="A26" i="8"/>
  <c r="B26" i="8"/>
  <c r="C26" i="8"/>
  <c r="D26" i="8"/>
  <c r="E26" i="8"/>
  <c r="A27" i="8"/>
  <c r="B27" i="8"/>
  <c r="C27" i="8"/>
  <c r="D27" i="8"/>
  <c r="E27" i="8"/>
  <c r="A28" i="8"/>
  <c r="B28" i="8"/>
  <c r="C28" i="8"/>
  <c r="D28" i="8"/>
  <c r="E28" i="8"/>
  <c r="A29" i="8"/>
  <c r="B29" i="8"/>
  <c r="C29" i="8"/>
  <c r="D29" i="8"/>
  <c r="E29" i="8"/>
  <c r="A30" i="8"/>
  <c r="B30" i="8"/>
  <c r="C30" i="8"/>
  <c r="D30" i="8"/>
  <c r="E30" i="8"/>
  <c r="A31" i="8"/>
  <c r="B31" i="8"/>
  <c r="C31" i="8"/>
  <c r="D31" i="8"/>
  <c r="E31" i="8"/>
  <c r="A32" i="8"/>
  <c r="B32" i="8"/>
  <c r="C32" i="8"/>
  <c r="D32" i="8"/>
  <c r="E32" i="8"/>
  <c r="A33" i="8"/>
  <c r="B33" i="8"/>
  <c r="C33" i="8"/>
  <c r="D33" i="8"/>
  <c r="E33" i="8"/>
  <c r="A34" i="8"/>
  <c r="B34" i="8"/>
  <c r="C34" i="8"/>
  <c r="D34" i="8"/>
  <c r="E34" i="8"/>
  <c r="A35" i="8"/>
  <c r="B35" i="8"/>
  <c r="C35" i="8"/>
  <c r="D35" i="8"/>
  <c r="E35" i="8"/>
  <c r="A36" i="8"/>
  <c r="B36" i="8"/>
  <c r="C36" i="8"/>
  <c r="D36" i="8"/>
  <c r="E36" i="8"/>
  <c r="A37" i="8"/>
  <c r="B37" i="8"/>
  <c r="C37" i="8"/>
  <c r="D37" i="8"/>
  <c r="E37" i="8"/>
  <c r="A38" i="8"/>
  <c r="B38" i="8"/>
  <c r="C38" i="8"/>
  <c r="D38" i="8"/>
  <c r="E38" i="8"/>
  <c r="A39" i="8"/>
  <c r="B39" i="8"/>
  <c r="C39" i="8"/>
  <c r="D39" i="8"/>
  <c r="E39" i="8"/>
  <c r="A40" i="8"/>
  <c r="B40" i="8"/>
  <c r="C40" i="8"/>
  <c r="D40" i="8"/>
  <c r="E40" i="8"/>
  <c r="A41" i="8"/>
  <c r="B41" i="8"/>
  <c r="C41" i="8"/>
  <c r="D41" i="8"/>
  <c r="E41" i="8"/>
  <c r="A42" i="8"/>
  <c r="B42" i="8"/>
  <c r="C42" i="8"/>
  <c r="D42" i="8"/>
  <c r="E42" i="8"/>
  <c r="A43" i="8"/>
  <c r="B43" i="8"/>
  <c r="C43" i="8"/>
  <c r="D43" i="8"/>
  <c r="E43" i="8"/>
  <c r="A44" i="8"/>
  <c r="B44" i="8"/>
  <c r="C44" i="8"/>
  <c r="D44" i="8"/>
  <c r="E44" i="8"/>
  <c r="A45" i="8"/>
  <c r="B45" i="8"/>
  <c r="C45" i="8"/>
  <c r="D45" i="8"/>
  <c r="E45" i="8"/>
  <c r="A46" i="8"/>
  <c r="B46" i="8"/>
  <c r="C46" i="8"/>
  <c r="D46" i="8"/>
  <c r="E46" i="8"/>
  <c r="A47" i="8"/>
  <c r="B47" i="8"/>
  <c r="C47" i="8"/>
  <c r="D47" i="8"/>
  <c r="E47" i="8"/>
  <c r="A48" i="8"/>
  <c r="B48" i="8"/>
  <c r="C48" i="8"/>
  <c r="D48" i="8"/>
  <c r="E48" i="8"/>
  <c r="A49" i="8"/>
  <c r="B49" i="8"/>
  <c r="C49" i="8"/>
  <c r="D49" i="8"/>
  <c r="E49" i="8"/>
  <c r="A50" i="8"/>
  <c r="B50" i="8"/>
  <c r="C50" i="8"/>
  <c r="D50" i="8"/>
  <c r="E50" i="8"/>
  <c r="A51" i="8"/>
  <c r="B51" i="8"/>
  <c r="C51" i="8"/>
  <c r="D51" i="8"/>
  <c r="E51" i="8"/>
  <c r="A52" i="8"/>
  <c r="B52" i="8"/>
  <c r="C52" i="8"/>
  <c r="D52" i="8"/>
  <c r="E52" i="8"/>
  <c r="A53" i="8"/>
  <c r="B53" i="8"/>
  <c r="C53" i="8"/>
  <c r="D53" i="8"/>
  <c r="E53" i="8"/>
  <c r="A54" i="8"/>
  <c r="B54" i="8"/>
  <c r="C54" i="8"/>
  <c r="D54" i="8"/>
  <c r="E54" i="8"/>
  <c r="A55" i="8"/>
  <c r="B55" i="8"/>
  <c r="C55" i="8"/>
  <c r="D55" i="8"/>
  <c r="E55" i="8"/>
  <c r="A56" i="8"/>
  <c r="B56" i="8"/>
  <c r="C56" i="8"/>
  <c r="D56" i="8"/>
  <c r="E56" i="8"/>
  <c r="A57" i="8"/>
  <c r="B57" i="8"/>
  <c r="C57" i="8"/>
  <c r="D57" i="8"/>
  <c r="E57" i="8"/>
  <c r="A58" i="8"/>
  <c r="B58" i="8"/>
  <c r="C58" i="8"/>
  <c r="D58" i="8"/>
  <c r="E58" i="8"/>
  <c r="A59" i="8"/>
  <c r="B59" i="8"/>
  <c r="C59" i="8"/>
  <c r="D59" i="8"/>
  <c r="E59" i="8"/>
  <c r="A60" i="8"/>
  <c r="B60" i="8"/>
  <c r="C60" i="8"/>
  <c r="D60" i="8"/>
  <c r="E60" i="8"/>
  <c r="A61" i="8"/>
  <c r="B61" i="8"/>
  <c r="C61" i="8"/>
  <c r="D61" i="8"/>
  <c r="E61" i="8"/>
  <c r="A62" i="8"/>
  <c r="B62" i="8"/>
  <c r="C62" i="8"/>
  <c r="D62" i="8"/>
  <c r="E62" i="8"/>
  <c r="A63" i="8"/>
  <c r="B63" i="8"/>
  <c r="C63" i="8"/>
  <c r="D63" i="8"/>
  <c r="E63" i="8"/>
  <c r="A64" i="8"/>
  <c r="B64" i="8"/>
  <c r="C64" i="8"/>
  <c r="D64" i="8"/>
  <c r="E64" i="8"/>
  <c r="A65" i="8"/>
  <c r="B65" i="8"/>
  <c r="C65" i="8"/>
  <c r="D65" i="8"/>
  <c r="E65" i="8"/>
  <c r="A66" i="8"/>
  <c r="B66" i="8"/>
  <c r="C66" i="8"/>
  <c r="D66" i="8"/>
  <c r="E66" i="8"/>
  <c r="A67" i="8"/>
  <c r="B67" i="8"/>
  <c r="C67" i="8"/>
  <c r="D67" i="8"/>
  <c r="E67" i="8"/>
  <c r="A68" i="8"/>
  <c r="B68" i="8"/>
  <c r="C68" i="8"/>
  <c r="D68" i="8"/>
  <c r="E68" i="8"/>
  <c r="A69" i="8"/>
  <c r="B69" i="8"/>
  <c r="C69" i="8"/>
  <c r="D69" i="8"/>
  <c r="E69" i="8"/>
  <c r="A70" i="8"/>
  <c r="B70" i="8"/>
  <c r="C70" i="8"/>
  <c r="D70" i="8"/>
  <c r="E70" i="8"/>
  <c r="A71" i="8"/>
  <c r="B71" i="8"/>
  <c r="C71" i="8"/>
  <c r="D71" i="8"/>
  <c r="E71" i="8"/>
  <c r="A72" i="8"/>
  <c r="B72" i="8"/>
  <c r="C72" i="8"/>
  <c r="D72" i="8"/>
  <c r="E72" i="8"/>
  <c r="A73" i="8"/>
  <c r="B73" i="8"/>
  <c r="C73" i="8"/>
  <c r="D73" i="8"/>
  <c r="E73" i="8"/>
  <c r="A74" i="8"/>
  <c r="B74" i="8"/>
  <c r="C74" i="8"/>
  <c r="D74" i="8"/>
  <c r="E74" i="8"/>
  <c r="A75" i="8"/>
  <c r="B75" i="8"/>
  <c r="C75" i="8"/>
  <c r="D75" i="8"/>
  <c r="E75" i="8"/>
  <c r="A76" i="8"/>
  <c r="B76" i="8"/>
  <c r="C76" i="8"/>
  <c r="D76" i="8"/>
  <c r="E76" i="8"/>
  <c r="A77" i="8"/>
  <c r="B77" i="8"/>
  <c r="C77" i="8"/>
  <c r="D77" i="8"/>
  <c r="E77" i="8"/>
  <c r="A78" i="8"/>
  <c r="B78" i="8"/>
  <c r="C78" i="8"/>
  <c r="D78" i="8"/>
  <c r="E78" i="8"/>
  <c r="A79" i="8"/>
  <c r="B79" i="8"/>
  <c r="C79" i="8"/>
  <c r="D79" i="8"/>
  <c r="E79" i="8"/>
  <c r="A80" i="8"/>
  <c r="B80" i="8"/>
  <c r="C80" i="8"/>
  <c r="D80" i="8"/>
  <c r="E80" i="8"/>
  <c r="A81" i="8"/>
  <c r="B81" i="8"/>
  <c r="C81" i="8"/>
  <c r="D81" i="8"/>
  <c r="E81" i="8"/>
  <c r="A82" i="8"/>
  <c r="B82" i="8"/>
  <c r="C82" i="8"/>
  <c r="D82" i="8"/>
  <c r="E82" i="8"/>
  <c r="A83" i="8"/>
  <c r="B83" i="8"/>
  <c r="C83" i="8"/>
  <c r="D83" i="8"/>
  <c r="E83" i="8"/>
  <c r="A84" i="8"/>
  <c r="B84" i="8"/>
  <c r="C84" i="8"/>
  <c r="D84" i="8"/>
  <c r="E84" i="8"/>
  <c r="A85" i="8"/>
  <c r="B85" i="8"/>
  <c r="C85" i="8"/>
  <c r="D85" i="8"/>
  <c r="E85" i="8"/>
  <c r="A86" i="8"/>
  <c r="B86" i="8"/>
  <c r="C86" i="8"/>
  <c r="D86" i="8"/>
  <c r="E86" i="8"/>
  <c r="A87" i="8"/>
  <c r="B87" i="8"/>
  <c r="C87" i="8"/>
  <c r="D87" i="8"/>
  <c r="E87" i="8"/>
  <c r="A88" i="8"/>
  <c r="B88" i="8"/>
  <c r="C88" i="8"/>
  <c r="D88" i="8"/>
  <c r="E88" i="8"/>
  <c r="A89" i="8"/>
  <c r="B89" i="8"/>
  <c r="C89" i="8"/>
  <c r="D89" i="8"/>
  <c r="E89" i="8"/>
  <c r="A90" i="8"/>
  <c r="B90" i="8"/>
  <c r="C90" i="8"/>
  <c r="D90" i="8"/>
  <c r="E90" i="8"/>
  <c r="A91" i="8"/>
  <c r="B91" i="8"/>
  <c r="C91" i="8"/>
  <c r="D91" i="8"/>
  <c r="E91" i="8"/>
  <c r="A92" i="8"/>
  <c r="B92" i="8"/>
  <c r="C92" i="8"/>
  <c r="D92" i="8"/>
  <c r="E92" i="8"/>
  <c r="A93" i="8"/>
  <c r="B93" i="8"/>
  <c r="C93" i="8"/>
  <c r="D93" i="8"/>
  <c r="E93" i="8"/>
  <c r="A94" i="8"/>
  <c r="B94" i="8"/>
  <c r="C94" i="8"/>
  <c r="D94" i="8"/>
  <c r="E94" i="8"/>
  <c r="A95" i="8"/>
  <c r="B95" i="8"/>
  <c r="C95" i="8"/>
  <c r="D95" i="8"/>
  <c r="E95" i="8"/>
  <c r="A96" i="8"/>
  <c r="B96" i="8"/>
  <c r="C96" i="8"/>
  <c r="D96" i="8"/>
  <c r="E96" i="8"/>
  <c r="A97" i="8"/>
  <c r="B97" i="8"/>
  <c r="C97" i="8"/>
  <c r="D97" i="8"/>
  <c r="E97" i="8"/>
  <c r="A98" i="8"/>
  <c r="B98" i="8"/>
  <c r="C98" i="8"/>
  <c r="D98" i="8"/>
  <c r="E98" i="8"/>
  <c r="A99" i="8"/>
  <c r="B99" i="8"/>
  <c r="C99" i="8"/>
  <c r="D99" i="8"/>
  <c r="E99" i="8"/>
  <c r="A100" i="8"/>
  <c r="B100" i="8"/>
  <c r="C100" i="8"/>
  <c r="D100" i="8"/>
  <c r="E100" i="8"/>
  <c r="A101" i="8"/>
  <c r="B101" i="8"/>
  <c r="C101" i="8"/>
  <c r="D101" i="8"/>
  <c r="E101" i="8"/>
  <c r="A102" i="8"/>
  <c r="B102" i="8"/>
  <c r="C102" i="8"/>
  <c r="D102" i="8"/>
  <c r="E102" i="8"/>
  <c r="A103" i="8"/>
  <c r="B103" i="8"/>
  <c r="C103" i="8"/>
  <c r="D103" i="8"/>
  <c r="E103" i="8"/>
  <c r="A104" i="8"/>
  <c r="B104" i="8"/>
  <c r="C104" i="8"/>
  <c r="D104" i="8"/>
  <c r="E104" i="8"/>
  <c r="A105" i="8"/>
  <c r="B105" i="8"/>
  <c r="C105" i="8"/>
  <c r="D105" i="8"/>
  <c r="E105" i="8"/>
  <c r="A106" i="8"/>
  <c r="B106" i="8"/>
  <c r="C106" i="8"/>
  <c r="D106" i="8"/>
  <c r="E106" i="8"/>
  <c r="A107" i="8"/>
  <c r="B107" i="8"/>
  <c r="C107" i="8"/>
  <c r="D107" i="8"/>
  <c r="E107" i="8"/>
  <c r="A108" i="8"/>
  <c r="B108" i="8"/>
  <c r="C108" i="8"/>
  <c r="D108" i="8"/>
  <c r="E108" i="8"/>
  <c r="A109" i="8"/>
  <c r="B109" i="8"/>
  <c r="C109" i="8"/>
  <c r="D109" i="8"/>
  <c r="E109" i="8"/>
  <c r="A110" i="8"/>
  <c r="B110" i="8"/>
  <c r="C110" i="8"/>
  <c r="D110" i="8"/>
  <c r="E110" i="8"/>
  <c r="A111" i="8"/>
  <c r="B111" i="8"/>
  <c r="C111" i="8"/>
  <c r="D111" i="8"/>
  <c r="E111" i="8"/>
  <c r="A112" i="8"/>
  <c r="B112" i="8"/>
  <c r="C112" i="8"/>
  <c r="D112" i="8"/>
  <c r="E112" i="8"/>
  <c r="A113" i="8"/>
  <c r="B113" i="8"/>
  <c r="C113" i="8"/>
  <c r="D113" i="8"/>
  <c r="E113" i="8"/>
  <c r="A114" i="8"/>
  <c r="B114" i="8"/>
  <c r="C114" i="8"/>
  <c r="D114" i="8"/>
  <c r="E114" i="8"/>
  <c r="A115" i="8"/>
  <c r="B115" i="8"/>
  <c r="C115" i="8"/>
  <c r="D115" i="8"/>
  <c r="E115" i="8"/>
  <c r="A116" i="8"/>
  <c r="B116" i="8"/>
  <c r="C116" i="8"/>
  <c r="D116" i="8"/>
  <c r="E116" i="8"/>
  <c r="A117" i="8"/>
  <c r="B117" i="8"/>
  <c r="C117" i="8"/>
  <c r="D117" i="8"/>
  <c r="E117" i="8"/>
  <c r="A118" i="8"/>
  <c r="B118" i="8"/>
  <c r="C118" i="8"/>
  <c r="D118" i="8"/>
  <c r="E118" i="8"/>
  <c r="A119" i="8"/>
  <c r="B119" i="8"/>
  <c r="C119" i="8"/>
  <c r="D119" i="8"/>
  <c r="E119" i="8"/>
  <c r="A120" i="8"/>
  <c r="B120" i="8"/>
  <c r="C120" i="8"/>
  <c r="D120" i="8"/>
  <c r="E120" i="8"/>
  <c r="A121" i="8"/>
  <c r="B121" i="8"/>
  <c r="C121" i="8"/>
  <c r="D121" i="8"/>
  <c r="E121" i="8"/>
  <c r="A122" i="8"/>
  <c r="B122" i="8"/>
  <c r="C122" i="8"/>
  <c r="D122" i="8"/>
  <c r="E122" i="8"/>
  <c r="A123" i="8"/>
  <c r="B123" i="8"/>
  <c r="C123" i="8"/>
  <c r="D123" i="8"/>
  <c r="E123" i="8"/>
  <c r="A124" i="8"/>
  <c r="B124" i="8"/>
  <c r="C124" i="8"/>
  <c r="D124" i="8"/>
  <c r="E124" i="8"/>
  <c r="A125" i="8"/>
  <c r="B125" i="8"/>
  <c r="C125" i="8"/>
  <c r="D125" i="8"/>
  <c r="E125" i="8"/>
  <c r="A126" i="8"/>
  <c r="B126" i="8"/>
  <c r="C126" i="8"/>
  <c r="D126" i="8"/>
  <c r="E126" i="8"/>
  <c r="A127" i="8"/>
  <c r="B127" i="8"/>
  <c r="C127" i="8"/>
  <c r="D127" i="8"/>
  <c r="E127" i="8"/>
  <c r="A128" i="8"/>
  <c r="B128" i="8"/>
  <c r="C128" i="8"/>
  <c r="D128" i="8"/>
  <c r="E128" i="8"/>
  <c r="A129" i="8"/>
  <c r="B129" i="8"/>
  <c r="C129" i="8"/>
  <c r="D129" i="8"/>
  <c r="E129" i="8"/>
  <c r="A130" i="8"/>
  <c r="B130" i="8"/>
  <c r="C130" i="8"/>
  <c r="D130" i="8"/>
  <c r="E130" i="8"/>
  <c r="A131" i="8"/>
  <c r="B131" i="8"/>
  <c r="C131" i="8"/>
  <c r="D131" i="8"/>
  <c r="E131" i="8"/>
  <c r="A132" i="8"/>
  <c r="B132" i="8"/>
  <c r="C132" i="8"/>
  <c r="D132" i="8"/>
  <c r="E132" i="8"/>
  <c r="A133" i="8"/>
  <c r="B133" i="8"/>
  <c r="C133" i="8"/>
  <c r="D133" i="8"/>
  <c r="E133" i="8"/>
  <c r="A134" i="8"/>
  <c r="B134" i="8"/>
  <c r="C134" i="8"/>
  <c r="D134" i="8"/>
  <c r="E134" i="8"/>
  <c r="A135" i="8"/>
  <c r="B135" i="8"/>
  <c r="C135" i="8"/>
  <c r="D135" i="8"/>
  <c r="E135" i="8"/>
  <c r="A136" i="8"/>
  <c r="B136" i="8"/>
  <c r="C136" i="8"/>
  <c r="D136" i="8"/>
  <c r="E136" i="8"/>
  <c r="A137" i="8"/>
  <c r="B137" i="8"/>
  <c r="C137" i="8"/>
  <c r="D137" i="8"/>
  <c r="E137" i="8"/>
  <c r="A138" i="8"/>
  <c r="B138" i="8"/>
  <c r="C138" i="8"/>
  <c r="D138" i="8"/>
  <c r="E138" i="8"/>
  <c r="A139" i="8"/>
  <c r="B139" i="8"/>
  <c r="C139" i="8"/>
  <c r="D139" i="8"/>
  <c r="E139" i="8"/>
  <c r="A140" i="8"/>
  <c r="B140" i="8"/>
  <c r="C140" i="8"/>
  <c r="D140" i="8"/>
  <c r="E140" i="8"/>
  <c r="A141" i="8"/>
  <c r="B141" i="8"/>
  <c r="C141" i="8"/>
  <c r="D141" i="8"/>
  <c r="E141" i="8"/>
  <c r="A142" i="8"/>
  <c r="B142" i="8"/>
  <c r="C142" i="8"/>
  <c r="D142" i="8"/>
  <c r="E142" i="8"/>
  <c r="A143" i="8"/>
  <c r="B143" i="8"/>
  <c r="C143" i="8"/>
  <c r="D143" i="8"/>
  <c r="E143" i="8"/>
  <c r="A144" i="8"/>
  <c r="B144" i="8"/>
  <c r="C144" i="8"/>
  <c r="D144" i="8"/>
  <c r="E144" i="8"/>
  <c r="A145" i="8"/>
  <c r="B145" i="8"/>
  <c r="C145" i="8"/>
  <c r="D145" i="8"/>
  <c r="E145" i="8"/>
  <c r="A146" i="8"/>
  <c r="B146" i="8"/>
  <c r="C146" i="8"/>
  <c r="D146" i="8"/>
  <c r="E146" i="8"/>
  <c r="A147" i="8"/>
  <c r="B147" i="8"/>
  <c r="C147" i="8"/>
  <c r="D147" i="8"/>
  <c r="E147" i="8"/>
  <c r="A148" i="8"/>
  <c r="B148" i="8"/>
  <c r="C148" i="8"/>
  <c r="D148" i="8"/>
  <c r="E148" i="8"/>
  <c r="A149" i="8"/>
  <c r="B149" i="8"/>
  <c r="C149" i="8"/>
  <c r="D149" i="8"/>
  <c r="E149" i="8"/>
  <c r="A150" i="8"/>
  <c r="B150" i="8"/>
  <c r="C150" i="8"/>
  <c r="D150" i="8"/>
  <c r="E150" i="8"/>
  <c r="A151" i="8"/>
  <c r="B151" i="8"/>
  <c r="C151" i="8"/>
  <c r="D151" i="8"/>
  <c r="E151" i="8"/>
  <c r="A152" i="8"/>
  <c r="B152" i="8"/>
  <c r="C152" i="8"/>
  <c r="D152" i="8"/>
  <c r="E152" i="8"/>
  <c r="A153" i="8"/>
  <c r="B153" i="8"/>
  <c r="C153" i="8"/>
  <c r="D153" i="8"/>
  <c r="E153" i="8"/>
  <c r="A154" i="8"/>
  <c r="B154" i="8"/>
  <c r="C154" i="8"/>
  <c r="D154" i="8"/>
  <c r="E154" i="8"/>
  <c r="A155" i="8"/>
  <c r="B155" i="8"/>
  <c r="C155" i="8"/>
  <c r="D155" i="8"/>
  <c r="E155" i="8"/>
  <c r="A156" i="8"/>
  <c r="B156" i="8"/>
  <c r="C156" i="8"/>
  <c r="D156" i="8"/>
  <c r="E156" i="8"/>
  <c r="A157" i="8"/>
  <c r="B157" i="8"/>
  <c r="C157" i="8"/>
  <c r="D157" i="8"/>
  <c r="E157" i="8"/>
  <c r="A158" i="8"/>
  <c r="B158" i="8"/>
  <c r="C158" i="8"/>
  <c r="D158" i="8"/>
  <c r="E158" i="8"/>
  <c r="A159" i="8"/>
  <c r="B159" i="8"/>
  <c r="C159" i="8"/>
  <c r="D159" i="8"/>
  <c r="E159" i="8"/>
  <c r="A160" i="8"/>
  <c r="B160" i="8"/>
  <c r="C160" i="8"/>
  <c r="D160" i="8"/>
  <c r="E160" i="8"/>
  <c r="A161" i="8"/>
  <c r="B161" i="8"/>
  <c r="C161" i="8"/>
  <c r="D161" i="8"/>
  <c r="E161" i="8"/>
  <c r="A162" i="8"/>
  <c r="B162" i="8"/>
  <c r="C162" i="8"/>
  <c r="D162" i="8"/>
  <c r="E162" i="8"/>
  <c r="A163" i="8"/>
  <c r="B163" i="8"/>
  <c r="C163" i="8"/>
  <c r="D163" i="8"/>
  <c r="E163" i="8"/>
  <c r="A164" i="8"/>
  <c r="B164" i="8"/>
  <c r="C164" i="8"/>
  <c r="D164" i="8"/>
  <c r="E164" i="8"/>
  <c r="A165" i="8"/>
  <c r="B165" i="8"/>
  <c r="C165" i="8"/>
  <c r="D165" i="8"/>
  <c r="E165" i="8"/>
  <c r="A166" i="8"/>
  <c r="B166" i="8"/>
  <c r="C166" i="8"/>
  <c r="D166" i="8"/>
  <c r="E166" i="8"/>
  <c r="A167" i="8"/>
  <c r="B167" i="8"/>
  <c r="C167" i="8"/>
  <c r="D167" i="8"/>
  <c r="E167" i="8"/>
  <c r="A168" i="8"/>
  <c r="B168" i="8"/>
  <c r="C168" i="8"/>
  <c r="D168" i="8"/>
  <c r="E168" i="8"/>
  <c r="A169" i="8"/>
  <c r="B169" i="8"/>
  <c r="C169" i="8"/>
  <c r="D169" i="8"/>
  <c r="E169" i="8"/>
  <c r="A170" i="8"/>
  <c r="B170" i="8"/>
  <c r="C170" i="8"/>
  <c r="D170" i="8"/>
  <c r="E170" i="8"/>
  <c r="A171" i="8"/>
  <c r="B171" i="8"/>
  <c r="C171" i="8"/>
  <c r="D171" i="8"/>
  <c r="E171" i="8"/>
  <c r="A172" i="8"/>
  <c r="B172" i="8"/>
  <c r="C172" i="8"/>
  <c r="D172" i="8"/>
  <c r="E172" i="8"/>
  <c r="A173" i="8"/>
  <c r="B173" i="8"/>
  <c r="C173" i="8"/>
  <c r="D173" i="8"/>
  <c r="E173" i="8"/>
  <c r="A174" i="8"/>
  <c r="B174" i="8"/>
  <c r="C174" i="8"/>
  <c r="D174" i="8"/>
  <c r="E174" i="8"/>
  <c r="A175" i="8"/>
  <c r="B175" i="8"/>
  <c r="C175" i="8"/>
  <c r="D175" i="8"/>
  <c r="E175" i="8"/>
  <c r="A176" i="8"/>
  <c r="B176" i="8"/>
  <c r="C176" i="8"/>
  <c r="D176" i="8"/>
  <c r="E176" i="8"/>
  <c r="A177" i="8"/>
  <c r="B177" i="8"/>
  <c r="C177" i="8"/>
  <c r="D177" i="8"/>
  <c r="E177" i="8"/>
  <c r="A178" i="8"/>
  <c r="B178" i="8"/>
  <c r="C178" i="8"/>
  <c r="D178" i="8"/>
  <c r="E178" i="8"/>
  <c r="A179" i="8"/>
  <c r="B179" i="8"/>
  <c r="C179" i="8"/>
  <c r="D179" i="8"/>
  <c r="E179" i="8"/>
  <c r="A180" i="8"/>
  <c r="B180" i="8"/>
  <c r="C180" i="8"/>
  <c r="D180" i="8"/>
  <c r="E180" i="8"/>
  <c r="A181" i="8"/>
  <c r="B181" i="8"/>
  <c r="C181" i="8"/>
  <c r="D181" i="8"/>
  <c r="E181" i="8"/>
  <c r="A182" i="8"/>
  <c r="B182" i="8"/>
  <c r="C182" i="8"/>
  <c r="D182" i="8"/>
  <c r="E182" i="8"/>
  <c r="A183" i="8"/>
  <c r="B183" i="8"/>
  <c r="C183" i="8"/>
  <c r="D183" i="8"/>
  <c r="E183" i="8"/>
  <c r="A184" i="8"/>
  <c r="B184" i="8"/>
  <c r="C184" i="8"/>
  <c r="D184" i="8"/>
  <c r="E184" i="8"/>
  <c r="A185" i="8"/>
  <c r="B185" i="8"/>
  <c r="C185" i="8"/>
  <c r="D185" i="8"/>
  <c r="E185" i="8"/>
  <c r="A186" i="8"/>
  <c r="B186" i="8"/>
  <c r="C186" i="8"/>
  <c r="D186" i="8"/>
  <c r="E186" i="8"/>
  <c r="A187" i="8"/>
  <c r="B187" i="8"/>
  <c r="C187" i="8"/>
  <c r="D187" i="8"/>
  <c r="E187" i="8"/>
  <c r="A188" i="8"/>
  <c r="B188" i="8"/>
  <c r="C188" i="8"/>
  <c r="D188" i="8"/>
  <c r="E188" i="8"/>
  <c r="A189" i="8"/>
  <c r="B189" i="8"/>
  <c r="C189" i="8"/>
  <c r="D189" i="8"/>
  <c r="E189" i="8"/>
  <c r="A190" i="8"/>
  <c r="B190" i="8"/>
  <c r="C190" i="8"/>
  <c r="D190" i="8"/>
  <c r="E190" i="8"/>
  <c r="A191" i="8"/>
  <c r="B191" i="8"/>
  <c r="C191" i="8"/>
  <c r="D191" i="8"/>
  <c r="E191" i="8"/>
  <c r="A192" i="8"/>
  <c r="B192" i="8"/>
  <c r="C192" i="8"/>
  <c r="D192" i="8"/>
  <c r="E192" i="8"/>
  <c r="A193" i="8"/>
  <c r="B193" i="8"/>
  <c r="C193" i="8"/>
  <c r="D193" i="8"/>
  <c r="E193" i="8"/>
  <c r="A194" i="8"/>
  <c r="B194" i="8"/>
  <c r="C194" i="8"/>
  <c r="D194" i="8"/>
  <c r="E194" i="8"/>
  <c r="A195" i="8"/>
  <c r="B195" i="8"/>
  <c r="C195" i="8"/>
  <c r="D195" i="8"/>
  <c r="E195" i="8"/>
  <c r="A196" i="8"/>
  <c r="B196" i="8"/>
  <c r="C196" i="8"/>
  <c r="D196" i="8"/>
  <c r="E196" i="8"/>
  <c r="A197" i="8"/>
  <c r="B197" i="8"/>
  <c r="C197" i="8"/>
  <c r="D197" i="8"/>
  <c r="E197" i="8"/>
  <c r="A198" i="8"/>
  <c r="B198" i="8"/>
  <c r="C198" i="8"/>
  <c r="D198" i="8"/>
  <c r="E198" i="8"/>
  <c r="A199" i="8"/>
  <c r="B199" i="8"/>
  <c r="C199" i="8"/>
  <c r="D199" i="8"/>
  <c r="E199" i="8"/>
  <c r="A200" i="8"/>
  <c r="B200" i="8"/>
  <c r="C200" i="8"/>
  <c r="D200" i="8"/>
  <c r="E200" i="8"/>
  <c r="A201" i="8"/>
  <c r="B201" i="8"/>
  <c r="C201" i="8"/>
  <c r="D201" i="8"/>
  <c r="E201" i="8"/>
  <c r="A202" i="8"/>
  <c r="B202" i="8"/>
  <c r="C202" i="8"/>
  <c r="D202" i="8"/>
  <c r="E202" i="8"/>
  <c r="A203" i="8"/>
  <c r="B203" i="8"/>
  <c r="C203" i="8"/>
  <c r="D203" i="8"/>
  <c r="E203" i="8"/>
  <c r="A204" i="8"/>
  <c r="B204" i="8"/>
  <c r="C204" i="8"/>
  <c r="D204" i="8"/>
  <c r="E204" i="8"/>
  <c r="A205" i="8"/>
  <c r="B205" i="8"/>
  <c r="C205" i="8"/>
  <c r="D205" i="8"/>
  <c r="E205" i="8"/>
  <c r="A206" i="8"/>
  <c r="B206" i="8"/>
  <c r="C206" i="8"/>
  <c r="D206" i="8"/>
  <c r="E206" i="8"/>
  <c r="A207" i="8"/>
  <c r="B207" i="8"/>
  <c r="C207" i="8"/>
  <c r="D207" i="8"/>
  <c r="E207" i="8"/>
  <c r="A208" i="8"/>
  <c r="B208" i="8"/>
  <c r="C208" i="8"/>
  <c r="D208" i="8"/>
  <c r="E208" i="8"/>
  <c r="A209" i="8"/>
  <c r="B209" i="8"/>
  <c r="C209" i="8"/>
  <c r="D209" i="8"/>
  <c r="E209" i="8"/>
  <c r="A210" i="8"/>
  <c r="B210" i="8"/>
  <c r="C210" i="8"/>
  <c r="D210" i="8"/>
  <c r="E210" i="8"/>
  <c r="A211" i="8"/>
  <c r="B211" i="8"/>
  <c r="C211" i="8"/>
  <c r="D211" i="8"/>
  <c r="E211" i="8"/>
  <c r="A212" i="8"/>
  <c r="B212" i="8"/>
  <c r="C212" i="8"/>
  <c r="D212" i="8"/>
  <c r="E212" i="8"/>
  <c r="A213" i="8"/>
  <c r="B213" i="8"/>
  <c r="C213" i="8"/>
  <c r="D213" i="8"/>
  <c r="E213" i="8"/>
  <c r="A214" i="8"/>
  <c r="B214" i="8"/>
  <c r="C214" i="8"/>
  <c r="D214" i="8"/>
  <c r="E214" i="8"/>
  <c r="A215" i="8"/>
  <c r="B215" i="8"/>
  <c r="C215" i="8"/>
  <c r="D215" i="8"/>
  <c r="E215" i="8"/>
  <c r="A216" i="8"/>
  <c r="B216" i="8"/>
  <c r="C216" i="8"/>
  <c r="D216" i="8"/>
  <c r="E216" i="8"/>
  <c r="A217" i="8"/>
  <c r="B217" i="8"/>
  <c r="C217" i="8"/>
  <c r="D217" i="8"/>
  <c r="E217" i="8"/>
  <c r="A218" i="8"/>
  <c r="B218" i="8"/>
  <c r="C218" i="8"/>
  <c r="D218" i="8"/>
  <c r="E218" i="8"/>
  <c r="A219" i="8"/>
  <c r="B219" i="8"/>
  <c r="C219" i="8"/>
  <c r="D219" i="8"/>
  <c r="E219" i="8"/>
  <c r="A220" i="8"/>
  <c r="B220" i="8"/>
  <c r="C220" i="8"/>
  <c r="D220" i="8"/>
  <c r="E220" i="8"/>
  <c r="A221" i="8"/>
  <c r="B221" i="8"/>
  <c r="C221" i="8"/>
  <c r="D221" i="8"/>
  <c r="E221" i="8"/>
  <c r="A222" i="8"/>
  <c r="B222" i="8"/>
  <c r="C222" i="8"/>
  <c r="D222" i="8"/>
  <c r="E222" i="8"/>
  <c r="A223" i="8"/>
  <c r="B223" i="8"/>
  <c r="C223" i="8"/>
  <c r="D223" i="8"/>
  <c r="E223" i="8"/>
  <c r="A224" i="8"/>
  <c r="B224" i="8"/>
  <c r="C224" i="8"/>
  <c r="D224" i="8"/>
  <c r="E224" i="8"/>
  <c r="A225" i="8"/>
  <c r="B225" i="8"/>
  <c r="C225" i="8"/>
  <c r="D225" i="8"/>
  <c r="E225" i="8"/>
  <c r="A226" i="8"/>
  <c r="B226" i="8"/>
  <c r="C226" i="8"/>
  <c r="D226" i="8"/>
  <c r="E226" i="8"/>
  <c r="A227" i="8"/>
  <c r="B227" i="8"/>
  <c r="C227" i="8"/>
  <c r="D227" i="8"/>
  <c r="E227" i="8"/>
  <c r="A228" i="8"/>
  <c r="B228" i="8"/>
  <c r="C228" i="8"/>
  <c r="D228" i="8"/>
  <c r="E228" i="8"/>
  <c r="A229" i="8"/>
  <c r="B229" i="8"/>
  <c r="C229" i="8"/>
  <c r="D229" i="8"/>
  <c r="E229" i="8"/>
  <c r="A230" i="8"/>
  <c r="B230" i="8"/>
  <c r="C230" i="8"/>
  <c r="D230" i="8"/>
  <c r="E230" i="8"/>
  <c r="A231" i="8"/>
  <c r="B231" i="8"/>
  <c r="C231" i="8"/>
  <c r="D231" i="8"/>
  <c r="E231" i="8"/>
  <c r="A232" i="8"/>
  <c r="B232" i="8"/>
  <c r="C232" i="8"/>
  <c r="D232" i="8"/>
  <c r="E232" i="8"/>
  <c r="A233" i="8"/>
  <c r="B233" i="8"/>
  <c r="C233" i="8"/>
  <c r="D233" i="8"/>
  <c r="E233" i="8"/>
  <c r="A234" i="8"/>
  <c r="B234" i="8"/>
  <c r="C234" i="8"/>
  <c r="D234" i="8"/>
  <c r="E234" i="8"/>
  <c r="A235" i="8"/>
  <c r="B235" i="8"/>
  <c r="C235" i="8"/>
  <c r="D235" i="8"/>
  <c r="E235" i="8"/>
  <c r="A236" i="8"/>
  <c r="B236" i="8"/>
  <c r="C236" i="8"/>
  <c r="D236" i="8"/>
  <c r="E236" i="8"/>
  <c r="A237" i="8"/>
  <c r="B237" i="8"/>
  <c r="C237" i="8"/>
  <c r="D237" i="8"/>
  <c r="E237" i="8"/>
  <c r="A238" i="8"/>
  <c r="B238" i="8"/>
  <c r="C238" i="8"/>
  <c r="D238" i="8"/>
  <c r="E238" i="8"/>
  <c r="A239" i="8"/>
  <c r="B239" i="8"/>
  <c r="C239" i="8"/>
  <c r="D239" i="8"/>
  <c r="E239" i="8"/>
  <c r="A240" i="8"/>
  <c r="B240" i="8"/>
  <c r="C240" i="8"/>
  <c r="D240" i="8"/>
  <c r="E240" i="8"/>
  <c r="A241" i="8"/>
  <c r="B241" i="8"/>
  <c r="C241" i="8"/>
  <c r="D241" i="8"/>
  <c r="E241" i="8"/>
  <c r="A242" i="8"/>
  <c r="B242" i="8"/>
  <c r="C242" i="8"/>
  <c r="D242" i="8"/>
  <c r="E242" i="8"/>
  <c r="A243" i="8"/>
  <c r="B243" i="8"/>
  <c r="C243" i="8"/>
  <c r="D243" i="8"/>
  <c r="E243" i="8"/>
  <c r="A244" i="8"/>
  <c r="B244" i="8"/>
  <c r="C244" i="8"/>
  <c r="D244" i="8"/>
  <c r="E244" i="8"/>
  <c r="A245" i="8"/>
  <c r="B245" i="8"/>
  <c r="C245" i="8"/>
  <c r="D245" i="8"/>
  <c r="E245" i="8"/>
  <c r="A246" i="8"/>
  <c r="B246" i="8"/>
  <c r="C246" i="8"/>
  <c r="D246" i="8"/>
  <c r="E246" i="8"/>
  <c r="A247" i="8"/>
  <c r="B247" i="8"/>
  <c r="C247" i="8"/>
  <c r="D247" i="8"/>
  <c r="E247" i="8"/>
  <c r="A248" i="8"/>
  <c r="B248" i="8"/>
  <c r="C248" i="8"/>
  <c r="D248" i="8"/>
  <c r="E248" i="8"/>
  <c r="A249" i="8"/>
  <c r="B249" i="8"/>
  <c r="C249" i="8"/>
  <c r="D249" i="8"/>
  <c r="E249" i="8"/>
  <c r="A250" i="8"/>
  <c r="B250" i="8"/>
  <c r="C250" i="8"/>
  <c r="D250" i="8"/>
  <c r="E250" i="8"/>
  <c r="A251" i="8"/>
  <c r="B251" i="8"/>
  <c r="C251" i="8"/>
  <c r="D251" i="8"/>
  <c r="E251" i="8"/>
  <c r="A252" i="8"/>
  <c r="B252" i="8"/>
  <c r="C252" i="8"/>
  <c r="D252" i="8"/>
  <c r="E252" i="8"/>
  <c r="A253" i="8"/>
  <c r="B253" i="8"/>
  <c r="C253" i="8"/>
  <c r="D253" i="8"/>
  <c r="E253" i="8"/>
  <c r="A254" i="8"/>
  <c r="B254" i="8"/>
  <c r="C254" i="8"/>
  <c r="D254" i="8"/>
  <c r="E254" i="8"/>
  <c r="A255" i="8"/>
  <c r="B255" i="8"/>
  <c r="C255" i="8"/>
  <c r="D255" i="8"/>
  <c r="E255" i="8"/>
  <c r="A256" i="8"/>
  <c r="B256" i="8"/>
  <c r="C256" i="8"/>
  <c r="D256" i="8"/>
  <c r="E256" i="8"/>
  <c r="A257" i="8"/>
  <c r="B257" i="8"/>
  <c r="C257" i="8"/>
  <c r="D257" i="8"/>
  <c r="E257" i="8"/>
  <c r="A258" i="8"/>
  <c r="B258" i="8"/>
  <c r="C258" i="8"/>
  <c r="D258" i="8"/>
  <c r="E258" i="8"/>
  <c r="A259" i="8"/>
  <c r="B259" i="8"/>
  <c r="C259" i="8"/>
  <c r="D259" i="8"/>
  <c r="E259" i="8"/>
  <c r="A260" i="8"/>
  <c r="B260" i="8"/>
  <c r="C260" i="8"/>
  <c r="D260" i="8"/>
  <c r="E260" i="8"/>
  <c r="A261" i="8"/>
  <c r="B261" i="8"/>
  <c r="C261" i="8"/>
  <c r="D261" i="8"/>
  <c r="E261" i="8"/>
  <c r="A262" i="8"/>
  <c r="B262" i="8"/>
  <c r="C262" i="8"/>
  <c r="D262" i="8"/>
  <c r="E262" i="8"/>
  <c r="A263" i="8"/>
  <c r="B263" i="8"/>
  <c r="C263" i="8"/>
  <c r="D263" i="8"/>
  <c r="E263" i="8"/>
  <c r="A264" i="8"/>
  <c r="B264" i="8"/>
  <c r="C264" i="8"/>
  <c r="D264" i="8"/>
  <c r="E264" i="8"/>
  <c r="A265" i="8"/>
  <c r="B265" i="8"/>
  <c r="C265" i="8"/>
  <c r="D265" i="8"/>
  <c r="E265" i="8"/>
  <c r="E15" i="8"/>
  <c r="D15" i="8"/>
  <c r="C15" i="8"/>
  <c r="E71" i="2" l="1"/>
  <c r="D71" i="2" s="1"/>
  <c r="F71" i="2" s="1"/>
  <c r="G37" i="2"/>
  <c r="E30" i="2"/>
  <c r="D30" i="2" s="1"/>
  <c r="F30" i="2" s="1"/>
  <c r="G38" i="2"/>
  <c r="E70" i="2"/>
  <c r="D70" i="2" s="1"/>
  <c r="F70" i="2" s="1"/>
  <c r="G55" i="2"/>
  <c r="E29" i="2"/>
  <c r="D29" i="2" s="1"/>
  <c r="F29" i="2" s="1"/>
  <c r="G109" i="2"/>
  <c r="E96" i="2"/>
  <c r="D96" i="2" s="1"/>
  <c r="F96" i="2" s="1"/>
  <c r="G60" i="2"/>
  <c r="E65" i="2"/>
  <c r="D65" i="2" s="1"/>
  <c r="F65" i="2" s="1"/>
  <c r="G45" i="2"/>
  <c r="E113" i="2"/>
  <c r="D113" i="2" s="1"/>
  <c r="F113" i="2" s="1"/>
  <c r="G19" i="2"/>
  <c r="E129" i="2"/>
  <c r="D129" i="2" s="1"/>
  <c r="F129" i="2" s="1"/>
  <c r="G39" i="2"/>
  <c r="E114" i="2"/>
  <c r="D114" i="2" s="1"/>
  <c r="F114" i="2" s="1"/>
  <c r="G57" i="2"/>
  <c r="E117" i="2"/>
  <c r="D117" i="2" s="1"/>
  <c r="F117" i="2" s="1"/>
  <c r="G26" i="2"/>
  <c r="E76" i="2"/>
  <c r="D76" i="2" s="1"/>
  <c r="F76" i="2" s="1"/>
  <c r="G62" i="2"/>
  <c r="E66" i="2"/>
  <c r="D66" i="2" s="1"/>
  <c r="F66" i="2" s="1"/>
  <c r="G31" i="2"/>
  <c r="E9" i="2"/>
  <c r="D9" i="2" s="1"/>
  <c r="F9" i="2" s="1"/>
  <c r="G50" i="2"/>
  <c r="E58" i="2"/>
  <c r="D58" i="2" s="1"/>
  <c r="F58" i="2" s="1"/>
  <c r="G25" i="2"/>
  <c r="E64" i="2"/>
  <c r="D64" i="2" s="1"/>
  <c r="F64" i="2" s="1"/>
  <c r="G49" i="2"/>
  <c r="E42" i="2"/>
  <c r="D42" i="2" s="1"/>
  <c r="F42" i="2" s="1"/>
  <c r="G51" i="2"/>
  <c r="E20" i="2"/>
  <c r="D20" i="2" s="1"/>
  <c r="F20" i="2" s="1"/>
  <c r="G13" i="2"/>
  <c r="E120" i="2"/>
  <c r="D120" i="2" s="1"/>
  <c r="F120" i="2" s="1"/>
  <c r="G36" i="2"/>
  <c r="E127" i="2"/>
  <c r="D127" i="2" s="1"/>
  <c r="F127" i="2" s="1"/>
  <c r="G54" i="2"/>
  <c r="E79" i="2"/>
  <c r="D79" i="2" s="1"/>
  <c r="F79" i="2" s="1"/>
  <c r="G78" i="2"/>
  <c r="E67" i="2"/>
  <c r="D67" i="2" s="1"/>
  <c r="F67" i="2" s="1"/>
  <c r="G100" i="2"/>
  <c r="E47" i="2"/>
  <c r="D47" i="2" s="1"/>
  <c r="F47" i="2" s="1"/>
  <c r="G56" i="2"/>
  <c r="E80" i="2"/>
  <c r="D80" i="2" s="1"/>
  <c r="F80" i="2" s="1"/>
  <c r="G90" i="2"/>
  <c r="E59" i="2"/>
  <c r="D59" i="2" s="1"/>
  <c r="F59" i="2" s="1"/>
  <c r="G83" i="2"/>
  <c r="E61" i="2"/>
  <c r="D61" i="2" s="1"/>
  <c r="F61" i="2" s="1"/>
  <c r="G21" i="2"/>
  <c r="E18" i="2"/>
  <c r="D18" i="2" s="1"/>
  <c r="F18" i="2" s="1"/>
  <c r="G14" i="2"/>
  <c r="E8" i="2"/>
  <c r="D8" i="2" s="1"/>
  <c r="F8" i="2" s="1"/>
  <c r="G126" i="2"/>
  <c r="E22" i="2"/>
  <c r="D22" i="2" s="1"/>
  <c r="F22" i="2" s="1"/>
  <c r="G10" i="2"/>
  <c r="E16" i="2"/>
  <c r="D16" i="2" s="1"/>
  <c r="F16" i="2" s="1"/>
  <c r="G121" i="2"/>
  <c r="E46" i="2"/>
  <c r="D46" i="2" s="1"/>
  <c r="F46" i="2" s="1"/>
  <c r="G119" i="2"/>
  <c r="E124" i="2"/>
  <c r="D124" i="2" s="1"/>
  <c r="F124" i="2" s="1"/>
  <c r="G27" i="2"/>
  <c r="E125" i="2"/>
  <c r="D125" i="2" s="1"/>
  <c r="F125" i="2" s="1"/>
  <c r="G123" i="2"/>
  <c r="E63" i="2"/>
  <c r="D63" i="2" s="1"/>
  <c r="F63" i="2" s="1"/>
  <c r="G82" i="2"/>
  <c r="E52" i="2"/>
  <c r="D52" i="2" s="1"/>
  <c r="F52" i="2" s="1"/>
  <c r="G43" i="2"/>
  <c r="E122" i="2"/>
  <c r="D122" i="2" s="1"/>
  <c r="F122" i="2" s="1"/>
  <c r="G69" i="2"/>
  <c r="E17" i="2"/>
  <c r="D17" i="2" s="1"/>
  <c r="F17" i="2" s="1"/>
  <c r="G15" i="2"/>
  <c r="E24" i="2"/>
  <c r="D24" i="2" s="1"/>
  <c r="F24" i="2" s="1"/>
  <c r="G41" i="2"/>
  <c r="E95" i="2"/>
  <c r="D95" i="2" s="1"/>
  <c r="F95" i="2" s="1"/>
  <c r="G97" i="2"/>
  <c r="E68" i="2"/>
  <c r="D68" i="2" s="1"/>
  <c r="F68" i="2" s="1"/>
  <c r="G118" i="2"/>
  <c r="E11" i="2"/>
  <c r="D11" i="2" s="1"/>
  <c r="F11" i="2" s="1"/>
  <c r="G98" i="2"/>
  <c r="E23" i="2"/>
  <c r="D23" i="2" s="1"/>
  <c r="F23" i="2" s="1"/>
  <c r="G89" i="2"/>
  <c r="E107" i="2"/>
  <c r="D107" i="2" s="1"/>
  <c r="F107" i="2" s="1"/>
  <c r="G115" i="2"/>
  <c r="E105" i="2"/>
  <c r="D105" i="2" s="1"/>
  <c r="F105" i="2" s="1"/>
  <c r="G71" i="2"/>
  <c r="E37" i="2"/>
  <c r="D37" i="2" s="1"/>
  <c r="F37" i="2" s="1"/>
  <c r="G30" i="2"/>
  <c r="E38" i="2"/>
  <c r="D38" i="2" s="1"/>
  <c r="F38" i="2" s="1"/>
  <c r="G70" i="2"/>
  <c r="E55" i="2"/>
  <c r="D55" i="2" s="1"/>
  <c r="F55" i="2" s="1"/>
  <c r="G29" i="2"/>
  <c r="E109" i="2"/>
  <c r="D109" i="2" s="1"/>
  <c r="F109" i="2" s="1"/>
  <c r="G96" i="2"/>
  <c r="E60" i="2"/>
  <c r="D60" i="2" s="1"/>
  <c r="F60" i="2" s="1"/>
  <c r="G65" i="2"/>
  <c r="E45" i="2"/>
  <c r="D45" i="2" s="1"/>
  <c r="F45" i="2" s="1"/>
  <c r="G113" i="2"/>
  <c r="E19" i="2"/>
  <c r="D19" i="2" s="1"/>
  <c r="F19" i="2" s="1"/>
  <c r="G129" i="2"/>
  <c r="G8" i="6" s="1"/>
  <c r="H8" i="6" s="1"/>
  <c r="H9" i="6" s="1"/>
  <c r="G9" i="6" s="1"/>
  <c r="E39" i="2"/>
  <c r="D39" i="2" s="1"/>
  <c r="F39" i="2" s="1"/>
  <c r="G114" i="2"/>
  <c r="E57" i="2"/>
  <c r="D57" i="2" s="1"/>
  <c r="F57" i="2" s="1"/>
  <c r="G117" i="2"/>
  <c r="E26" i="2"/>
  <c r="D26" i="2" s="1"/>
  <c r="F26" i="2" s="1"/>
  <c r="G76" i="2"/>
  <c r="E62" i="2"/>
  <c r="D62" i="2" s="1"/>
  <c r="F62" i="2" s="1"/>
  <c r="G66" i="2"/>
  <c r="E31" i="2"/>
  <c r="D31" i="2" s="1"/>
  <c r="F31" i="2" s="1"/>
  <c r="G9" i="2"/>
  <c r="E50" i="2"/>
  <c r="D50" i="2" s="1"/>
  <c r="F50" i="2" s="1"/>
  <c r="G58" i="2"/>
  <c r="E25" i="2"/>
  <c r="D25" i="2" s="1"/>
  <c r="F25" i="2" s="1"/>
  <c r="G64" i="2"/>
  <c r="E49" i="2"/>
  <c r="D49" i="2" s="1"/>
  <c r="F49" i="2" s="1"/>
  <c r="G42" i="2"/>
  <c r="E51" i="2"/>
  <c r="D51" i="2" s="1"/>
  <c r="F51" i="2" s="1"/>
  <c r="G20" i="2"/>
  <c r="E13" i="2"/>
  <c r="D13" i="2" s="1"/>
  <c r="F13" i="2" s="1"/>
  <c r="G120" i="2"/>
  <c r="E36" i="2"/>
  <c r="D36" i="2" s="1"/>
  <c r="F36" i="2" s="1"/>
  <c r="G127" i="2"/>
  <c r="E54" i="2"/>
  <c r="D54" i="2" s="1"/>
  <c r="F54" i="2" s="1"/>
  <c r="G79" i="2"/>
  <c r="E78" i="2"/>
  <c r="D78" i="2" s="1"/>
  <c r="F78" i="2" s="1"/>
  <c r="G67" i="2"/>
  <c r="E100" i="2"/>
  <c r="D100" i="2" s="1"/>
  <c r="F100" i="2" s="1"/>
  <c r="G47" i="2"/>
  <c r="E56" i="2"/>
  <c r="D56" i="2" s="1"/>
  <c r="F56" i="2" s="1"/>
  <c r="G80" i="2"/>
  <c r="E90" i="2"/>
  <c r="D90" i="2" s="1"/>
  <c r="F90" i="2" s="1"/>
  <c r="G59" i="2"/>
  <c r="E83" i="2"/>
  <c r="D83" i="2" s="1"/>
  <c r="F83" i="2" s="1"/>
  <c r="G61" i="2"/>
  <c r="E21" i="2"/>
  <c r="D21" i="2" s="1"/>
  <c r="F21" i="2" s="1"/>
  <c r="G18" i="2"/>
  <c r="E14" i="2"/>
  <c r="D14" i="2" s="1"/>
  <c r="F14" i="2" s="1"/>
  <c r="G8" i="2"/>
  <c r="E126" i="2"/>
  <c r="D126" i="2" s="1"/>
  <c r="F126" i="2" s="1"/>
  <c r="G22" i="2"/>
  <c r="E10" i="2"/>
  <c r="D10" i="2" s="1"/>
  <c r="F10" i="2" s="1"/>
  <c r="G16" i="2"/>
  <c r="E121" i="2"/>
  <c r="D121" i="2" s="1"/>
  <c r="F121" i="2" s="1"/>
  <c r="G46" i="2"/>
  <c r="E119" i="2"/>
  <c r="D119" i="2" s="1"/>
  <c r="F119" i="2" s="1"/>
  <c r="G124" i="2"/>
  <c r="E27" i="2"/>
  <c r="D27" i="2" s="1"/>
  <c r="F27" i="2" s="1"/>
  <c r="G125" i="2"/>
  <c r="E123" i="2"/>
  <c r="D123" i="2" s="1"/>
  <c r="F123" i="2" s="1"/>
  <c r="G63" i="2"/>
  <c r="E82" i="2"/>
  <c r="D82" i="2" s="1"/>
  <c r="F82" i="2" s="1"/>
  <c r="G52" i="2"/>
  <c r="E43" i="2"/>
  <c r="D43" i="2" s="1"/>
  <c r="F43" i="2" s="1"/>
  <c r="G122" i="2"/>
  <c r="E69" i="2"/>
  <c r="D69" i="2" s="1"/>
  <c r="F69" i="2" s="1"/>
  <c r="G17" i="2"/>
  <c r="E15" i="2"/>
  <c r="D15" i="2" s="1"/>
  <c r="F15" i="2" s="1"/>
  <c r="G24" i="2"/>
  <c r="E41" i="2"/>
  <c r="D41" i="2" s="1"/>
  <c r="F41" i="2" s="1"/>
  <c r="G95" i="2"/>
  <c r="E97" i="2"/>
  <c r="D97" i="2" s="1"/>
  <c r="F97" i="2" s="1"/>
  <c r="G68" i="2"/>
  <c r="E118" i="2"/>
  <c r="D118" i="2" s="1"/>
  <c r="F118" i="2" s="1"/>
  <c r="G11" i="2"/>
  <c r="E98" i="2"/>
  <c r="D98" i="2" s="1"/>
  <c r="F98" i="2" s="1"/>
  <c r="G23" i="2"/>
  <c r="E89" i="2"/>
  <c r="D89" i="2" s="1"/>
  <c r="F89" i="2" s="1"/>
  <c r="G107" i="2"/>
  <c r="E115" i="2"/>
  <c r="D115" i="2" s="1"/>
  <c r="F115" i="2" s="1"/>
  <c r="G105" i="2"/>
  <c r="G103" i="2"/>
  <c r="E102" i="2"/>
  <c r="D102" i="2" s="1"/>
  <c r="F102" i="2" s="1"/>
  <c r="G75" i="2"/>
  <c r="E72" i="2"/>
  <c r="D72" i="2" s="1"/>
  <c r="F72" i="2" s="1"/>
  <c r="G35" i="2"/>
  <c r="E33" i="2"/>
  <c r="D33" i="2" s="1"/>
  <c r="F33" i="2" s="1"/>
  <c r="G111" i="2"/>
  <c r="E12" i="2"/>
  <c r="D12" i="2" s="1"/>
  <c r="F12" i="2" s="1"/>
  <c r="G91" i="2"/>
  <c r="E44" i="2"/>
  <c r="D44" i="2" s="1"/>
  <c r="F44" i="2" s="1"/>
  <c r="G106" i="2"/>
  <c r="E93" i="2"/>
  <c r="D93" i="2" s="1"/>
  <c r="F93" i="2" s="1"/>
  <c r="G85" i="2"/>
  <c r="E40" i="2"/>
  <c r="D40" i="2" s="1"/>
  <c r="F40" i="2" s="1"/>
  <c r="G108" i="2"/>
  <c r="E6" i="2"/>
  <c r="D6" i="2" s="1"/>
  <c r="F6" i="2" s="1"/>
  <c r="G87" i="2"/>
  <c r="E99" i="2"/>
  <c r="D99" i="2" s="1"/>
  <c r="F99" i="2" s="1"/>
  <c r="G28" i="2"/>
  <c r="E73" i="2"/>
  <c r="D73" i="2" s="1"/>
  <c r="F73" i="2" s="1"/>
  <c r="G53" i="2"/>
  <c r="E128" i="2"/>
  <c r="D128" i="2" s="1"/>
  <c r="F128" i="2" s="1"/>
  <c r="G130" i="2"/>
  <c r="E92" i="2"/>
  <c r="D92" i="2" s="1"/>
  <c r="F92" i="2" s="1"/>
  <c r="G101" i="2"/>
  <c r="E110" i="2"/>
  <c r="D110" i="2" s="1"/>
  <c r="F110" i="2" s="1"/>
  <c r="G84" i="2"/>
  <c r="E32" i="2"/>
  <c r="D32" i="2" s="1"/>
  <c r="F32" i="2" s="1"/>
  <c r="G48" i="2"/>
  <c r="E74" i="2"/>
  <c r="G94" i="2"/>
  <c r="E77" i="2"/>
  <c r="D77" i="2" s="1"/>
  <c r="F77" i="2" s="1"/>
  <c r="G7" i="2"/>
  <c r="E88" i="2"/>
  <c r="D88" i="2" s="1"/>
  <c r="F88" i="2" s="1"/>
  <c r="G81" i="2"/>
  <c r="E112" i="2"/>
  <c r="D112" i="2" s="1"/>
  <c r="F112" i="2" s="1"/>
  <c r="G116" i="2"/>
  <c r="E104" i="2"/>
  <c r="D104" i="2" s="1"/>
  <c r="F104" i="2" s="1"/>
  <c r="G34" i="2"/>
  <c r="E86" i="2"/>
  <c r="D86" i="2" s="1"/>
  <c r="F86" i="2" s="1"/>
  <c r="G131" i="2"/>
  <c r="E108" i="2"/>
  <c r="D108" i="2" s="1"/>
  <c r="F108" i="2" s="1"/>
  <c r="G6" i="2"/>
  <c r="E28" i="2"/>
  <c r="D28" i="2" s="1"/>
  <c r="F28" i="2" s="1"/>
  <c r="G73" i="2"/>
  <c r="E101" i="2"/>
  <c r="D101" i="2" s="1"/>
  <c r="F101" i="2" s="1"/>
  <c r="G110" i="2"/>
  <c r="G32" i="2"/>
  <c r="E48" i="2"/>
  <c r="D48" i="2" s="1"/>
  <c r="F48" i="2" s="1"/>
  <c r="G74" i="2"/>
  <c r="E94" i="2"/>
  <c r="D94" i="2" s="1"/>
  <c r="F94" i="2" s="1"/>
  <c r="G77" i="2"/>
  <c r="E7" i="2"/>
  <c r="D7" i="2" s="1"/>
  <c r="F7" i="2" s="1"/>
  <c r="G88" i="2"/>
  <c r="E81" i="2"/>
  <c r="D81" i="2" s="1"/>
  <c r="F81" i="2" s="1"/>
  <c r="G112" i="2"/>
  <c r="E116" i="2"/>
  <c r="D116" i="2" s="1"/>
  <c r="F116" i="2" s="1"/>
  <c r="G104" i="2"/>
  <c r="E131" i="2"/>
  <c r="D131" i="2" s="1"/>
  <c r="F131" i="2" s="1"/>
  <c r="E103" i="2"/>
  <c r="D103" i="2" s="1"/>
  <c r="F103" i="2" s="1"/>
  <c r="G102" i="2"/>
  <c r="E75" i="2"/>
  <c r="D75" i="2" s="1"/>
  <c r="F75" i="2" s="1"/>
  <c r="G72" i="2"/>
  <c r="E35" i="2"/>
  <c r="D35" i="2" s="1"/>
  <c r="F35" i="2" s="1"/>
  <c r="G33" i="2"/>
  <c r="E111" i="2"/>
  <c r="D111" i="2" s="1"/>
  <c r="F111" i="2" s="1"/>
  <c r="G12" i="2"/>
  <c r="E91" i="2"/>
  <c r="D91" i="2" s="1"/>
  <c r="F91" i="2" s="1"/>
  <c r="G44" i="2"/>
  <c r="E106" i="2"/>
  <c r="D106" i="2" s="1"/>
  <c r="F106" i="2" s="1"/>
  <c r="G93" i="2"/>
  <c r="E85" i="2"/>
  <c r="D85" i="2" s="1"/>
  <c r="F85" i="2" s="1"/>
  <c r="G40" i="2"/>
  <c r="E87" i="2"/>
  <c r="D87" i="2" s="1"/>
  <c r="F87" i="2" s="1"/>
  <c r="G99" i="2"/>
  <c r="E53" i="2"/>
  <c r="D53" i="2" s="1"/>
  <c r="F53" i="2" s="1"/>
  <c r="G128" i="2"/>
  <c r="E130" i="2"/>
  <c r="D130" i="2" s="1"/>
  <c r="F130" i="2" s="1"/>
  <c r="G92" i="2"/>
  <c r="E84" i="2"/>
  <c r="D84" i="2" s="1"/>
  <c r="F84" i="2" s="1"/>
  <c r="E34" i="2"/>
  <c r="D34" i="2" s="1"/>
  <c r="F34" i="2" s="1"/>
  <c r="G86" i="2"/>
  <c r="C6" i="10"/>
  <c r="L10" i="10" s="1"/>
  <c r="F6" i="25"/>
  <c r="F121" i="8"/>
  <c r="F15" i="8"/>
  <c r="F222" i="8"/>
  <c r="F206" i="8"/>
  <c r="F182" i="8"/>
  <c r="F234" i="8"/>
  <c r="F218" i="8"/>
  <c r="F215" i="8"/>
  <c r="F210" i="8"/>
  <c r="F202" i="8"/>
  <c r="F170" i="8"/>
  <c r="F154" i="8"/>
  <c r="F151" i="8"/>
  <c r="F146" i="8"/>
  <c r="F254" i="8"/>
  <c r="F246" i="8"/>
  <c r="F238" i="8"/>
  <c r="F230" i="8"/>
  <c r="F248" i="8"/>
  <c r="F117" i="8"/>
  <c r="F109" i="8"/>
  <c r="F214" i="8"/>
  <c r="F115" i="8"/>
  <c r="F158" i="8"/>
  <c r="F142" i="8"/>
  <c r="F150" i="8"/>
  <c r="F263" i="8"/>
  <c r="F239" i="8"/>
  <c r="F236" i="8"/>
  <c r="F212" i="8"/>
  <c r="F174" i="8"/>
  <c r="F261" i="8"/>
  <c r="F122" i="8"/>
  <c r="F253" i="8"/>
  <c r="F264" i="8"/>
  <c r="F201" i="8"/>
  <c r="F166" i="8"/>
  <c r="F101" i="8"/>
  <c r="F247" i="8"/>
  <c r="F244" i="8"/>
  <c r="F233" i="8"/>
  <c r="F225" i="8"/>
  <c r="F198" i="8"/>
  <c r="F190" i="8"/>
  <c r="F106" i="8"/>
  <c r="F242" i="8"/>
  <c r="F183" i="8"/>
  <c r="F134" i="8"/>
  <c r="F265" i="8"/>
  <c r="F251" i="8"/>
  <c r="F178" i="8"/>
  <c r="F175" i="8"/>
  <c r="F172" i="8"/>
  <c r="F148" i="8"/>
  <c r="F137" i="8"/>
  <c r="F113" i="8"/>
  <c r="F102" i="8"/>
  <c r="F256" i="8"/>
  <c r="F180" i="8"/>
  <c r="F169" i="8"/>
  <c r="F161" i="8"/>
  <c r="F126" i="8"/>
  <c r="F257" i="8"/>
  <c r="F138" i="8"/>
  <c r="F108" i="8"/>
  <c r="F103" i="8"/>
  <c r="F259" i="8"/>
  <c r="F231" i="8"/>
  <c r="F228" i="8"/>
  <c r="F217" i="8"/>
  <c r="F167" i="8"/>
  <c r="F164" i="8"/>
  <c r="F153" i="8"/>
  <c r="F114" i="8"/>
  <c r="F226" i="8"/>
  <c r="F223" i="8"/>
  <c r="F220" i="8"/>
  <c r="F209" i="8"/>
  <c r="F162" i="8"/>
  <c r="F159" i="8"/>
  <c r="F156" i="8"/>
  <c r="F145" i="8"/>
  <c r="F120" i="8"/>
  <c r="F196" i="8"/>
  <c r="F207" i="8"/>
  <c r="F204" i="8"/>
  <c r="F193" i="8"/>
  <c r="F143" i="8"/>
  <c r="F140" i="8"/>
  <c r="F129" i="8"/>
  <c r="F118" i="8"/>
  <c r="F199" i="8"/>
  <c r="F185" i="8"/>
  <c r="F135" i="8"/>
  <c r="F132" i="8"/>
  <c r="F110" i="8"/>
  <c r="F104" i="8"/>
  <c r="F241" i="8"/>
  <c r="F194" i="8"/>
  <c r="F191" i="8"/>
  <c r="F188" i="8"/>
  <c r="F177" i="8"/>
  <c r="F130" i="8"/>
  <c r="F127" i="8"/>
  <c r="F124" i="8"/>
  <c r="F119" i="8"/>
  <c r="F186" i="8"/>
  <c r="F105" i="8"/>
  <c r="F99" i="8"/>
  <c r="J20" i="6"/>
  <c r="I20" i="6"/>
  <c r="F49" i="8"/>
  <c r="F71" i="8"/>
  <c r="F57" i="8"/>
  <c r="F53" i="8"/>
  <c r="F51" i="8"/>
  <c r="F50" i="8"/>
  <c r="F48" i="8"/>
  <c r="F47" i="8"/>
  <c r="F44" i="8"/>
  <c r="F43" i="8"/>
  <c r="F26" i="8"/>
  <c r="F18" i="8"/>
  <c r="F87" i="8"/>
  <c r="F83" i="8"/>
  <c r="F77" i="8"/>
  <c r="F73" i="8"/>
  <c r="F72" i="8"/>
  <c r="F33" i="8"/>
  <c r="F93" i="8"/>
  <c r="F92" i="8"/>
  <c r="F90" i="8"/>
  <c r="F89" i="8"/>
  <c r="F88" i="8"/>
  <c r="F65" i="8"/>
  <c r="F61" i="8"/>
  <c r="F60" i="8"/>
  <c r="F58" i="8"/>
  <c r="F39" i="8"/>
  <c r="F37" i="8"/>
  <c r="F36" i="8"/>
  <c r="F34" i="8"/>
  <c r="F32" i="8"/>
  <c r="F31" i="8"/>
  <c r="F25" i="8"/>
  <c r="F24" i="8"/>
  <c r="F96" i="8"/>
  <c r="F95" i="8"/>
  <c r="F85" i="8"/>
  <c r="F84" i="8"/>
  <c r="F80" i="8"/>
  <c r="F79" i="8"/>
  <c r="F76" i="8"/>
  <c r="F75" i="8"/>
  <c r="F69" i="8"/>
  <c r="F68" i="8"/>
  <c r="F66" i="8"/>
  <c r="F64" i="8"/>
  <c r="F63" i="8"/>
  <c r="F55" i="8"/>
  <c r="F54" i="8"/>
  <c r="F45" i="8"/>
  <c r="F41" i="8"/>
  <c r="F40" i="8"/>
  <c r="F22" i="8"/>
  <c r="F19" i="8"/>
  <c r="F17" i="8"/>
  <c r="F20" i="6"/>
  <c r="F262" i="8"/>
  <c r="F258" i="8"/>
  <c r="F252" i="8"/>
  <c r="F250" i="8"/>
  <c r="F245" i="8"/>
  <c r="F243" i="8"/>
  <c r="F240" i="8"/>
  <c r="F237" i="8"/>
  <c r="F235" i="8"/>
  <c r="F232" i="8"/>
  <c r="F229" i="8"/>
  <c r="F227" i="8"/>
  <c r="F224" i="8"/>
  <c r="F221" i="8"/>
  <c r="F219" i="8"/>
  <c r="F216" i="8"/>
  <c r="F213" i="8"/>
  <c r="F211" i="8"/>
  <c r="F208" i="8"/>
  <c r="F205" i="8"/>
  <c r="F203" i="8"/>
  <c r="F200" i="8"/>
  <c r="F197" i="8"/>
  <c r="F195" i="8"/>
  <c r="F192" i="8"/>
  <c r="F189" i="8"/>
  <c r="F187" i="8"/>
  <c r="F184" i="8"/>
  <c r="F181" i="8"/>
  <c r="F179" i="8"/>
  <c r="F176" i="8"/>
  <c r="F173" i="8"/>
  <c r="F171" i="8"/>
  <c r="F168" i="8"/>
  <c r="F165" i="8"/>
  <c r="F163" i="8"/>
  <c r="F160" i="8"/>
  <c r="F157" i="8"/>
  <c r="F155" i="8"/>
  <c r="F152" i="8"/>
  <c r="F149" i="8"/>
  <c r="F147" i="8"/>
  <c r="F144" i="8"/>
  <c r="F141" i="8"/>
  <c r="F139" i="8"/>
  <c r="F136" i="8"/>
  <c r="F133" i="8"/>
  <c r="F131" i="8"/>
  <c r="F128" i="8"/>
  <c r="F125" i="8"/>
  <c r="F123" i="8"/>
  <c r="F116" i="8"/>
  <c r="F112" i="8"/>
  <c r="F111" i="8"/>
  <c r="F107" i="8"/>
  <c r="F100" i="8"/>
  <c r="F98" i="8"/>
  <c r="F97" i="8"/>
  <c r="F94" i="8"/>
  <c r="F91" i="8"/>
  <c r="F86" i="8"/>
  <c r="F82" i="8"/>
  <c r="F81" i="8"/>
  <c r="F78" i="8"/>
  <c r="F74" i="8"/>
  <c r="F70" i="8"/>
  <c r="F67" i="8"/>
  <c r="F62" i="8"/>
  <c r="F59" i="8"/>
  <c r="F56" i="8"/>
  <c r="F52" i="8"/>
  <c r="F46" i="8"/>
  <c r="F42" i="8"/>
  <c r="F38" i="8"/>
  <c r="F35" i="8"/>
  <c r="F30" i="8"/>
  <c r="F29" i="8"/>
  <c r="F28" i="8"/>
  <c r="F21" i="8"/>
  <c r="F20" i="8"/>
  <c r="F16" i="8"/>
  <c r="F267" i="8"/>
  <c r="F255" i="8"/>
  <c r="F249" i="8"/>
  <c r="F27" i="8"/>
  <c r="F260" i="8"/>
  <c r="F23" i="8"/>
  <c r="F266" i="8"/>
  <c r="H26" i="6"/>
  <c r="I26" i="6"/>
  <c r="I27" i="6"/>
  <c r="J28" i="6"/>
  <c r="H28" i="6"/>
  <c r="J27" i="6"/>
  <c r="J10" i="25"/>
  <c r="B12" i="3"/>
  <c r="D8" i="5"/>
  <c r="D8" i="4"/>
  <c r="D8" i="1"/>
  <c r="B15" i="8"/>
  <c r="B4" i="6" l="1"/>
  <c r="H22" i="6"/>
  <c r="F22" i="6"/>
  <c r="G22" i="6" s="1"/>
  <c r="H20" i="6"/>
  <c r="B4" i="1"/>
  <c r="C3" i="6"/>
  <c r="B3" i="6"/>
  <c r="A15" i="8"/>
  <c r="B4" i="5" l="1"/>
  <c r="B4" i="27"/>
  <c r="P1" i="6"/>
  <c r="L3" i="6" s="1"/>
  <c r="O12" i="6" s="1"/>
  <c r="O13" i="6" s="1"/>
  <c r="AF25" i="6" s="1"/>
  <c r="B4" i="4"/>
  <c r="B8" i="3"/>
  <c r="C8" i="3" s="1"/>
  <c r="H8" i="8"/>
  <c r="J4" i="6"/>
  <c r="I4" i="6"/>
  <c r="H4" i="6"/>
  <c r="G4" i="6"/>
  <c r="C2" i="6"/>
  <c r="O14" i="6" l="1"/>
  <c r="G14" i="6"/>
  <c r="Z3" i="6"/>
  <c r="AA12" i="6" s="1"/>
  <c r="AA13" i="6" s="1"/>
  <c r="V3" i="6"/>
  <c r="W12" i="6" s="1"/>
  <c r="W13" i="6" s="1"/>
  <c r="R3" i="6"/>
  <c r="N3" i="6"/>
  <c r="AB3" i="6"/>
  <c r="AC3" i="6" s="1"/>
  <c r="B5" i="3" s="1"/>
  <c r="AP5" i="6"/>
  <c r="AP3" i="6" s="1"/>
  <c r="AM3" i="6"/>
  <c r="AN3" i="6" s="1"/>
  <c r="B5" i="22" s="1"/>
  <c r="M3" i="6"/>
  <c r="AO3" i="6" s="1"/>
  <c r="B6" i="22" s="1"/>
  <c r="H5" i="6"/>
  <c r="H6" i="6"/>
  <c r="J5" i="6"/>
  <c r="J6" i="6"/>
  <c r="G5" i="6"/>
  <c r="G6" i="6"/>
  <c r="I5" i="6"/>
  <c r="I6" i="6"/>
  <c r="K8" i="8"/>
  <c r="I8" i="8"/>
  <c r="L8" i="8"/>
  <c r="J8" i="8"/>
  <c r="AA3" i="6" l="1"/>
  <c r="B5" i="5" s="1"/>
  <c r="O15" i="6"/>
  <c r="O16" i="6" s="1"/>
  <c r="AA14" i="6"/>
  <c r="AA15" i="6" s="1"/>
  <c r="J14" i="6"/>
  <c r="W14" i="6"/>
  <c r="W15" i="6" s="1"/>
  <c r="I14" i="6"/>
  <c r="W3" i="6"/>
  <c r="B5" i="27" s="1"/>
  <c r="S3" i="6"/>
  <c r="S12" i="6"/>
  <c r="S13" i="6" s="1"/>
  <c r="O3" i="6"/>
  <c r="AQ3" i="6"/>
  <c r="B5" i="23" s="1"/>
  <c r="AR3" i="6"/>
  <c r="AS3" i="6" s="1"/>
  <c r="B6" i="23" s="1"/>
  <c r="AI3" i="6"/>
  <c r="H5" i="8" s="1"/>
  <c r="AD3" i="6"/>
  <c r="B6" i="3" s="1"/>
  <c r="G15" i="6" l="1"/>
  <c r="AA16" i="6"/>
  <c r="J15" i="6" s="1"/>
  <c r="W16" i="6"/>
  <c r="I15" i="6" s="1"/>
  <c r="B5" i="4"/>
  <c r="S14" i="6"/>
  <c r="S15" i="6" s="1"/>
  <c r="H14" i="6"/>
  <c r="B5" i="1"/>
  <c r="AJ3" i="6"/>
  <c r="H6" i="8" s="1"/>
  <c r="S16" i="6" l="1"/>
  <c r="H15" i="6" s="1"/>
</calcChain>
</file>

<file path=xl/comments1.xml><?xml version="1.0" encoding="utf-8"?>
<comments xmlns="http://schemas.openxmlformats.org/spreadsheetml/2006/main">
  <authors>
    <author>EMP20130220</author>
  </authors>
  <commentList>
    <comment ref="D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C5" authorId="0" shapeId="0">
      <text>
        <r>
          <rPr>
            <sz val="9"/>
            <color indexed="81"/>
            <rFont val="돋움체"/>
            <family val="3"/>
            <charset val="129"/>
          </rPr>
          <t>0  - All Listed
1  - Manufacturing
2  - Banking
3  - Insurance
4  - Securities
6  - Mutual Savings
7  - Merchant Banking
8  - Credit Finance
9  - Other Financing
99 - Non-Classified</t>
        </r>
      </text>
    </comment>
    <comment ref="D5" authorId="0" shapeId="0">
      <text>
        <r>
          <rPr>
            <sz val="9"/>
            <color indexed="81"/>
            <rFont val="돋움체"/>
            <family val="3"/>
            <charset val="129"/>
          </rPr>
          <t>CO  - 보통주
CP  - 우선주 포함</t>
        </r>
      </text>
    </comment>
    <comment ref="B6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Composition date is the date 
when a particular sector(index, industry) 
was composed of corresponding companies. </t>
        </r>
      </text>
    </comment>
    <comment ref="C6" authorId="0" shapeId="0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>
      <text>
        <r>
          <rPr>
            <sz val="9"/>
            <color indexed="81"/>
            <rFont val="돋움체"/>
            <family val="3"/>
            <charset val="129"/>
          </rPr>
          <t>ALL - All Codes
COM - Only Company</t>
        </r>
      </text>
    </comment>
    <comment ref="D7" authorId="0" shapeId="0">
      <text>
        <r>
          <rPr>
            <sz val="9"/>
            <color indexed="81"/>
            <rFont val="돋움체"/>
            <family val="3"/>
            <charset val="129"/>
          </rPr>
          <t>0 - Not Fix Company
1 - Fix Company</t>
        </r>
      </text>
    </comment>
    <comment ref="C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#
#</t>
        </r>
      </text>
    </comment>
  </commentList>
</comments>
</file>

<file path=xl/comments2.xml><?xml version="1.0" encoding="utf-8"?>
<comments xmlns="http://schemas.openxmlformats.org/spreadsheetml/2006/main">
  <authors>
    <author>EMP20130220</author>
  </authors>
  <commentList>
    <comment ref="G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F5" authorId="0" shapeId="0">
      <text>
        <r>
          <rPr>
            <sz val="9"/>
            <color indexed="81"/>
            <rFont val="돋움체"/>
            <family val="3"/>
            <charset val="129"/>
          </rPr>
          <t>0  - All Listed
1  - Manufacturing
2  - Banking
3  - Insurance
4  - Securities
6  - Mutual Savings
7  - Merchant Banking
8  - Credit Finance
9  - Other Financing
99 - Non-Classified</t>
        </r>
      </text>
    </comment>
    <comment ref="G5" authorId="0" shapeId="0">
      <text>
        <r>
          <rPr>
            <sz val="9"/>
            <color indexed="81"/>
            <rFont val="돋움체"/>
            <family val="3"/>
            <charset val="129"/>
          </rPr>
          <t>CO  - 보통주
CP  - 우선주 포함</t>
        </r>
      </text>
    </comment>
    <comment ref="E6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Composition date is the date 
when a particular sector(index, industry) 
was composed of corresponding companies. </t>
        </r>
      </text>
    </comment>
    <comment ref="F6" authorId="0" shapeId="0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G6" authorId="0" shapeId="0">
      <text>
        <r>
          <rPr>
            <sz val="9"/>
            <color indexed="81"/>
            <rFont val="돋움체"/>
            <family val="3"/>
            <charset val="129"/>
          </rPr>
          <t>ALL - All Codes
COM - Only Company</t>
        </r>
      </text>
    </comment>
    <comment ref="G7" authorId="0" shapeId="0">
      <text>
        <r>
          <rPr>
            <sz val="9"/>
            <color indexed="81"/>
            <rFont val="돋움체"/>
            <family val="3"/>
            <charset val="129"/>
          </rPr>
          <t>0 - Not Fix Company
1 - Fix Company</t>
        </r>
      </text>
    </comment>
    <comment ref="F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#
#</t>
        </r>
      </text>
    </comment>
  </commentList>
</comments>
</file>

<file path=xl/comments3.xml><?xml version="1.0" encoding="utf-8"?>
<comments xmlns="http://schemas.openxmlformats.org/spreadsheetml/2006/main">
  <authors>
    <author>EMP20130220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 - All Listed
1  - Manufacturing
2  - Banking
3  - Insurance
4  - Securities
6  - Mutual Savings
7  - Merchant Banking
8  - Credit Finance
9  - Other Financing
99 - Non-Classified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#
#</t>
        </r>
      </text>
    </comment>
  </commentList>
</comments>
</file>

<file path=xl/comments4.xml><?xml version="1.0" encoding="utf-8"?>
<comments xmlns="http://schemas.openxmlformats.org/spreadsheetml/2006/main">
  <authors>
    <author>EMP20130220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 - All Listed
1  - Manufacturing
2  - Banking
3  - Insurance
4  - Securities
6  - Mutual Savings
7  - Merchant Banking
8  - Credit Finance
9  - Other Financing
99 - Non-Classified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#
#</t>
        </r>
      </text>
    </comment>
  </commentList>
</comments>
</file>

<file path=xl/comments5.xml><?xml version="1.0" encoding="utf-8"?>
<comments xmlns="http://schemas.openxmlformats.org/spreadsheetml/2006/main">
  <authors>
    <author>EMP20130220</author>
  </authors>
  <commentLis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3M : 3M Consensus
1M : 1M Consensus</t>
        </r>
      </text>
    </comment>
    <comment ref="C5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>
  <authors>
    <author>EMP20130220</author>
  </authors>
  <commentLis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3M : 3M Consensus
1M : 1M Consensus</t>
        </r>
      </text>
    </comment>
    <comment ref="C5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</commentList>
</comments>
</file>

<file path=xl/comments7.xml><?xml version="1.0" encoding="utf-8"?>
<comments xmlns="http://schemas.openxmlformats.org/spreadsheetml/2006/main">
  <authors>
    <author>EMP20130220</author>
  </authors>
  <commentLis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3M : 3M Consensus
1M : 1M Consensus</t>
        </r>
      </text>
    </comment>
    <comment ref="C5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</commentList>
</comments>
</file>

<file path=xl/comments8.xml><?xml version="1.0" encoding="utf-8"?>
<comments xmlns="http://schemas.openxmlformats.org/spreadsheetml/2006/main">
  <authors>
    <author>EMP20130220</author>
  </authors>
  <commentLis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3M : 3M Consensus
1M : 1M Consensus</t>
        </r>
      </text>
    </comment>
    <comment ref="C5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</commentList>
</comments>
</file>

<file path=xl/comments9.xml><?xml version="1.0" encoding="utf-8"?>
<comments xmlns="http://schemas.openxmlformats.org/spreadsheetml/2006/main">
  <authors>
    <author>EMP20130220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C5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6" authorId="0" shapeId="0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A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#
#</t>
        </r>
      </text>
    </comment>
  </commentList>
</comments>
</file>

<file path=xl/comments10.xml><?xml version="1.0" encoding="utf-8"?>
<comments xmlns="http://schemas.openxmlformats.org/spreadsheetml/2006/main">
  <authors>
    <author>EMP20130220</author>
  </authors>
  <commentList>
    <comment ref="H4" authorId="0" shapeId="0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I4" authorId="0" shapeId="0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I5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H6" authorId="0" shapeId="0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G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#
#</t>
        </r>
      </text>
    </comment>
  </commentList>
</comments>
</file>

<file path=xl/comments11.xml><?xml version="1.0" encoding="utf-8"?>
<comments xmlns="http://schemas.openxmlformats.org/spreadsheetml/2006/main">
  <authors>
    <author>EMP20130220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C5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6" authorId="0" shapeId="0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A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#
#</t>
        </r>
      </text>
    </comment>
  </commentList>
</comments>
</file>

<file path=xl/comments12.xml><?xml version="1.0" encoding="utf-8"?>
<comments xmlns="http://schemas.openxmlformats.org/spreadsheetml/2006/main">
  <authors>
    <author>EMP20130220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C5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6" authorId="0" shapeId="0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A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#
#</t>
        </r>
      </text>
    </comment>
  </commentList>
</comments>
</file>

<file path=xl/sharedStrings.xml><?xml version="1.0" encoding="utf-8"?>
<sst xmlns="http://schemas.openxmlformats.org/spreadsheetml/2006/main" count="27807" uniqueCount="7963">
  <si>
    <t>A000100</t>
  </si>
  <si>
    <t>CPW</t>
  </si>
  <si>
    <t>Korean</t>
  </si>
  <si>
    <t>25|3600|7.00</t>
  </si>
  <si>
    <t>유한양행</t>
  </si>
  <si>
    <t>우리투자증권</t>
  </si>
  <si>
    <t>KTB투자증권</t>
  </si>
  <si>
    <t>키움증권</t>
  </si>
  <si>
    <t>현대증권</t>
  </si>
  <si>
    <t>삼성증권</t>
  </si>
  <si>
    <t>동부증권</t>
  </si>
  <si>
    <t>동양증권</t>
  </si>
  <si>
    <t>영업이익</t>
  </si>
  <si>
    <t>Date</t>
  </si>
  <si>
    <t>Security</t>
  </si>
  <si>
    <t>Analyst</t>
  </si>
  <si>
    <t>E121500.M</t>
  </si>
  <si>
    <t>대우증권</t>
  </si>
  <si>
    <t>SK증권</t>
  </si>
  <si>
    <t>신영증권</t>
  </si>
  <si>
    <t>대신증권</t>
  </si>
  <si>
    <t>Company Consensus</t>
  </si>
  <si>
    <t>D</t>
  </si>
  <si>
    <t>9|3200|7.00</t>
  </si>
  <si>
    <t>Time Series (Company)</t>
  </si>
  <si>
    <t>S100300</t>
  </si>
  <si>
    <t>KRW/Shares</t>
  </si>
  <si>
    <t>S700040</t>
  </si>
  <si>
    <t>U610320</t>
  </si>
  <si>
    <t>9|2100|7.00</t>
  </si>
  <si>
    <t>U630320</t>
  </si>
  <si>
    <t>R100200</t>
  </si>
  <si>
    <t>M327200.M</t>
  </si>
  <si>
    <t>%</t>
  </si>
  <si>
    <t>10|4110|7.00</t>
  </si>
  <si>
    <t>Txt</t>
  </si>
  <si>
    <t>date</t>
    <phoneticPr fontId="2" type="noConversion"/>
  </si>
  <si>
    <t>W00</t>
  </si>
  <si>
    <t>CO</t>
  </si>
  <si>
    <t>R202500</t>
  </si>
  <si>
    <t>Type</t>
  </si>
  <si>
    <t>R100100</t>
  </si>
  <si>
    <t>R200380</t>
  </si>
  <si>
    <t>R200360</t>
  </si>
  <si>
    <t>R107800</t>
  </si>
  <si>
    <t>R108000</t>
  </si>
  <si>
    <t>R107900</t>
  </si>
  <si>
    <t>S102100</t>
  </si>
  <si>
    <t>E610550.M</t>
  </si>
  <si>
    <t>#</t>
  </si>
  <si>
    <t>8|4110|7.00</t>
  </si>
  <si>
    <t>A000020</t>
  </si>
  <si>
    <t>A000040</t>
  </si>
  <si>
    <t>A000050</t>
  </si>
  <si>
    <t>A000060</t>
  </si>
  <si>
    <t>A000070</t>
  </si>
  <si>
    <t>A000080</t>
  </si>
  <si>
    <t>A000120</t>
  </si>
  <si>
    <t>A000140</t>
  </si>
  <si>
    <t>A000150</t>
  </si>
  <si>
    <t>A000180</t>
  </si>
  <si>
    <t>A000210</t>
  </si>
  <si>
    <t>A000220</t>
  </si>
  <si>
    <t>A000230</t>
  </si>
  <si>
    <t>A000240</t>
  </si>
  <si>
    <t>A000250</t>
  </si>
  <si>
    <t>A000270</t>
  </si>
  <si>
    <t>A000300</t>
  </si>
  <si>
    <t>A000320</t>
  </si>
  <si>
    <t>A000360</t>
  </si>
  <si>
    <t>A000370</t>
  </si>
  <si>
    <t>A000390</t>
  </si>
  <si>
    <t>A000400</t>
  </si>
  <si>
    <t>A000420</t>
  </si>
  <si>
    <t>A000430</t>
  </si>
  <si>
    <t>A000440</t>
  </si>
  <si>
    <t>A000480</t>
  </si>
  <si>
    <t>A000490</t>
  </si>
  <si>
    <t>A000500</t>
  </si>
  <si>
    <t>A000520</t>
  </si>
  <si>
    <t>A000540</t>
  </si>
  <si>
    <t>A000590</t>
  </si>
  <si>
    <t>A000640</t>
  </si>
  <si>
    <t>A000650</t>
  </si>
  <si>
    <t>A000660</t>
  </si>
  <si>
    <t>A000670</t>
  </si>
  <si>
    <t>A000680</t>
  </si>
  <si>
    <t>A000700</t>
  </si>
  <si>
    <t>A000720</t>
  </si>
  <si>
    <t>A000760</t>
  </si>
  <si>
    <t>A000800</t>
  </si>
  <si>
    <t>A000810</t>
  </si>
  <si>
    <t>A000830</t>
  </si>
  <si>
    <t>A000850</t>
  </si>
  <si>
    <t>A000860</t>
  </si>
  <si>
    <t>A000880</t>
  </si>
  <si>
    <t>A000890</t>
  </si>
  <si>
    <t>A000910</t>
  </si>
  <si>
    <t>A000950</t>
  </si>
  <si>
    <t>A000970</t>
  </si>
  <si>
    <t>A000990</t>
  </si>
  <si>
    <t>A001000</t>
  </si>
  <si>
    <t>A001020</t>
  </si>
  <si>
    <t>A001040</t>
  </si>
  <si>
    <t>A001060</t>
  </si>
  <si>
    <t>A001070</t>
  </si>
  <si>
    <t>A001080</t>
  </si>
  <si>
    <t>A001120</t>
  </si>
  <si>
    <t>A001130</t>
  </si>
  <si>
    <t>A001140</t>
  </si>
  <si>
    <t>A001200</t>
  </si>
  <si>
    <t>A001210</t>
  </si>
  <si>
    <t>A001230</t>
  </si>
  <si>
    <t>A001250</t>
  </si>
  <si>
    <t>A001260</t>
  </si>
  <si>
    <t>A001270</t>
  </si>
  <si>
    <t>A001290</t>
  </si>
  <si>
    <t>A001300</t>
  </si>
  <si>
    <t>A001340</t>
  </si>
  <si>
    <t>A001360</t>
  </si>
  <si>
    <t>A001380</t>
  </si>
  <si>
    <t>A001390</t>
  </si>
  <si>
    <t>A001420</t>
  </si>
  <si>
    <t>A001430</t>
  </si>
  <si>
    <t>A001440</t>
  </si>
  <si>
    <t>A001450</t>
  </si>
  <si>
    <t>A001460</t>
  </si>
  <si>
    <t>A001470</t>
  </si>
  <si>
    <t>A001500</t>
  </si>
  <si>
    <t>A001510</t>
  </si>
  <si>
    <t>A001520</t>
  </si>
  <si>
    <t>A001530</t>
  </si>
  <si>
    <t>A001540</t>
  </si>
  <si>
    <t>A001550</t>
  </si>
  <si>
    <t>A001560</t>
  </si>
  <si>
    <t>A001570</t>
  </si>
  <si>
    <t>A001620</t>
  </si>
  <si>
    <t>A001630</t>
  </si>
  <si>
    <t>A001680</t>
  </si>
  <si>
    <t>A001720</t>
  </si>
  <si>
    <t>A001740</t>
  </si>
  <si>
    <t>A001750</t>
  </si>
  <si>
    <t>A001770</t>
  </si>
  <si>
    <t>A001780</t>
  </si>
  <si>
    <t>A001790</t>
  </si>
  <si>
    <t>A001800</t>
  </si>
  <si>
    <t>A001810</t>
  </si>
  <si>
    <t>A001820</t>
  </si>
  <si>
    <t>A001840</t>
  </si>
  <si>
    <t>A001880</t>
  </si>
  <si>
    <t>A001940</t>
  </si>
  <si>
    <t>A002000</t>
  </si>
  <si>
    <t>A002020</t>
  </si>
  <si>
    <t>A002030</t>
  </si>
  <si>
    <t>A002070</t>
  </si>
  <si>
    <t>A002100</t>
  </si>
  <si>
    <t>A002140</t>
  </si>
  <si>
    <t>A002170</t>
  </si>
  <si>
    <t>A002200</t>
  </si>
  <si>
    <t>A002210</t>
  </si>
  <si>
    <t>A002220</t>
  </si>
  <si>
    <t>A002230</t>
  </si>
  <si>
    <t>A002240</t>
  </si>
  <si>
    <t>A002250</t>
  </si>
  <si>
    <t>A002270</t>
  </si>
  <si>
    <t>A002290</t>
  </si>
  <si>
    <t>A002300</t>
  </si>
  <si>
    <t>A002310</t>
  </si>
  <si>
    <t>A002320</t>
  </si>
  <si>
    <t>A002350</t>
  </si>
  <si>
    <t>A002360</t>
  </si>
  <si>
    <t>A002380</t>
  </si>
  <si>
    <t>A002390</t>
  </si>
  <si>
    <t>A002410</t>
  </si>
  <si>
    <t>A002420</t>
  </si>
  <si>
    <t>A002450</t>
  </si>
  <si>
    <t>A002460</t>
  </si>
  <si>
    <t>A002530</t>
  </si>
  <si>
    <t>A002550</t>
  </si>
  <si>
    <t>A002600</t>
  </si>
  <si>
    <t>A002620</t>
  </si>
  <si>
    <t>A002630</t>
  </si>
  <si>
    <t>A002680</t>
  </si>
  <si>
    <t>A002700</t>
  </si>
  <si>
    <t>A002710</t>
  </si>
  <si>
    <t>A002720</t>
  </si>
  <si>
    <t>A002760</t>
  </si>
  <si>
    <t>A002780</t>
  </si>
  <si>
    <t>A002790</t>
  </si>
  <si>
    <t>A002810</t>
  </si>
  <si>
    <t>A002820</t>
  </si>
  <si>
    <t>A002840</t>
  </si>
  <si>
    <t>A002870</t>
  </si>
  <si>
    <t>A002880</t>
  </si>
  <si>
    <t>A002900</t>
  </si>
  <si>
    <t>A002920</t>
  </si>
  <si>
    <t>A002960</t>
  </si>
  <si>
    <t>A002990</t>
  </si>
  <si>
    <t>A003000</t>
  </si>
  <si>
    <t>A003010</t>
  </si>
  <si>
    <t>A003030</t>
  </si>
  <si>
    <t>A003060</t>
  </si>
  <si>
    <t>A003070</t>
  </si>
  <si>
    <t>A003080</t>
  </si>
  <si>
    <t>A003090</t>
  </si>
  <si>
    <t>A003100</t>
  </si>
  <si>
    <t>A003120</t>
  </si>
  <si>
    <t>A003160</t>
  </si>
  <si>
    <t>A003200</t>
  </si>
  <si>
    <t>A003220</t>
  </si>
  <si>
    <t>A003230</t>
  </si>
  <si>
    <t>A003240</t>
  </si>
  <si>
    <t>A003280</t>
  </si>
  <si>
    <t>A003300</t>
  </si>
  <si>
    <t>A003310</t>
  </si>
  <si>
    <t>A003350</t>
  </si>
  <si>
    <t>A003410</t>
  </si>
  <si>
    <t>A003450</t>
  </si>
  <si>
    <t>A003460</t>
  </si>
  <si>
    <t>A003470</t>
  </si>
  <si>
    <t>A003480</t>
  </si>
  <si>
    <t>A003490</t>
  </si>
  <si>
    <t>A003520</t>
  </si>
  <si>
    <t>A003530</t>
  </si>
  <si>
    <t>A003540</t>
  </si>
  <si>
    <t>A003550</t>
  </si>
  <si>
    <t>A003560</t>
  </si>
  <si>
    <t>A003570</t>
  </si>
  <si>
    <t>A003580</t>
  </si>
  <si>
    <t>A003600</t>
  </si>
  <si>
    <t>A003610</t>
  </si>
  <si>
    <t>A003620</t>
  </si>
  <si>
    <t>A003640</t>
  </si>
  <si>
    <t>A003650</t>
  </si>
  <si>
    <t>A003670</t>
  </si>
  <si>
    <t>A003680</t>
  </si>
  <si>
    <t>A003690</t>
  </si>
  <si>
    <t>A003720</t>
  </si>
  <si>
    <t>A003780</t>
  </si>
  <si>
    <t>A003800</t>
  </si>
  <si>
    <t>A003830</t>
  </si>
  <si>
    <t>A003850</t>
  </si>
  <si>
    <t>A003920</t>
  </si>
  <si>
    <t>A003940</t>
  </si>
  <si>
    <t>A003960</t>
  </si>
  <si>
    <t>A004000</t>
  </si>
  <si>
    <t>A004020</t>
  </si>
  <si>
    <t>A004060</t>
  </si>
  <si>
    <t>A004080</t>
  </si>
  <si>
    <t>A004090</t>
  </si>
  <si>
    <t>A004100</t>
  </si>
  <si>
    <t>A004130</t>
  </si>
  <si>
    <t>A004140</t>
  </si>
  <si>
    <t>A004150</t>
  </si>
  <si>
    <t>A004170</t>
  </si>
  <si>
    <t>A004200</t>
  </si>
  <si>
    <t>A004250</t>
  </si>
  <si>
    <t>A004270</t>
  </si>
  <si>
    <t>A004310</t>
  </si>
  <si>
    <t>A004320</t>
  </si>
  <si>
    <t>A004360</t>
  </si>
  <si>
    <t>A004370</t>
  </si>
  <si>
    <t>A004380</t>
  </si>
  <si>
    <t>A004410</t>
  </si>
  <si>
    <t>A004430</t>
  </si>
  <si>
    <t>A004450</t>
  </si>
  <si>
    <t>A004490</t>
  </si>
  <si>
    <t>A004540</t>
  </si>
  <si>
    <t>A004560</t>
  </si>
  <si>
    <t>A004590</t>
  </si>
  <si>
    <t>A004690</t>
  </si>
  <si>
    <t>A004700</t>
  </si>
  <si>
    <t>A004710</t>
  </si>
  <si>
    <t>A004720</t>
  </si>
  <si>
    <t>A004740</t>
  </si>
  <si>
    <t>A004770</t>
  </si>
  <si>
    <t>A004780</t>
  </si>
  <si>
    <t>A004790</t>
  </si>
  <si>
    <t>A004800</t>
  </si>
  <si>
    <t>A004830</t>
  </si>
  <si>
    <t>A004840</t>
  </si>
  <si>
    <t>A004870</t>
  </si>
  <si>
    <t>A004890</t>
  </si>
  <si>
    <t>A004910</t>
  </si>
  <si>
    <t>A004920</t>
  </si>
  <si>
    <t>A004960</t>
  </si>
  <si>
    <t>A004970</t>
  </si>
  <si>
    <t>A004980</t>
  </si>
  <si>
    <t>A004990</t>
  </si>
  <si>
    <t>A005010</t>
  </si>
  <si>
    <t>A005030</t>
  </si>
  <si>
    <t>A005070</t>
  </si>
  <si>
    <t>A005090</t>
  </si>
  <si>
    <t>A005110</t>
  </si>
  <si>
    <t>A005160</t>
  </si>
  <si>
    <t>A005180</t>
  </si>
  <si>
    <t>A005190</t>
  </si>
  <si>
    <t>A005250</t>
  </si>
  <si>
    <t>A005290</t>
  </si>
  <si>
    <t>A005300</t>
  </si>
  <si>
    <t>A005320</t>
  </si>
  <si>
    <t>A005360</t>
  </si>
  <si>
    <t>A005380</t>
  </si>
  <si>
    <t>A005390</t>
  </si>
  <si>
    <t>A005420</t>
  </si>
  <si>
    <t>A005430</t>
  </si>
  <si>
    <t>A005440</t>
  </si>
  <si>
    <t>A005450</t>
  </si>
  <si>
    <t>A005490</t>
  </si>
  <si>
    <t>A005500</t>
  </si>
  <si>
    <t>A005560</t>
  </si>
  <si>
    <t>A005610</t>
  </si>
  <si>
    <t>A005620</t>
  </si>
  <si>
    <t>A005670</t>
  </si>
  <si>
    <t>A005680</t>
  </si>
  <si>
    <t>A005690</t>
  </si>
  <si>
    <t>A005710</t>
  </si>
  <si>
    <t>A005720</t>
  </si>
  <si>
    <t>A005740</t>
  </si>
  <si>
    <t>A005750</t>
  </si>
  <si>
    <t>A005800</t>
  </si>
  <si>
    <t>A005810</t>
  </si>
  <si>
    <t>A005820</t>
  </si>
  <si>
    <t>A005830</t>
  </si>
  <si>
    <t>A005850</t>
  </si>
  <si>
    <t>A005860</t>
  </si>
  <si>
    <t>A005870</t>
  </si>
  <si>
    <t>A005880</t>
  </si>
  <si>
    <t>A005900</t>
  </si>
  <si>
    <t>A005930</t>
  </si>
  <si>
    <t>A005940</t>
  </si>
  <si>
    <t>A005950</t>
  </si>
  <si>
    <t>A005960</t>
  </si>
  <si>
    <t>A005980</t>
  </si>
  <si>
    <t>A005990</t>
  </si>
  <si>
    <t>A006040</t>
  </si>
  <si>
    <t>A006050</t>
  </si>
  <si>
    <t>A006060</t>
  </si>
  <si>
    <t>A006090</t>
  </si>
  <si>
    <t>A006110</t>
  </si>
  <si>
    <t>A006120</t>
  </si>
  <si>
    <t>A006140</t>
  </si>
  <si>
    <t>A006200</t>
  </si>
  <si>
    <t>A006220</t>
  </si>
  <si>
    <t>A006260</t>
  </si>
  <si>
    <t>A006280</t>
  </si>
  <si>
    <t>A006340</t>
  </si>
  <si>
    <t>A006350</t>
  </si>
  <si>
    <t>A006360</t>
  </si>
  <si>
    <t>A006370</t>
  </si>
  <si>
    <t>A006380</t>
  </si>
  <si>
    <t>A006390</t>
  </si>
  <si>
    <t>A006400</t>
  </si>
  <si>
    <t>A006490</t>
  </si>
  <si>
    <t>A006570</t>
  </si>
  <si>
    <t>A006580</t>
  </si>
  <si>
    <t>A006650</t>
  </si>
  <si>
    <t>A006660</t>
  </si>
  <si>
    <t>A006730</t>
  </si>
  <si>
    <t>A006740</t>
  </si>
  <si>
    <t>A006800</t>
  </si>
  <si>
    <t>A006840</t>
  </si>
  <si>
    <t>A006890</t>
  </si>
  <si>
    <t>A006910</t>
  </si>
  <si>
    <t>A006920</t>
  </si>
  <si>
    <t>A006980</t>
  </si>
  <si>
    <t>A007110</t>
  </si>
  <si>
    <t>A007120</t>
  </si>
  <si>
    <t>A007160</t>
  </si>
  <si>
    <t>A007190</t>
  </si>
  <si>
    <t>A007210</t>
  </si>
  <si>
    <t>A007280</t>
  </si>
  <si>
    <t>A007310</t>
  </si>
  <si>
    <t>A007330</t>
  </si>
  <si>
    <t>A007340</t>
  </si>
  <si>
    <t>A007370</t>
  </si>
  <si>
    <t>A007390</t>
  </si>
  <si>
    <t>A007460</t>
  </si>
  <si>
    <t>A007530</t>
  </si>
  <si>
    <t>A007540</t>
  </si>
  <si>
    <t>A007570</t>
  </si>
  <si>
    <t>A007590</t>
  </si>
  <si>
    <t>A007610</t>
  </si>
  <si>
    <t>A007630</t>
  </si>
  <si>
    <t>A007660</t>
  </si>
  <si>
    <t>A007690</t>
  </si>
  <si>
    <t>A007700</t>
  </si>
  <si>
    <t>A007720</t>
  </si>
  <si>
    <t>A007770</t>
  </si>
  <si>
    <t>A007810</t>
  </si>
  <si>
    <t>A007860</t>
  </si>
  <si>
    <t>A007980</t>
  </si>
  <si>
    <t>A008000</t>
  </si>
  <si>
    <t>A008020</t>
  </si>
  <si>
    <t>A008040</t>
  </si>
  <si>
    <t>A008060</t>
  </si>
  <si>
    <t>A008080</t>
  </si>
  <si>
    <t>A008110</t>
  </si>
  <si>
    <t>A008250</t>
  </si>
  <si>
    <t>A008260</t>
  </si>
  <si>
    <t>A008290</t>
  </si>
  <si>
    <t>A008350</t>
  </si>
  <si>
    <t>A008370</t>
  </si>
  <si>
    <t>A008420</t>
  </si>
  <si>
    <t>A008490</t>
  </si>
  <si>
    <t>A008500</t>
  </si>
  <si>
    <t>A008560</t>
  </si>
  <si>
    <t>A008600</t>
  </si>
  <si>
    <t>A008700</t>
  </si>
  <si>
    <t>A008720</t>
  </si>
  <si>
    <t>A008730</t>
  </si>
  <si>
    <t>A008770</t>
  </si>
  <si>
    <t>A008800</t>
  </si>
  <si>
    <t>A008830</t>
  </si>
  <si>
    <t>A008870</t>
  </si>
  <si>
    <t>A008900</t>
  </si>
  <si>
    <t>A008930</t>
  </si>
  <si>
    <t>A008970</t>
  </si>
  <si>
    <t>A009070</t>
  </si>
  <si>
    <t>A009140</t>
  </si>
  <si>
    <t>A009150</t>
  </si>
  <si>
    <t>A009160</t>
  </si>
  <si>
    <t>A009180</t>
  </si>
  <si>
    <t>A009190</t>
  </si>
  <si>
    <t>A009200</t>
  </si>
  <si>
    <t>A009240</t>
  </si>
  <si>
    <t>A009270</t>
  </si>
  <si>
    <t>A009290</t>
  </si>
  <si>
    <t>A009300</t>
  </si>
  <si>
    <t>A009310</t>
  </si>
  <si>
    <t>A009320</t>
  </si>
  <si>
    <t>A009410</t>
  </si>
  <si>
    <t>A009420</t>
  </si>
  <si>
    <t>A009440</t>
  </si>
  <si>
    <t>A009450</t>
  </si>
  <si>
    <t>A009460</t>
  </si>
  <si>
    <t>A009470</t>
  </si>
  <si>
    <t>A009520</t>
  </si>
  <si>
    <t>A009540</t>
  </si>
  <si>
    <t>A009580</t>
  </si>
  <si>
    <t>A009620</t>
  </si>
  <si>
    <t>A009680</t>
  </si>
  <si>
    <t>A009730</t>
  </si>
  <si>
    <t>A009770</t>
  </si>
  <si>
    <t>A009780</t>
  </si>
  <si>
    <t>A009810</t>
  </si>
  <si>
    <t>A009830</t>
  </si>
  <si>
    <t>A009970</t>
  </si>
  <si>
    <t>A010040</t>
  </si>
  <si>
    <t>A010050</t>
  </si>
  <si>
    <t>A010060</t>
  </si>
  <si>
    <t>A010100</t>
  </si>
  <si>
    <t>A010120</t>
  </si>
  <si>
    <t>A010130</t>
  </si>
  <si>
    <t>A010140</t>
  </si>
  <si>
    <t>A010170</t>
  </si>
  <si>
    <t>A010240</t>
  </si>
  <si>
    <t>A010280</t>
  </si>
  <si>
    <t>A010420</t>
  </si>
  <si>
    <t>A010460</t>
  </si>
  <si>
    <t>A010470</t>
  </si>
  <si>
    <t>A010520</t>
  </si>
  <si>
    <t>A010580</t>
  </si>
  <si>
    <t>A010600</t>
  </si>
  <si>
    <t>A010620</t>
  </si>
  <si>
    <t>A010640</t>
  </si>
  <si>
    <t>A010660</t>
  </si>
  <si>
    <t>A010670</t>
  </si>
  <si>
    <t>A010690</t>
  </si>
  <si>
    <t>A010770</t>
  </si>
  <si>
    <t>A010780</t>
  </si>
  <si>
    <t>A010820</t>
  </si>
  <si>
    <t>A010950</t>
  </si>
  <si>
    <t>A010960</t>
  </si>
  <si>
    <t>A011000</t>
  </si>
  <si>
    <t>A011040</t>
  </si>
  <si>
    <t>A011070</t>
  </si>
  <si>
    <t>A011080</t>
  </si>
  <si>
    <t>A011090</t>
  </si>
  <si>
    <t>A011150</t>
  </si>
  <si>
    <t>A011160</t>
  </si>
  <si>
    <t>A011170</t>
  </si>
  <si>
    <t>A011200</t>
  </si>
  <si>
    <t>A011230</t>
  </si>
  <si>
    <t>A011280</t>
  </si>
  <si>
    <t>A011300</t>
  </si>
  <si>
    <t>A011320</t>
  </si>
  <si>
    <t>A011330</t>
  </si>
  <si>
    <t>A011370</t>
  </si>
  <si>
    <t>A011390</t>
  </si>
  <si>
    <t>A011420</t>
  </si>
  <si>
    <t>A011500</t>
  </si>
  <si>
    <t>A011560</t>
  </si>
  <si>
    <t>A011690</t>
  </si>
  <si>
    <t>A011700</t>
  </si>
  <si>
    <t>A011720</t>
  </si>
  <si>
    <t>A011760</t>
  </si>
  <si>
    <t>A011780</t>
  </si>
  <si>
    <t>A011790</t>
  </si>
  <si>
    <t>A011810</t>
  </si>
  <si>
    <t>A011930</t>
  </si>
  <si>
    <t>A012030</t>
  </si>
  <si>
    <t>A012170</t>
  </si>
  <si>
    <t>A012200</t>
  </si>
  <si>
    <t>A012280</t>
  </si>
  <si>
    <t>A012320</t>
  </si>
  <si>
    <t>A012330</t>
  </si>
  <si>
    <t>A012340</t>
  </si>
  <si>
    <t>A012450</t>
  </si>
  <si>
    <t>A012510</t>
  </si>
  <si>
    <t>A012600</t>
  </si>
  <si>
    <t>A012610</t>
  </si>
  <si>
    <t>A012620</t>
  </si>
  <si>
    <t>A012630</t>
  </si>
  <si>
    <t>A012650</t>
  </si>
  <si>
    <t>A012690</t>
  </si>
  <si>
    <t>A012700</t>
  </si>
  <si>
    <t>A012750</t>
  </si>
  <si>
    <t>A012790</t>
  </si>
  <si>
    <t>A012800</t>
  </si>
  <si>
    <t>A012860</t>
  </si>
  <si>
    <t>A013000</t>
  </si>
  <si>
    <t>A013030</t>
  </si>
  <si>
    <t>A013120</t>
  </si>
  <si>
    <t>A013340</t>
  </si>
  <si>
    <t>A013360</t>
  </si>
  <si>
    <t>A013450</t>
  </si>
  <si>
    <t>A013520</t>
  </si>
  <si>
    <t>A013570</t>
  </si>
  <si>
    <t>A013580</t>
  </si>
  <si>
    <t>A013700</t>
  </si>
  <si>
    <t>A013720</t>
  </si>
  <si>
    <t>A013810</t>
  </si>
  <si>
    <t>A013990</t>
  </si>
  <si>
    <t>A014100</t>
  </si>
  <si>
    <t>A014130</t>
  </si>
  <si>
    <t>A014160</t>
  </si>
  <si>
    <t>A014190</t>
  </si>
  <si>
    <t>A014200</t>
  </si>
  <si>
    <t>A014280</t>
  </si>
  <si>
    <t>A014350</t>
  </si>
  <si>
    <t>A014440</t>
  </si>
  <si>
    <t>A014470</t>
  </si>
  <si>
    <t>A014530</t>
  </si>
  <si>
    <t>A014570</t>
  </si>
  <si>
    <t>A014580</t>
  </si>
  <si>
    <t>A014620</t>
  </si>
  <si>
    <t>A014680</t>
  </si>
  <si>
    <t>A014790</t>
  </si>
  <si>
    <t>A014820</t>
  </si>
  <si>
    <t>A014830</t>
  </si>
  <si>
    <t>A014910</t>
  </si>
  <si>
    <t>A014940</t>
  </si>
  <si>
    <t>A014970</t>
  </si>
  <si>
    <t>A014990</t>
  </si>
  <si>
    <t>A015020</t>
  </si>
  <si>
    <t>A015230</t>
  </si>
  <si>
    <t>A015260</t>
  </si>
  <si>
    <t>A015350</t>
  </si>
  <si>
    <t>A015360</t>
  </si>
  <si>
    <t>A015540</t>
  </si>
  <si>
    <t>A015590</t>
  </si>
  <si>
    <t>A015710</t>
  </si>
  <si>
    <t>A015750</t>
  </si>
  <si>
    <t>A015760</t>
  </si>
  <si>
    <t>A015860</t>
  </si>
  <si>
    <t>A015890</t>
  </si>
  <si>
    <t>A016090</t>
  </si>
  <si>
    <t>A016100</t>
  </si>
  <si>
    <t>A016170</t>
  </si>
  <si>
    <t>A016250</t>
  </si>
  <si>
    <t>A016360</t>
  </si>
  <si>
    <t>A016380</t>
  </si>
  <si>
    <t>A016420</t>
  </si>
  <si>
    <t>A016450</t>
  </si>
  <si>
    <t>A016580</t>
  </si>
  <si>
    <t>A016590</t>
  </si>
  <si>
    <t>A016600</t>
  </si>
  <si>
    <t>A016610</t>
  </si>
  <si>
    <t>A016670</t>
  </si>
  <si>
    <t>A016710</t>
  </si>
  <si>
    <t>A016800</t>
  </si>
  <si>
    <t>A016880</t>
  </si>
  <si>
    <t>A016920</t>
  </si>
  <si>
    <t>A017000</t>
  </si>
  <si>
    <t>A017040</t>
  </si>
  <si>
    <t>A017180</t>
  </si>
  <si>
    <t>A017250</t>
  </si>
  <si>
    <t>A017370</t>
  </si>
  <si>
    <t>A017390</t>
  </si>
  <si>
    <t>A017480</t>
  </si>
  <si>
    <t>A017510</t>
  </si>
  <si>
    <t>A017550</t>
  </si>
  <si>
    <t>A017650</t>
  </si>
  <si>
    <t>A017670</t>
  </si>
  <si>
    <t>A017680</t>
  </si>
  <si>
    <t>A017800</t>
  </si>
  <si>
    <t>A017810</t>
  </si>
  <si>
    <t>A017890</t>
  </si>
  <si>
    <t>A017900</t>
  </si>
  <si>
    <t>A017940</t>
  </si>
  <si>
    <t>A017960</t>
  </si>
  <si>
    <t>A018000</t>
  </si>
  <si>
    <t>A018120</t>
  </si>
  <si>
    <t>A018290</t>
  </si>
  <si>
    <t>A018310</t>
  </si>
  <si>
    <t>A018470</t>
  </si>
  <si>
    <t>A018500</t>
  </si>
  <si>
    <t>A018620</t>
  </si>
  <si>
    <t>A018670</t>
  </si>
  <si>
    <t>A018680</t>
  </si>
  <si>
    <t>A018700</t>
  </si>
  <si>
    <t>A018880</t>
  </si>
  <si>
    <t>A019010</t>
  </si>
  <si>
    <t>A019170</t>
  </si>
  <si>
    <t>A019180</t>
  </si>
  <si>
    <t>A019210</t>
  </si>
  <si>
    <t>A019300</t>
  </si>
  <si>
    <t>A019490</t>
  </si>
  <si>
    <t>A019540</t>
  </si>
  <si>
    <t>A019550</t>
  </si>
  <si>
    <t>A019570</t>
  </si>
  <si>
    <t>A019590</t>
  </si>
  <si>
    <t>A019660</t>
  </si>
  <si>
    <t>A019680</t>
  </si>
  <si>
    <t>A019990</t>
  </si>
  <si>
    <t>A020000</t>
  </si>
  <si>
    <t>A020120</t>
  </si>
  <si>
    <t>A020180</t>
  </si>
  <si>
    <t>A020400</t>
  </si>
  <si>
    <t>A020560</t>
  </si>
  <si>
    <t>A020710</t>
  </si>
  <si>
    <t>A020760</t>
  </si>
  <si>
    <t>A021040</t>
  </si>
  <si>
    <t>A021050</t>
  </si>
  <si>
    <t>A021080</t>
  </si>
  <si>
    <t>A021240</t>
  </si>
  <si>
    <t>A021320</t>
  </si>
  <si>
    <t>A021650</t>
  </si>
  <si>
    <t>A021820</t>
  </si>
  <si>
    <t>A021880</t>
  </si>
  <si>
    <t>A021960</t>
  </si>
  <si>
    <t>A022100</t>
  </si>
  <si>
    <t>A022220</t>
  </si>
  <si>
    <t>A023150</t>
  </si>
  <si>
    <t>A023160</t>
  </si>
  <si>
    <t>A023410</t>
  </si>
  <si>
    <t>A023430</t>
  </si>
  <si>
    <t>A023440</t>
  </si>
  <si>
    <t>A023450</t>
  </si>
  <si>
    <t>A023460</t>
  </si>
  <si>
    <t>A023530</t>
  </si>
  <si>
    <t>A023590</t>
  </si>
  <si>
    <t>A023600</t>
  </si>
  <si>
    <t>A023760</t>
  </si>
  <si>
    <t>A023770</t>
  </si>
  <si>
    <t>A023790</t>
  </si>
  <si>
    <t>A023800</t>
  </si>
  <si>
    <t>A023810</t>
  </si>
  <si>
    <t>A023890</t>
  </si>
  <si>
    <t>A023900</t>
  </si>
  <si>
    <t>A023910</t>
  </si>
  <si>
    <t>A023960</t>
  </si>
  <si>
    <t>A024060</t>
  </si>
  <si>
    <t>A024070</t>
  </si>
  <si>
    <t>A024090</t>
  </si>
  <si>
    <t>A024110</t>
  </si>
  <si>
    <t>A024120</t>
  </si>
  <si>
    <t>A024660</t>
  </si>
  <si>
    <t>A024720</t>
  </si>
  <si>
    <t>A024740</t>
  </si>
  <si>
    <t>A024800</t>
  </si>
  <si>
    <t>A024810</t>
  </si>
  <si>
    <t>A024830</t>
  </si>
  <si>
    <t>A024840</t>
  </si>
  <si>
    <t>A024850</t>
  </si>
  <si>
    <t>A024880</t>
  </si>
  <si>
    <t>A024890</t>
  </si>
  <si>
    <t>A024900</t>
  </si>
  <si>
    <t>A024910</t>
  </si>
  <si>
    <t>A024940</t>
  </si>
  <si>
    <t>A024950</t>
  </si>
  <si>
    <t>A025000</t>
  </si>
  <si>
    <t>A025270</t>
  </si>
  <si>
    <t>A025320</t>
  </si>
  <si>
    <t>A025440</t>
  </si>
  <si>
    <t>A025530</t>
  </si>
  <si>
    <t>A025540</t>
  </si>
  <si>
    <t>A025550</t>
  </si>
  <si>
    <t>A025560</t>
  </si>
  <si>
    <t>A025620</t>
  </si>
  <si>
    <t>A025750</t>
  </si>
  <si>
    <t>A025770</t>
  </si>
  <si>
    <t>A025820</t>
  </si>
  <si>
    <t>A025850</t>
  </si>
  <si>
    <t>A025860</t>
  </si>
  <si>
    <t>A025870</t>
  </si>
  <si>
    <t>A025880</t>
  </si>
  <si>
    <t>A025890</t>
  </si>
  <si>
    <t>A025900</t>
  </si>
  <si>
    <t>A025920</t>
  </si>
  <si>
    <t>A025950</t>
  </si>
  <si>
    <t>A025980</t>
  </si>
  <si>
    <t>A026040</t>
  </si>
  <si>
    <t>A026150</t>
  </si>
  <si>
    <t>A026180</t>
  </si>
  <si>
    <t>A026260</t>
  </si>
  <si>
    <t>A026890</t>
  </si>
  <si>
    <t>A026910</t>
  </si>
  <si>
    <t>A026940</t>
  </si>
  <si>
    <t>A026960</t>
  </si>
  <si>
    <t>A027040</t>
  </si>
  <si>
    <t>A027050</t>
  </si>
  <si>
    <t>A027390</t>
  </si>
  <si>
    <t>A027580</t>
  </si>
  <si>
    <t>A027710</t>
  </si>
  <si>
    <t>A027740</t>
  </si>
  <si>
    <t>A027830</t>
  </si>
  <si>
    <t>A027970</t>
  </si>
  <si>
    <t>A028040</t>
  </si>
  <si>
    <t>A028050</t>
  </si>
  <si>
    <t>A028080</t>
  </si>
  <si>
    <t>A028100</t>
  </si>
  <si>
    <t>A028150</t>
  </si>
  <si>
    <t>A028300</t>
  </si>
  <si>
    <t>A028670</t>
  </si>
  <si>
    <t>A029460</t>
  </si>
  <si>
    <t>A029480</t>
  </si>
  <si>
    <t>A029530</t>
  </si>
  <si>
    <t>A029780</t>
  </si>
  <si>
    <t>A029960</t>
  </si>
  <si>
    <t>A030000</t>
  </si>
  <si>
    <t>A030190</t>
  </si>
  <si>
    <t>A030200</t>
  </si>
  <si>
    <t>A030210</t>
  </si>
  <si>
    <t>A030270</t>
  </si>
  <si>
    <t>A030350</t>
  </si>
  <si>
    <t>A030520</t>
  </si>
  <si>
    <t>A030530</t>
  </si>
  <si>
    <t>A030610</t>
  </si>
  <si>
    <t>A030720</t>
  </si>
  <si>
    <t>A030790</t>
  </si>
  <si>
    <t>A030960</t>
  </si>
  <si>
    <t>A031310</t>
  </si>
  <si>
    <t>A031330</t>
  </si>
  <si>
    <t>A031390</t>
  </si>
  <si>
    <t>A031440</t>
  </si>
  <si>
    <t>A031510</t>
  </si>
  <si>
    <t>A031820</t>
  </si>
  <si>
    <t>A031860</t>
  </si>
  <si>
    <t>A031980</t>
  </si>
  <si>
    <t>A032040</t>
  </si>
  <si>
    <t>A032080</t>
  </si>
  <si>
    <t>A032190</t>
  </si>
  <si>
    <t>A032280</t>
  </si>
  <si>
    <t>A032350</t>
  </si>
  <si>
    <t>A032420</t>
  </si>
  <si>
    <t>A032500</t>
  </si>
  <si>
    <t>A032540</t>
  </si>
  <si>
    <t>A032560</t>
  </si>
  <si>
    <t>A032580</t>
  </si>
  <si>
    <t>A032620</t>
  </si>
  <si>
    <t>A032640</t>
  </si>
  <si>
    <t>A032680</t>
  </si>
  <si>
    <t>A032750</t>
  </si>
  <si>
    <t>A032790</t>
  </si>
  <si>
    <t>A032800</t>
  </si>
  <si>
    <t>A032820</t>
  </si>
  <si>
    <t>A032850</t>
  </si>
  <si>
    <t>A032860</t>
  </si>
  <si>
    <t>A032940</t>
  </si>
  <si>
    <t>A032960</t>
  </si>
  <si>
    <t>A032980</t>
  </si>
  <si>
    <t>A033050</t>
  </si>
  <si>
    <t>A033100</t>
  </si>
  <si>
    <t>A033110</t>
  </si>
  <si>
    <t>A033130</t>
  </si>
  <si>
    <t>A033160</t>
  </si>
  <si>
    <t>A033180</t>
  </si>
  <si>
    <t>A033200</t>
  </si>
  <si>
    <t>A033230</t>
  </si>
  <si>
    <t>A033240</t>
  </si>
  <si>
    <t>A033250</t>
  </si>
  <si>
    <t>A033270</t>
  </si>
  <si>
    <t>A033290</t>
  </si>
  <si>
    <t>A033310</t>
  </si>
  <si>
    <t>A033320</t>
  </si>
  <si>
    <t>A033340</t>
  </si>
  <si>
    <t>A033430</t>
  </si>
  <si>
    <t>A033500</t>
  </si>
  <si>
    <t>A033530</t>
  </si>
  <si>
    <t>A033540</t>
  </si>
  <si>
    <t>A033600</t>
  </si>
  <si>
    <t>A033630</t>
  </si>
  <si>
    <t>A033640</t>
  </si>
  <si>
    <t>A033660</t>
  </si>
  <si>
    <t>A033780</t>
  </si>
  <si>
    <t>A033790</t>
  </si>
  <si>
    <t>A033920</t>
  </si>
  <si>
    <t>A034020</t>
  </si>
  <si>
    <t>A034120</t>
  </si>
  <si>
    <t>A034220</t>
  </si>
  <si>
    <t>A034230</t>
  </si>
  <si>
    <t>A034300</t>
  </si>
  <si>
    <t>A034310</t>
  </si>
  <si>
    <t>A034590</t>
  </si>
  <si>
    <t>A034730</t>
  </si>
  <si>
    <t>A034810</t>
  </si>
  <si>
    <t>A034830</t>
  </si>
  <si>
    <t>A034940</t>
  </si>
  <si>
    <t>A034950</t>
  </si>
  <si>
    <t>A035000</t>
  </si>
  <si>
    <t>A035080</t>
  </si>
  <si>
    <t>A035150</t>
  </si>
  <si>
    <t>A035200</t>
  </si>
  <si>
    <t>A035250</t>
  </si>
  <si>
    <t>A035290</t>
  </si>
  <si>
    <t>A035420</t>
  </si>
  <si>
    <t>A035450</t>
  </si>
  <si>
    <t>A035460</t>
  </si>
  <si>
    <t>A035480</t>
  </si>
  <si>
    <t>A035510</t>
  </si>
  <si>
    <t>A035600</t>
  </si>
  <si>
    <t>A035610</t>
  </si>
  <si>
    <t>A035620</t>
  </si>
  <si>
    <t>A035720</t>
  </si>
  <si>
    <t>A035760</t>
  </si>
  <si>
    <t>A035810</t>
  </si>
  <si>
    <t>A035890</t>
  </si>
  <si>
    <t>A035900</t>
  </si>
  <si>
    <t>A036000</t>
  </si>
  <si>
    <t>A036010</t>
  </si>
  <si>
    <t>A036030</t>
  </si>
  <si>
    <t>A036090</t>
  </si>
  <si>
    <t>A036120</t>
  </si>
  <si>
    <t>A036170</t>
  </si>
  <si>
    <t>A036180</t>
  </si>
  <si>
    <t>A036190</t>
  </si>
  <si>
    <t>A036200</t>
  </si>
  <si>
    <t>A036210</t>
  </si>
  <si>
    <t>A036220</t>
  </si>
  <si>
    <t>A036260</t>
  </si>
  <si>
    <t>A036420</t>
  </si>
  <si>
    <t>A036460</t>
  </si>
  <si>
    <t>A036480</t>
  </si>
  <si>
    <t>A036490</t>
  </si>
  <si>
    <t>A036500</t>
  </si>
  <si>
    <t>A036530</t>
  </si>
  <si>
    <t>A036540</t>
  </si>
  <si>
    <t>A036560</t>
  </si>
  <si>
    <t>A036570</t>
  </si>
  <si>
    <t>A036580</t>
  </si>
  <si>
    <t>A036620</t>
  </si>
  <si>
    <t>A036630</t>
  </si>
  <si>
    <t>A036640</t>
  </si>
  <si>
    <t>A036670</t>
  </si>
  <si>
    <t>A036690</t>
  </si>
  <si>
    <t>A036710</t>
  </si>
  <si>
    <t>A036800</t>
  </si>
  <si>
    <t>A036810</t>
  </si>
  <si>
    <t>A036830</t>
  </si>
  <si>
    <t>A036890</t>
  </si>
  <si>
    <t>A036930</t>
  </si>
  <si>
    <t>A037070</t>
  </si>
  <si>
    <t>A037230</t>
  </si>
  <si>
    <t>A037270</t>
  </si>
  <si>
    <t>A037330</t>
  </si>
  <si>
    <t>A037340</t>
  </si>
  <si>
    <t>A037350</t>
  </si>
  <si>
    <t>A037370</t>
  </si>
  <si>
    <t>A037400</t>
  </si>
  <si>
    <t>A037440</t>
  </si>
  <si>
    <t>A037460</t>
  </si>
  <si>
    <t>A037620</t>
  </si>
  <si>
    <t>A037630</t>
  </si>
  <si>
    <t>A037710</t>
  </si>
  <si>
    <t>A037760</t>
  </si>
  <si>
    <t>A037950</t>
  </si>
  <si>
    <t>A038010</t>
  </si>
  <si>
    <t>A038060</t>
  </si>
  <si>
    <t>A038070</t>
  </si>
  <si>
    <t>A038110</t>
  </si>
  <si>
    <t>A038290</t>
  </si>
  <si>
    <t>A038340</t>
  </si>
  <si>
    <t>A038390</t>
  </si>
  <si>
    <t>A038460</t>
  </si>
  <si>
    <t>A038500</t>
  </si>
  <si>
    <t>A038530</t>
  </si>
  <si>
    <t>A038540</t>
  </si>
  <si>
    <t>A038620</t>
  </si>
  <si>
    <t>A038680</t>
  </si>
  <si>
    <t>A038870</t>
  </si>
  <si>
    <t>A038880</t>
  </si>
  <si>
    <t>A038950</t>
  </si>
  <si>
    <t>A039010</t>
  </si>
  <si>
    <t>A039020</t>
  </si>
  <si>
    <t>A039030</t>
  </si>
  <si>
    <t>A039130</t>
  </si>
  <si>
    <t>A039200</t>
  </si>
  <si>
    <t>A039230</t>
  </si>
  <si>
    <t>A039240</t>
  </si>
  <si>
    <t>A039290</t>
  </si>
  <si>
    <t>A039310</t>
  </si>
  <si>
    <t>A039340</t>
  </si>
  <si>
    <t>A039420</t>
  </si>
  <si>
    <t>A039440</t>
  </si>
  <si>
    <t>A039490</t>
  </si>
  <si>
    <t>A039530</t>
  </si>
  <si>
    <t>A039560</t>
  </si>
  <si>
    <t>A039610</t>
  </si>
  <si>
    <t>A039670</t>
  </si>
  <si>
    <t>A039740</t>
  </si>
  <si>
    <t>A039790</t>
  </si>
  <si>
    <t>A039830</t>
  </si>
  <si>
    <t>A039840</t>
  </si>
  <si>
    <t>A039850</t>
  </si>
  <si>
    <t>A039860</t>
  </si>
  <si>
    <t>A039980</t>
  </si>
  <si>
    <t>A040160</t>
  </si>
  <si>
    <t>A040300</t>
  </si>
  <si>
    <t>A040350</t>
  </si>
  <si>
    <t>A040420</t>
  </si>
  <si>
    <t>A040610</t>
  </si>
  <si>
    <t>A040670</t>
  </si>
  <si>
    <t>A041020</t>
  </si>
  <si>
    <t>A041060</t>
  </si>
  <si>
    <t>A041140</t>
  </si>
  <si>
    <t>A041190</t>
  </si>
  <si>
    <t>A041440</t>
  </si>
  <si>
    <t>A041510</t>
  </si>
  <si>
    <t>A041520</t>
  </si>
  <si>
    <t>A041590</t>
  </si>
  <si>
    <t>A041650</t>
  </si>
  <si>
    <t>A041830</t>
  </si>
  <si>
    <t>A041910</t>
  </si>
  <si>
    <t>A041930</t>
  </si>
  <si>
    <t>A041960</t>
  </si>
  <si>
    <t>A042040</t>
  </si>
  <si>
    <t>A042110</t>
  </si>
  <si>
    <t>A042370</t>
  </si>
  <si>
    <t>A042420</t>
  </si>
  <si>
    <t>A042500</t>
  </si>
  <si>
    <t>A042510</t>
  </si>
  <si>
    <t>A042520</t>
  </si>
  <si>
    <t>A042600</t>
  </si>
  <si>
    <t>A042660</t>
  </si>
  <si>
    <t>A042670</t>
  </si>
  <si>
    <t>A042700</t>
  </si>
  <si>
    <t>A042940</t>
  </si>
  <si>
    <t>A043090</t>
  </si>
  <si>
    <t>A043100</t>
  </si>
  <si>
    <t>A043150</t>
  </si>
  <si>
    <t>A043200</t>
  </si>
  <si>
    <t>A043220</t>
  </si>
  <si>
    <t>A043260</t>
  </si>
  <si>
    <t>A043340</t>
  </si>
  <si>
    <t>A043360</t>
  </si>
  <si>
    <t>A043370</t>
  </si>
  <si>
    <t>A043580</t>
  </si>
  <si>
    <t>A043590</t>
  </si>
  <si>
    <t>A043610</t>
  </si>
  <si>
    <t>A043650</t>
  </si>
  <si>
    <t>A043710</t>
  </si>
  <si>
    <t>A043910</t>
  </si>
  <si>
    <t>A044060</t>
  </si>
  <si>
    <t>A044180</t>
  </si>
  <si>
    <t>A044340</t>
  </si>
  <si>
    <t>A044380</t>
  </si>
  <si>
    <t>A044450</t>
  </si>
  <si>
    <t>A044480</t>
  </si>
  <si>
    <t>A044490</t>
  </si>
  <si>
    <t>A044780</t>
  </si>
  <si>
    <t>A044820</t>
  </si>
  <si>
    <t>A044960</t>
  </si>
  <si>
    <t>A045060</t>
  </si>
  <si>
    <t>A045100</t>
  </si>
  <si>
    <t>A045300</t>
  </si>
  <si>
    <t>A045340</t>
  </si>
  <si>
    <t>A045390</t>
  </si>
  <si>
    <t>A045510</t>
  </si>
  <si>
    <t>A045520</t>
  </si>
  <si>
    <t>A045660</t>
  </si>
  <si>
    <t>A045890</t>
  </si>
  <si>
    <t>A045970</t>
  </si>
  <si>
    <t>A046070</t>
  </si>
  <si>
    <t>A046110</t>
  </si>
  <si>
    <t>A046140</t>
  </si>
  <si>
    <t>A046210</t>
  </si>
  <si>
    <t>A046310</t>
  </si>
  <si>
    <t>A046390</t>
  </si>
  <si>
    <t>A046400</t>
  </si>
  <si>
    <t>A046440</t>
  </si>
  <si>
    <t>A046890</t>
  </si>
  <si>
    <t>A046940</t>
  </si>
  <si>
    <t>A047040</t>
  </si>
  <si>
    <t>A047050</t>
  </si>
  <si>
    <t>A047080</t>
  </si>
  <si>
    <t>A047310</t>
  </si>
  <si>
    <t>A047400</t>
  </si>
  <si>
    <t>A047440</t>
  </si>
  <si>
    <t>A047560</t>
  </si>
  <si>
    <t>A047770</t>
  </si>
  <si>
    <t>A047820</t>
  </si>
  <si>
    <t>A048260</t>
  </si>
  <si>
    <t>A048410</t>
  </si>
  <si>
    <t>A048430</t>
  </si>
  <si>
    <t>A048470</t>
  </si>
  <si>
    <t>A048550</t>
  </si>
  <si>
    <t>A048770</t>
  </si>
  <si>
    <t>A048830</t>
  </si>
  <si>
    <t>A048870</t>
  </si>
  <si>
    <t>A048910</t>
  </si>
  <si>
    <t>A049000</t>
  </si>
  <si>
    <t>A049070</t>
  </si>
  <si>
    <t>A049120</t>
  </si>
  <si>
    <t>A049180</t>
  </si>
  <si>
    <t>A049430</t>
  </si>
  <si>
    <t>A049470</t>
  </si>
  <si>
    <t>A049480</t>
  </si>
  <si>
    <t>A049520</t>
  </si>
  <si>
    <t>A049550</t>
  </si>
  <si>
    <t>A049630</t>
  </si>
  <si>
    <t>A049720</t>
  </si>
  <si>
    <t>A049770</t>
  </si>
  <si>
    <t>A049800</t>
  </si>
  <si>
    <t>A049830</t>
  </si>
  <si>
    <t>A049950</t>
  </si>
  <si>
    <t>A049960</t>
  </si>
  <si>
    <t>A050090</t>
  </si>
  <si>
    <t>A050110</t>
  </si>
  <si>
    <t>A050120</t>
  </si>
  <si>
    <t>A050320</t>
  </si>
  <si>
    <t>A050540</t>
  </si>
  <si>
    <t>A050760</t>
  </si>
  <si>
    <t>A050890</t>
  </si>
  <si>
    <t>A051160</t>
  </si>
  <si>
    <t>A051170</t>
  </si>
  <si>
    <t>A051310</t>
  </si>
  <si>
    <t>A051360</t>
  </si>
  <si>
    <t>A051370</t>
  </si>
  <si>
    <t>A051380</t>
  </si>
  <si>
    <t>A051390</t>
  </si>
  <si>
    <t>A051490</t>
  </si>
  <si>
    <t>A051500</t>
  </si>
  <si>
    <t>A051600</t>
  </si>
  <si>
    <t>A051630</t>
  </si>
  <si>
    <t>A051780</t>
  </si>
  <si>
    <t>A051900</t>
  </si>
  <si>
    <t>A051910</t>
  </si>
  <si>
    <t>A051980</t>
  </si>
  <si>
    <t>A052020</t>
  </si>
  <si>
    <t>A052190</t>
  </si>
  <si>
    <t>A052220</t>
  </si>
  <si>
    <t>A052260</t>
  </si>
  <si>
    <t>A052270</t>
  </si>
  <si>
    <t>A052290</t>
  </si>
  <si>
    <t>A052300</t>
  </si>
  <si>
    <t>A052330</t>
  </si>
  <si>
    <t>A052400</t>
  </si>
  <si>
    <t>A052420</t>
  </si>
  <si>
    <t>A052460</t>
  </si>
  <si>
    <t>A052600</t>
  </si>
  <si>
    <t>A052670</t>
  </si>
  <si>
    <t>A052710</t>
  </si>
  <si>
    <t>A052770</t>
  </si>
  <si>
    <t>A052790</t>
  </si>
  <si>
    <t>A052860</t>
  </si>
  <si>
    <t>A052900</t>
  </si>
  <si>
    <t>A053000</t>
  </si>
  <si>
    <t>A053030</t>
  </si>
  <si>
    <t>A053050</t>
  </si>
  <si>
    <t>A053060</t>
  </si>
  <si>
    <t>A053110</t>
  </si>
  <si>
    <t>A053160</t>
  </si>
  <si>
    <t>A053260</t>
  </si>
  <si>
    <t>A053270</t>
  </si>
  <si>
    <t>A053280</t>
  </si>
  <si>
    <t>A053290</t>
  </si>
  <si>
    <t>A053320</t>
  </si>
  <si>
    <t>A053330</t>
  </si>
  <si>
    <t>A053350</t>
  </si>
  <si>
    <t>A053450</t>
  </si>
  <si>
    <t>A053590</t>
  </si>
  <si>
    <t>A053610</t>
  </si>
  <si>
    <t>A053620</t>
  </si>
  <si>
    <t>A053660</t>
  </si>
  <si>
    <t>A053690</t>
  </si>
  <si>
    <t>A053700</t>
  </si>
  <si>
    <t>A053740</t>
  </si>
  <si>
    <t>A053800</t>
  </si>
  <si>
    <t>A053810</t>
  </si>
  <si>
    <t>A053870</t>
  </si>
  <si>
    <t>A053950</t>
  </si>
  <si>
    <t>A053980</t>
  </si>
  <si>
    <t>A054040</t>
  </si>
  <si>
    <t>A054050</t>
  </si>
  <si>
    <t>A054090</t>
  </si>
  <si>
    <t>A054180</t>
  </si>
  <si>
    <t>A054210</t>
  </si>
  <si>
    <t>A054220</t>
  </si>
  <si>
    <t>A054300</t>
  </si>
  <si>
    <t>A054340</t>
  </si>
  <si>
    <t>A054410</t>
  </si>
  <si>
    <t>A054450</t>
  </si>
  <si>
    <t>A054540</t>
  </si>
  <si>
    <t>A054620</t>
  </si>
  <si>
    <t>A054630</t>
  </si>
  <si>
    <t>A054670</t>
  </si>
  <si>
    <t>A054780</t>
  </si>
  <si>
    <t>A054800</t>
  </si>
  <si>
    <t>A054920</t>
  </si>
  <si>
    <t>A054930</t>
  </si>
  <si>
    <t>A054940</t>
  </si>
  <si>
    <t>A054950</t>
  </si>
  <si>
    <t>A055550</t>
  </si>
  <si>
    <t>A056000</t>
  </si>
  <si>
    <t>A056080</t>
  </si>
  <si>
    <t>A056190</t>
  </si>
  <si>
    <t>A056340</t>
  </si>
  <si>
    <t>A056360</t>
  </si>
  <si>
    <t>A056700</t>
  </si>
  <si>
    <t>A056730</t>
  </si>
  <si>
    <t>A056810</t>
  </si>
  <si>
    <t>A057030</t>
  </si>
  <si>
    <t>A057500</t>
  </si>
  <si>
    <t>A057540</t>
  </si>
  <si>
    <t>A057680</t>
  </si>
  <si>
    <t>A057880</t>
  </si>
  <si>
    <t>A058220</t>
  </si>
  <si>
    <t>A058370</t>
  </si>
  <si>
    <t>A058420</t>
  </si>
  <si>
    <t>A058430</t>
  </si>
  <si>
    <t>A058450</t>
  </si>
  <si>
    <t>A058470</t>
  </si>
  <si>
    <t>A058530</t>
  </si>
  <si>
    <t>A058610</t>
  </si>
  <si>
    <t>A058630</t>
  </si>
  <si>
    <t>A058650</t>
  </si>
  <si>
    <t>A058730</t>
  </si>
  <si>
    <t>A058820</t>
  </si>
  <si>
    <t>A059090</t>
  </si>
  <si>
    <t>A059100</t>
  </si>
  <si>
    <t>A059210</t>
  </si>
  <si>
    <t>A060150</t>
  </si>
  <si>
    <t>A060230</t>
  </si>
  <si>
    <t>A060240</t>
  </si>
  <si>
    <t>A060250</t>
  </si>
  <si>
    <t>A060260</t>
  </si>
  <si>
    <t>A060280</t>
  </si>
  <si>
    <t>A060300</t>
  </si>
  <si>
    <t>A060310</t>
  </si>
  <si>
    <t>A060370</t>
  </si>
  <si>
    <t>A060380</t>
  </si>
  <si>
    <t>A060540</t>
  </si>
  <si>
    <t>A060560</t>
  </si>
  <si>
    <t>A060570</t>
  </si>
  <si>
    <t>A060590</t>
  </si>
  <si>
    <t>A060720</t>
  </si>
  <si>
    <t>A060900</t>
  </si>
  <si>
    <t>A060910</t>
  </si>
  <si>
    <t>A061040</t>
  </si>
  <si>
    <t>A061250</t>
  </si>
  <si>
    <t>A061460</t>
  </si>
  <si>
    <t>A062860</t>
  </si>
  <si>
    <t>A063080</t>
  </si>
  <si>
    <t>A063160</t>
  </si>
  <si>
    <t>A063170</t>
  </si>
  <si>
    <t>A063440</t>
  </si>
  <si>
    <t>A063570</t>
  </si>
  <si>
    <t>A064090</t>
  </si>
  <si>
    <t>A064240</t>
  </si>
  <si>
    <t>A064260</t>
  </si>
  <si>
    <t>A064480</t>
  </si>
  <si>
    <t>A064520</t>
  </si>
  <si>
    <t>A064550</t>
  </si>
  <si>
    <t>A064760</t>
  </si>
  <si>
    <t>A064800</t>
  </si>
  <si>
    <t>A064820</t>
  </si>
  <si>
    <t>A064960</t>
  </si>
  <si>
    <t>A065060</t>
  </si>
  <si>
    <t>A065130</t>
  </si>
  <si>
    <t>A065150</t>
  </si>
  <si>
    <t>A065160</t>
  </si>
  <si>
    <t>A065170</t>
  </si>
  <si>
    <t>A065180</t>
  </si>
  <si>
    <t>A065270</t>
  </si>
  <si>
    <t>A065350</t>
  </si>
  <si>
    <t>A065420</t>
  </si>
  <si>
    <t>A065440</t>
  </si>
  <si>
    <t>A065450</t>
  </si>
  <si>
    <t>A065500</t>
  </si>
  <si>
    <t>A065510</t>
  </si>
  <si>
    <t>A065530</t>
  </si>
  <si>
    <t>A065560</t>
  </si>
  <si>
    <t>A065570</t>
  </si>
  <si>
    <t>A065620</t>
  </si>
  <si>
    <t>A065650</t>
  </si>
  <si>
    <t>A065680</t>
  </si>
  <si>
    <t>A065690</t>
  </si>
  <si>
    <t>A065710</t>
  </si>
  <si>
    <t>A065770</t>
  </si>
  <si>
    <t>A065940</t>
  </si>
  <si>
    <t>A065950</t>
  </si>
  <si>
    <t>A066110</t>
  </si>
  <si>
    <t>A066130</t>
  </si>
  <si>
    <t>A066270</t>
  </si>
  <si>
    <t>A066310</t>
  </si>
  <si>
    <t>A066350</t>
  </si>
  <si>
    <t>A066410</t>
  </si>
  <si>
    <t>A066430</t>
  </si>
  <si>
    <t>A066570</t>
  </si>
  <si>
    <t>A066590</t>
  </si>
  <si>
    <t>A066620</t>
  </si>
  <si>
    <t>A066670</t>
  </si>
  <si>
    <t>A066700</t>
  </si>
  <si>
    <t>A066790</t>
  </si>
  <si>
    <t>A066900</t>
  </si>
  <si>
    <t>A066910</t>
  </si>
  <si>
    <t>A066970</t>
  </si>
  <si>
    <t>A066980</t>
  </si>
  <si>
    <t>A067000</t>
  </si>
  <si>
    <t>A067010</t>
  </si>
  <si>
    <t>A067080</t>
  </si>
  <si>
    <t>A067160</t>
  </si>
  <si>
    <t>A067170</t>
  </si>
  <si>
    <t>A067250</t>
  </si>
  <si>
    <t>A067280</t>
  </si>
  <si>
    <t>A067290</t>
  </si>
  <si>
    <t>A067310</t>
  </si>
  <si>
    <t>A067630</t>
  </si>
  <si>
    <t>A067770</t>
  </si>
  <si>
    <t>A067830</t>
  </si>
  <si>
    <t>A067900</t>
  </si>
  <si>
    <t>A067990</t>
  </si>
  <si>
    <t>A068050</t>
  </si>
  <si>
    <t>A068060</t>
  </si>
  <si>
    <t>A068150</t>
  </si>
  <si>
    <t>A068270</t>
  </si>
  <si>
    <t>A068290</t>
  </si>
  <si>
    <t>A068330</t>
  </si>
  <si>
    <t>A068760</t>
  </si>
  <si>
    <t>A068790</t>
  </si>
  <si>
    <t>A068870</t>
  </si>
  <si>
    <t>A068930</t>
  </si>
  <si>
    <t>A069080</t>
  </si>
  <si>
    <t>A069110</t>
  </si>
  <si>
    <t>A069260</t>
  </si>
  <si>
    <t>A069330</t>
  </si>
  <si>
    <t>A069410</t>
  </si>
  <si>
    <t>A069460</t>
  </si>
  <si>
    <t>A069510</t>
  </si>
  <si>
    <t>A069540</t>
  </si>
  <si>
    <t>A069620</t>
  </si>
  <si>
    <t>A069730</t>
  </si>
  <si>
    <t>A069920</t>
  </si>
  <si>
    <t>A069960</t>
  </si>
  <si>
    <t>A070480</t>
  </si>
  <si>
    <t>A070590</t>
  </si>
  <si>
    <t>A071050</t>
  </si>
  <si>
    <t>A071090</t>
  </si>
  <si>
    <t>A071280</t>
  </si>
  <si>
    <t>A071670</t>
  </si>
  <si>
    <t>A071930</t>
  </si>
  <si>
    <t>A071950</t>
  </si>
  <si>
    <t>A071970</t>
  </si>
  <si>
    <t>A072020</t>
  </si>
  <si>
    <t>A072130</t>
  </si>
  <si>
    <t>A072470</t>
  </si>
  <si>
    <t>A072520</t>
  </si>
  <si>
    <t>A072710</t>
  </si>
  <si>
    <t>A072770</t>
  </si>
  <si>
    <t>A072870</t>
  </si>
  <si>
    <t>A073010</t>
  </si>
  <si>
    <t>A073070</t>
  </si>
  <si>
    <t>A073110</t>
  </si>
  <si>
    <t>A073190</t>
  </si>
  <si>
    <t>A073240</t>
  </si>
  <si>
    <t>A073490</t>
  </si>
  <si>
    <t>A073540</t>
  </si>
  <si>
    <t>A073570</t>
  </si>
  <si>
    <t>A073640</t>
  </si>
  <si>
    <t>A073930</t>
  </si>
  <si>
    <t>A074000</t>
  </si>
  <si>
    <t>A074130</t>
  </si>
  <si>
    <t>A074150</t>
  </si>
  <si>
    <t>A074430</t>
  </si>
  <si>
    <t>A074600</t>
  </si>
  <si>
    <t>A074610</t>
  </si>
  <si>
    <t>A075130</t>
  </si>
  <si>
    <t>A075180</t>
  </si>
  <si>
    <t>A075970</t>
  </si>
  <si>
    <t>A076080</t>
  </si>
  <si>
    <t>A077280</t>
  </si>
  <si>
    <t>A077360</t>
  </si>
  <si>
    <t>A077500</t>
  </si>
  <si>
    <t>A077970</t>
  </si>
  <si>
    <t>A078000</t>
  </si>
  <si>
    <t>A078020</t>
  </si>
  <si>
    <t>A078070</t>
  </si>
  <si>
    <t>A078130</t>
  </si>
  <si>
    <t>A078140</t>
  </si>
  <si>
    <t>A078150</t>
  </si>
  <si>
    <t>A078160</t>
  </si>
  <si>
    <t>A078340</t>
  </si>
  <si>
    <t>A078350</t>
  </si>
  <si>
    <t>A078520</t>
  </si>
  <si>
    <t>A078590</t>
  </si>
  <si>
    <t>A078600</t>
  </si>
  <si>
    <t>A078780</t>
  </si>
  <si>
    <t>A078860</t>
  </si>
  <si>
    <t>A078890</t>
  </si>
  <si>
    <t>A078930</t>
  </si>
  <si>
    <t>A078940</t>
  </si>
  <si>
    <t>A079000</t>
  </si>
  <si>
    <t>A079160</t>
  </si>
  <si>
    <t>A079170</t>
  </si>
  <si>
    <t>A079190</t>
  </si>
  <si>
    <t>A079370</t>
  </si>
  <si>
    <t>A079430</t>
  </si>
  <si>
    <t>A079650</t>
  </si>
  <si>
    <t>A079660</t>
  </si>
  <si>
    <t>A079810</t>
  </si>
  <si>
    <t>A079940</t>
  </si>
  <si>
    <t>A079950</t>
  </si>
  <si>
    <t>A079960</t>
  </si>
  <si>
    <t>A080000</t>
  </si>
  <si>
    <t>A080010</t>
  </si>
  <si>
    <t>A080160</t>
  </si>
  <si>
    <t>A080220</t>
  </si>
  <si>
    <t>A080420</t>
  </si>
  <si>
    <t>A080440</t>
  </si>
  <si>
    <t>A080470</t>
  </si>
  <si>
    <t>A080520</t>
  </si>
  <si>
    <t>A081000</t>
  </si>
  <si>
    <t>A081150</t>
  </si>
  <si>
    <t>A081220</t>
  </si>
  <si>
    <t>A081580</t>
  </si>
  <si>
    <t>A081970</t>
  </si>
  <si>
    <t>A082210</t>
  </si>
  <si>
    <t>A082270</t>
  </si>
  <si>
    <t>A082390</t>
  </si>
  <si>
    <t>A082640</t>
  </si>
  <si>
    <t>A082660</t>
  </si>
  <si>
    <t>A082800</t>
  </si>
  <si>
    <t>A082850</t>
  </si>
  <si>
    <t>A082920</t>
  </si>
  <si>
    <t>A082930</t>
  </si>
  <si>
    <t>A083310</t>
  </si>
  <si>
    <t>A083420</t>
  </si>
  <si>
    <t>A083450</t>
  </si>
  <si>
    <t>A083470</t>
  </si>
  <si>
    <t>A083550</t>
  </si>
  <si>
    <t>A083640</t>
  </si>
  <si>
    <t>A083650</t>
  </si>
  <si>
    <t>A083660</t>
  </si>
  <si>
    <t>A083790</t>
  </si>
  <si>
    <t>A083930</t>
  </si>
  <si>
    <t>A084010</t>
  </si>
  <si>
    <t>A084110</t>
  </si>
  <si>
    <t>A084180</t>
  </si>
  <si>
    <t>A084370</t>
  </si>
  <si>
    <t>A084670</t>
  </si>
  <si>
    <t>A084680</t>
  </si>
  <si>
    <t>A084690</t>
  </si>
  <si>
    <t>A084730</t>
  </si>
  <si>
    <t>A084870</t>
  </si>
  <si>
    <t>A084990</t>
  </si>
  <si>
    <t>A085310</t>
  </si>
  <si>
    <t>A085370</t>
  </si>
  <si>
    <t>A085660</t>
  </si>
  <si>
    <t>A085670</t>
  </si>
  <si>
    <t>A085910</t>
  </si>
  <si>
    <t>A086040</t>
  </si>
  <si>
    <t>A086060</t>
  </si>
  <si>
    <t>A086200</t>
  </si>
  <si>
    <t>A086250</t>
  </si>
  <si>
    <t>A086280</t>
  </si>
  <si>
    <t>A086390</t>
  </si>
  <si>
    <t>A086450</t>
  </si>
  <si>
    <t>A086520</t>
  </si>
  <si>
    <t>A086670</t>
  </si>
  <si>
    <t>A086790</t>
  </si>
  <si>
    <t>A086830</t>
  </si>
  <si>
    <t>A086890</t>
  </si>
  <si>
    <t>A086900</t>
  </si>
  <si>
    <t>A086960</t>
  </si>
  <si>
    <t>A086980</t>
  </si>
  <si>
    <t>A087220</t>
  </si>
  <si>
    <t>A087730</t>
  </si>
  <si>
    <t>A088130</t>
  </si>
  <si>
    <t>A088390</t>
  </si>
  <si>
    <t>A088790</t>
  </si>
  <si>
    <t>A088800</t>
  </si>
  <si>
    <t>A088910</t>
  </si>
  <si>
    <t>A089010</t>
  </si>
  <si>
    <t>A089140</t>
  </si>
  <si>
    <t>A089150</t>
  </si>
  <si>
    <t>A089230</t>
  </si>
  <si>
    <t>A089470</t>
  </si>
  <si>
    <t>A089790</t>
  </si>
  <si>
    <t>A089890</t>
  </si>
  <si>
    <t>A090080</t>
  </si>
  <si>
    <t>A090120</t>
  </si>
  <si>
    <t>A090150</t>
  </si>
  <si>
    <t>A090350</t>
  </si>
  <si>
    <t>A090370</t>
  </si>
  <si>
    <t>A090430</t>
  </si>
  <si>
    <t>A090460</t>
  </si>
  <si>
    <t>A090470</t>
  </si>
  <si>
    <t>A090710</t>
  </si>
  <si>
    <t>A090730</t>
  </si>
  <si>
    <t>A090740</t>
  </si>
  <si>
    <t>A091090</t>
  </si>
  <si>
    <t>A091120</t>
  </si>
  <si>
    <t>A091340</t>
  </si>
  <si>
    <t>A091440</t>
  </si>
  <si>
    <t>A091580</t>
  </si>
  <si>
    <t>A091690</t>
  </si>
  <si>
    <t>A091700</t>
  </si>
  <si>
    <t>A091970</t>
  </si>
  <si>
    <t>A092070</t>
  </si>
  <si>
    <t>A092130</t>
  </si>
  <si>
    <t>A092200</t>
  </si>
  <si>
    <t>A092220</t>
  </si>
  <si>
    <t>A092230</t>
  </si>
  <si>
    <t>A092300</t>
  </si>
  <si>
    <t>A092440</t>
  </si>
  <si>
    <t>A092460</t>
  </si>
  <si>
    <t>A092600</t>
  </si>
  <si>
    <t>A092730</t>
  </si>
  <si>
    <t>A093050</t>
  </si>
  <si>
    <t>A093190</t>
  </si>
  <si>
    <t>A093230</t>
  </si>
  <si>
    <t>A093240</t>
  </si>
  <si>
    <t>A093370</t>
  </si>
  <si>
    <t>A093380</t>
  </si>
  <si>
    <t>A093520</t>
  </si>
  <si>
    <t>A093640</t>
  </si>
  <si>
    <t>A093920</t>
  </si>
  <si>
    <t>A094190</t>
  </si>
  <si>
    <t>A094280</t>
  </si>
  <si>
    <t>A094480</t>
  </si>
  <si>
    <t>A094820</t>
  </si>
  <si>
    <t>A094840</t>
  </si>
  <si>
    <t>A094850</t>
  </si>
  <si>
    <t>A094860</t>
  </si>
  <si>
    <t>A094940</t>
  </si>
  <si>
    <t>A094970</t>
  </si>
  <si>
    <t>A095190</t>
  </si>
  <si>
    <t>A095270</t>
  </si>
  <si>
    <t>A095300</t>
  </si>
  <si>
    <t>A095340</t>
  </si>
  <si>
    <t>A095500</t>
  </si>
  <si>
    <t>A095610</t>
  </si>
  <si>
    <t>A095660</t>
  </si>
  <si>
    <t>A095700</t>
  </si>
  <si>
    <t>A095720</t>
  </si>
  <si>
    <t>A095910</t>
  </si>
  <si>
    <t>A096040</t>
  </si>
  <si>
    <t>A096240</t>
  </si>
  <si>
    <t>A096350</t>
  </si>
  <si>
    <t>A096610</t>
  </si>
  <si>
    <t>A096630</t>
  </si>
  <si>
    <t>A096760</t>
  </si>
  <si>
    <t>A096770</t>
  </si>
  <si>
    <t>A096870</t>
  </si>
  <si>
    <t>A097230</t>
  </si>
  <si>
    <t>A097780</t>
  </si>
  <si>
    <t>A097870</t>
  </si>
  <si>
    <t>A097950</t>
  </si>
  <si>
    <t>A098120</t>
  </si>
  <si>
    <t>A098460</t>
  </si>
  <si>
    <t>A098660</t>
  </si>
  <si>
    <t>A099220</t>
  </si>
  <si>
    <t>A099320</t>
  </si>
  <si>
    <t>A099410</t>
  </si>
  <si>
    <t>A099440</t>
  </si>
  <si>
    <t>A099660</t>
  </si>
  <si>
    <t>A100090</t>
  </si>
  <si>
    <t>A100120</t>
  </si>
  <si>
    <t>A100130</t>
  </si>
  <si>
    <t>A100220</t>
  </si>
  <si>
    <t>A100250</t>
  </si>
  <si>
    <t>A100700</t>
  </si>
  <si>
    <t>A100840</t>
  </si>
  <si>
    <t>A101000</t>
  </si>
  <si>
    <t>A101060</t>
  </si>
  <si>
    <t>A101140</t>
  </si>
  <si>
    <t>A101160</t>
  </si>
  <si>
    <t>A101170</t>
  </si>
  <si>
    <t>A101390</t>
  </si>
  <si>
    <t>A101400</t>
  </si>
  <si>
    <t>A101490</t>
  </si>
  <si>
    <t>A101670</t>
  </si>
  <si>
    <t>A101680</t>
  </si>
  <si>
    <t>A101730</t>
  </si>
  <si>
    <t>A101990</t>
  </si>
  <si>
    <t>A102120</t>
  </si>
  <si>
    <t>A102210</t>
  </si>
  <si>
    <t>A102260</t>
  </si>
  <si>
    <t>A102280</t>
  </si>
  <si>
    <t>A102710</t>
  </si>
  <si>
    <t>A102940</t>
  </si>
  <si>
    <t>A103140</t>
  </si>
  <si>
    <t>A103230</t>
  </si>
  <si>
    <t>A103590</t>
  </si>
  <si>
    <t>A104040</t>
  </si>
  <si>
    <t>A104110</t>
  </si>
  <si>
    <t>A104120</t>
  </si>
  <si>
    <t>A104200</t>
  </si>
  <si>
    <t>A104700</t>
  </si>
  <si>
    <t>A105330</t>
  </si>
  <si>
    <t>A105560</t>
  </si>
  <si>
    <t>A105630</t>
  </si>
  <si>
    <t>A106240</t>
  </si>
  <si>
    <t>A107590</t>
  </si>
  <si>
    <t>A108230</t>
  </si>
  <si>
    <t>A108670</t>
  </si>
  <si>
    <t>A109070</t>
  </si>
  <si>
    <t>A109740</t>
  </si>
  <si>
    <t>A109820</t>
  </si>
  <si>
    <t>A109860</t>
  </si>
  <si>
    <t>A109960</t>
  </si>
  <si>
    <t>A110310</t>
  </si>
  <si>
    <t>A111770</t>
  </si>
  <si>
    <t>A114090</t>
  </si>
  <si>
    <t>A114190</t>
  </si>
  <si>
    <t>A115160</t>
  </si>
  <si>
    <t>A900040</t>
  </si>
  <si>
    <t>A900050</t>
  </si>
  <si>
    <t>A900060</t>
  </si>
  <si>
    <t>A950010</t>
  </si>
  <si>
    <t>동화약품</t>
  </si>
  <si>
    <t>S&amp;T모터스</t>
  </si>
  <si>
    <t>경방</t>
  </si>
  <si>
    <t>메리츠화재</t>
  </si>
  <si>
    <t>삼양홀딩스</t>
  </si>
  <si>
    <t>하이트진로</t>
  </si>
  <si>
    <t>CJ대한통운</t>
  </si>
  <si>
    <t>하이트진로홀딩스</t>
  </si>
  <si>
    <t>두산</t>
  </si>
  <si>
    <t>성창기업지주</t>
  </si>
  <si>
    <t>대림산업</t>
  </si>
  <si>
    <t>유유제약</t>
  </si>
  <si>
    <t>일동제약</t>
  </si>
  <si>
    <t>한국타이어월드와이드</t>
  </si>
  <si>
    <t>삼천당제약</t>
  </si>
  <si>
    <t>기아차</t>
  </si>
  <si>
    <t>대유신소재</t>
  </si>
  <si>
    <t>노루홀딩스</t>
  </si>
  <si>
    <t>삼환기업</t>
  </si>
  <si>
    <t>한화손해보험</t>
  </si>
  <si>
    <t>삼화페인트</t>
  </si>
  <si>
    <t>롯데손해보험</t>
  </si>
  <si>
    <t>로케트전기</t>
  </si>
  <si>
    <t>대원강업</t>
  </si>
  <si>
    <t>중앙에너비스</t>
  </si>
  <si>
    <t>조선내화</t>
  </si>
  <si>
    <t>대동공업</t>
  </si>
  <si>
    <t>가온전선</t>
  </si>
  <si>
    <t>삼일제약</t>
  </si>
  <si>
    <t>흥국화재</t>
  </si>
  <si>
    <t>CS홀딩스</t>
  </si>
  <si>
    <t>천일고속</t>
  </si>
  <si>
    <t>SK하이닉스</t>
  </si>
  <si>
    <t>영풍</t>
  </si>
  <si>
    <t>LS네트웍스</t>
  </si>
  <si>
    <t>한진해운홀딩스</t>
  </si>
  <si>
    <t>현대건설</t>
  </si>
  <si>
    <t>이화산업</t>
  </si>
  <si>
    <t>경남기업</t>
  </si>
  <si>
    <t>삼성화재</t>
  </si>
  <si>
    <t>삼성물산</t>
  </si>
  <si>
    <t>화천기공</t>
  </si>
  <si>
    <t>건설화학</t>
  </si>
  <si>
    <t>한화</t>
  </si>
  <si>
    <t>보해양조</t>
  </si>
  <si>
    <t>유니온</t>
  </si>
  <si>
    <t>전방</t>
  </si>
  <si>
    <t>한국주철관</t>
  </si>
  <si>
    <t>동부하이텍</t>
  </si>
  <si>
    <t>신라섬유</t>
  </si>
  <si>
    <t>페이퍼코리아</t>
  </si>
  <si>
    <t>CJ</t>
  </si>
  <si>
    <t>JW중외제약</t>
  </si>
  <si>
    <t>대한방직</t>
  </si>
  <si>
    <t>만호제강</t>
  </si>
  <si>
    <t>LG상사</t>
  </si>
  <si>
    <t>대한제분</t>
  </si>
  <si>
    <t>국보</t>
  </si>
  <si>
    <t>유진투자증권</t>
  </si>
  <si>
    <t>금호전기</t>
  </si>
  <si>
    <t>동국제강</t>
  </si>
  <si>
    <t>GS글로벌</t>
  </si>
  <si>
    <t>남광토건</t>
  </si>
  <si>
    <t>부국증권</t>
  </si>
  <si>
    <t>골든브릿지증권</t>
  </si>
  <si>
    <t>제일모직</t>
  </si>
  <si>
    <t>백광산업</t>
  </si>
  <si>
    <t>삼성제약</t>
  </si>
  <si>
    <t>SG충남방적</t>
  </si>
  <si>
    <t>KG케미칼</t>
  </si>
  <si>
    <t>태원물산</t>
  </si>
  <si>
    <t>세아베스틸</t>
  </si>
  <si>
    <t>대한전선</t>
  </si>
  <si>
    <t>현대해상</t>
  </si>
  <si>
    <t>BYC</t>
  </si>
  <si>
    <t>삼부토건</t>
  </si>
  <si>
    <t>HMC투자증권</t>
  </si>
  <si>
    <t>동양</t>
  </si>
  <si>
    <t>동일방직</t>
  </si>
  <si>
    <t>안국약품</t>
  </si>
  <si>
    <t>조비</t>
  </si>
  <si>
    <t>제일연마</t>
  </si>
  <si>
    <t>금양</t>
  </si>
  <si>
    <t>동국실업</t>
  </si>
  <si>
    <t>종근당</t>
  </si>
  <si>
    <t>대상</t>
  </si>
  <si>
    <t>SK네트웍스</t>
  </si>
  <si>
    <t>한양증권</t>
  </si>
  <si>
    <t>신화실업</t>
  </si>
  <si>
    <t>동양강철</t>
  </si>
  <si>
    <t>대한제당</t>
  </si>
  <si>
    <t>오리온</t>
  </si>
  <si>
    <t>무림SP</t>
  </si>
  <si>
    <t>삼화콘덴서</t>
  </si>
  <si>
    <t>이화공영</t>
  </si>
  <si>
    <t>삼호</t>
  </si>
  <si>
    <t>KISCO홀딩스</t>
  </si>
  <si>
    <t>한국유리</t>
  </si>
  <si>
    <t>코오롱</t>
  </si>
  <si>
    <t>아세아시멘트</t>
  </si>
  <si>
    <t>남영비비안</t>
  </si>
  <si>
    <t>경농</t>
  </si>
  <si>
    <t>고려산업</t>
  </si>
  <si>
    <t>삼양통상</t>
  </si>
  <si>
    <t>수출포장</t>
  </si>
  <si>
    <t>동성제약</t>
  </si>
  <si>
    <t>한일철강</t>
  </si>
  <si>
    <t>피에스텍</t>
  </si>
  <si>
    <t>고려제강</t>
  </si>
  <si>
    <t>근화제약</t>
  </si>
  <si>
    <t>삼일기업공사</t>
  </si>
  <si>
    <t>한국제지</t>
  </si>
  <si>
    <t>아세아제지</t>
  </si>
  <si>
    <t>한진</t>
  </si>
  <si>
    <t>넥센타이어</t>
  </si>
  <si>
    <t>SH에너지화학</t>
  </si>
  <si>
    <t>KCC</t>
  </si>
  <si>
    <t>한독약품</t>
  </si>
  <si>
    <t>범양건영</t>
  </si>
  <si>
    <t>세기상사</t>
  </si>
  <si>
    <t>삼익악기</t>
  </si>
  <si>
    <t>화성산업</t>
  </si>
  <si>
    <t>벽산건설</t>
  </si>
  <si>
    <t>LIG손해보험</t>
  </si>
  <si>
    <t>조흥</t>
  </si>
  <si>
    <t>제일약품</t>
  </si>
  <si>
    <t>오리엔트바이오</t>
  </si>
  <si>
    <t>영남제분</t>
  </si>
  <si>
    <t>신일산업</t>
  </si>
  <si>
    <t>TCC동양</t>
  </si>
  <si>
    <t>국제약품</t>
  </si>
  <si>
    <t>보락</t>
  </si>
  <si>
    <t>진흥기업</t>
  </si>
  <si>
    <t>아모레G</t>
  </si>
  <si>
    <t>삼영무역</t>
  </si>
  <si>
    <t>선창산업</t>
  </si>
  <si>
    <t>미원상사</t>
  </si>
  <si>
    <t>신풍제지</t>
  </si>
  <si>
    <t>대유에이텍</t>
  </si>
  <si>
    <t>동양물산</t>
  </si>
  <si>
    <t>유성기업</t>
  </si>
  <si>
    <t>한국쉘석유</t>
  </si>
  <si>
    <t>금호산업</t>
  </si>
  <si>
    <t>부광약품</t>
  </si>
  <si>
    <t>혜인</t>
  </si>
  <si>
    <t>세아제강</t>
  </si>
  <si>
    <t>슈넬생명과학</t>
  </si>
  <si>
    <t>코오롱글로벌</t>
  </si>
  <si>
    <t>성보화학</t>
  </si>
  <si>
    <t>대웅</t>
  </si>
  <si>
    <t>선광</t>
  </si>
  <si>
    <t>일성신약</t>
  </si>
  <si>
    <t>디아이</t>
  </si>
  <si>
    <t>일신방직</t>
  </si>
  <si>
    <t>대원제약</t>
  </si>
  <si>
    <t>삼양식품</t>
  </si>
  <si>
    <t>태광산업</t>
  </si>
  <si>
    <t>흥아해운</t>
  </si>
  <si>
    <t>한일시멘트</t>
  </si>
  <si>
    <t>대주산업</t>
  </si>
  <si>
    <t>한국화장품제조</t>
  </si>
  <si>
    <t>쌍용양회</t>
  </si>
  <si>
    <t>유화증권</t>
  </si>
  <si>
    <t>한진중공업홀딩스</t>
  </si>
  <si>
    <t>대한항공</t>
  </si>
  <si>
    <t>영진약품</t>
  </si>
  <si>
    <t>한화투자증권</t>
  </si>
  <si>
    <t>LG</t>
  </si>
  <si>
    <t>IHQ</t>
  </si>
  <si>
    <t>S&amp;T중공업</t>
  </si>
  <si>
    <t>동원</t>
  </si>
  <si>
    <t>SK</t>
  </si>
  <si>
    <t>방림</t>
  </si>
  <si>
    <t>쌍용차</t>
  </si>
  <si>
    <t>유니온스틸</t>
  </si>
  <si>
    <t>미창석유</t>
  </si>
  <si>
    <t>포스코켐텍</t>
  </si>
  <si>
    <t>한성기업</t>
  </si>
  <si>
    <t>코리안리</t>
  </si>
  <si>
    <t>삼영화학</t>
  </si>
  <si>
    <t>진양산업</t>
  </si>
  <si>
    <t>에이스침대</t>
  </si>
  <si>
    <t>대한화섬</t>
  </si>
  <si>
    <t>보령제약</t>
  </si>
  <si>
    <t>남양유업</t>
  </si>
  <si>
    <t>삼양제넥스</t>
  </si>
  <si>
    <t>사조대림</t>
  </si>
  <si>
    <t>삼성정밀화학</t>
  </si>
  <si>
    <t>현대제철</t>
  </si>
  <si>
    <t>SG세계물산</t>
  </si>
  <si>
    <t>신흥</t>
  </si>
  <si>
    <t>한국석유</t>
  </si>
  <si>
    <t>태양금속</t>
  </si>
  <si>
    <t>대덕GDS</t>
  </si>
  <si>
    <t>동방</t>
  </si>
  <si>
    <t>한솔제지</t>
  </si>
  <si>
    <t>신세계</t>
  </si>
  <si>
    <t>고려개발</t>
  </si>
  <si>
    <t>NPC</t>
  </si>
  <si>
    <t>남성</t>
  </si>
  <si>
    <t>현대약품</t>
  </si>
  <si>
    <t>울트라건설</t>
  </si>
  <si>
    <t>세방</t>
  </si>
  <si>
    <t>농심</t>
  </si>
  <si>
    <t>삼익THK</t>
  </si>
  <si>
    <t>서울식품</t>
  </si>
  <si>
    <t>송원산업</t>
  </si>
  <si>
    <t>삼화왕관</t>
  </si>
  <si>
    <t>세방전지</t>
  </si>
  <si>
    <t>깨끗한나라</t>
  </si>
  <si>
    <t>현대비앤지스틸</t>
  </si>
  <si>
    <t>한국가구</t>
  </si>
  <si>
    <t>삼천리</t>
  </si>
  <si>
    <t>조광피혁</t>
  </si>
  <si>
    <t>한솔테크닉스</t>
  </si>
  <si>
    <t>우리들제약</t>
  </si>
  <si>
    <t>보루네오</t>
  </si>
  <si>
    <t>써니전자</t>
  </si>
  <si>
    <t>대륙제관</t>
  </si>
  <si>
    <t>기륭E&amp;E</t>
  </si>
  <si>
    <t>효성</t>
  </si>
  <si>
    <t>덕성</t>
  </si>
  <si>
    <t>동일산업</t>
  </si>
  <si>
    <t>조광페인트</t>
  </si>
  <si>
    <t>삼영홀딩스</t>
  </si>
  <si>
    <t>한신공영</t>
  </si>
  <si>
    <t>신라교역</t>
  </si>
  <si>
    <t>성신양회</t>
  </si>
  <si>
    <t>롯데제과</t>
  </si>
  <si>
    <t>휴스틸</t>
  </si>
  <si>
    <t>부산주공</t>
  </si>
  <si>
    <t>코스모신소재</t>
  </si>
  <si>
    <t>한창</t>
  </si>
  <si>
    <t>동국산업</t>
  </si>
  <si>
    <t>빙그레</t>
  </si>
  <si>
    <t>동성화학</t>
  </si>
  <si>
    <t>녹십자홀딩스</t>
  </si>
  <si>
    <t>동진쎄미켐</t>
  </si>
  <si>
    <t>롯데칠성</t>
  </si>
  <si>
    <t>국동</t>
  </si>
  <si>
    <t>모나미</t>
  </si>
  <si>
    <t>현대차</t>
  </si>
  <si>
    <t>신성통상</t>
  </si>
  <si>
    <t>코스모화학</t>
  </si>
  <si>
    <t>한국공항</t>
  </si>
  <si>
    <t>현대그린푸드</t>
  </si>
  <si>
    <t>신한</t>
  </si>
  <si>
    <t>POSCO</t>
  </si>
  <si>
    <t>삼진제약</t>
  </si>
  <si>
    <t>JS전선</t>
  </si>
  <si>
    <t>삼립식품</t>
  </si>
  <si>
    <t>대성합동지주</t>
  </si>
  <si>
    <t>푸드웰</t>
  </si>
  <si>
    <t>삼영전자</t>
  </si>
  <si>
    <t>파미셀</t>
  </si>
  <si>
    <t>대원산업</t>
  </si>
  <si>
    <t>넥센</t>
  </si>
  <si>
    <t>크라운제과</t>
  </si>
  <si>
    <t>대림B&amp;Co</t>
  </si>
  <si>
    <t>신영와코루</t>
  </si>
  <si>
    <t>풍산홀딩스</t>
  </si>
  <si>
    <t>원림</t>
  </si>
  <si>
    <t>동부화재</t>
  </si>
  <si>
    <t>에스엘</t>
  </si>
  <si>
    <t>한일사료</t>
  </si>
  <si>
    <t>휴니드</t>
  </si>
  <si>
    <t>대한해운</t>
  </si>
  <si>
    <t>동양건설</t>
  </si>
  <si>
    <t>삼성전자</t>
  </si>
  <si>
    <t>이수화학</t>
  </si>
  <si>
    <t>동부건설</t>
  </si>
  <si>
    <t>성지건설</t>
  </si>
  <si>
    <t>매일유업</t>
  </si>
  <si>
    <t>동원산업</t>
  </si>
  <si>
    <t>국영지앤엠</t>
  </si>
  <si>
    <t>화승인더</t>
  </si>
  <si>
    <t>사조오양</t>
  </si>
  <si>
    <t>삼아알미늄</t>
  </si>
  <si>
    <t>SK케미칼</t>
  </si>
  <si>
    <t>피제이전자</t>
  </si>
  <si>
    <t>한국전자홀딩스</t>
  </si>
  <si>
    <t>제주은행</t>
  </si>
  <si>
    <t>LS</t>
  </si>
  <si>
    <t>녹십자</t>
  </si>
  <si>
    <t>대원전선</t>
  </si>
  <si>
    <t>전북은행</t>
  </si>
  <si>
    <t>GS건설</t>
  </si>
  <si>
    <t>대구백화점</t>
  </si>
  <si>
    <t>카프로</t>
  </si>
  <si>
    <t>현대시멘트</t>
  </si>
  <si>
    <t>삼성SDI</t>
  </si>
  <si>
    <t>로엔케이</t>
  </si>
  <si>
    <t>대림통상</t>
  </si>
  <si>
    <t>대양제지</t>
  </si>
  <si>
    <t>대한유화</t>
  </si>
  <si>
    <t>삼성공조</t>
  </si>
  <si>
    <t>영풍제지</t>
  </si>
  <si>
    <t>AK홀딩스</t>
  </si>
  <si>
    <t>태경화학</t>
  </si>
  <si>
    <t>보성파워텍</t>
  </si>
  <si>
    <t>모헨즈</t>
  </si>
  <si>
    <t>우성사료</t>
  </si>
  <si>
    <t>일신석재</t>
  </si>
  <si>
    <t>사조산업</t>
  </si>
  <si>
    <t>벽산</t>
  </si>
  <si>
    <t>한국특수형강</t>
  </si>
  <si>
    <t>오뚜기</t>
  </si>
  <si>
    <t>푸른저축은행</t>
  </si>
  <si>
    <t>동아타이어</t>
  </si>
  <si>
    <t>진양제약</t>
  </si>
  <si>
    <t>영신금속</t>
  </si>
  <si>
    <t>샘표식품</t>
  </si>
  <si>
    <t>일양약품</t>
  </si>
  <si>
    <t>동방아그로</t>
  </si>
  <si>
    <t>선도전기</t>
  </si>
  <si>
    <t>지에스인스트루</t>
  </si>
  <si>
    <t>이수페타시스</t>
  </si>
  <si>
    <t>국도화학</t>
  </si>
  <si>
    <t>F&amp;F</t>
  </si>
  <si>
    <t>대명엔터프라이즈</t>
  </si>
  <si>
    <t>한일화학</t>
  </si>
  <si>
    <t>코리아써키트</t>
  </si>
  <si>
    <t>한일이화</t>
  </si>
  <si>
    <t>태평양물산</t>
  </si>
  <si>
    <t>웅진케미칼</t>
  </si>
  <si>
    <t>경남에너지</t>
  </si>
  <si>
    <t>동아원</t>
  </si>
  <si>
    <t>대덕전자</t>
  </si>
  <si>
    <t>삼양옵틱스</t>
  </si>
  <si>
    <t>대동전자</t>
  </si>
  <si>
    <t>이건산업</t>
  </si>
  <si>
    <t>NI스틸</t>
  </si>
  <si>
    <t>원풍물산</t>
  </si>
  <si>
    <t>남선알미늄</t>
  </si>
  <si>
    <t>원풍</t>
  </si>
  <si>
    <t>문배철강</t>
  </si>
  <si>
    <t>서흥캅셀</t>
  </si>
  <si>
    <t>일정실업</t>
  </si>
  <si>
    <t>메리츠종금증권</t>
  </si>
  <si>
    <t>윌비스</t>
  </si>
  <si>
    <t>아남전자</t>
  </si>
  <si>
    <t>삼양엔텍</t>
  </si>
  <si>
    <t>율촌화학</t>
  </si>
  <si>
    <t>호텔신라</t>
  </si>
  <si>
    <t>행남자기</t>
  </si>
  <si>
    <t>대동기어</t>
  </si>
  <si>
    <t>금비</t>
  </si>
  <si>
    <t>티이씨앤코</t>
  </si>
  <si>
    <t>한미사이언스</t>
  </si>
  <si>
    <t>동양철관</t>
  </si>
  <si>
    <t>KCTC</t>
  </si>
  <si>
    <t>경인전자</t>
  </si>
  <si>
    <t>삼성전기</t>
  </si>
  <si>
    <t>SIMPAC</t>
  </si>
  <si>
    <t>한솔CSN</t>
  </si>
  <si>
    <t>대양금속</t>
  </si>
  <si>
    <t>무림페이퍼</t>
  </si>
  <si>
    <t>한샘</t>
  </si>
  <si>
    <t>신원</t>
  </si>
  <si>
    <t>광동제약</t>
  </si>
  <si>
    <t>삼아제약</t>
  </si>
  <si>
    <t>참엔지니어링</t>
  </si>
  <si>
    <t>대우부품</t>
  </si>
  <si>
    <t>태영건설</t>
  </si>
  <si>
    <t>한올바이오파마</t>
  </si>
  <si>
    <t>KC그린홀딩스</t>
  </si>
  <si>
    <t>경동나비엔</t>
  </si>
  <si>
    <t>한창제지</t>
  </si>
  <si>
    <t>삼화전기</t>
  </si>
  <si>
    <t>포스코엠텍</t>
  </si>
  <si>
    <t>현대중공업</t>
  </si>
  <si>
    <t>무림P&amp;P</t>
  </si>
  <si>
    <t>삼보산업</t>
  </si>
  <si>
    <t>모토닉</t>
  </si>
  <si>
    <t>DS제강</t>
  </si>
  <si>
    <t>삼정펄프</t>
  </si>
  <si>
    <t>엠에스씨</t>
  </si>
  <si>
    <t>고려포리머</t>
  </si>
  <si>
    <t>한화케미칼</t>
  </si>
  <si>
    <t>영원무역홀딩스</t>
  </si>
  <si>
    <t>한국내화</t>
  </si>
  <si>
    <t>금호종금</t>
  </si>
  <si>
    <t>OCI</t>
  </si>
  <si>
    <t>한국프랜지</t>
  </si>
  <si>
    <t>LS산전</t>
  </si>
  <si>
    <t>고려아연</t>
  </si>
  <si>
    <t>삼성중공업</t>
  </si>
  <si>
    <t>대한광통신</t>
  </si>
  <si>
    <t>흥국</t>
  </si>
  <si>
    <t>쌍용정보통신</t>
  </si>
  <si>
    <t>한솔PNS</t>
  </si>
  <si>
    <t>한국개발금융</t>
  </si>
  <si>
    <t>오리콤</t>
  </si>
  <si>
    <t>현대하이스코</t>
  </si>
  <si>
    <t>지코</t>
  </si>
  <si>
    <t>와이비로드</t>
  </si>
  <si>
    <t>현대미포조선</t>
  </si>
  <si>
    <t>진양폴리</t>
  </si>
  <si>
    <t>화천기계</t>
  </si>
  <si>
    <t>나노트로닉스</t>
  </si>
  <si>
    <t>화신</t>
  </si>
  <si>
    <t>평화홀딩스</t>
  </si>
  <si>
    <t>아이에스동서</t>
  </si>
  <si>
    <t>퍼스텍</t>
  </si>
  <si>
    <t>S-Oil</t>
  </si>
  <si>
    <t>삼호개발</t>
  </si>
  <si>
    <t>VGX인터</t>
  </si>
  <si>
    <t>경동제약</t>
  </si>
  <si>
    <t>LG이노텍</t>
  </si>
  <si>
    <t>우성I&amp;C</t>
  </si>
  <si>
    <t>에넥스</t>
  </si>
  <si>
    <t>CJ씨푸드</t>
  </si>
  <si>
    <t>두산건설</t>
  </si>
  <si>
    <t>현대상선</t>
  </si>
  <si>
    <t>삼화전자</t>
  </si>
  <si>
    <t>태림포장</t>
  </si>
  <si>
    <t>성안</t>
  </si>
  <si>
    <t>유니크</t>
  </si>
  <si>
    <t>유니켐</t>
  </si>
  <si>
    <t>서한</t>
  </si>
  <si>
    <t>부산산업</t>
  </si>
  <si>
    <t>한농화성</t>
  </si>
  <si>
    <t>세보엠이씨</t>
  </si>
  <si>
    <t>유양디앤유</t>
  </si>
  <si>
    <t>한신기계</t>
  </si>
  <si>
    <t>현대피앤씨</t>
  </si>
  <si>
    <t>현대상사</t>
  </si>
  <si>
    <t>금호석유</t>
  </si>
  <si>
    <t>SKC</t>
  </si>
  <si>
    <t>STX</t>
  </si>
  <si>
    <t>신성솔라에너지</t>
  </si>
  <si>
    <t>동부CNI</t>
  </si>
  <si>
    <t>키스톤글로벌</t>
  </si>
  <si>
    <t>계양전기</t>
  </si>
  <si>
    <t>영화금속</t>
  </si>
  <si>
    <t>경동가스</t>
  </si>
  <si>
    <t>현대모비스</t>
  </si>
  <si>
    <t>뉴인텍</t>
  </si>
  <si>
    <t>글로스텍</t>
  </si>
  <si>
    <t>삼성테크윈</t>
  </si>
  <si>
    <t>더존비즈온</t>
  </si>
  <si>
    <t>청호컴넷</t>
  </si>
  <si>
    <t>경인양행</t>
  </si>
  <si>
    <t>원일특강</t>
  </si>
  <si>
    <t>현대산업</t>
  </si>
  <si>
    <t>쌍용건설</t>
  </si>
  <si>
    <t>모나리자</t>
  </si>
  <si>
    <t>리드코프</t>
  </si>
  <si>
    <t>에스원</t>
  </si>
  <si>
    <t>신일제약</t>
  </si>
  <si>
    <t>대창</t>
  </si>
  <si>
    <t>대동</t>
  </si>
  <si>
    <t>세우글로벌</t>
  </si>
  <si>
    <t>하이록코리아</t>
  </si>
  <si>
    <t>동원개발</t>
  </si>
  <si>
    <t>AJS</t>
  </si>
  <si>
    <t>일성건설</t>
  </si>
  <si>
    <t>동성하이켐</t>
  </si>
  <si>
    <t>화승알앤에이</t>
  </si>
  <si>
    <t>동양기전</t>
  </si>
  <si>
    <t>계룡건설</t>
  </si>
  <si>
    <t>삼환까뮤</t>
  </si>
  <si>
    <t>청보산업</t>
  </si>
  <si>
    <t>스페코</t>
  </si>
  <si>
    <t>아가방컴퍼니</t>
  </si>
  <si>
    <t>보령메디앙스</t>
  </si>
  <si>
    <t>한익스프레스</t>
  </si>
  <si>
    <t>대영포장</t>
  </si>
  <si>
    <t>후너스</t>
  </si>
  <si>
    <t>광림</t>
  </si>
  <si>
    <t>금강공업</t>
  </si>
  <si>
    <t>신일건업</t>
  </si>
  <si>
    <t>영보화학</t>
  </si>
  <si>
    <t>극동유화</t>
  </si>
  <si>
    <t>고려제약</t>
  </si>
  <si>
    <t>백광소재</t>
  </si>
  <si>
    <t>성광벤드</t>
  </si>
  <si>
    <t>한솔케미칼</t>
  </si>
  <si>
    <t>한라건설</t>
  </si>
  <si>
    <t>동원시스템즈</t>
  </si>
  <si>
    <t>유니드</t>
  </si>
  <si>
    <t>성문전자</t>
  </si>
  <si>
    <t>오리엔탈정공</t>
  </si>
  <si>
    <t>삼륭물산</t>
  </si>
  <si>
    <t>인디에프</t>
  </si>
  <si>
    <t>이스타코</t>
  </si>
  <si>
    <t>대창단조</t>
  </si>
  <si>
    <t>에이엔피</t>
  </si>
  <si>
    <t>부산가스</t>
  </si>
  <si>
    <t>예스코</t>
  </si>
  <si>
    <t>대경기계</t>
  </si>
  <si>
    <t>코콤</t>
  </si>
  <si>
    <t>성우하이텍</t>
  </si>
  <si>
    <t>한국전력</t>
  </si>
  <si>
    <t>일진홀딩스</t>
  </si>
  <si>
    <t>태경산업</t>
  </si>
  <si>
    <t>대현</t>
  </si>
  <si>
    <t>산성앨엔에스</t>
  </si>
  <si>
    <t>로엔</t>
  </si>
  <si>
    <t>이테크건설</t>
  </si>
  <si>
    <t>동부제철</t>
  </si>
  <si>
    <t>NH농협증권</t>
  </si>
  <si>
    <t>한세예스24홀딩스</t>
  </si>
  <si>
    <t>환인제약</t>
  </si>
  <si>
    <t>신대양제지</t>
  </si>
  <si>
    <t>큐캐피탈</t>
  </si>
  <si>
    <t>포비스티앤씨</t>
  </si>
  <si>
    <t>대성홀딩스</t>
  </si>
  <si>
    <t>퍼시스</t>
  </si>
  <si>
    <t>웅진홀딩스</t>
  </si>
  <si>
    <t>카스</t>
  </si>
  <si>
    <t>신원종합개발</t>
  </si>
  <si>
    <t>광명전기</t>
  </si>
  <si>
    <t>명문제약</t>
  </si>
  <si>
    <t>인터엠</t>
  </si>
  <si>
    <t>우신시스템</t>
  </si>
  <si>
    <t>서울가스</t>
  </si>
  <si>
    <t>삼현철강</t>
  </si>
  <si>
    <t>세명전기</t>
  </si>
  <si>
    <t>수산중공업</t>
  </si>
  <si>
    <t>대림제지</t>
  </si>
  <si>
    <t>SK텔레콤</t>
  </si>
  <si>
    <t>데코네티션</t>
  </si>
  <si>
    <t>현대엘리베이터</t>
  </si>
  <si>
    <t>풀무원홀딩스</t>
  </si>
  <si>
    <t>한국알콜</t>
  </si>
  <si>
    <t>광전자</t>
  </si>
  <si>
    <t>E1</t>
  </si>
  <si>
    <t>한국카본</t>
  </si>
  <si>
    <t>유니슨</t>
  </si>
  <si>
    <t>진로발효</t>
  </si>
  <si>
    <t>지엠피</t>
  </si>
  <si>
    <t>삼목에스폼</t>
  </si>
  <si>
    <t>조일알미늄</t>
  </si>
  <si>
    <t>동원금속</t>
  </si>
  <si>
    <t>우진비앤지</t>
  </si>
  <si>
    <t>SK가스</t>
  </si>
  <si>
    <t>서울제약</t>
  </si>
  <si>
    <t>바른손</t>
  </si>
  <si>
    <t>그랜드백화점</t>
  </si>
  <si>
    <t>신풍제약</t>
  </si>
  <si>
    <t>티에이치엔</t>
  </si>
  <si>
    <t>와이지-원</t>
  </si>
  <si>
    <t>동일제지</t>
  </si>
  <si>
    <t>하이트론</t>
  </si>
  <si>
    <t>일지테크</t>
  </si>
  <si>
    <t>SBI인베스트먼트</t>
  </si>
  <si>
    <t>제미니투자</t>
  </si>
  <si>
    <t>엠벤처투자</t>
  </si>
  <si>
    <t>SBI글로벌</t>
  </si>
  <si>
    <t>대교</t>
  </si>
  <si>
    <t>에너토크</t>
  </si>
  <si>
    <t>한섬</t>
  </si>
  <si>
    <t>다우인큐브</t>
  </si>
  <si>
    <t>대신정보통신</t>
  </si>
  <si>
    <t>대동금속</t>
  </si>
  <si>
    <t>아시아나항공</t>
  </si>
  <si>
    <t>시공테크</t>
  </si>
  <si>
    <t>일진디스플</t>
  </si>
  <si>
    <t>대호피앤씨</t>
  </si>
  <si>
    <t>서원</t>
  </si>
  <si>
    <t>에이티넘인베스트</t>
  </si>
  <si>
    <t>KCC건설</t>
  </si>
  <si>
    <t>한국큐빅</t>
  </si>
  <si>
    <t>세원정공</t>
  </si>
  <si>
    <t>한국종합캐피탈</t>
  </si>
  <si>
    <t>우리파이낸셜</t>
  </si>
  <si>
    <t>포스코 ICT</t>
  </si>
  <si>
    <t>애강리메텍</t>
  </si>
  <si>
    <t>MH에탄올</t>
  </si>
  <si>
    <t>태광</t>
  </si>
  <si>
    <t>유진기업</t>
  </si>
  <si>
    <t>제일제강</t>
  </si>
  <si>
    <t>동남합성</t>
  </si>
  <si>
    <t>CNH</t>
  </si>
  <si>
    <t>롯데쇼핑</t>
  </si>
  <si>
    <t>다우기술</t>
  </si>
  <si>
    <t>삼보판지</t>
  </si>
  <si>
    <t>한국캐피탈</t>
  </si>
  <si>
    <t>동일철강</t>
  </si>
  <si>
    <t>인지컨트롤스</t>
  </si>
  <si>
    <t>인팩</t>
  </si>
  <si>
    <t>아트라스BX</t>
  </si>
  <si>
    <t>풍국주정</t>
  </si>
  <si>
    <t>대한약품</t>
  </si>
  <si>
    <t>에쓰씨엔지니어링</t>
  </si>
  <si>
    <t>흥구석유</t>
  </si>
  <si>
    <t>WISCOM</t>
  </si>
  <si>
    <t>디씨엠</t>
  </si>
  <si>
    <t>기업은행</t>
  </si>
  <si>
    <t>KB오토시스</t>
  </si>
  <si>
    <t>하림홀딩스</t>
  </si>
  <si>
    <t>한일단조</t>
  </si>
  <si>
    <t>유성티엔에스</t>
  </si>
  <si>
    <t>이화전기</t>
  </si>
  <si>
    <t>세원물산</t>
  </si>
  <si>
    <t>피에스엠씨</t>
  </si>
  <si>
    <t>케이피에프</t>
  </si>
  <si>
    <t>대원화성</t>
  </si>
  <si>
    <t>덕양산업</t>
  </si>
  <si>
    <t>경창산업</t>
  </si>
  <si>
    <t>PN풍년</t>
  </si>
  <si>
    <t>삼천리자전거</t>
  </si>
  <si>
    <t>KPX케미칼</t>
  </si>
  <si>
    <t>부산방직</t>
  </si>
  <si>
    <t>시노펙스</t>
  </si>
  <si>
    <t>대성엘텍</t>
  </si>
  <si>
    <t>SJM홀딩스</t>
  </si>
  <si>
    <t>한국단자</t>
  </si>
  <si>
    <t>한국선재</t>
  </si>
  <si>
    <t>미래산업</t>
  </si>
  <si>
    <t>신우</t>
  </si>
  <si>
    <t>한솔홈데코</t>
  </si>
  <si>
    <t>한국정보통신</t>
  </si>
  <si>
    <t>이구산업</t>
  </si>
  <si>
    <t>KPX화인케미칼</t>
  </si>
  <si>
    <t>남해화학</t>
  </si>
  <si>
    <t>신라에스지</t>
  </si>
  <si>
    <t>케이씨피드</t>
  </si>
  <si>
    <t>한국주강</t>
  </si>
  <si>
    <t>동화홀딩스</t>
  </si>
  <si>
    <t>우경</t>
  </si>
  <si>
    <t>동신건설</t>
  </si>
  <si>
    <t>에머슨퍼시픽</t>
  </si>
  <si>
    <t>로만손</t>
  </si>
  <si>
    <t>특수건설</t>
  </si>
  <si>
    <t>현대정보기술</t>
  </si>
  <si>
    <t>아이디엔</t>
  </si>
  <si>
    <t>디피씨</t>
  </si>
  <si>
    <t>광진실업</t>
  </si>
  <si>
    <t>부국철강</t>
  </si>
  <si>
    <t>동서</t>
  </si>
  <si>
    <t>서울전자통신</t>
  </si>
  <si>
    <t>코리아나</t>
  </si>
  <si>
    <t>한화타임월드</t>
  </si>
  <si>
    <t>상보</t>
  </si>
  <si>
    <t>팜스토리</t>
  </si>
  <si>
    <t>마니커</t>
  </si>
  <si>
    <t>대성창투</t>
  </si>
  <si>
    <t>세하</t>
  </si>
  <si>
    <t>파캔OPC</t>
  </si>
  <si>
    <t>삼성엔지니어링</t>
  </si>
  <si>
    <t>휴맥스홀딩스</t>
  </si>
  <si>
    <t>동아지질</t>
  </si>
  <si>
    <t>GS홈쇼핑</t>
  </si>
  <si>
    <t>에이치엘비</t>
  </si>
  <si>
    <t>STX팬오션</t>
  </si>
  <si>
    <t>케이씨텍</t>
  </si>
  <si>
    <t>케이디씨</t>
  </si>
  <si>
    <t>신도리코</t>
  </si>
  <si>
    <t>삼성카드</t>
  </si>
  <si>
    <t>코엔텍</t>
  </si>
  <si>
    <t>제일기획</t>
  </si>
  <si>
    <t>NICE평가정보</t>
  </si>
  <si>
    <t>KT</t>
  </si>
  <si>
    <t>가희</t>
  </si>
  <si>
    <t>드래곤플라이</t>
  </si>
  <si>
    <t>한글과컴퓨터</t>
  </si>
  <si>
    <t>원익IPS</t>
  </si>
  <si>
    <t>교보증권</t>
  </si>
  <si>
    <t>동원수산</t>
  </si>
  <si>
    <t>동양네트웍스</t>
  </si>
  <si>
    <t>양지사</t>
  </si>
  <si>
    <t>아이즈비전</t>
  </si>
  <si>
    <t>에스에이엠티</t>
  </si>
  <si>
    <t>신세계푸드</t>
  </si>
  <si>
    <t>오스템</t>
  </si>
  <si>
    <t>콤텍시스템</t>
  </si>
  <si>
    <t>에이모션</t>
  </si>
  <si>
    <t>피에스케이</t>
  </si>
  <si>
    <t>C&amp;S자산관리</t>
  </si>
  <si>
    <t>아즈텍WB</t>
  </si>
  <si>
    <t>다우데이타</t>
  </si>
  <si>
    <t>삼일</t>
  </si>
  <si>
    <t>롯데관광개발</t>
  </si>
  <si>
    <t>터보테크</t>
  </si>
  <si>
    <t>케이엠더블유</t>
  </si>
  <si>
    <t>TJ미디어</t>
  </si>
  <si>
    <t>황금에스티</t>
  </si>
  <si>
    <t>피델릭스</t>
  </si>
  <si>
    <t>유비케어</t>
  </si>
  <si>
    <t>LG유플러스</t>
  </si>
  <si>
    <t>비티씨정보</t>
  </si>
  <si>
    <t>삼진</t>
  </si>
  <si>
    <t>지아이블루</t>
  </si>
  <si>
    <t>G러닝</t>
  </si>
  <si>
    <t>우리기술</t>
  </si>
  <si>
    <t>비트컴퓨터</t>
  </si>
  <si>
    <t>자원</t>
  </si>
  <si>
    <t>원익</t>
  </si>
  <si>
    <t>동일기연</t>
  </si>
  <si>
    <t>폴리비전</t>
  </si>
  <si>
    <t>제이엠아이</t>
  </si>
  <si>
    <t>제룡전기</t>
  </si>
  <si>
    <t>이디</t>
  </si>
  <si>
    <t>디지틀조선</t>
  </si>
  <si>
    <t>엠케이전자</t>
  </si>
  <si>
    <t>필룩스</t>
  </si>
  <si>
    <t>모아텍</t>
  </si>
  <si>
    <t>인성정보</t>
  </si>
  <si>
    <t>자화전자</t>
  </si>
  <si>
    <t>체시스</t>
  </si>
  <si>
    <t>유나이티드제약</t>
  </si>
  <si>
    <t>필코전자</t>
  </si>
  <si>
    <t>디케이디앤아이</t>
  </si>
  <si>
    <t>제이씨현</t>
  </si>
  <si>
    <t>좋은사람들</t>
  </si>
  <si>
    <t>한국자원투자개발</t>
  </si>
  <si>
    <t>세종공업</t>
  </si>
  <si>
    <t>파라텍</t>
  </si>
  <si>
    <t>이젠텍</t>
  </si>
  <si>
    <t>SK브로드밴드</t>
  </si>
  <si>
    <t>네패스</t>
  </si>
  <si>
    <t>아주캐피탈</t>
  </si>
  <si>
    <t>KT&amp;G</t>
  </si>
  <si>
    <t>서화정보통신</t>
  </si>
  <si>
    <t>무학</t>
  </si>
  <si>
    <t>두산중공업</t>
  </si>
  <si>
    <t>SBS</t>
  </si>
  <si>
    <t>LG디스플레이</t>
  </si>
  <si>
    <t>파라다이스</t>
  </si>
  <si>
    <t>신세계건설</t>
  </si>
  <si>
    <t>NICE</t>
  </si>
  <si>
    <t>인천도시가스</t>
  </si>
  <si>
    <t>SK C&amp;C</t>
  </si>
  <si>
    <t>해성산업</t>
  </si>
  <si>
    <t>한국토지신탁</t>
  </si>
  <si>
    <t>조아제약</t>
  </si>
  <si>
    <t>한국기업평가</t>
  </si>
  <si>
    <t>GⅡR</t>
  </si>
  <si>
    <t>인터파크</t>
  </si>
  <si>
    <t>백산</t>
  </si>
  <si>
    <t>프럼파스트</t>
  </si>
  <si>
    <t>강원랜드</t>
  </si>
  <si>
    <t>에듀박스</t>
  </si>
  <si>
    <t>NHN</t>
  </si>
  <si>
    <t>지아이바이오</t>
  </si>
  <si>
    <t>기산텔레콤</t>
  </si>
  <si>
    <t>신세계 I&amp;C</t>
  </si>
  <si>
    <t>KG이니시스</t>
  </si>
  <si>
    <t>솔본</t>
  </si>
  <si>
    <t>바른손게임즈</t>
  </si>
  <si>
    <t>다음</t>
  </si>
  <si>
    <t>CJ오쇼핑</t>
  </si>
  <si>
    <t>이지바이오</t>
  </si>
  <si>
    <t>서희건설</t>
  </si>
  <si>
    <t>예림당</t>
  </si>
  <si>
    <t>아비코전자</t>
  </si>
  <si>
    <t>KTH</t>
  </si>
  <si>
    <t>위지트</t>
  </si>
  <si>
    <t>서울신용평가</t>
  </si>
  <si>
    <t>씨티엘</t>
  </si>
  <si>
    <t>영인프런티어</t>
  </si>
  <si>
    <t>금화피에스시</t>
  </si>
  <si>
    <t>유니셈</t>
  </si>
  <si>
    <t>태산엘시디</t>
  </si>
  <si>
    <t>인포피아</t>
  </si>
  <si>
    <t>웰메이드</t>
  </si>
  <si>
    <t>제이콘텐트리</t>
  </si>
  <si>
    <t>한국가스공사</t>
  </si>
  <si>
    <t>대성미생물</t>
  </si>
  <si>
    <t>OCI머티리얼즈</t>
  </si>
  <si>
    <t>유원컴텍</t>
  </si>
  <si>
    <t>S&amp;T홀딩스</t>
  </si>
  <si>
    <t>STS반도체</t>
  </si>
  <si>
    <t>영풍정밀</t>
  </si>
  <si>
    <t>엔씨소프트</t>
  </si>
  <si>
    <t>팜스코</t>
  </si>
  <si>
    <t>버추얼텍</t>
  </si>
  <si>
    <t>온세텔레콤</t>
  </si>
  <si>
    <t>HRS</t>
  </si>
  <si>
    <t>KCI</t>
  </si>
  <si>
    <t>코맥스</t>
  </si>
  <si>
    <t>심텍</t>
  </si>
  <si>
    <t>나이스정보통신</t>
  </si>
  <si>
    <t>에프에스티</t>
  </si>
  <si>
    <t>솔브레인</t>
  </si>
  <si>
    <t>진성티이씨</t>
  </si>
  <si>
    <t>주성엔지니어링</t>
  </si>
  <si>
    <t>파세코</t>
  </si>
  <si>
    <t>한국팩키지</t>
  </si>
  <si>
    <t>휘닉스컴</t>
  </si>
  <si>
    <t>인지디스플레</t>
  </si>
  <si>
    <t>티모이앤엠</t>
  </si>
  <si>
    <t>성도이엔지</t>
  </si>
  <si>
    <t>EG</t>
  </si>
  <si>
    <t>우리조명지주</t>
  </si>
  <si>
    <t>희림</t>
  </si>
  <si>
    <t>삼지전자</t>
  </si>
  <si>
    <t>미래에셋증권</t>
  </si>
  <si>
    <t>에스비엠</t>
  </si>
  <si>
    <t>광주신세계</t>
  </si>
  <si>
    <t>쎄니트</t>
  </si>
  <si>
    <t>한성엘컴텍</t>
  </si>
  <si>
    <t>제일테크노스</t>
  </si>
  <si>
    <t>루멘스</t>
  </si>
  <si>
    <t>서린바이오</t>
  </si>
  <si>
    <t>에코플라스틱</t>
  </si>
  <si>
    <t>마크로젠</t>
  </si>
  <si>
    <t>쓰리원</t>
  </si>
  <si>
    <t>레드캡투어</t>
  </si>
  <si>
    <t>바이오스마트</t>
  </si>
  <si>
    <t>동양시멘트</t>
  </si>
  <si>
    <t>코아크로스</t>
  </si>
  <si>
    <t>텍셀네트컴</t>
  </si>
  <si>
    <t>위즈정보기술</t>
  </si>
  <si>
    <t>에스넷</t>
  </si>
  <si>
    <t>에코에너지</t>
  </si>
  <si>
    <t>파인디지털</t>
  </si>
  <si>
    <t>현대통신</t>
  </si>
  <si>
    <t>이건창호</t>
  </si>
  <si>
    <t>이오테크닉스</t>
  </si>
  <si>
    <t>하나투어</t>
  </si>
  <si>
    <t>오스코텍</t>
  </si>
  <si>
    <t>솔브레인이엔지</t>
  </si>
  <si>
    <t>경남스틸</t>
  </si>
  <si>
    <t>인포뱅크</t>
  </si>
  <si>
    <t>세중</t>
  </si>
  <si>
    <t>한국경제TV</t>
  </si>
  <si>
    <t>케이엘넷</t>
  </si>
  <si>
    <t>에스티아이</t>
  </si>
  <si>
    <t>씨앤케이인터</t>
  </si>
  <si>
    <t>다산네트웍스</t>
  </si>
  <si>
    <t>화성</t>
  </si>
  <si>
    <t>스포츠서울</t>
  </si>
  <si>
    <t>한국정보공학</t>
  </si>
  <si>
    <t>위노바</t>
  </si>
  <si>
    <t>오로라</t>
  </si>
  <si>
    <t>디오</t>
  </si>
  <si>
    <t>태창파로스</t>
  </si>
  <si>
    <t>나노엔텍</t>
  </si>
  <si>
    <t>리노스</t>
  </si>
  <si>
    <t>누리텔레콤</t>
  </si>
  <si>
    <t>YTN</t>
  </si>
  <si>
    <t>큐로컴</t>
  </si>
  <si>
    <t>정상제이엘에스</t>
  </si>
  <si>
    <t>SG&amp;G</t>
  </si>
  <si>
    <t>와이즈파워</t>
  </si>
  <si>
    <t>인프라웨어</t>
  </si>
  <si>
    <t>게임하이</t>
  </si>
  <si>
    <t>우리기술투자</t>
  </si>
  <si>
    <t>에버다임</t>
  </si>
  <si>
    <t>에스엠</t>
  </si>
  <si>
    <t>이라이콤</t>
  </si>
  <si>
    <t>상신브레이크</t>
  </si>
  <si>
    <t>바이오스페이스</t>
  </si>
  <si>
    <t>에스텍파마</t>
  </si>
  <si>
    <t>동아화성</t>
  </si>
  <si>
    <t>코미팜</t>
  </si>
  <si>
    <t>케이피엠테크</t>
  </si>
  <si>
    <t>에스씨디</t>
  </si>
  <si>
    <t>비츠로테크</t>
  </si>
  <si>
    <t>링네트</t>
  </si>
  <si>
    <t>라온시큐어</t>
  </si>
  <si>
    <t>한스바이오메드</t>
  </si>
  <si>
    <t>새로닉스</t>
  </si>
  <si>
    <t>대우조선해양</t>
  </si>
  <si>
    <t>두산인프라코어</t>
  </si>
  <si>
    <t>한미반도체</t>
  </si>
  <si>
    <t>르네코</t>
  </si>
  <si>
    <t>팜스웰바이오</t>
  </si>
  <si>
    <t>솔고바이오</t>
  </si>
  <si>
    <t>바텍</t>
  </si>
  <si>
    <t>파루</t>
  </si>
  <si>
    <t>경원산업</t>
  </si>
  <si>
    <t>성호전자</t>
  </si>
  <si>
    <t>에쎈테크</t>
  </si>
  <si>
    <t>디지아이</t>
  </si>
  <si>
    <t>평화정공</t>
  </si>
  <si>
    <t>에임하이</t>
  </si>
  <si>
    <t>크로바하이텍</t>
  </si>
  <si>
    <t>KT뮤직</t>
  </si>
  <si>
    <t>국순당</t>
  </si>
  <si>
    <t>다스텍</t>
  </si>
  <si>
    <t>자연과환경</t>
  </si>
  <si>
    <t>조광ILI</t>
  </si>
  <si>
    <t>국제디와이</t>
  </si>
  <si>
    <t>위닉스</t>
  </si>
  <si>
    <t>주연테크</t>
  </si>
  <si>
    <t>KSS해운</t>
  </si>
  <si>
    <t>유니더스</t>
  </si>
  <si>
    <t>태웅</t>
  </si>
  <si>
    <t>한광</t>
  </si>
  <si>
    <t>코스맥스</t>
  </si>
  <si>
    <t>이-글 벳</t>
  </si>
  <si>
    <t>오공</t>
  </si>
  <si>
    <t>한양이엔지</t>
  </si>
  <si>
    <t>성우테크론</t>
  </si>
  <si>
    <t>토탈소프트</t>
  </si>
  <si>
    <t>대아티아이</t>
  </si>
  <si>
    <t>정원엔시스</t>
  </si>
  <si>
    <t>크린앤사이언스</t>
  </si>
  <si>
    <t>에이텍</t>
  </si>
  <si>
    <t>동부라이텍</t>
  </si>
  <si>
    <t>비에스이</t>
  </si>
  <si>
    <t>코다코</t>
  </si>
  <si>
    <t>SBS콘텐츠허브</t>
  </si>
  <si>
    <t>파나진</t>
  </si>
  <si>
    <t>백금T&amp;A</t>
  </si>
  <si>
    <t>삼화네트웍스</t>
  </si>
  <si>
    <t>디브이에스</t>
  </si>
  <si>
    <t>KG모빌리언스</t>
  </si>
  <si>
    <t>서울반도체</t>
  </si>
  <si>
    <t>우원개발</t>
  </si>
  <si>
    <t>대우건설</t>
  </si>
  <si>
    <t>대우인터내셔널</t>
  </si>
  <si>
    <t>한빛소프트</t>
  </si>
  <si>
    <t>파워로직스</t>
  </si>
  <si>
    <t>쌍용머티리얼</t>
  </si>
  <si>
    <t>레이젠</t>
  </si>
  <si>
    <t>이스트소프트</t>
  </si>
  <si>
    <t>코데즈컴바인</t>
  </si>
  <si>
    <t>초록뱀</t>
  </si>
  <si>
    <t>오스템임플란트</t>
  </si>
  <si>
    <t>현대아이비티</t>
  </si>
  <si>
    <t>유라테크</t>
  </si>
  <si>
    <t>대동스틸</t>
  </si>
  <si>
    <t>SM C&amp;C</t>
  </si>
  <si>
    <t>TPC</t>
  </si>
  <si>
    <t>엔피케이</t>
  </si>
  <si>
    <t>코아로직</t>
  </si>
  <si>
    <t>대원미디어</t>
  </si>
  <si>
    <t>예당</t>
  </si>
  <si>
    <t>인탑스</t>
  </si>
  <si>
    <t>파인디앤씨</t>
  </si>
  <si>
    <t>코메론</t>
  </si>
  <si>
    <t>SGA</t>
  </si>
  <si>
    <t>오픈베이스</t>
  </si>
  <si>
    <t>유아이엘</t>
  </si>
  <si>
    <t>잉크테크</t>
  </si>
  <si>
    <t>재영솔루텍</t>
  </si>
  <si>
    <t>고려신용정보</t>
  </si>
  <si>
    <t>동원F&amp;B</t>
  </si>
  <si>
    <t>우진플라임</t>
  </si>
  <si>
    <t>승일</t>
  </si>
  <si>
    <t>미래컴퍼니</t>
  </si>
  <si>
    <t>쎌바이오텍</t>
  </si>
  <si>
    <t>휘닉스소재</t>
  </si>
  <si>
    <t>캠시스</t>
  </si>
  <si>
    <t>라이브플렉스</t>
  </si>
  <si>
    <t>아남정보기술</t>
  </si>
  <si>
    <t>엠피씨</t>
  </si>
  <si>
    <t>에스폴리텍</t>
  </si>
  <si>
    <t>쏠리드</t>
  </si>
  <si>
    <t>루보</t>
  </si>
  <si>
    <t>성진지오텍</t>
  </si>
  <si>
    <t>토비스</t>
  </si>
  <si>
    <t>인터플렉스</t>
  </si>
  <si>
    <t>피씨디렉트</t>
  </si>
  <si>
    <t>영우통신</t>
  </si>
  <si>
    <t>나라엠앤디</t>
  </si>
  <si>
    <t>CJ프레시웨이</t>
  </si>
  <si>
    <t>한전KPS</t>
  </si>
  <si>
    <t>진양화학</t>
  </si>
  <si>
    <t>큐로홀딩스</t>
  </si>
  <si>
    <t>LG생활건강</t>
  </si>
  <si>
    <t>LG화학</t>
  </si>
  <si>
    <t>SNH</t>
  </si>
  <si>
    <t>에스티큐브</t>
  </si>
  <si>
    <t>소프트맥스</t>
  </si>
  <si>
    <t>iMBC</t>
  </si>
  <si>
    <t>바이오랜드</t>
  </si>
  <si>
    <t>우전앤한단</t>
  </si>
  <si>
    <t>트레이스</t>
  </si>
  <si>
    <t>승화산업</t>
  </si>
  <si>
    <t>코텍</t>
  </si>
  <si>
    <t>코나아이</t>
  </si>
  <si>
    <t>오성엘에스티</t>
  </si>
  <si>
    <t>아이크래프트</t>
  </si>
  <si>
    <t>한네트</t>
  </si>
  <si>
    <t>제일바이오</t>
  </si>
  <si>
    <t>아모텍</t>
  </si>
  <si>
    <t>와이디온라인</t>
  </si>
  <si>
    <t>액토즈소프트</t>
  </si>
  <si>
    <t>아이앤씨</t>
  </si>
  <si>
    <t>비아이이엠티</t>
  </si>
  <si>
    <t>우리금융</t>
  </si>
  <si>
    <t>바이넥스</t>
  </si>
  <si>
    <t>지에스이</t>
  </si>
  <si>
    <t>세동</t>
  </si>
  <si>
    <t>소리바다</t>
  </si>
  <si>
    <t>프리엠스</t>
  </si>
  <si>
    <t>금강철강</t>
  </si>
  <si>
    <t>구영테크</t>
  </si>
  <si>
    <t>예스24</t>
  </si>
  <si>
    <t>능률교육</t>
  </si>
  <si>
    <t>테라리소스</t>
  </si>
  <si>
    <t>영진인프라</t>
  </si>
  <si>
    <t>이니텍</t>
  </si>
  <si>
    <t>세코닉스</t>
  </si>
  <si>
    <t>한국테크놀로지</t>
  </si>
  <si>
    <t>프로텍</t>
  </si>
  <si>
    <t>태양</t>
  </si>
  <si>
    <t>현진소재</t>
  </si>
  <si>
    <t>한미글로벌</t>
  </si>
  <si>
    <t>삼보모터스</t>
  </si>
  <si>
    <t>국제엘렉트릭</t>
  </si>
  <si>
    <t>안랩</t>
  </si>
  <si>
    <t>유비프리시젼</t>
  </si>
  <si>
    <t>GT&amp;T</t>
  </si>
  <si>
    <t>경남제약</t>
  </si>
  <si>
    <t>오상자이엘</t>
  </si>
  <si>
    <t>농우바이오</t>
  </si>
  <si>
    <t>삼진엘앤디</t>
  </si>
  <si>
    <t>중앙오션</t>
  </si>
  <si>
    <t>이랜텍</t>
  </si>
  <si>
    <t>비츠로시스</t>
  </si>
  <si>
    <t>헤스본</t>
  </si>
  <si>
    <t>피앤텔</t>
  </si>
  <si>
    <t>케이피티</t>
  </si>
  <si>
    <t>텔레칩스</t>
  </si>
  <si>
    <t>삼영엠텍</t>
  </si>
  <si>
    <t>AP시스템</t>
  </si>
  <si>
    <t>에이디칩스</t>
  </si>
  <si>
    <t>대한뉴팜</t>
  </si>
  <si>
    <t>키이스트</t>
  </si>
  <si>
    <t>아이디스홀딩스</t>
  </si>
  <si>
    <t>소프트포럼</t>
  </si>
  <si>
    <t>유신</t>
  </si>
  <si>
    <t>엑사이엔씨</t>
  </si>
  <si>
    <t>제이브이엠</t>
  </si>
  <si>
    <t>신한지주</t>
  </si>
  <si>
    <t>코원</t>
  </si>
  <si>
    <t>유진로봇</t>
  </si>
  <si>
    <t>에스에프에이</t>
  </si>
  <si>
    <t>CU전자</t>
  </si>
  <si>
    <t>코위버</t>
  </si>
  <si>
    <t>신화인터텍</t>
  </si>
  <si>
    <t>아큐픽스</t>
  </si>
  <si>
    <t>위다스</t>
  </si>
  <si>
    <t>YBM시사닷컴</t>
  </si>
  <si>
    <t>SKC 솔믹스</t>
  </si>
  <si>
    <t>옴니시스템</t>
  </si>
  <si>
    <t>옴니텔</t>
  </si>
  <si>
    <t>토필드</t>
  </si>
  <si>
    <t>아리온</t>
  </si>
  <si>
    <t>금성테크</t>
  </si>
  <si>
    <t>제이웨이</t>
  </si>
  <si>
    <t>포스코강판</t>
  </si>
  <si>
    <t>일야</t>
  </si>
  <si>
    <t>리노공업</t>
  </si>
  <si>
    <t>이큐스앤자루</t>
  </si>
  <si>
    <t>에스피지</t>
  </si>
  <si>
    <t>엠게임</t>
  </si>
  <si>
    <t>세아홀딩스</t>
  </si>
  <si>
    <t>동아에스텍</t>
  </si>
  <si>
    <t>코미코</t>
  </si>
  <si>
    <t>아이컴포넌트</t>
  </si>
  <si>
    <t>메타바이오메드</t>
  </si>
  <si>
    <t>인선이엔티</t>
  </si>
  <si>
    <t>이그잭스</t>
  </si>
  <si>
    <t>아이넷스쿨</t>
  </si>
  <si>
    <t>한국사이버결제</t>
  </si>
  <si>
    <t>뉴보텍</t>
  </si>
  <si>
    <t>큐렉소</t>
  </si>
  <si>
    <t>레드로버</t>
  </si>
  <si>
    <t>3S</t>
  </si>
  <si>
    <t>KT서브마린</t>
  </si>
  <si>
    <t>동양에스텍</t>
  </si>
  <si>
    <t>에스에이티</t>
  </si>
  <si>
    <t>홈센타</t>
  </si>
  <si>
    <t>아이리버</t>
  </si>
  <si>
    <t>씨티씨바이오</t>
  </si>
  <si>
    <t>KH바텍</t>
  </si>
  <si>
    <t>에어파크</t>
  </si>
  <si>
    <t>알에프텍</t>
  </si>
  <si>
    <t>화일약품</t>
  </si>
  <si>
    <t>한진피앤씨</t>
  </si>
  <si>
    <t>티엘아이</t>
  </si>
  <si>
    <t>게임빌</t>
  </si>
  <si>
    <t>종근당바이오</t>
  </si>
  <si>
    <t>서울옥션</t>
  </si>
  <si>
    <t>케이디미디어</t>
  </si>
  <si>
    <t>한국전자금융</t>
  </si>
  <si>
    <t>휴바이론</t>
  </si>
  <si>
    <t>홈캐스트</t>
  </si>
  <si>
    <t>다날</t>
  </si>
  <si>
    <t>브리지텍</t>
  </si>
  <si>
    <t>바른전자</t>
  </si>
  <si>
    <t>바이오니아</t>
  </si>
  <si>
    <t>티씨케이</t>
  </si>
  <si>
    <t>필링크</t>
  </si>
  <si>
    <t>소셜미디어99</t>
  </si>
  <si>
    <t>S&amp;T모티브</t>
  </si>
  <si>
    <t>지엔코</t>
  </si>
  <si>
    <t>탑엔지니어링</t>
  </si>
  <si>
    <t>MPK</t>
  </si>
  <si>
    <t>에프티이앤이</t>
  </si>
  <si>
    <t>엔알디</t>
  </si>
  <si>
    <t>피에스앤지</t>
  </si>
  <si>
    <t>플렉스컴</t>
  </si>
  <si>
    <t>신성델타테크</t>
  </si>
  <si>
    <t>에스아이리소스</t>
  </si>
  <si>
    <t>이루온</t>
  </si>
  <si>
    <t>빅텍</t>
  </si>
  <si>
    <t>오리엔트정공</t>
  </si>
  <si>
    <t>휴비츠</t>
  </si>
  <si>
    <t>전파기지국</t>
  </si>
  <si>
    <t>선도소프트</t>
  </si>
  <si>
    <t>삼영이엔씨</t>
  </si>
  <si>
    <t>샤인</t>
  </si>
  <si>
    <t>메디프론</t>
  </si>
  <si>
    <t>우주일렉트로</t>
  </si>
  <si>
    <t>대진디엠피</t>
  </si>
  <si>
    <t>서호전기</t>
  </si>
  <si>
    <t>CS</t>
  </si>
  <si>
    <t>케이에스씨비</t>
  </si>
  <si>
    <t>웰크론</t>
  </si>
  <si>
    <t>백산OPC</t>
  </si>
  <si>
    <t>하츠</t>
  </si>
  <si>
    <t>SK컴즈</t>
  </si>
  <si>
    <t>큐에스아이</t>
  </si>
  <si>
    <t>티에스엠텍</t>
  </si>
  <si>
    <t>캔들미디어</t>
  </si>
  <si>
    <t>스템싸이언스</t>
  </si>
  <si>
    <t>LG전자</t>
  </si>
  <si>
    <t>우수AMS</t>
  </si>
  <si>
    <t>국보디자인</t>
  </si>
  <si>
    <t>디스플레이텍</t>
  </si>
  <si>
    <t>테라젠이텍스</t>
  </si>
  <si>
    <t>씨씨에스</t>
  </si>
  <si>
    <t>디에이피</t>
  </si>
  <si>
    <t>손오공</t>
  </si>
  <si>
    <t>엘앤에프</t>
  </si>
  <si>
    <t>하이쎌</t>
  </si>
  <si>
    <t>이씨에스</t>
  </si>
  <si>
    <t>대화제약</t>
  </si>
  <si>
    <t>오텍</t>
  </si>
  <si>
    <t>STX조선해양</t>
  </si>
  <si>
    <t>크레듀</t>
  </si>
  <si>
    <t>JW중외신약</t>
  </si>
  <si>
    <t>하나마이크론</t>
  </si>
  <si>
    <t>에너지솔루션</t>
  </si>
  <si>
    <t>세진티에스</t>
  </si>
  <si>
    <t>세이브존I&amp;C</t>
  </si>
  <si>
    <t>와이엔텍</t>
  </si>
  <si>
    <t>도이치모터스</t>
  </si>
  <si>
    <t>팬엔터테인먼트</t>
  </si>
  <si>
    <t>KCW</t>
  </si>
  <si>
    <t>엔티피아</t>
  </si>
  <si>
    <t>셀트리온</t>
  </si>
  <si>
    <t>삼성출판사</t>
  </si>
  <si>
    <t>일신바이오</t>
  </si>
  <si>
    <t>셀트리온제약</t>
  </si>
  <si>
    <t>DMS</t>
  </si>
  <si>
    <t>LG생명과학</t>
  </si>
  <si>
    <t>디지털대성</t>
  </si>
  <si>
    <t>웹젠</t>
  </si>
  <si>
    <t>휴켐스</t>
  </si>
  <si>
    <t>유아이디</t>
  </si>
  <si>
    <t>엔텔스</t>
  </si>
  <si>
    <t>대호에이엘</t>
  </si>
  <si>
    <t>에스텍</t>
  </si>
  <si>
    <t>빛과전자</t>
  </si>
  <si>
    <t>대웅제약</t>
  </si>
  <si>
    <t>DSR제강</t>
  </si>
  <si>
    <t>아이에스이커머스</t>
  </si>
  <si>
    <t>현대백화점</t>
  </si>
  <si>
    <t>에버테크노</t>
  </si>
  <si>
    <t>한솔인티큐브</t>
  </si>
  <si>
    <t>한국금융지주</t>
  </si>
  <si>
    <t>하이스틸</t>
  </si>
  <si>
    <t>로체시스템즈</t>
  </si>
  <si>
    <t>에이테크솔루션</t>
  </si>
  <si>
    <t>에이스하이텍</t>
  </si>
  <si>
    <t>코아스</t>
  </si>
  <si>
    <t>중앙백신</t>
  </si>
  <si>
    <t>유엔젤</t>
  </si>
  <si>
    <t>우리산업</t>
  </si>
  <si>
    <t>태양기전</t>
  </si>
  <si>
    <t>농심홀딩스</t>
  </si>
  <si>
    <t>아로마소프트</t>
  </si>
  <si>
    <t>메가스터디</t>
  </si>
  <si>
    <t>케이에스피</t>
  </si>
  <si>
    <t>넥센테크</t>
  </si>
  <si>
    <t>엘엠에스</t>
  </si>
  <si>
    <t>듀오백코리아</t>
  </si>
  <si>
    <t>금호타이어</t>
  </si>
  <si>
    <t>에프알텍</t>
  </si>
  <si>
    <t>프롬써어티</t>
  </si>
  <si>
    <t>삼원테크</t>
  </si>
  <si>
    <t>제너시스템즈</t>
  </si>
  <si>
    <t>엠텍비젼</t>
  </si>
  <si>
    <t>디아이디</t>
  </si>
  <si>
    <t>창해에너지어링</t>
  </si>
  <si>
    <t>아미노로직스</t>
  </si>
  <si>
    <t>이엔쓰리</t>
  </si>
  <si>
    <t>플랜티넷</t>
  </si>
  <si>
    <t>새론오토모티브</t>
  </si>
  <si>
    <t>동국알앤에스</t>
  </si>
  <si>
    <t>웰크론한텍</t>
  </si>
  <si>
    <t>다윈텍</t>
  </si>
  <si>
    <t>덕산하이메탈</t>
  </si>
  <si>
    <t>유니퀘스트</t>
  </si>
  <si>
    <t>STX엔진</t>
  </si>
  <si>
    <t>텔코웨어</t>
  </si>
  <si>
    <t>이트레이드증권</t>
  </si>
  <si>
    <t>유비쿼스</t>
  </si>
  <si>
    <t>국일제지</t>
  </si>
  <si>
    <t>대봉엘에스</t>
  </si>
  <si>
    <t>HB테크놀러지</t>
  </si>
  <si>
    <t>메디포스트</t>
  </si>
  <si>
    <t>컴투스</t>
  </si>
  <si>
    <t>한양디지텍</t>
  </si>
  <si>
    <t>에이블씨엔씨</t>
  </si>
  <si>
    <t>두올산업</t>
  </si>
  <si>
    <t>대주전자재료</t>
  </si>
  <si>
    <t>아이디에스</t>
  </si>
  <si>
    <t>포인트아이</t>
  </si>
  <si>
    <t>가온미디어</t>
  </si>
  <si>
    <t>GS</t>
  </si>
  <si>
    <t>일경산업개발</t>
  </si>
  <si>
    <t>와토스코리아</t>
  </si>
  <si>
    <t>CJ CGV</t>
  </si>
  <si>
    <t>한창산업</t>
  </si>
  <si>
    <t>EMW</t>
  </si>
  <si>
    <t>제우스</t>
  </si>
  <si>
    <t>리바트</t>
  </si>
  <si>
    <t>서산</t>
  </si>
  <si>
    <t>사조해표</t>
  </si>
  <si>
    <t>디이엔티</t>
  </si>
  <si>
    <t>가비아</t>
  </si>
  <si>
    <t>LIG에이디피</t>
  </si>
  <si>
    <t>동양이엔피</t>
  </si>
  <si>
    <t>에스엔유</t>
  </si>
  <si>
    <t>이상네트웍스</t>
  </si>
  <si>
    <t>모두투어</t>
  </si>
  <si>
    <t>이노칩</t>
  </si>
  <si>
    <t>세진전자</t>
  </si>
  <si>
    <t>오디텍</t>
  </si>
  <si>
    <t>일진다이아</t>
  </si>
  <si>
    <t>티플랙스</t>
  </si>
  <si>
    <t>세미텍</t>
  </si>
  <si>
    <t>성우전자</t>
  </si>
  <si>
    <t>넥스지</t>
  </si>
  <si>
    <t>옵트론텍</t>
  </si>
  <si>
    <t>젬백스</t>
  </si>
  <si>
    <t>피엘에이</t>
  </si>
  <si>
    <t>동양생명</t>
  </si>
  <si>
    <t>크루셜엠스</t>
  </si>
  <si>
    <t>루미마이크로</t>
  </si>
  <si>
    <t>우리이티아이</t>
  </si>
  <si>
    <t>비츠로셀</t>
  </si>
  <si>
    <t>실리콘화일</t>
  </si>
  <si>
    <t>엘오티베큠</t>
  </si>
  <si>
    <t>KPX그린케미칼</t>
  </si>
  <si>
    <t>GST</t>
  </si>
  <si>
    <t>KJ프리텍</t>
  </si>
  <si>
    <t>케이엠</t>
  </si>
  <si>
    <t>윈포넷</t>
  </si>
  <si>
    <t>비에이치아이</t>
  </si>
  <si>
    <t>젠트로</t>
  </si>
  <si>
    <t>크리스탈</t>
  </si>
  <si>
    <t>아바코</t>
  </si>
  <si>
    <t>대한제강</t>
  </si>
  <si>
    <t>휴온스</t>
  </si>
  <si>
    <t>수성</t>
  </si>
  <si>
    <t>유진테크</t>
  </si>
  <si>
    <t>동양고속</t>
  </si>
  <si>
    <t>이월드</t>
  </si>
  <si>
    <t>대상홀딩스</t>
  </si>
  <si>
    <t>팅크웨어</t>
  </si>
  <si>
    <t>베이직하우스</t>
  </si>
  <si>
    <t>바이로메드</t>
  </si>
  <si>
    <t>엔케이</t>
  </si>
  <si>
    <t>루트로닉</t>
  </si>
  <si>
    <t>차바이오앤</t>
  </si>
  <si>
    <t>뉴프렉스</t>
  </si>
  <si>
    <t>네오티스</t>
  </si>
  <si>
    <t>바이오톡스텍</t>
  </si>
  <si>
    <t>진바이오텍</t>
  </si>
  <si>
    <t>씨앤비텍</t>
  </si>
  <si>
    <t>화신테크</t>
  </si>
  <si>
    <t>현대글로비스</t>
  </si>
  <si>
    <t>유니테스트</t>
  </si>
  <si>
    <t>동국제약</t>
  </si>
  <si>
    <t>에코프로</t>
  </si>
  <si>
    <t>비엠티</t>
  </si>
  <si>
    <t>하나금융지주</t>
  </si>
  <si>
    <t>신양</t>
  </si>
  <si>
    <t>이수앱지스</t>
  </si>
  <si>
    <t>메디톡스</t>
  </si>
  <si>
    <t>MDS테크</t>
  </si>
  <si>
    <t>미디어플렉스</t>
  </si>
  <si>
    <t>스틸플라워</t>
  </si>
  <si>
    <t>네패스신소재</t>
  </si>
  <si>
    <t>동아엘텍</t>
  </si>
  <si>
    <t>이녹스</t>
  </si>
  <si>
    <t>진도</t>
  </si>
  <si>
    <t>에이스테크</t>
  </si>
  <si>
    <t>동우</t>
  </si>
  <si>
    <t>켐트로닉스</t>
  </si>
  <si>
    <t>넥스턴</t>
  </si>
  <si>
    <t>케이씨티</t>
  </si>
  <si>
    <t>용현BM</t>
  </si>
  <si>
    <t>현대EP</t>
  </si>
  <si>
    <t>제이티</t>
  </si>
  <si>
    <t>고려반도체</t>
  </si>
  <si>
    <t>평화산업</t>
  </si>
  <si>
    <t>잘만테크</t>
  </si>
  <si>
    <t>광진윈텍</t>
  </si>
  <si>
    <t>노루페인트</t>
  </si>
  <si>
    <t>아비스타</t>
  </si>
  <si>
    <t>아모레퍼시픽</t>
  </si>
  <si>
    <t>비에이치</t>
  </si>
  <si>
    <t>AST젯텍</t>
  </si>
  <si>
    <t>동부로봇</t>
  </si>
  <si>
    <t>Simpac Metalloy</t>
  </si>
  <si>
    <t>연이정보통신</t>
  </si>
  <si>
    <t>세원셀론텍</t>
  </si>
  <si>
    <t>이엠텍</t>
  </si>
  <si>
    <t>S&amp;K폴리텍</t>
  </si>
  <si>
    <t>텔레필드</t>
  </si>
  <si>
    <t>상신이디피</t>
  </si>
  <si>
    <t>디지텍시스템</t>
  </si>
  <si>
    <t>파트론</t>
  </si>
  <si>
    <t>나노캠텍</t>
  </si>
  <si>
    <t>디엔에프</t>
  </si>
  <si>
    <t>이크레더블</t>
  </si>
  <si>
    <t>디아이씨</t>
  </si>
  <si>
    <t>KEC</t>
  </si>
  <si>
    <t>KPX홀딩스</t>
  </si>
  <si>
    <t>현우산업</t>
  </si>
  <si>
    <t>기신정기</t>
  </si>
  <si>
    <t>한라IMS</t>
  </si>
  <si>
    <t>넥스트칩</t>
  </si>
  <si>
    <t>네오팜</t>
  </si>
  <si>
    <t>LG패션</t>
  </si>
  <si>
    <t>빅솔론</t>
  </si>
  <si>
    <t>에리트베이직</t>
  </si>
  <si>
    <t>후성</t>
  </si>
  <si>
    <t>풍강</t>
  </si>
  <si>
    <t>매커스</t>
  </si>
  <si>
    <t>다믈멀티미디어</t>
  </si>
  <si>
    <t>서원인텍</t>
  </si>
  <si>
    <t>이엘케이</t>
  </si>
  <si>
    <t>효성ITX</t>
  </si>
  <si>
    <t>갤럭시아컴즈</t>
  </si>
  <si>
    <t>일진에너지</t>
  </si>
  <si>
    <t>슈프리마</t>
  </si>
  <si>
    <t>참좋은레져</t>
  </si>
  <si>
    <t>코닉글로리</t>
  </si>
  <si>
    <t>푸른기술</t>
  </si>
  <si>
    <t>제이엠티</t>
  </si>
  <si>
    <t>이엠코리아</t>
  </si>
  <si>
    <t>웨이브일렉트로</t>
  </si>
  <si>
    <t>엔에스브이</t>
  </si>
  <si>
    <t>ISC</t>
  </si>
  <si>
    <t>미래나노텍</t>
  </si>
  <si>
    <t>테스</t>
  </si>
  <si>
    <t>네오위즈게임즈</t>
  </si>
  <si>
    <t>제넥신</t>
  </si>
  <si>
    <t>웅진씽크빅</t>
  </si>
  <si>
    <t>에스에너지</t>
  </si>
  <si>
    <t>네오엠텔</t>
  </si>
  <si>
    <t>청담러닝</t>
  </si>
  <si>
    <t>알에프세미</t>
  </si>
  <si>
    <t>에스코넥</t>
  </si>
  <si>
    <t>JW홀딩스</t>
  </si>
  <si>
    <t>SK이노베이션</t>
  </si>
  <si>
    <t>엘디티</t>
  </si>
  <si>
    <t>한진중공업</t>
  </si>
  <si>
    <t>에스맥</t>
  </si>
  <si>
    <t>효성오앤비</t>
  </si>
  <si>
    <t>CJ제일제당</t>
  </si>
  <si>
    <t>마이크로컨텍솔</t>
  </si>
  <si>
    <t>고영</t>
  </si>
  <si>
    <t>에스티오</t>
  </si>
  <si>
    <t>SDN</t>
  </si>
  <si>
    <t>쎄트렉아이</t>
  </si>
  <si>
    <t>동방선기</t>
  </si>
  <si>
    <t>삼강엠앤티</t>
  </si>
  <si>
    <t>뷰웍스</t>
  </si>
  <si>
    <t>동국S&amp;C</t>
  </si>
  <si>
    <t>비상교육</t>
  </si>
  <si>
    <t>진양홀딩스</t>
  </si>
  <si>
    <t>세운메디칼</t>
  </si>
  <si>
    <t>S&amp;TC</t>
  </si>
  <si>
    <t>디엠씨</t>
  </si>
  <si>
    <t>SBS미디어홀딩스</t>
  </si>
  <si>
    <t>아티스</t>
  </si>
  <si>
    <t>월덱스</t>
  </si>
  <si>
    <t>우림기계</t>
  </si>
  <si>
    <t>아이엠</t>
  </si>
  <si>
    <t>네오피델리티</t>
  </si>
  <si>
    <t>에스앤에스텍</t>
  </si>
  <si>
    <t>코리아에스이</t>
  </si>
  <si>
    <t>한국정밀기계</t>
  </si>
  <si>
    <t>조이맥스</t>
  </si>
  <si>
    <t>파브코</t>
  </si>
  <si>
    <t>어보브반도체</t>
  </si>
  <si>
    <t>해덕파워웨이</t>
  </si>
  <si>
    <t>동성홀딩스</t>
  </si>
  <si>
    <t>쌍방울</t>
  </si>
  <si>
    <t>이엔에프테크놀로지</t>
  </si>
  <si>
    <t>코오롱생명과학</t>
  </si>
  <si>
    <t>풍산</t>
  </si>
  <si>
    <t>에스앤더블류</t>
  </si>
  <si>
    <t>일진전기</t>
  </si>
  <si>
    <t>대성파인텍</t>
  </si>
  <si>
    <t>신성이엔지</t>
  </si>
  <si>
    <t>신성에프에이</t>
  </si>
  <si>
    <t>네오위즈인터넷</t>
  </si>
  <si>
    <t>한국철강</t>
  </si>
  <si>
    <t>케이엔더블유</t>
  </si>
  <si>
    <t>KB금융</t>
  </si>
  <si>
    <t>한세실업</t>
  </si>
  <si>
    <t>파인테크닉스</t>
  </si>
  <si>
    <t>미원에스씨</t>
  </si>
  <si>
    <t>톱텍</t>
  </si>
  <si>
    <t>LG하우시스</t>
  </si>
  <si>
    <t>KGP</t>
  </si>
  <si>
    <t>디에스케이</t>
  </si>
  <si>
    <t>진매트릭스</t>
  </si>
  <si>
    <t>동일금속</t>
  </si>
  <si>
    <t>이너스텍</t>
  </si>
  <si>
    <t>모린스</t>
  </si>
  <si>
    <t>영원무역</t>
  </si>
  <si>
    <t>GKL</t>
  </si>
  <si>
    <t>웰크론강원</t>
  </si>
  <si>
    <t>휴맥스</t>
  </si>
  <si>
    <t>3노드디지탈</t>
  </si>
  <si>
    <t>차이나그레이트</t>
  </si>
  <si>
    <t>중국원양자원</t>
  </si>
  <si>
    <t>중국식품포장</t>
  </si>
  <si>
    <t>화풍집단KDR</t>
  </si>
  <si>
    <t>KS</t>
  </si>
  <si>
    <t>KQ</t>
  </si>
  <si>
    <t>건강관리</t>
  </si>
  <si>
    <t>경기관련소비재</t>
  </si>
  <si>
    <t>금융</t>
  </si>
  <si>
    <t>필수소비재</t>
  </si>
  <si>
    <t>산업재</t>
  </si>
  <si>
    <t>소재</t>
  </si>
  <si>
    <t>IT</t>
  </si>
  <si>
    <t>에너지</t>
  </si>
  <si>
    <t>유틸리티</t>
  </si>
  <si>
    <t>전기통신서비스</t>
  </si>
  <si>
    <t>제약과생물공학</t>
  </si>
  <si>
    <t>자동차와부품</t>
  </si>
  <si>
    <t>내구소비재와의류</t>
  </si>
  <si>
    <t>보험</t>
  </si>
  <si>
    <t>식품,음료,담배</t>
  </si>
  <si>
    <t>운송</t>
  </si>
  <si>
    <t>자본재</t>
  </si>
  <si>
    <t>전자와 전기제품</t>
  </si>
  <si>
    <t>반도체와반도체장비</t>
  </si>
  <si>
    <t>증권</t>
  </si>
  <si>
    <t>디스플레이</t>
  </si>
  <si>
    <t>미디어</t>
  </si>
  <si>
    <t>소매(유통)</t>
  </si>
  <si>
    <t>건강관리장비와서비스</t>
  </si>
  <si>
    <t>기술하드웨어와장비</t>
  </si>
  <si>
    <t>소프트웨어와서비스</t>
  </si>
  <si>
    <t>은행</t>
  </si>
  <si>
    <t>상업서비스와공급품</t>
  </si>
  <si>
    <t>식품과기본식료품소매</t>
  </si>
  <si>
    <t>다각화된금융</t>
  </si>
  <si>
    <t>호텔,레스토랑,레저등</t>
  </si>
  <si>
    <t>교육서비스</t>
  </si>
  <si>
    <t>가정용품과개인용품</t>
  </si>
  <si>
    <t>부동산</t>
  </si>
  <si>
    <t>통신서비스</t>
  </si>
  <si>
    <t>기타금융서비스</t>
  </si>
  <si>
    <t>IP</t>
  </si>
  <si>
    <t>IC</t>
  </si>
  <si>
    <t>GP</t>
  </si>
  <si>
    <t>부호</t>
    <phoneticPr fontId="2" type="noConversion"/>
  </si>
  <si>
    <t>vs consensus</t>
    <phoneticPr fontId="2" type="noConversion"/>
  </si>
  <si>
    <t>OP 컨센서스 1W</t>
    <phoneticPr fontId="2" type="noConversion"/>
  </si>
  <si>
    <t>OP 컨센서스 2W</t>
    <phoneticPr fontId="2" type="noConversion"/>
  </si>
  <si>
    <t>OP 컨센서스 4W</t>
    <phoneticPr fontId="2" type="noConversion"/>
  </si>
  <si>
    <t>구분</t>
    <phoneticPr fontId="2" type="noConversion"/>
  </si>
  <si>
    <t>Date</t>
    <phoneticPr fontId="2" type="noConversion"/>
  </si>
  <si>
    <t>대차잔고비율</t>
    <phoneticPr fontId="2" type="noConversion"/>
  </si>
  <si>
    <t>Q3 영업이익</t>
    <phoneticPr fontId="2" type="noConversion"/>
  </si>
  <si>
    <t>발표일자</t>
    <phoneticPr fontId="2" type="noConversion"/>
  </si>
  <si>
    <t>증권사</t>
    <phoneticPr fontId="2" type="noConversion"/>
  </si>
  <si>
    <t>애널리스트</t>
    <phoneticPr fontId="2" type="noConversion"/>
  </si>
  <si>
    <t>종목코드(명)</t>
    <phoneticPr fontId="2" type="noConversion"/>
  </si>
  <si>
    <t>업종명(시장)</t>
    <phoneticPr fontId="2" type="noConversion"/>
  </si>
  <si>
    <t>최근 4개 분기 Earings Surprise (%)</t>
    <phoneticPr fontId="2" type="noConversion"/>
  </si>
  <si>
    <t>Consensus Sturcture</t>
    <phoneticPr fontId="2" type="noConversion"/>
  </si>
  <si>
    <t>종목코드</t>
    <phoneticPr fontId="2" type="noConversion"/>
  </si>
  <si>
    <t>종목명</t>
    <phoneticPr fontId="2" type="noConversion"/>
  </si>
  <si>
    <t>업종</t>
    <phoneticPr fontId="2" type="noConversion"/>
  </si>
  <si>
    <t>구분</t>
    <phoneticPr fontId="2" type="noConversion"/>
  </si>
  <si>
    <t>W1 sheet</t>
    <phoneticPr fontId="2" type="noConversion"/>
  </si>
  <si>
    <t>W2 sheet</t>
    <phoneticPr fontId="2" type="noConversion"/>
  </si>
  <si>
    <t>W4 sheet</t>
    <phoneticPr fontId="2" type="noConversion"/>
  </si>
  <si>
    <t>Trend</t>
    <phoneticPr fontId="2" type="noConversion"/>
  </si>
  <si>
    <t>수정주가</t>
    <phoneticPr fontId="2" type="noConversion"/>
  </si>
  <si>
    <t>KRW bil</t>
    <phoneticPr fontId="2" type="noConversion"/>
  </si>
  <si>
    <t>추정분기</t>
    <phoneticPr fontId="2" type="noConversion"/>
  </si>
  <si>
    <t>컨센서스(평균)</t>
    <phoneticPr fontId="2" type="noConversion"/>
  </si>
  <si>
    <t>최대값</t>
    <phoneticPr fontId="2" type="noConversion"/>
  </si>
  <si>
    <t>중간값</t>
    <phoneticPr fontId="2" type="noConversion"/>
  </si>
  <si>
    <t>최저값</t>
    <phoneticPr fontId="2" type="noConversion"/>
  </si>
  <si>
    <t>실적발표 예정일 및 Main</t>
    <phoneticPr fontId="2" type="noConversion"/>
  </si>
  <si>
    <t>Consensus Data</t>
    <phoneticPr fontId="2" type="noConversion"/>
  </si>
  <si>
    <t>High</t>
    <phoneticPr fontId="2" type="noConversion"/>
  </si>
  <si>
    <t>Median</t>
    <phoneticPr fontId="2" type="noConversion"/>
  </si>
  <si>
    <t>Low</t>
    <phoneticPr fontId="2" type="noConversion"/>
  </si>
  <si>
    <t>발표실적</t>
    <phoneticPr fontId="2" type="noConversion"/>
  </si>
  <si>
    <t>M123900.M</t>
  </si>
  <si>
    <t>M123600.M</t>
  </si>
  <si>
    <t>M123950.M</t>
  </si>
  <si>
    <t>Consensus</t>
    <phoneticPr fontId="2" type="noConversion"/>
  </si>
  <si>
    <t>M115000.M</t>
  </si>
  <si>
    <t>Consensus Data</t>
  </si>
  <si>
    <t>High</t>
  </si>
  <si>
    <t>Median</t>
  </si>
  <si>
    <t>Low</t>
  </si>
  <si>
    <t>Ascending</t>
  </si>
  <si>
    <t>From</t>
    <phoneticPr fontId="2" type="noConversion"/>
  </si>
  <si>
    <t>To</t>
    <phoneticPr fontId="2" type="noConversion"/>
  </si>
  <si>
    <t>위에서부터 20개</t>
    <phoneticPr fontId="2" type="noConversion"/>
  </si>
  <si>
    <t>D-17</t>
  </si>
  <si>
    <t>D-16</t>
  </si>
  <si>
    <t>D-15</t>
  </si>
  <si>
    <t>D-14</t>
  </si>
  <si>
    <t>D-13</t>
  </si>
  <si>
    <t>D-12</t>
  </si>
  <si>
    <t>D-11</t>
  </si>
  <si>
    <t>D-10</t>
  </si>
  <si>
    <t>D-9</t>
  </si>
  <si>
    <t>D-8</t>
  </si>
  <si>
    <t>D-7</t>
  </si>
  <si>
    <t>D-6</t>
  </si>
  <si>
    <t>D-5</t>
  </si>
  <si>
    <t>D-4</t>
  </si>
  <si>
    <t>D-3</t>
  </si>
  <si>
    <t>D-2</t>
  </si>
  <si>
    <t>D-1</t>
  </si>
  <si>
    <t>D+4</t>
  </si>
  <si>
    <t>D+5</t>
  </si>
  <si>
    <t>D+6</t>
  </si>
  <si>
    <t>D+7</t>
  </si>
  <si>
    <t>D+8</t>
  </si>
  <si>
    <t>D+9</t>
  </si>
  <si>
    <t>D+10</t>
  </si>
  <si>
    <t>D+11</t>
  </si>
  <si>
    <t>D+12</t>
  </si>
  <si>
    <t>D+13</t>
  </si>
  <si>
    <t>D+14</t>
  </si>
  <si>
    <t>D+15</t>
  </si>
  <si>
    <t>D+16</t>
  </si>
  <si>
    <t>D+17</t>
  </si>
  <si>
    <t>D+18</t>
  </si>
  <si>
    <t>D+19</t>
  </si>
  <si>
    <t>D+20</t>
  </si>
  <si>
    <t>수정주가</t>
    <phoneticPr fontId="2" type="noConversion"/>
  </si>
  <si>
    <t>Date</t>
    <phoneticPr fontId="2" type="noConversion"/>
  </si>
  <si>
    <t>M121500.M</t>
    <phoneticPr fontId="2" type="noConversion"/>
  </si>
  <si>
    <t>QoQ(%)</t>
    <phoneticPr fontId="2" type="noConversion"/>
  </si>
  <si>
    <t>YoY(%)</t>
    <phoneticPr fontId="2" type="noConversion"/>
  </si>
  <si>
    <t>Consensus</t>
    <phoneticPr fontId="2" type="noConversion"/>
  </si>
  <si>
    <t>FQ-1 (십억원)</t>
    <phoneticPr fontId="2" type="noConversion"/>
  </si>
  <si>
    <t>FY-1 (십억원)</t>
    <phoneticPr fontId="2" type="noConversion"/>
  </si>
  <si>
    <t>Consensus structure Raw</t>
    <phoneticPr fontId="2" type="noConversion"/>
  </si>
  <si>
    <t>Consolidation date</t>
    <phoneticPr fontId="2" type="noConversion"/>
  </si>
  <si>
    <t>DRB동일</t>
  </si>
  <si>
    <t>한국콜마홀딩스</t>
  </si>
  <si>
    <t>한국컴퓨터</t>
  </si>
  <si>
    <t>GO1</t>
    <phoneticPr fontId="2" type="noConversion"/>
  </si>
  <si>
    <t>GO2</t>
    <phoneticPr fontId="2" type="noConversion"/>
  </si>
  <si>
    <t>GO3</t>
    <phoneticPr fontId="2" type="noConversion"/>
  </si>
  <si>
    <t>표준편차</t>
    <phoneticPr fontId="2" type="noConversion"/>
  </si>
  <si>
    <t>변동계수</t>
    <phoneticPr fontId="2" type="noConversion"/>
  </si>
  <si>
    <t>No. Upper</t>
    <phoneticPr fontId="2" type="noConversion"/>
  </si>
  <si>
    <t>No. Under</t>
    <phoneticPr fontId="2" type="noConversion"/>
  </si>
  <si>
    <t>vs Consesus</t>
    <phoneticPr fontId="2" type="noConversion"/>
  </si>
  <si>
    <t>vs Consensu(%)</t>
    <phoneticPr fontId="2" type="noConversion"/>
  </si>
  <si>
    <t>ERR adj</t>
    <phoneticPr fontId="2" type="noConversion"/>
  </si>
  <si>
    <t>최근평균</t>
    <phoneticPr fontId="2" type="noConversion"/>
  </si>
  <si>
    <t>밑에서부터 21개</t>
  </si>
  <si>
    <t>After</t>
  </si>
  <si>
    <t>Before</t>
  </si>
  <si>
    <t>D-20</t>
  </si>
  <si>
    <t>D-19</t>
  </si>
  <si>
    <t>D-18</t>
  </si>
  <si>
    <t>D+1</t>
  </si>
  <si>
    <t>D+2</t>
  </si>
  <si>
    <t>D+3</t>
  </si>
  <si>
    <t>D-20</t>
    <phoneticPr fontId="2" type="noConversion"/>
  </si>
  <si>
    <t>D-19</t>
    <phoneticPr fontId="2" type="noConversion"/>
  </si>
  <si>
    <t>D</t>
    <phoneticPr fontId="2" type="noConversion"/>
  </si>
  <si>
    <t>D+1</t>
    <phoneticPr fontId="2" type="noConversion"/>
  </si>
  <si>
    <t>D+2</t>
    <phoneticPr fontId="2" type="noConversion"/>
  </si>
  <si>
    <t>S100100</t>
  </si>
  <si>
    <t>종가지수</t>
    <phoneticPr fontId="2" type="noConversion"/>
  </si>
  <si>
    <t>vs Kospi</t>
    <phoneticPr fontId="2" type="noConversion"/>
  </si>
  <si>
    <t>주식</t>
    <phoneticPr fontId="2" type="noConversion"/>
  </si>
  <si>
    <t>A060980</t>
  </si>
  <si>
    <t>실적발표예정일</t>
    <phoneticPr fontId="2" type="noConversion"/>
  </si>
  <si>
    <t>실적발표(사용)</t>
    <phoneticPr fontId="2" type="noConversion"/>
  </si>
  <si>
    <t>실적발표예정(증권사)</t>
    <phoneticPr fontId="2" type="noConversion"/>
  </si>
  <si>
    <t>A002150</t>
  </si>
  <si>
    <t>A007070</t>
  </si>
  <si>
    <t>A007820</t>
  </si>
  <si>
    <t>A008470</t>
  </si>
  <si>
    <t>A011210</t>
  </si>
  <si>
    <t>A012160</t>
  </si>
  <si>
    <t>A014710</t>
  </si>
  <si>
    <t>A019440</t>
  </si>
  <si>
    <t>A019770</t>
  </si>
  <si>
    <t>A020150</t>
  </si>
  <si>
    <t>A023000</t>
  </si>
  <si>
    <t>A023350</t>
  </si>
  <si>
    <t>A031430</t>
  </si>
  <si>
    <t>A032830</t>
  </si>
  <si>
    <t>A033170</t>
  </si>
  <si>
    <t>A033560</t>
  </si>
  <si>
    <t>A033830</t>
  </si>
  <si>
    <t>A040910</t>
  </si>
  <si>
    <t>A041460</t>
  </si>
  <si>
    <t>A043290</t>
  </si>
  <si>
    <t>A046120</t>
  </si>
  <si>
    <t>A047810</t>
  </si>
  <si>
    <t>A048530</t>
  </si>
  <si>
    <t>A050860</t>
  </si>
  <si>
    <t>A052690</t>
  </si>
  <si>
    <t>A053210</t>
  </si>
  <si>
    <t>A057050</t>
  </si>
  <si>
    <t>A058400</t>
  </si>
  <si>
    <t>A058850</t>
  </si>
  <si>
    <t>A058860</t>
  </si>
  <si>
    <t>A061970</t>
  </si>
  <si>
    <t>A064290</t>
  </si>
  <si>
    <t>A067920</t>
  </si>
  <si>
    <t>A068240</t>
  </si>
  <si>
    <t>A068400</t>
  </si>
  <si>
    <t>A068940</t>
  </si>
  <si>
    <t>A069140</t>
  </si>
  <si>
    <t>A069640</t>
  </si>
  <si>
    <t>A070300</t>
  </si>
  <si>
    <t>A071200</t>
  </si>
  <si>
    <t>A071320</t>
  </si>
  <si>
    <t>A071840</t>
  </si>
  <si>
    <t>A072950</t>
  </si>
  <si>
    <t>A078650</t>
  </si>
  <si>
    <t>A079970</t>
  </si>
  <si>
    <t>A079980</t>
  </si>
  <si>
    <t>A080530</t>
  </si>
  <si>
    <t>A081660</t>
  </si>
  <si>
    <t>A082740</t>
  </si>
  <si>
    <t>A088290</t>
  </si>
  <si>
    <t>A088350</t>
  </si>
  <si>
    <t>A089030</t>
  </si>
  <si>
    <t>A089530</t>
  </si>
  <si>
    <t>A089850</t>
  </si>
  <si>
    <t>A089980</t>
  </si>
  <si>
    <t>A090360</t>
  </si>
  <si>
    <t>A091590</t>
  </si>
  <si>
    <t>A093320</t>
  </si>
  <si>
    <t>A096530</t>
  </si>
  <si>
    <t>A096640</t>
  </si>
  <si>
    <t>A096690</t>
  </si>
  <si>
    <t>A097520</t>
  </si>
  <si>
    <t>A099520</t>
  </si>
  <si>
    <t>A099830</t>
  </si>
  <si>
    <t>A100030</t>
  </si>
  <si>
    <t>A100660</t>
  </si>
  <si>
    <t>A101240</t>
  </si>
  <si>
    <t>A101330</t>
  </si>
  <si>
    <t>A101930</t>
  </si>
  <si>
    <t>A101970</t>
  </si>
  <si>
    <t>A102460</t>
  </si>
  <si>
    <t>A103130</t>
  </si>
  <si>
    <t>A104460</t>
  </si>
  <si>
    <t>A104480</t>
  </si>
  <si>
    <t>A104830</t>
  </si>
  <si>
    <t>A105740</t>
  </si>
  <si>
    <t>A105840</t>
  </si>
  <si>
    <t>A106080</t>
  </si>
  <si>
    <t>A106190</t>
  </si>
  <si>
    <t>A106520</t>
  </si>
  <si>
    <t>A108320</t>
  </si>
  <si>
    <t>A108380</t>
  </si>
  <si>
    <t>A108860</t>
  </si>
  <si>
    <t>A109080</t>
  </si>
  <si>
    <t>A110500</t>
  </si>
  <si>
    <t>A110570</t>
  </si>
  <si>
    <t>A111610</t>
  </si>
  <si>
    <t>A111820</t>
  </si>
  <si>
    <t>A111870</t>
  </si>
  <si>
    <t>A112040</t>
  </si>
  <si>
    <t>A112240</t>
  </si>
  <si>
    <t>A114120</t>
  </si>
  <si>
    <t>A114450</t>
  </si>
  <si>
    <t>A114570</t>
  </si>
  <si>
    <t>A114630</t>
  </si>
  <si>
    <t>A115310</t>
  </si>
  <si>
    <t>A115390</t>
  </si>
  <si>
    <t>A115440</t>
  </si>
  <si>
    <t>A115450</t>
  </si>
  <si>
    <t>A115480</t>
  </si>
  <si>
    <t>A115500</t>
  </si>
  <si>
    <t>A115530</t>
  </si>
  <si>
    <t>A115570</t>
  </si>
  <si>
    <t>A115610</t>
  </si>
  <si>
    <t>A117580</t>
  </si>
  <si>
    <t>A117670</t>
  </si>
  <si>
    <t>A117930</t>
  </si>
  <si>
    <t>A118000</t>
  </si>
  <si>
    <t>A119500</t>
  </si>
  <si>
    <t>A119610</t>
  </si>
  <si>
    <t>A119650</t>
  </si>
  <si>
    <t>A119830</t>
  </si>
  <si>
    <t>A119860</t>
  </si>
  <si>
    <t>A120030</t>
  </si>
  <si>
    <t>A120110</t>
  </si>
  <si>
    <t>A120240</t>
  </si>
  <si>
    <t>A121440</t>
  </si>
  <si>
    <t>A121600</t>
  </si>
  <si>
    <t>A121800</t>
  </si>
  <si>
    <t>A121850</t>
  </si>
  <si>
    <t>A121890</t>
  </si>
  <si>
    <t>A122350</t>
  </si>
  <si>
    <t>A122450</t>
  </si>
  <si>
    <t>A122690</t>
  </si>
  <si>
    <t>A122800</t>
  </si>
  <si>
    <t>A122870</t>
  </si>
  <si>
    <t>A122900</t>
  </si>
  <si>
    <t>A122990</t>
  </si>
  <si>
    <t>A123040</t>
  </si>
  <si>
    <t>A123100</t>
  </si>
  <si>
    <t>A123260</t>
  </si>
  <si>
    <t>A123330</t>
  </si>
  <si>
    <t>A123410</t>
  </si>
  <si>
    <t>A123570</t>
  </si>
  <si>
    <t>A123690</t>
  </si>
  <si>
    <t>A123700</t>
  </si>
  <si>
    <t>A123750</t>
  </si>
  <si>
    <t>A123860</t>
  </si>
  <si>
    <t>A126560</t>
  </si>
  <si>
    <t>A126600</t>
  </si>
  <si>
    <t>A126640</t>
  </si>
  <si>
    <t>A126700</t>
  </si>
  <si>
    <t>A126870</t>
  </si>
  <si>
    <t>A126880</t>
  </si>
  <si>
    <t>A127120</t>
  </si>
  <si>
    <t>A128660</t>
  </si>
  <si>
    <t>A128820</t>
  </si>
  <si>
    <t>A128940</t>
  </si>
  <si>
    <t>A129260</t>
  </si>
  <si>
    <t>A130580</t>
  </si>
  <si>
    <t>A130660</t>
  </si>
  <si>
    <t>A130740</t>
  </si>
  <si>
    <t>A130960</t>
  </si>
  <si>
    <t>A131090</t>
  </si>
  <si>
    <t>A131100</t>
  </si>
  <si>
    <t>A131180</t>
  </si>
  <si>
    <t>A131220</t>
  </si>
  <si>
    <t>A131290</t>
  </si>
  <si>
    <t>A131390</t>
  </si>
  <si>
    <t>A131400</t>
  </si>
  <si>
    <t>A134060</t>
  </si>
  <si>
    <t>A134380</t>
  </si>
  <si>
    <t>A134780</t>
  </si>
  <si>
    <t>A134790</t>
  </si>
  <si>
    <t>A136480</t>
  </si>
  <si>
    <t>A136490</t>
  </si>
  <si>
    <t>A136510</t>
  </si>
  <si>
    <t>A136540</t>
  </si>
  <si>
    <t>A137400</t>
  </si>
  <si>
    <t>A137940</t>
  </si>
  <si>
    <t>A137950</t>
  </si>
  <si>
    <t>A138040</t>
  </si>
  <si>
    <t>A138070</t>
  </si>
  <si>
    <t>A138490</t>
  </si>
  <si>
    <t>A138610</t>
  </si>
  <si>
    <t>A138690</t>
  </si>
  <si>
    <t>A138930</t>
  </si>
  <si>
    <t>A139050</t>
  </si>
  <si>
    <t>A139130</t>
  </si>
  <si>
    <t>A139480</t>
  </si>
  <si>
    <t>A139670</t>
  </si>
  <si>
    <t>A140410</t>
  </si>
  <si>
    <t>A141000</t>
  </si>
  <si>
    <t>A143160</t>
  </si>
  <si>
    <t>A143240</t>
  </si>
  <si>
    <t>A144620</t>
  </si>
  <si>
    <t>A145990</t>
  </si>
  <si>
    <t>A147830</t>
  </si>
  <si>
    <t>A149940</t>
  </si>
  <si>
    <t>A151910</t>
  </si>
  <si>
    <t>A153460</t>
  </si>
  <si>
    <t>A161000</t>
  </si>
  <si>
    <t>A900070</t>
  </si>
  <si>
    <t>A900080</t>
  </si>
  <si>
    <t>A900090</t>
  </si>
  <si>
    <t>A900100</t>
  </si>
  <si>
    <t>A900110</t>
  </si>
  <si>
    <t>A900120</t>
  </si>
  <si>
    <t>A900130</t>
  </si>
  <si>
    <t>A900140</t>
  </si>
  <si>
    <t>A900180</t>
  </si>
  <si>
    <t>A950070</t>
  </si>
  <si>
    <t>A950100</t>
  </si>
  <si>
    <t>도화엔지니어링</t>
  </si>
  <si>
    <t>GS리테일</t>
  </si>
  <si>
    <t>신흥기계</t>
  </si>
  <si>
    <t>부스타</t>
  </si>
  <si>
    <t>현대위아</t>
  </si>
  <si>
    <t>영흥철강</t>
  </si>
  <si>
    <t>사조씨푸드</t>
  </si>
  <si>
    <t>세아특수강</t>
  </si>
  <si>
    <t>탑금속</t>
  </si>
  <si>
    <t>일진머티리얼즈</t>
  </si>
  <si>
    <t>삼원강재</t>
  </si>
  <si>
    <t>한국종합기술</t>
  </si>
  <si>
    <t>신세계인터내셔날</t>
  </si>
  <si>
    <t>삼성생명</t>
  </si>
  <si>
    <t>시그네틱스</t>
  </si>
  <si>
    <t>블루콤</t>
  </si>
  <si>
    <t>대구방송</t>
  </si>
  <si>
    <t>아이씨디</t>
  </si>
  <si>
    <t>한국전자인증</t>
  </si>
  <si>
    <t>케이맥</t>
  </si>
  <si>
    <t>한국항공우주</t>
  </si>
  <si>
    <t>인트론바이오</t>
  </si>
  <si>
    <t>아세아텍</t>
  </si>
  <si>
    <t>한전기술</t>
  </si>
  <si>
    <t>현대홈쇼핑</t>
  </si>
  <si>
    <t>KNN</t>
  </si>
  <si>
    <t>KTcs</t>
  </si>
  <si>
    <t>케이티스</t>
  </si>
  <si>
    <t>만도</t>
  </si>
  <si>
    <t>엘비세미콘</t>
  </si>
  <si>
    <t>인텍플러스</t>
  </si>
  <si>
    <t>이글루시큐리티</t>
  </si>
  <si>
    <t>다원시스</t>
  </si>
  <si>
    <t>AJ렌터카</t>
  </si>
  <si>
    <t>아이씨케이</t>
  </si>
  <si>
    <t>누리플랜</t>
  </si>
  <si>
    <t>엠케이트렌드</t>
  </si>
  <si>
    <t>솔라시아</t>
  </si>
  <si>
    <t>인피니트헬스케어</t>
  </si>
  <si>
    <t>지역난방공사</t>
  </si>
  <si>
    <t>빛샘전자</t>
  </si>
  <si>
    <t>코렌</t>
  </si>
  <si>
    <t>투비소프트</t>
  </si>
  <si>
    <t>휴비스</t>
  </si>
  <si>
    <t>코디에스</t>
  </si>
  <si>
    <t>휠라코리아</t>
  </si>
  <si>
    <t>두산엔진</t>
  </si>
  <si>
    <t>이원컴포텍</t>
  </si>
  <si>
    <t>한화생명</t>
  </si>
  <si>
    <t>테크윙</t>
  </si>
  <si>
    <t>아이테스트</t>
  </si>
  <si>
    <t>유비벨록스</t>
  </si>
  <si>
    <t>상아프론테크</t>
  </si>
  <si>
    <t>로보스타</t>
  </si>
  <si>
    <t>남화토건</t>
  </si>
  <si>
    <t>케이아이엔엑스</t>
  </si>
  <si>
    <t>씨젠</t>
  </si>
  <si>
    <t>멜파스</t>
  </si>
  <si>
    <t>세우테크</t>
  </si>
  <si>
    <t>엠씨넥스</t>
  </si>
  <si>
    <t>ITX시큐리티</t>
  </si>
  <si>
    <t>씨그널정보통신</t>
  </si>
  <si>
    <t>모바일리더</t>
  </si>
  <si>
    <t>서암기계공업</t>
  </si>
  <si>
    <t>씨큐브</t>
  </si>
  <si>
    <t>모베이스</t>
  </si>
  <si>
    <t>인화정공</t>
  </si>
  <si>
    <t>우양에이치씨</t>
  </si>
  <si>
    <t>이연제약</t>
  </si>
  <si>
    <t>웅진에너지</t>
  </si>
  <si>
    <t>동양피엔에프</t>
  </si>
  <si>
    <t>티케이케미칼</t>
  </si>
  <si>
    <t>원익머트리얼즈</t>
  </si>
  <si>
    <t>디케이락</t>
  </si>
  <si>
    <t>우진</t>
  </si>
  <si>
    <t>하이소닉</t>
  </si>
  <si>
    <t>하이텍팜</t>
  </si>
  <si>
    <t>디지탈옵틱</t>
  </si>
  <si>
    <t>실리콘웍스</t>
  </si>
  <si>
    <t>대양전기공업</t>
  </si>
  <si>
    <t>디오텍</t>
  </si>
  <si>
    <t>옵티시스</t>
  </si>
  <si>
    <t>쓰리피시스템</t>
  </si>
  <si>
    <t>넥솔론</t>
  </si>
  <si>
    <t>처음앤씨</t>
  </si>
  <si>
    <t>삼본정밀전자</t>
  </si>
  <si>
    <t>에스에프씨</t>
  </si>
  <si>
    <t>크루셜텍</t>
  </si>
  <si>
    <t>KPX생명과학</t>
  </si>
  <si>
    <t>에스이티아이</t>
  </si>
  <si>
    <t>우노앤컴퍼니</t>
  </si>
  <si>
    <t>인포바인</t>
  </si>
  <si>
    <t>락앤락</t>
  </si>
  <si>
    <t>우리넷</t>
  </si>
  <si>
    <t>디지탈아리아</t>
  </si>
  <si>
    <t>케이씨에스</t>
  </si>
  <si>
    <t>씨엔플러스</t>
  </si>
  <si>
    <t>스타플렉스</t>
  </si>
  <si>
    <t>대성에너지</t>
  </si>
  <si>
    <t>알파칩스</t>
  </si>
  <si>
    <t>한진해운</t>
  </si>
  <si>
    <t>우리들생명과학</t>
  </si>
  <si>
    <t>포메탈</t>
  </si>
  <si>
    <t>인터로조</t>
  </si>
  <si>
    <t>KC코트렐</t>
  </si>
  <si>
    <t>아이텍반도체</t>
  </si>
  <si>
    <t>다나와</t>
  </si>
  <si>
    <t>조선선재</t>
  </si>
  <si>
    <t>코오롱인더</t>
  </si>
  <si>
    <t>대정화금</t>
  </si>
  <si>
    <t>골프존</t>
  </si>
  <si>
    <t>나노신소재</t>
  </si>
  <si>
    <t>티브이로직</t>
  </si>
  <si>
    <t>코이즈</t>
  </si>
  <si>
    <t>에스디시스템</t>
  </si>
  <si>
    <t>삼기오토모티브</t>
  </si>
  <si>
    <t>KMH</t>
  </si>
  <si>
    <t>서진오토모티브</t>
  </si>
  <si>
    <t>케이티롤</t>
  </si>
  <si>
    <t>와이지엔터테인먼트</t>
  </si>
  <si>
    <t>아이마켓코리아</t>
  </si>
  <si>
    <t>와이솔</t>
  </si>
  <si>
    <t>엠에스오토텍</t>
  </si>
  <si>
    <t>테라세미콘</t>
  </si>
  <si>
    <t>사파이어테크놀로지</t>
  </si>
  <si>
    <t>제닉</t>
  </si>
  <si>
    <t>코리아에프티</t>
  </si>
  <si>
    <t>이엠넷</t>
  </si>
  <si>
    <t>한국화장품</t>
  </si>
  <si>
    <t>SJM</t>
  </si>
  <si>
    <t>알톤스포츠</t>
  </si>
  <si>
    <t>아나패스</t>
  </si>
  <si>
    <t>현대에이치씨엔</t>
  </si>
  <si>
    <t>코프라</t>
  </si>
  <si>
    <t>화신정공</t>
  </si>
  <si>
    <t>하이비젼시스템</t>
  </si>
  <si>
    <t>뉴로스</t>
  </si>
  <si>
    <t>제이엔케이히터</t>
  </si>
  <si>
    <t>디엔에이링크</t>
  </si>
  <si>
    <t>피제이메탈</t>
  </si>
  <si>
    <t>대성산업</t>
  </si>
  <si>
    <t>한미약품</t>
  </si>
  <si>
    <t>인터지스</t>
  </si>
  <si>
    <t>나이스디앤비</t>
  </si>
  <si>
    <t>한전산업</t>
  </si>
  <si>
    <t>티피씨글로벌</t>
  </si>
  <si>
    <t>CJ E&amp;M</t>
  </si>
  <si>
    <t>시큐브</t>
  </si>
  <si>
    <t>리켐</t>
  </si>
  <si>
    <t>딜리</t>
  </si>
  <si>
    <t>대한과학</t>
  </si>
  <si>
    <t>티에스이</t>
  </si>
  <si>
    <t>피앤이솔루션</t>
  </si>
  <si>
    <t>액트</t>
  </si>
  <si>
    <t>이퓨쳐</t>
  </si>
  <si>
    <t>미원화학</t>
  </si>
  <si>
    <t>화진</t>
  </si>
  <si>
    <t>팀스</t>
  </si>
  <si>
    <t>하림</t>
  </si>
  <si>
    <t>선진</t>
  </si>
  <si>
    <t>쎄미시스코</t>
  </si>
  <si>
    <t>윈스테크넷</t>
  </si>
  <si>
    <t>피엔티</t>
  </si>
  <si>
    <t>넥스트아이</t>
  </si>
  <si>
    <t>제이씨케미칼</t>
  </si>
  <si>
    <t>메리츠금융지주</t>
  </si>
  <si>
    <t>신진에스엠</t>
  </si>
  <si>
    <t>코오롱플라스틱</t>
  </si>
  <si>
    <t>나이벡</t>
  </si>
  <si>
    <t>엘티에스</t>
  </si>
  <si>
    <t>BS금융지주</t>
  </si>
  <si>
    <t>경봉</t>
  </si>
  <si>
    <t>DGB금융지주</t>
  </si>
  <si>
    <t>이마트</t>
  </si>
  <si>
    <t>넥스트리밍</t>
  </si>
  <si>
    <t>비아트론</t>
  </si>
  <si>
    <t>아이디스</t>
  </si>
  <si>
    <t>사람인에이치알</t>
  </si>
  <si>
    <t>코오롱머티리얼</t>
  </si>
  <si>
    <t>삼양사</t>
  </si>
  <si>
    <t>제룡산업</t>
  </si>
  <si>
    <t>모다정보통신</t>
  </si>
  <si>
    <t>나노스</t>
  </si>
  <si>
    <t>네이블</t>
  </si>
  <si>
    <t>애경유화</t>
  </si>
  <si>
    <t>글로벌에스엠</t>
  </si>
  <si>
    <t>에스앤씨엔진그룹</t>
  </si>
  <si>
    <t>차이나하오란</t>
  </si>
  <si>
    <t>뉴프라이드</t>
  </si>
  <si>
    <t>이스트아시아홀딩스</t>
  </si>
  <si>
    <t>차이나킹</t>
  </si>
  <si>
    <t>코라오홀딩스</t>
  </si>
  <si>
    <t>완리</t>
  </si>
  <si>
    <t>중국고섬</t>
  </si>
  <si>
    <t>최근 예상치1</t>
  </si>
  <si>
    <t/>
  </si>
  <si>
    <t>서부T&amp;D</t>
  </si>
  <si>
    <t>제이비어뮤즈먼트</t>
  </si>
  <si>
    <t>JYP Ent.</t>
  </si>
  <si>
    <t>스카이라이프</t>
  </si>
  <si>
    <t>롯데하이마트</t>
  </si>
  <si>
    <t>원익QnC</t>
  </si>
  <si>
    <t>SMEC</t>
  </si>
  <si>
    <t>위메이드</t>
  </si>
  <si>
    <t>씨유메디칼</t>
  </si>
  <si>
    <t>이미지스</t>
  </si>
  <si>
    <t>웨이포트</t>
  </si>
  <si>
    <t>SBI모기지</t>
  </si>
  <si>
    <t>A013870</t>
  </si>
  <si>
    <t>A037560</t>
  </si>
  <si>
    <t>A046970</t>
  </si>
  <si>
    <t>A113810</t>
  </si>
  <si>
    <t>A141070</t>
  </si>
  <si>
    <t>A149950</t>
  </si>
  <si>
    <t>A155650</t>
  </si>
  <si>
    <t>A161390</t>
  </si>
  <si>
    <t>A161890</t>
  </si>
  <si>
    <t>A163560</t>
  </si>
  <si>
    <t>지엠비코리아</t>
  </si>
  <si>
    <t>코웨이</t>
  </si>
  <si>
    <t>CJ헬로비전</t>
  </si>
  <si>
    <t>우리로광통신</t>
  </si>
  <si>
    <t>코스온</t>
  </si>
  <si>
    <t>디젠스</t>
  </si>
  <si>
    <t>맥스로텍</t>
  </si>
  <si>
    <t>아바텍</t>
  </si>
  <si>
    <t>와이엠씨</t>
  </si>
  <si>
    <t>한국타이어</t>
  </si>
  <si>
    <t>한국콜마</t>
  </si>
  <si>
    <t>동일고무벨트</t>
  </si>
  <si>
    <t>한일네트웍스</t>
  </si>
  <si>
    <t>구분1인것만 복사, Universe 에서 복사</t>
    <phoneticPr fontId="2" type="noConversion"/>
  </si>
  <si>
    <t>종목코드, 종목명 복사</t>
    <phoneticPr fontId="2" type="noConversion"/>
  </si>
  <si>
    <t>Code2</t>
    <phoneticPr fontId="2" type="noConversion"/>
  </si>
  <si>
    <t>TYPE</t>
    <phoneticPr fontId="2" type="noConversion"/>
  </si>
  <si>
    <t>GO4</t>
    <phoneticPr fontId="2" type="noConversion"/>
  </si>
  <si>
    <t>개별 종목 하나씩 분석(최종 Sheet)</t>
    <phoneticPr fontId="2" type="noConversion"/>
  </si>
  <si>
    <t>메인시트의 구분 1인 것만 찾아서(실적발표 완료)</t>
    <phoneticPr fontId="2" type="noConversion"/>
  </si>
  <si>
    <t>실적발표일-4W</t>
    <phoneticPr fontId="2" type="noConversion"/>
  </si>
  <si>
    <t>실적발표일-2W</t>
    <phoneticPr fontId="2" type="noConversion"/>
  </si>
  <si>
    <t>실적발표일-1W</t>
    <phoneticPr fontId="2" type="noConversion"/>
  </si>
  <si>
    <t>실적발표일/Today</t>
    <phoneticPr fontId="2" type="noConversion"/>
  </si>
  <si>
    <t>Today-1</t>
    <phoneticPr fontId="2" type="noConversion"/>
  </si>
  <si>
    <t>Today()-1</t>
    <phoneticPr fontId="2" type="noConversion"/>
  </si>
  <si>
    <t>파일명</t>
    <phoneticPr fontId="2" type="noConversion"/>
  </si>
  <si>
    <t>Com</t>
    <phoneticPr fontId="2" type="noConversion"/>
  </si>
  <si>
    <t>S102100</t>
    <phoneticPr fontId="2" type="noConversion"/>
  </si>
  <si>
    <t>KRW bil</t>
    <phoneticPr fontId="2" type="noConversion"/>
  </si>
  <si>
    <t>구분</t>
    <phoneticPr fontId="2" type="noConversion"/>
  </si>
  <si>
    <t>Code</t>
    <phoneticPr fontId="2" type="noConversion"/>
  </si>
  <si>
    <t>발표예정일</t>
    <phoneticPr fontId="2" type="noConversion"/>
  </si>
  <si>
    <t>발표일</t>
    <phoneticPr fontId="2" type="noConversion"/>
  </si>
  <si>
    <t>영업이익</t>
    <phoneticPr fontId="2" type="noConversion"/>
  </si>
  <si>
    <t>T</t>
    <phoneticPr fontId="2" type="noConversion"/>
  </si>
  <si>
    <t>- Bloomberg ACDR 을 통해 실절 발표 예정일을 받아서 사용</t>
    <phoneticPr fontId="2" type="noConversion"/>
  </si>
  <si>
    <t>- 주기적으로 업데이트 해서 최대한 Follow-Up</t>
    <phoneticPr fontId="2" type="noConversion"/>
  </si>
  <si>
    <t>컨센서스 Structure</t>
    <phoneticPr fontId="2" type="noConversion"/>
  </si>
  <si>
    <t>3M</t>
    <phoneticPr fontId="2" type="noConversion"/>
  </si>
  <si>
    <t>E121500.M</t>
    <phoneticPr fontId="2" type="noConversion"/>
  </si>
  <si>
    <t>기관순매수</t>
    <phoneticPr fontId="2" type="noConversion"/>
  </si>
  <si>
    <t>외인순매수</t>
    <phoneticPr fontId="2" type="noConversion"/>
  </si>
  <si>
    <t>기관+외인</t>
    <phoneticPr fontId="2" type="noConversion"/>
  </si>
  <si>
    <t>롯데케미칼</t>
  </si>
  <si>
    <t>STX중공업</t>
  </si>
  <si>
    <t>실적발표예정/확정</t>
    <phoneticPr fontId="2" type="noConversion"/>
  </si>
  <si>
    <t>A950110</t>
  </si>
  <si>
    <t>SBI액시즈</t>
  </si>
  <si>
    <t>A159910</t>
  </si>
  <si>
    <t>CS엘쏠라</t>
  </si>
  <si>
    <t>최근 예상치2</t>
  </si>
  <si>
    <t>발표실적</t>
    <phoneticPr fontId="2" type="noConversion"/>
  </si>
  <si>
    <t>디올메디바이오</t>
  </si>
  <si>
    <t>A099190</t>
  </si>
  <si>
    <t>A114810</t>
  </si>
  <si>
    <t>A141020</t>
  </si>
  <si>
    <t>A153490</t>
  </si>
  <si>
    <t>A155960</t>
  </si>
  <si>
    <t>A159580</t>
  </si>
  <si>
    <t>삼광글라스</t>
  </si>
  <si>
    <t>이필름</t>
  </si>
  <si>
    <t>아이센스</t>
  </si>
  <si>
    <t>아이원스</t>
  </si>
  <si>
    <t>포티스</t>
  </si>
  <si>
    <t>우리이앤엘</t>
  </si>
  <si>
    <t>지디</t>
  </si>
  <si>
    <t>제로투세븐</t>
  </si>
  <si>
    <t>GC</t>
  </si>
  <si>
    <t>최근 예상치3</t>
  </si>
  <si>
    <t>2012 Q4</t>
    <phoneticPr fontId="2" type="noConversion"/>
  </si>
  <si>
    <t>2012 Q3</t>
    <phoneticPr fontId="2" type="noConversion"/>
  </si>
  <si>
    <t>2012 Q1</t>
    <phoneticPr fontId="2" type="noConversion"/>
  </si>
  <si>
    <t>2012 Q2</t>
    <phoneticPr fontId="2" type="noConversion"/>
  </si>
  <si>
    <t>A097800</t>
  </si>
  <si>
    <t>A104540</t>
  </si>
  <si>
    <t>A158310</t>
  </si>
  <si>
    <t>A170900</t>
  </si>
  <si>
    <t>동아쏘시오홀딩스</t>
  </si>
  <si>
    <t>롯데푸드</t>
  </si>
  <si>
    <t>티웨이홀딩스</t>
  </si>
  <si>
    <t>네이처셀</t>
  </si>
  <si>
    <t>나라케이아이씨</t>
  </si>
  <si>
    <t>IB월드와이드</t>
  </si>
  <si>
    <t>리홈쿠첸</t>
  </si>
  <si>
    <t>트랜스더멀아시아홀딩스</t>
  </si>
  <si>
    <t>한라비스테온공조</t>
  </si>
  <si>
    <t>인테그레이티드에너지</t>
  </si>
  <si>
    <t>플레이위드</t>
  </si>
  <si>
    <t>갑을메탈</t>
  </si>
  <si>
    <t>녹십자셀</t>
  </si>
  <si>
    <t>동성화인텍</t>
  </si>
  <si>
    <t>아이에이</t>
  </si>
  <si>
    <t>아라온테크</t>
  </si>
  <si>
    <t>네오위즈홀딩스</t>
  </si>
  <si>
    <t>오르비텍</t>
  </si>
  <si>
    <t>셀루메드</t>
  </si>
  <si>
    <t>지어소프트</t>
  </si>
  <si>
    <t>CMG제약</t>
  </si>
  <si>
    <t>아프리카TV</t>
  </si>
  <si>
    <t>이노와이어리스</t>
  </si>
  <si>
    <t>제주반도체</t>
  </si>
  <si>
    <t>성창오토텍</t>
  </si>
  <si>
    <t>대창솔루션</t>
  </si>
  <si>
    <t>윈팩</t>
  </si>
  <si>
    <t>한솔신텍</t>
  </si>
  <si>
    <t>코렌텍</t>
  </si>
  <si>
    <t>메지온</t>
  </si>
  <si>
    <t>세호로보트</t>
  </si>
  <si>
    <t>동아에스티</t>
  </si>
  <si>
    <t>A141080</t>
  </si>
  <si>
    <t>A155660</t>
  </si>
  <si>
    <t>A158380</t>
  </si>
  <si>
    <t>한솔아트원제지</t>
  </si>
  <si>
    <t>GemTech</t>
  </si>
  <si>
    <t>프리젠</t>
  </si>
  <si>
    <t>조이시티</t>
  </si>
  <si>
    <t>승화프리텍</t>
  </si>
  <si>
    <t>레고켐바이오</t>
  </si>
  <si>
    <t>DSR</t>
  </si>
  <si>
    <t>삼목강업</t>
  </si>
  <si>
    <t>E</t>
    <phoneticPr fontId="2" type="noConversion"/>
  </si>
  <si>
    <t>한국투자증권</t>
  </si>
  <si>
    <t>Name</t>
  </si>
  <si>
    <t>2013-07-31</t>
  </si>
  <si>
    <t>2013-08-15</t>
  </si>
  <si>
    <t>2013-08-01</t>
  </si>
  <si>
    <t>2013-07-19</t>
  </si>
  <si>
    <t>2013-07-26</t>
  </si>
  <si>
    <t>2013-07-25</t>
  </si>
  <si>
    <t>2013-08-13</t>
  </si>
  <si>
    <t>2013-07-30</t>
  </si>
  <si>
    <t>2013-08-25</t>
  </si>
  <si>
    <t>2013-08-05</t>
  </si>
  <si>
    <t>2013-08-14</t>
  </si>
  <si>
    <t>2013-08-09</t>
  </si>
  <si>
    <t>2013-07-20</t>
  </si>
  <si>
    <t>2013-07-16</t>
  </si>
  <si>
    <t>2013-08-30</t>
  </si>
  <si>
    <t>2013-08-08</t>
  </si>
  <si>
    <t>2013-08-~2</t>
  </si>
  <si>
    <t>2013-08-12</t>
  </si>
  <si>
    <t>2013-07-15</t>
  </si>
  <si>
    <t>2013-08-23</t>
  </si>
  <si>
    <t>2013-07-24</t>
  </si>
  <si>
    <t>2013-07-17</t>
  </si>
  <si>
    <t>2013-08-16</t>
  </si>
  <si>
    <t>2013-08-02</t>
  </si>
  <si>
    <t>2013-07-18</t>
  </si>
  <si>
    <t>2013-08-07</t>
  </si>
  <si>
    <t>2013-08-06</t>
  </si>
  <si>
    <t>2013-08-00</t>
  </si>
  <si>
    <t>2013-07-23</t>
  </si>
  <si>
    <t>2013-07-22</t>
  </si>
  <si>
    <t>2013-08-20</t>
  </si>
  <si>
    <t>2013-08-03</t>
  </si>
  <si>
    <t>메인시트의 구분 12보다 작고 11보다 큰것(2주전)</t>
    <phoneticPr fontId="2" type="noConversion"/>
  </si>
  <si>
    <t>최근 예상치4</t>
  </si>
  <si>
    <t>A950130</t>
  </si>
  <si>
    <t>엑세스바이오KDR</t>
  </si>
  <si>
    <t>수기입력</t>
    <phoneticPr fontId="2" type="noConversion"/>
  </si>
  <si>
    <t>T</t>
    <phoneticPr fontId="2" type="noConversion"/>
  </si>
  <si>
    <t>실적발표 예정일</t>
    <phoneticPr fontId="2" type="noConversion"/>
  </si>
  <si>
    <t>블룸버그</t>
    <phoneticPr fontId="2" type="noConversion"/>
  </si>
  <si>
    <t>종합</t>
    <phoneticPr fontId="2" type="noConversion"/>
  </si>
  <si>
    <t>포스코플랜텍</t>
  </si>
  <si>
    <t>Base Date</t>
    <phoneticPr fontId="2" type="noConversion"/>
  </si>
  <si>
    <t>결산월</t>
    <phoneticPr fontId="2" type="noConversion"/>
  </si>
  <si>
    <t>하나대투증권</t>
  </si>
  <si>
    <t>최근 예상치5</t>
  </si>
  <si>
    <t>Last Update : 2013-07-30 16:53</t>
    <phoneticPr fontId="2" type="noConversion"/>
  </si>
  <si>
    <t>Peer Analysis (In Sector) 전체기업</t>
    <phoneticPr fontId="2" type="noConversion"/>
  </si>
  <si>
    <t>Sector</t>
    <phoneticPr fontId="2" type="noConversion"/>
  </si>
  <si>
    <t>Account Type</t>
    <phoneticPr fontId="2" type="noConversion"/>
  </si>
  <si>
    <t>Composition Date</t>
    <phoneticPr fontId="2" type="noConversion"/>
  </si>
  <si>
    <t>Account</t>
    <phoneticPr fontId="2" type="noConversion"/>
  </si>
  <si>
    <t>Period</t>
    <phoneticPr fontId="2" type="noConversion"/>
  </si>
  <si>
    <t>Unit</t>
    <phoneticPr fontId="2" type="noConversion"/>
  </si>
  <si>
    <t>Name</t>
    <phoneticPr fontId="2" type="noConversion"/>
  </si>
  <si>
    <t>Code</t>
    <phoneticPr fontId="2" type="noConversion"/>
  </si>
  <si>
    <t>Base Date</t>
    <phoneticPr fontId="2" type="noConversion"/>
  </si>
  <si>
    <t>결산월</t>
    <phoneticPr fontId="2" type="noConversion"/>
  </si>
  <si>
    <t>일반종목 해당여부(1:해당, 0:미해당)</t>
    <phoneticPr fontId="2" type="noConversion"/>
  </si>
  <si>
    <t>시장구분</t>
    <phoneticPr fontId="2" type="noConversion"/>
  </si>
  <si>
    <t>WICS업종명(대)</t>
    <phoneticPr fontId="2" type="noConversion"/>
  </si>
  <si>
    <t>WICS업종명(중)</t>
    <phoneticPr fontId="2" type="noConversion"/>
  </si>
  <si>
    <t>주재무제표(실적)</t>
    <phoneticPr fontId="2" type="noConversion"/>
  </si>
  <si>
    <t>N/A</t>
    <phoneticPr fontId="2" type="noConversion"/>
  </si>
  <si>
    <t>주재무제표(컨센서스)</t>
    <phoneticPr fontId="2" type="noConversion"/>
  </si>
  <si>
    <t>시가총액</t>
    <phoneticPr fontId="2" type="noConversion"/>
  </si>
  <si>
    <t>EPS참여증권사</t>
    <phoneticPr fontId="2" type="noConversion"/>
  </si>
  <si>
    <t>한독</t>
  </si>
  <si>
    <t>씨엑스씨종합캐피탈</t>
  </si>
  <si>
    <t>큐브스</t>
  </si>
  <si>
    <t>Period</t>
    <phoneticPr fontId="2" type="noConversion"/>
  </si>
  <si>
    <t>Unit</t>
    <phoneticPr fontId="2" type="noConversion"/>
  </si>
  <si>
    <t>Name</t>
    <phoneticPr fontId="2" type="noConversion"/>
  </si>
  <si>
    <t>Base Date</t>
    <phoneticPr fontId="2" type="noConversion"/>
  </si>
  <si>
    <t>결산월</t>
    <phoneticPr fontId="2" type="noConversion"/>
  </si>
  <si>
    <t>잠정치발표예정일</t>
    <phoneticPr fontId="2" type="noConversion"/>
  </si>
  <si>
    <t>잠정치발표일</t>
    <phoneticPr fontId="2" type="noConversion"/>
  </si>
  <si>
    <t>영업이익(잠정치)</t>
    <phoneticPr fontId="2" type="noConversion"/>
  </si>
  <si>
    <t>Peer Analysis (To Select)</t>
    <phoneticPr fontId="2" type="noConversion"/>
  </si>
  <si>
    <t>Account Type</t>
    <phoneticPr fontId="2" type="noConversion"/>
  </si>
  <si>
    <t>Account</t>
    <phoneticPr fontId="2" type="noConversion"/>
  </si>
  <si>
    <t>Period</t>
    <phoneticPr fontId="2" type="noConversion"/>
  </si>
  <si>
    <t>Unit</t>
    <phoneticPr fontId="2" type="noConversion"/>
  </si>
  <si>
    <t>Code</t>
    <phoneticPr fontId="2" type="noConversion"/>
  </si>
  <si>
    <t>Name</t>
    <phoneticPr fontId="2" type="noConversion"/>
  </si>
  <si>
    <t>A000100</t>
    <phoneticPr fontId="2" type="noConversion"/>
  </si>
  <si>
    <t>A000120</t>
    <phoneticPr fontId="2" type="noConversion"/>
  </si>
  <si>
    <t>A000150</t>
    <phoneticPr fontId="2" type="noConversion"/>
  </si>
  <si>
    <t>A000210</t>
    <phoneticPr fontId="2" type="noConversion"/>
  </si>
  <si>
    <t>A000240</t>
    <phoneticPr fontId="2" type="noConversion"/>
  </si>
  <si>
    <t>A000270</t>
    <phoneticPr fontId="2" type="noConversion"/>
  </si>
  <si>
    <t>A000640</t>
    <phoneticPr fontId="2" type="noConversion"/>
  </si>
  <si>
    <t>A000660</t>
    <phoneticPr fontId="2" type="noConversion"/>
  </si>
  <si>
    <t>A000720</t>
    <phoneticPr fontId="2" type="noConversion"/>
  </si>
  <si>
    <t>A000830</t>
    <phoneticPr fontId="2" type="noConversion"/>
  </si>
  <si>
    <t>A000880</t>
    <phoneticPr fontId="2" type="noConversion"/>
  </si>
  <si>
    <t>A001040</t>
    <phoneticPr fontId="2" type="noConversion"/>
  </si>
  <si>
    <t>A001120</t>
    <phoneticPr fontId="2" type="noConversion"/>
  </si>
  <si>
    <t>A001230</t>
    <phoneticPr fontId="2" type="noConversion"/>
  </si>
  <si>
    <t>A001300</t>
    <phoneticPr fontId="2" type="noConversion"/>
  </si>
  <si>
    <t>A001430</t>
    <phoneticPr fontId="2" type="noConversion"/>
  </si>
  <si>
    <t>A001630</t>
    <phoneticPr fontId="2" type="noConversion"/>
  </si>
  <si>
    <t>A001680</t>
    <phoneticPr fontId="2" type="noConversion"/>
  </si>
  <si>
    <t>A001740</t>
    <phoneticPr fontId="2" type="noConversion"/>
  </si>
  <si>
    <t>A001800</t>
    <phoneticPr fontId="2" type="noConversion"/>
  </si>
  <si>
    <t>A002350</t>
    <phoneticPr fontId="2" type="noConversion"/>
  </si>
  <si>
    <t>A002380</t>
    <phoneticPr fontId="2" type="noConversion"/>
  </si>
  <si>
    <t>A003450</t>
    <phoneticPr fontId="2" type="noConversion"/>
  </si>
  <si>
    <t>A003490</t>
    <phoneticPr fontId="2" type="noConversion"/>
  </si>
  <si>
    <t>A003550</t>
    <phoneticPr fontId="2" type="noConversion"/>
  </si>
  <si>
    <t>A003600</t>
    <phoneticPr fontId="2" type="noConversion"/>
  </si>
  <si>
    <t>A003670</t>
    <phoneticPr fontId="2" type="noConversion"/>
  </si>
  <si>
    <t>A004000</t>
    <phoneticPr fontId="2" type="noConversion"/>
  </si>
  <si>
    <t>A004020</t>
    <phoneticPr fontId="2" type="noConversion"/>
  </si>
  <si>
    <t>A004130</t>
    <phoneticPr fontId="2" type="noConversion"/>
  </si>
  <si>
    <t>A004150</t>
    <phoneticPr fontId="2" type="noConversion"/>
  </si>
  <si>
    <t>A004170</t>
    <phoneticPr fontId="2" type="noConversion"/>
  </si>
  <si>
    <t>A004370</t>
    <phoneticPr fontId="2" type="noConversion"/>
  </si>
  <si>
    <t>A004800</t>
    <phoneticPr fontId="2" type="noConversion"/>
  </si>
  <si>
    <t>A004940</t>
    <phoneticPr fontId="2" type="noConversion"/>
  </si>
  <si>
    <t>A005010</t>
    <phoneticPr fontId="2" type="noConversion"/>
  </si>
  <si>
    <t>A005180</t>
    <phoneticPr fontId="2" type="noConversion"/>
  </si>
  <si>
    <t>A005300</t>
    <phoneticPr fontId="2" type="noConversion"/>
  </si>
  <si>
    <t>A005380</t>
    <phoneticPr fontId="2" type="noConversion"/>
  </si>
  <si>
    <t>A005440</t>
    <phoneticPr fontId="2" type="noConversion"/>
  </si>
  <si>
    <t>A005490</t>
    <phoneticPr fontId="2" type="noConversion"/>
  </si>
  <si>
    <t>A005850</t>
    <phoneticPr fontId="2" type="noConversion"/>
  </si>
  <si>
    <t>A005930</t>
    <phoneticPr fontId="2" type="noConversion"/>
  </si>
  <si>
    <t>A005940</t>
    <phoneticPr fontId="2" type="noConversion"/>
  </si>
  <si>
    <t>A005950</t>
    <phoneticPr fontId="2" type="noConversion"/>
  </si>
  <si>
    <t>A005990</t>
    <phoneticPr fontId="2" type="noConversion"/>
  </si>
  <si>
    <t>A006260</t>
    <phoneticPr fontId="2" type="noConversion"/>
  </si>
  <si>
    <t>A006280</t>
    <phoneticPr fontId="2" type="noConversion"/>
  </si>
  <si>
    <t>A006350</t>
    <phoneticPr fontId="2" type="noConversion"/>
  </si>
  <si>
    <t>A006360</t>
    <phoneticPr fontId="2" type="noConversion"/>
  </si>
  <si>
    <t>A006400</t>
    <phoneticPr fontId="2" type="noConversion"/>
  </si>
  <si>
    <t>A006650</t>
    <phoneticPr fontId="2" type="noConversion"/>
  </si>
  <si>
    <t>A006800</t>
    <phoneticPr fontId="2" type="noConversion"/>
  </si>
  <si>
    <t>A007070</t>
    <phoneticPr fontId="2" type="noConversion"/>
  </si>
  <si>
    <t>A007660</t>
    <phoneticPr fontId="2" type="noConversion"/>
  </si>
  <si>
    <t>A007810</t>
    <phoneticPr fontId="2" type="noConversion"/>
  </si>
  <si>
    <t>A008060</t>
    <phoneticPr fontId="2" type="noConversion"/>
  </si>
  <si>
    <t>A008770</t>
    <phoneticPr fontId="2" type="noConversion"/>
  </si>
  <si>
    <t>A009150</t>
    <phoneticPr fontId="2" type="noConversion"/>
  </si>
  <si>
    <t>A009520</t>
    <phoneticPr fontId="2" type="noConversion"/>
  </si>
  <si>
    <t>A009540</t>
    <phoneticPr fontId="2" type="noConversion"/>
  </si>
  <si>
    <t>A009830</t>
    <phoneticPr fontId="2" type="noConversion"/>
  </si>
  <si>
    <t>A010060</t>
    <phoneticPr fontId="2" type="noConversion"/>
  </si>
  <si>
    <t>A010120</t>
    <phoneticPr fontId="2" type="noConversion"/>
  </si>
  <si>
    <t>A010130</t>
    <phoneticPr fontId="2" type="noConversion"/>
  </si>
  <si>
    <t>A010140</t>
    <phoneticPr fontId="2" type="noConversion"/>
  </si>
  <si>
    <t>A010520</t>
    <phoneticPr fontId="2" type="noConversion"/>
  </si>
  <si>
    <t>A010620</t>
    <phoneticPr fontId="2" type="noConversion"/>
  </si>
  <si>
    <t>A010950</t>
    <phoneticPr fontId="2" type="noConversion"/>
  </si>
  <si>
    <t>A011070</t>
    <phoneticPr fontId="2" type="noConversion"/>
  </si>
  <si>
    <t>A011170</t>
    <phoneticPr fontId="2" type="noConversion"/>
  </si>
  <si>
    <t>A011200</t>
    <phoneticPr fontId="2" type="noConversion"/>
  </si>
  <si>
    <t>A011210</t>
    <phoneticPr fontId="2" type="noConversion"/>
  </si>
  <si>
    <t>A011760</t>
    <phoneticPr fontId="2" type="noConversion"/>
  </si>
  <si>
    <t>A011780</t>
    <phoneticPr fontId="2" type="noConversion"/>
  </si>
  <si>
    <t>A011790</t>
    <phoneticPr fontId="2" type="noConversion"/>
  </si>
  <si>
    <t>A012330</t>
    <phoneticPr fontId="2" type="noConversion"/>
  </si>
  <si>
    <t>A012450</t>
    <phoneticPr fontId="2" type="noConversion"/>
  </si>
  <si>
    <t>A012630</t>
    <phoneticPr fontId="2" type="noConversion"/>
  </si>
  <si>
    <t>A012750</t>
    <phoneticPr fontId="2" type="noConversion"/>
  </si>
  <si>
    <t>A013030</t>
    <phoneticPr fontId="2" type="noConversion"/>
  </si>
  <si>
    <t>A013570</t>
    <phoneticPr fontId="2" type="noConversion"/>
  </si>
  <si>
    <t>A014620</t>
    <phoneticPr fontId="2" type="noConversion"/>
  </si>
  <si>
    <t>A014680</t>
    <phoneticPr fontId="2" type="noConversion"/>
  </si>
  <si>
    <t>A014790</t>
    <phoneticPr fontId="2" type="noConversion"/>
  </si>
  <si>
    <t>A015750</t>
    <phoneticPr fontId="2" type="noConversion"/>
  </si>
  <si>
    <t>A015760</t>
    <phoneticPr fontId="2" type="noConversion"/>
  </si>
  <si>
    <t>A016360</t>
    <phoneticPr fontId="2" type="noConversion"/>
  </si>
  <si>
    <t>A017550</t>
    <phoneticPr fontId="2" type="noConversion"/>
  </si>
  <si>
    <t>A017670</t>
    <phoneticPr fontId="2" type="noConversion"/>
  </si>
  <si>
    <t>A017960</t>
    <phoneticPr fontId="2" type="noConversion"/>
  </si>
  <si>
    <t>A019680</t>
    <phoneticPr fontId="2" type="noConversion"/>
  </si>
  <si>
    <t>A020000</t>
    <phoneticPr fontId="2" type="noConversion"/>
  </si>
  <si>
    <t>A020560</t>
    <phoneticPr fontId="2" type="noConversion"/>
  </si>
  <si>
    <t>A020760</t>
    <phoneticPr fontId="2" type="noConversion"/>
  </si>
  <si>
    <t>A021240</t>
    <phoneticPr fontId="2" type="noConversion"/>
  </si>
  <si>
    <t>A023160</t>
    <phoneticPr fontId="2" type="noConversion"/>
  </si>
  <si>
    <t>A023530</t>
    <phoneticPr fontId="2" type="noConversion"/>
  </si>
  <si>
    <t>A024110</t>
    <phoneticPr fontId="2" type="noConversion"/>
  </si>
  <si>
    <t>A026040</t>
    <phoneticPr fontId="2" type="noConversion"/>
  </si>
  <si>
    <t>A028050</t>
    <phoneticPr fontId="2" type="noConversion"/>
  </si>
  <si>
    <t>A028150</t>
    <phoneticPr fontId="2" type="noConversion"/>
  </si>
  <si>
    <t>A028670</t>
    <phoneticPr fontId="2" type="noConversion"/>
  </si>
  <si>
    <t>A029460</t>
    <phoneticPr fontId="2" type="noConversion"/>
  </si>
  <si>
    <t>A029780</t>
    <phoneticPr fontId="2" type="noConversion"/>
  </si>
  <si>
    <t>A030000</t>
    <phoneticPr fontId="2" type="noConversion"/>
  </si>
  <si>
    <t>A030200</t>
    <phoneticPr fontId="2" type="noConversion"/>
  </si>
  <si>
    <t>A030520</t>
    <phoneticPr fontId="2" type="noConversion"/>
  </si>
  <si>
    <t>A030530</t>
    <phoneticPr fontId="2" type="noConversion"/>
  </si>
  <si>
    <t>A031430</t>
    <phoneticPr fontId="2" type="noConversion"/>
  </si>
  <si>
    <t>A031440</t>
    <phoneticPr fontId="2" type="noConversion"/>
  </si>
  <si>
    <t>A032640</t>
    <phoneticPr fontId="2" type="noConversion"/>
  </si>
  <si>
    <t>A032830</t>
    <phoneticPr fontId="2" type="noConversion"/>
  </si>
  <si>
    <t>A033630</t>
    <phoneticPr fontId="2" type="noConversion"/>
  </si>
  <si>
    <t>A033640</t>
    <phoneticPr fontId="2" type="noConversion"/>
  </si>
  <si>
    <t>A033780</t>
    <phoneticPr fontId="2" type="noConversion"/>
  </si>
  <si>
    <t>A034020</t>
    <phoneticPr fontId="2" type="noConversion"/>
  </si>
  <si>
    <t>A034120</t>
    <phoneticPr fontId="2" type="noConversion"/>
  </si>
  <si>
    <t>A034220</t>
    <phoneticPr fontId="2" type="noConversion"/>
  </si>
  <si>
    <t>A034230</t>
    <phoneticPr fontId="2" type="noConversion"/>
  </si>
  <si>
    <t>A034730</t>
    <phoneticPr fontId="2" type="noConversion"/>
  </si>
  <si>
    <t>A035250</t>
    <phoneticPr fontId="2" type="noConversion"/>
  </si>
  <si>
    <t>A035420</t>
    <phoneticPr fontId="2" type="noConversion"/>
  </si>
  <si>
    <t>A035600</t>
    <phoneticPr fontId="2" type="noConversion"/>
  </si>
  <si>
    <t>A035720</t>
    <phoneticPr fontId="2" type="noConversion"/>
  </si>
  <si>
    <t>A035760</t>
    <phoneticPr fontId="2" type="noConversion"/>
  </si>
  <si>
    <t>A036000</t>
    <phoneticPr fontId="2" type="noConversion"/>
  </si>
  <si>
    <t>A036460</t>
    <phoneticPr fontId="2" type="noConversion"/>
  </si>
  <si>
    <t>A036490</t>
    <phoneticPr fontId="2" type="noConversion"/>
  </si>
  <si>
    <t>A036710</t>
    <phoneticPr fontId="2" type="noConversion"/>
  </si>
  <si>
    <t>A036830</t>
    <phoneticPr fontId="2" type="noConversion"/>
  </si>
  <si>
    <t>A037620</t>
    <phoneticPr fontId="2" type="noConversion"/>
  </si>
  <si>
    <t>A039130</t>
    <phoneticPr fontId="2" type="noConversion"/>
  </si>
  <si>
    <t>A039290</t>
    <phoneticPr fontId="2" type="noConversion"/>
  </si>
  <si>
    <t>A039490</t>
    <phoneticPr fontId="2" type="noConversion"/>
  </si>
  <si>
    <t>A041510</t>
    <phoneticPr fontId="2" type="noConversion"/>
  </si>
  <si>
    <t>A042660</t>
    <phoneticPr fontId="2" type="noConversion"/>
  </si>
  <si>
    <t>A042670</t>
    <phoneticPr fontId="2" type="noConversion"/>
  </si>
  <si>
    <t>A042700</t>
    <phoneticPr fontId="2" type="noConversion"/>
  </si>
  <si>
    <t>A043370</t>
    <phoneticPr fontId="2" type="noConversion"/>
  </si>
  <si>
    <t>A043650</t>
    <phoneticPr fontId="2" type="noConversion"/>
  </si>
  <si>
    <t>A044820</t>
    <phoneticPr fontId="2" type="noConversion"/>
  </si>
  <si>
    <t>A046140</t>
    <phoneticPr fontId="2" type="noConversion"/>
  </si>
  <si>
    <t>A046890</t>
    <phoneticPr fontId="2" type="noConversion"/>
  </si>
  <si>
    <t>A047040</t>
    <phoneticPr fontId="2" type="noConversion"/>
  </si>
  <si>
    <t>A047050</t>
    <phoneticPr fontId="2" type="noConversion"/>
  </si>
  <si>
    <t>A048260</t>
    <phoneticPr fontId="2" type="noConversion"/>
  </si>
  <si>
    <t>A050120</t>
    <phoneticPr fontId="2" type="noConversion"/>
  </si>
  <si>
    <t>A051370</t>
    <phoneticPr fontId="2" type="noConversion"/>
  </si>
  <si>
    <t>A051500</t>
    <phoneticPr fontId="2" type="noConversion"/>
  </si>
  <si>
    <t>A051600</t>
    <phoneticPr fontId="2" type="noConversion"/>
  </si>
  <si>
    <t>A051900</t>
    <phoneticPr fontId="2" type="noConversion"/>
  </si>
  <si>
    <t>A051910</t>
    <phoneticPr fontId="2" type="noConversion"/>
  </si>
  <si>
    <t>A052400</t>
    <phoneticPr fontId="2" type="noConversion"/>
  </si>
  <si>
    <t>A052690</t>
    <phoneticPr fontId="2" type="noConversion"/>
  </si>
  <si>
    <t>A052710</t>
    <phoneticPr fontId="2" type="noConversion"/>
  </si>
  <si>
    <t>A053000</t>
    <phoneticPr fontId="2" type="noConversion"/>
  </si>
  <si>
    <t>A053210</t>
    <phoneticPr fontId="2" type="noConversion"/>
  </si>
  <si>
    <t>A055550</t>
    <phoneticPr fontId="2" type="noConversion"/>
  </si>
  <si>
    <t>A056190</t>
    <phoneticPr fontId="2" type="noConversion"/>
  </si>
  <si>
    <t>A057050</t>
    <phoneticPr fontId="2" type="noConversion"/>
  </si>
  <si>
    <t>A058470</t>
    <phoneticPr fontId="2" type="noConversion"/>
  </si>
  <si>
    <t>A060250</t>
    <phoneticPr fontId="2" type="noConversion"/>
  </si>
  <si>
    <t>A060980</t>
    <phoneticPr fontId="2" type="noConversion"/>
  </si>
  <si>
    <t>A061040</t>
    <phoneticPr fontId="2" type="noConversion"/>
  </si>
  <si>
    <t>A061970</t>
    <phoneticPr fontId="2" type="noConversion"/>
  </si>
  <si>
    <t>A063080</t>
    <phoneticPr fontId="2" type="noConversion"/>
  </si>
  <si>
    <t>A064960</t>
    <phoneticPr fontId="2" type="noConversion"/>
  </si>
  <si>
    <t>A065510</t>
    <phoneticPr fontId="2" type="noConversion"/>
  </si>
  <si>
    <t>A066570</t>
    <phoneticPr fontId="2" type="noConversion"/>
  </si>
  <si>
    <t>A067000</t>
    <phoneticPr fontId="2" type="noConversion"/>
  </si>
  <si>
    <t>A068270</t>
    <phoneticPr fontId="2" type="noConversion"/>
  </si>
  <si>
    <t>A068870</t>
    <phoneticPr fontId="2" type="noConversion"/>
  </si>
  <si>
    <t>A069260</t>
    <phoneticPr fontId="2" type="noConversion"/>
  </si>
  <si>
    <t>A069330</t>
    <phoneticPr fontId="2" type="noConversion"/>
  </si>
  <si>
    <t>A069620</t>
    <phoneticPr fontId="2" type="noConversion"/>
  </si>
  <si>
    <t>A069960</t>
    <phoneticPr fontId="2" type="noConversion"/>
  </si>
  <si>
    <t>A071050</t>
    <phoneticPr fontId="2" type="noConversion"/>
  </si>
  <si>
    <t>A071840</t>
    <phoneticPr fontId="2" type="noConversion"/>
  </si>
  <si>
    <t>A072520</t>
    <phoneticPr fontId="2" type="noConversion"/>
  </si>
  <si>
    <t>A072870</t>
    <phoneticPr fontId="2" type="noConversion"/>
  </si>
  <si>
    <t>A073490</t>
    <phoneticPr fontId="2" type="noConversion"/>
  </si>
  <si>
    <t>A077360</t>
    <phoneticPr fontId="2" type="noConversion"/>
  </si>
  <si>
    <t>A078340</t>
    <phoneticPr fontId="2" type="noConversion"/>
  </si>
  <si>
    <t>A078520</t>
    <phoneticPr fontId="2" type="noConversion"/>
  </si>
  <si>
    <t>A078930</t>
    <phoneticPr fontId="2" type="noConversion"/>
  </si>
  <si>
    <t>A079160</t>
    <phoneticPr fontId="2" type="noConversion"/>
  </si>
  <si>
    <t>A080160</t>
    <phoneticPr fontId="2" type="noConversion"/>
  </si>
  <si>
    <t>A081660</t>
    <phoneticPr fontId="2" type="noConversion"/>
  </si>
  <si>
    <t>A083650</t>
    <phoneticPr fontId="2" type="noConversion"/>
  </si>
  <si>
    <t>A084370</t>
    <phoneticPr fontId="2" type="noConversion"/>
  </si>
  <si>
    <t>A084870</t>
    <phoneticPr fontId="2" type="noConversion"/>
  </si>
  <si>
    <t>A086280</t>
    <phoneticPr fontId="2" type="noConversion"/>
  </si>
  <si>
    <t>A086790</t>
    <phoneticPr fontId="2" type="noConversion"/>
  </si>
  <si>
    <t>A086900</t>
    <phoneticPr fontId="2" type="noConversion"/>
  </si>
  <si>
    <t>A088390</t>
    <phoneticPr fontId="2" type="noConversion"/>
  </si>
  <si>
    <t>A089030</t>
    <phoneticPr fontId="2" type="noConversion"/>
  </si>
  <si>
    <t>A089850</t>
    <phoneticPr fontId="2" type="noConversion"/>
  </si>
  <si>
    <t>A090430</t>
    <phoneticPr fontId="2" type="noConversion"/>
  </si>
  <si>
    <t>A090460</t>
    <phoneticPr fontId="2" type="noConversion"/>
  </si>
  <si>
    <t>A091700</t>
    <phoneticPr fontId="2" type="noConversion"/>
  </si>
  <si>
    <t>A093050</t>
    <phoneticPr fontId="2" type="noConversion"/>
  </si>
  <si>
    <t>A093370</t>
    <phoneticPr fontId="2" type="noConversion"/>
  </si>
  <si>
    <t>A094190</t>
    <phoneticPr fontId="2" type="noConversion"/>
  </si>
  <si>
    <t>A095660</t>
    <phoneticPr fontId="2" type="noConversion"/>
  </si>
  <si>
    <t>A095720</t>
    <phoneticPr fontId="2" type="noConversion"/>
  </si>
  <si>
    <t>A096530</t>
    <phoneticPr fontId="2" type="noConversion"/>
  </si>
  <si>
    <t>A096640</t>
    <phoneticPr fontId="2" type="noConversion"/>
  </si>
  <si>
    <t>A096770</t>
    <phoneticPr fontId="2" type="noConversion"/>
  </si>
  <si>
    <t>A097230</t>
    <phoneticPr fontId="2" type="noConversion"/>
  </si>
  <si>
    <t>A097950</t>
    <phoneticPr fontId="2" type="noConversion"/>
  </si>
  <si>
    <t>A100120</t>
    <phoneticPr fontId="2" type="noConversion"/>
  </si>
  <si>
    <t>A102710</t>
    <phoneticPr fontId="2" type="noConversion"/>
  </si>
  <si>
    <t>A102940</t>
    <phoneticPr fontId="2" type="noConversion"/>
  </si>
  <si>
    <t>A103140</t>
    <phoneticPr fontId="2" type="noConversion"/>
  </si>
  <si>
    <t>A104830</t>
    <phoneticPr fontId="2" type="noConversion"/>
  </si>
  <si>
    <t>A105560</t>
    <phoneticPr fontId="2" type="noConversion"/>
  </si>
  <si>
    <t>A105630</t>
    <phoneticPr fontId="2" type="noConversion"/>
  </si>
  <si>
    <t>A108320</t>
    <phoneticPr fontId="2" type="noConversion"/>
  </si>
  <si>
    <t>A108380</t>
    <phoneticPr fontId="2" type="noConversion"/>
  </si>
  <si>
    <t>A111770</t>
    <phoneticPr fontId="2" type="noConversion"/>
  </si>
  <si>
    <t>A112040</t>
    <phoneticPr fontId="2" type="noConversion"/>
  </si>
  <si>
    <t>A114090</t>
    <phoneticPr fontId="2" type="noConversion"/>
  </si>
  <si>
    <t>A115390</t>
    <phoneticPr fontId="2" type="noConversion"/>
  </si>
  <si>
    <t>A117930</t>
    <phoneticPr fontId="2" type="noConversion"/>
  </si>
  <si>
    <t>A119610</t>
    <phoneticPr fontId="2" type="noConversion"/>
  </si>
  <si>
    <t>A120110</t>
    <phoneticPr fontId="2" type="noConversion"/>
  </si>
  <si>
    <t>A121440</t>
    <phoneticPr fontId="2" type="noConversion"/>
  </si>
  <si>
    <t>A122870</t>
    <phoneticPr fontId="2" type="noConversion"/>
  </si>
  <si>
    <t>A123100</t>
    <phoneticPr fontId="2" type="noConversion"/>
  </si>
  <si>
    <t>A123330</t>
    <phoneticPr fontId="2" type="noConversion"/>
  </si>
  <si>
    <t>A130960</t>
    <phoneticPr fontId="2" type="noConversion"/>
  </si>
  <si>
    <t>A138930</t>
    <phoneticPr fontId="2" type="noConversion"/>
  </si>
  <si>
    <t>A139130</t>
    <phoneticPr fontId="2" type="noConversion"/>
  </si>
  <si>
    <t>A139480</t>
    <phoneticPr fontId="2" type="noConversion"/>
  </si>
  <si>
    <t>A151910</t>
    <phoneticPr fontId="2" type="noConversion"/>
  </si>
  <si>
    <t>N/A</t>
    <phoneticPr fontId="2" type="noConversion"/>
  </si>
  <si>
    <t>N/A</t>
    <phoneticPr fontId="2" type="noConversion"/>
  </si>
  <si>
    <t>N/A</t>
    <phoneticPr fontId="2" type="noConversion"/>
  </si>
  <si>
    <t>N/A</t>
    <phoneticPr fontId="2" type="noConversion"/>
  </si>
  <si>
    <t>유한양행</t>
    <phoneticPr fontId="2" type="noConversion"/>
  </si>
  <si>
    <t>CJ대한통운</t>
    <phoneticPr fontId="2" type="noConversion"/>
  </si>
  <si>
    <t>두산</t>
    <phoneticPr fontId="2" type="noConversion"/>
  </si>
  <si>
    <t>대림산업</t>
    <phoneticPr fontId="2" type="noConversion"/>
  </si>
  <si>
    <t>한국타이어월드와이드</t>
    <phoneticPr fontId="2" type="noConversion"/>
  </si>
  <si>
    <t>기아차</t>
    <phoneticPr fontId="2" type="noConversion"/>
  </si>
  <si>
    <t>동아쏘시오홀딩스</t>
    <phoneticPr fontId="2" type="noConversion"/>
  </si>
  <si>
    <t>SK하이닉스</t>
    <phoneticPr fontId="2" type="noConversion"/>
  </si>
  <si>
    <t>현대건설</t>
    <phoneticPr fontId="2" type="noConversion"/>
  </si>
  <si>
    <t>삼성물산</t>
    <phoneticPr fontId="2" type="noConversion"/>
  </si>
  <si>
    <t>한화</t>
    <phoneticPr fontId="2" type="noConversion"/>
  </si>
  <si>
    <t>CJ</t>
    <phoneticPr fontId="2" type="noConversion"/>
  </si>
  <si>
    <t>LG상사</t>
    <phoneticPr fontId="2" type="noConversion"/>
  </si>
  <si>
    <t>동국제강</t>
    <phoneticPr fontId="2" type="noConversion"/>
  </si>
  <si>
    <t>제일모직</t>
    <phoneticPr fontId="2" type="noConversion"/>
  </si>
  <si>
    <t>세아베스틸</t>
    <phoneticPr fontId="2" type="noConversion"/>
  </si>
  <si>
    <t>종근당</t>
    <phoneticPr fontId="2" type="noConversion"/>
  </si>
  <si>
    <t>대상</t>
    <phoneticPr fontId="2" type="noConversion"/>
  </si>
  <si>
    <t>SK네트웍스</t>
    <phoneticPr fontId="2" type="noConversion"/>
  </si>
  <si>
    <t>오리온</t>
    <phoneticPr fontId="2" type="noConversion"/>
  </si>
  <si>
    <t>넥센타이어</t>
    <phoneticPr fontId="2" type="noConversion"/>
  </si>
  <si>
    <t>KCC</t>
    <phoneticPr fontId="2" type="noConversion"/>
  </si>
  <si>
    <t>현대증권</t>
    <phoneticPr fontId="2" type="noConversion"/>
  </si>
  <si>
    <t>대한항공</t>
    <phoneticPr fontId="2" type="noConversion"/>
  </si>
  <si>
    <t>LG</t>
    <phoneticPr fontId="2" type="noConversion"/>
  </si>
  <si>
    <t>SK</t>
    <phoneticPr fontId="2" type="noConversion"/>
  </si>
  <si>
    <t>포스코켐텍</t>
    <phoneticPr fontId="2" type="noConversion"/>
  </si>
  <si>
    <t>삼성정밀화학</t>
    <phoneticPr fontId="2" type="noConversion"/>
  </si>
  <si>
    <t>현대제철</t>
    <phoneticPr fontId="2" type="noConversion"/>
  </si>
  <si>
    <t>대덕GDS</t>
    <phoneticPr fontId="2" type="noConversion"/>
  </si>
  <si>
    <t>한솔제지</t>
    <phoneticPr fontId="2" type="noConversion"/>
  </si>
  <si>
    <t>신세계</t>
    <phoneticPr fontId="2" type="noConversion"/>
  </si>
  <si>
    <t>농심</t>
    <phoneticPr fontId="2" type="noConversion"/>
  </si>
  <si>
    <t>효성</t>
    <phoneticPr fontId="2" type="noConversion"/>
  </si>
  <si>
    <t>외환은행</t>
    <phoneticPr fontId="2" type="noConversion"/>
  </si>
  <si>
    <t>휴스틸</t>
    <phoneticPr fontId="2" type="noConversion"/>
  </si>
  <si>
    <t>빙그레</t>
    <phoneticPr fontId="2" type="noConversion"/>
  </si>
  <si>
    <t>롯데칠성</t>
    <phoneticPr fontId="2" type="noConversion"/>
  </si>
  <si>
    <t>현대차</t>
    <phoneticPr fontId="2" type="noConversion"/>
  </si>
  <si>
    <t>현대그린푸드</t>
    <phoneticPr fontId="2" type="noConversion"/>
  </si>
  <si>
    <t>POSCO</t>
    <phoneticPr fontId="2" type="noConversion"/>
  </si>
  <si>
    <t>에스엘</t>
    <phoneticPr fontId="2" type="noConversion"/>
  </si>
  <si>
    <t>삼성전자</t>
    <phoneticPr fontId="2" type="noConversion"/>
  </si>
  <si>
    <t>우리투자증권</t>
    <phoneticPr fontId="2" type="noConversion"/>
  </si>
  <si>
    <t>이수화학</t>
    <phoneticPr fontId="2" type="noConversion"/>
  </si>
  <si>
    <t>매일유업</t>
    <phoneticPr fontId="2" type="noConversion"/>
  </si>
  <si>
    <t>LS</t>
    <phoneticPr fontId="2" type="noConversion"/>
  </si>
  <si>
    <t>녹십자</t>
    <phoneticPr fontId="2" type="noConversion"/>
  </si>
  <si>
    <t>전북은행</t>
    <phoneticPr fontId="2" type="noConversion"/>
  </si>
  <si>
    <t>GS건설</t>
    <phoneticPr fontId="2" type="noConversion"/>
  </si>
  <si>
    <t>삼성SDI</t>
    <phoneticPr fontId="2" type="noConversion"/>
  </si>
  <si>
    <t>대한유화</t>
    <phoneticPr fontId="2" type="noConversion"/>
  </si>
  <si>
    <t>대우증권</t>
    <phoneticPr fontId="2" type="noConversion"/>
  </si>
  <si>
    <t>GS리테일</t>
    <phoneticPr fontId="2" type="noConversion"/>
  </si>
  <si>
    <t>이수페타시스</t>
    <phoneticPr fontId="2" type="noConversion"/>
  </si>
  <si>
    <t>코리아써키트</t>
    <phoneticPr fontId="2" type="noConversion"/>
  </si>
  <si>
    <t>대덕전자</t>
    <phoneticPr fontId="2" type="noConversion"/>
  </si>
  <si>
    <t>호텔신라</t>
    <phoneticPr fontId="2" type="noConversion"/>
  </si>
  <si>
    <t>삼성전기</t>
    <phoneticPr fontId="2" type="noConversion"/>
  </si>
  <si>
    <t>포스코엠텍</t>
    <phoneticPr fontId="2" type="noConversion"/>
  </si>
  <si>
    <t>현대중공업</t>
    <phoneticPr fontId="2" type="noConversion"/>
  </si>
  <si>
    <t>한화케미칼</t>
    <phoneticPr fontId="2" type="noConversion"/>
  </si>
  <si>
    <t>OCI</t>
    <phoneticPr fontId="2" type="noConversion"/>
  </si>
  <si>
    <t>LS산전</t>
    <phoneticPr fontId="2" type="noConversion"/>
  </si>
  <si>
    <t>고려아연</t>
    <phoneticPr fontId="2" type="noConversion"/>
  </si>
  <si>
    <t>삼성중공업</t>
    <phoneticPr fontId="2" type="noConversion"/>
  </si>
  <si>
    <t>현대하이스코</t>
    <phoneticPr fontId="2" type="noConversion"/>
  </si>
  <si>
    <t>현대미포조선</t>
    <phoneticPr fontId="2" type="noConversion"/>
  </si>
  <si>
    <t>S-Oil</t>
    <phoneticPr fontId="2" type="noConversion"/>
  </si>
  <si>
    <t>LG이노텍</t>
    <phoneticPr fontId="2" type="noConversion"/>
  </si>
  <si>
    <t>롯데케미칼</t>
    <phoneticPr fontId="2" type="noConversion"/>
  </si>
  <si>
    <t>현대상선</t>
    <phoneticPr fontId="2" type="noConversion"/>
  </si>
  <si>
    <t>현대위아</t>
    <phoneticPr fontId="2" type="noConversion"/>
  </si>
  <si>
    <t>현대상사</t>
    <phoneticPr fontId="2" type="noConversion"/>
  </si>
  <si>
    <t>금호석유</t>
    <phoneticPr fontId="2" type="noConversion"/>
  </si>
  <si>
    <t>SKC</t>
    <phoneticPr fontId="2" type="noConversion"/>
  </si>
  <si>
    <t>현대모비스</t>
    <phoneticPr fontId="2" type="noConversion"/>
  </si>
  <si>
    <t>삼성테크윈</t>
    <phoneticPr fontId="2" type="noConversion"/>
  </si>
  <si>
    <t>현대산업</t>
    <phoneticPr fontId="2" type="noConversion"/>
  </si>
  <si>
    <t>에스원</t>
    <phoneticPr fontId="2" type="noConversion"/>
  </si>
  <si>
    <t>하이록코리아</t>
    <phoneticPr fontId="2" type="noConversion"/>
  </si>
  <si>
    <t>동양기전</t>
    <phoneticPr fontId="2" type="noConversion"/>
  </si>
  <si>
    <t>성광벤드</t>
    <phoneticPr fontId="2" type="noConversion"/>
  </si>
  <si>
    <t>한솔케미칼</t>
    <phoneticPr fontId="2" type="noConversion"/>
  </si>
  <si>
    <t>한라건설</t>
    <phoneticPr fontId="2" type="noConversion"/>
  </si>
  <si>
    <t>성우하이텍</t>
    <phoneticPr fontId="2" type="noConversion"/>
  </si>
  <si>
    <t>한국전력</t>
    <phoneticPr fontId="2" type="noConversion"/>
  </si>
  <si>
    <t>삼성증권</t>
    <phoneticPr fontId="2" type="noConversion"/>
  </si>
  <si>
    <t>수산중공업</t>
    <phoneticPr fontId="2" type="noConversion"/>
  </si>
  <si>
    <t>SK텔레콤</t>
    <phoneticPr fontId="2" type="noConversion"/>
  </si>
  <si>
    <t>한국카본</t>
    <phoneticPr fontId="2" type="noConversion"/>
  </si>
  <si>
    <t>대교</t>
    <phoneticPr fontId="2" type="noConversion"/>
  </si>
  <si>
    <t>한섬</t>
    <phoneticPr fontId="2" type="noConversion"/>
  </si>
  <si>
    <t>아시아나항공</t>
    <phoneticPr fontId="2" type="noConversion"/>
  </si>
  <si>
    <t>일진디스플</t>
    <phoneticPr fontId="2" type="noConversion"/>
  </si>
  <si>
    <t>코웨이</t>
    <phoneticPr fontId="2" type="noConversion"/>
  </si>
  <si>
    <t>태광</t>
    <phoneticPr fontId="2" type="noConversion"/>
  </si>
  <si>
    <t>롯데쇼핑</t>
    <phoneticPr fontId="2" type="noConversion"/>
  </si>
  <si>
    <t>기업은행</t>
    <phoneticPr fontId="2" type="noConversion"/>
  </si>
  <si>
    <t>로만손</t>
    <phoneticPr fontId="2" type="noConversion"/>
  </si>
  <si>
    <t>삼성엔지니어링</t>
    <phoneticPr fontId="2" type="noConversion"/>
  </si>
  <si>
    <t>GS홈쇼핑</t>
    <phoneticPr fontId="2" type="noConversion"/>
  </si>
  <si>
    <t>STX팬오션</t>
    <phoneticPr fontId="2" type="noConversion"/>
  </si>
  <si>
    <t>케이씨텍</t>
    <phoneticPr fontId="2" type="noConversion"/>
  </si>
  <si>
    <t>삼성카드</t>
    <phoneticPr fontId="2" type="noConversion"/>
  </si>
  <si>
    <t>제일기획</t>
    <phoneticPr fontId="2" type="noConversion"/>
  </si>
  <si>
    <t>KT</t>
    <phoneticPr fontId="2" type="noConversion"/>
  </si>
  <si>
    <t>한글과컴퓨터</t>
    <phoneticPr fontId="2" type="noConversion"/>
  </si>
  <si>
    <t>원익IPS</t>
    <phoneticPr fontId="2" type="noConversion"/>
  </si>
  <si>
    <t>신세계인터내셔날</t>
    <phoneticPr fontId="2" type="noConversion"/>
  </si>
  <si>
    <t>신세계푸드</t>
    <phoneticPr fontId="2" type="noConversion"/>
  </si>
  <si>
    <t>LG유플러스</t>
    <phoneticPr fontId="2" type="noConversion"/>
  </si>
  <si>
    <t>삼성생명</t>
    <phoneticPr fontId="2" type="noConversion"/>
  </si>
  <si>
    <t>SK브로드밴드</t>
    <phoneticPr fontId="2" type="noConversion"/>
  </si>
  <si>
    <t>네패스</t>
    <phoneticPr fontId="2" type="noConversion"/>
  </si>
  <si>
    <t>KT&amp;G</t>
    <phoneticPr fontId="2" type="noConversion"/>
  </si>
  <si>
    <t>두산중공업</t>
    <phoneticPr fontId="2" type="noConversion"/>
  </si>
  <si>
    <t>SBS</t>
    <phoneticPr fontId="2" type="noConversion"/>
  </si>
  <si>
    <t>LG디스플레이</t>
    <phoneticPr fontId="2" type="noConversion"/>
  </si>
  <si>
    <t>파라다이스</t>
    <phoneticPr fontId="2" type="noConversion"/>
  </si>
  <si>
    <t>SK C&amp;C</t>
    <phoneticPr fontId="2" type="noConversion"/>
  </si>
  <si>
    <t>강원랜드</t>
    <phoneticPr fontId="2" type="noConversion"/>
  </si>
  <si>
    <t>NHN</t>
    <phoneticPr fontId="2" type="noConversion"/>
  </si>
  <si>
    <t>KG이니시스</t>
    <phoneticPr fontId="2" type="noConversion"/>
  </si>
  <si>
    <t>다음</t>
    <phoneticPr fontId="2" type="noConversion"/>
  </si>
  <si>
    <t>CJ오쇼핑</t>
    <phoneticPr fontId="2" type="noConversion"/>
  </si>
  <si>
    <t>예림당</t>
    <phoneticPr fontId="2" type="noConversion"/>
  </si>
  <si>
    <t>한국가스공사</t>
    <phoneticPr fontId="2" type="noConversion"/>
  </si>
  <si>
    <t>OCI머티리얼즈</t>
    <phoneticPr fontId="2" type="noConversion"/>
  </si>
  <si>
    <t>심텍</t>
    <phoneticPr fontId="2" type="noConversion"/>
  </si>
  <si>
    <t>솔브레인</t>
    <phoneticPr fontId="2" type="noConversion"/>
  </si>
  <si>
    <t>미래에셋증권</t>
    <phoneticPr fontId="2" type="noConversion"/>
  </si>
  <si>
    <t>하나투어</t>
    <phoneticPr fontId="2" type="noConversion"/>
  </si>
  <si>
    <t>인포뱅크</t>
    <phoneticPr fontId="2" type="noConversion"/>
  </si>
  <si>
    <t>키움증권</t>
    <phoneticPr fontId="2" type="noConversion"/>
  </si>
  <si>
    <t>에스엠</t>
    <phoneticPr fontId="2" type="noConversion"/>
  </si>
  <si>
    <t>대우조선해양</t>
    <phoneticPr fontId="2" type="noConversion"/>
  </si>
  <si>
    <t>두산인프라코어</t>
    <phoneticPr fontId="2" type="noConversion"/>
  </si>
  <si>
    <t>한미반도체</t>
    <phoneticPr fontId="2" type="noConversion"/>
  </si>
  <si>
    <t>평화정공</t>
    <phoneticPr fontId="2" type="noConversion"/>
  </si>
  <si>
    <t>국순당</t>
    <phoneticPr fontId="2" type="noConversion"/>
  </si>
  <si>
    <t>코스맥스</t>
    <phoneticPr fontId="2" type="noConversion"/>
  </si>
  <si>
    <t>SBS콘텐츠허브</t>
    <phoneticPr fontId="2" type="noConversion"/>
  </si>
  <si>
    <t>서울반도체</t>
    <phoneticPr fontId="2" type="noConversion"/>
  </si>
  <si>
    <t>대우건설</t>
    <phoneticPr fontId="2" type="noConversion"/>
  </si>
  <si>
    <t>대우인터내셔널</t>
    <phoneticPr fontId="2" type="noConversion"/>
  </si>
  <si>
    <t>오스템임플란트</t>
    <phoneticPr fontId="2" type="noConversion"/>
  </si>
  <si>
    <t>라이브플렉스</t>
    <phoneticPr fontId="2" type="noConversion"/>
  </si>
  <si>
    <t>인터플렉스</t>
    <phoneticPr fontId="2" type="noConversion"/>
  </si>
  <si>
    <t>CJ프레시웨이</t>
    <phoneticPr fontId="2" type="noConversion"/>
  </si>
  <si>
    <t>한전KPS</t>
    <phoneticPr fontId="2" type="noConversion"/>
  </si>
  <si>
    <t>LG생활건강</t>
    <phoneticPr fontId="2" type="noConversion"/>
  </si>
  <si>
    <t>LG화학</t>
    <phoneticPr fontId="2" type="noConversion"/>
  </si>
  <si>
    <t>코나아이</t>
    <phoneticPr fontId="2" type="noConversion"/>
  </si>
  <si>
    <t>한전기술</t>
    <phoneticPr fontId="2" type="noConversion"/>
  </si>
  <si>
    <t>아모텍</t>
    <phoneticPr fontId="2" type="noConversion"/>
  </si>
  <si>
    <t>우리금융</t>
    <phoneticPr fontId="2" type="noConversion"/>
  </si>
  <si>
    <t>스카이라이프</t>
    <phoneticPr fontId="2" type="noConversion"/>
  </si>
  <si>
    <t>신한지주</t>
    <phoneticPr fontId="2" type="noConversion"/>
  </si>
  <si>
    <t>에스에프에이</t>
    <phoneticPr fontId="2" type="noConversion"/>
  </si>
  <si>
    <t>현대홈쇼핑</t>
    <phoneticPr fontId="2" type="noConversion"/>
  </si>
  <si>
    <t>리노공업</t>
    <phoneticPr fontId="2" type="noConversion"/>
  </si>
  <si>
    <t>한국사이버결제</t>
    <phoneticPr fontId="2" type="noConversion"/>
  </si>
  <si>
    <t>만도</t>
    <phoneticPr fontId="2" type="noConversion"/>
  </si>
  <si>
    <t>알에프텍</t>
    <phoneticPr fontId="2" type="noConversion"/>
  </si>
  <si>
    <t>엘비세미콘</t>
    <phoneticPr fontId="2" type="noConversion"/>
  </si>
  <si>
    <t>게임빌</t>
    <phoneticPr fontId="2" type="noConversion"/>
  </si>
  <si>
    <t>S&amp;T모티브</t>
    <phoneticPr fontId="2" type="noConversion"/>
  </si>
  <si>
    <t>휴비츠</t>
    <phoneticPr fontId="2" type="noConversion"/>
  </si>
  <si>
    <t>LG전자</t>
    <phoneticPr fontId="2" type="noConversion"/>
  </si>
  <si>
    <t>조이시티</t>
    <phoneticPr fontId="2" type="noConversion"/>
  </si>
  <si>
    <t>셀트리온</t>
    <phoneticPr fontId="2" type="noConversion"/>
  </si>
  <si>
    <t>LG생명과학</t>
    <phoneticPr fontId="2" type="noConversion"/>
  </si>
  <si>
    <t>휴켐스</t>
    <phoneticPr fontId="2" type="noConversion"/>
  </si>
  <si>
    <t>유아이디</t>
    <phoneticPr fontId="2" type="noConversion"/>
  </si>
  <si>
    <t>대웅제약</t>
    <phoneticPr fontId="2" type="noConversion"/>
  </si>
  <si>
    <t>현대백화점</t>
    <phoneticPr fontId="2" type="noConversion"/>
  </si>
  <si>
    <t>한국금융지주</t>
    <phoneticPr fontId="2" type="noConversion"/>
  </si>
  <si>
    <t>롯데하이마트</t>
    <phoneticPr fontId="2" type="noConversion"/>
  </si>
  <si>
    <t>태양기전</t>
    <phoneticPr fontId="2" type="noConversion"/>
  </si>
  <si>
    <t>메가스터디</t>
    <phoneticPr fontId="2" type="noConversion"/>
  </si>
  <si>
    <t>이노와이어리스</t>
    <phoneticPr fontId="2" type="noConversion"/>
  </si>
  <si>
    <t>덕산하이메탈</t>
    <phoneticPr fontId="2" type="noConversion"/>
  </si>
  <si>
    <t>컴투스</t>
    <phoneticPr fontId="2" type="noConversion"/>
  </si>
  <si>
    <t>에이블씨엔씨</t>
    <phoneticPr fontId="2" type="noConversion"/>
  </si>
  <si>
    <t>GS</t>
    <phoneticPr fontId="2" type="noConversion"/>
  </si>
  <si>
    <t>CJ CGV</t>
    <phoneticPr fontId="2" type="noConversion"/>
  </si>
  <si>
    <t>모두투어</t>
    <phoneticPr fontId="2" type="noConversion"/>
  </si>
  <si>
    <t>휠라코리아</t>
    <phoneticPr fontId="2" type="noConversion"/>
  </si>
  <si>
    <t>비에이치아이</t>
    <phoneticPr fontId="2" type="noConversion"/>
  </si>
  <si>
    <t>유진테크</t>
    <phoneticPr fontId="2" type="noConversion"/>
  </si>
  <si>
    <t>베이직하우스</t>
    <phoneticPr fontId="2" type="noConversion"/>
  </si>
  <si>
    <t>현대글로비스</t>
    <phoneticPr fontId="2" type="noConversion"/>
  </si>
  <si>
    <t>하나금융지주</t>
    <phoneticPr fontId="2" type="noConversion"/>
  </si>
  <si>
    <t>메디톡스</t>
    <phoneticPr fontId="2" type="noConversion"/>
  </si>
  <si>
    <t>이녹스</t>
    <phoneticPr fontId="2" type="noConversion"/>
  </si>
  <si>
    <t>테크윙</t>
    <phoneticPr fontId="2" type="noConversion"/>
  </si>
  <si>
    <t>유비벨록스</t>
    <phoneticPr fontId="2" type="noConversion"/>
  </si>
  <si>
    <t>아모레퍼시픽</t>
    <phoneticPr fontId="2" type="noConversion"/>
  </si>
  <si>
    <t>비에이치</t>
    <phoneticPr fontId="2" type="noConversion"/>
  </si>
  <si>
    <t>파트론</t>
    <phoneticPr fontId="2" type="noConversion"/>
  </si>
  <si>
    <t>LG패션</t>
    <phoneticPr fontId="2" type="noConversion"/>
  </si>
  <si>
    <t>후성</t>
    <phoneticPr fontId="2" type="noConversion"/>
  </si>
  <si>
    <t>이엘케이</t>
    <phoneticPr fontId="2" type="noConversion"/>
  </si>
  <si>
    <t>네오위즈게임즈</t>
    <phoneticPr fontId="2" type="noConversion"/>
  </si>
  <si>
    <t>웅진씽크빅</t>
    <phoneticPr fontId="2" type="noConversion"/>
  </si>
  <si>
    <t>씨젠</t>
    <phoneticPr fontId="2" type="noConversion"/>
  </si>
  <si>
    <t>멜파스</t>
    <phoneticPr fontId="2" type="noConversion"/>
  </si>
  <si>
    <t>SK이노베이션</t>
    <phoneticPr fontId="2" type="noConversion"/>
  </si>
  <si>
    <t>한진중공업</t>
    <phoneticPr fontId="2" type="noConversion"/>
  </si>
  <si>
    <t>CJ제일제당</t>
    <phoneticPr fontId="2" type="noConversion"/>
  </si>
  <si>
    <t>뷰웍스</t>
    <phoneticPr fontId="2" type="noConversion"/>
  </si>
  <si>
    <t>이엔에프테크놀로지</t>
    <phoneticPr fontId="2" type="noConversion"/>
  </si>
  <si>
    <t>코오롱생명과학</t>
    <phoneticPr fontId="2" type="noConversion"/>
  </si>
  <si>
    <t>풍산</t>
    <phoneticPr fontId="2" type="noConversion"/>
  </si>
  <si>
    <t>원익머트리얼즈</t>
    <phoneticPr fontId="2" type="noConversion"/>
  </si>
  <si>
    <t>KB금융</t>
    <phoneticPr fontId="2" type="noConversion"/>
  </si>
  <si>
    <t>한세실업</t>
    <phoneticPr fontId="2" type="noConversion"/>
  </si>
  <si>
    <t>실리콘웍스</t>
    <phoneticPr fontId="2" type="noConversion"/>
  </si>
  <si>
    <t>대양전기공업</t>
    <phoneticPr fontId="2" type="noConversion"/>
  </si>
  <si>
    <t>영원무역</t>
    <phoneticPr fontId="2" type="noConversion"/>
  </si>
  <si>
    <t>위메이드</t>
    <phoneticPr fontId="2" type="noConversion"/>
  </si>
  <si>
    <t>GKL</t>
    <phoneticPr fontId="2" type="noConversion"/>
  </si>
  <si>
    <t>락앤락</t>
    <phoneticPr fontId="2" type="noConversion"/>
  </si>
  <si>
    <t>한진해운</t>
    <phoneticPr fontId="2" type="noConversion"/>
  </si>
  <si>
    <t>인터로조</t>
    <phoneticPr fontId="2" type="noConversion"/>
  </si>
  <si>
    <t>코오롱인더</t>
    <phoneticPr fontId="2" type="noConversion"/>
  </si>
  <si>
    <t>골프존</t>
    <phoneticPr fontId="2" type="noConversion"/>
  </si>
  <si>
    <t>와이지엔터테인먼트</t>
    <phoneticPr fontId="2" type="noConversion"/>
  </si>
  <si>
    <t>테라세미콘</t>
    <phoneticPr fontId="2" type="noConversion"/>
  </si>
  <si>
    <t>제닉</t>
    <phoneticPr fontId="2" type="noConversion"/>
  </si>
  <si>
    <t>CJ E&amp;M</t>
    <phoneticPr fontId="2" type="noConversion"/>
  </si>
  <si>
    <t>BS금융지주</t>
    <phoneticPr fontId="2" type="noConversion"/>
  </si>
  <si>
    <t>DGB금융지주</t>
    <phoneticPr fontId="2" type="noConversion"/>
  </si>
  <si>
    <t>이마트</t>
    <phoneticPr fontId="2" type="noConversion"/>
  </si>
  <si>
    <t>나노스</t>
    <phoneticPr fontId="2" type="noConversion"/>
  </si>
  <si>
    <t>A000020</t>
    <phoneticPr fontId="2" type="noConversion"/>
  </si>
  <si>
    <t>A000040</t>
    <phoneticPr fontId="2" type="noConversion"/>
  </si>
  <si>
    <t>A000050</t>
    <phoneticPr fontId="2" type="noConversion"/>
  </si>
  <si>
    <t>A000060</t>
    <phoneticPr fontId="2" type="noConversion"/>
  </si>
  <si>
    <t>A000070</t>
    <phoneticPr fontId="2" type="noConversion"/>
  </si>
  <si>
    <t>A000080</t>
    <phoneticPr fontId="2" type="noConversion"/>
  </si>
  <si>
    <t>A000100</t>
    <phoneticPr fontId="2" type="noConversion"/>
  </si>
  <si>
    <t>A000140</t>
    <phoneticPr fontId="2" type="noConversion"/>
  </si>
  <si>
    <t>A000180</t>
    <phoneticPr fontId="2" type="noConversion"/>
  </si>
  <si>
    <t>A000220</t>
    <phoneticPr fontId="2" type="noConversion"/>
  </si>
  <si>
    <t>A000230</t>
    <phoneticPr fontId="2" type="noConversion"/>
  </si>
  <si>
    <t>A000250</t>
    <phoneticPr fontId="2" type="noConversion"/>
  </si>
  <si>
    <t>A000300</t>
    <phoneticPr fontId="2" type="noConversion"/>
  </si>
  <si>
    <t>A000320</t>
    <phoneticPr fontId="2" type="noConversion"/>
  </si>
  <si>
    <t>A000360</t>
    <phoneticPr fontId="2" type="noConversion"/>
  </si>
  <si>
    <t>A000370</t>
    <phoneticPr fontId="2" type="noConversion"/>
  </si>
  <si>
    <t>A000390</t>
    <phoneticPr fontId="2" type="noConversion"/>
  </si>
  <si>
    <t>A000400</t>
    <phoneticPr fontId="2" type="noConversion"/>
  </si>
  <si>
    <t>A000420</t>
    <phoneticPr fontId="2" type="noConversion"/>
  </si>
  <si>
    <t>A000430</t>
    <phoneticPr fontId="2" type="noConversion"/>
  </si>
  <si>
    <t>A000440</t>
    <phoneticPr fontId="2" type="noConversion"/>
  </si>
  <si>
    <t>A000480</t>
    <phoneticPr fontId="2" type="noConversion"/>
  </si>
  <si>
    <t>A000490</t>
    <phoneticPr fontId="2" type="noConversion"/>
  </si>
  <si>
    <t>A000500</t>
    <phoneticPr fontId="2" type="noConversion"/>
  </si>
  <si>
    <t>A000520</t>
    <phoneticPr fontId="2" type="noConversion"/>
  </si>
  <si>
    <t>A000540</t>
    <phoneticPr fontId="2" type="noConversion"/>
  </si>
  <si>
    <t>A000590</t>
    <phoneticPr fontId="2" type="noConversion"/>
  </si>
  <si>
    <t>A000650</t>
    <phoneticPr fontId="2" type="noConversion"/>
  </si>
  <si>
    <t>A000670</t>
    <phoneticPr fontId="2" type="noConversion"/>
  </si>
  <si>
    <t>A000680</t>
    <phoneticPr fontId="2" type="noConversion"/>
  </si>
  <si>
    <t>A000700</t>
    <phoneticPr fontId="2" type="noConversion"/>
  </si>
  <si>
    <t>A000760</t>
    <phoneticPr fontId="2" type="noConversion"/>
  </si>
  <si>
    <t>A000800</t>
    <phoneticPr fontId="2" type="noConversion"/>
  </si>
  <si>
    <t>A000810</t>
    <phoneticPr fontId="2" type="noConversion"/>
  </si>
  <si>
    <t>A000850</t>
    <phoneticPr fontId="2" type="noConversion"/>
  </si>
  <si>
    <t>A000860</t>
    <phoneticPr fontId="2" type="noConversion"/>
  </si>
  <si>
    <t>A000890</t>
    <phoneticPr fontId="2" type="noConversion"/>
  </si>
  <si>
    <t>A000910</t>
    <phoneticPr fontId="2" type="noConversion"/>
  </si>
  <si>
    <t>A000950</t>
    <phoneticPr fontId="2" type="noConversion"/>
  </si>
  <si>
    <t>A000970</t>
    <phoneticPr fontId="2" type="noConversion"/>
  </si>
  <si>
    <t>A000990</t>
    <phoneticPr fontId="2" type="noConversion"/>
  </si>
  <si>
    <t>A001000</t>
    <phoneticPr fontId="2" type="noConversion"/>
  </si>
  <si>
    <t>A001020</t>
    <phoneticPr fontId="2" type="noConversion"/>
  </si>
  <si>
    <t>A001060</t>
    <phoneticPr fontId="2" type="noConversion"/>
  </si>
  <si>
    <t>A001070</t>
    <phoneticPr fontId="2" type="noConversion"/>
  </si>
  <si>
    <t>A001080</t>
    <phoneticPr fontId="2" type="noConversion"/>
  </si>
  <si>
    <t>A001130</t>
    <phoneticPr fontId="2" type="noConversion"/>
  </si>
  <si>
    <t>A001140</t>
    <phoneticPr fontId="2" type="noConversion"/>
  </si>
  <si>
    <t>A001200</t>
    <phoneticPr fontId="2" type="noConversion"/>
  </si>
  <si>
    <t>A001210</t>
    <phoneticPr fontId="2" type="noConversion"/>
  </si>
  <si>
    <t>A001250</t>
    <phoneticPr fontId="2" type="noConversion"/>
  </si>
  <si>
    <t>A001260</t>
    <phoneticPr fontId="2" type="noConversion"/>
  </si>
  <si>
    <t>A001270</t>
    <phoneticPr fontId="2" type="noConversion"/>
  </si>
  <si>
    <t>A001290</t>
    <phoneticPr fontId="2" type="noConversion"/>
  </si>
  <si>
    <t>A001340</t>
    <phoneticPr fontId="2" type="noConversion"/>
  </si>
  <si>
    <t>A001360</t>
    <phoneticPr fontId="2" type="noConversion"/>
  </si>
  <si>
    <t>A001380</t>
    <phoneticPr fontId="2" type="noConversion"/>
  </si>
  <si>
    <t>A001390</t>
    <phoneticPr fontId="2" type="noConversion"/>
  </si>
  <si>
    <t>A001420</t>
    <phoneticPr fontId="2" type="noConversion"/>
  </si>
  <si>
    <t>A001440</t>
    <phoneticPr fontId="2" type="noConversion"/>
  </si>
  <si>
    <t>A001450</t>
    <phoneticPr fontId="2" type="noConversion"/>
  </si>
  <si>
    <t>A001460</t>
    <phoneticPr fontId="2" type="noConversion"/>
  </si>
  <si>
    <t>A001470</t>
    <phoneticPr fontId="2" type="noConversion"/>
  </si>
  <si>
    <t>A001500</t>
    <phoneticPr fontId="2" type="noConversion"/>
  </si>
  <si>
    <t>A001510</t>
    <phoneticPr fontId="2" type="noConversion"/>
  </si>
  <si>
    <t>A001520</t>
    <phoneticPr fontId="2" type="noConversion"/>
  </si>
  <si>
    <t>A001530</t>
    <phoneticPr fontId="2" type="noConversion"/>
  </si>
  <si>
    <t>A001540</t>
    <phoneticPr fontId="2" type="noConversion"/>
  </si>
  <si>
    <t>A001550</t>
    <phoneticPr fontId="2" type="noConversion"/>
  </si>
  <si>
    <t>A001560</t>
    <phoneticPr fontId="2" type="noConversion"/>
  </si>
  <si>
    <t>A001570</t>
    <phoneticPr fontId="2" type="noConversion"/>
  </si>
  <si>
    <t>A001620</t>
    <phoneticPr fontId="2" type="noConversion"/>
  </si>
  <si>
    <t>A001720</t>
    <phoneticPr fontId="2" type="noConversion"/>
  </si>
  <si>
    <t>A001750</t>
    <phoneticPr fontId="2" type="noConversion"/>
  </si>
  <si>
    <t>A001770</t>
    <phoneticPr fontId="2" type="noConversion"/>
  </si>
  <si>
    <t>A001780</t>
    <phoneticPr fontId="2" type="noConversion"/>
  </si>
  <si>
    <t>A001790</t>
    <phoneticPr fontId="2" type="noConversion"/>
  </si>
  <si>
    <t>A001810</t>
    <phoneticPr fontId="2" type="noConversion"/>
  </si>
  <si>
    <t>A001820</t>
    <phoneticPr fontId="2" type="noConversion"/>
  </si>
  <si>
    <t>A001840</t>
    <phoneticPr fontId="2" type="noConversion"/>
  </si>
  <si>
    <t>A001880</t>
    <phoneticPr fontId="2" type="noConversion"/>
  </si>
  <si>
    <t>A001940</t>
    <phoneticPr fontId="2" type="noConversion"/>
  </si>
  <si>
    <t>A002000</t>
    <phoneticPr fontId="2" type="noConversion"/>
  </si>
  <si>
    <t>A002020</t>
    <phoneticPr fontId="2" type="noConversion"/>
  </si>
  <si>
    <t>A002030</t>
    <phoneticPr fontId="2" type="noConversion"/>
  </si>
  <si>
    <t>A002070</t>
    <phoneticPr fontId="2" type="noConversion"/>
  </si>
  <si>
    <t>A002100</t>
    <phoneticPr fontId="2" type="noConversion"/>
  </si>
  <si>
    <t>A002140</t>
    <phoneticPr fontId="2" type="noConversion"/>
  </si>
  <si>
    <t>A002150</t>
    <phoneticPr fontId="2" type="noConversion"/>
  </si>
  <si>
    <t>A002170</t>
    <phoneticPr fontId="2" type="noConversion"/>
  </si>
  <si>
    <t>A002200</t>
    <phoneticPr fontId="2" type="noConversion"/>
  </si>
  <si>
    <t>A002210</t>
    <phoneticPr fontId="2" type="noConversion"/>
  </si>
  <si>
    <t>A002220</t>
    <phoneticPr fontId="2" type="noConversion"/>
  </si>
  <si>
    <t>A002230</t>
    <phoneticPr fontId="2" type="noConversion"/>
  </si>
  <si>
    <t>A002240</t>
    <phoneticPr fontId="2" type="noConversion"/>
  </si>
  <si>
    <t>A002250</t>
    <phoneticPr fontId="2" type="noConversion"/>
  </si>
  <si>
    <t>A002270</t>
    <phoneticPr fontId="2" type="noConversion"/>
  </si>
  <si>
    <t>A002290</t>
    <phoneticPr fontId="2" type="noConversion"/>
  </si>
  <si>
    <t>A002300</t>
    <phoneticPr fontId="2" type="noConversion"/>
  </si>
  <si>
    <t>A002310</t>
    <phoneticPr fontId="2" type="noConversion"/>
  </si>
  <si>
    <t>A002320</t>
    <phoneticPr fontId="2" type="noConversion"/>
  </si>
  <si>
    <t>A002360</t>
    <phoneticPr fontId="2" type="noConversion"/>
  </si>
  <si>
    <t>A002390</t>
    <phoneticPr fontId="2" type="noConversion"/>
  </si>
  <si>
    <t>A002410</t>
    <phoneticPr fontId="2" type="noConversion"/>
  </si>
  <si>
    <t>A002420</t>
    <phoneticPr fontId="2" type="noConversion"/>
  </si>
  <si>
    <t>A002450</t>
    <phoneticPr fontId="2" type="noConversion"/>
  </si>
  <si>
    <t>A002460</t>
    <phoneticPr fontId="2" type="noConversion"/>
  </si>
  <si>
    <t>A002530</t>
    <phoneticPr fontId="2" type="noConversion"/>
  </si>
  <si>
    <t>A002550</t>
    <phoneticPr fontId="2" type="noConversion"/>
  </si>
  <si>
    <t>A002600</t>
    <phoneticPr fontId="2" type="noConversion"/>
  </si>
  <si>
    <t>A002620</t>
    <phoneticPr fontId="2" type="noConversion"/>
  </si>
  <si>
    <t>A002630</t>
    <phoneticPr fontId="2" type="noConversion"/>
  </si>
  <si>
    <t>A002680</t>
    <phoneticPr fontId="2" type="noConversion"/>
  </si>
  <si>
    <t>A002700</t>
    <phoneticPr fontId="2" type="noConversion"/>
  </si>
  <si>
    <t>A002710</t>
    <phoneticPr fontId="2" type="noConversion"/>
  </si>
  <si>
    <t>A002720</t>
    <phoneticPr fontId="2" type="noConversion"/>
  </si>
  <si>
    <t>A002760</t>
    <phoneticPr fontId="2" type="noConversion"/>
  </si>
  <si>
    <t>A002780</t>
    <phoneticPr fontId="2" type="noConversion"/>
  </si>
  <si>
    <t>A002790</t>
    <phoneticPr fontId="2" type="noConversion"/>
  </si>
  <si>
    <t>A002810</t>
    <phoneticPr fontId="2" type="noConversion"/>
  </si>
  <si>
    <t>A002820</t>
    <phoneticPr fontId="2" type="noConversion"/>
  </si>
  <si>
    <t>A002840</t>
    <phoneticPr fontId="2" type="noConversion"/>
  </si>
  <si>
    <t>A002870</t>
    <phoneticPr fontId="2" type="noConversion"/>
  </si>
  <si>
    <t>A002880</t>
    <phoneticPr fontId="2" type="noConversion"/>
  </si>
  <si>
    <t>A002900</t>
    <phoneticPr fontId="2" type="noConversion"/>
  </si>
  <si>
    <t>A002920</t>
    <phoneticPr fontId="2" type="noConversion"/>
  </si>
  <si>
    <t>A002960</t>
    <phoneticPr fontId="2" type="noConversion"/>
  </si>
  <si>
    <t>A002990</t>
    <phoneticPr fontId="2" type="noConversion"/>
  </si>
  <si>
    <t>A003000</t>
    <phoneticPr fontId="2" type="noConversion"/>
  </si>
  <si>
    <t>A003010</t>
    <phoneticPr fontId="2" type="noConversion"/>
  </si>
  <si>
    <t>A003030</t>
    <phoneticPr fontId="2" type="noConversion"/>
  </si>
  <si>
    <t>A003060</t>
    <phoneticPr fontId="2" type="noConversion"/>
  </si>
  <si>
    <t>A003070</t>
    <phoneticPr fontId="2" type="noConversion"/>
  </si>
  <si>
    <t>A003080</t>
    <phoneticPr fontId="2" type="noConversion"/>
  </si>
  <si>
    <t>A003090</t>
    <phoneticPr fontId="2" type="noConversion"/>
  </si>
  <si>
    <t>A003100</t>
    <phoneticPr fontId="2" type="noConversion"/>
  </si>
  <si>
    <t>A003120</t>
    <phoneticPr fontId="2" type="noConversion"/>
  </si>
  <si>
    <t>A003160</t>
    <phoneticPr fontId="2" type="noConversion"/>
  </si>
  <si>
    <t>A003190</t>
    <phoneticPr fontId="2" type="noConversion"/>
  </si>
  <si>
    <t>A003200</t>
    <phoneticPr fontId="2" type="noConversion"/>
  </si>
  <si>
    <t>A003220</t>
    <phoneticPr fontId="2" type="noConversion"/>
  </si>
  <si>
    <t>A003230</t>
    <phoneticPr fontId="2" type="noConversion"/>
  </si>
  <si>
    <t>A003240</t>
    <phoneticPr fontId="2" type="noConversion"/>
  </si>
  <si>
    <t>A003280</t>
    <phoneticPr fontId="2" type="noConversion"/>
  </si>
  <si>
    <t>A003300</t>
    <phoneticPr fontId="2" type="noConversion"/>
  </si>
  <si>
    <t>A003310</t>
    <phoneticPr fontId="2" type="noConversion"/>
  </si>
  <si>
    <t>A003350</t>
    <phoneticPr fontId="2" type="noConversion"/>
  </si>
  <si>
    <t>A003410</t>
    <phoneticPr fontId="2" type="noConversion"/>
  </si>
  <si>
    <t>A003460</t>
    <phoneticPr fontId="2" type="noConversion"/>
  </si>
  <si>
    <t>A003470</t>
    <phoneticPr fontId="2" type="noConversion"/>
  </si>
  <si>
    <t>A003480</t>
    <phoneticPr fontId="2" type="noConversion"/>
  </si>
  <si>
    <t>A003520</t>
    <phoneticPr fontId="2" type="noConversion"/>
  </si>
  <si>
    <t>A003530</t>
    <phoneticPr fontId="2" type="noConversion"/>
  </si>
  <si>
    <t>A003540</t>
    <phoneticPr fontId="2" type="noConversion"/>
  </si>
  <si>
    <t>A003560</t>
    <phoneticPr fontId="2" type="noConversion"/>
  </si>
  <si>
    <t>A003570</t>
    <phoneticPr fontId="2" type="noConversion"/>
  </si>
  <si>
    <t>A003580</t>
    <phoneticPr fontId="2" type="noConversion"/>
  </si>
  <si>
    <t>A003610</t>
    <phoneticPr fontId="2" type="noConversion"/>
  </si>
  <si>
    <t>A003620</t>
    <phoneticPr fontId="2" type="noConversion"/>
  </si>
  <si>
    <t>A003640</t>
    <phoneticPr fontId="2" type="noConversion"/>
  </si>
  <si>
    <t>A003650</t>
    <phoneticPr fontId="2" type="noConversion"/>
  </si>
  <si>
    <t>A003680</t>
    <phoneticPr fontId="2" type="noConversion"/>
  </si>
  <si>
    <t>A003690</t>
    <phoneticPr fontId="2" type="noConversion"/>
  </si>
  <si>
    <t>A003720</t>
    <phoneticPr fontId="2" type="noConversion"/>
  </si>
  <si>
    <t>A003780</t>
    <phoneticPr fontId="2" type="noConversion"/>
  </si>
  <si>
    <t>A003800</t>
    <phoneticPr fontId="2" type="noConversion"/>
  </si>
  <si>
    <t>A003830</t>
    <phoneticPr fontId="2" type="noConversion"/>
  </si>
  <si>
    <t>A003850</t>
    <phoneticPr fontId="2" type="noConversion"/>
  </si>
  <si>
    <t>A003920</t>
    <phoneticPr fontId="2" type="noConversion"/>
  </si>
  <si>
    <t>A003940</t>
    <phoneticPr fontId="2" type="noConversion"/>
  </si>
  <si>
    <t>A003960</t>
    <phoneticPr fontId="2" type="noConversion"/>
  </si>
  <si>
    <t>A004010</t>
    <phoneticPr fontId="2" type="noConversion"/>
  </si>
  <si>
    <t>A004060</t>
    <phoneticPr fontId="2" type="noConversion"/>
  </si>
  <si>
    <t>A004080</t>
    <phoneticPr fontId="2" type="noConversion"/>
  </si>
  <si>
    <t>A004090</t>
    <phoneticPr fontId="2" type="noConversion"/>
  </si>
  <si>
    <t>A004100</t>
    <phoneticPr fontId="2" type="noConversion"/>
  </si>
  <si>
    <t>A004140</t>
    <phoneticPr fontId="2" type="noConversion"/>
  </si>
  <si>
    <t>A004200</t>
    <phoneticPr fontId="2" type="noConversion"/>
  </si>
  <si>
    <t>A004250</t>
    <phoneticPr fontId="2" type="noConversion"/>
  </si>
  <si>
    <t>A004270</t>
    <phoneticPr fontId="2" type="noConversion"/>
  </si>
  <si>
    <t>A004310</t>
    <phoneticPr fontId="2" type="noConversion"/>
  </si>
  <si>
    <t>A004320</t>
    <phoneticPr fontId="2" type="noConversion"/>
  </si>
  <si>
    <t>A004360</t>
    <phoneticPr fontId="2" type="noConversion"/>
  </si>
  <si>
    <t>A004380</t>
    <phoneticPr fontId="2" type="noConversion"/>
  </si>
  <si>
    <t>A004410</t>
    <phoneticPr fontId="2" type="noConversion"/>
  </si>
  <si>
    <t>A004430</t>
    <phoneticPr fontId="2" type="noConversion"/>
  </si>
  <si>
    <t>A004450</t>
    <phoneticPr fontId="2" type="noConversion"/>
  </si>
  <si>
    <t>A004490</t>
    <phoneticPr fontId="2" type="noConversion"/>
  </si>
  <si>
    <t>A004540</t>
    <phoneticPr fontId="2" type="noConversion"/>
  </si>
  <si>
    <t>A004560</t>
    <phoneticPr fontId="2" type="noConversion"/>
  </si>
  <si>
    <t>A004590</t>
    <phoneticPr fontId="2" type="noConversion"/>
  </si>
  <si>
    <t>A004690</t>
    <phoneticPr fontId="2" type="noConversion"/>
  </si>
  <si>
    <t>A004700</t>
    <phoneticPr fontId="2" type="noConversion"/>
  </si>
  <si>
    <t>A004710</t>
    <phoneticPr fontId="2" type="noConversion"/>
  </si>
  <si>
    <t>A004720</t>
    <phoneticPr fontId="2" type="noConversion"/>
  </si>
  <si>
    <t>A004740</t>
    <phoneticPr fontId="2" type="noConversion"/>
  </si>
  <si>
    <t>A004770</t>
    <phoneticPr fontId="2" type="noConversion"/>
  </si>
  <si>
    <t>A004780</t>
    <phoneticPr fontId="2" type="noConversion"/>
  </si>
  <si>
    <t>A004790</t>
    <phoneticPr fontId="2" type="noConversion"/>
  </si>
  <si>
    <t>A004830</t>
    <phoneticPr fontId="2" type="noConversion"/>
  </si>
  <si>
    <t>A004840</t>
    <phoneticPr fontId="2" type="noConversion"/>
  </si>
  <si>
    <t>A004870</t>
    <phoneticPr fontId="2" type="noConversion"/>
  </si>
  <si>
    <t>A004890</t>
    <phoneticPr fontId="2" type="noConversion"/>
  </si>
  <si>
    <t>A004910</t>
    <phoneticPr fontId="2" type="noConversion"/>
  </si>
  <si>
    <t>A004920</t>
    <phoneticPr fontId="2" type="noConversion"/>
  </si>
  <si>
    <t>A004960</t>
    <phoneticPr fontId="2" type="noConversion"/>
  </si>
  <si>
    <t>A004970</t>
    <phoneticPr fontId="2" type="noConversion"/>
  </si>
  <si>
    <t>A004980</t>
    <phoneticPr fontId="2" type="noConversion"/>
  </si>
  <si>
    <t>A004990</t>
    <phoneticPr fontId="2" type="noConversion"/>
  </si>
  <si>
    <t>A005030</t>
    <phoneticPr fontId="2" type="noConversion"/>
  </si>
  <si>
    <t>A005070</t>
    <phoneticPr fontId="2" type="noConversion"/>
  </si>
  <si>
    <t>A005090</t>
    <phoneticPr fontId="2" type="noConversion"/>
  </si>
  <si>
    <t>A005110</t>
    <phoneticPr fontId="2" type="noConversion"/>
  </si>
  <si>
    <t>A005160</t>
    <phoneticPr fontId="2" type="noConversion"/>
  </si>
  <si>
    <t>A005190</t>
    <phoneticPr fontId="2" type="noConversion"/>
  </si>
  <si>
    <t>A005250</t>
    <phoneticPr fontId="2" type="noConversion"/>
  </si>
  <si>
    <t>A005290</t>
    <phoneticPr fontId="2" type="noConversion"/>
  </si>
  <si>
    <t>A005320</t>
    <phoneticPr fontId="2" type="noConversion"/>
  </si>
  <si>
    <t>A005360</t>
    <phoneticPr fontId="2" type="noConversion"/>
  </si>
  <si>
    <t>A005390</t>
    <phoneticPr fontId="2" type="noConversion"/>
  </si>
  <si>
    <t>A005420</t>
    <phoneticPr fontId="2" type="noConversion"/>
  </si>
  <si>
    <t>A005430</t>
    <phoneticPr fontId="2" type="noConversion"/>
  </si>
  <si>
    <t>A005450</t>
    <phoneticPr fontId="2" type="noConversion"/>
  </si>
  <si>
    <t>A005500</t>
    <phoneticPr fontId="2" type="noConversion"/>
  </si>
  <si>
    <t>A005560</t>
    <phoneticPr fontId="2" type="noConversion"/>
  </si>
  <si>
    <t>A005610</t>
    <phoneticPr fontId="2" type="noConversion"/>
  </si>
  <si>
    <t>A005620</t>
    <phoneticPr fontId="2" type="noConversion"/>
  </si>
  <si>
    <t>A005670</t>
    <phoneticPr fontId="2" type="noConversion"/>
  </si>
  <si>
    <t>A005680</t>
    <phoneticPr fontId="2" type="noConversion"/>
  </si>
  <si>
    <t>A005690</t>
    <phoneticPr fontId="2" type="noConversion"/>
  </si>
  <si>
    <t>A005710</t>
    <phoneticPr fontId="2" type="noConversion"/>
  </si>
  <si>
    <t>A005720</t>
    <phoneticPr fontId="2" type="noConversion"/>
  </si>
  <si>
    <t>A005740</t>
    <phoneticPr fontId="2" type="noConversion"/>
  </si>
  <si>
    <t>A005750</t>
    <phoneticPr fontId="2" type="noConversion"/>
  </si>
  <si>
    <t>A005800</t>
    <phoneticPr fontId="2" type="noConversion"/>
  </si>
  <si>
    <t>A005810</t>
    <phoneticPr fontId="2" type="noConversion"/>
  </si>
  <si>
    <t>A005820</t>
    <phoneticPr fontId="2" type="noConversion"/>
  </si>
  <si>
    <t>A005830</t>
    <phoneticPr fontId="2" type="noConversion"/>
  </si>
  <si>
    <t>A005860</t>
    <phoneticPr fontId="2" type="noConversion"/>
  </si>
  <si>
    <t>A005870</t>
    <phoneticPr fontId="2" type="noConversion"/>
  </si>
  <si>
    <t>A005880</t>
    <phoneticPr fontId="2" type="noConversion"/>
  </si>
  <si>
    <t>A005900</t>
    <phoneticPr fontId="2" type="noConversion"/>
  </si>
  <si>
    <t>A005960</t>
    <phoneticPr fontId="2" type="noConversion"/>
  </si>
  <si>
    <t>A005980</t>
    <phoneticPr fontId="2" type="noConversion"/>
  </si>
  <si>
    <t>A006040</t>
    <phoneticPr fontId="2" type="noConversion"/>
  </si>
  <si>
    <t>A006050</t>
    <phoneticPr fontId="2" type="noConversion"/>
  </si>
  <si>
    <t>A006060</t>
    <phoneticPr fontId="2" type="noConversion"/>
  </si>
  <si>
    <t>A006090</t>
    <phoneticPr fontId="2" type="noConversion"/>
  </si>
  <si>
    <t>A006110</t>
    <phoneticPr fontId="2" type="noConversion"/>
  </si>
  <si>
    <t>A006120</t>
    <phoneticPr fontId="2" type="noConversion"/>
  </si>
  <si>
    <t>A006140</t>
    <phoneticPr fontId="2" type="noConversion"/>
  </si>
  <si>
    <t>A006200</t>
    <phoneticPr fontId="2" type="noConversion"/>
  </si>
  <si>
    <t>A006220</t>
    <phoneticPr fontId="2" type="noConversion"/>
  </si>
  <si>
    <t>A006340</t>
    <phoneticPr fontId="2" type="noConversion"/>
  </si>
  <si>
    <t>A006370</t>
    <phoneticPr fontId="2" type="noConversion"/>
  </si>
  <si>
    <t>A006380</t>
    <phoneticPr fontId="2" type="noConversion"/>
  </si>
  <si>
    <t>A006390</t>
    <phoneticPr fontId="2" type="noConversion"/>
  </si>
  <si>
    <t>A006440</t>
    <phoneticPr fontId="2" type="noConversion"/>
  </si>
  <si>
    <t>A006490</t>
    <phoneticPr fontId="2" type="noConversion"/>
  </si>
  <si>
    <t>A006570</t>
    <phoneticPr fontId="2" type="noConversion"/>
  </si>
  <si>
    <t>A006580</t>
    <phoneticPr fontId="2" type="noConversion"/>
  </si>
  <si>
    <t>A006660</t>
    <phoneticPr fontId="2" type="noConversion"/>
  </si>
  <si>
    <t>A006730</t>
    <phoneticPr fontId="2" type="noConversion"/>
  </si>
  <si>
    <t>A006740</t>
    <phoneticPr fontId="2" type="noConversion"/>
  </si>
  <si>
    <t>A006840</t>
    <phoneticPr fontId="2" type="noConversion"/>
  </si>
  <si>
    <t>A006890</t>
    <phoneticPr fontId="2" type="noConversion"/>
  </si>
  <si>
    <t>A006910</t>
    <phoneticPr fontId="2" type="noConversion"/>
  </si>
  <si>
    <t>A006920</t>
    <phoneticPr fontId="2" type="noConversion"/>
  </si>
  <si>
    <t>A006980</t>
    <phoneticPr fontId="2" type="noConversion"/>
  </si>
  <si>
    <t>A007110</t>
    <phoneticPr fontId="2" type="noConversion"/>
  </si>
  <si>
    <t>A007120</t>
    <phoneticPr fontId="2" type="noConversion"/>
  </si>
  <si>
    <t>A007160</t>
    <phoneticPr fontId="2" type="noConversion"/>
  </si>
  <si>
    <t>A007190</t>
    <phoneticPr fontId="2" type="noConversion"/>
  </si>
  <si>
    <t>A007210</t>
    <phoneticPr fontId="2" type="noConversion"/>
  </si>
  <si>
    <t>A007280</t>
    <phoneticPr fontId="2" type="noConversion"/>
  </si>
  <si>
    <t>A007310</t>
    <phoneticPr fontId="2" type="noConversion"/>
  </si>
  <si>
    <t>A007330</t>
    <phoneticPr fontId="2" type="noConversion"/>
  </si>
  <si>
    <t>A007340</t>
    <phoneticPr fontId="2" type="noConversion"/>
  </si>
  <si>
    <t>A007370</t>
    <phoneticPr fontId="2" type="noConversion"/>
  </si>
  <si>
    <t>A007390</t>
    <phoneticPr fontId="2" type="noConversion"/>
  </si>
  <si>
    <t>A007460</t>
    <phoneticPr fontId="2" type="noConversion"/>
  </si>
  <si>
    <t>A007480</t>
    <phoneticPr fontId="2" type="noConversion"/>
  </si>
  <si>
    <t>A007530</t>
    <phoneticPr fontId="2" type="noConversion"/>
  </si>
  <si>
    <t>A007540</t>
    <phoneticPr fontId="2" type="noConversion"/>
  </si>
  <si>
    <t>A007570</t>
    <phoneticPr fontId="2" type="noConversion"/>
  </si>
  <si>
    <t>A007590</t>
    <phoneticPr fontId="2" type="noConversion"/>
  </si>
  <si>
    <t>A007610</t>
    <phoneticPr fontId="2" type="noConversion"/>
  </si>
  <si>
    <t>A007630</t>
    <phoneticPr fontId="2" type="noConversion"/>
  </si>
  <si>
    <t>A007690</t>
    <phoneticPr fontId="2" type="noConversion"/>
  </si>
  <si>
    <t>A007700</t>
    <phoneticPr fontId="2" type="noConversion"/>
  </si>
  <si>
    <t>A007720</t>
    <phoneticPr fontId="2" type="noConversion"/>
  </si>
  <si>
    <t>A007770</t>
    <phoneticPr fontId="2" type="noConversion"/>
  </si>
  <si>
    <t>A007820</t>
    <phoneticPr fontId="2" type="noConversion"/>
  </si>
  <si>
    <t>A007860</t>
    <phoneticPr fontId="2" type="noConversion"/>
  </si>
  <si>
    <t>A007980</t>
    <phoneticPr fontId="2" type="noConversion"/>
  </si>
  <si>
    <t>A008000</t>
    <phoneticPr fontId="2" type="noConversion"/>
  </si>
  <si>
    <t>A008020</t>
    <phoneticPr fontId="2" type="noConversion"/>
  </si>
  <si>
    <t>A008040</t>
    <phoneticPr fontId="2" type="noConversion"/>
  </si>
  <si>
    <t>A008080</t>
    <phoneticPr fontId="2" type="noConversion"/>
  </si>
  <si>
    <t>A008110</t>
    <phoneticPr fontId="2" type="noConversion"/>
  </si>
  <si>
    <t>A008250</t>
    <phoneticPr fontId="2" type="noConversion"/>
  </si>
  <si>
    <t>A008260</t>
    <phoneticPr fontId="2" type="noConversion"/>
  </si>
  <si>
    <t>A008290</t>
    <phoneticPr fontId="2" type="noConversion"/>
  </si>
  <si>
    <t>A008350</t>
    <phoneticPr fontId="2" type="noConversion"/>
  </si>
  <si>
    <t>A008370</t>
    <phoneticPr fontId="2" type="noConversion"/>
  </si>
  <si>
    <t>A008420</t>
    <phoneticPr fontId="2" type="noConversion"/>
  </si>
  <si>
    <t>A008470</t>
    <phoneticPr fontId="2" type="noConversion"/>
  </si>
  <si>
    <t>A008490</t>
    <phoneticPr fontId="2" type="noConversion"/>
  </si>
  <si>
    <t>A008500</t>
    <phoneticPr fontId="2" type="noConversion"/>
  </si>
  <si>
    <t>A008560</t>
    <phoneticPr fontId="2" type="noConversion"/>
  </si>
  <si>
    <t>A008600</t>
    <phoneticPr fontId="2" type="noConversion"/>
  </si>
  <si>
    <t>A008700</t>
    <phoneticPr fontId="2" type="noConversion"/>
  </si>
  <si>
    <t>A008720</t>
    <phoneticPr fontId="2" type="noConversion"/>
  </si>
  <si>
    <t>A008730</t>
    <phoneticPr fontId="2" type="noConversion"/>
  </si>
  <si>
    <t>A008800</t>
    <phoneticPr fontId="2" type="noConversion"/>
  </si>
  <si>
    <t>A008830</t>
    <phoneticPr fontId="2" type="noConversion"/>
  </si>
  <si>
    <t>A008870</t>
    <phoneticPr fontId="2" type="noConversion"/>
  </si>
  <si>
    <t>A008900</t>
    <phoneticPr fontId="2" type="noConversion"/>
  </si>
  <si>
    <t>A008930</t>
    <phoneticPr fontId="2" type="noConversion"/>
  </si>
  <si>
    <t>A008970</t>
    <phoneticPr fontId="2" type="noConversion"/>
  </si>
  <si>
    <t>A009010</t>
    <phoneticPr fontId="2" type="noConversion"/>
  </si>
  <si>
    <t>A009070</t>
    <phoneticPr fontId="2" type="noConversion"/>
  </si>
  <si>
    <t>A009140</t>
    <phoneticPr fontId="2" type="noConversion"/>
  </si>
  <si>
    <t>A009160</t>
    <phoneticPr fontId="2" type="noConversion"/>
  </si>
  <si>
    <t>A009180</t>
    <phoneticPr fontId="2" type="noConversion"/>
  </si>
  <si>
    <t>A009190</t>
    <phoneticPr fontId="2" type="noConversion"/>
  </si>
  <si>
    <t>A009200</t>
    <phoneticPr fontId="2" type="noConversion"/>
  </si>
  <si>
    <t>A009240</t>
    <phoneticPr fontId="2" type="noConversion"/>
  </si>
  <si>
    <t>A009270</t>
    <phoneticPr fontId="2" type="noConversion"/>
  </si>
  <si>
    <t>A009280</t>
    <phoneticPr fontId="2" type="noConversion"/>
  </si>
  <si>
    <t>A009290</t>
    <phoneticPr fontId="2" type="noConversion"/>
  </si>
  <si>
    <t>A009300</t>
    <phoneticPr fontId="2" type="noConversion"/>
  </si>
  <si>
    <t>A009310</t>
    <phoneticPr fontId="2" type="noConversion"/>
  </si>
  <si>
    <t>A009320</t>
    <phoneticPr fontId="2" type="noConversion"/>
  </si>
  <si>
    <t>A009380</t>
    <phoneticPr fontId="2" type="noConversion"/>
  </si>
  <si>
    <t>A009410</t>
    <phoneticPr fontId="2" type="noConversion"/>
  </si>
  <si>
    <t>A009420</t>
    <phoneticPr fontId="2" type="noConversion"/>
  </si>
  <si>
    <t>A009440</t>
    <phoneticPr fontId="2" type="noConversion"/>
  </si>
  <si>
    <t>A009450</t>
    <phoneticPr fontId="2" type="noConversion"/>
  </si>
  <si>
    <t>A009460</t>
    <phoneticPr fontId="2" type="noConversion"/>
  </si>
  <si>
    <t>A009470</t>
    <phoneticPr fontId="2" type="noConversion"/>
  </si>
  <si>
    <t>A009580</t>
    <phoneticPr fontId="2" type="noConversion"/>
  </si>
  <si>
    <t>A009620</t>
    <phoneticPr fontId="2" type="noConversion"/>
  </si>
  <si>
    <t>A009680</t>
    <phoneticPr fontId="2" type="noConversion"/>
  </si>
  <si>
    <t>A009730</t>
    <phoneticPr fontId="2" type="noConversion"/>
  </si>
  <si>
    <t>A009770</t>
    <phoneticPr fontId="2" type="noConversion"/>
  </si>
  <si>
    <t>A009780</t>
    <phoneticPr fontId="2" type="noConversion"/>
  </si>
  <si>
    <t>A009810</t>
    <phoneticPr fontId="2" type="noConversion"/>
  </si>
  <si>
    <t>A009970</t>
    <phoneticPr fontId="2" type="noConversion"/>
  </si>
  <si>
    <t>A010040</t>
    <phoneticPr fontId="2" type="noConversion"/>
  </si>
  <si>
    <t>A010050</t>
    <phoneticPr fontId="2" type="noConversion"/>
  </si>
  <si>
    <t>A010100</t>
    <phoneticPr fontId="2" type="noConversion"/>
  </si>
  <si>
    <t>A010170</t>
    <phoneticPr fontId="2" type="noConversion"/>
  </si>
  <si>
    <t>A010240</t>
    <phoneticPr fontId="2" type="noConversion"/>
  </si>
  <si>
    <t>A010280</t>
    <phoneticPr fontId="2" type="noConversion"/>
  </si>
  <si>
    <t>A010420</t>
    <phoneticPr fontId="2" type="noConversion"/>
  </si>
  <si>
    <t>A010460</t>
    <phoneticPr fontId="2" type="noConversion"/>
  </si>
  <si>
    <t>A010470</t>
    <phoneticPr fontId="2" type="noConversion"/>
  </si>
  <si>
    <t>A010580</t>
    <phoneticPr fontId="2" type="noConversion"/>
  </si>
  <si>
    <t>A010600</t>
    <phoneticPr fontId="2" type="noConversion"/>
  </si>
  <si>
    <t>A010640</t>
    <phoneticPr fontId="2" type="noConversion"/>
  </si>
  <si>
    <t>A010660</t>
    <phoneticPr fontId="2" type="noConversion"/>
  </si>
  <si>
    <t>A010670</t>
    <phoneticPr fontId="2" type="noConversion"/>
  </si>
  <si>
    <t>A010690</t>
    <phoneticPr fontId="2" type="noConversion"/>
  </si>
  <si>
    <t>A010770</t>
    <phoneticPr fontId="2" type="noConversion"/>
  </si>
  <si>
    <t>A010780</t>
    <phoneticPr fontId="2" type="noConversion"/>
  </si>
  <si>
    <t>A010820</t>
    <phoneticPr fontId="2" type="noConversion"/>
  </si>
  <si>
    <t>A010960</t>
    <phoneticPr fontId="2" type="noConversion"/>
  </si>
  <si>
    <t>A011000</t>
    <phoneticPr fontId="2" type="noConversion"/>
  </si>
  <si>
    <t>A011040</t>
    <phoneticPr fontId="2" type="noConversion"/>
  </si>
  <si>
    <t>A011080</t>
    <phoneticPr fontId="2" type="noConversion"/>
  </si>
  <si>
    <t>A011090</t>
    <phoneticPr fontId="2" type="noConversion"/>
  </si>
  <si>
    <t>A011150</t>
    <phoneticPr fontId="2" type="noConversion"/>
  </si>
  <si>
    <t>A011160</t>
    <phoneticPr fontId="2" type="noConversion"/>
  </si>
  <si>
    <t>A011230</t>
    <phoneticPr fontId="2" type="noConversion"/>
  </si>
  <si>
    <t>A011280</t>
    <phoneticPr fontId="2" type="noConversion"/>
  </si>
  <si>
    <t>A011300</t>
    <phoneticPr fontId="2" type="noConversion"/>
  </si>
  <si>
    <t>A011320</t>
    <phoneticPr fontId="2" type="noConversion"/>
  </si>
  <si>
    <t>A011330</t>
    <phoneticPr fontId="2" type="noConversion"/>
  </si>
  <si>
    <t>A011370</t>
    <phoneticPr fontId="2" type="noConversion"/>
  </si>
  <si>
    <t>A011390</t>
    <phoneticPr fontId="2" type="noConversion"/>
  </si>
  <si>
    <t>A011420</t>
    <phoneticPr fontId="2" type="noConversion"/>
  </si>
  <si>
    <t>A011500</t>
    <phoneticPr fontId="2" type="noConversion"/>
  </si>
  <si>
    <t>A011560</t>
    <phoneticPr fontId="2" type="noConversion"/>
  </si>
  <si>
    <t>A011690</t>
    <phoneticPr fontId="2" type="noConversion"/>
  </si>
  <si>
    <t>A011700</t>
    <phoneticPr fontId="2" type="noConversion"/>
  </si>
  <si>
    <t>A011720</t>
    <phoneticPr fontId="2" type="noConversion"/>
  </si>
  <si>
    <t>A011810</t>
    <phoneticPr fontId="2" type="noConversion"/>
  </si>
  <si>
    <t>A011930</t>
    <phoneticPr fontId="2" type="noConversion"/>
  </si>
  <si>
    <t>A012030</t>
    <phoneticPr fontId="2" type="noConversion"/>
  </si>
  <si>
    <t>A012160</t>
    <phoneticPr fontId="2" type="noConversion"/>
  </si>
  <si>
    <t>A012170</t>
    <phoneticPr fontId="2" type="noConversion"/>
  </si>
  <si>
    <t>A012200</t>
    <phoneticPr fontId="2" type="noConversion"/>
  </si>
  <si>
    <t>A012280</t>
    <phoneticPr fontId="2" type="noConversion"/>
  </si>
  <si>
    <t>A012320</t>
    <phoneticPr fontId="2" type="noConversion"/>
  </si>
  <si>
    <t>A012340</t>
    <phoneticPr fontId="2" type="noConversion"/>
  </si>
  <si>
    <t>A012410</t>
    <phoneticPr fontId="2" type="noConversion"/>
  </si>
  <si>
    <t>A012510</t>
    <phoneticPr fontId="2" type="noConversion"/>
  </si>
  <si>
    <t>A012600</t>
    <phoneticPr fontId="2" type="noConversion"/>
  </si>
  <si>
    <t>A012610</t>
    <phoneticPr fontId="2" type="noConversion"/>
  </si>
  <si>
    <t>A012620</t>
    <phoneticPr fontId="2" type="noConversion"/>
  </si>
  <si>
    <t>A012650</t>
    <phoneticPr fontId="2" type="noConversion"/>
  </si>
  <si>
    <t>A012690</t>
    <phoneticPr fontId="2" type="noConversion"/>
  </si>
  <si>
    <t>A012700</t>
    <phoneticPr fontId="2" type="noConversion"/>
  </si>
  <si>
    <t>A012790</t>
    <phoneticPr fontId="2" type="noConversion"/>
  </si>
  <si>
    <t>A012800</t>
    <phoneticPr fontId="2" type="noConversion"/>
  </si>
  <si>
    <t>A012860</t>
    <phoneticPr fontId="2" type="noConversion"/>
  </si>
  <si>
    <t>A013000</t>
    <phoneticPr fontId="2" type="noConversion"/>
  </si>
  <si>
    <t>A013120</t>
    <phoneticPr fontId="2" type="noConversion"/>
  </si>
  <si>
    <t>A013340</t>
    <phoneticPr fontId="2" type="noConversion"/>
  </si>
  <si>
    <t>A013360</t>
    <phoneticPr fontId="2" type="noConversion"/>
  </si>
  <si>
    <t>A013450</t>
    <phoneticPr fontId="2" type="noConversion"/>
  </si>
  <si>
    <t>A013520</t>
    <phoneticPr fontId="2" type="noConversion"/>
  </si>
  <si>
    <t>A013580</t>
    <phoneticPr fontId="2" type="noConversion"/>
  </si>
  <si>
    <t>A013700</t>
    <phoneticPr fontId="2" type="noConversion"/>
  </si>
  <si>
    <t>A013720</t>
    <phoneticPr fontId="2" type="noConversion"/>
  </si>
  <si>
    <t>A013780</t>
    <phoneticPr fontId="2" type="noConversion"/>
  </si>
  <si>
    <t>A013810</t>
    <phoneticPr fontId="2" type="noConversion"/>
  </si>
  <si>
    <t>A013990</t>
    <phoneticPr fontId="2" type="noConversion"/>
  </si>
  <si>
    <t>A014100</t>
    <phoneticPr fontId="2" type="noConversion"/>
  </si>
  <si>
    <t>A014130</t>
    <phoneticPr fontId="2" type="noConversion"/>
  </si>
  <si>
    <t>A014160</t>
    <phoneticPr fontId="2" type="noConversion"/>
  </si>
  <si>
    <t>A014190</t>
    <phoneticPr fontId="2" type="noConversion"/>
  </si>
  <si>
    <t>A014200</t>
    <phoneticPr fontId="2" type="noConversion"/>
  </si>
  <si>
    <t>A014280</t>
    <phoneticPr fontId="2" type="noConversion"/>
  </si>
  <si>
    <t>A014300</t>
    <phoneticPr fontId="2" type="noConversion"/>
  </si>
  <si>
    <t>A014350</t>
    <phoneticPr fontId="2" type="noConversion"/>
  </si>
  <si>
    <t>A014440</t>
    <phoneticPr fontId="2" type="noConversion"/>
  </si>
  <si>
    <t>A014470</t>
    <phoneticPr fontId="2" type="noConversion"/>
  </si>
  <si>
    <t>A014530</t>
    <phoneticPr fontId="2" type="noConversion"/>
  </si>
  <si>
    <t>A014570</t>
    <phoneticPr fontId="2" type="noConversion"/>
  </si>
  <si>
    <t>A014580</t>
    <phoneticPr fontId="2" type="noConversion"/>
  </si>
  <si>
    <t>A014710</t>
    <phoneticPr fontId="2" type="noConversion"/>
  </si>
  <si>
    <t>A014820</t>
    <phoneticPr fontId="2" type="noConversion"/>
  </si>
  <si>
    <t>A014830</t>
    <phoneticPr fontId="2" type="noConversion"/>
  </si>
  <si>
    <t>A014910</t>
    <phoneticPr fontId="2" type="noConversion"/>
  </si>
  <si>
    <t>A014940</t>
    <phoneticPr fontId="2" type="noConversion"/>
  </si>
  <si>
    <t>A014970</t>
    <phoneticPr fontId="2" type="noConversion"/>
  </si>
  <si>
    <t>A014990</t>
    <phoneticPr fontId="2" type="noConversion"/>
  </si>
  <si>
    <t>A015020</t>
    <phoneticPr fontId="2" type="noConversion"/>
  </si>
  <si>
    <t>A015110</t>
    <phoneticPr fontId="2" type="noConversion"/>
  </si>
  <si>
    <t>A015230</t>
    <phoneticPr fontId="2" type="noConversion"/>
  </si>
  <si>
    <t>A015260</t>
    <phoneticPr fontId="2" type="noConversion"/>
  </si>
  <si>
    <t>A015350</t>
    <phoneticPr fontId="2" type="noConversion"/>
  </si>
  <si>
    <t>A015360</t>
    <phoneticPr fontId="2" type="noConversion"/>
  </si>
  <si>
    <t>A015540</t>
    <phoneticPr fontId="2" type="noConversion"/>
  </si>
  <si>
    <t>A015590</t>
    <phoneticPr fontId="2" type="noConversion"/>
  </si>
  <si>
    <t>A015710</t>
    <phoneticPr fontId="2" type="noConversion"/>
  </si>
  <si>
    <t>A015860</t>
    <phoneticPr fontId="2" type="noConversion"/>
  </si>
  <si>
    <t>A015890</t>
    <phoneticPr fontId="2" type="noConversion"/>
  </si>
  <si>
    <t>A016090</t>
    <phoneticPr fontId="2" type="noConversion"/>
  </si>
  <si>
    <t>A016100</t>
    <phoneticPr fontId="2" type="noConversion"/>
  </si>
  <si>
    <t>A016170</t>
    <phoneticPr fontId="2" type="noConversion"/>
  </si>
  <si>
    <t>A016250</t>
    <phoneticPr fontId="2" type="noConversion"/>
  </si>
  <si>
    <t>A016380</t>
    <phoneticPr fontId="2" type="noConversion"/>
  </si>
  <si>
    <t>A016420</t>
    <phoneticPr fontId="2" type="noConversion"/>
  </si>
  <si>
    <t>A016450</t>
    <phoneticPr fontId="2" type="noConversion"/>
  </si>
  <si>
    <t>A016570</t>
    <phoneticPr fontId="2" type="noConversion"/>
  </si>
  <si>
    <t>A016580</t>
    <phoneticPr fontId="2" type="noConversion"/>
  </si>
  <si>
    <t>A016590</t>
    <phoneticPr fontId="2" type="noConversion"/>
  </si>
  <si>
    <t>A016600</t>
    <phoneticPr fontId="2" type="noConversion"/>
  </si>
  <si>
    <t>A016610</t>
    <phoneticPr fontId="2" type="noConversion"/>
  </si>
  <si>
    <t>A016670</t>
    <phoneticPr fontId="2" type="noConversion"/>
  </si>
  <si>
    <t>A016710</t>
    <phoneticPr fontId="2" type="noConversion"/>
  </si>
  <si>
    <t>A016800</t>
    <phoneticPr fontId="2" type="noConversion"/>
  </si>
  <si>
    <t>A016880</t>
    <phoneticPr fontId="2" type="noConversion"/>
  </si>
  <si>
    <t>A016920</t>
    <phoneticPr fontId="2" type="noConversion"/>
  </si>
  <si>
    <t>A017000</t>
    <phoneticPr fontId="2" type="noConversion"/>
  </si>
  <si>
    <t>A017040</t>
    <phoneticPr fontId="2" type="noConversion"/>
  </si>
  <si>
    <t>A017180</t>
    <phoneticPr fontId="2" type="noConversion"/>
  </si>
  <si>
    <t>A017250</t>
    <phoneticPr fontId="2" type="noConversion"/>
  </si>
  <si>
    <t>A017370</t>
    <phoneticPr fontId="2" type="noConversion"/>
  </si>
  <si>
    <t>A017390</t>
    <phoneticPr fontId="2" type="noConversion"/>
  </si>
  <si>
    <t>A017480</t>
    <phoneticPr fontId="2" type="noConversion"/>
  </si>
  <si>
    <t>A017510</t>
    <phoneticPr fontId="2" type="noConversion"/>
  </si>
  <si>
    <t>A017650</t>
    <phoneticPr fontId="2" type="noConversion"/>
  </si>
  <si>
    <t>A017680</t>
    <phoneticPr fontId="2" type="noConversion"/>
  </si>
  <si>
    <t>A017800</t>
    <phoneticPr fontId="2" type="noConversion"/>
  </si>
  <si>
    <t>A017810</t>
    <phoneticPr fontId="2" type="noConversion"/>
  </si>
  <si>
    <t>A017890</t>
    <phoneticPr fontId="2" type="noConversion"/>
  </si>
  <si>
    <t>A017900</t>
    <phoneticPr fontId="2" type="noConversion"/>
  </si>
  <si>
    <t>A017940</t>
    <phoneticPr fontId="2" type="noConversion"/>
  </si>
  <si>
    <t>A018000</t>
    <phoneticPr fontId="2" type="noConversion"/>
  </si>
  <si>
    <t>A018120</t>
    <phoneticPr fontId="2" type="noConversion"/>
  </si>
  <si>
    <t>A018290</t>
    <phoneticPr fontId="2" type="noConversion"/>
  </si>
  <si>
    <t>A018310</t>
    <phoneticPr fontId="2" type="noConversion"/>
  </si>
  <si>
    <t>A018470</t>
    <phoneticPr fontId="2" type="noConversion"/>
  </si>
  <si>
    <t>A018500</t>
    <phoneticPr fontId="2" type="noConversion"/>
  </si>
  <si>
    <t>A018620</t>
    <phoneticPr fontId="2" type="noConversion"/>
  </si>
  <si>
    <t>A018670</t>
    <phoneticPr fontId="2" type="noConversion"/>
  </si>
  <si>
    <t>A018680</t>
    <phoneticPr fontId="2" type="noConversion"/>
  </si>
  <si>
    <t>A018700</t>
    <phoneticPr fontId="2" type="noConversion"/>
  </si>
  <si>
    <t>A018880</t>
    <phoneticPr fontId="2" type="noConversion"/>
  </si>
  <si>
    <t>A019010</t>
    <phoneticPr fontId="2" type="noConversion"/>
  </si>
  <si>
    <t>A019170</t>
    <phoneticPr fontId="2" type="noConversion"/>
  </si>
  <si>
    <t>A019180</t>
    <phoneticPr fontId="2" type="noConversion"/>
  </si>
  <si>
    <t>A019210</t>
    <phoneticPr fontId="2" type="noConversion"/>
  </si>
  <si>
    <t>A019300</t>
    <phoneticPr fontId="2" type="noConversion"/>
  </si>
  <si>
    <t>A019440</t>
    <phoneticPr fontId="2" type="noConversion"/>
  </si>
  <si>
    <t>A019490</t>
    <phoneticPr fontId="2" type="noConversion"/>
  </si>
  <si>
    <t>A019540</t>
    <phoneticPr fontId="2" type="noConversion"/>
  </si>
  <si>
    <t>A019550</t>
    <phoneticPr fontId="2" type="noConversion"/>
  </si>
  <si>
    <t>A019570</t>
    <phoneticPr fontId="2" type="noConversion"/>
  </si>
  <si>
    <t>A019590</t>
    <phoneticPr fontId="2" type="noConversion"/>
  </si>
  <si>
    <t>A019660</t>
    <phoneticPr fontId="2" type="noConversion"/>
  </si>
  <si>
    <t>A019770</t>
    <phoneticPr fontId="2" type="noConversion"/>
  </si>
  <si>
    <t>A019990</t>
    <phoneticPr fontId="2" type="noConversion"/>
  </si>
  <si>
    <t>A020120</t>
    <phoneticPr fontId="2" type="noConversion"/>
  </si>
  <si>
    <t>A020150</t>
    <phoneticPr fontId="2" type="noConversion"/>
  </si>
  <si>
    <t>A020180</t>
    <phoneticPr fontId="2" type="noConversion"/>
  </si>
  <si>
    <t>A020400</t>
    <phoneticPr fontId="2" type="noConversion"/>
  </si>
  <si>
    <t>A020710</t>
    <phoneticPr fontId="2" type="noConversion"/>
  </si>
  <si>
    <t>A021040</t>
    <phoneticPr fontId="2" type="noConversion"/>
  </si>
  <si>
    <t>A021050</t>
    <phoneticPr fontId="2" type="noConversion"/>
  </si>
  <si>
    <t>A021080</t>
    <phoneticPr fontId="2" type="noConversion"/>
  </si>
  <si>
    <t>A021320</t>
    <phoneticPr fontId="2" type="noConversion"/>
  </si>
  <si>
    <t>A021650</t>
    <phoneticPr fontId="2" type="noConversion"/>
  </si>
  <si>
    <t>A021820</t>
    <phoneticPr fontId="2" type="noConversion"/>
  </si>
  <si>
    <t>A021880</t>
    <phoneticPr fontId="2" type="noConversion"/>
  </si>
  <si>
    <t>A021960</t>
    <phoneticPr fontId="2" type="noConversion"/>
  </si>
  <si>
    <t>A022100</t>
    <phoneticPr fontId="2" type="noConversion"/>
  </si>
  <si>
    <t>A022220</t>
    <phoneticPr fontId="2" type="noConversion"/>
  </si>
  <si>
    <t>A023000</t>
    <phoneticPr fontId="2" type="noConversion"/>
  </si>
  <si>
    <t>A023150</t>
    <phoneticPr fontId="2" type="noConversion"/>
  </si>
  <si>
    <t>A023350</t>
    <phoneticPr fontId="2" type="noConversion"/>
  </si>
  <si>
    <t>A023410</t>
    <phoneticPr fontId="2" type="noConversion"/>
  </si>
  <si>
    <t>A023430</t>
    <phoneticPr fontId="2" type="noConversion"/>
  </si>
  <si>
    <t>A023440</t>
    <phoneticPr fontId="2" type="noConversion"/>
  </si>
  <si>
    <t>A023450</t>
    <phoneticPr fontId="2" type="noConversion"/>
  </si>
  <si>
    <t>A023460</t>
    <phoneticPr fontId="2" type="noConversion"/>
  </si>
  <si>
    <t>A023590</t>
    <phoneticPr fontId="2" type="noConversion"/>
  </si>
  <si>
    <t>A023600</t>
    <phoneticPr fontId="2" type="noConversion"/>
  </si>
  <si>
    <t>A023760</t>
    <phoneticPr fontId="2" type="noConversion"/>
  </si>
  <si>
    <t>A023770</t>
    <phoneticPr fontId="2" type="noConversion"/>
  </si>
  <si>
    <t>A023790</t>
    <phoneticPr fontId="2" type="noConversion"/>
  </si>
  <si>
    <t>A023800</t>
    <phoneticPr fontId="2" type="noConversion"/>
  </si>
  <si>
    <t>A023810</t>
    <phoneticPr fontId="2" type="noConversion"/>
  </si>
  <si>
    <t>A023890</t>
    <phoneticPr fontId="2" type="noConversion"/>
  </si>
  <si>
    <t>A023900</t>
    <phoneticPr fontId="2" type="noConversion"/>
  </si>
  <si>
    <t>A023910</t>
    <phoneticPr fontId="2" type="noConversion"/>
  </si>
  <si>
    <t>A023960</t>
    <phoneticPr fontId="2" type="noConversion"/>
  </si>
  <si>
    <t>A024060</t>
    <phoneticPr fontId="2" type="noConversion"/>
  </si>
  <si>
    <t>A024070</t>
    <phoneticPr fontId="2" type="noConversion"/>
  </si>
  <si>
    <t>A024090</t>
    <phoneticPr fontId="2" type="noConversion"/>
  </si>
  <si>
    <t>A024120</t>
    <phoneticPr fontId="2" type="noConversion"/>
  </si>
  <si>
    <t>A024660</t>
    <phoneticPr fontId="2" type="noConversion"/>
  </si>
  <si>
    <t>A024720</t>
    <phoneticPr fontId="2" type="noConversion"/>
  </si>
  <si>
    <t>A024740</t>
    <phoneticPr fontId="2" type="noConversion"/>
  </si>
  <si>
    <t>A024800</t>
    <phoneticPr fontId="2" type="noConversion"/>
  </si>
  <si>
    <t>A024810</t>
    <phoneticPr fontId="2" type="noConversion"/>
  </si>
  <si>
    <t>A024830</t>
    <phoneticPr fontId="2" type="noConversion"/>
  </si>
  <si>
    <t>A024840</t>
    <phoneticPr fontId="2" type="noConversion"/>
  </si>
  <si>
    <t>A024850</t>
    <phoneticPr fontId="2" type="noConversion"/>
  </si>
  <si>
    <t>A024880</t>
    <phoneticPr fontId="2" type="noConversion"/>
  </si>
  <si>
    <t>A024890</t>
    <phoneticPr fontId="2" type="noConversion"/>
  </si>
  <si>
    <t>A024900</t>
    <phoneticPr fontId="2" type="noConversion"/>
  </si>
  <si>
    <t>A024910</t>
    <phoneticPr fontId="2" type="noConversion"/>
  </si>
  <si>
    <t>A024940</t>
    <phoneticPr fontId="2" type="noConversion"/>
  </si>
  <si>
    <t>A024950</t>
    <phoneticPr fontId="2" type="noConversion"/>
  </si>
  <si>
    <t>A025000</t>
    <phoneticPr fontId="2" type="noConversion"/>
  </si>
  <si>
    <t>A025270</t>
    <phoneticPr fontId="2" type="noConversion"/>
  </si>
  <si>
    <t>A025320</t>
    <phoneticPr fontId="2" type="noConversion"/>
  </si>
  <si>
    <t>A025440</t>
    <phoneticPr fontId="2" type="noConversion"/>
  </si>
  <si>
    <t>A025530</t>
    <phoneticPr fontId="2" type="noConversion"/>
  </si>
  <si>
    <t>A025540</t>
    <phoneticPr fontId="2" type="noConversion"/>
  </si>
  <si>
    <t>A025550</t>
    <phoneticPr fontId="2" type="noConversion"/>
  </si>
  <si>
    <t>A025560</t>
    <phoneticPr fontId="2" type="noConversion"/>
  </si>
  <si>
    <t>A025620</t>
    <phoneticPr fontId="2" type="noConversion"/>
  </si>
  <si>
    <t>A025750</t>
    <phoneticPr fontId="2" type="noConversion"/>
  </si>
  <si>
    <t>A025770</t>
    <phoneticPr fontId="2" type="noConversion"/>
  </si>
  <si>
    <t>A025820</t>
    <phoneticPr fontId="2" type="noConversion"/>
  </si>
  <si>
    <t>A025850</t>
    <phoneticPr fontId="2" type="noConversion"/>
  </si>
  <si>
    <t>A025860</t>
    <phoneticPr fontId="2" type="noConversion"/>
  </si>
  <si>
    <t>A025870</t>
    <phoneticPr fontId="2" type="noConversion"/>
  </si>
  <si>
    <t>A025880</t>
    <phoneticPr fontId="2" type="noConversion"/>
  </si>
  <si>
    <t>A025890</t>
    <phoneticPr fontId="2" type="noConversion"/>
  </si>
  <si>
    <t>A025900</t>
    <phoneticPr fontId="2" type="noConversion"/>
  </si>
  <si>
    <t>A025920</t>
    <phoneticPr fontId="2" type="noConversion"/>
  </si>
  <si>
    <t>A025950</t>
    <phoneticPr fontId="2" type="noConversion"/>
  </si>
  <si>
    <t>A025980</t>
    <phoneticPr fontId="2" type="noConversion"/>
  </si>
  <si>
    <t>A026150</t>
    <phoneticPr fontId="2" type="noConversion"/>
  </si>
  <si>
    <t>A026180</t>
    <phoneticPr fontId="2" type="noConversion"/>
  </si>
  <si>
    <t>A026250</t>
    <phoneticPr fontId="2" type="noConversion"/>
  </si>
  <si>
    <t>A026260</t>
    <phoneticPr fontId="2" type="noConversion"/>
  </si>
  <si>
    <t>A026870</t>
    <phoneticPr fontId="2" type="noConversion"/>
  </si>
  <si>
    <t>A026890</t>
    <phoneticPr fontId="2" type="noConversion"/>
  </si>
  <si>
    <t>A026910</t>
    <phoneticPr fontId="2" type="noConversion"/>
  </si>
  <si>
    <t>A026940</t>
    <phoneticPr fontId="2" type="noConversion"/>
  </si>
  <si>
    <t>A026960</t>
    <phoneticPr fontId="2" type="noConversion"/>
  </si>
  <si>
    <t>A027040</t>
    <phoneticPr fontId="2" type="noConversion"/>
  </si>
  <si>
    <t>A027050</t>
    <phoneticPr fontId="2" type="noConversion"/>
  </si>
  <si>
    <t>A027390</t>
    <phoneticPr fontId="2" type="noConversion"/>
  </si>
  <si>
    <t>A027580</t>
    <phoneticPr fontId="2" type="noConversion"/>
  </si>
  <si>
    <t>A027710</t>
    <phoneticPr fontId="2" type="noConversion"/>
  </si>
  <si>
    <t>A027740</t>
    <phoneticPr fontId="2" type="noConversion"/>
  </si>
  <si>
    <t>A027830</t>
    <phoneticPr fontId="2" type="noConversion"/>
  </si>
  <si>
    <t>A027970</t>
    <phoneticPr fontId="2" type="noConversion"/>
  </si>
  <si>
    <t>A028040</t>
    <phoneticPr fontId="2" type="noConversion"/>
  </si>
  <si>
    <t>A028080</t>
    <phoneticPr fontId="2" type="noConversion"/>
  </si>
  <si>
    <t>A028090</t>
    <phoneticPr fontId="2" type="noConversion"/>
  </si>
  <si>
    <t>A028100</t>
    <phoneticPr fontId="2" type="noConversion"/>
  </si>
  <si>
    <t>A028300</t>
    <phoneticPr fontId="2" type="noConversion"/>
  </si>
  <si>
    <t>A029480</t>
    <phoneticPr fontId="2" type="noConversion"/>
  </si>
  <si>
    <t>A029530</t>
    <phoneticPr fontId="2" type="noConversion"/>
  </si>
  <si>
    <t>A029960</t>
    <phoneticPr fontId="2" type="noConversion"/>
  </si>
  <si>
    <t>A030190</t>
    <phoneticPr fontId="2" type="noConversion"/>
  </si>
  <si>
    <t>A030210</t>
    <phoneticPr fontId="2" type="noConversion"/>
  </si>
  <si>
    <t>A030270</t>
    <phoneticPr fontId="2" type="noConversion"/>
  </si>
  <si>
    <t>A030350</t>
    <phoneticPr fontId="2" type="noConversion"/>
  </si>
  <si>
    <t>A030610</t>
    <phoneticPr fontId="2" type="noConversion"/>
  </si>
  <si>
    <t>A030720</t>
    <phoneticPr fontId="2" type="noConversion"/>
  </si>
  <si>
    <t>A030790</t>
    <phoneticPr fontId="2" type="noConversion"/>
  </si>
  <si>
    <t>A030960</t>
    <phoneticPr fontId="2" type="noConversion"/>
  </si>
  <si>
    <t>A031310</t>
    <phoneticPr fontId="2" type="noConversion"/>
  </si>
  <si>
    <t>A031330</t>
    <phoneticPr fontId="2" type="noConversion"/>
  </si>
  <si>
    <t>A031390</t>
    <phoneticPr fontId="2" type="noConversion"/>
  </si>
  <si>
    <t>A031510</t>
    <phoneticPr fontId="2" type="noConversion"/>
  </si>
  <si>
    <t>A031820</t>
    <phoneticPr fontId="2" type="noConversion"/>
  </si>
  <si>
    <t>A031860</t>
    <phoneticPr fontId="2" type="noConversion"/>
  </si>
  <si>
    <t>A031920</t>
    <phoneticPr fontId="2" type="noConversion"/>
  </si>
  <si>
    <t>A031980</t>
    <phoneticPr fontId="2" type="noConversion"/>
  </si>
  <si>
    <t>A032040</t>
    <phoneticPr fontId="2" type="noConversion"/>
  </si>
  <si>
    <t>A032080</t>
    <phoneticPr fontId="2" type="noConversion"/>
  </si>
  <si>
    <t>A032190</t>
    <phoneticPr fontId="2" type="noConversion"/>
  </si>
  <si>
    <t>A032280</t>
    <phoneticPr fontId="2" type="noConversion"/>
  </si>
  <si>
    <t>A032350</t>
    <phoneticPr fontId="2" type="noConversion"/>
  </si>
  <si>
    <t>A032420</t>
    <phoneticPr fontId="2" type="noConversion"/>
  </si>
  <si>
    <t>A032500</t>
    <phoneticPr fontId="2" type="noConversion"/>
  </si>
  <si>
    <t>A032540</t>
    <phoneticPr fontId="2" type="noConversion"/>
  </si>
  <si>
    <t>A032560</t>
    <phoneticPr fontId="2" type="noConversion"/>
  </si>
  <si>
    <t>A032580</t>
    <phoneticPr fontId="2" type="noConversion"/>
  </si>
  <si>
    <t>A032620</t>
    <phoneticPr fontId="2" type="noConversion"/>
  </si>
  <si>
    <t>A032680</t>
    <phoneticPr fontId="2" type="noConversion"/>
  </si>
  <si>
    <t>A032750</t>
    <phoneticPr fontId="2" type="noConversion"/>
  </si>
  <si>
    <t>A032790</t>
    <phoneticPr fontId="2" type="noConversion"/>
  </si>
  <si>
    <t>A032800</t>
    <phoneticPr fontId="2" type="noConversion"/>
  </si>
  <si>
    <t>A032820</t>
    <phoneticPr fontId="2" type="noConversion"/>
  </si>
  <si>
    <t>A032850</t>
    <phoneticPr fontId="2" type="noConversion"/>
  </si>
  <si>
    <t>A032860</t>
    <phoneticPr fontId="2" type="noConversion"/>
  </si>
  <si>
    <t>A032940</t>
    <phoneticPr fontId="2" type="noConversion"/>
  </si>
  <si>
    <t>A032960</t>
    <phoneticPr fontId="2" type="noConversion"/>
  </si>
  <si>
    <t>A032980</t>
    <phoneticPr fontId="2" type="noConversion"/>
  </si>
  <si>
    <t>A033050</t>
    <phoneticPr fontId="2" type="noConversion"/>
  </si>
  <si>
    <t>A033100</t>
    <phoneticPr fontId="2" type="noConversion"/>
  </si>
  <si>
    <t>A033110</t>
    <phoneticPr fontId="2" type="noConversion"/>
  </si>
  <si>
    <t>A033130</t>
    <phoneticPr fontId="2" type="noConversion"/>
  </si>
  <si>
    <t>A033160</t>
    <phoneticPr fontId="2" type="noConversion"/>
  </si>
  <si>
    <t>A033170</t>
    <phoneticPr fontId="2" type="noConversion"/>
  </si>
  <si>
    <t>A033180</t>
    <phoneticPr fontId="2" type="noConversion"/>
  </si>
  <si>
    <t>A033200</t>
    <phoneticPr fontId="2" type="noConversion"/>
  </si>
  <si>
    <t>A033230</t>
    <phoneticPr fontId="2" type="noConversion"/>
  </si>
  <si>
    <t>A033240</t>
    <phoneticPr fontId="2" type="noConversion"/>
  </si>
  <si>
    <t>A033250</t>
    <phoneticPr fontId="2" type="noConversion"/>
  </si>
  <si>
    <t>A033270</t>
    <phoneticPr fontId="2" type="noConversion"/>
  </si>
  <si>
    <t>A033290</t>
    <phoneticPr fontId="2" type="noConversion"/>
  </si>
  <si>
    <t>A033310</t>
    <phoneticPr fontId="2" type="noConversion"/>
  </si>
  <si>
    <t>A033320</t>
    <phoneticPr fontId="2" type="noConversion"/>
  </si>
  <si>
    <t>A033340</t>
    <phoneticPr fontId="2" type="noConversion"/>
  </si>
  <si>
    <t>A033430</t>
    <phoneticPr fontId="2" type="noConversion"/>
  </si>
  <si>
    <t>A033500</t>
    <phoneticPr fontId="2" type="noConversion"/>
  </si>
  <si>
    <t>A033530</t>
    <phoneticPr fontId="2" type="noConversion"/>
  </si>
  <si>
    <t>A033540</t>
    <phoneticPr fontId="2" type="noConversion"/>
  </si>
  <si>
    <t>A033550</t>
    <phoneticPr fontId="2" type="noConversion"/>
  </si>
  <si>
    <t>A033560</t>
    <phoneticPr fontId="2" type="noConversion"/>
  </si>
  <si>
    <t>A033600</t>
    <phoneticPr fontId="2" type="noConversion"/>
  </si>
  <si>
    <t>A033660</t>
    <phoneticPr fontId="2" type="noConversion"/>
  </si>
  <si>
    <t>A033790</t>
    <phoneticPr fontId="2" type="noConversion"/>
  </si>
  <si>
    <t>A033830</t>
    <phoneticPr fontId="2" type="noConversion"/>
  </si>
  <si>
    <t>A033920</t>
    <phoneticPr fontId="2" type="noConversion"/>
  </si>
  <si>
    <t>A034010</t>
    <phoneticPr fontId="2" type="noConversion"/>
  </si>
  <si>
    <t>A034300</t>
    <phoneticPr fontId="2" type="noConversion"/>
  </si>
  <si>
    <t>A034310</t>
    <phoneticPr fontId="2" type="noConversion"/>
  </si>
  <si>
    <t>A034590</t>
    <phoneticPr fontId="2" type="noConversion"/>
  </si>
  <si>
    <t>A034810</t>
    <phoneticPr fontId="2" type="noConversion"/>
  </si>
  <si>
    <t>A034830</t>
    <phoneticPr fontId="2" type="noConversion"/>
  </si>
  <si>
    <t>A034940</t>
    <phoneticPr fontId="2" type="noConversion"/>
  </si>
  <si>
    <t>A034950</t>
    <phoneticPr fontId="2" type="noConversion"/>
  </si>
  <si>
    <t>A035000</t>
    <phoneticPr fontId="2" type="noConversion"/>
  </si>
  <si>
    <t>A035080</t>
    <phoneticPr fontId="2" type="noConversion"/>
  </si>
  <si>
    <t>A035150</t>
    <phoneticPr fontId="2" type="noConversion"/>
  </si>
  <si>
    <t>A035200</t>
    <phoneticPr fontId="2" type="noConversion"/>
  </si>
  <si>
    <t>A035210</t>
    <phoneticPr fontId="2" type="noConversion"/>
  </si>
  <si>
    <t>A035290</t>
    <phoneticPr fontId="2" type="noConversion"/>
  </si>
  <si>
    <t>A035450</t>
    <phoneticPr fontId="2" type="noConversion"/>
  </si>
  <si>
    <t>A035460</t>
    <phoneticPr fontId="2" type="noConversion"/>
  </si>
  <si>
    <t>A035480</t>
    <phoneticPr fontId="2" type="noConversion"/>
  </si>
  <si>
    <t>A035510</t>
    <phoneticPr fontId="2" type="noConversion"/>
  </si>
  <si>
    <t>A035610</t>
    <phoneticPr fontId="2" type="noConversion"/>
  </si>
  <si>
    <t>A035620</t>
    <phoneticPr fontId="2" type="noConversion"/>
  </si>
  <si>
    <t>A035810</t>
    <phoneticPr fontId="2" type="noConversion"/>
  </si>
  <si>
    <t>A035890</t>
    <phoneticPr fontId="2" type="noConversion"/>
  </si>
  <si>
    <t>A035900</t>
    <phoneticPr fontId="2" type="noConversion"/>
  </si>
  <si>
    <t>A036010</t>
    <phoneticPr fontId="2" type="noConversion"/>
  </si>
  <si>
    <t>A036030</t>
    <phoneticPr fontId="2" type="noConversion"/>
  </si>
  <si>
    <t>A036090</t>
    <phoneticPr fontId="2" type="noConversion"/>
  </si>
  <si>
    <t>A036120</t>
    <phoneticPr fontId="2" type="noConversion"/>
  </si>
  <si>
    <t>A036170</t>
    <phoneticPr fontId="2" type="noConversion"/>
  </si>
  <si>
    <t>A036180</t>
    <phoneticPr fontId="2" type="noConversion"/>
  </si>
  <si>
    <t>A036190</t>
    <phoneticPr fontId="2" type="noConversion"/>
  </si>
  <si>
    <t>A036200</t>
    <phoneticPr fontId="2" type="noConversion"/>
  </si>
  <si>
    <t>A036210</t>
    <phoneticPr fontId="2" type="noConversion"/>
  </si>
  <si>
    <t>A036220</t>
    <phoneticPr fontId="2" type="noConversion"/>
  </si>
  <si>
    <t>A036260</t>
    <phoneticPr fontId="2" type="noConversion"/>
  </si>
  <si>
    <t>A036420</t>
    <phoneticPr fontId="2" type="noConversion"/>
  </si>
  <si>
    <t>A036480</t>
    <phoneticPr fontId="2" type="noConversion"/>
  </si>
  <si>
    <t>A036500</t>
    <phoneticPr fontId="2" type="noConversion"/>
  </si>
  <si>
    <t>A036530</t>
    <phoneticPr fontId="2" type="noConversion"/>
  </si>
  <si>
    <t>A036540</t>
    <phoneticPr fontId="2" type="noConversion"/>
  </si>
  <si>
    <t>A036560</t>
    <phoneticPr fontId="2" type="noConversion"/>
  </si>
  <si>
    <t>A036570</t>
    <phoneticPr fontId="2" type="noConversion"/>
  </si>
  <si>
    <t>A036580</t>
    <phoneticPr fontId="2" type="noConversion"/>
  </si>
  <si>
    <t>A036620</t>
    <phoneticPr fontId="2" type="noConversion"/>
  </si>
  <si>
    <t>A036630</t>
    <phoneticPr fontId="2" type="noConversion"/>
  </si>
  <si>
    <t>A036640</t>
    <phoneticPr fontId="2" type="noConversion"/>
  </si>
  <si>
    <t>A036670</t>
    <phoneticPr fontId="2" type="noConversion"/>
  </si>
  <si>
    <t>A036690</t>
    <phoneticPr fontId="2" type="noConversion"/>
  </si>
  <si>
    <t>A036800</t>
    <phoneticPr fontId="2" type="noConversion"/>
  </si>
  <si>
    <t>A036810</t>
    <phoneticPr fontId="2" type="noConversion"/>
  </si>
  <si>
    <t>A036890</t>
    <phoneticPr fontId="2" type="noConversion"/>
  </si>
  <si>
    <t>A036920</t>
    <phoneticPr fontId="2" type="noConversion"/>
  </si>
  <si>
    <t>A036930</t>
    <phoneticPr fontId="2" type="noConversion"/>
  </si>
  <si>
    <t>A037070</t>
    <phoneticPr fontId="2" type="noConversion"/>
  </si>
  <si>
    <t>A037230</t>
    <phoneticPr fontId="2" type="noConversion"/>
  </si>
  <si>
    <t>A037270</t>
    <phoneticPr fontId="2" type="noConversion"/>
  </si>
  <si>
    <t>A037330</t>
    <phoneticPr fontId="2" type="noConversion"/>
  </si>
  <si>
    <t>A037340</t>
    <phoneticPr fontId="2" type="noConversion"/>
  </si>
  <si>
    <t>A037350</t>
    <phoneticPr fontId="2" type="noConversion"/>
  </si>
  <si>
    <t>A037370</t>
    <phoneticPr fontId="2" type="noConversion"/>
  </si>
  <si>
    <t>A037400</t>
    <phoneticPr fontId="2" type="noConversion"/>
  </si>
  <si>
    <t>A037440</t>
    <phoneticPr fontId="2" type="noConversion"/>
  </si>
  <si>
    <t>A037460</t>
    <phoneticPr fontId="2" type="noConversion"/>
  </si>
  <si>
    <t>A037630</t>
    <phoneticPr fontId="2" type="noConversion"/>
  </si>
  <si>
    <t>A037710</t>
    <phoneticPr fontId="2" type="noConversion"/>
  </si>
  <si>
    <t>A037760</t>
    <phoneticPr fontId="2" type="noConversion"/>
  </si>
  <si>
    <t>A037950</t>
    <phoneticPr fontId="2" type="noConversion"/>
  </si>
  <si>
    <t>A038010</t>
    <phoneticPr fontId="2" type="noConversion"/>
  </si>
  <si>
    <t>A038060</t>
    <phoneticPr fontId="2" type="noConversion"/>
  </si>
  <si>
    <t>A038070</t>
    <phoneticPr fontId="2" type="noConversion"/>
  </si>
  <si>
    <t>A038110</t>
    <phoneticPr fontId="2" type="noConversion"/>
  </si>
  <si>
    <t>A038120</t>
    <phoneticPr fontId="2" type="noConversion"/>
  </si>
  <si>
    <t>A038290</t>
    <phoneticPr fontId="2" type="noConversion"/>
  </si>
  <si>
    <t>A038340</t>
    <phoneticPr fontId="2" type="noConversion"/>
  </si>
  <si>
    <t>A038390</t>
    <phoneticPr fontId="2" type="noConversion"/>
  </si>
  <si>
    <t>A038460</t>
    <phoneticPr fontId="2" type="noConversion"/>
  </si>
  <si>
    <t>A038500</t>
    <phoneticPr fontId="2" type="noConversion"/>
  </si>
  <si>
    <t>A038530</t>
    <phoneticPr fontId="2" type="noConversion"/>
  </si>
  <si>
    <t>A038540</t>
    <phoneticPr fontId="2" type="noConversion"/>
  </si>
  <si>
    <t>A038620</t>
    <phoneticPr fontId="2" type="noConversion"/>
  </si>
  <si>
    <t>A038680</t>
    <phoneticPr fontId="2" type="noConversion"/>
  </si>
  <si>
    <t>A038720</t>
    <phoneticPr fontId="2" type="noConversion"/>
  </si>
  <si>
    <t>A038870</t>
    <phoneticPr fontId="2" type="noConversion"/>
  </si>
  <si>
    <t>A038880</t>
    <phoneticPr fontId="2" type="noConversion"/>
  </si>
  <si>
    <t>A038950</t>
    <phoneticPr fontId="2" type="noConversion"/>
  </si>
  <si>
    <t>A038990</t>
    <phoneticPr fontId="2" type="noConversion"/>
  </si>
  <si>
    <t>A039010</t>
    <phoneticPr fontId="2" type="noConversion"/>
  </si>
  <si>
    <t>A039020</t>
    <phoneticPr fontId="2" type="noConversion"/>
  </si>
  <si>
    <t>A039030</t>
    <phoneticPr fontId="2" type="noConversion"/>
  </si>
  <si>
    <t>A039200</t>
    <phoneticPr fontId="2" type="noConversion"/>
  </si>
  <si>
    <t>A039230</t>
    <phoneticPr fontId="2" type="noConversion"/>
  </si>
  <si>
    <t>A039240</t>
    <phoneticPr fontId="2" type="noConversion"/>
  </si>
  <si>
    <t>A039310</t>
    <phoneticPr fontId="2" type="noConversion"/>
  </si>
  <si>
    <t>A039340</t>
    <phoneticPr fontId="2" type="noConversion"/>
  </si>
  <si>
    <t>A039420</t>
    <phoneticPr fontId="2" type="noConversion"/>
  </si>
  <si>
    <t>A039440</t>
    <phoneticPr fontId="2" type="noConversion"/>
  </si>
  <si>
    <t>A039530</t>
    <phoneticPr fontId="2" type="noConversion"/>
  </si>
  <si>
    <t>A039560</t>
    <phoneticPr fontId="2" type="noConversion"/>
  </si>
  <si>
    <t>A039610</t>
    <phoneticPr fontId="2" type="noConversion"/>
  </si>
  <si>
    <t>A039670</t>
    <phoneticPr fontId="2" type="noConversion"/>
  </si>
  <si>
    <t>A039740</t>
    <phoneticPr fontId="2" type="noConversion"/>
  </si>
  <si>
    <t>A039790</t>
    <phoneticPr fontId="2" type="noConversion"/>
  </si>
  <si>
    <t>A039830</t>
    <phoneticPr fontId="2" type="noConversion"/>
  </si>
  <si>
    <t>A039840</t>
    <phoneticPr fontId="2" type="noConversion"/>
  </si>
  <si>
    <t>A039850</t>
    <phoneticPr fontId="2" type="noConversion"/>
  </si>
  <si>
    <t>A039860</t>
    <phoneticPr fontId="2" type="noConversion"/>
  </si>
  <si>
    <t>A039980</t>
    <phoneticPr fontId="2" type="noConversion"/>
  </si>
  <si>
    <t>A040160</t>
    <phoneticPr fontId="2" type="noConversion"/>
  </si>
  <si>
    <t>A040300</t>
    <phoneticPr fontId="2" type="noConversion"/>
  </si>
  <si>
    <t>A040350</t>
    <phoneticPr fontId="2" type="noConversion"/>
  </si>
  <si>
    <t>A040420</t>
    <phoneticPr fontId="2" type="noConversion"/>
  </si>
  <si>
    <t>A040610</t>
    <phoneticPr fontId="2" type="noConversion"/>
  </si>
  <si>
    <t>A040670</t>
    <phoneticPr fontId="2" type="noConversion"/>
  </si>
  <si>
    <t>A040910</t>
    <phoneticPr fontId="2" type="noConversion"/>
  </si>
  <si>
    <t>A041020</t>
    <phoneticPr fontId="2" type="noConversion"/>
  </si>
  <si>
    <t>A041060</t>
    <phoneticPr fontId="2" type="noConversion"/>
  </si>
  <si>
    <t>A041140</t>
    <phoneticPr fontId="2" type="noConversion"/>
  </si>
  <si>
    <t>A041190</t>
    <phoneticPr fontId="2" type="noConversion"/>
  </si>
  <si>
    <t>A041440</t>
    <phoneticPr fontId="2" type="noConversion"/>
  </si>
  <si>
    <t>A041460</t>
    <phoneticPr fontId="2" type="noConversion"/>
  </si>
  <si>
    <t>A041520</t>
    <phoneticPr fontId="2" type="noConversion"/>
  </si>
  <si>
    <t>A041590</t>
    <phoneticPr fontId="2" type="noConversion"/>
  </si>
  <si>
    <t>A041650</t>
    <phoneticPr fontId="2" type="noConversion"/>
  </si>
  <si>
    <t>A041830</t>
    <phoneticPr fontId="2" type="noConversion"/>
  </si>
  <si>
    <t>A041910</t>
    <phoneticPr fontId="2" type="noConversion"/>
  </si>
  <si>
    <t>A041930</t>
    <phoneticPr fontId="2" type="noConversion"/>
  </si>
  <si>
    <t>A041960</t>
    <phoneticPr fontId="2" type="noConversion"/>
  </si>
  <si>
    <t>A042040</t>
    <phoneticPr fontId="2" type="noConversion"/>
  </si>
  <si>
    <t>A042110</t>
    <phoneticPr fontId="2" type="noConversion"/>
  </si>
  <si>
    <t>A042370</t>
    <phoneticPr fontId="2" type="noConversion"/>
  </si>
  <si>
    <t>A042420</t>
    <phoneticPr fontId="2" type="noConversion"/>
  </si>
  <si>
    <t>A042500</t>
    <phoneticPr fontId="2" type="noConversion"/>
  </si>
  <si>
    <t>A042510</t>
    <phoneticPr fontId="2" type="noConversion"/>
  </si>
  <si>
    <t>A042520</t>
    <phoneticPr fontId="2" type="noConversion"/>
  </si>
  <si>
    <t>A042600</t>
    <phoneticPr fontId="2" type="noConversion"/>
  </si>
  <si>
    <t>A042820</t>
    <phoneticPr fontId="2" type="noConversion"/>
  </si>
  <si>
    <t>A042940</t>
    <phoneticPr fontId="2" type="noConversion"/>
  </si>
  <si>
    <t>A043090</t>
    <phoneticPr fontId="2" type="noConversion"/>
  </si>
  <si>
    <t>A043100</t>
    <phoneticPr fontId="2" type="noConversion"/>
  </si>
  <si>
    <t>A043150</t>
    <phoneticPr fontId="2" type="noConversion"/>
  </si>
  <si>
    <t>A043200</t>
    <phoneticPr fontId="2" type="noConversion"/>
  </si>
  <si>
    <t>A043220</t>
    <phoneticPr fontId="2" type="noConversion"/>
  </si>
  <si>
    <t>A043260</t>
    <phoneticPr fontId="2" type="noConversion"/>
  </si>
  <si>
    <t>A043290</t>
    <phoneticPr fontId="2" type="noConversion"/>
  </si>
  <si>
    <t>A043340</t>
    <phoneticPr fontId="2" type="noConversion"/>
  </si>
  <si>
    <t>A043360</t>
    <phoneticPr fontId="2" type="noConversion"/>
  </si>
  <si>
    <t>A043580</t>
    <phoneticPr fontId="2" type="noConversion"/>
  </si>
  <si>
    <t>A043590</t>
    <phoneticPr fontId="2" type="noConversion"/>
  </si>
  <si>
    <t>A043610</t>
    <phoneticPr fontId="2" type="noConversion"/>
  </si>
  <si>
    <t>A043710</t>
    <phoneticPr fontId="2" type="noConversion"/>
  </si>
  <si>
    <t>A043890</t>
    <phoneticPr fontId="2" type="noConversion"/>
  </si>
  <si>
    <t>A043910</t>
    <phoneticPr fontId="2" type="noConversion"/>
  </si>
  <si>
    <t>A044060</t>
    <phoneticPr fontId="2" type="noConversion"/>
  </si>
  <si>
    <t>A044180</t>
    <phoneticPr fontId="2" type="noConversion"/>
  </si>
  <si>
    <t>A044340</t>
    <phoneticPr fontId="2" type="noConversion"/>
  </si>
  <si>
    <t>A044380</t>
    <phoneticPr fontId="2" type="noConversion"/>
  </si>
  <si>
    <t>A044450</t>
    <phoneticPr fontId="2" type="noConversion"/>
  </si>
  <si>
    <t>A044480</t>
    <phoneticPr fontId="2" type="noConversion"/>
  </si>
  <si>
    <t>A044490</t>
    <phoneticPr fontId="2" type="noConversion"/>
  </si>
  <si>
    <t>A044780</t>
    <phoneticPr fontId="2" type="noConversion"/>
  </si>
  <si>
    <t>A044960</t>
    <phoneticPr fontId="2" type="noConversion"/>
  </si>
  <si>
    <t>A045050</t>
    <phoneticPr fontId="2" type="noConversion"/>
  </si>
  <si>
    <t>A045060</t>
    <phoneticPr fontId="2" type="noConversion"/>
  </si>
  <si>
    <t>A045100</t>
    <phoneticPr fontId="2" type="noConversion"/>
  </si>
  <si>
    <t>A045300</t>
    <phoneticPr fontId="2" type="noConversion"/>
  </si>
  <si>
    <t>A045340</t>
    <phoneticPr fontId="2" type="noConversion"/>
  </si>
  <si>
    <t>A045390</t>
    <phoneticPr fontId="2" type="noConversion"/>
  </si>
  <si>
    <t>A045510</t>
    <phoneticPr fontId="2" type="noConversion"/>
  </si>
  <si>
    <t>A045520</t>
    <phoneticPr fontId="2" type="noConversion"/>
  </si>
  <si>
    <t>A045660</t>
    <phoneticPr fontId="2" type="noConversion"/>
  </si>
  <si>
    <t>A045890</t>
    <phoneticPr fontId="2" type="noConversion"/>
  </si>
  <si>
    <t>A045970</t>
    <phoneticPr fontId="2" type="noConversion"/>
  </si>
  <si>
    <t>A046070</t>
    <phoneticPr fontId="2" type="noConversion"/>
  </si>
  <si>
    <t>A046110</t>
    <phoneticPr fontId="2" type="noConversion"/>
  </si>
  <si>
    <t>A046120</t>
    <phoneticPr fontId="2" type="noConversion"/>
  </si>
  <si>
    <t>A046210</t>
    <phoneticPr fontId="2" type="noConversion"/>
  </si>
  <si>
    <t>A046310</t>
    <phoneticPr fontId="2" type="noConversion"/>
  </si>
  <si>
    <t>A046390</t>
    <phoneticPr fontId="2" type="noConversion"/>
  </si>
  <si>
    <t>A046400</t>
    <phoneticPr fontId="2" type="noConversion"/>
  </si>
  <si>
    <t>A046430</t>
    <phoneticPr fontId="2" type="noConversion"/>
  </si>
  <si>
    <t>A046440</t>
    <phoneticPr fontId="2" type="noConversion"/>
  </si>
  <si>
    <t>A046840</t>
    <phoneticPr fontId="2" type="noConversion"/>
  </si>
  <si>
    <t>A046940</t>
    <phoneticPr fontId="2" type="noConversion"/>
  </si>
  <si>
    <t>A047080</t>
    <phoneticPr fontId="2" type="noConversion"/>
  </si>
  <si>
    <t>A047310</t>
    <phoneticPr fontId="2" type="noConversion"/>
  </si>
  <si>
    <t>A047400</t>
    <phoneticPr fontId="2" type="noConversion"/>
  </si>
  <si>
    <t>A047440</t>
    <phoneticPr fontId="2" type="noConversion"/>
  </si>
  <si>
    <t>A047560</t>
    <phoneticPr fontId="2" type="noConversion"/>
  </si>
  <si>
    <t>A047730</t>
    <phoneticPr fontId="2" type="noConversion"/>
  </si>
  <si>
    <t>A047770</t>
    <phoneticPr fontId="2" type="noConversion"/>
  </si>
  <si>
    <t>A047810</t>
    <phoneticPr fontId="2" type="noConversion"/>
  </si>
  <si>
    <t>A047820</t>
    <phoneticPr fontId="2" type="noConversion"/>
  </si>
  <si>
    <t>A048410</t>
    <phoneticPr fontId="2" type="noConversion"/>
  </si>
  <si>
    <t>A048430</t>
    <phoneticPr fontId="2" type="noConversion"/>
  </si>
  <si>
    <t>A048460</t>
    <phoneticPr fontId="2" type="noConversion"/>
  </si>
  <si>
    <t>A048470</t>
    <phoneticPr fontId="2" type="noConversion"/>
  </si>
  <si>
    <t>A048530</t>
    <phoneticPr fontId="2" type="noConversion"/>
  </si>
  <si>
    <t>A048550</t>
    <phoneticPr fontId="2" type="noConversion"/>
  </si>
  <si>
    <t>A048770</t>
    <phoneticPr fontId="2" type="noConversion"/>
  </si>
  <si>
    <t>A048830</t>
    <phoneticPr fontId="2" type="noConversion"/>
  </si>
  <si>
    <t>A048870</t>
    <phoneticPr fontId="2" type="noConversion"/>
  </si>
  <si>
    <t>A048910</t>
    <phoneticPr fontId="2" type="noConversion"/>
  </si>
  <si>
    <t>A049000</t>
    <phoneticPr fontId="2" type="noConversion"/>
  </si>
  <si>
    <t>A049070</t>
    <phoneticPr fontId="2" type="noConversion"/>
  </si>
  <si>
    <t>A049120</t>
    <phoneticPr fontId="2" type="noConversion"/>
  </si>
  <si>
    <t>A049180</t>
    <phoneticPr fontId="2" type="noConversion"/>
  </si>
  <si>
    <t>A049430</t>
    <phoneticPr fontId="2" type="noConversion"/>
  </si>
  <si>
    <t>A049470</t>
    <phoneticPr fontId="2" type="noConversion"/>
  </si>
  <si>
    <t>A049480</t>
    <phoneticPr fontId="2" type="noConversion"/>
  </si>
  <si>
    <t>A049520</t>
    <phoneticPr fontId="2" type="noConversion"/>
  </si>
  <si>
    <t>A049550</t>
    <phoneticPr fontId="2" type="noConversion"/>
  </si>
  <si>
    <t>A049630</t>
    <phoneticPr fontId="2" type="noConversion"/>
  </si>
  <si>
    <t>A049720</t>
    <phoneticPr fontId="2" type="noConversion"/>
  </si>
  <si>
    <t>A049770</t>
    <phoneticPr fontId="2" type="noConversion"/>
  </si>
  <si>
    <t>A049800</t>
    <phoneticPr fontId="2" type="noConversion"/>
  </si>
  <si>
    <t>A049830</t>
    <phoneticPr fontId="2" type="noConversion"/>
  </si>
  <si>
    <t>A049950</t>
    <phoneticPr fontId="2" type="noConversion"/>
  </si>
  <si>
    <t>A049960</t>
    <phoneticPr fontId="2" type="noConversion"/>
  </si>
  <si>
    <t>A050090</t>
    <phoneticPr fontId="2" type="noConversion"/>
  </si>
  <si>
    <t>A050110</t>
    <phoneticPr fontId="2" type="noConversion"/>
  </si>
  <si>
    <t>A050320</t>
    <phoneticPr fontId="2" type="noConversion"/>
  </si>
  <si>
    <t>A050540</t>
    <phoneticPr fontId="2" type="noConversion"/>
  </si>
  <si>
    <t>A050760</t>
    <phoneticPr fontId="2" type="noConversion"/>
  </si>
  <si>
    <t>A050860</t>
    <phoneticPr fontId="2" type="noConversion"/>
  </si>
  <si>
    <t>A050890</t>
    <phoneticPr fontId="2" type="noConversion"/>
  </si>
  <si>
    <t>A051160</t>
    <phoneticPr fontId="2" type="noConversion"/>
  </si>
  <si>
    <t>A051170</t>
    <phoneticPr fontId="2" type="noConversion"/>
  </si>
  <si>
    <t>A051310</t>
    <phoneticPr fontId="2" type="noConversion"/>
  </si>
  <si>
    <t>A051360</t>
    <phoneticPr fontId="2" type="noConversion"/>
  </si>
  <si>
    <t>A051380</t>
    <phoneticPr fontId="2" type="noConversion"/>
  </si>
  <si>
    <t>A051390</t>
    <phoneticPr fontId="2" type="noConversion"/>
  </si>
  <si>
    <t>A051490</t>
    <phoneticPr fontId="2" type="noConversion"/>
  </si>
  <si>
    <t>A051630</t>
    <phoneticPr fontId="2" type="noConversion"/>
  </si>
  <si>
    <t>A051710</t>
    <phoneticPr fontId="2" type="noConversion"/>
  </si>
  <si>
    <t>A051780</t>
    <phoneticPr fontId="2" type="noConversion"/>
  </si>
  <si>
    <t>A051980</t>
    <phoneticPr fontId="2" type="noConversion"/>
  </si>
  <si>
    <t>A052020</t>
    <phoneticPr fontId="2" type="noConversion"/>
  </si>
  <si>
    <t>A052190</t>
    <phoneticPr fontId="2" type="noConversion"/>
  </si>
  <si>
    <t>A052220</t>
    <phoneticPr fontId="2" type="noConversion"/>
  </si>
  <si>
    <t>A052260</t>
    <phoneticPr fontId="2" type="noConversion"/>
  </si>
  <si>
    <t>A052270</t>
    <phoneticPr fontId="2" type="noConversion"/>
  </si>
  <si>
    <t>A052290</t>
    <phoneticPr fontId="2" type="noConversion"/>
  </si>
  <si>
    <t>A052300</t>
    <phoneticPr fontId="2" type="noConversion"/>
  </si>
  <si>
    <t>A052330</t>
    <phoneticPr fontId="2" type="noConversion"/>
  </si>
  <si>
    <t>A052420</t>
    <phoneticPr fontId="2" type="noConversion"/>
  </si>
  <si>
    <t>A052460</t>
    <phoneticPr fontId="2" type="noConversion"/>
  </si>
  <si>
    <t>A052600</t>
    <phoneticPr fontId="2" type="noConversion"/>
  </si>
  <si>
    <t>A052650</t>
    <phoneticPr fontId="2" type="noConversion"/>
  </si>
  <si>
    <t>A052670</t>
    <phoneticPr fontId="2" type="noConversion"/>
  </si>
  <si>
    <t>A052770</t>
    <phoneticPr fontId="2" type="noConversion"/>
  </si>
  <si>
    <t>A052790</t>
    <phoneticPr fontId="2" type="noConversion"/>
  </si>
  <si>
    <t>A052860</t>
    <phoneticPr fontId="2" type="noConversion"/>
  </si>
  <si>
    <t>A052900</t>
    <phoneticPr fontId="2" type="noConversion"/>
  </si>
  <si>
    <t>A053030</t>
    <phoneticPr fontId="2" type="noConversion"/>
  </si>
  <si>
    <t>A053050</t>
    <phoneticPr fontId="2" type="noConversion"/>
  </si>
  <si>
    <t>A053060</t>
    <phoneticPr fontId="2" type="noConversion"/>
  </si>
  <si>
    <t>A053110</t>
    <phoneticPr fontId="2" type="noConversion"/>
  </si>
  <si>
    <t>A053160</t>
    <phoneticPr fontId="2" type="noConversion"/>
  </si>
  <si>
    <t>A053260</t>
    <phoneticPr fontId="2" type="noConversion"/>
  </si>
  <si>
    <t>A053270</t>
    <phoneticPr fontId="2" type="noConversion"/>
  </si>
  <si>
    <t>A053280</t>
    <phoneticPr fontId="2" type="noConversion"/>
  </si>
  <si>
    <t>A053290</t>
    <phoneticPr fontId="2" type="noConversion"/>
  </si>
  <si>
    <t>A053320</t>
    <phoneticPr fontId="2" type="noConversion"/>
  </si>
  <si>
    <t>A053330</t>
    <phoneticPr fontId="2" type="noConversion"/>
  </si>
  <si>
    <t>A053350</t>
    <phoneticPr fontId="2" type="noConversion"/>
  </si>
  <si>
    <t>A053450</t>
    <phoneticPr fontId="2" type="noConversion"/>
  </si>
  <si>
    <t>A053590</t>
    <phoneticPr fontId="2" type="noConversion"/>
  </si>
  <si>
    <t>A053610</t>
    <phoneticPr fontId="2" type="noConversion"/>
  </si>
  <si>
    <t>A053620</t>
    <phoneticPr fontId="2" type="noConversion"/>
  </si>
  <si>
    <t>A053660</t>
    <phoneticPr fontId="2" type="noConversion"/>
  </si>
  <si>
    <t>A053690</t>
    <phoneticPr fontId="2" type="noConversion"/>
  </si>
  <si>
    <t>A053700</t>
    <phoneticPr fontId="2" type="noConversion"/>
  </si>
  <si>
    <t>A053740</t>
    <phoneticPr fontId="2" type="noConversion"/>
  </si>
  <si>
    <t>A053800</t>
    <phoneticPr fontId="2" type="noConversion"/>
  </si>
  <si>
    <t>A053810</t>
    <phoneticPr fontId="2" type="noConversion"/>
  </si>
  <si>
    <t>A053870</t>
    <phoneticPr fontId="2" type="noConversion"/>
  </si>
  <si>
    <t>A053950</t>
    <phoneticPr fontId="2" type="noConversion"/>
  </si>
  <si>
    <t>A053980</t>
    <phoneticPr fontId="2" type="noConversion"/>
  </si>
  <si>
    <t>A054040</t>
    <phoneticPr fontId="2" type="noConversion"/>
  </si>
  <si>
    <t>A054050</t>
    <phoneticPr fontId="2" type="noConversion"/>
  </si>
  <si>
    <t>A054090</t>
    <phoneticPr fontId="2" type="noConversion"/>
  </si>
  <si>
    <t>A054180</t>
    <phoneticPr fontId="2" type="noConversion"/>
  </si>
  <si>
    <t>A054210</t>
    <phoneticPr fontId="2" type="noConversion"/>
  </si>
  <si>
    <t>A054220</t>
    <phoneticPr fontId="2" type="noConversion"/>
  </si>
  <si>
    <t>A054300</t>
    <phoneticPr fontId="2" type="noConversion"/>
  </si>
  <si>
    <t>A054340</t>
    <phoneticPr fontId="2" type="noConversion"/>
  </si>
  <si>
    <t>A054410</t>
    <phoneticPr fontId="2" type="noConversion"/>
  </si>
  <si>
    <t>A054450</t>
    <phoneticPr fontId="2" type="noConversion"/>
  </si>
  <si>
    <t>A054540</t>
    <phoneticPr fontId="2" type="noConversion"/>
  </si>
  <si>
    <t>A054620</t>
    <phoneticPr fontId="2" type="noConversion"/>
  </si>
  <si>
    <t>A054630</t>
    <phoneticPr fontId="2" type="noConversion"/>
  </si>
  <si>
    <t>A054670</t>
    <phoneticPr fontId="2" type="noConversion"/>
  </si>
  <si>
    <t>A054780</t>
    <phoneticPr fontId="2" type="noConversion"/>
  </si>
  <si>
    <t>A054800</t>
    <phoneticPr fontId="2" type="noConversion"/>
  </si>
  <si>
    <t>A054920</t>
    <phoneticPr fontId="2" type="noConversion"/>
  </si>
  <si>
    <t>A054930</t>
    <phoneticPr fontId="2" type="noConversion"/>
  </si>
  <si>
    <t>A054940</t>
    <phoneticPr fontId="2" type="noConversion"/>
  </si>
  <si>
    <t>A054950</t>
    <phoneticPr fontId="2" type="noConversion"/>
  </si>
  <si>
    <t>A056000</t>
    <phoneticPr fontId="2" type="noConversion"/>
  </si>
  <si>
    <t>A056080</t>
    <phoneticPr fontId="2" type="noConversion"/>
  </si>
  <si>
    <t>A056340</t>
    <phoneticPr fontId="2" type="noConversion"/>
  </si>
  <si>
    <t>A056360</t>
    <phoneticPr fontId="2" type="noConversion"/>
  </si>
  <si>
    <t>A056700</t>
    <phoneticPr fontId="2" type="noConversion"/>
  </si>
  <si>
    <t>A056730</t>
    <phoneticPr fontId="2" type="noConversion"/>
  </si>
  <si>
    <t>A056810</t>
    <phoneticPr fontId="2" type="noConversion"/>
  </si>
  <si>
    <t>A057030</t>
    <phoneticPr fontId="2" type="noConversion"/>
  </si>
  <si>
    <t>A057500</t>
    <phoneticPr fontId="2" type="noConversion"/>
  </si>
  <si>
    <t>A057540</t>
    <phoneticPr fontId="2" type="noConversion"/>
  </si>
  <si>
    <t>A057680</t>
    <phoneticPr fontId="2" type="noConversion"/>
  </si>
  <si>
    <t>A057880</t>
    <phoneticPr fontId="2" type="noConversion"/>
  </si>
  <si>
    <t>A058220</t>
    <phoneticPr fontId="2" type="noConversion"/>
  </si>
  <si>
    <t>A058370</t>
    <phoneticPr fontId="2" type="noConversion"/>
  </si>
  <si>
    <t>A058400</t>
    <phoneticPr fontId="2" type="noConversion"/>
  </si>
  <si>
    <t>A058420</t>
    <phoneticPr fontId="2" type="noConversion"/>
  </si>
  <si>
    <t>A058430</t>
    <phoneticPr fontId="2" type="noConversion"/>
  </si>
  <si>
    <t>A058450</t>
    <phoneticPr fontId="2" type="noConversion"/>
  </si>
  <si>
    <t>A058530</t>
    <phoneticPr fontId="2" type="noConversion"/>
  </si>
  <si>
    <t>A058610</t>
    <phoneticPr fontId="2" type="noConversion"/>
  </si>
  <si>
    <t>A058630</t>
    <phoneticPr fontId="2" type="noConversion"/>
  </si>
  <si>
    <t>A058650</t>
    <phoneticPr fontId="2" type="noConversion"/>
  </si>
  <si>
    <t>A058730</t>
    <phoneticPr fontId="2" type="noConversion"/>
  </si>
  <si>
    <t>A058820</t>
    <phoneticPr fontId="2" type="noConversion"/>
  </si>
  <si>
    <t>A058850</t>
    <phoneticPr fontId="2" type="noConversion"/>
  </si>
  <si>
    <t>A058860</t>
    <phoneticPr fontId="2" type="noConversion"/>
  </si>
  <si>
    <t>A059090</t>
    <phoneticPr fontId="2" type="noConversion"/>
  </si>
  <si>
    <t>A059100</t>
    <phoneticPr fontId="2" type="noConversion"/>
  </si>
  <si>
    <t>A059210</t>
    <phoneticPr fontId="2" type="noConversion"/>
  </si>
  <si>
    <t>A060150</t>
    <phoneticPr fontId="2" type="noConversion"/>
  </si>
  <si>
    <t>A060230</t>
    <phoneticPr fontId="2" type="noConversion"/>
  </si>
  <si>
    <t>A060240</t>
    <phoneticPr fontId="2" type="noConversion"/>
  </si>
  <si>
    <t>A060260</t>
    <phoneticPr fontId="2" type="noConversion"/>
  </si>
  <si>
    <t>A060280</t>
    <phoneticPr fontId="2" type="noConversion"/>
  </si>
  <si>
    <t>A060300</t>
    <phoneticPr fontId="2" type="noConversion"/>
  </si>
  <si>
    <t>A060310</t>
    <phoneticPr fontId="2" type="noConversion"/>
  </si>
  <si>
    <t>A060370</t>
    <phoneticPr fontId="2" type="noConversion"/>
  </si>
  <si>
    <t>A060380</t>
    <phoneticPr fontId="2" type="noConversion"/>
  </si>
  <si>
    <t>A060540</t>
    <phoneticPr fontId="2" type="noConversion"/>
  </si>
  <si>
    <t>A060560</t>
    <phoneticPr fontId="2" type="noConversion"/>
  </si>
  <si>
    <t>A060570</t>
    <phoneticPr fontId="2" type="noConversion"/>
  </si>
  <si>
    <t>A060590</t>
    <phoneticPr fontId="2" type="noConversion"/>
  </si>
  <si>
    <t>A060720</t>
    <phoneticPr fontId="2" type="noConversion"/>
  </si>
  <si>
    <t>A060900</t>
    <phoneticPr fontId="2" type="noConversion"/>
  </si>
  <si>
    <t>A060910</t>
    <phoneticPr fontId="2" type="noConversion"/>
  </si>
  <si>
    <t>A061250</t>
    <phoneticPr fontId="2" type="noConversion"/>
  </si>
  <si>
    <t>A061460</t>
    <phoneticPr fontId="2" type="noConversion"/>
  </si>
  <si>
    <t>A062860</t>
    <phoneticPr fontId="2" type="noConversion"/>
  </si>
  <si>
    <t>A063160</t>
    <phoneticPr fontId="2" type="noConversion"/>
  </si>
  <si>
    <t>A063170</t>
    <phoneticPr fontId="2" type="noConversion"/>
  </si>
  <si>
    <t>A063440</t>
    <phoneticPr fontId="2" type="noConversion"/>
  </si>
  <si>
    <t>A063570</t>
    <phoneticPr fontId="2" type="noConversion"/>
  </si>
  <si>
    <t>A064090</t>
    <phoneticPr fontId="2" type="noConversion"/>
  </si>
  <si>
    <t>A064240</t>
    <phoneticPr fontId="2" type="noConversion"/>
  </si>
  <si>
    <t>A064260</t>
    <phoneticPr fontId="2" type="noConversion"/>
  </si>
  <si>
    <t>A064290</t>
    <phoneticPr fontId="2" type="noConversion"/>
  </si>
  <si>
    <t>A064420</t>
    <phoneticPr fontId="2" type="noConversion"/>
  </si>
  <si>
    <t>A064480</t>
    <phoneticPr fontId="2" type="noConversion"/>
  </si>
  <si>
    <t>A064520</t>
    <phoneticPr fontId="2" type="noConversion"/>
  </si>
  <si>
    <t>A064550</t>
    <phoneticPr fontId="2" type="noConversion"/>
  </si>
  <si>
    <t>A064760</t>
    <phoneticPr fontId="2" type="noConversion"/>
  </si>
  <si>
    <t>A064800</t>
    <phoneticPr fontId="2" type="noConversion"/>
  </si>
  <si>
    <t>A064820</t>
    <phoneticPr fontId="2" type="noConversion"/>
  </si>
  <si>
    <t>A065060</t>
    <phoneticPr fontId="2" type="noConversion"/>
  </si>
  <si>
    <t>A065130</t>
    <phoneticPr fontId="2" type="noConversion"/>
  </si>
  <si>
    <t>A065150</t>
    <phoneticPr fontId="2" type="noConversion"/>
  </si>
  <si>
    <t>A065160</t>
    <phoneticPr fontId="2" type="noConversion"/>
  </si>
  <si>
    <t>A065170</t>
    <phoneticPr fontId="2" type="noConversion"/>
  </si>
  <si>
    <t>A065180</t>
    <phoneticPr fontId="2" type="noConversion"/>
  </si>
  <si>
    <t>A065270</t>
    <phoneticPr fontId="2" type="noConversion"/>
  </si>
  <si>
    <t>A065350</t>
    <phoneticPr fontId="2" type="noConversion"/>
  </si>
  <si>
    <t>A065420</t>
    <phoneticPr fontId="2" type="noConversion"/>
  </si>
  <si>
    <t>A065440</t>
    <phoneticPr fontId="2" type="noConversion"/>
  </si>
  <si>
    <t>A065450</t>
    <phoneticPr fontId="2" type="noConversion"/>
  </si>
  <si>
    <t>A065500</t>
    <phoneticPr fontId="2" type="noConversion"/>
  </si>
  <si>
    <t>A065530</t>
    <phoneticPr fontId="2" type="noConversion"/>
  </si>
  <si>
    <t>A065560</t>
    <phoneticPr fontId="2" type="noConversion"/>
  </si>
  <si>
    <t>A065570</t>
    <phoneticPr fontId="2" type="noConversion"/>
  </si>
  <si>
    <t>A065620</t>
    <phoneticPr fontId="2" type="noConversion"/>
  </si>
  <si>
    <t>A065650</t>
    <phoneticPr fontId="2" type="noConversion"/>
  </si>
  <si>
    <t>A065680</t>
    <phoneticPr fontId="2" type="noConversion"/>
  </si>
  <si>
    <t>A065690</t>
    <phoneticPr fontId="2" type="noConversion"/>
  </si>
  <si>
    <t>A065710</t>
    <phoneticPr fontId="2" type="noConversion"/>
  </si>
  <si>
    <t>A065770</t>
    <phoneticPr fontId="2" type="noConversion"/>
  </si>
  <si>
    <t>A065940</t>
    <phoneticPr fontId="2" type="noConversion"/>
  </si>
  <si>
    <t>A065950</t>
    <phoneticPr fontId="2" type="noConversion"/>
  </si>
  <si>
    <t>A066060</t>
    <phoneticPr fontId="2" type="noConversion"/>
  </si>
  <si>
    <t>A066110</t>
    <phoneticPr fontId="2" type="noConversion"/>
  </si>
  <si>
    <t>A066130</t>
    <phoneticPr fontId="2" type="noConversion"/>
  </si>
  <si>
    <t>A066270</t>
    <phoneticPr fontId="2" type="noConversion"/>
  </si>
  <si>
    <t>A066310</t>
    <phoneticPr fontId="2" type="noConversion"/>
  </si>
  <si>
    <t>A066350</t>
    <phoneticPr fontId="2" type="noConversion"/>
  </si>
  <si>
    <t>A066410</t>
    <phoneticPr fontId="2" type="noConversion"/>
  </si>
  <si>
    <t>A066430</t>
    <phoneticPr fontId="2" type="noConversion"/>
  </si>
  <si>
    <t>A066590</t>
    <phoneticPr fontId="2" type="noConversion"/>
  </si>
  <si>
    <t>A066620</t>
    <phoneticPr fontId="2" type="noConversion"/>
  </si>
  <si>
    <t>A066670</t>
    <phoneticPr fontId="2" type="noConversion"/>
  </si>
  <si>
    <t>A066700</t>
    <phoneticPr fontId="2" type="noConversion"/>
  </si>
  <si>
    <t>A066790</t>
    <phoneticPr fontId="2" type="noConversion"/>
  </si>
  <si>
    <t>A066900</t>
    <phoneticPr fontId="2" type="noConversion"/>
  </si>
  <si>
    <t>A066910</t>
    <phoneticPr fontId="2" type="noConversion"/>
  </si>
  <si>
    <t>A066970</t>
    <phoneticPr fontId="2" type="noConversion"/>
  </si>
  <si>
    <t>A066980</t>
    <phoneticPr fontId="2" type="noConversion"/>
  </si>
  <si>
    <t>A067010</t>
    <phoneticPr fontId="2" type="noConversion"/>
  </si>
  <si>
    <t>A067080</t>
    <phoneticPr fontId="2" type="noConversion"/>
  </si>
  <si>
    <t>A067160</t>
    <phoneticPr fontId="2" type="noConversion"/>
  </si>
  <si>
    <t>A067170</t>
    <phoneticPr fontId="2" type="noConversion"/>
  </si>
  <si>
    <t>A067250</t>
    <phoneticPr fontId="2" type="noConversion"/>
  </si>
  <si>
    <t>A067280</t>
    <phoneticPr fontId="2" type="noConversion"/>
  </si>
  <si>
    <t>A067290</t>
    <phoneticPr fontId="2" type="noConversion"/>
  </si>
  <si>
    <t>A067310</t>
    <phoneticPr fontId="2" type="noConversion"/>
  </si>
  <si>
    <t>A067630</t>
    <phoneticPr fontId="2" type="noConversion"/>
  </si>
  <si>
    <t>A067770</t>
    <phoneticPr fontId="2" type="noConversion"/>
  </si>
  <si>
    <t>A067830</t>
    <phoneticPr fontId="2" type="noConversion"/>
  </si>
  <si>
    <t>A067900</t>
    <phoneticPr fontId="2" type="noConversion"/>
  </si>
  <si>
    <t>A067920</t>
    <phoneticPr fontId="2" type="noConversion"/>
  </si>
  <si>
    <t>A067990</t>
    <phoneticPr fontId="2" type="noConversion"/>
  </si>
  <si>
    <t>A068050</t>
    <phoneticPr fontId="2" type="noConversion"/>
  </si>
  <si>
    <t>A068060</t>
    <phoneticPr fontId="2" type="noConversion"/>
  </si>
  <si>
    <t>A068150</t>
    <phoneticPr fontId="2" type="noConversion"/>
  </si>
  <si>
    <t>A068240</t>
    <phoneticPr fontId="2" type="noConversion"/>
  </si>
  <si>
    <t>A068290</t>
    <phoneticPr fontId="2" type="noConversion"/>
  </si>
  <si>
    <t>A068330</t>
    <phoneticPr fontId="2" type="noConversion"/>
  </si>
  <si>
    <t>A068400</t>
    <phoneticPr fontId="2" type="noConversion"/>
  </si>
  <si>
    <t>A068420</t>
    <phoneticPr fontId="2" type="noConversion"/>
  </si>
  <si>
    <t>A068760</t>
    <phoneticPr fontId="2" type="noConversion"/>
  </si>
  <si>
    <t>A068790</t>
    <phoneticPr fontId="2" type="noConversion"/>
  </si>
  <si>
    <t>A068930</t>
    <phoneticPr fontId="2" type="noConversion"/>
  </si>
  <si>
    <t>A068940</t>
    <phoneticPr fontId="2" type="noConversion"/>
  </si>
  <si>
    <t>A069080</t>
    <phoneticPr fontId="2" type="noConversion"/>
  </si>
  <si>
    <t>A069110</t>
    <phoneticPr fontId="2" type="noConversion"/>
  </si>
  <si>
    <t>A069140</t>
    <phoneticPr fontId="2" type="noConversion"/>
  </si>
  <si>
    <t>A069410</t>
    <phoneticPr fontId="2" type="noConversion"/>
  </si>
  <si>
    <t>A069460</t>
    <phoneticPr fontId="2" type="noConversion"/>
  </si>
  <si>
    <t>A069500</t>
    <phoneticPr fontId="2" type="noConversion"/>
  </si>
  <si>
    <t>A069510</t>
    <phoneticPr fontId="2" type="noConversion"/>
  </si>
  <si>
    <t>A069540</t>
    <phoneticPr fontId="2" type="noConversion"/>
  </si>
  <si>
    <t>A069640</t>
    <phoneticPr fontId="2" type="noConversion"/>
  </si>
  <si>
    <t>A069660</t>
    <phoneticPr fontId="2" type="noConversion"/>
  </si>
  <si>
    <t>A069730</t>
    <phoneticPr fontId="2" type="noConversion"/>
  </si>
  <si>
    <t>A069920</t>
    <phoneticPr fontId="2" type="noConversion"/>
  </si>
  <si>
    <t>A070300</t>
    <phoneticPr fontId="2" type="noConversion"/>
  </si>
  <si>
    <t>A070480</t>
    <phoneticPr fontId="2" type="noConversion"/>
  </si>
  <si>
    <t>A070590</t>
    <phoneticPr fontId="2" type="noConversion"/>
  </si>
  <si>
    <t>A071090</t>
    <phoneticPr fontId="2" type="noConversion"/>
  </si>
  <si>
    <t>A071200</t>
    <phoneticPr fontId="2" type="noConversion"/>
  </si>
  <si>
    <t>A071280</t>
    <phoneticPr fontId="2" type="noConversion"/>
  </si>
  <si>
    <t>A071320</t>
    <phoneticPr fontId="2" type="noConversion"/>
  </si>
  <si>
    <t>A071530</t>
    <phoneticPr fontId="2" type="noConversion"/>
  </si>
  <si>
    <t>A071670</t>
    <phoneticPr fontId="2" type="noConversion"/>
  </si>
  <si>
    <t>A071930</t>
    <phoneticPr fontId="2" type="noConversion"/>
  </si>
  <si>
    <t>A071950</t>
    <phoneticPr fontId="2" type="noConversion"/>
  </si>
  <si>
    <t>A071970</t>
    <phoneticPr fontId="2" type="noConversion"/>
  </si>
  <si>
    <t>A072020</t>
    <phoneticPr fontId="2" type="noConversion"/>
  </si>
  <si>
    <t>A072130</t>
    <phoneticPr fontId="2" type="noConversion"/>
  </si>
  <si>
    <t>A072470</t>
    <phoneticPr fontId="2" type="noConversion"/>
  </si>
  <si>
    <t>A072710</t>
    <phoneticPr fontId="2" type="noConversion"/>
  </si>
  <si>
    <t>A072770</t>
    <phoneticPr fontId="2" type="noConversion"/>
  </si>
  <si>
    <t>A072950</t>
    <phoneticPr fontId="2" type="noConversion"/>
  </si>
  <si>
    <t>A073010</t>
    <phoneticPr fontId="2" type="noConversion"/>
  </si>
  <si>
    <t>A073070</t>
    <phoneticPr fontId="2" type="noConversion"/>
  </si>
  <si>
    <t>A073110</t>
    <phoneticPr fontId="2" type="noConversion"/>
  </si>
  <si>
    <t>A073190</t>
    <phoneticPr fontId="2" type="noConversion"/>
  </si>
  <si>
    <t>A073240</t>
    <phoneticPr fontId="2" type="noConversion"/>
  </si>
  <si>
    <t>A073540</t>
    <phoneticPr fontId="2" type="noConversion"/>
  </si>
  <si>
    <t>A073570</t>
    <phoneticPr fontId="2" type="noConversion"/>
  </si>
  <si>
    <t>A073640</t>
    <phoneticPr fontId="2" type="noConversion"/>
  </si>
  <si>
    <t>A073930</t>
    <phoneticPr fontId="2" type="noConversion"/>
  </si>
  <si>
    <t>A074000</t>
    <phoneticPr fontId="2" type="noConversion"/>
  </si>
  <si>
    <t>A074130</t>
    <phoneticPr fontId="2" type="noConversion"/>
  </si>
  <si>
    <t>A074150</t>
    <phoneticPr fontId="2" type="noConversion"/>
  </si>
  <si>
    <t>A074430</t>
    <phoneticPr fontId="2" type="noConversion"/>
  </si>
  <si>
    <t>A074600</t>
    <phoneticPr fontId="2" type="noConversion"/>
  </si>
  <si>
    <t>A074610</t>
    <phoneticPr fontId="2" type="noConversion"/>
  </si>
  <si>
    <t>A075130</t>
    <phoneticPr fontId="2" type="noConversion"/>
  </si>
  <si>
    <t>A075180</t>
    <phoneticPr fontId="2" type="noConversion"/>
  </si>
  <si>
    <t>A075970</t>
    <phoneticPr fontId="2" type="noConversion"/>
  </si>
  <si>
    <t>A076080</t>
    <phoneticPr fontId="2" type="noConversion"/>
  </si>
  <si>
    <t>A077280</t>
    <phoneticPr fontId="2" type="noConversion"/>
  </si>
  <si>
    <t>A077500</t>
    <phoneticPr fontId="2" type="noConversion"/>
  </si>
  <si>
    <t>A077970</t>
    <phoneticPr fontId="2" type="noConversion"/>
  </si>
  <si>
    <t>A078000</t>
    <phoneticPr fontId="2" type="noConversion"/>
  </si>
  <si>
    <t>A078020</t>
    <phoneticPr fontId="2" type="noConversion"/>
  </si>
  <si>
    <t>A078070</t>
    <phoneticPr fontId="2" type="noConversion"/>
  </si>
  <si>
    <t>A078130</t>
    <phoneticPr fontId="2" type="noConversion"/>
  </si>
  <si>
    <t>A078140</t>
    <phoneticPr fontId="2" type="noConversion"/>
  </si>
  <si>
    <t>A078150</t>
    <phoneticPr fontId="2" type="noConversion"/>
  </si>
  <si>
    <t>A078160</t>
    <phoneticPr fontId="2" type="noConversion"/>
  </si>
  <si>
    <t>A078350</t>
    <phoneticPr fontId="2" type="noConversion"/>
  </si>
  <si>
    <t>A078590</t>
    <phoneticPr fontId="2" type="noConversion"/>
  </si>
  <si>
    <t>A078600</t>
    <phoneticPr fontId="2" type="noConversion"/>
  </si>
  <si>
    <t>A078650</t>
    <phoneticPr fontId="2" type="noConversion"/>
  </si>
  <si>
    <t>A078780</t>
    <phoneticPr fontId="2" type="noConversion"/>
  </si>
  <si>
    <t>A078860</t>
    <phoneticPr fontId="2" type="noConversion"/>
  </si>
  <si>
    <t>A078890</t>
    <phoneticPr fontId="2" type="noConversion"/>
  </si>
  <si>
    <t>A078940</t>
    <phoneticPr fontId="2" type="noConversion"/>
  </si>
  <si>
    <t>A079000</t>
    <phoneticPr fontId="2" type="noConversion"/>
  </si>
  <si>
    <t>A079170</t>
    <phoneticPr fontId="2" type="noConversion"/>
  </si>
  <si>
    <t>A079190</t>
    <phoneticPr fontId="2" type="noConversion"/>
  </si>
  <si>
    <t>A079370</t>
    <phoneticPr fontId="2" type="noConversion"/>
  </si>
  <si>
    <t>A079430</t>
    <phoneticPr fontId="2" type="noConversion"/>
  </si>
  <si>
    <t>A079650</t>
    <phoneticPr fontId="2" type="noConversion"/>
  </si>
  <si>
    <t>A079660</t>
    <phoneticPr fontId="2" type="noConversion"/>
  </si>
  <si>
    <t>A079810</t>
    <phoneticPr fontId="2" type="noConversion"/>
  </si>
  <si>
    <t>A079940</t>
    <phoneticPr fontId="2" type="noConversion"/>
  </si>
  <si>
    <t>A079950</t>
    <phoneticPr fontId="2" type="noConversion"/>
  </si>
  <si>
    <t>A079960</t>
    <phoneticPr fontId="2" type="noConversion"/>
  </si>
  <si>
    <t>A079970</t>
    <phoneticPr fontId="2" type="noConversion"/>
  </si>
  <si>
    <t>A079980</t>
    <phoneticPr fontId="2" type="noConversion"/>
  </si>
  <si>
    <t>A080000</t>
    <phoneticPr fontId="2" type="noConversion"/>
  </si>
  <si>
    <t>A080010</t>
    <phoneticPr fontId="2" type="noConversion"/>
  </si>
  <si>
    <t>A080030</t>
    <phoneticPr fontId="2" type="noConversion"/>
  </si>
  <si>
    <t>A080180</t>
    <phoneticPr fontId="2" type="noConversion"/>
  </si>
  <si>
    <t>A080220</t>
    <phoneticPr fontId="2" type="noConversion"/>
  </si>
  <si>
    <t>A080420</t>
    <phoneticPr fontId="2" type="noConversion"/>
  </si>
  <si>
    <t>A080440</t>
    <phoneticPr fontId="2" type="noConversion"/>
  </si>
  <si>
    <t>A080470</t>
    <phoneticPr fontId="2" type="noConversion"/>
  </si>
  <si>
    <t>A080520</t>
    <phoneticPr fontId="2" type="noConversion"/>
  </si>
  <si>
    <t>A080530</t>
    <phoneticPr fontId="2" type="noConversion"/>
  </si>
  <si>
    <t>A080960</t>
    <phoneticPr fontId="2" type="noConversion"/>
  </si>
  <si>
    <t>A080970</t>
    <phoneticPr fontId="2" type="noConversion"/>
  </si>
  <si>
    <t>A080980</t>
    <phoneticPr fontId="2" type="noConversion"/>
  </si>
  <si>
    <t>A081000</t>
    <phoneticPr fontId="2" type="noConversion"/>
  </si>
  <si>
    <t>A081150</t>
    <phoneticPr fontId="2" type="noConversion"/>
  </si>
  <si>
    <t>A081190</t>
    <phoneticPr fontId="2" type="noConversion"/>
  </si>
  <si>
    <t>A081200</t>
    <phoneticPr fontId="2" type="noConversion"/>
  </si>
  <si>
    <t>A081210</t>
    <phoneticPr fontId="2" type="noConversion"/>
  </si>
  <si>
    <t>A081220</t>
    <phoneticPr fontId="2" type="noConversion"/>
  </si>
  <si>
    <t>A081580</t>
    <phoneticPr fontId="2" type="noConversion"/>
  </si>
  <si>
    <t>A081930</t>
    <phoneticPr fontId="2" type="noConversion"/>
  </si>
  <si>
    <t>A081940</t>
    <phoneticPr fontId="2" type="noConversion"/>
  </si>
  <si>
    <t>A081970</t>
    <phoneticPr fontId="2" type="noConversion"/>
  </si>
  <si>
    <t>A082210</t>
    <phoneticPr fontId="2" type="noConversion"/>
  </si>
  <si>
    <t>A082240</t>
    <phoneticPr fontId="2" type="noConversion"/>
  </si>
  <si>
    <t>A082250</t>
    <phoneticPr fontId="2" type="noConversion"/>
  </si>
  <si>
    <t>A082260</t>
    <phoneticPr fontId="2" type="noConversion"/>
  </si>
  <si>
    <t>A082270</t>
    <phoneticPr fontId="2" type="noConversion"/>
  </si>
  <si>
    <t>A082390</t>
    <phoneticPr fontId="2" type="noConversion"/>
  </si>
  <si>
    <t>A082640</t>
    <phoneticPr fontId="2" type="noConversion"/>
  </si>
  <si>
    <t>A082660</t>
    <phoneticPr fontId="2" type="noConversion"/>
  </si>
  <si>
    <t>A082740</t>
    <phoneticPr fontId="2" type="noConversion"/>
  </si>
  <si>
    <t>A082800</t>
    <phoneticPr fontId="2" type="noConversion"/>
  </si>
  <si>
    <t>A082850</t>
    <phoneticPr fontId="2" type="noConversion"/>
  </si>
  <si>
    <t>A082920</t>
    <phoneticPr fontId="2" type="noConversion"/>
  </si>
  <si>
    <t>A082930</t>
    <phoneticPr fontId="2" type="noConversion"/>
  </si>
  <si>
    <t>A083310</t>
    <phoneticPr fontId="2" type="noConversion"/>
  </si>
  <si>
    <t>A083350</t>
    <phoneticPr fontId="2" type="noConversion"/>
  </si>
  <si>
    <t>A083360</t>
    <phoneticPr fontId="2" type="noConversion"/>
  </si>
  <si>
    <t>A083370</t>
    <phoneticPr fontId="2" type="noConversion"/>
  </si>
  <si>
    <t>A083380</t>
    <phoneticPr fontId="2" type="noConversion"/>
  </si>
  <si>
    <t>A083390</t>
    <phoneticPr fontId="2" type="noConversion"/>
  </si>
  <si>
    <t>A083420</t>
    <phoneticPr fontId="2" type="noConversion"/>
  </si>
  <si>
    <t>A083450</t>
    <phoneticPr fontId="2" type="noConversion"/>
  </si>
  <si>
    <t>A083470</t>
    <phoneticPr fontId="2" type="noConversion"/>
  </si>
  <si>
    <t>A083550</t>
    <phoneticPr fontId="2" type="noConversion"/>
  </si>
  <si>
    <t>A083570</t>
    <phoneticPr fontId="2" type="noConversion"/>
  </si>
  <si>
    <t>A083580</t>
    <phoneticPr fontId="2" type="noConversion"/>
  </si>
  <si>
    <t>A083590</t>
    <phoneticPr fontId="2" type="noConversion"/>
  </si>
  <si>
    <t>A083600</t>
    <phoneticPr fontId="2" type="noConversion"/>
  </si>
  <si>
    <t>A083610</t>
    <phoneticPr fontId="2" type="noConversion"/>
  </si>
  <si>
    <t>A083620</t>
    <phoneticPr fontId="2" type="noConversion"/>
  </si>
  <si>
    <t>A083640</t>
    <phoneticPr fontId="2" type="noConversion"/>
  </si>
  <si>
    <t>A083660</t>
    <phoneticPr fontId="2" type="noConversion"/>
  </si>
  <si>
    <t>A083790</t>
    <phoneticPr fontId="2" type="noConversion"/>
  </si>
  <si>
    <t>A083930</t>
    <phoneticPr fontId="2" type="noConversion"/>
  </si>
  <si>
    <t>A084010</t>
    <phoneticPr fontId="2" type="noConversion"/>
  </si>
  <si>
    <t>A084110</t>
    <phoneticPr fontId="2" type="noConversion"/>
  </si>
  <si>
    <t>A084180</t>
    <phoneticPr fontId="2" type="noConversion"/>
  </si>
  <si>
    <t>A084670</t>
    <phoneticPr fontId="2" type="noConversion"/>
  </si>
  <si>
    <t>A084680</t>
    <phoneticPr fontId="2" type="noConversion"/>
  </si>
  <si>
    <t>A084690</t>
    <phoneticPr fontId="2" type="noConversion"/>
  </si>
  <si>
    <t>A084730</t>
    <phoneticPr fontId="2" type="noConversion"/>
  </si>
  <si>
    <t>A084990</t>
    <phoneticPr fontId="2" type="noConversion"/>
  </si>
  <si>
    <t>A085310</t>
    <phoneticPr fontId="2" type="noConversion"/>
  </si>
  <si>
    <t>A085370</t>
    <phoneticPr fontId="2" type="noConversion"/>
  </si>
  <si>
    <t>A085660</t>
    <phoneticPr fontId="2" type="noConversion"/>
  </si>
  <si>
    <t>A085670</t>
    <phoneticPr fontId="2" type="noConversion"/>
  </si>
  <si>
    <t>A085910</t>
    <phoneticPr fontId="2" type="noConversion"/>
  </si>
  <si>
    <t>A086040</t>
    <phoneticPr fontId="2" type="noConversion"/>
  </si>
  <si>
    <t>A086060</t>
    <phoneticPr fontId="2" type="noConversion"/>
  </si>
  <si>
    <t>A086200</t>
    <phoneticPr fontId="2" type="noConversion"/>
  </si>
  <si>
    <t>A086250</t>
    <phoneticPr fontId="2" type="noConversion"/>
  </si>
  <si>
    <t>A086390</t>
    <phoneticPr fontId="2" type="noConversion"/>
  </si>
  <si>
    <t>A086450</t>
    <phoneticPr fontId="2" type="noConversion"/>
  </si>
  <si>
    <t>A086520</t>
    <phoneticPr fontId="2" type="noConversion"/>
  </si>
  <si>
    <t>A086670</t>
    <phoneticPr fontId="2" type="noConversion"/>
  </si>
  <si>
    <t>A086830</t>
    <phoneticPr fontId="2" type="noConversion"/>
  </si>
  <si>
    <t>A086890</t>
    <phoneticPr fontId="2" type="noConversion"/>
  </si>
  <si>
    <t>A086960</t>
    <phoneticPr fontId="2" type="noConversion"/>
  </si>
  <si>
    <t>A086980</t>
    <phoneticPr fontId="2" type="noConversion"/>
  </si>
  <si>
    <t>A087220</t>
    <phoneticPr fontId="2" type="noConversion"/>
  </si>
  <si>
    <t>A087730</t>
    <phoneticPr fontId="2" type="noConversion"/>
  </si>
  <si>
    <t>A088130</t>
    <phoneticPr fontId="2" type="noConversion"/>
  </si>
  <si>
    <t>A088290</t>
    <phoneticPr fontId="2" type="noConversion"/>
  </si>
  <si>
    <t>A088350</t>
    <phoneticPr fontId="2" type="noConversion"/>
  </si>
  <si>
    <t>A088700</t>
    <phoneticPr fontId="2" type="noConversion"/>
  </si>
  <si>
    <t>A088790</t>
    <phoneticPr fontId="2" type="noConversion"/>
  </si>
  <si>
    <t>A088800</t>
    <phoneticPr fontId="2" type="noConversion"/>
  </si>
  <si>
    <t>A088910</t>
    <phoneticPr fontId="2" type="noConversion"/>
  </si>
  <si>
    <t>A088980</t>
    <phoneticPr fontId="2" type="noConversion"/>
  </si>
  <si>
    <t>A089010</t>
    <phoneticPr fontId="2" type="noConversion"/>
  </si>
  <si>
    <t>A089140</t>
    <phoneticPr fontId="2" type="noConversion"/>
  </si>
  <si>
    <t>A089150</t>
    <phoneticPr fontId="2" type="noConversion"/>
  </si>
  <si>
    <t>A089230</t>
    <phoneticPr fontId="2" type="noConversion"/>
  </si>
  <si>
    <t>A089470</t>
    <phoneticPr fontId="2" type="noConversion"/>
  </si>
  <si>
    <t>A089530</t>
    <phoneticPr fontId="2" type="noConversion"/>
  </si>
  <si>
    <t>A089790</t>
    <phoneticPr fontId="2" type="noConversion"/>
  </si>
  <si>
    <t>A089890</t>
    <phoneticPr fontId="2" type="noConversion"/>
  </si>
  <si>
    <t>A089980</t>
    <phoneticPr fontId="2" type="noConversion"/>
  </si>
  <si>
    <t>A090080</t>
    <phoneticPr fontId="2" type="noConversion"/>
  </si>
  <si>
    <t>A090120</t>
    <phoneticPr fontId="2" type="noConversion"/>
  </si>
  <si>
    <t>A090150</t>
    <phoneticPr fontId="2" type="noConversion"/>
  </si>
  <si>
    <t>A090350</t>
    <phoneticPr fontId="2" type="noConversion"/>
  </si>
  <si>
    <t>A090360</t>
    <phoneticPr fontId="2" type="noConversion"/>
  </si>
  <si>
    <t>A090370</t>
    <phoneticPr fontId="2" type="noConversion"/>
  </si>
  <si>
    <t>A090470</t>
    <phoneticPr fontId="2" type="noConversion"/>
  </si>
  <si>
    <t>A090540</t>
    <phoneticPr fontId="2" type="noConversion"/>
  </si>
  <si>
    <t>A090710</t>
    <phoneticPr fontId="2" type="noConversion"/>
  </si>
  <si>
    <t>A090730</t>
    <phoneticPr fontId="2" type="noConversion"/>
  </si>
  <si>
    <t>A090740</t>
    <phoneticPr fontId="2" type="noConversion"/>
  </si>
  <si>
    <t>A090970</t>
    <phoneticPr fontId="2" type="noConversion"/>
  </si>
  <si>
    <t>A090980</t>
    <phoneticPr fontId="2" type="noConversion"/>
  </si>
  <si>
    <t>A090990</t>
    <phoneticPr fontId="2" type="noConversion"/>
  </si>
  <si>
    <t>A091000</t>
    <phoneticPr fontId="2" type="noConversion"/>
  </si>
  <si>
    <t>A091090</t>
    <phoneticPr fontId="2" type="noConversion"/>
  </si>
  <si>
    <t>A091120</t>
    <phoneticPr fontId="2" type="noConversion"/>
  </si>
  <si>
    <t>A091160</t>
    <phoneticPr fontId="2" type="noConversion"/>
  </si>
  <si>
    <t>A091170</t>
    <phoneticPr fontId="2" type="noConversion"/>
  </si>
  <si>
    <t>A091180</t>
    <phoneticPr fontId="2" type="noConversion"/>
  </si>
  <si>
    <t>A091190</t>
    <phoneticPr fontId="2" type="noConversion"/>
  </si>
  <si>
    <t>A091200</t>
    <phoneticPr fontId="2" type="noConversion"/>
  </si>
  <si>
    <t>A091210</t>
    <phoneticPr fontId="2" type="noConversion"/>
  </si>
  <si>
    <t>A091220</t>
    <phoneticPr fontId="2" type="noConversion"/>
  </si>
  <si>
    <t>A091230</t>
    <phoneticPr fontId="2" type="noConversion"/>
  </si>
  <si>
    <t>A091340</t>
    <phoneticPr fontId="2" type="noConversion"/>
  </si>
  <si>
    <t>A091440</t>
    <phoneticPr fontId="2" type="noConversion"/>
  </si>
  <si>
    <t>A091580</t>
    <phoneticPr fontId="2" type="noConversion"/>
  </si>
  <si>
    <t>A091590</t>
    <phoneticPr fontId="2" type="noConversion"/>
  </si>
  <si>
    <t>A091690</t>
    <phoneticPr fontId="2" type="noConversion"/>
  </si>
  <si>
    <t>A091970</t>
    <phoneticPr fontId="2" type="noConversion"/>
  </si>
  <si>
    <t>A092070</t>
    <phoneticPr fontId="2" type="noConversion"/>
  </si>
  <si>
    <t>A092130</t>
    <phoneticPr fontId="2" type="noConversion"/>
  </si>
  <si>
    <t>A092200</t>
    <phoneticPr fontId="2" type="noConversion"/>
  </si>
  <si>
    <t>A092220</t>
    <phoneticPr fontId="2" type="noConversion"/>
  </si>
  <si>
    <t>A092230</t>
    <phoneticPr fontId="2" type="noConversion"/>
  </si>
  <si>
    <t>A092300</t>
    <phoneticPr fontId="2" type="noConversion"/>
  </si>
  <si>
    <t>A092440</t>
    <phoneticPr fontId="2" type="noConversion"/>
  </si>
  <si>
    <t>A092460</t>
    <phoneticPr fontId="2" type="noConversion"/>
  </si>
  <si>
    <t>A092600</t>
    <phoneticPr fontId="2" type="noConversion"/>
  </si>
  <si>
    <t>A092630</t>
    <phoneticPr fontId="2" type="noConversion"/>
  </si>
  <si>
    <t>A092730</t>
    <phoneticPr fontId="2" type="noConversion"/>
  </si>
  <si>
    <t>A093190</t>
    <phoneticPr fontId="2" type="noConversion"/>
  </si>
  <si>
    <t>A093230</t>
    <phoneticPr fontId="2" type="noConversion"/>
  </si>
  <si>
    <t>A093240</t>
    <phoneticPr fontId="2" type="noConversion"/>
  </si>
  <si>
    <t>A093320</t>
    <phoneticPr fontId="2" type="noConversion"/>
  </si>
  <si>
    <t>A093380</t>
    <phoneticPr fontId="2" type="noConversion"/>
  </si>
  <si>
    <t>A093400</t>
    <phoneticPr fontId="2" type="noConversion"/>
  </si>
  <si>
    <t>A093410</t>
    <phoneticPr fontId="2" type="noConversion"/>
  </si>
  <si>
    <t>A093520</t>
    <phoneticPr fontId="2" type="noConversion"/>
  </si>
  <si>
    <t>A093640</t>
    <phoneticPr fontId="2" type="noConversion"/>
  </si>
  <si>
    <t>A093920</t>
    <phoneticPr fontId="2" type="noConversion"/>
  </si>
  <si>
    <t>A094280</t>
    <phoneticPr fontId="2" type="noConversion"/>
  </si>
  <si>
    <t>A094480</t>
    <phoneticPr fontId="2" type="noConversion"/>
  </si>
  <si>
    <t>A094800</t>
    <phoneticPr fontId="2" type="noConversion"/>
  </si>
  <si>
    <t>A094820</t>
    <phoneticPr fontId="2" type="noConversion"/>
  </si>
  <si>
    <t>A094840</t>
    <phoneticPr fontId="2" type="noConversion"/>
  </si>
  <si>
    <t>A094850</t>
    <phoneticPr fontId="2" type="noConversion"/>
  </si>
  <si>
    <t>A094860</t>
    <phoneticPr fontId="2" type="noConversion"/>
  </si>
  <si>
    <t>A094940</t>
    <phoneticPr fontId="2" type="noConversion"/>
  </si>
  <si>
    <t>A094970</t>
    <phoneticPr fontId="2" type="noConversion"/>
  </si>
  <si>
    <t>A095190</t>
    <phoneticPr fontId="2" type="noConversion"/>
  </si>
  <si>
    <t>A095270</t>
    <phoneticPr fontId="2" type="noConversion"/>
  </si>
  <si>
    <t>A095300</t>
    <phoneticPr fontId="2" type="noConversion"/>
  </si>
  <si>
    <t>A095340</t>
    <phoneticPr fontId="2" type="noConversion"/>
  </si>
  <si>
    <t>A095500</t>
    <phoneticPr fontId="2" type="noConversion"/>
  </si>
  <si>
    <t>A095610</t>
    <phoneticPr fontId="2" type="noConversion"/>
  </si>
  <si>
    <t>A095700</t>
    <phoneticPr fontId="2" type="noConversion"/>
  </si>
  <si>
    <t>A095910</t>
    <phoneticPr fontId="2" type="noConversion"/>
  </si>
  <si>
    <t>A096040</t>
    <phoneticPr fontId="2" type="noConversion"/>
  </si>
  <si>
    <t>A096240</t>
    <phoneticPr fontId="2" type="noConversion"/>
  </si>
  <si>
    <t>A096300</t>
    <phoneticPr fontId="2" type="noConversion"/>
  </si>
  <si>
    <t>A096350</t>
    <phoneticPr fontId="2" type="noConversion"/>
  </si>
  <si>
    <t>A096610</t>
    <phoneticPr fontId="2" type="noConversion"/>
  </si>
  <si>
    <t>A096630</t>
    <phoneticPr fontId="2" type="noConversion"/>
  </si>
  <si>
    <t>A096690</t>
    <phoneticPr fontId="2" type="noConversion"/>
  </si>
  <si>
    <t>A096760</t>
    <phoneticPr fontId="2" type="noConversion"/>
  </si>
  <si>
    <t>A096870</t>
    <phoneticPr fontId="2" type="noConversion"/>
  </si>
  <si>
    <t>A097520</t>
    <phoneticPr fontId="2" type="noConversion"/>
  </si>
  <si>
    <t>A097710</t>
    <phoneticPr fontId="2" type="noConversion"/>
  </si>
  <si>
    <t>A097720</t>
    <phoneticPr fontId="2" type="noConversion"/>
  </si>
  <si>
    <t>A097750</t>
    <phoneticPr fontId="2" type="noConversion"/>
  </si>
  <si>
    <t>A097780</t>
    <phoneticPr fontId="2" type="noConversion"/>
  </si>
  <si>
    <t>A097870</t>
    <phoneticPr fontId="2" type="noConversion"/>
  </si>
  <si>
    <t>A098120</t>
    <phoneticPr fontId="2" type="noConversion"/>
  </si>
  <si>
    <t>A098460</t>
    <phoneticPr fontId="2" type="noConversion"/>
  </si>
  <si>
    <t>A098560</t>
    <phoneticPr fontId="2" type="noConversion"/>
  </si>
  <si>
    <t>A098660</t>
    <phoneticPr fontId="2" type="noConversion"/>
  </si>
  <si>
    <t>A099140</t>
    <phoneticPr fontId="2" type="noConversion"/>
  </si>
  <si>
    <t>A099210</t>
    <phoneticPr fontId="2" type="noConversion"/>
  </si>
  <si>
    <t>A099220</t>
    <phoneticPr fontId="2" type="noConversion"/>
  </si>
  <si>
    <t>A099320</t>
    <phoneticPr fontId="2" type="noConversion"/>
  </si>
  <si>
    <t>A099340</t>
    <phoneticPr fontId="2" type="noConversion"/>
  </si>
  <si>
    <t>A099350</t>
    <phoneticPr fontId="2" type="noConversion"/>
  </si>
  <si>
    <t>A099410</t>
    <phoneticPr fontId="2" type="noConversion"/>
  </si>
  <si>
    <t>A099440</t>
    <phoneticPr fontId="2" type="noConversion"/>
  </si>
  <si>
    <t>A099520</t>
    <phoneticPr fontId="2" type="noConversion"/>
  </si>
  <si>
    <t>A099660</t>
    <phoneticPr fontId="2" type="noConversion"/>
  </si>
  <si>
    <t>A099830</t>
    <phoneticPr fontId="2" type="noConversion"/>
  </si>
  <si>
    <t>A100030</t>
    <phoneticPr fontId="2" type="noConversion"/>
  </si>
  <si>
    <t>A100090</t>
    <phoneticPr fontId="2" type="noConversion"/>
  </si>
  <si>
    <t>A100130</t>
    <phoneticPr fontId="2" type="noConversion"/>
  </si>
  <si>
    <t>A100220</t>
    <phoneticPr fontId="2" type="noConversion"/>
  </si>
  <si>
    <t>A100250</t>
    <phoneticPr fontId="2" type="noConversion"/>
  </si>
  <si>
    <t>A100660</t>
    <phoneticPr fontId="2" type="noConversion"/>
  </si>
  <si>
    <t>A100700</t>
    <phoneticPr fontId="2" type="noConversion"/>
  </si>
  <si>
    <t>A100840</t>
    <phoneticPr fontId="2" type="noConversion"/>
  </si>
  <si>
    <t>A100910</t>
    <phoneticPr fontId="2" type="noConversion"/>
  </si>
  <si>
    <t>A101000</t>
    <phoneticPr fontId="2" type="noConversion"/>
  </si>
  <si>
    <t>A101060</t>
    <phoneticPr fontId="2" type="noConversion"/>
  </si>
  <si>
    <t>A101140</t>
    <phoneticPr fontId="2" type="noConversion"/>
  </si>
  <si>
    <t>A101160</t>
    <phoneticPr fontId="2" type="noConversion"/>
  </si>
  <si>
    <t>A101170</t>
    <phoneticPr fontId="2" type="noConversion"/>
  </si>
  <si>
    <t>A101240</t>
    <phoneticPr fontId="2" type="noConversion"/>
  </si>
  <si>
    <t>A101280</t>
    <phoneticPr fontId="2" type="noConversion"/>
  </si>
  <si>
    <t>A101330</t>
    <phoneticPr fontId="2" type="noConversion"/>
  </si>
  <si>
    <t>A101390</t>
    <phoneticPr fontId="2" type="noConversion"/>
  </si>
  <si>
    <t>A101400</t>
    <phoneticPr fontId="2" type="noConversion"/>
  </si>
  <si>
    <t>A101490</t>
    <phoneticPr fontId="2" type="noConversion"/>
  </si>
  <si>
    <t>A101670</t>
    <phoneticPr fontId="2" type="noConversion"/>
  </si>
  <si>
    <t>A101680</t>
    <phoneticPr fontId="2" type="noConversion"/>
  </si>
  <si>
    <t>A101730</t>
    <phoneticPr fontId="2" type="noConversion"/>
  </si>
  <si>
    <t>A101930</t>
    <phoneticPr fontId="2" type="noConversion"/>
  </si>
  <si>
    <t>A101970</t>
    <phoneticPr fontId="2" type="noConversion"/>
  </si>
  <si>
    <t>A101990</t>
    <phoneticPr fontId="2" type="noConversion"/>
  </si>
  <si>
    <t>A102110</t>
    <phoneticPr fontId="2" type="noConversion"/>
  </si>
  <si>
    <t>A102120</t>
    <phoneticPr fontId="2" type="noConversion"/>
  </si>
  <si>
    <t>A102210</t>
    <phoneticPr fontId="2" type="noConversion"/>
  </si>
  <si>
    <t>A102260</t>
    <phoneticPr fontId="2" type="noConversion"/>
  </si>
  <si>
    <t>A102280</t>
    <phoneticPr fontId="2" type="noConversion"/>
  </si>
  <si>
    <t>A102460</t>
    <phoneticPr fontId="2" type="noConversion"/>
  </si>
  <si>
    <t>A102780</t>
    <phoneticPr fontId="2" type="noConversion"/>
  </si>
  <si>
    <t>A102960</t>
    <phoneticPr fontId="2" type="noConversion"/>
  </si>
  <si>
    <t>A102970</t>
    <phoneticPr fontId="2" type="noConversion"/>
  </si>
  <si>
    <t>A103130</t>
    <phoneticPr fontId="2" type="noConversion"/>
  </si>
  <si>
    <t>A103230</t>
    <phoneticPr fontId="2" type="noConversion"/>
  </si>
  <si>
    <t>A103590</t>
    <phoneticPr fontId="2" type="noConversion"/>
  </si>
  <si>
    <t>A104040</t>
    <phoneticPr fontId="2" type="noConversion"/>
  </si>
  <si>
    <t>A104110</t>
    <phoneticPr fontId="2" type="noConversion"/>
  </si>
  <si>
    <t>A104120</t>
    <phoneticPr fontId="2" type="noConversion"/>
  </si>
  <si>
    <t>A104200</t>
    <phoneticPr fontId="2" type="noConversion"/>
  </si>
  <si>
    <t>A104460</t>
    <phoneticPr fontId="2" type="noConversion"/>
  </si>
  <si>
    <t>A104480</t>
    <phoneticPr fontId="2" type="noConversion"/>
  </si>
  <si>
    <t>A104520</t>
    <phoneticPr fontId="2" type="noConversion"/>
  </si>
  <si>
    <t>A104530</t>
    <phoneticPr fontId="2" type="noConversion"/>
  </si>
  <si>
    <t>A104580</t>
    <phoneticPr fontId="2" type="noConversion"/>
  </si>
  <si>
    <t>A104700</t>
    <phoneticPr fontId="2" type="noConversion"/>
  </si>
  <si>
    <t>A105010</t>
    <phoneticPr fontId="2" type="noConversion"/>
  </si>
  <si>
    <t>A105020</t>
    <phoneticPr fontId="2" type="noConversion"/>
  </si>
  <si>
    <t>A105190</t>
    <phoneticPr fontId="2" type="noConversion"/>
  </si>
  <si>
    <t>A105270</t>
    <phoneticPr fontId="2" type="noConversion"/>
  </si>
  <si>
    <t>A105330</t>
    <phoneticPr fontId="2" type="noConversion"/>
  </si>
  <si>
    <t>A105740</t>
    <phoneticPr fontId="2" type="noConversion"/>
  </si>
  <si>
    <t>A105780</t>
    <phoneticPr fontId="2" type="noConversion"/>
  </si>
  <si>
    <t>A105840</t>
    <phoneticPr fontId="2" type="noConversion"/>
  </si>
  <si>
    <t>A106080</t>
    <phoneticPr fontId="2" type="noConversion"/>
  </si>
  <si>
    <t>A106190</t>
    <phoneticPr fontId="2" type="noConversion"/>
  </si>
  <si>
    <t>A106240</t>
    <phoneticPr fontId="2" type="noConversion"/>
  </si>
  <si>
    <t>A106520</t>
    <phoneticPr fontId="2" type="noConversion"/>
  </si>
  <si>
    <t>A107560</t>
    <phoneticPr fontId="2" type="noConversion"/>
  </si>
  <si>
    <t>A107590</t>
    <phoneticPr fontId="2" type="noConversion"/>
  </si>
  <si>
    <t>A108230</t>
    <phoneticPr fontId="2" type="noConversion"/>
  </si>
  <si>
    <t>A108440</t>
    <phoneticPr fontId="2" type="noConversion"/>
  </si>
  <si>
    <t>A108450</t>
    <phoneticPr fontId="2" type="noConversion"/>
  </si>
  <si>
    <t>A108480</t>
    <phoneticPr fontId="2" type="noConversion"/>
  </si>
  <si>
    <t>A108590</t>
    <phoneticPr fontId="2" type="noConversion"/>
  </si>
  <si>
    <t>A108630</t>
    <phoneticPr fontId="2" type="noConversion"/>
  </si>
  <si>
    <t>A108670</t>
    <phoneticPr fontId="2" type="noConversion"/>
  </si>
  <si>
    <t>A108860</t>
    <phoneticPr fontId="2" type="noConversion"/>
  </si>
  <si>
    <t>A109070</t>
    <phoneticPr fontId="2" type="noConversion"/>
  </si>
  <si>
    <t>A109080</t>
    <phoneticPr fontId="2" type="noConversion"/>
  </si>
  <si>
    <t>A109740</t>
    <phoneticPr fontId="2" type="noConversion"/>
  </si>
  <si>
    <t>A109820</t>
    <phoneticPr fontId="2" type="noConversion"/>
  </si>
  <si>
    <t>A109860</t>
    <phoneticPr fontId="2" type="noConversion"/>
  </si>
  <si>
    <t>A109960</t>
    <phoneticPr fontId="2" type="noConversion"/>
  </si>
  <si>
    <t>A110310</t>
    <phoneticPr fontId="2" type="noConversion"/>
  </si>
  <si>
    <t>A110500</t>
    <phoneticPr fontId="2" type="noConversion"/>
  </si>
  <si>
    <t>A110570</t>
    <phoneticPr fontId="2" type="noConversion"/>
  </si>
  <si>
    <t>A111610</t>
    <phoneticPr fontId="2" type="noConversion"/>
  </si>
  <si>
    <t>A111820</t>
    <phoneticPr fontId="2" type="noConversion"/>
  </si>
  <si>
    <t>A111870</t>
    <phoneticPr fontId="2" type="noConversion"/>
  </si>
  <si>
    <t>A112240</t>
    <phoneticPr fontId="2" type="noConversion"/>
  </si>
  <si>
    <t>A114100</t>
    <phoneticPr fontId="2" type="noConversion"/>
  </si>
  <si>
    <t>A114120</t>
    <phoneticPr fontId="2" type="noConversion"/>
  </si>
  <si>
    <t>A114190</t>
    <phoneticPr fontId="2" type="noConversion"/>
  </si>
  <si>
    <t>A114260</t>
    <phoneticPr fontId="2" type="noConversion"/>
  </si>
  <si>
    <t>A114450</t>
    <phoneticPr fontId="2" type="noConversion"/>
  </si>
  <si>
    <t>A114460</t>
    <phoneticPr fontId="2" type="noConversion"/>
  </si>
  <si>
    <t>A114470</t>
    <phoneticPr fontId="2" type="noConversion"/>
  </si>
  <si>
    <t>A114570</t>
    <phoneticPr fontId="2" type="noConversion"/>
  </si>
  <si>
    <t>A114630</t>
    <phoneticPr fontId="2" type="noConversion"/>
  </si>
  <si>
    <t>A114800</t>
    <phoneticPr fontId="2" type="noConversion"/>
  </si>
  <si>
    <t>A114820</t>
    <phoneticPr fontId="2" type="noConversion"/>
  </si>
  <si>
    <t>A115160</t>
    <phoneticPr fontId="2" type="noConversion"/>
  </si>
  <si>
    <t>A115310</t>
    <phoneticPr fontId="2" type="noConversion"/>
  </si>
  <si>
    <t>A115440</t>
    <phoneticPr fontId="2" type="noConversion"/>
  </si>
  <si>
    <t>A115450</t>
    <phoneticPr fontId="2" type="noConversion"/>
  </si>
  <si>
    <t>A115480</t>
    <phoneticPr fontId="2" type="noConversion"/>
  </si>
  <si>
    <t>A115500</t>
    <phoneticPr fontId="2" type="noConversion"/>
  </si>
  <si>
    <t>A115530</t>
    <phoneticPr fontId="2" type="noConversion"/>
  </si>
  <si>
    <t>A115570</t>
    <phoneticPr fontId="2" type="noConversion"/>
  </si>
  <si>
    <t>A115610</t>
    <phoneticPr fontId="2" type="noConversion"/>
  </si>
  <si>
    <t>A117460</t>
    <phoneticPr fontId="2" type="noConversion"/>
  </si>
  <si>
    <t>A117580</t>
    <phoneticPr fontId="2" type="noConversion"/>
  </si>
  <si>
    <t>A117670</t>
    <phoneticPr fontId="2" type="noConversion"/>
  </si>
  <si>
    <t>A117680</t>
    <phoneticPr fontId="2" type="noConversion"/>
  </si>
  <si>
    <t>A117690</t>
    <phoneticPr fontId="2" type="noConversion"/>
  </si>
  <si>
    <t>A117700</t>
    <phoneticPr fontId="2" type="noConversion"/>
  </si>
  <si>
    <t>A117740</t>
    <phoneticPr fontId="2" type="noConversion"/>
  </si>
  <si>
    <t>A118000</t>
    <phoneticPr fontId="2" type="noConversion"/>
  </si>
  <si>
    <t>A119250</t>
    <phoneticPr fontId="2" type="noConversion"/>
  </si>
  <si>
    <t>A119500</t>
    <phoneticPr fontId="2" type="noConversion"/>
  </si>
  <si>
    <t>A119650</t>
    <phoneticPr fontId="2" type="noConversion"/>
  </si>
  <si>
    <t>A119830</t>
    <phoneticPr fontId="2" type="noConversion"/>
  </si>
  <si>
    <t>A119860</t>
    <phoneticPr fontId="2" type="noConversion"/>
  </si>
  <si>
    <t>A120030</t>
    <phoneticPr fontId="2" type="noConversion"/>
  </si>
  <si>
    <t>A120210</t>
    <phoneticPr fontId="2" type="noConversion"/>
  </si>
  <si>
    <t>A120240</t>
    <phoneticPr fontId="2" type="noConversion"/>
  </si>
  <si>
    <t>A121550</t>
    <phoneticPr fontId="2" type="noConversion"/>
  </si>
  <si>
    <t>A121600</t>
    <phoneticPr fontId="2" type="noConversion"/>
  </si>
  <si>
    <t>A121800</t>
    <phoneticPr fontId="2" type="noConversion"/>
  </si>
  <si>
    <t>A121850</t>
    <phoneticPr fontId="2" type="noConversion"/>
  </si>
  <si>
    <t>A121890</t>
    <phoneticPr fontId="2" type="noConversion"/>
  </si>
  <si>
    <t>A121950</t>
    <phoneticPr fontId="2" type="noConversion"/>
  </si>
  <si>
    <t>A122090</t>
    <phoneticPr fontId="2" type="noConversion"/>
  </si>
  <si>
    <t>A122260</t>
    <phoneticPr fontId="2" type="noConversion"/>
  </si>
  <si>
    <t>A122290</t>
    <phoneticPr fontId="2" type="noConversion"/>
  </si>
  <si>
    <t>A122350</t>
    <phoneticPr fontId="2" type="noConversion"/>
  </si>
  <si>
    <t>A122390</t>
    <phoneticPr fontId="2" type="noConversion"/>
  </si>
  <si>
    <t>A122450</t>
    <phoneticPr fontId="2" type="noConversion"/>
  </si>
  <si>
    <t>A122630</t>
    <phoneticPr fontId="2" type="noConversion"/>
  </si>
  <si>
    <t>A122690</t>
    <phoneticPr fontId="2" type="noConversion"/>
  </si>
  <si>
    <t>A122750</t>
    <phoneticPr fontId="2" type="noConversion"/>
  </si>
  <si>
    <t>A122800</t>
    <phoneticPr fontId="2" type="noConversion"/>
  </si>
  <si>
    <t>A122900</t>
    <phoneticPr fontId="2" type="noConversion"/>
  </si>
  <si>
    <t>A122990</t>
    <phoneticPr fontId="2" type="noConversion"/>
  </si>
  <si>
    <t>A123040</t>
    <phoneticPr fontId="2" type="noConversion"/>
  </si>
  <si>
    <t>A123160</t>
    <phoneticPr fontId="2" type="noConversion"/>
  </si>
  <si>
    <t>A123260</t>
    <phoneticPr fontId="2" type="noConversion"/>
  </si>
  <si>
    <t>A123290</t>
    <phoneticPr fontId="2" type="noConversion"/>
  </si>
  <si>
    <t>A123300</t>
    <phoneticPr fontId="2" type="noConversion"/>
  </si>
  <si>
    <t>A123310</t>
    <phoneticPr fontId="2" type="noConversion"/>
  </si>
  <si>
    <t>A123320</t>
    <phoneticPr fontId="2" type="noConversion"/>
  </si>
  <si>
    <t>A123410</t>
    <phoneticPr fontId="2" type="noConversion"/>
  </si>
  <si>
    <t>A123420</t>
    <phoneticPr fontId="2" type="noConversion"/>
  </si>
  <si>
    <t>A123550</t>
    <phoneticPr fontId="2" type="noConversion"/>
  </si>
  <si>
    <t>A123570</t>
    <phoneticPr fontId="2" type="noConversion"/>
  </si>
  <si>
    <t>A123690</t>
    <phoneticPr fontId="2" type="noConversion"/>
  </si>
  <si>
    <t>A123700</t>
    <phoneticPr fontId="2" type="noConversion"/>
  </si>
  <si>
    <t>A123750</t>
    <phoneticPr fontId="2" type="noConversion"/>
  </si>
  <si>
    <t>A123760</t>
    <phoneticPr fontId="2" type="noConversion"/>
  </si>
  <si>
    <t>A123840</t>
    <phoneticPr fontId="2" type="noConversion"/>
  </si>
  <si>
    <t>A123860</t>
    <phoneticPr fontId="2" type="noConversion"/>
  </si>
  <si>
    <t>A123910</t>
    <phoneticPr fontId="2" type="noConversion"/>
  </si>
  <si>
    <t>A123930</t>
    <phoneticPr fontId="2" type="noConversion"/>
  </si>
  <si>
    <t>A124050</t>
    <phoneticPr fontId="2" type="noConversion"/>
  </si>
  <si>
    <t>A126560</t>
    <phoneticPr fontId="2" type="noConversion"/>
  </si>
  <si>
    <t>A126600</t>
    <phoneticPr fontId="2" type="noConversion"/>
  </si>
  <si>
    <t>A126640</t>
    <phoneticPr fontId="2" type="noConversion"/>
  </si>
  <si>
    <t>A126680</t>
    <phoneticPr fontId="2" type="noConversion"/>
  </si>
  <si>
    <t>A126700</t>
    <phoneticPr fontId="2" type="noConversion"/>
  </si>
  <si>
    <t>A126870</t>
    <phoneticPr fontId="2" type="noConversion"/>
  </si>
  <si>
    <t>A126880</t>
    <phoneticPr fontId="2" type="noConversion"/>
  </si>
  <si>
    <t>A127120</t>
    <phoneticPr fontId="2" type="noConversion"/>
  </si>
  <si>
    <t>A128660</t>
    <phoneticPr fontId="2" type="noConversion"/>
  </si>
  <si>
    <t>A128820</t>
    <phoneticPr fontId="2" type="noConversion"/>
  </si>
  <si>
    <t>A128910</t>
    <phoneticPr fontId="2" type="noConversion"/>
  </si>
  <si>
    <t>A128940</t>
    <phoneticPr fontId="2" type="noConversion"/>
  </si>
  <si>
    <t>A129260</t>
    <phoneticPr fontId="2" type="noConversion"/>
  </si>
  <si>
    <t>A129270</t>
    <phoneticPr fontId="2" type="noConversion"/>
  </si>
  <si>
    <t>A130580</t>
    <phoneticPr fontId="2" type="noConversion"/>
  </si>
  <si>
    <t>A130660</t>
    <phoneticPr fontId="2" type="noConversion"/>
  </si>
  <si>
    <t>A130680</t>
    <phoneticPr fontId="2" type="noConversion"/>
  </si>
  <si>
    <t>A130730</t>
    <phoneticPr fontId="2" type="noConversion"/>
  </si>
  <si>
    <t>A130740</t>
    <phoneticPr fontId="2" type="noConversion"/>
  </si>
  <si>
    <t>A131030</t>
    <phoneticPr fontId="2" type="noConversion"/>
  </si>
  <si>
    <t>A131090</t>
    <phoneticPr fontId="2" type="noConversion"/>
  </si>
  <si>
    <t>A131100</t>
    <phoneticPr fontId="2" type="noConversion"/>
  </si>
  <si>
    <t>A131180</t>
    <phoneticPr fontId="2" type="noConversion"/>
  </si>
  <si>
    <t>A131220</t>
    <phoneticPr fontId="2" type="noConversion"/>
  </si>
  <si>
    <t>A131290</t>
    <phoneticPr fontId="2" type="noConversion"/>
  </si>
  <si>
    <t>A131370</t>
    <phoneticPr fontId="2" type="noConversion"/>
  </si>
  <si>
    <t>A131390</t>
    <phoneticPr fontId="2" type="noConversion"/>
  </si>
  <si>
    <t>A131400</t>
    <phoneticPr fontId="2" type="noConversion"/>
  </si>
  <si>
    <t>A131890</t>
    <phoneticPr fontId="2" type="noConversion"/>
  </si>
  <si>
    <t>A132030</t>
    <phoneticPr fontId="2" type="noConversion"/>
  </si>
  <si>
    <t>A133690</t>
    <phoneticPr fontId="2" type="noConversion"/>
  </si>
  <si>
    <t>A134060</t>
    <phoneticPr fontId="2" type="noConversion"/>
  </si>
  <si>
    <t>A134380</t>
    <phoneticPr fontId="2" type="noConversion"/>
  </si>
  <si>
    <t>A134780</t>
    <phoneticPr fontId="2" type="noConversion"/>
  </si>
  <si>
    <t>A134790</t>
    <phoneticPr fontId="2" type="noConversion"/>
  </si>
  <si>
    <t>A136280</t>
    <phoneticPr fontId="2" type="noConversion"/>
  </si>
  <si>
    <t>A136340</t>
    <phoneticPr fontId="2" type="noConversion"/>
  </si>
  <si>
    <t>A136480</t>
    <phoneticPr fontId="2" type="noConversion"/>
  </si>
  <si>
    <t>A136490</t>
    <phoneticPr fontId="2" type="noConversion"/>
  </si>
  <si>
    <t>A136510</t>
    <phoneticPr fontId="2" type="noConversion"/>
  </si>
  <si>
    <t>A136540</t>
    <phoneticPr fontId="2" type="noConversion"/>
  </si>
  <si>
    <t>A137400</t>
    <phoneticPr fontId="2" type="noConversion"/>
  </si>
  <si>
    <t>A137610</t>
    <phoneticPr fontId="2" type="noConversion"/>
  </si>
  <si>
    <t>A137930</t>
    <phoneticPr fontId="2" type="noConversion"/>
  </si>
  <si>
    <t>A137940</t>
    <phoneticPr fontId="2" type="noConversion"/>
  </si>
  <si>
    <t>A137950</t>
    <phoneticPr fontId="2" type="noConversion"/>
  </si>
  <si>
    <t>A137990</t>
    <phoneticPr fontId="2" type="noConversion"/>
  </si>
  <si>
    <t>A138040</t>
    <phoneticPr fontId="2" type="noConversion"/>
  </si>
  <si>
    <t>A138070</t>
    <phoneticPr fontId="2" type="noConversion"/>
  </si>
  <si>
    <t>A138210</t>
    <phoneticPr fontId="2" type="noConversion"/>
  </si>
  <si>
    <t>A138230</t>
    <phoneticPr fontId="2" type="noConversion"/>
  </si>
  <si>
    <t>A138440</t>
    <phoneticPr fontId="2" type="noConversion"/>
  </si>
  <si>
    <t>A138490</t>
    <phoneticPr fontId="2" type="noConversion"/>
  </si>
  <si>
    <t>A138520</t>
    <phoneticPr fontId="2" type="noConversion"/>
  </si>
  <si>
    <t>A138530</t>
    <phoneticPr fontId="2" type="noConversion"/>
  </si>
  <si>
    <t>A138540</t>
    <phoneticPr fontId="2" type="noConversion"/>
  </si>
  <si>
    <t>A138610</t>
    <phoneticPr fontId="2" type="noConversion"/>
  </si>
  <si>
    <t>A138690</t>
    <phoneticPr fontId="2" type="noConversion"/>
  </si>
  <si>
    <t>A138910</t>
    <phoneticPr fontId="2" type="noConversion"/>
  </si>
  <si>
    <t>A138920</t>
    <phoneticPr fontId="2" type="noConversion"/>
  </si>
  <si>
    <t>A139050</t>
    <phoneticPr fontId="2" type="noConversion"/>
  </si>
  <si>
    <t>A139200</t>
    <phoneticPr fontId="2" type="noConversion"/>
  </si>
  <si>
    <t>A139220</t>
    <phoneticPr fontId="2" type="noConversion"/>
  </si>
  <si>
    <t>A139230</t>
    <phoneticPr fontId="2" type="noConversion"/>
  </si>
  <si>
    <t>A139240</t>
    <phoneticPr fontId="2" type="noConversion"/>
  </si>
  <si>
    <t>A139250</t>
    <phoneticPr fontId="2" type="noConversion"/>
  </si>
  <si>
    <t>A139260</t>
    <phoneticPr fontId="2" type="noConversion"/>
  </si>
  <si>
    <t>A139270</t>
    <phoneticPr fontId="2" type="noConversion"/>
  </si>
  <si>
    <t>A139280</t>
    <phoneticPr fontId="2" type="noConversion"/>
  </si>
  <si>
    <t>A139290</t>
    <phoneticPr fontId="2" type="noConversion"/>
  </si>
  <si>
    <t>A139300</t>
    <phoneticPr fontId="2" type="noConversion"/>
  </si>
  <si>
    <t>A139310</t>
    <phoneticPr fontId="2" type="noConversion"/>
  </si>
  <si>
    <t>A139320</t>
    <phoneticPr fontId="2" type="noConversion"/>
  </si>
  <si>
    <t>A139660</t>
    <phoneticPr fontId="2" type="noConversion"/>
  </si>
  <si>
    <t>A139670</t>
    <phoneticPr fontId="2" type="noConversion"/>
  </si>
  <si>
    <t>A140410</t>
    <phoneticPr fontId="2" type="noConversion"/>
  </si>
  <si>
    <t>A140570</t>
    <phoneticPr fontId="2" type="noConversion"/>
  </si>
  <si>
    <t>A140580</t>
    <phoneticPr fontId="2" type="noConversion"/>
  </si>
  <si>
    <t>A140700</t>
    <phoneticPr fontId="2" type="noConversion"/>
  </si>
  <si>
    <t>A140710</t>
    <phoneticPr fontId="2" type="noConversion"/>
  </si>
  <si>
    <t>A140890</t>
    <phoneticPr fontId="2" type="noConversion"/>
  </si>
  <si>
    <t>A140910</t>
    <phoneticPr fontId="2" type="noConversion"/>
  </si>
  <si>
    <t>A140950</t>
    <phoneticPr fontId="2" type="noConversion"/>
  </si>
  <si>
    <t>A141000</t>
    <phoneticPr fontId="2" type="noConversion"/>
  </si>
  <si>
    <t>A141240</t>
    <phoneticPr fontId="2" type="noConversion"/>
  </si>
  <si>
    <t>A141250</t>
    <phoneticPr fontId="2" type="noConversion"/>
  </si>
  <si>
    <t>A143160</t>
    <phoneticPr fontId="2" type="noConversion"/>
  </si>
  <si>
    <t>A143240</t>
    <phoneticPr fontId="2" type="noConversion"/>
  </si>
  <si>
    <t>A143460</t>
    <phoneticPr fontId="2" type="noConversion"/>
  </si>
  <si>
    <t>A143570</t>
    <phoneticPr fontId="2" type="noConversion"/>
  </si>
  <si>
    <t>A143850</t>
    <phoneticPr fontId="2" type="noConversion"/>
  </si>
  <si>
    <t>A143860</t>
    <phoneticPr fontId="2" type="noConversion"/>
  </si>
  <si>
    <t>A144600</t>
    <phoneticPr fontId="2" type="noConversion"/>
  </si>
  <si>
    <t>A144620</t>
    <phoneticPr fontId="2" type="noConversion"/>
  </si>
  <si>
    <t>A144670</t>
    <phoneticPr fontId="2" type="noConversion"/>
  </si>
  <si>
    <t>A144750</t>
    <phoneticPr fontId="2" type="noConversion"/>
  </si>
  <si>
    <t>A145270</t>
    <phoneticPr fontId="2" type="noConversion"/>
  </si>
  <si>
    <t>A145670</t>
    <phoneticPr fontId="2" type="noConversion"/>
  </si>
  <si>
    <t>A145850</t>
    <phoneticPr fontId="2" type="noConversion"/>
  </si>
  <si>
    <t>A145990</t>
    <phoneticPr fontId="2" type="noConversion"/>
  </si>
  <si>
    <t>A147830</t>
    <phoneticPr fontId="2" type="noConversion"/>
  </si>
  <si>
    <t>A147970</t>
    <phoneticPr fontId="2" type="noConversion"/>
  </si>
  <si>
    <t>A148020</t>
    <phoneticPr fontId="2" type="noConversion"/>
  </si>
  <si>
    <t>A148040</t>
    <phoneticPr fontId="2" type="noConversion"/>
  </si>
  <si>
    <t>A148070</t>
    <phoneticPr fontId="2" type="noConversion"/>
  </si>
  <si>
    <t>A149130</t>
    <phoneticPr fontId="2" type="noConversion"/>
  </si>
  <si>
    <t>A149940</t>
    <phoneticPr fontId="2" type="noConversion"/>
  </si>
  <si>
    <t>A150460</t>
    <phoneticPr fontId="2" type="noConversion"/>
  </si>
  <si>
    <t>A152100</t>
    <phoneticPr fontId="2" type="noConversion"/>
  </si>
  <si>
    <t>A152180</t>
    <phoneticPr fontId="2" type="noConversion"/>
  </si>
  <si>
    <t>A152280</t>
    <phoneticPr fontId="2" type="noConversion"/>
  </si>
  <si>
    <t>A152380</t>
    <phoneticPr fontId="2" type="noConversion"/>
  </si>
  <si>
    <t>A152500</t>
    <phoneticPr fontId="2" type="noConversion"/>
  </si>
  <si>
    <t>A152550</t>
    <phoneticPr fontId="2" type="noConversion"/>
  </si>
  <si>
    <t>A152870</t>
    <phoneticPr fontId="2" type="noConversion"/>
  </si>
  <si>
    <t>A153130</t>
    <phoneticPr fontId="2" type="noConversion"/>
  </si>
  <si>
    <t>A153270</t>
    <phoneticPr fontId="2" type="noConversion"/>
  </si>
  <si>
    <t>A153360</t>
    <phoneticPr fontId="2" type="noConversion"/>
  </si>
  <si>
    <t>A153460</t>
    <phoneticPr fontId="2" type="noConversion"/>
  </si>
  <si>
    <t>A155900</t>
    <phoneticPr fontId="2" type="noConversion"/>
  </si>
  <si>
    <t>A156080</t>
    <phoneticPr fontId="2" type="noConversion"/>
  </si>
  <si>
    <t>A157450</t>
    <phoneticPr fontId="2" type="noConversion"/>
  </si>
  <si>
    <t>A157490</t>
    <phoneticPr fontId="2" type="noConversion"/>
  </si>
  <si>
    <t>A157500</t>
    <phoneticPr fontId="2" type="noConversion"/>
  </si>
  <si>
    <t>A157510</t>
    <phoneticPr fontId="2" type="noConversion"/>
  </si>
  <si>
    <t>A157520</t>
    <phoneticPr fontId="2" type="noConversion"/>
  </si>
  <si>
    <t>A157650</t>
    <phoneticPr fontId="2" type="noConversion"/>
  </si>
  <si>
    <t>A159650</t>
    <phoneticPr fontId="2" type="noConversion"/>
  </si>
  <si>
    <t>A159800</t>
    <phoneticPr fontId="2" type="noConversion"/>
  </si>
  <si>
    <t>A161000</t>
    <phoneticPr fontId="2" type="noConversion"/>
  </si>
  <si>
    <t>A161390</t>
    <phoneticPr fontId="2" type="noConversion"/>
  </si>
  <si>
    <t>A161490</t>
    <phoneticPr fontId="2" type="noConversion"/>
  </si>
  <si>
    <t>A161500</t>
    <phoneticPr fontId="2" type="noConversion"/>
  </si>
  <si>
    <t>A161510</t>
    <phoneticPr fontId="2" type="noConversion"/>
  </si>
  <si>
    <t>A161520</t>
    <phoneticPr fontId="2" type="noConversion"/>
  </si>
  <si>
    <t>A161530</t>
    <phoneticPr fontId="2" type="noConversion"/>
  </si>
  <si>
    <t>A161540</t>
    <phoneticPr fontId="2" type="noConversion"/>
  </si>
  <si>
    <t>A161550</t>
    <phoneticPr fontId="2" type="noConversion"/>
  </si>
  <si>
    <t>A166060</t>
    <phoneticPr fontId="2" type="noConversion"/>
  </si>
  <si>
    <t>A900010</t>
    <phoneticPr fontId="2" type="noConversion"/>
  </si>
  <si>
    <t>A900040</t>
    <phoneticPr fontId="2" type="noConversion"/>
  </si>
  <si>
    <t>A900050</t>
    <phoneticPr fontId="2" type="noConversion"/>
  </si>
  <si>
    <t>A900060</t>
    <phoneticPr fontId="2" type="noConversion"/>
  </si>
  <si>
    <t>A900070</t>
    <phoneticPr fontId="2" type="noConversion"/>
  </si>
  <si>
    <t>A900080</t>
    <phoneticPr fontId="2" type="noConversion"/>
  </si>
  <si>
    <t>A900090</t>
    <phoneticPr fontId="2" type="noConversion"/>
  </si>
  <si>
    <t>A900100</t>
    <phoneticPr fontId="2" type="noConversion"/>
  </si>
  <si>
    <t>A900110</t>
    <phoneticPr fontId="2" type="noConversion"/>
  </si>
  <si>
    <t>A900120</t>
    <phoneticPr fontId="2" type="noConversion"/>
  </si>
  <si>
    <t>A900130</t>
    <phoneticPr fontId="2" type="noConversion"/>
  </si>
  <si>
    <t>A900140</t>
    <phoneticPr fontId="2" type="noConversion"/>
  </si>
  <si>
    <t>A900180</t>
    <phoneticPr fontId="2" type="noConversion"/>
  </si>
  <si>
    <t>A950010</t>
    <phoneticPr fontId="2" type="noConversion"/>
  </si>
  <si>
    <t>A950070</t>
    <phoneticPr fontId="2" type="noConversion"/>
  </si>
  <si>
    <t>A950100</t>
    <phoneticPr fontId="2" type="noConversion"/>
  </si>
  <si>
    <t>자본총계</t>
    <phoneticPr fontId="2" type="noConversion"/>
  </si>
  <si>
    <t>영업이익</t>
    <phoneticPr fontId="2" type="noConversion"/>
  </si>
  <si>
    <t>동화약품</t>
    <phoneticPr fontId="2" type="noConversion"/>
  </si>
  <si>
    <t>S&amp;T모터스</t>
    <phoneticPr fontId="2" type="noConversion"/>
  </si>
  <si>
    <t>경방</t>
    <phoneticPr fontId="2" type="noConversion"/>
  </si>
  <si>
    <t>메리츠화재</t>
    <phoneticPr fontId="2" type="noConversion"/>
  </si>
  <si>
    <t>삼양홀딩스</t>
    <phoneticPr fontId="2" type="noConversion"/>
  </si>
  <si>
    <t>하이트진로</t>
    <phoneticPr fontId="2" type="noConversion"/>
  </si>
  <si>
    <t>CJ대한통운</t>
    <phoneticPr fontId="2" type="noConversion"/>
  </si>
  <si>
    <t>하이트진로홀딩스</t>
    <phoneticPr fontId="2" type="noConversion"/>
  </si>
  <si>
    <t>두산</t>
    <phoneticPr fontId="2" type="noConversion"/>
  </si>
  <si>
    <t>성창기업지주</t>
    <phoneticPr fontId="2" type="noConversion"/>
  </si>
  <si>
    <t>대림산업</t>
    <phoneticPr fontId="2" type="noConversion"/>
  </si>
  <si>
    <t>유유제약</t>
    <phoneticPr fontId="2" type="noConversion"/>
  </si>
  <si>
    <t>일동제약</t>
    <phoneticPr fontId="2" type="noConversion"/>
  </si>
  <si>
    <t>한국타이어월드와이드</t>
    <phoneticPr fontId="2" type="noConversion"/>
  </si>
  <si>
    <t>삼천당제약</t>
    <phoneticPr fontId="2" type="noConversion"/>
  </si>
  <si>
    <t>기아차</t>
    <phoneticPr fontId="2" type="noConversion"/>
  </si>
  <si>
    <t>대유신소재</t>
    <phoneticPr fontId="2" type="noConversion"/>
  </si>
  <si>
    <t>노루홀딩스</t>
    <phoneticPr fontId="2" type="noConversion"/>
  </si>
  <si>
    <t>삼환기업</t>
    <phoneticPr fontId="2" type="noConversion"/>
  </si>
  <si>
    <t>한화손해보험</t>
    <phoneticPr fontId="2" type="noConversion"/>
  </si>
  <si>
    <t>삼화페인트</t>
    <phoneticPr fontId="2" type="noConversion"/>
  </si>
  <si>
    <t>롯데손해보험</t>
    <phoneticPr fontId="2" type="noConversion"/>
  </si>
  <si>
    <t>로케트전기</t>
    <phoneticPr fontId="2" type="noConversion"/>
  </si>
  <si>
    <t>대원강업</t>
    <phoneticPr fontId="2" type="noConversion"/>
  </si>
  <si>
    <t>중앙에너비스</t>
    <phoneticPr fontId="2" type="noConversion"/>
  </si>
  <si>
    <t>조선내화</t>
    <phoneticPr fontId="2" type="noConversion"/>
  </si>
  <si>
    <t>대동공업</t>
    <phoneticPr fontId="2" type="noConversion"/>
  </si>
  <si>
    <t>가온전선</t>
    <phoneticPr fontId="2" type="noConversion"/>
  </si>
  <si>
    <t>삼일제약</t>
    <phoneticPr fontId="2" type="noConversion"/>
  </si>
  <si>
    <t>흥국화재</t>
    <phoneticPr fontId="2" type="noConversion"/>
  </si>
  <si>
    <t>CS홀딩스</t>
    <phoneticPr fontId="2" type="noConversion"/>
  </si>
  <si>
    <t>동아쏘시오홀딩스</t>
    <phoneticPr fontId="2" type="noConversion"/>
  </si>
  <si>
    <t>천일고속</t>
    <phoneticPr fontId="2" type="noConversion"/>
  </si>
  <si>
    <t>SK하이닉스</t>
    <phoneticPr fontId="2" type="noConversion"/>
  </si>
  <si>
    <t>영풍</t>
    <phoneticPr fontId="2" type="noConversion"/>
  </si>
  <si>
    <t>LS네트웍스</t>
    <phoneticPr fontId="2" type="noConversion"/>
  </si>
  <si>
    <t>한진해운홀딩스</t>
    <phoneticPr fontId="2" type="noConversion"/>
  </si>
  <si>
    <t>현대건설</t>
    <phoneticPr fontId="2" type="noConversion"/>
  </si>
  <si>
    <t>이화산업</t>
    <phoneticPr fontId="2" type="noConversion"/>
  </si>
  <si>
    <t>경남기업</t>
    <phoneticPr fontId="2" type="noConversion"/>
  </si>
  <si>
    <t>삼성화재</t>
    <phoneticPr fontId="2" type="noConversion"/>
  </si>
  <si>
    <t>삼성물산</t>
    <phoneticPr fontId="2" type="noConversion"/>
  </si>
  <si>
    <t>화천기공</t>
    <phoneticPr fontId="2" type="noConversion"/>
  </si>
  <si>
    <t>건설화학</t>
    <phoneticPr fontId="2" type="noConversion"/>
  </si>
  <si>
    <t>한화</t>
    <phoneticPr fontId="2" type="noConversion"/>
  </si>
  <si>
    <t>보해양조</t>
    <phoneticPr fontId="2" type="noConversion"/>
  </si>
  <si>
    <t>유니온</t>
    <phoneticPr fontId="2" type="noConversion"/>
  </si>
  <si>
    <t>전방</t>
    <phoneticPr fontId="2" type="noConversion"/>
  </si>
  <si>
    <t>한국주철관</t>
    <phoneticPr fontId="2" type="noConversion"/>
  </si>
  <si>
    <t>동부하이텍</t>
    <phoneticPr fontId="2" type="noConversion"/>
  </si>
  <si>
    <t>신라섬유</t>
    <phoneticPr fontId="2" type="noConversion"/>
  </si>
  <si>
    <t>페이퍼코리아</t>
    <phoneticPr fontId="2" type="noConversion"/>
  </si>
  <si>
    <t>CJ</t>
    <phoneticPr fontId="2" type="noConversion"/>
  </si>
  <si>
    <t>JW중외제약</t>
    <phoneticPr fontId="2" type="noConversion"/>
  </si>
  <si>
    <t>대한방직</t>
    <phoneticPr fontId="2" type="noConversion"/>
  </si>
  <si>
    <t>만호제강</t>
    <phoneticPr fontId="2" type="noConversion"/>
  </si>
  <si>
    <t>LG상사</t>
    <phoneticPr fontId="2" type="noConversion"/>
  </si>
  <si>
    <t>대한제분</t>
    <phoneticPr fontId="2" type="noConversion"/>
  </si>
  <si>
    <t>국보</t>
    <phoneticPr fontId="2" type="noConversion"/>
  </si>
  <si>
    <t>유진투자증권</t>
    <phoneticPr fontId="2" type="noConversion"/>
  </si>
  <si>
    <t>금호전기</t>
    <phoneticPr fontId="2" type="noConversion"/>
  </si>
  <si>
    <t>동국제강</t>
    <phoneticPr fontId="2" type="noConversion"/>
  </si>
  <si>
    <t>GS글로벌</t>
    <phoneticPr fontId="2" type="noConversion"/>
  </si>
  <si>
    <t>남광토건</t>
    <phoneticPr fontId="2" type="noConversion"/>
  </si>
  <si>
    <t>부국증권</t>
    <phoneticPr fontId="2" type="noConversion"/>
  </si>
  <si>
    <t>골든브릿지증권</t>
    <phoneticPr fontId="2" type="noConversion"/>
  </si>
  <si>
    <t>제일모직</t>
    <phoneticPr fontId="2" type="noConversion"/>
  </si>
  <si>
    <t>백광산업</t>
    <phoneticPr fontId="2" type="noConversion"/>
  </si>
  <si>
    <t>삼성제약</t>
    <phoneticPr fontId="2" type="noConversion"/>
  </si>
  <si>
    <t>SG충남방적</t>
    <phoneticPr fontId="2" type="noConversion"/>
  </si>
  <si>
    <t>KG케미칼</t>
    <phoneticPr fontId="2" type="noConversion"/>
  </si>
  <si>
    <t>태원물산</t>
    <phoneticPr fontId="2" type="noConversion"/>
  </si>
  <si>
    <t>세아베스틸</t>
    <phoneticPr fontId="2" type="noConversion"/>
  </si>
  <si>
    <t>대한전선</t>
    <phoneticPr fontId="2" type="noConversion"/>
  </si>
  <si>
    <t>현대해상</t>
    <phoneticPr fontId="2" type="noConversion"/>
  </si>
  <si>
    <t>BYC</t>
    <phoneticPr fontId="2" type="noConversion"/>
  </si>
  <si>
    <t>삼부토건</t>
    <phoneticPr fontId="2" type="noConversion"/>
  </si>
  <si>
    <t>HMC투자증권</t>
    <phoneticPr fontId="2" type="noConversion"/>
  </si>
  <si>
    <t>SK증권</t>
    <phoneticPr fontId="2" type="noConversion"/>
  </si>
  <si>
    <t>동양</t>
    <phoneticPr fontId="2" type="noConversion"/>
  </si>
  <si>
    <t>동일방직</t>
    <phoneticPr fontId="2" type="noConversion"/>
  </si>
  <si>
    <t>안국약품</t>
    <phoneticPr fontId="2" type="noConversion"/>
  </si>
  <si>
    <t>조비</t>
    <phoneticPr fontId="2" type="noConversion"/>
  </si>
  <si>
    <t>제일연마</t>
    <phoneticPr fontId="2" type="noConversion"/>
  </si>
  <si>
    <t>금양</t>
    <phoneticPr fontId="2" type="noConversion"/>
  </si>
  <si>
    <t>동국실업</t>
    <phoneticPr fontId="2" type="noConversion"/>
  </si>
  <si>
    <t>종근당</t>
    <phoneticPr fontId="2" type="noConversion"/>
  </si>
  <si>
    <t>대상</t>
    <phoneticPr fontId="2" type="noConversion"/>
  </si>
  <si>
    <t>신영증권</t>
    <phoneticPr fontId="2" type="noConversion"/>
  </si>
  <si>
    <t>SK네트웍스</t>
    <phoneticPr fontId="2" type="noConversion"/>
  </si>
  <si>
    <t>한양증권</t>
    <phoneticPr fontId="2" type="noConversion"/>
  </si>
  <si>
    <t>신화실업</t>
    <phoneticPr fontId="2" type="noConversion"/>
  </si>
  <si>
    <t>동양강철</t>
    <phoneticPr fontId="2" type="noConversion"/>
  </si>
  <si>
    <t>대한제당</t>
    <phoneticPr fontId="2" type="noConversion"/>
  </si>
  <si>
    <t>오리온</t>
    <phoneticPr fontId="2" type="noConversion"/>
  </si>
  <si>
    <t>무림SP</t>
    <phoneticPr fontId="2" type="noConversion"/>
  </si>
  <si>
    <t>삼화콘덴서</t>
    <phoneticPr fontId="2" type="noConversion"/>
  </si>
  <si>
    <t>이화공영</t>
    <phoneticPr fontId="2" type="noConversion"/>
  </si>
  <si>
    <t>삼호</t>
    <phoneticPr fontId="2" type="noConversion"/>
  </si>
  <si>
    <t>KISCO홀딩스</t>
    <phoneticPr fontId="2" type="noConversion"/>
  </si>
  <si>
    <t>한국유리</t>
    <phoneticPr fontId="2" type="noConversion"/>
  </si>
  <si>
    <t>코오롱</t>
    <phoneticPr fontId="2" type="noConversion"/>
  </si>
  <si>
    <t>아세아시멘트</t>
    <phoneticPr fontId="2" type="noConversion"/>
  </si>
  <si>
    <t>남영비비안</t>
    <phoneticPr fontId="2" type="noConversion"/>
  </si>
  <si>
    <t>경농</t>
    <phoneticPr fontId="2" type="noConversion"/>
  </si>
  <si>
    <t>고려산업</t>
    <phoneticPr fontId="2" type="noConversion"/>
  </si>
  <si>
    <t>도화엔지니어링</t>
    <phoneticPr fontId="2" type="noConversion"/>
  </si>
  <si>
    <t>삼양통상</t>
    <phoneticPr fontId="2" type="noConversion"/>
  </si>
  <si>
    <t>수출포장</t>
    <phoneticPr fontId="2" type="noConversion"/>
  </si>
  <si>
    <t>동성제약</t>
    <phoneticPr fontId="2" type="noConversion"/>
  </si>
  <si>
    <t>한일철강</t>
    <phoneticPr fontId="2" type="noConversion"/>
  </si>
  <si>
    <t>피에스텍</t>
    <phoneticPr fontId="2" type="noConversion"/>
  </si>
  <si>
    <t>고려제강</t>
    <phoneticPr fontId="2" type="noConversion"/>
  </si>
  <si>
    <t>근화제약</t>
    <phoneticPr fontId="2" type="noConversion"/>
  </si>
  <si>
    <t>롯데푸드</t>
    <phoneticPr fontId="2" type="noConversion"/>
  </si>
  <si>
    <t>삼일기업공사</t>
    <phoneticPr fontId="2" type="noConversion"/>
  </si>
  <si>
    <t>한국제지</t>
    <phoneticPr fontId="2" type="noConversion"/>
  </si>
  <si>
    <t>아세아제지</t>
    <phoneticPr fontId="2" type="noConversion"/>
  </si>
  <si>
    <t>한진</t>
    <phoneticPr fontId="2" type="noConversion"/>
  </si>
  <si>
    <t>넥센타이어</t>
    <phoneticPr fontId="2" type="noConversion"/>
  </si>
  <si>
    <t>SH에너지화학</t>
    <phoneticPr fontId="2" type="noConversion"/>
  </si>
  <si>
    <t>KCC</t>
    <phoneticPr fontId="2" type="noConversion"/>
  </si>
  <si>
    <t>한독</t>
    <phoneticPr fontId="2" type="noConversion"/>
  </si>
  <si>
    <t>범양건영</t>
    <phoneticPr fontId="2" type="noConversion"/>
  </si>
  <si>
    <t>세기상사</t>
    <phoneticPr fontId="2" type="noConversion"/>
  </si>
  <si>
    <t>삼익악기</t>
    <phoneticPr fontId="2" type="noConversion"/>
  </si>
  <si>
    <t>화성산업</t>
    <phoneticPr fontId="2" type="noConversion"/>
  </si>
  <si>
    <t>벽산건설</t>
    <phoneticPr fontId="2" type="noConversion"/>
  </si>
  <si>
    <t>LIG손해보험</t>
    <phoneticPr fontId="2" type="noConversion"/>
  </si>
  <si>
    <t>조흥</t>
    <phoneticPr fontId="2" type="noConversion"/>
  </si>
  <si>
    <t>제일약품</t>
    <phoneticPr fontId="2" type="noConversion"/>
  </si>
  <si>
    <t>오리엔트바이오</t>
    <phoneticPr fontId="2" type="noConversion"/>
  </si>
  <si>
    <t>영남제분</t>
    <phoneticPr fontId="2" type="noConversion"/>
  </si>
  <si>
    <t>신일산업</t>
    <phoneticPr fontId="2" type="noConversion"/>
  </si>
  <si>
    <t>TCC동양</t>
    <phoneticPr fontId="2" type="noConversion"/>
  </si>
  <si>
    <t>국제약품</t>
    <phoneticPr fontId="2" type="noConversion"/>
  </si>
  <si>
    <t>보락</t>
    <phoneticPr fontId="2" type="noConversion"/>
  </si>
  <si>
    <t>진흥기업</t>
    <phoneticPr fontId="2" type="noConversion"/>
  </si>
  <si>
    <t>아모레G</t>
    <phoneticPr fontId="2" type="noConversion"/>
  </si>
  <si>
    <t>삼영무역</t>
    <phoneticPr fontId="2" type="noConversion"/>
  </si>
  <si>
    <t>선창산업</t>
    <phoneticPr fontId="2" type="noConversion"/>
  </si>
  <si>
    <t>미원상사</t>
    <phoneticPr fontId="2" type="noConversion"/>
  </si>
  <si>
    <t>신풍제지</t>
    <phoneticPr fontId="2" type="noConversion"/>
  </si>
  <si>
    <t>대유에이텍</t>
    <phoneticPr fontId="2" type="noConversion"/>
  </si>
  <si>
    <t>동양물산</t>
    <phoneticPr fontId="2" type="noConversion"/>
  </si>
  <si>
    <t>유성기업</t>
    <phoneticPr fontId="2" type="noConversion"/>
  </si>
  <si>
    <t>한국쉘석유</t>
    <phoneticPr fontId="2" type="noConversion"/>
  </si>
  <si>
    <t>금호산업</t>
    <phoneticPr fontId="2" type="noConversion"/>
  </si>
  <si>
    <t>부광약품</t>
    <phoneticPr fontId="2" type="noConversion"/>
  </si>
  <si>
    <t>혜인</t>
    <phoneticPr fontId="2" type="noConversion"/>
  </si>
  <si>
    <t>세아제강</t>
    <phoneticPr fontId="2" type="noConversion"/>
  </si>
  <si>
    <t>슈넬생명과학</t>
    <phoneticPr fontId="2" type="noConversion"/>
  </si>
  <si>
    <t>코오롱글로벌</t>
    <phoneticPr fontId="2" type="noConversion"/>
  </si>
  <si>
    <t>성보화학</t>
    <phoneticPr fontId="2" type="noConversion"/>
  </si>
  <si>
    <t>대웅</t>
    <phoneticPr fontId="2" type="noConversion"/>
  </si>
  <si>
    <t>선광</t>
    <phoneticPr fontId="2" type="noConversion"/>
  </si>
  <si>
    <t>일성신약</t>
    <phoneticPr fontId="2" type="noConversion"/>
  </si>
  <si>
    <t>디아이</t>
    <phoneticPr fontId="2" type="noConversion"/>
  </si>
  <si>
    <t>알앤엘바이오</t>
    <phoneticPr fontId="2" type="noConversion"/>
  </si>
  <si>
    <t>일신방직</t>
    <phoneticPr fontId="2" type="noConversion"/>
  </si>
  <si>
    <t>대원제약</t>
    <phoneticPr fontId="2" type="noConversion"/>
  </si>
  <si>
    <t>삼양식품</t>
    <phoneticPr fontId="2" type="noConversion"/>
  </si>
  <si>
    <t>태광산업</t>
    <phoneticPr fontId="2" type="noConversion"/>
  </si>
  <si>
    <t>흥아해운</t>
    <phoneticPr fontId="2" type="noConversion"/>
  </si>
  <si>
    <t>한일시멘트</t>
    <phoneticPr fontId="2" type="noConversion"/>
  </si>
  <si>
    <t>대주산업</t>
    <phoneticPr fontId="2" type="noConversion"/>
  </si>
  <si>
    <t>한국화장품제조</t>
    <phoneticPr fontId="2" type="noConversion"/>
  </si>
  <si>
    <t>쌍용양회</t>
    <phoneticPr fontId="2" type="noConversion"/>
  </si>
  <si>
    <t>현대증권</t>
    <phoneticPr fontId="2" type="noConversion"/>
  </si>
  <si>
    <t>유화증권</t>
    <phoneticPr fontId="2" type="noConversion"/>
  </si>
  <si>
    <t>동양증권</t>
    <phoneticPr fontId="2" type="noConversion"/>
  </si>
  <si>
    <t>한진중공업홀딩스</t>
    <phoneticPr fontId="2" type="noConversion"/>
  </si>
  <si>
    <t>대한항공</t>
    <phoneticPr fontId="2" type="noConversion"/>
  </si>
  <si>
    <t>영진약품</t>
    <phoneticPr fontId="2" type="noConversion"/>
  </si>
  <si>
    <t>한화투자증권</t>
    <phoneticPr fontId="2" type="noConversion"/>
  </si>
  <si>
    <t>대신증권</t>
    <phoneticPr fontId="2" type="noConversion"/>
  </si>
  <si>
    <t>LG</t>
    <phoneticPr fontId="2" type="noConversion"/>
  </si>
  <si>
    <t>IHQ</t>
    <phoneticPr fontId="2" type="noConversion"/>
  </si>
  <si>
    <t>S&amp;T중공업</t>
    <phoneticPr fontId="2" type="noConversion"/>
  </si>
  <si>
    <t>동원</t>
    <phoneticPr fontId="2" type="noConversion"/>
  </si>
  <si>
    <t>SK</t>
    <phoneticPr fontId="2" type="noConversion"/>
  </si>
  <si>
    <t>방림</t>
    <phoneticPr fontId="2" type="noConversion"/>
  </si>
  <si>
    <t>쌍용차</t>
    <phoneticPr fontId="2" type="noConversion"/>
  </si>
  <si>
    <t>유니온스틸</t>
    <phoneticPr fontId="2" type="noConversion"/>
  </si>
  <si>
    <t>미창석유</t>
    <phoneticPr fontId="2" type="noConversion"/>
  </si>
  <si>
    <t>포스코켐텍</t>
    <phoneticPr fontId="2" type="noConversion"/>
  </si>
  <si>
    <t>한성기업</t>
    <phoneticPr fontId="2" type="noConversion"/>
  </si>
  <si>
    <t>코리안리</t>
    <phoneticPr fontId="2" type="noConversion"/>
  </si>
  <si>
    <t>삼영화학</t>
    <phoneticPr fontId="2" type="noConversion"/>
  </si>
  <si>
    <t>진양산업</t>
    <phoneticPr fontId="2" type="noConversion"/>
  </si>
  <si>
    <t>에이스침대</t>
    <phoneticPr fontId="2" type="noConversion"/>
  </si>
  <si>
    <t>대한화섬</t>
    <phoneticPr fontId="2" type="noConversion"/>
  </si>
  <si>
    <t>보령제약</t>
    <phoneticPr fontId="2" type="noConversion"/>
  </si>
  <si>
    <t>남양유업</t>
    <phoneticPr fontId="2" type="noConversion"/>
  </si>
  <si>
    <t>삼양제넥스</t>
    <phoneticPr fontId="2" type="noConversion"/>
  </si>
  <si>
    <t>사조대림</t>
    <phoneticPr fontId="2" type="noConversion"/>
  </si>
  <si>
    <t>삼성정밀화학</t>
    <phoneticPr fontId="2" type="noConversion"/>
  </si>
  <si>
    <t>롯데미도파</t>
    <phoneticPr fontId="2" type="noConversion"/>
  </si>
  <si>
    <t>현대제철</t>
    <phoneticPr fontId="2" type="noConversion"/>
  </si>
  <si>
    <t>SG세계물산</t>
    <phoneticPr fontId="2" type="noConversion"/>
  </si>
  <si>
    <t>신흥</t>
    <phoneticPr fontId="2" type="noConversion"/>
  </si>
  <si>
    <t>한국석유</t>
    <phoneticPr fontId="2" type="noConversion"/>
  </si>
  <si>
    <t>태양금속</t>
    <phoneticPr fontId="2" type="noConversion"/>
  </si>
  <si>
    <t>대덕GDS</t>
    <phoneticPr fontId="2" type="noConversion"/>
  </si>
  <si>
    <t>동방</t>
    <phoneticPr fontId="2" type="noConversion"/>
  </si>
  <si>
    <t>한솔제지</t>
    <phoneticPr fontId="2" type="noConversion"/>
  </si>
  <si>
    <t>신세계</t>
    <phoneticPr fontId="2" type="noConversion"/>
  </si>
  <si>
    <t>고려개발</t>
    <phoneticPr fontId="2" type="noConversion"/>
  </si>
  <si>
    <t>NPC</t>
    <phoneticPr fontId="2" type="noConversion"/>
  </si>
  <si>
    <t>남성</t>
    <phoneticPr fontId="2" type="noConversion"/>
  </si>
  <si>
    <t>현대약품</t>
    <phoneticPr fontId="2" type="noConversion"/>
  </si>
  <si>
    <t>울트라건설</t>
    <phoneticPr fontId="2" type="noConversion"/>
  </si>
  <si>
    <t>세방</t>
    <phoneticPr fontId="2" type="noConversion"/>
  </si>
  <si>
    <t>농심</t>
    <phoneticPr fontId="2" type="noConversion"/>
  </si>
  <si>
    <t>삼익THK</t>
    <phoneticPr fontId="2" type="noConversion"/>
  </si>
  <si>
    <t>서울식품</t>
    <phoneticPr fontId="2" type="noConversion"/>
  </si>
  <si>
    <t>송원산업</t>
    <phoneticPr fontId="2" type="noConversion"/>
  </si>
  <si>
    <t>삼화왕관</t>
    <phoneticPr fontId="2" type="noConversion"/>
  </si>
  <si>
    <t>세방전지</t>
    <phoneticPr fontId="2" type="noConversion"/>
  </si>
  <si>
    <t>깨끗한나라</t>
    <phoneticPr fontId="2" type="noConversion"/>
  </si>
  <si>
    <t>현대비앤지스틸</t>
    <phoneticPr fontId="2" type="noConversion"/>
  </si>
  <si>
    <t>한국가구</t>
    <phoneticPr fontId="2" type="noConversion"/>
  </si>
  <si>
    <t>삼천리</t>
    <phoneticPr fontId="2" type="noConversion"/>
  </si>
  <si>
    <t>조광피혁</t>
    <phoneticPr fontId="2" type="noConversion"/>
  </si>
  <si>
    <t>한솔테크닉스</t>
    <phoneticPr fontId="2" type="noConversion"/>
  </si>
  <si>
    <t>우리들제약</t>
    <phoneticPr fontId="2" type="noConversion"/>
  </si>
  <si>
    <t>보루네오</t>
    <phoneticPr fontId="2" type="noConversion"/>
  </si>
  <si>
    <t>써니전자</t>
    <phoneticPr fontId="2" type="noConversion"/>
  </si>
  <si>
    <t>대륙제관</t>
    <phoneticPr fontId="2" type="noConversion"/>
  </si>
  <si>
    <t>기륭E&amp;E</t>
    <phoneticPr fontId="2" type="noConversion"/>
  </si>
  <si>
    <t>효성</t>
    <phoneticPr fontId="2" type="noConversion"/>
  </si>
  <si>
    <t>덕성</t>
    <phoneticPr fontId="2" type="noConversion"/>
  </si>
  <si>
    <t>DRB동일</t>
    <phoneticPr fontId="2" type="noConversion"/>
  </si>
  <si>
    <t>티웨이홀딩스</t>
    <phoneticPr fontId="2" type="noConversion"/>
  </si>
  <si>
    <t>동일산업</t>
    <phoneticPr fontId="2" type="noConversion"/>
  </si>
  <si>
    <t>조광페인트</t>
    <phoneticPr fontId="2" type="noConversion"/>
  </si>
  <si>
    <t>삼영홀딩스</t>
    <phoneticPr fontId="2" type="noConversion"/>
  </si>
  <si>
    <t>외환은행</t>
    <phoneticPr fontId="2" type="noConversion"/>
  </si>
  <si>
    <t>한신공영</t>
    <phoneticPr fontId="2" type="noConversion"/>
  </si>
  <si>
    <t>신라교역</t>
    <phoneticPr fontId="2" type="noConversion"/>
  </si>
  <si>
    <t>성신양회</t>
    <phoneticPr fontId="2" type="noConversion"/>
  </si>
  <si>
    <t>롯데제과</t>
    <phoneticPr fontId="2" type="noConversion"/>
  </si>
  <si>
    <t>휴스틸</t>
    <phoneticPr fontId="2" type="noConversion"/>
  </si>
  <si>
    <t>부산주공</t>
    <phoneticPr fontId="2" type="noConversion"/>
  </si>
  <si>
    <t>코스모신소재</t>
    <phoneticPr fontId="2" type="noConversion"/>
  </si>
  <si>
    <t>삼광글라스</t>
    <phoneticPr fontId="2" type="noConversion"/>
  </si>
  <si>
    <t>한창</t>
    <phoneticPr fontId="2" type="noConversion"/>
  </si>
  <si>
    <t>동국산업</t>
    <phoneticPr fontId="2" type="noConversion"/>
  </si>
  <si>
    <t>빙그레</t>
    <phoneticPr fontId="2" type="noConversion"/>
  </si>
  <si>
    <t>동성화학</t>
    <phoneticPr fontId="2" type="noConversion"/>
  </si>
  <si>
    <t>녹십자홀딩스</t>
    <phoneticPr fontId="2" type="noConversion"/>
  </si>
  <si>
    <t>동진쎄미켐</t>
    <phoneticPr fontId="2" type="noConversion"/>
  </si>
  <si>
    <t>롯데칠성</t>
    <phoneticPr fontId="2" type="noConversion"/>
  </si>
  <si>
    <t>국동</t>
    <phoneticPr fontId="2" type="noConversion"/>
  </si>
  <si>
    <t>모나미</t>
    <phoneticPr fontId="2" type="noConversion"/>
  </si>
  <si>
    <t>현대차</t>
    <phoneticPr fontId="2" type="noConversion"/>
  </si>
  <si>
    <t>신성통상</t>
    <phoneticPr fontId="2" type="noConversion"/>
  </si>
  <si>
    <t>코스모화학</t>
    <phoneticPr fontId="2" type="noConversion"/>
  </si>
  <si>
    <t>한국공항</t>
    <phoneticPr fontId="2" type="noConversion"/>
  </si>
  <si>
    <t>현대그린푸드</t>
    <phoneticPr fontId="2" type="noConversion"/>
  </si>
  <si>
    <t>신한</t>
    <phoneticPr fontId="2" type="noConversion"/>
  </si>
  <si>
    <t>POSCO</t>
    <phoneticPr fontId="2" type="noConversion"/>
  </si>
  <si>
    <t>삼진제약</t>
    <phoneticPr fontId="2" type="noConversion"/>
  </si>
  <si>
    <t>JS전선</t>
    <phoneticPr fontId="2" type="noConversion"/>
  </si>
  <si>
    <t>삼립식품</t>
    <phoneticPr fontId="2" type="noConversion"/>
  </si>
  <si>
    <t>대성합동지주</t>
    <phoneticPr fontId="2" type="noConversion"/>
  </si>
  <si>
    <t>푸드웰</t>
    <phoneticPr fontId="2" type="noConversion"/>
  </si>
  <si>
    <t>삼영전자</t>
    <phoneticPr fontId="2" type="noConversion"/>
  </si>
  <si>
    <t>파미셀</t>
    <phoneticPr fontId="2" type="noConversion"/>
  </si>
  <si>
    <t>대원산업</t>
    <phoneticPr fontId="2" type="noConversion"/>
  </si>
  <si>
    <t>넥센</t>
    <phoneticPr fontId="2" type="noConversion"/>
  </si>
  <si>
    <t>크라운제과</t>
    <phoneticPr fontId="2" type="noConversion"/>
  </si>
  <si>
    <t>대림B&amp;Co</t>
    <phoneticPr fontId="2" type="noConversion"/>
  </si>
  <si>
    <t>신영와코루</t>
    <phoneticPr fontId="2" type="noConversion"/>
  </si>
  <si>
    <t>풍산홀딩스</t>
    <phoneticPr fontId="2" type="noConversion"/>
  </si>
  <si>
    <t>원림</t>
    <phoneticPr fontId="2" type="noConversion"/>
  </si>
  <si>
    <t>동부화재</t>
    <phoneticPr fontId="2" type="noConversion"/>
  </si>
  <si>
    <t>에스엘</t>
    <phoneticPr fontId="2" type="noConversion"/>
  </si>
  <si>
    <t>한일사료</t>
    <phoneticPr fontId="2" type="noConversion"/>
  </si>
  <si>
    <t>휴니드</t>
    <phoneticPr fontId="2" type="noConversion"/>
  </si>
  <si>
    <t>대한해운</t>
    <phoneticPr fontId="2" type="noConversion"/>
  </si>
  <si>
    <t>동양건설</t>
    <phoneticPr fontId="2" type="noConversion"/>
  </si>
  <si>
    <t>이수화학</t>
    <phoneticPr fontId="2" type="noConversion"/>
  </si>
  <si>
    <t>동부건설</t>
    <phoneticPr fontId="2" type="noConversion"/>
  </si>
  <si>
    <t>성지건설</t>
    <phoneticPr fontId="2" type="noConversion"/>
  </si>
  <si>
    <t>매일유업</t>
    <phoneticPr fontId="2" type="noConversion"/>
  </si>
  <si>
    <t>동원산업</t>
    <phoneticPr fontId="2" type="noConversion"/>
  </si>
  <si>
    <t>국영지앤엠</t>
    <phoneticPr fontId="2" type="noConversion"/>
  </si>
  <si>
    <t>화승인더</t>
    <phoneticPr fontId="2" type="noConversion"/>
  </si>
  <si>
    <t>사조오양</t>
    <phoneticPr fontId="2" type="noConversion"/>
  </si>
  <si>
    <t>삼아알미늄</t>
    <phoneticPr fontId="2" type="noConversion"/>
  </si>
  <si>
    <t>SK케미칼</t>
    <phoneticPr fontId="2" type="noConversion"/>
  </si>
  <si>
    <t>피제이전자</t>
    <phoneticPr fontId="2" type="noConversion"/>
  </si>
  <si>
    <t>한국전자홀딩스</t>
    <phoneticPr fontId="2" type="noConversion"/>
  </si>
  <si>
    <t>제주은행</t>
    <phoneticPr fontId="2" type="noConversion"/>
  </si>
  <si>
    <t>LS</t>
    <phoneticPr fontId="2" type="noConversion"/>
  </si>
  <si>
    <t>녹십자</t>
    <phoneticPr fontId="2" type="noConversion"/>
  </si>
  <si>
    <t>대원전선</t>
    <phoneticPr fontId="2" type="noConversion"/>
  </si>
  <si>
    <t>전북은행</t>
    <phoneticPr fontId="2" type="noConversion"/>
  </si>
  <si>
    <t>GS건설</t>
    <phoneticPr fontId="2" type="noConversion"/>
  </si>
  <si>
    <t>대구백화점</t>
    <phoneticPr fontId="2" type="noConversion"/>
  </si>
  <si>
    <t>카프로</t>
    <phoneticPr fontId="2" type="noConversion"/>
  </si>
  <si>
    <t>현대시멘트</t>
    <phoneticPr fontId="2" type="noConversion"/>
  </si>
  <si>
    <t>삼성SDI</t>
    <phoneticPr fontId="2" type="noConversion"/>
  </si>
  <si>
    <t>한일건설</t>
    <phoneticPr fontId="2" type="noConversion"/>
  </si>
  <si>
    <t>로엔케이</t>
    <phoneticPr fontId="2" type="noConversion"/>
  </si>
  <si>
    <t>대림통상</t>
    <phoneticPr fontId="2" type="noConversion"/>
  </si>
  <si>
    <t>대양제지</t>
    <phoneticPr fontId="2" type="noConversion"/>
  </si>
  <si>
    <t>대한유화</t>
    <phoneticPr fontId="2" type="noConversion"/>
  </si>
  <si>
    <t>삼성공조</t>
    <phoneticPr fontId="2" type="noConversion"/>
  </si>
  <si>
    <t>서부T&amp;D</t>
    <phoneticPr fontId="2" type="noConversion"/>
  </si>
  <si>
    <t>영풍제지</t>
    <phoneticPr fontId="2" type="noConversion"/>
  </si>
  <si>
    <t>대우증권</t>
    <phoneticPr fontId="2" type="noConversion"/>
  </si>
  <si>
    <t>AK홀딩스</t>
    <phoneticPr fontId="2" type="noConversion"/>
  </si>
  <si>
    <t>태경화학</t>
    <phoneticPr fontId="2" type="noConversion"/>
  </si>
  <si>
    <t>보성파워텍</t>
    <phoneticPr fontId="2" type="noConversion"/>
  </si>
  <si>
    <t>모헨즈</t>
    <phoneticPr fontId="2" type="noConversion"/>
  </si>
  <si>
    <t>우성사료</t>
    <phoneticPr fontId="2" type="noConversion"/>
  </si>
  <si>
    <t>GS리테일</t>
    <phoneticPr fontId="2" type="noConversion"/>
  </si>
  <si>
    <t>일신석재</t>
    <phoneticPr fontId="2" type="noConversion"/>
  </si>
  <si>
    <t>디올메디바이오</t>
    <phoneticPr fontId="2" type="noConversion"/>
  </si>
  <si>
    <t>사조산업</t>
    <phoneticPr fontId="2" type="noConversion"/>
  </si>
  <si>
    <t>한솔아트원제지</t>
    <phoneticPr fontId="2" type="noConversion"/>
  </si>
  <si>
    <t>벽산</t>
    <phoneticPr fontId="2" type="noConversion"/>
  </si>
  <si>
    <t>한국특수형강</t>
    <phoneticPr fontId="2" type="noConversion"/>
  </si>
  <si>
    <t>오뚜기</t>
    <phoneticPr fontId="2" type="noConversion"/>
  </si>
  <si>
    <t>푸른저축은행</t>
    <phoneticPr fontId="2" type="noConversion"/>
  </si>
  <si>
    <t>동아타이어</t>
    <phoneticPr fontId="2" type="noConversion"/>
  </si>
  <si>
    <t>진양제약</t>
    <phoneticPr fontId="2" type="noConversion"/>
  </si>
  <si>
    <t>네이처셀</t>
    <phoneticPr fontId="2" type="noConversion"/>
  </si>
  <si>
    <t>나라케이아이씨</t>
    <phoneticPr fontId="2" type="noConversion"/>
  </si>
  <si>
    <t>대한은박지</t>
    <phoneticPr fontId="2" type="noConversion"/>
  </si>
  <si>
    <t>영신금속</t>
    <phoneticPr fontId="2" type="noConversion"/>
  </si>
  <si>
    <t>샘표식품</t>
    <phoneticPr fontId="2" type="noConversion"/>
  </si>
  <si>
    <t>일양약품</t>
    <phoneticPr fontId="2" type="noConversion"/>
  </si>
  <si>
    <t>동방아그로</t>
    <phoneticPr fontId="2" type="noConversion"/>
  </si>
  <si>
    <t>선도전기</t>
    <phoneticPr fontId="2" type="noConversion"/>
  </si>
  <si>
    <t>지에스인스트루</t>
    <phoneticPr fontId="2" type="noConversion"/>
  </si>
  <si>
    <t>이수페타시스</t>
    <phoneticPr fontId="2" type="noConversion"/>
  </si>
  <si>
    <t>국도화학</t>
    <phoneticPr fontId="2" type="noConversion"/>
  </si>
  <si>
    <t>F&amp;F</t>
    <phoneticPr fontId="2" type="noConversion"/>
  </si>
  <si>
    <t>대명엔터프라이즈</t>
    <phoneticPr fontId="2" type="noConversion"/>
  </si>
  <si>
    <t>한일화학</t>
    <phoneticPr fontId="2" type="noConversion"/>
  </si>
  <si>
    <t>코리아써키트</t>
    <phoneticPr fontId="2" type="noConversion"/>
  </si>
  <si>
    <t>신흥기계</t>
    <phoneticPr fontId="2" type="noConversion"/>
  </si>
  <si>
    <t>한일이화</t>
    <phoneticPr fontId="2" type="noConversion"/>
  </si>
  <si>
    <t>태평양물산</t>
    <phoneticPr fontId="2" type="noConversion"/>
  </si>
  <si>
    <t>웅진케미칼</t>
    <phoneticPr fontId="2" type="noConversion"/>
  </si>
  <si>
    <t>경남에너지</t>
    <phoneticPr fontId="2" type="noConversion"/>
  </si>
  <si>
    <t>동아원</t>
    <phoneticPr fontId="2" type="noConversion"/>
  </si>
  <si>
    <t>대덕전자</t>
    <phoneticPr fontId="2" type="noConversion"/>
  </si>
  <si>
    <t>삼양옵틱스</t>
    <phoneticPr fontId="2" type="noConversion"/>
  </si>
  <si>
    <t>대동전자</t>
    <phoneticPr fontId="2" type="noConversion"/>
  </si>
  <si>
    <t>이건산업</t>
    <phoneticPr fontId="2" type="noConversion"/>
  </si>
  <si>
    <t>NI스틸</t>
    <phoneticPr fontId="2" type="noConversion"/>
  </si>
  <si>
    <t>원풍물산</t>
    <phoneticPr fontId="2" type="noConversion"/>
  </si>
  <si>
    <t>남선알미늄</t>
    <phoneticPr fontId="2" type="noConversion"/>
  </si>
  <si>
    <t>원풍</t>
    <phoneticPr fontId="2" type="noConversion"/>
  </si>
  <si>
    <t>문배철강</t>
    <phoneticPr fontId="2" type="noConversion"/>
  </si>
  <si>
    <t>부스타</t>
    <phoneticPr fontId="2" type="noConversion"/>
  </si>
  <si>
    <t>서흥캅셀</t>
    <phoneticPr fontId="2" type="noConversion"/>
  </si>
  <si>
    <t>일정실업</t>
    <phoneticPr fontId="2" type="noConversion"/>
  </si>
  <si>
    <t>메리츠종금증권</t>
    <phoneticPr fontId="2" type="noConversion"/>
  </si>
  <si>
    <t>윌비스</t>
    <phoneticPr fontId="2" type="noConversion"/>
  </si>
  <si>
    <t>아남전자</t>
    <phoneticPr fontId="2" type="noConversion"/>
  </si>
  <si>
    <t>삼양엔텍</t>
    <phoneticPr fontId="2" type="noConversion"/>
  </si>
  <si>
    <t>율촌화학</t>
    <phoneticPr fontId="2" type="noConversion"/>
  </si>
  <si>
    <t>호텔신라</t>
    <phoneticPr fontId="2" type="noConversion"/>
  </si>
  <si>
    <t>행남자기</t>
    <phoneticPr fontId="2" type="noConversion"/>
  </si>
  <si>
    <t>대동기어</t>
    <phoneticPr fontId="2" type="noConversion"/>
  </si>
  <si>
    <t>금비</t>
    <phoneticPr fontId="2" type="noConversion"/>
  </si>
  <si>
    <t>티이씨앤코</t>
    <phoneticPr fontId="2" type="noConversion"/>
  </si>
  <si>
    <t>한미사이언스</t>
    <phoneticPr fontId="2" type="noConversion"/>
  </si>
  <si>
    <t>동양철관</t>
    <phoneticPr fontId="2" type="noConversion"/>
  </si>
  <si>
    <t>에듀언스</t>
    <phoneticPr fontId="2" type="noConversion"/>
  </si>
  <si>
    <t>KCTC</t>
    <phoneticPr fontId="2" type="noConversion"/>
  </si>
  <si>
    <t>경인전자</t>
    <phoneticPr fontId="2" type="noConversion"/>
  </si>
  <si>
    <t>삼성전기</t>
    <phoneticPr fontId="2" type="noConversion"/>
  </si>
  <si>
    <t>SIMPAC</t>
    <phoneticPr fontId="2" type="noConversion"/>
  </si>
  <si>
    <t>한솔CSN</t>
    <phoneticPr fontId="2" type="noConversion"/>
  </si>
  <si>
    <t>대양금속</t>
    <phoneticPr fontId="2" type="noConversion"/>
  </si>
  <si>
    <t>무림페이퍼</t>
    <phoneticPr fontId="2" type="noConversion"/>
  </si>
  <si>
    <t>한샘</t>
    <phoneticPr fontId="2" type="noConversion"/>
  </si>
  <si>
    <t>신원</t>
    <phoneticPr fontId="2" type="noConversion"/>
  </si>
  <si>
    <t>다함이텍</t>
    <phoneticPr fontId="2" type="noConversion"/>
  </si>
  <si>
    <t>광동제약</t>
    <phoneticPr fontId="2" type="noConversion"/>
  </si>
  <si>
    <t>삼아제약</t>
    <phoneticPr fontId="2" type="noConversion"/>
  </si>
  <si>
    <t>참엔지니어링</t>
    <phoneticPr fontId="2" type="noConversion"/>
  </si>
  <si>
    <t>대우부품</t>
    <phoneticPr fontId="2" type="noConversion"/>
  </si>
  <si>
    <t>아세아페이퍼텍</t>
    <phoneticPr fontId="2" type="noConversion"/>
  </si>
  <si>
    <t>태영건설</t>
    <phoneticPr fontId="2" type="noConversion"/>
  </si>
  <si>
    <t>한올바이오파마</t>
    <phoneticPr fontId="2" type="noConversion"/>
  </si>
  <si>
    <t>KC그린홀딩스</t>
    <phoneticPr fontId="2" type="noConversion"/>
  </si>
  <si>
    <t>경동나비엔</t>
    <phoneticPr fontId="2" type="noConversion"/>
  </si>
  <si>
    <t>한창제지</t>
    <phoneticPr fontId="2" type="noConversion"/>
  </si>
  <si>
    <t>삼화전기</t>
    <phoneticPr fontId="2" type="noConversion"/>
  </si>
  <si>
    <t>포스코엠텍</t>
    <phoneticPr fontId="2" type="noConversion"/>
  </si>
  <si>
    <t>현대중공업</t>
    <phoneticPr fontId="2" type="noConversion"/>
  </si>
  <si>
    <t>무림P&amp;P</t>
    <phoneticPr fontId="2" type="noConversion"/>
  </si>
  <si>
    <t>삼보산업</t>
    <phoneticPr fontId="2" type="noConversion"/>
  </si>
  <si>
    <t>모토닉</t>
    <phoneticPr fontId="2" type="noConversion"/>
  </si>
  <si>
    <t>DS제강</t>
    <phoneticPr fontId="2" type="noConversion"/>
  </si>
  <si>
    <t>삼정펄프</t>
    <phoneticPr fontId="2" type="noConversion"/>
  </si>
  <si>
    <t>엠에스씨</t>
    <phoneticPr fontId="2" type="noConversion"/>
  </si>
  <si>
    <t>고려포리머</t>
    <phoneticPr fontId="2" type="noConversion"/>
  </si>
  <si>
    <t>한화케미칼</t>
    <phoneticPr fontId="2" type="noConversion"/>
  </si>
  <si>
    <t>영원무역홀딩스</t>
    <phoneticPr fontId="2" type="noConversion"/>
  </si>
  <si>
    <t>한국내화</t>
    <phoneticPr fontId="2" type="noConversion"/>
  </si>
  <si>
    <t>금호종금</t>
    <phoneticPr fontId="2" type="noConversion"/>
  </si>
  <si>
    <t>OCI</t>
    <phoneticPr fontId="2" type="noConversion"/>
  </si>
  <si>
    <t>한국프랜지</t>
    <phoneticPr fontId="2" type="noConversion"/>
  </si>
  <si>
    <t>LS산전</t>
    <phoneticPr fontId="2" type="noConversion"/>
  </si>
  <si>
    <t>고려아연</t>
    <phoneticPr fontId="2" type="noConversion"/>
  </si>
  <si>
    <t>삼성중공업</t>
    <phoneticPr fontId="2" type="noConversion"/>
  </si>
  <si>
    <t>대한광통신</t>
    <phoneticPr fontId="2" type="noConversion"/>
  </si>
  <si>
    <t>흥국</t>
    <phoneticPr fontId="2" type="noConversion"/>
  </si>
  <si>
    <t>쌍용정보통신</t>
    <phoneticPr fontId="2" type="noConversion"/>
  </si>
  <si>
    <t>한솔PNS</t>
    <phoneticPr fontId="2" type="noConversion"/>
  </si>
  <si>
    <t>한국개발금융</t>
    <phoneticPr fontId="2" type="noConversion"/>
  </si>
  <si>
    <t>오리콤</t>
    <phoneticPr fontId="2" type="noConversion"/>
  </si>
  <si>
    <t>현대하이스코</t>
    <phoneticPr fontId="2" type="noConversion"/>
  </si>
  <si>
    <t>지코</t>
    <phoneticPr fontId="2" type="noConversion"/>
  </si>
  <si>
    <t>와이비로드</t>
    <phoneticPr fontId="2" type="noConversion"/>
  </si>
  <si>
    <t>현대미포조선</t>
    <phoneticPr fontId="2" type="noConversion"/>
  </si>
  <si>
    <t>진양폴리</t>
    <phoneticPr fontId="2" type="noConversion"/>
  </si>
  <si>
    <t>화천기계</t>
    <phoneticPr fontId="2" type="noConversion"/>
  </si>
  <si>
    <t>나노트로닉스</t>
    <phoneticPr fontId="2" type="noConversion"/>
  </si>
  <si>
    <t>화신</t>
    <phoneticPr fontId="2" type="noConversion"/>
  </si>
  <si>
    <t>평화홀딩스</t>
    <phoneticPr fontId="2" type="noConversion"/>
  </si>
  <si>
    <t>아이에스동서</t>
    <phoneticPr fontId="2" type="noConversion"/>
  </si>
  <si>
    <t>퍼스텍</t>
    <phoneticPr fontId="2" type="noConversion"/>
  </si>
  <si>
    <t>S-Oil</t>
    <phoneticPr fontId="2" type="noConversion"/>
  </si>
  <si>
    <t>삼호개발</t>
    <phoneticPr fontId="2" type="noConversion"/>
  </si>
  <si>
    <t>VGX인터</t>
    <phoneticPr fontId="2" type="noConversion"/>
  </si>
  <si>
    <t>경동제약</t>
    <phoneticPr fontId="2" type="noConversion"/>
  </si>
  <si>
    <t>LG이노텍</t>
    <phoneticPr fontId="2" type="noConversion"/>
  </si>
  <si>
    <t>우성I&amp;C</t>
    <phoneticPr fontId="2" type="noConversion"/>
  </si>
  <si>
    <t>에넥스</t>
    <phoneticPr fontId="2" type="noConversion"/>
  </si>
  <si>
    <t>CJ씨푸드</t>
    <phoneticPr fontId="2" type="noConversion"/>
  </si>
  <si>
    <t>두산건설</t>
    <phoneticPr fontId="2" type="noConversion"/>
  </si>
  <si>
    <t>롯데케미칼</t>
    <phoneticPr fontId="2" type="noConversion"/>
  </si>
  <si>
    <t>현대상선</t>
    <phoneticPr fontId="2" type="noConversion"/>
  </si>
  <si>
    <t>현대위아</t>
    <phoneticPr fontId="2" type="noConversion"/>
  </si>
  <si>
    <t>삼화전자</t>
    <phoneticPr fontId="2" type="noConversion"/>
  </si>
  <si>
    <t>태림포장</t>
    <phoneticPr fontId="2" type="noConversion"/>
  </si>
  <si>
    <t>성안</t>
    <phoneticPr fontId="2" type="noConversion"/>
  </si>
  <si>
    <t>유니크</t>
    <phoneticPr fontId="2" type="noConversion"/>
  </si>
  <si>
    <t>유니켐</t>
    <phoneticPr fontId="2" type="noConversion"/>
  </si>
  <si>
    <t>서한</t>
    <phoneticPr fontId="2" type="noConversion"/>
  </si>
  <si>
    <t>부산산업</t>
    <phoneticPr fontId="2" type="noConversion"/>
  </si>
  <si>
    <t>IB월드와이드</t>
    <phoneticPr fontId="2" type="noConversion"/>
  </si>
  <si>
    <t>한농화성</t>
    <phoneticPr fontId="2" type="noConversion"/>
  </si>
  <si>
    <t>세보엠이씨</t>
    <phoneticPr fontId="2" type="noConversion"/>
  </si>
  <si>
    <t>유양디앤유</t>
    <phoneticPr fontId="2" type="noConversion"/>
  </si>
  <si>
    <t>한신기계</t>
    <phoneticPr fontId="2" type="noConversion"/>
  </si>
  <si>
    <t>현대피앤씨</t>
    <phoneticPr fontId="2" type="noConversion"/>
  </si>
  <si>
    <t>현대상사</t>
    <phoneticPr fontId="2" type="noConversion"/>
  </si>
  <si>
    <t>금호석유</t>
    <phoneticPr fontId="2" type="noConversion"/>
  </si>
  <si>
    <t>SKC</t>
    <phoneticPr fontId="2" type="noConversion"/>
  </si>
  <si>
    <t>STX</t>
    <phoneticPr fontId="2" type="noConversion"/>
  </si>
  <si>
    <t>신성솔라에너지</t>
    <phoneticPr fontId="2" type="noConversion"/>
  </si>
  <si>
    <t>동부CNI</t>
    <phoneticPr fontId="2" type="noConversion"/>
  </si>
  <si>
    <t>영흥철강</t>
    <phoneticPr fontId="2" type="noConversion"/>
  </si>
  <si>
    <t>키스톤글로벌</t>
    <phoneticPr fontId="2" type="noConversion"/>
  </si>
  <si>
    <t>계양전기</t>
    <phoneticPr fontId="2" type="noConversion"/>
  </si>
  <si>
    <t>영화금속</t>
    <phoneticPr fontId="2" type="noConversion"/>
  </si>
  <si>
    <t>경동가스</t>
    <phoneticPr fontId="2" type="noConversion"/>
  </si>
  <si>
    <t>현대모비스</t>
    <phoneticPr fontId="2" type="noConversion"/>
  </si>
  <si>
    <t>뉴인텍</t>
    <phoneticPr fontId="2" type="noConversion"/>
  </si>
  <si>
    <t>글로스텍</t>
    <phoneticPr fontId="2" type="noConversion"/>
  </si>
  <si>
    <t>삼성테크윈</t>
    <phoneticPr fontId="2" type="noConversion"/>
  </si>
  <si>
    <t>더존비즈온</t>
    <phoneticPr fontId="2" type="noConversion"/>
  </si>
  <si>
    <t>청호컴넷</t>
    <phoneticPr fontId="2" type="noConversion"/>
  </si>
  <si>
    <t>경인양행</t>
    <phoneticPr fontId="2" type="noConversion"/>
  </si>
  <si>
    <t>원일특강</t>
    <phoneticPr fontId="2" type="noConversion"/>
  </si>
  <si>
    <t>현대산업</t>
    <phoneticPr fontId="2" type="noConversion"/>
  </si>
  <si>
    <t>쌍용건설</t>
    <phoneticPr fontId="2" type="noConversion"/>
  </si>
  <si>
    <t>모나리자</t>
    <phoneticPr fontId="2" type="noConversion"/>
  </si>
  <si>
    <t>리드코프</t>
    <phoneticPr fontId="2" type="noConversion"/>
  </si>
  <si>
    <t>에스원</t>
    <phoneticPr fontId="2" type="noConversion"/>
  </si>
  <si>
    <t>신일제약</t>
    <phoneticPr fontId="2" type="noConversion"/>
  </si>
  <si>
    <t>대창</t>
    <phoneticPr fontId="2" type="noConversion"/>
  </si>
  <si>
    <t>대동</t>
    <phoneticPr fontId="2" type="noConversion"/>
  </si>
  <si>
    <t>세우글로벌</t>
    <phoneticPr fontId="2" type="noConversion"/>
  </si>
  <si>
    <t>하이록코리아</t>
    <phoneticPr fontId="2" type="noConversion"/>
  </si>
  <si>
    <t>동원개발</t>
    <phoneticPr fontId="2" type="noConversion"/>
  </si>
  <si>
    <t>AJS</t>
    <phoneticPr fontId="2" type="noConversion"/>
  </si>
  <si>
    <t>일성건설</t>
    <phoneticPr fontId="2" type="noConversion"/>
  </si>
  <si>
    <t>동성하이켐</t>
    <phoneticPr fontId="2" type="noConversion"/>
  </si>
  <si>
    <t>화승알앤에이</t>
    <phoneticPr fontId="2" type="noConversion"/>
  </si>
  <si>
    <t>동양기전</t>
    <phoneticPr fontId="2" type="noConversion"/>
  </si>
  <si>
    <t>계룡건설</t>
    <phoneticPr fontId="2" type="noConversion"/>
  </si>
  <si>
    <t>삼환까뮤</t>
    <phoneticPr fontId="2" type="noConversion"/>
  </si>
  <si>
    <t>청보산업</t>
    <phoneticPr fontId="2" type="noConversion"/>
  </si>
  <si>
    <t>아큐텍</t>
    <phoneticPr fontId="2" type="noConversion"/>
  </si>
  <si>
    <t>스페코</t>
    <phoneticPr fontId="2" type="noConversion"/>
  </si>
  <si>
    <t>아가방컴퍼니</t>
    <phoneticPr fontId="2" type="noConversion"/>
  </si>
  <si>
    <t>보령메디앙스</t>
    <phoneticPr fontId="2" type="noConversion"/>
  </si>
  <si>
    <t>한익스프레스</t>
    <phoneticPr fontId="2" type="noConversion"/>
  </si>
  <si>
    <t>대영포장</t>
    <phoneticPr fontId="2" type="noConversion"/>
  </si>
  <si>
    <t>후너스</t>
    <phoneticPr fontId="2" type="noConversion"/>
  </si>
  <si>
    <t>광림</t>
    <phoneticPr fontId="2" type="noConversion"/>
  </si>
  <si>
    <t>금강공업</t>
    <phoneticPr fontId="2" type="noConversion"/>
  </si>
  <si>
    <t>선진지주</t>
    <phoneticPr fontId="2" type="noConversion"/>
  </si>
  <si>
    <t>신일건업</t>
    <phoneticPr fontId="2" type="noConversion"/>
  </si>
  <si>
    <t>영보화학</t>
    <phoneticPr fontId="2" type="noConversion"/>
  </si>
  <si>
    <t>리홈쿠첸</t>
    <phoneticPr fontId="2" type="noConversion"/>
  </si>
  <si>
    <t>극동유화</t>
    <phoneticPr fontId="2" type="noConversion"/>
  </si>
  <si>
    <t>고려제약</t>
    <phoneticPr fontId="2" type="noConversion"/>
  </si>
  <si>
    <t>백광소재</t>
    <phoneticPr fontId="2" type="noConversion"/>
  </si>
  <si>
    <t>성광벤드</t>
    <phoneticPr fontId="2" type="noConversion"/>
  </si>
  <si>
    <t>한솔케미칼</t>
    <phoneticPr fontId="2" type="noConversion"/>
  </si>
  <si>
    <t>사조씨푸드</t>
    <phoneticPr fontId="2" type="noConversion"/>
  </si>
  <si>
    <t>한라건설</t>
    <phoneticPr fontId="2" type="noConversion"/>
  </si>
  <si>
    <t>동원시스템즈</t>
    <phoneticPr fontId="2" type="noConversion"/>
  </si>
  <si>
    <t>유니드</t>
    <phoneticPr fontId="2" type="noConversion"/>
  </si>
  <si>
    <t>성문전자</t>
    <phoneticPr fontId="2" type="noConversion"/>
  </si>
  <si>
    <t>오리엔탈정공</t>
    <phoneticPr fontId="2" type="noConversion"/>
  </si>
  <si>
    <t>삼륭물산</t>
    <phoneticPr fontId="2" type="noConversion"/>
  </si>
  <si>
    <t>인디에프</t>
    <phoneticPr fontId="2" type="noConversion"/>
  </si>
  <si>
    <t>이스타코</t>
    <phoneticPr fontId="2" type="noConversion"/>
  </si>
  <si>
    <t>중앙건설</t>
    <phoneticPr fontId="2" type="noConversion"/>
  </si>
  <si>
    <t>대창단조</t>
    <phoneticPr fontId="2" type="noConversion"/>
  </si>
  <si>
    <t>에이엔피</t>
    <phoneticPr fontId="2" type="noConversion"/>
  </si>
  <si>
    <t>부산가스</t>
    <phoneticPr fontId="2" type="noConversion"/>
  </si>
  <si>
    <t>예스코</t>
    <phoneticPr fontId="2" type="noConversion"/>
  </si>
  <si>
    <t>트랜스더멀아시아홀딩스</t>
    <phoneticPr fontId="2" type="noConversion"/>
  </si>
  <si>
    <t>대경기계</t>
    <phoneticPr fontId="2" type="noConversion"/>
  </si>
  <si>
    <t>코콤</t>
    <phoneticPr fontId="2" type="noConversion"/>
  </si>
  <si>
    <t>성우하이텍</t>
    <phoneticPr fontId="2" type="noConversion"/>
  </si>
  <si>
    <t>한국전력</t>
    <phoneticPr fontId="2" type="noConversion"/>
  </si>
  <si>
    <t>일진홀딩스</t>
    <phoneticPr fontId="2" type="noConversion"/>
  </si>
  <si>
    <t>태경산업</t>
    <phoneticPr fontId="2" type="noConversion"/>
  </si>
  <si>
    <t>대현</t>
    <phoneticPr fontId="2" type="noConversion"/>
  </si>
  <si>
    <t>산성앨엔에스</t>
    <phoneticPr fontId="2" type="noConversion"/>
  </si>
  <si>
    <t>로엔</t>
    <phoneticPr fontId="2" type="noConversion"/>
  </si>
  <si>
    <t>이테크건설</t>
    <phoneticPr fontId="2" type="noConversion"/>
  </si>
  <si>
    <t>삼성증권</t>
    <phoneticPr fontId="2" type="noConversion"/>
  </si>
  <si>
    <t>동부제철</t>
    <phoneticPr fontId="2" type="noConversion"/>
  </si>
  <si>
    <t>NH농협증권</t>
    <phoneticPr fontId="2" type="noConversion"/>
  </si>
  <si>
    <t>한세예스24홀딩스</t>
    <phoneticPr fontId="2" type="noConversion"/>
  </si>
  <si>
    <t>태평양제약</t>
    <phoneticPr fontId="2" type="noConversion"/>
  </si>
  <si>
    <t>환인제약</t>
    <phoneticPr fontId="2" type="noConversion"/>
  </si>
  <si>
    <t>신대양제지</t>
    <phoneticPr fontId="2" type="noConversion"/>
  </si>
  <si>
    <t>큐캐피탈</t>
    <phoneticPr fontId="2" type="noConversion"/>
  </si>
  <si>
    <t>동부증권</t>
    <phoneticPr fontId="2" type="noConversion"/>
  </si>
  <si>
    <t>포비스티앤씨</t>
    <phoneticPr fontId="2" type="noConversion"/>
  </si>
  <si>
    <t>대성홀딩스</t>
    <phoneticPr fontId="2" type="noConversion"/>
  </si>
  <si>
    <t>퍼시스</t>
    <phoneticPr fontId="2" type="noConversion"/>
  </si>
  <si>
    <t>웅진홀딩스</t>
    <phoneticPr fontId="2" type="noConversion"/>
  </si>
  <si>
    <t>카스</t>
    <phoneticPr fontId="2" type="noConversion"/>
  </si>
  <si>
    <t>신원종합개발</t>
    <phoneticPr fontId="2" type="noConversion"/>
  </si>
  <si>
    <t>광명전기</t>
    <phoneticPr fontId="2" type="noConversion"/>
  </si>
  <si>
    <t>명문제약</t>
    <phoneticPr fontId="2" type="noConversion"/>
  </si>
  <si>
    <t>인터엠</t>
    <phoneticPr fontId="2" type="noConversion"/>
  </si>
  <si>
    <t>우신시스템</t>
    <phoneticPr fontId="2" type="noConversion"/>
  </si>
  <si>
    <t>서울가스</t>
    <phoneticPr fontId="2" type="noConversion"/>
  </si>
  <si>
    <t>삼현철강</t>
    <phoneticPr fontId="2" type="noConversion"/>
  </si>
  <si>
    <t>세명전기</t>
    <phoneticPr fontId="2" type="noConversion"/>
  </si>
  <si>
    <t>수산중공업</t>
    <phoneticPr fontId="2" type="noConversion"/>
  </si>
  <si>
    <t>대림제지</t>
    <phoneticPr fontId="2" type="noConversion"/>
  </si>
  <si>
    <t>SK텔레콤</t>
    <phoneticPr fontId="2" type="noConversion"/>
  </si>
  <si>
    <t>데코네티션</t>
    <phoneticPr fontId="2" type="noConversion"/>
  </si>
  <si>
    <t>현대엘리베이터</t>
    <phoneticPr fontId="2" type="noConversion"/>
  </si>
  <si>
    <t>풀무원홀딩스</t>
    <phoneticPr fontId="2" type="noConversion"/>
  </si>
  <si>
    <t>한국알콜</t>
    <phoneticPr fontId="2" type="noConversion"/>
  </si>
  <si>
    <t>광전자</t>
    <phoneticPr fontId="2" type="noConversion"/>
  </si>
  <si>
    <t>E1</t>
    <phoneticPr fontId="2" type="noConversion"/>
  </si>
  <si>
    <t>한국카본</t>
    <phoneticPr fontId="2" type="noConversion"/>
  </si>
  <si>
    <t>유니슨</t>
    <phoneticPr fontId="2" type="noConversion"/>
  </si>
  <si>
    <t>진로발효</t>
    <phoneticPr fontId="2" type="noConversion"/>
  </si>
  <si>
    <t>지엠피</t>
    <phoneticPr fontId="2" type="noConversion"/>
  </si>
  <si>
    <t>삼목에스폼</t>
    <phoneticPr fontId="2" type="noConversion"/>
  </si>
  <si>
    <t>조일알미늄</t>
    <phoneticPr fontId="2" type="noConversion"/>
  </si>
  <si>
    <t>동원금속</t>
    <phoneticPr fontId="2" type="noConversion"/>
  </si>
  <si>
    <t>우진비앤지</t>
    <phoneticPr fontId="2" type="noConversion"/>
  </si>
  <si>
    <t>SK가스</t>
    <phoneticPr fontId="2" type="noConversion"/>
  </si>
  <si>
    <t>서울제약</t>
    <phoneticPr fontId="2" type="noConversion"/>
  </si>
  <si>
    <t>바른손</t>
    <phoneticPr fontId="2" type="noConversion"/>
  </si>
  <si>
    <t>한라비스테온공조</t>
    <phoneticPr fontId="2" type="noConversion"/>
  </si>
  <si>
    <t>그랜드백화점</t>
    <phoneticPr fontId="2" type="noConversion"/>
  </si>
  <si>
    <t>신풍제약</t>
    <phoneticPr fontId="2" type="noConversion"/>
  </si>
  <si>
    <t>티에이치엔</t>
    <phoneticPr fontId="2" type="noConversion"/>
  </si>
  <si>
    <t>와이지-원</t>
    <phoneticPr fontId="2" type="noConversion"/>
  </si>
  <si>
    <t>동일제지</t>
    <phoneticPr fontId="2" type="noConversion"/>
  </si>
  <si>
    <t>세아특수강</t>
    <phoneticPr fontId="2" type="noConversion"/>
  </si>
  <si>
    <t>하이트론</t>
    <phoneticPr fontId="2" type="noConversion"/>
  </si>
  <si>
    <t>일지테크</t>
    <phoneticPr fontId="2" type="noConversion"/>
  </si>
  <si>
    <t>SBI인베스트먼트</t>
    <phoneticPr fontId="2" type="noConversion"/>
  </si>
  <si>
    <t>제미니투자</t>
    <phoneticPr fontId="2" type="noConversion"/>
  </si>
  <si>
    <t>엠벤처투자</t>
    <phoneticPr fontId="2" type="noConversion"/>
  </si>
  <si>
    <t>SBI글로벌</t>
    <phoneticPr fontId="2" type="noConversion"/>
  </si>
  <si>
    <t>대교</t>
    <phoneticPr fontId="2" type="noConversion"/>
  </si>
  <si>
    <t>탑금속</t>
    <phoneticPr fontId="2" type="noConversion"/>
  </si>
  <si>
    <t>에너토크</t>
    <phoneticPr fontId="2" type="noConversion"/>
  </si>
  <si>
    <t>한섬</t>
    <phoneticPr fontId="2" type="noConversion"/>
  </si>
  <si>
    <t>다우인큐브</t>
    <phoneticPr fontId="2" type="noConversion"/>
  </si>
  <si>
    <t>일진머티리얼즈</t>
    <phoneticPr fontId="2" type="noConversion"/>
  </si>
  <si>
    <t>대신정보통신</t>
    <phoneticPr fontId="2" type="noConversion"/>
  </si>
  <si>
    <t>대동금속</t>
    <phoneticPr fontId="2" type="noConversion"/>
  </si>
  <si>
    <t>아시아나항공</t>
    <phoneticPr fontId="2" type="noConversion"/>
  </si>
  <si>
    <t>시공테크</t>
    <phoneticPr fontId="2" type="noConversion"/>
  </si>
  <si>
    <t>일진디스플</t>
    <phoneticPr fontId="2" type="noConversion"/>
  </si>
  <si>
    <t>대호피앤씨</t>
    <phoneticPr fontId="2" type="noConversion"/>
  </si>
  <si>
    <t>서원</t>
    <phoneticPr fontId="2" type="noConversion"/>
  </si>
  <si>
    <t>에이티넘인베스트</t>
    <phoneticPr fontId="2" type="noConversion"/>
  </si>
  <si>
    <t>코웨이</t>
    <phoneticPr fontId="2" type="noConversion"/>
  </si>
  <si>
    <t>KCC건설</t>
    <phoneticPr fontId="2" type="noConversion"/>
  </si>
  <si>
    <t>한국큐빅</t>
    <phoneticPr fontId="2" type="noConversion"/>
  </si>
  <si>
    <t>세원정공</t>
    <phoneticPr fontId="2" type="noConversion"/>
  </si>
  <si>
    <t>씨엑스씨종합캐피탈</t>
    <phoneticPr fontId="2" type="noConversion"/>
  </si>
  <si>
    <t>우리파이낸셜</t>
    <phoneticPr fontId="2" type="noConversion"/>
  </si>
  <si>
    <t>포스코 ICT</t>
    <phoneticPr fontId="2" type="noConversion"/>
  </si>
  <si>
    <t>애강리메텍</t>
    <phoneticPr fontId="2" type="noConversion"/>
  </si>
  <si>
    <t>삼원강재</t>
    <phoneticPr fontId="2" type="noConversion"/>
  </si>
  <si>
    <t>MH에탄올</t>
    <phoneticPr fontId="2" type="noConversion"/>
  </si>
  <si>
    <t>태광</t>
    <phoneticPr fontId="2" type="noConversion"/>
  </si>
  <si>
    <t>한국종합기술</t>
    <phoneticPr fontId="2" type="noConversion"/>
  </si>
  <si>
    <t>유진기업</t>
    <phoneticPr fontId="2" type="noConversion"/>
  </si>
  <si>
    <t>인테그레이티드에너지</t>
    <phoneticPr fontId="2" type="noConversion"/>
  </si>
  <si>
    <t>제일제강</t>
    <phoneticPr fontId="2" type="noConversion"/>
  </si>
  <si>
    <t>동남합성</t>
    <phoneticPr fontId="2" type="noConversion"/>
  </si>
  <si>
    <t>CNH</t>
    <phoneticPr fontId="2" type="noConversion"/>
  </si>
  <si>
    <t>롯데쇼핑</t>
    <phoneticPr fontId="2" type="noConversion"/>
  </si>
  <si>
    <t>다우기술</t>
    <phoneticPr fontId="2" type="noConversion"/>
  </si>
  <si>
    <t>삼보판지</t>
    <phoneticPr fontId="2" type="noConversion"/>
  </si>
  <si>
    <t>한국캐피탈</t>
    <phoneticPr fontId="2" type="noConversion"/>
  </si>
  <si>
    <t>플레이위드</t>
    <phoneticPr fontId="2" type="noConversion"/>
  </si>
  <si>
    <t>동일철강</t>
    <phoneticPr fontId="2" type="noConversion"/>
  </si>
  <si>
    <t>인지컨트롤스</t>
    <phoneticPr fontId="2" type="noConversion"/>
  </si>
  <si>
    <t>인팩</t>
    <phoneticPr fontId="2" type="noConversion"/>
  </si>
  <si>
    <t>아트라스BX</t>
    <phoneticPr fontId="2" type="noConversion"/>
  </si>
  <si>
    <t>풍국주정</t>
    <phoneticPr fontId="2" type="noConversion"/>
  </si>
  <si>
    <t>대한약품</t>
    <phoneticPr fontId="2" type="noConversion"/>
  </si>
  <si>
    <t>에쓰씨엔지니어링</t>
    <phoneticPr fontId="2" type="noConversion"/>
  </si>
  <si>
    <t>흥구석유</t>
    <phoneticPr fontId="2" type="noConversion"/>
  </si>
  <si>
    <t>WISCOM</t>
    <phoneticPr fontId="2" type="noConversion"/>
  </si>
  <si>
    <t>디씨엠</t>
    <phoneticPr fontId="2" type="noConversion"/>
  </si>
  <si>
    <t>기업은행</t>
    <phoneticPr fontId="2" type="noConversion"/>
  </si>
  <si>
    <t>KB오토시스</t>
    <phoneticPr fontId="2" type="noConversion"/>
  </si>
  <si>
    <t>하림홀딩스</t>
    <phoneticPr fontId="2" type="noConversion"/>
  </si>
  <si>
    <t>한국콜마홀딩스</t>
    <phoneticPr fontId="2" type="noConversion"/>
  </si>
  <si>
    <t>한일단조</t>
    <phoneticPr fontId="2" type="noConversion"/>
  </si>
  <si>
    <t>유성티엔에스</t>
    <phoneticPr fontId="2" type="noConversion"/>
  </si>
  <si>
    <t>이화전기</t>
    <phoneticPr fontId="2" type="noConversion"/>
  </si>
  <si>
    <t>세원물산</t>
    <phoneticPr fontId="2" type="noConversion"/>
  </si>
  <si>
    <t>갑을메탈</t>
    <phoneticPr fontId="2" type="noConversion"/>
  </si>
  <si>
    <t>피에스엠씨</t>
    <phoneticPr fontId="2" type="noConversion"/>
  </si>
  <si>
    <t>케이피에프</t>
    <phoneticPr fontId="2" type="noConversion"/>
  </si>
  <si>
    <t>대원화성</t>
    <phoneticPr fontId="2" type="noConversion"/>
  </si>
  <si>
    <t>덕양산업</t>
    <phoneticPr fontId="2" type="noConversion"/>
  </si>
  <si>
    <t>경창산업</t>
    <phoneticPr fontId="2" type="noConversion"/>
  </si>
  <si>
    <t>PN풍년</t>
    <phoneticPr fontId="2" type="noConversion"/>
  </si>
  <si>
    <t>삼천리자전거</t>
    <phoneticPr fontId="2" type="noConversion"/>
  </si>
  <si>
    <t>KPX케미칼</t>
    <phoneticPr fontId="2" type="noConversion"/>
  </si>
  <si>
    <t>부산방직</t>
    <phoneticPr fontId="2" type="noConversion"/>
  </si>
  <si>
    <t>시노펙스</t>
    <phoneticPr fontId="2" type="noConversion"/>
  </si>
  <si>
    <t>대성엘텍</t>
    <phoneticPr fontId="2" type="noConversion"/>
  </si>
  <si>
    <t>SJM홀딩스</t>
    <phoneticPr fontId="2" type="noConversion"/>
  </si>
  <si>
    <t>한국단자</t>
    <phoneticPr fontId="2" type="noConversion"/>
  </si>
  <si>
    <t>한국선재</t>
    <phoneticPr fontId="2" type="noConversion"/>
  </si>
  <si>
    <t>미래산업</t>
    <phoneticPr fontId="2" type="noConversion"/>
  </si>
  <si>
    <t>신우</t>
    <phoneticPr fontId="2" type="noConversion"/>
  </si>
  <si>
    <t>한솔홈데코</t>
    <phoneticPr fontId="2" type="noConversion"/>
  </si>
  <si>
    <t>한국정보통신</t>
    <phoneticPr fontId="2" type="noConversion"/>
  </si>
  <si>
    <t>이구산업</t>
    <phoneticPr fontId="2" type="noConversion"/>
  </si>
  <si>
    <t>KPX화인케미칼</t>
    <phoneticPr fontId="2" type="noConversion"/>
  </si>
  <si>
    <t>남해화학</t>
    <phoneticPr fontId="2" type="noConversion"/>
  </si>
  <si>
    <t>신라에스지</t>
    <phoneticPr fontId="2" type="noConversion"/>
  </si>
  <si>
    <t>케이씨피드</t>
    <phoneticPr fontId="2" type="noConversion"/>
  </si>
  <si>
    <t>한국주강</t>
    <phoneticPr fontId="2" type="noConversion"/>
  </si>
  <si>
    <t>동화홀딩스</t>
    <phoneticPr fontId="2" type="noConversion"/>
  </si>
  <si>
    <t>우경</t>
    <phoneticPr fontId="2" type="noConversion"/>
  </si>
  <si>
    <t>동신건설</t>
    <phoneticPr fontId="2" type="noConversion"/>
  </si>
  <si>
    <t>에머슨퍼시픽</t>
    <phoneticPr fontId="2" type="noConversion"/>
  </si>
  <si>
    <t>로만손</t>
    <phoneticPr fontId="2" type="noConversion"/>
  </si>
  <si>
    <t>특수건설</t>
    <phoneticPr fontId="2" type="noConversion"/>
  </si>
  <si>
    <t>현대정보기술</t>
    <phoneticPr fontId="2" type="noConversion"/>
  </si>
  <si>
    <t>삼우이엠씨</t>
    <phoneticPr fontId="2" type="noConversion"/>
  </si>
  <si>
    <t>아이디엔</t>
    <phoneticPr fontId="2" type="noConversion"/>
  </si>
  <si>
    <t>코원에너지서비스</t>
    <phoneticPr fontId="2" type="noConversion"/>
  </si>
  <si>
    <t>디피씨</t>
    <phoneticPr fontId="2" type="noConversion"/>
  </si>
  <si>
    <t>광진실업</t>
    <phoneticPr fontId="2" type="noConversion"/>
  </si>
  <si>
    <t>부국철강</t>
    <phoneticPr fontId="2" type="noConversion"/>
  </si>
  <si>
    <t>동서</t>
    <phoneticPr fontId="2" type="noConversion"/>
  </si>
  <si>
    <t>서울전자통신</t>
    <phoneticPr fontId="2" type="noConversion"/>
  </si>
  <si>
    <t>코리아나</t>
    <phoneticPr fontId="2" type="noConversion"/>
  </si>
  <si>
    <t>한화타임월드</t>
    <phoneticPr fontId="2" type="noConversion"/>
  </si>
  <si>
    <t>상보</t>
    <phoneticPr fontId="2" type="noConversion"/>
  </si>
  <si>
    <t>팜스토리</t>
    <phoneticPr fontId="2" type="noConversion"/>
  </si>
  <si>
    <t>마니커</t>
    <phoneticPr fontId="2" type="noConversion"/>
  </si>
  <si>
    <t>대성창투</t>
    <phoneticPr fontId="2" type="noConversion"/>
  </si>
  <si>
    <t>세하</t>
    <phoneticPr fontId="2" type="noConversion"/>
  </si>
  <si>
    <t>파캔OPC</t>
    <phoneticPr fontId="2" type="noConversion"/>
  </si>
  <si>
    <t>휴맥스홀딩스</t>
    <phoneticPr fontId="2" type="noConversion"/>
  </si>
  <si>
    <t>네오퍼플</t>
    <phoneticPr fontId="2" type="noConversion"/>
  </si>
  <si>
    <t>동아지질</t>
    <phoneticPr fontId="2" type="noConversion"/>
  </si>
  <si>
    <t>GS홈쇼핑</t>
    <phoneticPr fontId="2" type="noConversion"/>
  </si>
  <si>
    <t>에이치엘비</t>
    <phoneticPr fontId="2" type="noConversion"/>
  </si>
  <si>
    <t>STX팬오션</t>
    <phoneticPr fontId="2" type="noConversion"/>
  </si>
  <si>
    <t>케이씨텍</t>
    <phoneticPr fontId="2" type="noConversion"/>
  </si>
  <si>
    <t>케이디씨</t>
    <phoneticPr fontId="2" type="noConversion"/>
  </si>
  <si>
    <t>신도리코</t>
    <phoneticPr fontId="2" type="noConversion"/>
  </si>
  <si>
    <t>삼성카드</t>
    <phoneticPr fontId="2" type="noConversion"/>
  </si>
  <si>
    <t>코엔텍</t>
    <phoneticPr fontId="2" type="noConversion"/>
  </si>
  <si>
    <t>제일기획</t>
    <phoneticPr fontId="2" type="noConversion"/>
  </si>
  <si>
    <t>NICE평가정보</t>
    <phoneticPr fontId="2" type="noConversion"/>
  </si>
  <si>
    <t>KT</t>
    <phoneticPr fontId="2" type="noConversion"/>
  </si>
  <si>
    <t>KTB투자증권</t>
    <phoneticPr fontId="2" type="noConversion"/>
  </si>
  <si>
    <t>가희</t>
    <phoneticPr fontId="2" type="noConversion"/>
  </si>
  <si>
    <t>드래곤플라이</t>
    <phoneticPr fontId="2" type="noConversion"/>
  </si>
  <si>
    <t>한글과컴퓨터</t>
    <phoneticPr fontId="2" type="noConversion"/>
  </si>
  <si>
    <t>원익IPS</t>
    <phoneticPr fontId="2" type="noConversion"/>
  </si>
  <si>
    <t>교보증권</t>
    <phoneticPr fontId="2" type="noConversion"/>
  </si>
  <si>
    <t>동원수산</t>
    <phoneticPr fontId="2" type="noConversion"/>
  </si>
  <si>
    <t>동양네트웍스</t>
    <phoneticPr fontId="2" type="noConversion"/>
  </si>
  <si>
    <t>양지사</t>
    <phoneticPr fontId="2" type="noConversion"/>
  </si>
  <si>
    <t>아이즈비전</t>
    <phoneticPr fontId="2" type="noConversion"/>
  </si>
  <si>
    <t>에스에이엠티</t>
    <phoneticPr fontId="2" type="noConversion"/>
  </si>
  <si>
    <t>녹십자셀</t>
    <phoneticPr fontId="2" type="noConversion"/>
  </si>
  <si>
    <t>신세계인터내셔날</t>
    <phoneticPr fontId="2" type="noConversion"/>
  </si>
  <si>
    <t>신세계푸드</t>
    <phoneticPr fontId="2" type="noConversion"/>
  </si>
  <si>
    <t>오스템</t>
    <phoneticPr fontId="2" type="noConversion"/>
  </si>
  <si>
    <t>콤텍시스템</t>
    <phoneticPr fontId="2" type="noConversion"/>
  </si>
  <si>
    <t>에이모션</t>
    <phoneticPr fontId="2" type="noConversion"/>
  </si>
  <si>
    <t>신민저축은행</t>
    <phoneticPr fontId="2" type="noConversion"/>
  </si>
  <si>
    <t>피에스케이</t>
    <phoneticPr fontId="2" type="noConversion"/>
  </si>
  <si>
    <t>C&amp;S자산관리</t>
    <phoneticPr fontId="2" type="noConversion"/>
  </si>
  <si>
    <t>아즈텍WB</t>
    <phoneticPr fontId="2" type="noConversion"/>
  </si>
  <si>
    <t>다우데이타</t>
    <phoneticPr fontId="2" type="noConversion"/>
  </si>
  <si>
    <t>삼일</t>
    <phoneticPr fontId="2" type="noConversion"/>
  </si>
  <si>
    <t>롯데관광개발</t>
    <phoneticPr fontId="2" type="noConversion"/>
  </si>
  <si>
    <t>터보테크</t>
    <phoneticPr fontId="2" type="noConversion"/>
  </si>
  <si>
    <t>케이엠더블유</t>
    <phoneticPr fontId="2" type="noConversion"/>
  </si>
  <si>
    <t>TJ미디어</t>
    <phoneticPr fontId="2" type="noConversion"/>
  </si>
  <si>
    <t>황금에스티</t>
    <phoneticPr fontId="2" type="noConversion"/>
  </si>
  <si>
    <t>피델릭스</t>
    <phoneticPr fontId="2" type="noConversion"/>
  </si>
  <si>
    <t>유비케어</t>
    <phoneticPr fontId="2" type="noConversion"/>
  </si>
  <si>
    <t>LG유플러스</t>
    <phoneticPr fontId="2" type="noConversion"/>
  </si>
  <si>
    <t>비티씨정보</t>
    <phoneticPr fontId="2" type="noConversion"/>
  </si>
  <si>
    <t>삼진</t>
    <phoneticPr fontId="2" type="noConversion"/>
  </si>
  <si>
    <t>지아이블루</t>
    <phoneticPr fontId="2" type="noConversion"/>
  </si>
  <si>
    <t>G러닝</t>
    <phoneticPr fontId="2" type="noConversion"/>
  </si>
  <si>
    <t>우리기술</t>
    <phoneticPr fontId="2" type="noConversion"/>
  </si>
  <si>
    <t>삼성생명</t>
    <phoneticPr fontId="2" type="noConversion"/>
  </si>
  <si>
    <t>비트컴퓨터</t>
    <phoneticPr fontId="2" type="noConversion"/>
  </si>
  <si>
    <t>자원</t>
    <phoneticPr fontId="2" type="noConversion"/>
  </si>
  <si>
    <t>원익</t>
    <phoneticPr fontId="2" type="noConversion"/>
  </si>
  <si>
    <t>동일기연</t>
    <phoneticPr fontId="2" type="noConversion"/>
  </si>
  <si>
    <t>폴리비전</t>
    <phoneticPr fontId="2" type="noConversion"/>
  </si>
  <si>
    <t>제이엠아이</t>
    <phoneticPr fontId="2" type="noConversion"/>
  </si>
  <si>
    <t>제룡전기</t>
    <phoneticPr fontId="2" type="noConversion"/>
  </si>
  <si>
    <t>이디</t>
    <phoneticPr fontId="2" type="noConversion"/>
  </si>
  <si>
    <t>디지틀조선</t>
    <phoneticPr fontId="2" type="noConversion"/>
  </si>
  <si>
    <t>엠케이전자</t>
    <phoneticPr fontId="2" type="noConversion"/>
  </si>
  <si>
    <t>시그네틱스</t>
    <phoneticPr fontId="2" type="noConversion"/>
  </si>
  <si>
    <t>필룩스</t>
    <phoneticPr fontId="2" type="noConversion"/>
  </si>
  <si>
    <t>모아텍</t>
    <phoneticPr fontId="2" type="noConversion"/>
  </si>
  <si>
    <t>인성정보</t>
    <phoneticPr fontId="2" type="noConversion"/>
  </si>
  <si>
    <t>자화전자</t>
    <phoneticPr fontId="2" type="noConversion"/>
  </si>
  <si>
    <t>체시스</t>
    <phoneticPr fontId="2" type="noConversion"/>
  </si>
  <si>
    <t>유나이티드제약</t>
    <phoneticPr fontId="2" type="noConversion"/>
  </si>
  <si>
    <t>필코전자</t>
    <phoneticPr fontId="2" type="noConversion"/>
  </si>
  <si>
    <t>디케이디앤아이</t>
    <phoneticPr fontId="2" type="noConversion"/>
  </si>
  <si>
    <t>제이씨현</t>
    <phoneticPr fontId="2" type="noConversion"/>
  </si>
  <si>
    <t>좋은사람들</t>
    <phoneticPr fontId="2" type="noConversion"/>
  </si>
  <si>
    <t>한국자원투자개발</t>
    <phoneticPr fontId="2" type="noConversion"/>
  </si>
  <si>
    <t>동성화인텍</t>
    <phoneticPr fontId="2" type="noConversion"/>
  </si>
  <si>
    <t>세종공업</t>
    <phoneticPr fontId="2" type="noConversion"/>
  </si>
  <si>
    <t>파라텍</t>
    <phoneticPr fontId="2" type="noConversion"/>
  </si>
  <si>
    <t>룩손에너지</t>
    <phoneticPr fontId="2" type="noConversion"/>
  </si>
  <si>
    <t>블루콤</t>
    <phoneticPr fontId="2" type="noConversion"/>
  </si>
  <si>
    <t>이젠텍</t>
    <phoneticPr fontId="2" type="noConversion"/>
  </si>
  <si>
    <t>SK브로드밴드</t>
    <phoneticPr fontId="2" type="noConversion"/>
  </si>
  <si>
    <t>네패스</t>
    <phoneticPr fontId="2" type="noConversion"/>
  </si>
  <si>
    <t>아주캐피탈</t>
    <phoneticPr fontId="2" type="noConversion"/>
  </si>
  <si>
    <t>KT&amp;G</t>
    <phoneticPr fontId="2" type="noConversion"/>
  </si>
  <si>
    <t>서화정보통신</t>
    <phoneticPr fontId="2" type="noConversion"/>
  </si>
  <si>
    <t>대구방송</t>
    <phoneticPr fontId="2" type="noConversion"/>
  </si>
  <si>
    <t>무학</t>
    <phoneticPr fontId="2" type="noConversion"/>
  </si>
  <si>
    <t>트라이써클</t>
    <phoneticPr fontId="2" type="noConversion"/>
  </si>
  <si>
    <t>두산중공업</t>
    <phoneticPr fontId="2" type="noConversion"/>
  </si>
  <si>
    <t>SBS</t>
    <phoneticPr fontId="2" type="noConversion"/>
  </si>
  <si>
    <t>LG디스플레이</t>
    <phoneticPr fontId="2" type="noConversion"/>
  </si>
  <si>
    <t>파라다이스</t>
    <phoneticPr fontId="2" type="noConversion"/>
  </si>
  <si>
    <t>신세계건설</t>
    <phoneticPr fontId="2" type="noConversion"/>
  </si>
  <si>
    <t>NICE</t>
    <phoneticPr fontId="2" type="noConversion"/>
  </si>
  <si>
    <t>인천도시가스</t>
    <phoneticPr fontId="2" type="noConversion"/>
  </si>
  <si>
    <t>SK C&amp;C</t>
    <phoneticPr fontId="2" type="noConversion"/>
  </si>
  <si>
    <t>해성산업</t>
    <phoneticPr fontId="2" type="noConversion"/>
  </si>
  <si>
    <t>한국토지신탁</t>
    <phoneticPr fontId="2" type="noConversion"/>
  </si>
  <si>
    <t>조아제약</t>
    <phoneticPr fontId="2" type="noConversion"/>
  </si>
  <si>
    <t>한국기업평가</t>
    <phoneticPr fontId="2" type="noConversion"/>
  </si>
  <si>
    <t>GⅡR</t>
    <phoneticPr fontId="2" type="noConversion"/>
  </si>
  <si>
    <t>인터파크</t>
    <phoneticPr fontId="2" type="noConversion"/>
  </si>
  <si>
    <t>백산</t>
    <phoneticPr fontId="2" type="noConversion"/>
  </si>
  <si>
    <t>프럼파스트</t>
    <phoneticPr fontId="2" type="noConversion"/>
  </si>
  <si>
    <t>티브로드도봉강북방송</t>
    <phoneticPr fontId="2" type="noConversion"/>
  </si>
  <si>
    <t>강원랜드</t>
    <phoneticPr fontId="2" type="noConversion"/>
  </si>
  <si>
    <t>에듀박스</t>
    <phoneticPr fontId="2" type="noConversion"/>
  </si>
  <si>
    <t>NHN</t>
    <phoneticPr fontId="2" type="noConversion"/>
  </si>
  <si>
    <t>지아이바이오</t>
    <phoneticPr fontId="2" type="noConversion"/>
  </si>
  <si>
    <t>기산텔레콤</t>
    <phoneticPr fontId="2" type="noConversion"/>
  </si>
  <si>
    <t>제이비어뮤즈먼트</t>
    <phoneticPr fontId="2" type="noConversion"/>
  </si>
  <si>
    <t>신세계 I&amp;C</t>
    <phoneticPr fontId="2" type="noConversion"/>
  </si>
  <si>
    <t>KG이니시스</t>
    <phoneticPr fontId="2" type="noConversion"/>
  </si>
  <si>
    <t>솔본</t>
    <phoneticPr fontId="2" type="noConversion"/>
  </si>
  <si>
    <t>바른손게임즈</t>
    <phoneticPr fontId="2" type="noConversion"/>
  </si>
  <si>
    <t>다음</t>
    <phoneticPr fontId="2" type="noConversion"/>
  </si>
  <si>
    <t>CJ오쇼핑</t>
    <phoneticPr fontId="2" type="noConversion"/>
  </si>
  <si>
    <t>이지바이오</t>
    <phoneticPr fontId="2" type="noConversion"/>
  </si>
  <si>
    <t>서희건설</t>
    <phoneticPr fontId="2" type="noConversion"/>
  </si>
  <si>
    <t>JYP Ent.</t>
    <phoneticPr fontId="2" type="noConversion"/>
  </si>
  <si>
    <t>예림당</t>
    <phoneticPr fontId="2" type="noConversion"/>
  </si>
  <si>
    <t>아비코전자</t>
    <phoneticPr fontId="2" type="noConversion"/>
  </si>
  <si>
    <t>KTH</t>
    <phoneticPr fontId="2" type="noConversion"/>
  </si>
  <si>
    <t>위지트</t>
    <phoneticPr fontId="2" type="noConversion"/>
  </si>
  <si>
    <t>서울신용평가</t>
    <phoneticPr fontId="2" type="noConversion"/>
  </si>
  <si>
    <t>씨티엘</t>
    <phoneticPr fontId="2" type="noConversion"/>
  </si>
  <si>
    <t>영인프런티어</t>
    <phoneticPr fontId="2" type="noConversion"/>
  </si>
  <si>
    <t>금화피에스시</t>
    <phoneticPr fontId="2" type="noConversion"/>
  </si>
  <si>
    <t>유니셈</t>
    <phoneticPr fontId="2" type="noConversion"/>
  </si>
  <si>
    <t>태산엘시디</t>
    <phoneticPr fontId="2" type="noConversion"/>
  </si>
  <si>
    <t>인포피아</t>
    <phoneticPr fontId="2" type="noConversion"/>
  </si>
  <si>
    <t>웰메이드</t>
    <phoneticPr fontId="2" type="noConversion"/>
  </si>
  <si>
    <t>제이콘텐트리</t>
    <phoneticPr fontId="2" type="noConversion"/>
  </si>
  <si>
    <t>한국가스공사</t>
    <phoneticPr fontId="2" type="noConversion"/>
  </si>
  <si>
    <t>대성미생물</t>
    <phoneticPr fontId="2" type="noConversion"/>
  </si>
  <si>
    <t>OCI머티리얼즈</t>
    <phoneticPr fontId="2" type="noConversion"/>
  </si>
  <si>
    <t>유원컴텍</t>
    <phoneticPr fontId="2" type="noConversion"/>
  </si>
  <si>
    <t>S&amp;T홀딩스</t>
    <phoneticPr fontId="2" type="noConversion"/>
  </si>
  <si>
    <t>STS반도체</t>
    <phoneticPr fontId="2" type="noConversion"/>
  </si>
  <si>
    <t>영풍정밀</t>
    <phoneticPr fontId="2" type="noConversion"/>
  </si>
  <si>
    <t>엔씨소프트</t>
    <phoneticPr fontId="2" type="noConversion"/>
  </si>
  <si>
    <t>팜스코</t>
    <phoneticPr fontId="2" type="noConversion"/>
  </si>
  <si>
    <t>버추얼텍</t>
    <phoneticPr fontId="2" type="noConversion"/>
  </si>
  <si>
    <t>온세텔레콤</t>
    <phoneticPr fontId="2" type="noConversion"/>
  </si>
  <si>
    <t>HRS</t>
    <phoneticPr fontId="2" type="noConversion"/>
  </si>
  <si>
    <t>KCI</t>
    <phoneticPr fontId="2" type="noConversion"/>
  </si>
  <si>
    <t>코맥스</t>
    <phoneticPr fontId="2" type="noConversion"/>
  </si>
  <si>
    <t>심텍</t>
    <phoneticPr fontId="2" type="noConversion"/>
  </si>
  <si>
    <t>나이스정보통신</t>
    <phoneticPr fontId="2" type="noConversion"/>
  </si>
  <si>
    <t>에프에스티</t>
    <phoneticPr fontId="2" type="noConversion"/>
  </si>
  <si>
    <t>진성티이씨</t>
    <phoneticPr fontId="2" type="noConversion"/>
  </si>
  <si>
    <t>지앤에스티</t>
    <phoneticPr fontId="2" type="noConversion"/>
  </si>
  <si>
    <t>주성엔지니어링</t>
    <phoneticPr fontId="2" type="noConversion"/>
  </si>
  <si>
    <t>파세코</t>
    <phoneticPr fontId="2" type="noConversion"/>
  </si>
  <si>
    <t>한국팩키지</t>
    <phoneticPr fontId="2" type="noConversion"/>
  </si>
  <si>
    <t>휘닉스컴</t>
    <phoneticPr fontId="2" type="noConversion"/>
  </si>
  <si>
    <t>인지디스플레</t>
    <phoneticPr fontId="2" type="noConversion"/>
  </si>
  <si>
    <t>티모이앤엠</t>
    <phoneticPr fontId="2" type="noConversion"/>
  </si>
  <si>
    <t>성도이엔지</t>
    <phoneticPr fontId="2" type="noConversion"/>
  </si>
  <si>
    <t>EG</t>
    <phoneticPr fontId="2" type="noConversion"/>
  </si>
  <si>
    <t>우리조명지주</t>
    <phoneticPr fontId="2" type="noConversion"/>
  </si>
  <si>
    <t>희림</t>
    <phoneticPr fontId="2" type="noConversion"/>
  </si>
  <si>
    <t>삼지전자</t>
    <phoneticPr fontId="2" type="noConversion"/>
  </si>
  <si>
    <t>미래에셋증권</t>
    <phoneticPr fontId="2" type="noConversion"/>
  </si>
  <si>
    <t>에스비엠</t>
    <phoneticPr fontId="2" type="noConversion"/>
  </si>
  <si>
    <t>광주신세계</t>
    <phoneticPr fontId="2" type="noConversion"/>
  </si>
  <si>
    <t>쎄니트</t>
    <phoneticPr fontId="2" type="noConversion"/>
  </si>
  <si>
    <t>한성엘컴텍</t>
    <phoneticPr fontId="2" type="noConversion"/>
  </si>
  <si>
    <t>제일테크노스</t>
    <phoneticPr fontId="2" type="noConversion"/>
  </si>
  <si>
    <t>루멘스</t>
    <phoneticPr fontId="2" type="noConversion"/>
  </si>
  <si>
    <t>서린바이오</t>
    <phoneticPr fontId="2" type="noConversion"/>
  </si>
  <si>
    <t>에코플라스틱</t>
    <phoneticPr fontId="2" type="noConversion"/>
  </si>
  <si>
    <t>AD모터스</t>
    <phoneticPr fontId="2" type="noConversion"/>
  </si>
  <si>
    <t>마크로젠</t>
    <phoneticPr fontId="2" type="noConversion"/>
  </si>
  <si>
    <t>쓰리원</t>
    <phoneticPr fontId="2" type="noConversion"/>
  </si>
  <si>
    <t>레드캡투어</t>
    <phoneticPr fontId="2" type="noConversion"/>
  </si>
  <si>
    <t>바이오스마트</t>
    <phoneticPr fontId="2" type="noConversion"/>
  </si>
  <si>
    <t>동양시멘트</t>
    <phoneticPr fontId="2" type="noConversion"/>
  </si>
  <si>
    <t>코아크로스</t>
    <phoneticPr fontId="2" type="noConversion"/>
  </si>
  <si>
    <t>텍셀네트컴</t>
    <phoneticPr fontId="2" type="noConversion"/>
  </si>
  <si>
    <t>위즈정보기술</t>
    <phoneticPr fontId="2" type="noConversion"/>
  </si>
  <si>
    <t>에스넷</t>
    <phoneticPr fontId="2" type="noConversion"/>
  </si>
  <si>
    <t>유일엔시스</t>
    <phoneticPr fontId="2" type="noConversion"/>
  </si>
  <si>
    <t>에코에너지</t>
    <phoneticPr fontId="2" type="noConversion"/>
  </si>
  <si>
    <t>아이에이</t>
    <phoneticPr fontId="2" type="noConversion"/>
  </si>
  <si>
    <t>파인디지털</t>
    <phoneticPr fontId="2" type="noConversion"/>
  </si>
  <si>
    <t>넥스콘테크</t>
    <phoneticPr fontId="2" type="noConversion"/>
  </si>
  <si>
    <t>현대통신</t>
    <phoneticPr fontId="2" type="noConversion"/>
  </si>
  <si>
    <t>이건창호</t>
    <phoneticPr fontId="2" type="noConversion"/>
  </si>
  <si>
    <t>이오테크닉스</t>
    <phoneticPr fontId="2" type="noConversion"/>
  </si>
  <si>
    <t>하나투어</t>
    <phoneticPr fontId="2" type="noConversion"/>
  </si>
  <si>
    <t>오스코텍</t>
    <phoneticPr fontId="2" type="noConversion"/>
  </si>
  <si>
    <t>솔브레인이엔지</t>
    <phoneticPr fontId="2" type="noConversion"/>
  </si>
  <si>
    <t>경남스틸</t>
    <phoneticPr fontId="2" type="noConversion"/>
  </si>
  <si>
    <t>인포뱅크</t>
    <phoneticPr fontId="2" type="noConversion"/>
  </si>
  <si>
    <t>세중</t>
    <phoneticPr fontId="2" type="noConversion"/>
  </si>
  <si>
    <t>한국경제TV</t>
    <phoneticPr fontId="2" type="noConversion"/>
  </si>
  <si>
    <t>케이엘넷</t>
    <phoneticPr fontId="2" type="noConversion"/>
  </si>
  <si>
    <t>에스티아이</t>
    <phoneticPr fontId="2" type="noConversion"/>
  </si>
  <si>
    <t>키움증권</t>
    <phoneticPr fontId="2" type="noConversion"/>
  </si>
  <si>
    <t>씨앤케이인터</t>
    <phoneticPr fontId="2" type="noConversion"/>
  </si>
  <si>
    <t>다산네트웍스</t>
    <phoneticPr fontId="2" type="noConversion"/>
  </si>
  <si>
    <t>화성</t>
    <phoneticPr fontId="2" type="noConversion"/>
  </si>
  <si>
    <t>스포츠서울</t>
    <phoneticPr fontId="2" type="noConversion"/>
  </si>
  <si>
    <t>한국정보공학</t>
    <phoneticPr fontId="2" type="noConversion"/>
  </si>
  <si>
    <t>위노바</t>
    <phoneticPr fontId="2" type="noConversion"/>
  </si>
  <si>
    <t>오로라</t>
    <phoneticPr fontId="2" type="noConversion"/>
  </si>
  <si>
    <t>디오</t>
    <phoneticPr fontId="2" type="noConversion"/>
  </si>
  <si>
    <t>태창파로스</t>
    <phoneticPr fontId="2" type="noConversion"/>
  </si>
  <si>
    <t>나노엔텍</t>
    <phoneticPr fontId="2" type="noConversion"/>
  </si>
  <si>
    <t>리노스</t>
    <phoneticPr fontId="2" type="noConversion"/>
  </si>
  <si>
    <t>누리텔레콤</t>
    <phoneticPr fontId="2" type="noConversion"/>
  </si>
  <si>
    <t>YTN</t>
    <phoneticPr fontId="2" type="noConversion"/>
  </si>
  <si>
    <t>큐로컴</t>
    <phoneticPr fontId="2" type="noConversion"/>
  </si>
  <si>
    <t>정상제이엘에스</t>
    <phoneticPr fontId="2" type="noConversion"/>
  </si>
  <si>
    <t>SG&amp;G</t>
    <phoneticPr fontId="2" type="noConversion"/>
  </si>
  <si>
    <t>와이즈파워</t>
    <phoneticPr fontId="2" type="noConversion"/>
  </si>
  <si>
    <t>아이씨디</t>
    <phoneticPr fontId="2" type="noConversion"/>
  </si>
  <si>
    <t>인프라웨어</t>
    <phoneticPr fontId="2" type="noConversion"/>
  </si>
  <si>
    <t>아라온테크</t>
    <phoneticPr fontId="2" type="noConversion"/>
  </si>
  <si>
    <t>게임하이</t>
    <phoneticPr fontId="2" type="noConversion"/>
  </si>
  <si>
    <t>우리기술투자</t>
    <phoneticPr fontId="2" type="noConversion"/>
  </si>
  <si>
    <t>에버다임</t>
    <phoneticPr fontId="2" type="noConversion"/>
  </si>
  <si>
    <t>한국전자인증</t>
    <phoneticPr fontId="2" type="noConversion"/>
  </si>
  <si>
    <t>에스엠</t>
    <phoneticPr fontId="2" type="noConversion"/>
  </si>
  <si>
    <t>이라이콤</t>
    <phoneticPr fontId="2" type="noConversion"/>
  </si>
  <si>
    <t>GemTech</t>
    <phoneticPr fontId="2" type="noConversion"/>
  </si>
  <si>
    <t>상신브레이크</t>
    <phoneticPr fontId="2" type="noConversion"/>
  </si>
  <si>
    <t>바이오스페이스</t>
    <phoneticPr fontId="2" type="noConversion"/>
  </si>
  <si>
    <t>에스텍파마</t>
    <phoneticPr fontId="2" type="noConversion"/>
  </si>
  <si>
    <t>동아화성</t>
    <phoneticPr fontId="2" type="noConversion"/>
  </si>
  <si>
    <t>코미팜</t>
    <phoneticPr fontId="2" type="noConversion"/>
  </si>
  <si>
    <t>케이피엠테크</t>
    <phoneticPr fontId="2" type="noConversion"/>
  </si>
  <si>
    <t>에스씨디</t>
    <phoneticPr fontId="2" type="noConversion"/>
  </si>
  <si>
    <t>비츠로테크</t>
    <phoneticPr fontId="2" type="noConversion"/>
  </si>
  <si>
    <t>네오위즈홀딩스</t>
    <phoneticPr fontId="2" type="noConversion"/>
  </si>
  <si>
    <t>링네트</t>
    <phoneticPr fontId="2" type="noConversion"/>
  </si>
  <si>
    <t>라온시큐어</t>
    <phoneticPr fontId="2" type="noConversion"/>
  </si>
  <si>
    <t>한스바이오메드</t>
    <phoneticPr fontId="2" type="noConversion"/>
  </si>
  <si>
    <t>새로닉스</t>
    <phoneticPr fontId="2" type="noConversion"/>
  </si>
  <si>
    <t>대우조선해양</t>
    <phoneticPr fontId="2" type="noConversion"/>
  </si>
  <si>
    <t>두산인프라코어</t>
    <phoneticPr fontId="2" type="noConversion"/>
  </si>
  <si>
    <t>한미반도체</t>
    <phoneticPr fontId="2" type="noConversion"/>
  </si>
  <si>
    <t>어울림 네트</t>
    <phoneticPr fontId="2" type="noConversion"/>
  </si>
  <si>
    <t>르네코</t>
    <phoneticPr fontId="2" type="noConversion"/>
  </si>
  <si>
    <t>팜스웰바이오</t>
    <phoneticPr fontId="2" type="noConversion"/>
  </si>
  <si>
    <t>솔고바이오</t>
    <phoneticPr fontId="2" type="noConversion"/>
  </si>
  <si>
    <t>바텍</t>
    <phoneticPr fontId="2" type="noConversion"/>
  </si>
  <si>
    <t>파루</t>
    <phoneticPr fontId="2" type="noConversion"/>
  </si>
  <si>
    <t>경원산업</t>
    <phoneticPr fontId="2" type="noConversion"/>
  </si>
  <si>
    <t>성호전자</t>
    <phoneticPr fontId="2" type="noConversion"/>
  </si>
  <si>
    <t>케이맥</t>
    <phoneticPr fontId="2" type="noConversion"/>
  </si>
  <si>
    <t>에쎈테크</t>
    <phoneticPr fontId="2" type="noConversion"/>
  </si>
  <si>
    <t>디지아이</t>
    <phoneticPr fontId="2" type="noConversion"/>
  </si>
  <si>
    <t>평화정공</t>
    <phoneticPr fontId="2" type="noConversion"/>
  </si>
  <si>
    <t>에임하이</t>
    <phoneticPr fontId="2" type="noConversion"/>
  </si>
  <si>
    <t>크로바하이텍</t>
    <phoneticPr fontId="2" type="noConversion"/>
  </si>
  <si>
    <t>KT뮤직</t>
    <phoneticPr fontId="2" type="noConversion"/>
  </si>
  <si>
    <t>국순당</t>
    <phoneticPr fontId="2" type="noConversion"/>
  </si>
  <si>
    <t>다스텍</t>
    <phoneticPr fontId="2" type="noConversion"/>
  </si>
  <si>
    <t>한빛방송</t>
    <phoneticPr fontId="2" type="noConversion"/>
  </si>
  <si>
    <t>자연과환경</t>
    <phoneticPr fontId="2" type="noConversion"/>
  </si>
  <si>
    <t>조광ILI</t>
    <phoneticPr fontId="2" type="noConversion"/>
  </si>
  <si>
    <t>국제디와이</t>
    <phoneticPr fontId="2" type="noConversion"/>
  </si>
  <si>
    <t>위닉스</t>
    <phoneticPr fontId="2" type="noConversion"/>
  </si>
  <si>
    <t>주연테크</t>
    <phoneticPr fontId="2" type="noConversion"/>
  </si>
  <si>
    <t>KSS해운</t>
    <phoneticPr fontId="2" type="noConversion"/>
  </si>
  <si>
    <t>유니더스</t>
    <phoneticPr fontId="2" type="noConversion"/>
  </si>
  <si>
    <t>태웅</t>
    <phoneticPr fontId="2" type="noConversion"/>
  </si>
  <si>
    <t>한광</t>
    <phoneticPr fontId="2" type="noConversion"/>
  </si>
  <si>
    <t>코스맥스</t>
    <phoneticPr fontId="2" type="noConversion"/>
  </si>
  <si>
    <t>이-글 벳</t>
    <phoneticPr fontId="2" type="noConversion"/>
  </si>
  <si>
    <t>큐리어스</t>
    <phoneticPr fontId="2" type="noConversion"/>
  </si>
  <si>
    <t>오공</t>
    <phoneticPr fontId="2" type="noConversion"/>
  </si>
  <si>
    <t>한양이엔지</t>
    <phoneticPr fontId="2" type="noConversion"/>
  </si>
  <si>
    <t>성우테크론</t>
    <phoneticPr fontId="2" type="noConversion"/>
  </si>
  <si>
    <t>토탈소프트</t>
    <phoneticPr fontId="2" type="noConversion"/>
  </si>
  <si>
    <t>대아티아이</t>
    <phoneticPr fontId="2" type="noConversion"/>
  </si>
  <si>
    <t>정원엔시스</t>
    <phoneticPr fontId="2" type="noConversion"/>
  </si>
  <si>
    <t>크린앤사이언스</t>
    <phoneticPr fontId="2" type="noConversion"/>
  </si>
  <si>
    <t>에이텍</t>
    <phoneticPr fontId="2" type="noConversion"/>
  </si>
  <si>
    <t>동부라이텍</t>
    <phoneticPr fontId="2" type="noConversion"/>
  </si>
  <si>
    <t>비에스이</t>
    <phoneticPr fontId="2" type="noConversion"/>
  </si>
  <si>
    <t>코다코</t>
    <phoneticPr fontId="2" type="noConversion"/>
  </si>
  <si>
    <t>한일네트웍스</t>
    <phoneticPr fontId="2" type="noConversion"/>
  </si>
  <si>
    <t>오르비텍</t>
    <phoneticPr fontId="2" type="noConversion"/>
  </si>
  <si>
    <t>SBS콘텐츠허브</t>
    <phoneticPr fontId="2" type="noConversion"/>
  </si>
  <si>
    <t>파나진</t>
    <phoneticPr fontId="2" type="noConversion"/>
  </si>
  <si>
    <t>백금T&amp;A</t>
    <phoneticPr fontId="2" type="noConversion"/>
  </si>
  <si>
    <t>삼화네트웍스</t>
    <phoneticPr fontId="2" type="noConversion"/>
  </si>
  <si>
    <t>디브이에스</t>
    <phoneticPr fontId="2" type="noConversion"/>
  </si>
  <si>
    <t>알에스넷</t>
    <phoneticPr fontId="2" type="noConversion"/>
  </si>
  <si>
    <t>KG모빌리언스</t>
    <phoneticPr fontId="2" type="noConversion"/>
  </si>
  <si>
    <t>자유투어</t>
    <phoneticPr fontId="2" type="noConversion"/>
  </si>
  <si>
    <t>서울반도체</t>
    <phoneticPr fontId="2" type="noConversion"/>
  </si>
  <si>
    <t>우원개발</t>
    <phoneticPr fontId="2" type="noConversion"/>
  </si>
  <si>
    <t>대우건설</t>
    <phoneticPr fontId="2" type="noConversion"/>
  </si>
  <si>
    <t>대우인터내셔널</t>
    <phoneticPr fontId="2" type="noConversion"/>
  </si>
  <si>
    <t>한빛소프트</t>
    <phoneticPr fontId="2" type="noConversion"/>
  </si>
  <si>
    <t>파워로직스</t>
    <phoneticPr fontId="2" type="noConversion"/>
  </si>
  <si>
    <t>쌍용머티리얼</t>
    <phoneticPr fontId="2" type="noConversion"/>
  </si>
  <si>
    <t>레이젠</t>
    <phoneticPr fontId="2" type="noConversion"/>
  </si>
  <si>
    <t>이스트소프트</t>
    <phoneticPr fontId="2" type="noConversion"/>
  </si>
  <si>
    <t>넷웨이브</t>
    <phoneticPr fontId="2" type="noConversion"/>
  </si>
  <si>
    <t>코데즈컴바인</t>
    <phoneticPr fontId="2" type="noConversion"/>
  </si>
  <si>
    <t>한국항공우주</t>
    <phoneticPr fontId="2" type="noConversion"/>
  </si>
  <si>
    <t>초록뱀</t>
    <phoneticPr fontId="2" type="noConversion"/>
  </si>
  <si>
    <t>오스템임플란트</t>
    <phoneticPr fontId="2" type="noConversion"/>
  </si>
  <si>
    <t>현대아이비티</t>
    <phoneticPr fontId="2" type="noConversion"/>
  </si>
  <si>
    <t>유라테크</t>
    <phoneticPr fontId="2" type="noConversion"/>
  </si>
  <si>
    <t>엑큐리스</t>
    <phoneticPr fontId="2" type="noConversion"/>
  </si>
  <si>
    <t>대동스틸</t>
    <phoneticPr fontId="2" type="noConversion"/>
  </si>
  <si>
    <t>인트론바이오</t>
    <phoneticPr fontId="2" type="noConversion"/>
  </si>
  <si>
    <t>SM C&amp;C</t>
    <phoneticPr fontId="2" type="noConversion"/>
  </si>
  <si>
    <t>TPC</t>
    <phoneticPr fontId="2" type="noConversion"/>
  </si>
  <si>
    <t>엔피케이</t>
    <phoneticPr fontId="2" type="noConversion"/>
  </si>
  <si>
    <t>코아로직</t>
    <phoneticPr fontId="2" type="noConversion"/>
  </si>
  <si>
    <t>대원미디어</t>
    <phoneticPr fontId="2" type="noConversion"/>
  </si>
  <si>
    <t>예당</t>
    <phoneticPr fontId="2" type="noConversion"/>
  </si>
  <si>
    <t>인탑스</t>
    <phoneticPr fontId="2" type="noConversion"/>
  </si>
  <si>
    <t>파인디앤씨</t>
    <phoneticPr fontId="2" type="noConversion"/>
  </si>
  <si>
    <t>셀루메드</t>
    <phoneticPr fontId="2" type="noConversion"/>
  </si>
  <si>
    <t>코메론</t>
    <phoneticPr fontId="2" type="noConversion"/>
  </si>
  <si>
    <t>SGA</t>
    <phoneticPr fontId="2" type="noConversion"/>
  </si>
  <si>
    <t>오픈베이스</t>
    <phoneticPr fontId="2" type="noConversion"/>
  </si>
  <si>
    <t>유아이엘</t>
    <phoneticPr fontId="2" type="noConversion"/>
  </si>
  <si>
    <t>잉크테크</t>
    <phoneticPr fontId="2" type="noConversion"/>
  </si>
  <si>
    <t>재영솔루텍</t>
    <phoneticPr fontId="2" type="noConversion"/>
  </si>
  <si>
    <t>고려신용정보</t>
    <phoneticPr fontId="2" type="noConversion"/>
  </si>
  <si>
    <t>동원F&amp;B</t>
    <phoneticPr fontId="2" type="noConversion"/>
  </si>
  <si>
    <t>우진플라임</t>
    <phoneticPr fontId="2" type="noConversion"/>
  </si>
  <si>
    <t>승일</t>
    <phoneticPr fontId="2" type="noConversion"/>
  </si>
  <si>
    <t>미래컴퍼니</t>
    <phoneticPr fontId="2" type="noConversion"/>
  </si>
  <si>
    <t>쎌바이오텍</t>
    <phoneticPr fontId="2" type="noConversion"/>
  </si>
  <si>
    <t>휘닉스소재</t>
    <phoneticPr fontId="2" type="noConversion"/>
  </si>
  <si>
    <t>캠시스</t>
    <phoneticPr fontId="2" type="noConversion"/>
  </si>
  <si>
    <t>라이브플렉스</t>
    <phoneticPr fontId="2" type="noConversion"/>
  </si>
  <si>
    <t>아남정보기술</t>
    <phoneticPr fontId="2" type="noConversion"/>
  </si>
  <si>
    <t>엠피씨</t>
    <phoneticPr fontId="2" type="noConversion"/>
  </si>
  <si>
    <t>에스폴리텍</t>
    <phoneticPr fontId="2" type="noConversion"/>
  </si>
  <si>
    <t>아세아텍</t>
    <phoneticPr fontId="2" type="noConversion"/>
  </si>
  <si>
    <t>쏠리드</t>
    <phoneticPr fontId="2" type="noConversion"/>
  </si>
  <si>
    <t>지어소프트</t>
    <phoneticPr fontId="2" type="noConversion"/>
  </si>
  <si>
    <t>루보</t>
    <phoneticPr fontId="2" type="noConversion"/>
  </si>
  <si>
    <t>포스코플랜텍</t>
    <phoneticPr fontId="2" type="noConversion"/>
  </si>
  <si>
    <t>토비스</t>
    <phoneticPr fontId="2" type="noConversion"/>
  </si>
  <si>
    <t>인터플렉스</t>
    <phoneticPr fontId="2" type="noConversion"/>
  </si>
  <si>
    <t>피씨디렉트</t>
    <phoneticPr fontId="2" type="noConversion"/>
  </si>
  <si>
    <t>영우통신</t>
    <phoneticPr fontId="2" type="noConversion"/>
  </si>
  <si>
    <t>나라엠앤디</t>
    <phoneticPr fontId="2" type="noConversion"/>
  </si>
  <si>
    <t>CJ프레시웨이</t>
    <phoneticPr fontId="2" type="noConversion"/>
  </si>
  <si>
    <t>한전KPS</t>
    <phoneticPr fontId="2" type="noConversion"/>
  </si>
  <si>
    <t>진양화학</t>
    <phoneticPr fontId="2" type="noConversion"/>
  </si>
  <si>
    <t>디에스</t>
    <phoneticPr fontId="2" type="noConversion"/>
  </si>
  <si>
    <t>큐로홀딩스</t>
    <phoneticPr fontId="2" type="noConversion"/>
  </si>
  <si>
    <t>LG생활건강</t>
    <phoneticPr fontId="2" type="noConversion"/>
  </si>
  <si>
    <t>LG화학</t>
    <phoneticPr fontId="2" type="noConversion"/>
  </si>
  <si>
    <t>SNH</t>
    <phoneticPr fontId="2" type="noConversion"/>
  </si>
  <si>
    <t>에스티큐브</t>
    <phoneticPr fontId="2" type="noConversion"/>
  </si>
  <si>
    <t>소프트맥스</t>
    <phoneticPr fontId="2" type="noConversion"/>
  </si>
  <si>
    <t>iMBC</t>
    <phoneticPr fontId="2" type="noConversion"/>
  </si>
  <si>
    <t>바이오랜드</t>
    <phoneticPr fontId="2" type="noConversion"/>
  </si>
  <si>
    <t>우전앤한단</t>
    <phoneticPr fontId="2" type="noConversion"/>
  </si>
  <si>
    <t>트레이스</t>
    <phoneticPr fontId="2" type="noConversion"/>
  </si>
  <si>
    <t>승화산업</t>
    <phoneticPr fontId="2" type="noConversion"/>
  </si>
  <si>
    <t>코텍</t>
    <phoneticPr fontId="2" type="noConversion"/>
  </si>
  <si>
    <t>코나아이</t>
    <phoneticPr fontId="2" type="noConversion"/>
  </si>
  <si>
    <t>오성엘에스티</t>
    <phoneticPr fontId="2" type="noConversion"/>
  </si>
  <si>
    <t>아이크래프트</t>
    <phoneticPr fontId="2" type="noConversion"/>
  </si>
  <si>
    <t>한네트</t>
    <phoneticPr fontId="2" type="noConversion"/>
  </si>
  <si>
    <t>이디디컴퍼니</t>
    <phoneticPr fontId="2" type="noConversion"/>
  </si>
  <si>
    <t>제일바이오</t>
    <phoneticPr fontId="2" type="noConversion"/>
  </si>
  <si>
    <t>한전기술</t>
    <phoneticPr fontId="2" type="noConversion"/>
  </si>
  <si>
    <t>아모텍</t>
    <phoneticPr fontId="2" type="noConversion"/>
  </si>
  <si>
    <t>와이디온라인</t>
    <phoneticPr fontId="2" type="noConversion"/>
  </si>
  <si>
    <t>액토즈소프트</t>
    <phoneticPr fontId="2" type="noConversion"/>
  </si>
  <si>
    <t>아이앤씨</t>
    <phoneticPr fontId="2" type="noConversion"/>
  </si>
  <si>
    <t>비아이이엠티</t>
    <phoneticPr fontId="2" type="noConversion"/>
  </si>
  <si>
    <t>우리금융</t>
    <phoneticPr fontId="2" type="noConversion"/>
  </si>
  <si>
    <t>바이넥스</t>
    <phoneticPr fontId="2" type="noConversion"/>
  </si>
  <si>
    <t>지에스이</t>
    <phoneticPr fontId="2" type="noConversion"/>
  </si>
  <si>
    <t>세동</t>
    <phoneticPr fontId="2" type="noConversion"/>
  </si>
  <si>
    <t>소리바다</t>
    <phoneticPr fontId="2" type="noConversion"/>
  </si>
  <si>
    <t>프리엠스</t>
    <phoneticPr fontId="2" type="noConversion"/>
  </si>
  <si>
    <t>스카이라이프</t>
    <phoneticPr fontId="2" type="noConversion"/>
  </si>
  <si>
    <t>금강철강</t>
    <phoneticPr fontId="2" type="noConversion"/>
  </si>
  <si>
    <t>구영테크</t>
    <phoneticPr fontId="2" type="noConversion"/>
  </si>
  <si>
    <t>예스24</t>
    <phoneticPr fontId="2" type="noConversion"/>
  </si>
  <si>
    <t>능률교육</t>
    <phoneticPr fontId="2" type="noConversion"/>
  </si>
  <si>
    <t>테라리소스</t>
    <phoneticPr fontId="2" type="noConversion"/>
  </si>
  <si>
    <t>영진인프라</t>
    <phoneticPr fontId="2" type="noConversion"/>
  </si>
  <si>
    <t>이니텍</t>
    <phoneticPr fontId="2" type="noConversion"/>
  </si>
  <si>
    <t>세코닉스</t>
    <phoneticPr fontId="2" type="noConversion"/>
  </si>
  <si>
    <t>한국테크놀로지</t>
    <phoneticPr fontId="2" type="noConversion"/>
  </si>
  <si>
    <t>프로텍</t>
    <phoneticPr fontId="2" type="noConversion"/>
  </si>
  <si>
    <t>태양</t>
    <phoneticPr fontId="2" type="noConversion"/>
  </si>
  <si>
    <t>현진소재</t>
    <phoneticPr fontId="2" type="noConversion"/>
  </si>
  <si>
    <t>한미글로벌</t>
    <phoneticPr fontId="2" type="noConversion"/>
  </si>
  <si>
    <t>삼보모터스</t>
    <phoneticPr fontId="2" type="noConversion"/>
  </si>
  <si>
    <t>국제엘렉트릭</t>
    <phoneticPr fontId="2" type="noConversion"/>
  </si>
  <si>
    <t>안랩</t>
    <phoneticPr fontId="2" type="noConversion"/>
  </si>
  <si>
    <t>유비프리시젼</t>
    <phoneticPr fontId="2" type="noConversion"/>
  </si>
  <si>
    <t>GT&amp;T</t>
    <phoneticPr fontId="2" type="noConversion"/>
  </si>
  <si>
    <t>경남제약</t>
    <phoneticPr fontId="2" type="noConversion"/>
  </si>
  <si>
    <t>오상자이엘</t>
    <phoneticPr fontId="2" type="noConversion"/>
  </si>
  <si>
    <t>한국컴퓨터</t>
    <phoneticPr fontId="2" type="noConversion"/>
  </si>
  <si>
    <t>농우바이오</t>
    <phoneticPr fontId="2" type="noConversion"/>
  </si>
  <si>
    <t>삼진엘앤디</t>
    <phoneticPr fontId="2" type="noConversion"/>
  </si>
  <si>
    <t>중앙오션</t>
    <phoneticPr fontId="2" type="noConversion"/>
  </si>
  <si>
    <t>이랜텍</t>
    <phoneticPr fontId="2" type="noConversion"/>
  </si>
  <si>
    <t>비츠로시스</t>
    <phoneticPr fontId="2" type="noConversion"/>
  </si>
  <si>
    <t>헤스본</t>
    <phoneticPr fontId="2" type="noConversion"/>
  </si>
  <si>
    <t>피앤텔</t>
    <phoneticPr fontId="2" type="noConversion"/>
  </si>
  <si>
    <t>케이피티</t>
    <phoneticPr fontId="2" type="noConversion"/>
  </si>
  <si>
    <t>텔레칩스</t>
    <phoneticPr fontId="2" type="noConversion"/>
  </si>
  <si>
    <t>삼영엠텍</t>
    <phoneticPr fontId="2" type="noConversion"/>
  </si>
  <si>
    <t>AP시스템</t>
    <phoneticPr fontId="2" type="noConversion"/>
  </si>
  <si>
    <t>에이디칩스</t>
    <phoneticPr fontId="2" type="noConversion"/>
  </si>
  <si>
    <t>대한뉴팜</t>
    <phoneticPr fontId="2" type="noConversion"/>
  </si>
  <si>
    <t>키이스트</t>
    <phoneticPr fontId="2" type="noConversion"/>
  </si>
  <si>
    <t>아이디스홀딩스</t>
    <phoneticPr fontId="2" type="noConversion"/>
  </si>
  <si>
    <t>소프트포럼</t>
    <phoneticPr fontId="2" type="noConversion"/>
  </si>
  <si>
    <t>유신</t>
    <phoneticPr fontId="2" type="noConversion"/>
  </si>
  <si>
    <t>엑사이엔씨</t>
    <phoneticPr fontId="2" type="noConversion"/>
  </si>
  <si>
    <t>제이브이엠</t>
    <phoneticPr fontId="2" type="noConversion"/>
  </si>
  <si>
    <t>신한지주</t>
    <phoneticPr fontId="2" type="noConversion"/>
  </si>
  <si>
    <t>코원</t>
    <phoneticPr fontId="2" type="noConversion"/>
  </si>
  <si>
    <t>유진로봇</t>
    <phoneticPr fontId="2" type="noConversion"/>
  </si>
  <si>
    <t>CU전자</t>
    <phoneticPr fontId="2" type="noConversion"/>
  </si>
  <si>
    <t>코위버</t>
    <phoneticPr fontId="2" type="noConversion"/>
  </si>
  <si>
    <t>신화인터텍</t>
    <phoneticPr fontId="2" type="noConversion"/>
  </si>
  <si>
    <t>아큐픽스</t>
    <phoneticPr fontId="2" type="noConversion"/>
  </si>
  <si>
    <t>위다스</t>
    <phoneticPr fontId="2" type="noConversion"/>
  </si>
  <si>
    <t>YBM시사닷컴</t>
    <phoneticPr fontId="2" type="noConversion"/>
  </si>
  <si>
    <t>SKC 솔믹스</t>
    <phoneticPr fontId="2" type="noConversion"/>
  </si>
  <si>
    <t>옴니시스템</t>
    <phoneticPr fontId="2" type="noConversion"/>
  </si>
  <si>
    <t>옴니텔</t>
    <phoneticPr fontId="2" type="noConversion"/>
  </si>
  <si>
    <t>토필드</t>
    <phoneticPr fontId="2" type="noConversion"/>
  </si>
  <si>
    <t>아리온</t>
    <phoneticPr fontId="2" type="noConversion"/>
  </si>
  <si>
    <t>금성테크</t>
    <phoneticPr fontId="2" type="noConversion"/>
  </si>
  <si>
    <t>KNN</t>
    <phoneticPr fontId="2" type="noConversion"/>
  </si>
  <si>
    <t>제이웨이</t>
    <phoneticPr fontId="2" type="noConversion"/>
  </si>
  <si>
    <t>포스코강판</t>
    <phoneticPr fontId="2" type="noConversion"/>
  </si>
  <si>
    <t>일야</t>
    <phoneticPr fontId="2" type="noConversion"/>
  </si>
  <si>
    <t>이큐스앤자루</t>
    <phoneticPr fontId="2" type="noConversion"/>
  </si>
  <si>
    <t>에스피지</t>
    <phoneticPr fontId="2" type="noConversion"/>
  </si>
  <si>
    <t>엠게임</t>
    <phoneticPr fontId="2" type="noConversion"/>
  </si>
  <si>
    <t>세아홀딩스</t>
    <phoneticPr fontId="2" type="noConversion"/>
  </si>
  <si>
    <t>동아에스텍</t>
    <phoneticPr fontId="2" type="noConversion"/>
  </si>
  <si>
    <t>CMG제약</t>
    <phoneticPr fontId="2" type="noConversion"/>
  </si>
  <si>
    <t>KTcs</t>
    <phoneticPr fontId="2" type="noConversion"/>
  </si>
  <si>
    <t>케이티스</t>
    <phoneticPr fontId="2" type="noConversion"/>
  </si>
  <si>
    <t>코미코</t>
    <phoneticPr fontId="2" type="noConversion"/>
  </si>
  <si>
    <t>아이컴포넌트</t>
    <phoneticPr fontId="2" type="noConversion"/>
  </si>
  <si>
    <t>메타바이오메드</t>
    <phoneticPr fontId="2" type="noConversion"/>
  </si>
  <si>
    <t>인선이엔티</t>
    <phoneticPr fontId="2" type="noConversion"/>
  </si>
  <si>
    <t>이그잭스</t>
    <phoneticPr fontId="2" type="noConversion"/>
  </si>
  <si>
    <t>아이넷스쿨</t>
    <phoneticPr fontId="2" type="noConversion"/>
  </si>
  <si>
    <t>뉴보텍</t>
    <phoneticPr fontId="2" type="noConversion"/>
  </si>
  <si>
    <t>큐렉소</t>
    <phoneticPr fontId="2" type="noConversion"/>
  </si>
  <si>
    <t>레드로버</t>
    <phoneticPr fontId="2" type="noConversion"/>
  </si>
  <si>
    <t>3S</t>
    <phoneticPr fontId="2" type="noConversion"/>
  </si>
  <si>
    <t>KT서브마린</t>
    <phoneticPr fontId="2" type="noConversion"/>
  </si>
  <si>
    <t>동양에스텍</t>
    <phoneticPr fontId="2" type="noConversion"/>
  </si>
  <si>
    <t>에스에이티</t>
    <phoneticPr fontId="2" type="noConversion"/>
  </si>
  <si>
    <t>홈센타</t>
    <phoneticPr fontId="2" type="noConversion"/>
  </si>
  <si>
    <t>아이리버</t>
    <phoneticPr fontId="2" type="noConversion"/>
  </si>
  <si>
    <t>씨티씨바이오</t>
    <phoneticPr fontId="2" type="noConversion"/>
  </si>
  <si>
    <t>KH바텍</t>
    <phoneticPr fontId="2" type="noConversion"/>
  </si>
  <si>
    <t>에어파크</t>
    <phoneticPr fontId="2" type="noConversion"/>
  </si>
  <si>
    <t>프리젠</t>
    <phoneticPr fontId="2" type="noConversion"/>
  </si>
  <si>
    <t>만도</t>
    <phoneticPr fontId="2" type="noConversion"/>
  </si>
  <si>
    <t>알에프텍</t>
    <phoneticPr fontId="2" type="noConversion"/>
  </si>
  <si>
    <t>화일약품</t>
    <phoneticPr fontId="2" type="noConversion"/>
  </si>
  <si>
    <t>한진피앤씨</t>
    <phoneticPr fontId="2" type="noConversion"/>
  </si>
  <si>
    <t>엘비세미콘</t>
    <phoneticPr fontId="2" type="noConversion"/>
  </si>
  <si>
    <t>티엘아이</t>
    <phoneticPr fontId="2" type="noConversion"/>
  </si>
  <si>
    <t>게임빌</t>
    <phoneticPr fontId="2" type="noConversion"/>
  </si>
  <si>
    <t>종근당바이오</t>
    <phoneticPr fontId="2" type="noConversion"/>
  </si>
  <si>
    <t>서울옥션</t>
    <phoneticPr fontId="2" type="noConversion"/>
  </si>
  <si>
    <t>케이디미디어</t>
    <phoneticPr fontId="2" type="noConversion"/>
  </si>
  <si>
    <t>한국전자금융</t>
    <phoneticPr fontId="2" type="noConversion"/>
  </si>
  <si>
    <t>휴바이론</t>
    <phoneticPr fontId="2" type="noConversion"/>
  </si>
  <si>
    <t>홈캐스트</t>
    <phoneticPr fontId="2" type="noConversion"/>
  </si>
  <si>
    <t>다날</t>
    <phoneticPr fontId="2" type="noConversion"/>
  </si>
  <si>
    <t>인텍플러스</t>
    <phoneticPr fontId="2" type="noConversion"/>
  </si>
  <si>
    <t>케이피케미칼</t>
    <phoneticPr fontId="2" type="noConversion"/>
  </si>
  <si>
    <t>브리지텍</t>
    <phoneticPr fontId="2" type="noConversion"/>
  </si>
  <si>
    <t>바른전자</t>
    <phoneticPr fontId="2" type="noConversion"/>
  </si>
  <si>
    <t>바이오니아</t>
    <phoneticPr fontId="2" type="noConversion"/>
  </si>
  <si>
    <t>티씨케이</t>
    <phoneticPr fontId="2" type="noConversion"/>
  </si>
  <si>
    <t>필링크</t>
    <phoneticPr fontId="2" type="noConversion"/>
  </si>
  <si>
    <t>소셜미디어99</t>
    <phoneticPr fontId="2" type="noConversion"/>
  </si>
  <si>
    <t>S&amp;T모티브</t>
    <phoneticPr fontId="2" type="noConversion"/>
  </si>
  <si>
    <t>지엔코</t>
    <phoneticPr fontId="2" type="noConversion"/>
  </si>
  <si>
    <t>탑엔지니어링</t>
    <phoneticPr fontId="2" type="noConversion"/>
  </si>
  <si>
    <t>MPK</t>
    <phoneticPr fontId="2" type="noConversion"/>
  </si>
  <si>
    <t>에프티이앤이</t>
    <phoneticPr fontId="2" type="noConversion"/>
  </si>
  <si>
    <t>엔알디</t>
    <phoneticPr fontId="2" type="noConversion"/>
  </si>
  <si>
    <t>피에스앤지</t>
    <phoneticPr fontId="2" type="noConversion"/>
  </si>
  <si>
    <t>플렉스컴</t>
    <phoneticPr fontId="2" type="noConversion"/>
  </si>
  <si>
    <t>신성델타테크</t>
    <phoneticPr fontId="2" type="noConversion"/>
  </si>
  <si>
    <t>에스아이리소스</t>
    <phoneticPr fontId="2" type="noConversion"/>
  </si>
  <si>
    <t>이루온</t>
    <phoneticPr fontId="2" type="noConversion"/>
  </si>
  <si>
    <t>빅텍</t>
    <phoneticPr fontId="2" type="noConversion"/>
  </si>
  <si>
    <t>오리엔트정공</t>
    <phoneticPr fontId="2" type="noConversion"/>
  </si>
  <si>
    <t>휴비츠</t>
    <phoneticPr fontId="2" type="noConversion"/>
  </si>
  <si>
    <t>전파기지국</t>
    <phoneticPr fontId="2" type="noConversion"/>
  </si>
  <si>
    <t>큐브스</t>
    <phoneticPr fontId="2" type="noConversion"/>
  </si>
  <si>
    <t>삼영이엔씨</t>
    <phoneticPr fontId="2" type="noConversion"/>
  </si>
  <si>
    <t>샤인</t>
    <phoneticPr fontId="2" type="noConversion"/>
  </si>
  <si>
    <t>메디프론</t>
    <phoneticPr fontId="2" type="noConversion"/>
  </si>
  <si>
    <t>우주일렉트로</t>
    <phoneticPr fontId="2" type="noConversion"/>
  </si>
  <si>
    <t>대진디엠피</t>
    <phoneticPr fontId="2" type="noConversion"/>
  </si>
  <si>
    <t>서호전기</t>
    <phoneticPr fontId="2" type="noConversion"/>
  </si>
  <si>
    <t>CS</t>
    <phoneticPr fontId="2" type="noConversion"/>
  </si>
  <si>
    <t>케이에스씨비</t>
    <phoneticPr fontId="2" type="noConversion"/>
  </si>
  <si>
    <t>웰크론</t>
    <phoneticPr fontId="2" type="noConversion"/>
  </si>
  <si>
    <t>휴먼텍코리아</t>
    <phoneticPr fontId="2" type="noConversion"/>
  </si>
  <si>
    <t>백산OPC</t>
    <phoneticPr fontId="2" type="noConversion"/>
  </si>
  <si>
    <t>하츠</t>
    <phoneticPr fontId="2" type="noConversion"/>
  </si>
  <si>
    <t>SK컴즈</t>
    <phoneticPr fontId="2" type="noConversion"/>
  </si>
  <si>
    <t>큐에스아이</t>
    <phoneticPr fontId="2" type="noConversion"/>
  </si>
  <si>
    <t>티에스엠텍</t>
    <phoneticPr fontId="2" type="noConversion"/>
  </si>
  <si>
    <t>캔들미디어</t>
    <phoneticPr fontId="2" type="noConversion"/>
  </si>
  <si>
    <t>스템싸이언스</t>
    <phoneticPr fontId="2" type="noConversion"/>
  </si>
  <si>
    <t>LG전자</t>
    <phoneticPr fontId="2" type="noConversion"/>
  </si>
  <si>
    <t>우수AMS</t>
    <phoneticPr fontId="2" type="noConversion"/>
  </si>
  <si>
    <t>국보디자인</t>
    <phoneticPr fontId="2" type="noConversion"/>
  </si>
  <si>
    <t>디스플레이텍</t>
    <phoneticPr fontId="2" type="noConversion"/>
  </si>
  <si>
    <t>테라젠이텍스</t>
    <phoneticPr fontId="2" type="noConversion"/>
  </si>
  <si>
    <t>씨씨에스</t>
    <phoneticPr fontId="2" type="noConversion"/>
  </si>
  <si>
    <t>디에이피</t>
    <phoneticPr fontId="2" type="noConversion"/>
  </si>
  <si>
    <t>손오공</t>
    <phoneticPr fontId="2" type="noConversion"/>
  </si>
  <si>
    <t>엘앤에프</t>
    <phoneticPr fontId="2" type="noConversion"/>
  </si>
  <si>
    <t>하이쎌</t>
    <phoneticPr fontId="2" type="noConversion"/>
  </si>
  <si>
    <t>조이시티</t>
    <phoneticPr fontId="2" type="noConversion"/>
  </si>
  <si>
    <t>이씨에스</t>
    <phoneticPr fontId="2" type="noConversion"/>
  </si>
  <si>
    <t>대화제약</t>
    <phoneticPr fontId="2" type="noConversion"/>
  </si>
  <si>
    <t>아프리카TV</t>
    <phoneticPr fontId="2" type="noConversion"/>
  </si>
  <si>
    <t>오텍</t>
    <phoneticPr fontId="2" type="noConversion"/>
  </si>
  <si>
    <t>STX조선해양</t>
    <phoneticPr fontId="2" type="noConversion"/>
  </si>
  <si>
    <t>크레듀</t>
    <phoneticPr fontId="2" type="noConversion"/>
  </si>
  <si>
    <t>JW중외신약</t>
    <phoneticPr fontId="2" type="noConversion"/>
  </si>
  <si>
    <t>하나마이크론</t>
    <phoneticPr fontId="2" type="noConversion"/>
  </si>
  <si>
    <t>에너지솔루션</t>
    <phoneticPr fontId="2" type="noConversion"/>
  </si>
  <si>
    <t>세진티에스</t>
    <phoneticPr fontId="2" type="noConversion"/>
  </si>
  <si>
    <t>세이브존I&amp;C</t>
    <phoneticPr fontId="2" type="noConversion"/>
  </si>
  <si>
    <t>와이엔텍</t>
    <phoneticPr fontId="2" type="noConversion"/>
  </si>
  <si>
    <t>이글루시큐리티</t>
    <phoneticPr fontId="2" type="noConversion"/>
  </si>
  <si>
    <t>도이치모터스</t>
    <phoneticPr fontId="2" type="noConversion"/>
  </si>
  <si>
    <t>팬엔터테인먼트</t>
    <phoneticPr fontId="2" type="noConversion"/>
  </si>
  <si>
    <t>KCW</t>
    <phoneticPr fontId="2" type="noConversion"/>
  </si>
  <si>
    <t>엔티피아</t>
    <phoneticPr fontId="2" type="noConversion"/>
  </si>
  <si>
    <t>다원시스</t>
    <phoneticPr fontId="2" type="noConversion"/>
  </si>
  <si>
    <t>셀트리온</t>
    <phoneticPr fontId="2" type="noConversion"/>
  </si>
  <si>
    <t>삼성출판사</t>
    <phoneticPr fontId="2" type="noConversion"/>
  </si>
  <si>
    <t>일신바이오</t>
    <phoneticPr fontId="2" type="noConversion"/>
  </si>
  <si>
    <t>AJ렌터카</t>
    <phoneticPr fontId="2" type="noConversion"/>
  </si>
  <si>
    <t>엔터기술</t>
    <phoneticPr fontId="2" type="noConversion"/>
  </si>
  <si>
    <t>셀트리온제약</t>
    <phoneticPr fontId="2" type="noConversion"/>
  </si>
  <si>
    <t>DMS</t>
    <phoneticPr fontId="2" type="noConversion"/>
  </si>
  <si>
    <t>LG생명과학</t>
    <phoneticPr fontId="2" type="noConversion"/>
  </si>
  <si>
    <t>디지털대성</t>
    <phoneticPr fontId="2" type="noConversion"/>
  </si>
  <si>
    <t>아이씨케이</t>
    <phoneticPr fontId="2" type="noConversion"/>
  </si>
  <si>
    <t>웹젠</t>
    <phoneticPr fontId="2" type="noConversion"/>
  </si>
  <si>
    <t>코스온</t>
    <phoneticPr fontId="2" type="noConversion"/>
  </si>
  <si>
    <t>누리플랜</t>
    <phoneticPr fontId="2" type="noConversion"/>
  </si>
  <si>
    <t>휴켐스</t>
    <phoneticPr fontId="2" type="noConversion"/>
  </si>
  <si>
    <t>유아이디</t>
    <phoneticPr fontId="2" type="noConversion"/>
  </si>
  <si>
    <t>엔텔스</t>
    <phoneticPr fontId="2" type="noConversion"/>
  </si>
  <si>
    <t>대호에이엘</t>
    <phoneticPr fontId="2" type="noConversion"/>
  </si>
  <si>
    <t>KODEX 200</t>
    <phoneticPr fontId="2" type="noConversion"/>
  </si>
  <si>
    <t>에스텍</t>
    <phoneticPr fontId="2" type="noConversion"/>
  </si>
  <si>
    <t>빛과전자</t>
    <phoneticPr fontId="2" type="noConversion"/>
  </si>
  <si>
    <t>대웅제약</t>
    <phoneticPr fontId="2" type="noConversion"/>
  </si>
  <si>
    <t>엠케이트렌드</t>
    <phoneticPr fontId="2" type="noConversion"/>
  </si>
  <si>
    <t>KOSEF 200</t>
    <phoneticPr fontId="2" type="noConversion"/>
  </si>
  <si>
    <t>DSR제강</t>
    <phoneticPr fontId="2" type="noConversion"/>
  </si>
  <si>
    <t>아이에스이커머스</t>
    <phoneticPr fontId="2" type="noConversion"/>
  </si>
  <si>
    <t>현대백화점</t>
    <phoneticPr fontId="2" type="noConversion"/>
  </si>
  <si>
    <t>솔라시아</t>
    <phoneticPr fontId="2" type="noConversion"/>
  </si>
  <si>
    <t>에버테크노</t>
    <phoneticPr fontId="2" type="noConversion"/>
  </si>
  <si>
    <t>한솔인티큐브</t>
    <phoneticPr fontId="2" type="noConversion"/>
  </si>
  <si>
    <t>한국금융지주</t>
    <phoneticPr fontId="2" type="noConversion"/>
  </si>
  <si>
    <t>하이스틸</t>
    <phoneticPr fontId="2" type="noConversion"/>
  </si>
  <si>
    <t>인피니트헬스케어</t>
    <phoneticPr fontId="2" type="noConversion"/>
  </si>
  <si>
    <t>로체시스템즈</t>
    <phoneticPr fontId="2" type="noConversion"/>
  </si>
  <si>
    <t>지역난방공사</t>
    <phoneticPr fontId="2" type="noConversion"/>
  </si>
  <si>
    <t>유에이블</t>
    <phoneticPr fontId="2" type="noConversion"/>
  </si>
  <si>
    <t>에이테크솔루션</t>
    <phoneticPr fontId="2" type="noConversion"/>
  </si>
  <si>
    <t>롯데하이마트</t>
    <phoneticPr fontId="2" type="noConversion"/>
  </si>
  <si>
    <t>에이스하이텍</t>
    <phoneticPr fontId="2" type="noConversion"/>
  </si>
  <si>
    <t>코아스</t>
    <phoneticPr fontId="2" type="noConversion"/>
  </si>
  <si>
    <t>STX중공업</t>
    <phoneticPr fontId="2" type="noConversion"/>
  </si>
  <si>
    <t>중앙백신</t>
    <phoneticPr fontId="2" type="noConversion"/>
  </si>
  <si>
    <t>유엔젤</t>
    <phoneticPr fontId="2" type="noConversion"/>
  </si>
  <si>
    <t>우리산업</t>
    <phoneticPr fontId="2" type="noConversion"/>
  </si>
  <si>
    <t>태양기전</t>
    <phoneticPr fontId="2" type="noConversion"/>
  </si>
  <si>
    <t>농심홀딩스</t>
    <phoneticPr fontId="2" type="noConversion"/>
  </si>
  <si>
    <t>아로마소프트</t>
    <phoneticPr fontId="2" type="noConversion"/>
  </si>
  <si>
    <t>메가스터디</t>
    <phoneticPr fontId="2" type="noConversion"/>
  </si>
  <si>
    <t>빛샘전자</t>
    <phoneticPr fontId="2" type="noConversion"/>
  </si>
  <si>
    <t>케이에스피</t>
    <phoneticPr fontId="2" type="noConversion"/>
  </si>
  <si>
    <t>넥센테크</t>
    <phoneticPr fontId="2" type="noConversion"/>
  </si>
  <si>
    <t>엘엠에스</t>
    <phoneticPr fontId="2" type="noConversion"/>
  </si>
  <si>
    <t>듀오백코리아</t>
    <phoneticPr fontId="2" type="noConversion"/>
  </si>
  <si>
    <t>금호타이어</t>
    <phoneticPr fontId="2" type="noConversion"/>
  </si>
  <si>
    <t>이노와이어리스</t>
    <phoneticPr fontId="2" type="noConversion"/>
  </si>
  <si>
    <t>에프알텍</t>
    <phoneticPr fontId="2" type="noConversion"/>
  </si>
  <si>
    <t>프롬써어티</t>
    <phoneticPr fontId="2" type="noConversion"/>
  </si>
  <si>
    <t>삼원테크</t>
    <phoneticPr fontId="2" type="noConversion"/>
  </si>
  <si>
    <t>제너시스템즈</t>
    <phoneticPr fontId="2" type="noConversion"/>
  </si>
  <si>
    <t>엠텍비젼</t>
    <phoneticPr fontId="2" type="noConversion"/>
  </si>
  <si>
    <t>디아이디</t>
    <phoneticPr fontId="2" type="noConversion"/>
  </si>
  <si>
    <t>창해에너지어링</t>
    <phoneticPr fontId="2" type="noConversion"/>
  </si>
  <si>
    <t>아미노로직스</t>
    <phoneticPr fontId="2" type="noConversion"/>
  </si>
  <si>
    <t>원익QnC</t>
    <phoneticPr fontId="2" type="noConversion"/>
  </si>
  <si>
    <t>이엔쓰리</t>
    <phoneticPr fontId="2" type="noConversion"/>
  </si>
  <si>
    <t>플랜티넷</t>
    <phoneticPr fontId="2" type="noConversion"/>
  </si>
  <si>
    <t>새론오토모티브</t>
    <phoneticPr fontId="2" type="noConversion"/>
  </si>
  <si>
    <t>동국알앤에스</t>
    <phoneticPr fontId="2" type="noConversion"/>
  </si>
  <si>
    <t>웰크론한텍</t>
    <phoneticPr fontId="2" type="noConversion"/>
  </si>
  <si>
    <t>다윈텍</t>
    <phoneticPr fontId="2" type="noConversion"/>
  </si>
  <si>
    <t>덕산하이메탈</t>
    <phoneticPr fontId="2" type="noConversion"/>
  </si>
  <si>
    <t>유니퀘스트</t>
    <phoneticPr fontId="2" type="noConversion"/>
  </si>
  <si>
    <t>STX엔진</t>
    <phoneticPr fontId="2" type="noConversion"/>
  </si>
  <si>
    <t>텔코웨어</t>
    <phoneticPr fontId="2" type="noConversion"/>
  </si>
  <si>
    <t>이트레이드증권</t>
    <phoneticPr fontId="2" type="noConversion"/>
  </si>
  <si>
    <t>유비쿼스</t>
    <phoneticPr fontId="2" type="noConversion"/>
  </si>
  <si>
    <t>국일제지</t>
    <phoneticPr fontId="2" type="noConversion"/>
  </si>
  <si>
    <t>대봉엘에스</t>
    <phoneticPr fontId="2" type="noConversion"/>
  </si>
  <si>
    <t>HB테크놀러지</t>
    <phoneticPr fontId="2" type="noConversion"/>
  </si>
  <si>
    <t>메디포스트</t>
    <phoneticPr fontId="2" type="noConversion"/>
  </si>
  <si>
    <t>컴투스</t>
    <phoneticPr fontId="2" type="noConversion"/>
  </si>
  <si>
    <t>한양디지텍</t>
    <phoneticPr fontId="2" type="noConversion"/>
  </si>
  <si>
    <t>에이블씨엔씨</t>
    <phoneticPr fontId="2" type="noConversion"/>
  </si>
  <si>
    <t>두올산업</t>
    <phoneticPr fontId="2" type="noConversion"/>
  </si>
  <si>
    <t>대주전자재료</t>
    <phoneticPr fontId="2" type="noConversion"/>
  </si>
  <si>
    <t>코렌</t>
    <phoneticPr fontId="2" type="noConversion"/>
  </si>
  <si>
    <t>아이디에스</t>
    <phoneticPr fontId="2" type="noConversion"/>
  </si>
  <si>
    <t>포인트아이</t>
    <phoneticPr fontId="2" type="noConversion"/>
  </si>
  <si>
    <t>가온미디어</t>
    <phoneticPr fontId="2" type="noConversion"/>
  </si>
  <si>
    <t>GS</t>
    <phoneticPr fontId="2" type="noConversion"/>
  </si>
  <si>
    <t>일경산업개발</t>
    <phoneticPr fontId="2" type="noConversion"/>
  </si>
  <si>
    <t>와토스코리아</t>
    <phoneticPr fontId="2" type="noConversion"/>
  </si>
  <si>
    <t>CJ CGV</t>
    <phoneticPr fontId="2" type="noConversion"/>
  </si>
  <si>
    <t>한창산업</t>
    <phoneticPr fontId="2" type="noConversion"/>
  </si>
  <si>
    <t>EMW</t>
    <phoneticPr fontId="2" type="noConversion"/>
  </si>
  <si>
    <t>제우스</t>
    <phoneticPr fontId="2" type="noConversion"/>
  </si>
  <si>
    <t>리바트</t>
    <phoneticPr fontId="2" type="noConversion"/>
  </si>
  <si>
    <t>서산</t>
    <phoneticPr fontId="2" type="noConversion"/>
  </si>
  <si>
    <t>사조해표</t>
    <phoneticPr fontId="2" type="noConversion"/>
  </si>
  <si>
    <t>디이엔티</t>
    <phoneticPr fontId="2" type="noConversion"/>
  </si>
  <si>
    <t>가비아</t>
    <phoneticPr fontId="2" type="noConversion"/>
  </si>
  <si>
    <t>LIG에이디피</t>
    <phoneticPr fontId="2" type="noConversion"/>
  </si>
  <si>
    <t>동양이엔피</t>
    <phoneticPr fontId="2" type="noConversion"/>
  </si>
  <si>
    <t>투비소프트</t>
    <phoneticPr fontId="2" type="noConversion"/>
  </si>
  <si>
    <t>휴비스</t>
    <phoneticPr fontId="2" type="noConversion"/>
  </si>
  <si>
    <t>에스엔유</t>
    <phoneticPr fontId="2" type="noConversion"/>
  </si>
  <si>
    <t>이상네트웍스</t>
    <phoneticPr fontId="2" type="noConversion"/>
  </si>
  <si>
    <t>동북아2호</t>
    <phoneticPr fontId="2" type="noConversion"/>
  </si>
  <si>
    <t>모두투어</t>
    <phoneticPr fontId="2" type="noConversion"/>
  </si>
  <si>
    <t>아시아1호</t>
    <phoneticPr fontId="2" type="noConversion"/>
  </si>
  <si>
    <t>제주반도체</t>
    <phoneticPr fontId="2" type="noConversion"/>
  </si>
  <si>
    <t>이노칩</t>
    <phoneticPr fontId="2" type="noConversion"/>
  </si>
  <si>
    <t>세진전자</t>
    <phoneticPr fontId="2" type="noConversion"/>
  </si>
  <si>
    <t>성창오토텍</t>
    <phoneticPr fontId="2" type="noConversion"/>
  </si>
  <si>
    <t>오디텍</t>
    <phoneticPr fontId="2" type="noConversion"/>
  </si>
  <si>
    <t>코디에스</t>
    <phoneticPr fontId="2" type="noConversion"/>
  </si>
  <si>
    <t>동북아3호</t>
    <phoneticPr fontId="2" type="noConversion"/>
  </si>
  <si>
    <t>동북아4호</t>
    <phoneticPr fontId="2" type="noConversion"/>
  </si>
  <si>
    <t>동북아5호</t>
    <phoneticPr fontId="2" type="noConversion"/>
  </si>
  <si>
    <t>일진다이아</t>
    <phoneticPr fontId="2" type="noConversion"/>
  </si>
  <si>
    <t>티플랙스</t>
    <phoneticPr fontId="2" type="noConversion"/>
  </si>
  <si>
    <t>아시아2호</t>
    <phoneticPr fontId="2" type="noConversion"/>
  </si>
  <si>
    <t>아시아3호</t>
    <phoneticPr fontId="2" type="noConversion"/>
  </si>
  <si>
    <t>아시아4호</t>
    <phoneticPr fontId="2" type="noConversion"/>
  </si>
  <si>
    <t>세미텍</t>
    <phoneticPr fontId="2" type="noConversion"/>
  </si>
  <si>
    <t>성우전자</t>
    <phoneticPr fontId="2" type="noConversion"/>
  </si>
  <si>
    <t>휠라코리아</t>
    <phoneticPr fontId="2" type="noConversion"/>
  </si>
  <si>
    <t>아시아8호</t>
    <phoneticPr fontId="2" type="noConversion"/>
  </si>
  <si>
    <t>아시아9호</t>
    <phoneticPr fontId="2" type="noConversion"/>
  </si>
  <si>
    <t>넥스지</t>
    <phoneticPr fontId="2" type="noConversion"/>
  </si>
  <si>
    <t>옵트론텍</t>
    <phoneticPr fontId="2" type="noConversion"/>
  </si>
  <si>
    <t>아시아5호</t>
    <phoneticPr fontId="2" type="noConversion"/>
  </si>
  <si>
    <t>아시아6호</t>
    <phoneticPr fontId="2" type="noConversion"/>
  </si>
  <si>
    <t>아시아7호</t>
    <phoneticPr fontId="2" type="noConversion"/>
  </si>
  <si>
    <t>젬백스</t>
    <phoneticPr fontId="2" type="noConversion"/>
  </si>
  <si>
    <t>피엘에이</t>
    <phoneticPr fontId="2" type="noConversion"/>
  </si>
  <si>
    <t>동양생명</t>
    <phoneticPr fontId="2" type="noConversion"/>
  </si>
  <si>
    <t>크루셜엠스</t>
    <phoneticPr fontId="2" type="noConversion"/>
  </si>
  <si>
    <t>두산엔진</t>
    <phoneticPr fontId="2" type="noConversion"/>
  </si>
  <si>
    <t>루미마이크로</t>
    <phoneticPr fontId="2" type="noConversion"/>
  </si>
  <si>
    <t>우리이티아이</t>
    <phoneticPr fontId="2" type="noConversion"/>
  </si>
  <si>
    <t>비츠로셀</t>
    <phoneticPr fontId="2" type="noConversion"/>
  </si>
  <si>
    <t>실리콘화일</t>
    <phoneticPr fontId="2" type="noConversion"/>
  </si>
  <si>
    <t>엘오티베큠</t>
    <phoneticPr fontId="2" type="noConversion"/>
  </si>
  <si>
    <t>동북아10호</t>
    <phoneticPr fontId="2" type="noConversion"/>
  </si>
  <si>
    <t>동북아11호</t>
    <phoneticPr fontId="2" type="noConversion"/>
  </si>
  <si>
    <t>동북아12호</t>
    <phoneticPr fontId="2" type="noConversion"/>
  </si>
  <si>
    <t>동북아13호</t>
    <phoneticPr fontId="2" type="noConversion"/>
  </si>
  <si>
    <t>동북아14호</t>
    <phoneticPr fontId="2" type="noConversion"/>
  </si>
  <si>
    <t>KPX그린케미칼</t>
    <phoneticPr fontId="2" type="noConversion"/>
  </si>
  <si>
    <t>GST</t>
    <phoneticPr fontId="2" type="noConversion"/>
  </si>
  <si>
    <t>KJ프리텍</t>
    <phoneticPr fontId="2" type="noConversion"/>
  </si>
  <si>
    <t>케이엠</t>
    <phoneticPr fontId="2" type="noConversion"/>
  </si>
  <si>
    <t>아시아10호</t>
    <phoneticPr fontId="2" type="noConversion"/>
  </si>
  <si>
    <t>아시아11호</t>
    <phoneticPr fontId="2" type="noConversion"/>
  </si>
  <si>
    <t>아시아12호</t>
    <phoneticPr fontId="2" type="noConversion"/>
  </si>
  <si>
    <t>아시아13호</t>
    <phoneticPr fontId="2" type="noConversion"/>
  </si>
  <si>
    <t>아시아14호</t>
    <phoneticPr fontId="2" type="noConversion"/>
  </si>
  <si>
    <t>아시아15호</t>
    <phoneticPr fontId="2" type="noConversion"/>
  </si>
  <si>
    <t>윈포넷</t>
    <phoneticPr fontId="2" type="noConversion"/>
  </si>
  <si>
    <t>비에이치아이</t>
    <phoneticPr fontId="2" type="noConversion"/>
  </si>
  <si>
    <t>젠트로</t>
    <phoneticPr fontId="2" type="noConversion"/>
  </si>
  <si>
    <t>크리스탈</t>
    <phoneticPr fontId="2" type="noConversion"/>
  </si>
  <si>
    <t>아바코</t>
    <phoneticPr fontId="2" type="noConversion"/>
  </si>
  <si>
    <t>대한제강</t>
    <phoneticPr fontId="2" type="noConversion"/>
  </si>
  <si>
    <t>휴온스</t>
    <phoneticPr fontId="2" type="noConversion"/>
  </si>
  <si>
    <t>수성</t>
    <phoneticPr fontId="2" type="noConversion"/>
  </si>
  <si>
    <t>유진테크</t>
    <phoneticPr fontId="2" type="noConversion"/>
  </si>
  <si>
    <t>동양고속</t>
    <phoneticPr fontId="2" type="noConversion"/>
  </si>
  <si>
    <t>이월드</t>
    <phoneticPr fontId="2" type="noConversion"/>
  </si>
  <si>
    <t>대상홀딩스</t>
    <phoneticPr fontId="2" type="noConversion"/>
  </si>
  <si>
    <t>팅크웨어</t>
    <phoneticPr fontId="2" type="noConversion"/>
  </si>
  <si>
    <t>베이직하우스</t>
    <phoneticPr fontId="2" type="noConversion"/>
  </si>
  <si>
    <t>바이로메드</t>
    <phoneticPr fontId="2" type="noConversion"/>
  </si>
  <si>
    <t>엔케이</t>
    <phoneticPr fontId="2" type="noConversion"/>
  </si>
  <si>
    <t>루트로닉</t>
    <phoneticPr fontId="2" type="noConversion"/>
  </si>
  <si>
    <t>차바이오앤</t>
    <phoneticPr fontId="2" type="noConversion"/>
  </si>
  <si>
    <t>뉴프렉스</t>
    <phoneticPr fontId="2" type="noConversion"/>
  </si>
  <si>
    <t>네오티스</t>
    <phoneticPr fontId="2" type="noConversion"/>
  </si>
  <si>
    <t>바이오톡스텍</t>
    <phoneticPr fontId="2" type="noConversion"/>
  </si>
  <si>
    <t>진바이오텍</t>
    <phoneticPr fontId="2" type="noConversion"/>
  </si>
  <si>
    <t>씨앤비텍</t>
    <phoneticPr fontId="2" type="noConversion"/>
  </si>
  <si>
    <t>화신테크</t>
    <phoneticPr fontId="2" type="noConversion"/>
  </si>
  <si>
    <t>현대글로비스</t>
    <phoneticPr fontId="2" type="noConversion"/>
  </si>
  <si>
    <t>유니테스트</t>
    <phoneticPr fontId="2" type="noConversion"/>
  </si>
  <si>
    <t>동국제약</t>
    <phoneticPr fontId="2" type="noConversion"/>
  </si>
  <si>
    <t>에코프로</t>
    <phoneticPr fontId="2" type="noConversion"/>
  </si>
  <si>
    <t>비엠티</t>
    <phoneticPr fontId="2" type="noConversion"/>
  </si>
  <si>
    <t>하나금융지주</t>
    <phoneticPr fontId="2" type="noConversion"/>
  </si>
  <si>
    <t>신양</t>
    <phoneticPr fontId="2" type="noConversion"/>
  </si>
  <si>
    <t>이수앱지스</t>
    <phoneticPr fontId="2" type="noConversion"/>
  </si>
  <si>
    <t>메디톡스</t>
    <phoneticPr fontId="2" type="noConversion"/>
  </si>
  <si>
    <t>MDS테크</t>
    <phoneticPr fontId="2" type="noConversion"/>
  </si>
  <si>
    <t>미디어플렉스</t>
    <phoneticPr fontId="2" type="noConversion"/>
  </si>
  <si>
    <t>스틸플라워</t>
    <phoneticPr fontId="2" type="noConversion"/>
  </si>
  <si>
    <t>네패스신소재</t>
    <phoneticPr fontId="2" type="noConversion"/>
  </si>
  <si>
    <t>동아엘텍</t>
    <phoneticPr fontId="2" type="noConversion"/>
  </si>
  <si>
    <t>이원컴포텍</t>
    <phoneticPr fontId="2" type="noConversion"/>
  </si>
  <si>
    <t>한화생명</t>
    <phoneticPr fontId="2" type="noConversion"/>
  </si>
  <si>
    <t>이녹스</t>
    <phoneticPr fontId="2" type="noConversion"/>
  </si>
  <si>
    <t>마이스코</t>
    <phoneticPr fontId="2" type="noConversion"/>
  </si>
  <si>
    <t>진도</t>
    <phoneticPr fontId="2" type="noConversion"/>
  </si>
  <si>
    <t>에이스테크</t>
    <phoneticPr fontId="2" type="noConversion"/>
  </si>
  <si>
    <t>동우</t>
    <phoneticPr fontId="2" type="noConversion"/>
  </si>
  <si>
    <t>맥쿼리인프라</t>
    <phoneticPr fontId="2" type="noConversion"/>
  </si>
  <si>
    <t>켐트로닉스</t>
    <phoneticPr fontId="2" type="noConversion"/>
  </si>
  <si>
    <t>테크윙</t>
    <phoneticPr fontId="2" type="noConversion"/>
  </si>
  <si>
    <t>넥스턴</t>
    <phoneticPr fontId="2" type="noConversion"/>
  </si>
  <si>
    <t>케이씨티</t>
    <phoneticPr fontId="2" type="noConversion"/>
  </si>
  <si>
    <t>용현BM</t>
    <phoneticPr fontId="2" type="noConversion"/>
  </si>
  <si>
    <t>현대EP</t>
    <phoneticPr fontId="2" type="noConversion"/>
  </si>
  <si>
    <t>아이테스트</t>
    <phoneticPr fontId="2" type="noConversion"/>
  </si>
  <si>
    <t>제이티</t>
    <phoneticPr fontId="2" type="noConversion"/>
  </si>
  <si>
    <t>유비벨록스</t>
    <phoneticPr fontId="2" type="noConversion"/>
  </si>
  <si>
    <t>고려반도체</t>
    <phoneticPr fontId="2" type="noConversion"/>
  </si>
  <si>
    <t>상아프론테크</t>
    <phoneticPr fontId="2" type="noConversion"/>
  </si>
  <si>
    <t>평화산업</t>
    <phoneticPr fontId="2" type="noConversion"/>
  </si>
  <si>
    <t>잘만테크</t>
    <phoneticPr fontId="2" type="noConversion"/>
  </si>
  <si>
    <t>광진윈텍</t>
    <phoneticPr fontId="2" type="noConversion"/>
  </si>
  <si>
    <t>노루페인트</t>
    <phoneticPr fontId="2" type="noConversion"/>
  </si>
  <si>
    <t>로보스타</t>
    <phoneticPr fontId="2" type="noConversion"/>
  </si>
  <si>
    <t>아비스타</t>
    <phoneticPr fontId="2" type="noConversion"/>
  </si>
  <si>
    <t>아모레퍼시픽</t>
    <phoneticPr fontId="2" type="noConversion"/>
  </si>
  <si>
    <t>비에이치</t>
    <phoneticPr fontId="2" type="noConversion"/>
  </si>
  <si>
    <t>AST젯텍</t>
    <phoneticPr fontId="2" type="noConversion"/>
  </si>
  <si>
    <t>코크렙8호</t>
    <phoneticPr fontId="2" type="noConversion"/>
  </si>
  <si>
    <t>동부로봇</t>
    <phoneticPr fontId="2" type="noConversion"/>
  </si>
  <si>
    <t>Simpac Metalloy</t>
    <phoneticPr fontId="2" type="noConversion"/>
  </si>
  <si>
    <t>연이정보통신</t>
    <phoneticPr fontId="2" type="noConversion"/>
  </si>
  <si>
    <t>코리아01호</t>
    <phoneticPr fontId="2" type="noConversion"/>
  </si>
  <si>
    <t>코리아02호</t>
    <phoneticPr fontId="2" type="noConversion"/>
  </si>
  <si>
    <t>코리아03호</t>
    <phoneticPr fontId="2" type="noConversion"/>
  </si>
  <si>
    <t>코리아04호</t>
    <phoneticPr fontId="2" type="noConversion"/>
  </si>
  <si>
    <t>세원셀론텍</t>
    <phoneticPr fontId="2" type="noConversion"/>
  </si>
  <si>
    <t>이엠텍</t>
    <phoneticPr fontId="2" type="noConversion"/>
  </si>
  <si>
    <t>KODEX 반도체</t>
    <phoneticPr fontId="2" type="noConversion"/>
  </si>
  <si>
    <t>KODEX 은행</t>
    <phoneticPr fontId="2" type="noConversion"/>
  </si>
  <si>
    <t>KODEX 자동차</t>
    <phoneticPr fontId="2" type="noConversion"/>
  </si>
  <si>
    <t>KOSEF Banks</t>
    <phoneticPr fontId="2" type="noConversion"/>
  </si>
  <si>
    <t>KOSEF IT</t>
    <phoneticPr fontId="2" type="noConversion"/>
  </si>
  <si>
    <t>TIGER KRX100</t>
    <phoneticPr fontId="2" type="noConversion"/>
  </si>
  <si>
    <t>TIGER 은행</t>
    <phoneticPr fontId="2" type="noConversion"/>
  </si>
  <si>
    <t>TIGER 반도체</t>
    <phoneticPr fontId="2" type="noConversion"/>
  </si>
  <si>
    <t>S&amp;K폴리텍</t>
    <phoneticPr fontId="2" type="noConversion"/>
  </si>
  <si>
    <t>텔레필드</t>
    <phoneticPr fontId="2" type="noConversion"/>
  </si>
  <si>
    <t>상신이디피</t>
    <phoneticPr fontId="2" type="noConversion"/>
  </si>
  <si>
    <t>남화토건</t>
    <phoneticPr fontId="2" type="noConversion"/>
  </si>
  <si>
    <t>디지텍시스템</t>
    <phoneticPr fontId="2" type="noConversion"/>
  </si>
  <si>
    <t>파트론</t>
    <phoneticPr fontId="2" type="noConversion"/>
  </si>
  <si>
    <t>나노캠텍</t>
    <phoneticPr fontId="2" type="noConversion"/>
  </si>
  <si>
    <t>디엔에프</t>
    <phoneticPr fontId="2" type="noConversion"/>
  </si>
  <si>
    <t>이크레더블</t>
    <phoneticPr fontId="2" type="noConversion"/>
  </si>
  <si>
    <t>디아이씨</t>
    <phoneticPr fontId="2" type="noConversion"/>
  </si>
  <si>
    <t>KEC</t>
    <phoneticPr fontId="2" type="noConversion"/>
  </si>
  <si>
    <t>KPX홀딩스</t>
    <phoneticPr fontId="2" type="noConversion"/>
  </si>
  <si>
    <t>현우산업</t>
    <phoneticPr fontId="2" type="noConversion"/>
  </si>
  <si>
    <t>기신정기</t>
    <phoneticPr fontId="2" type="noConversion"/>
  </si>
  <si>
    <t>한라IMS</t>
    <phoneticPr fontId="2" type="noConversion"/>
  </si>
  <si>
    <t>넥스트칩</t>
    <phoneticPr fontId="2" type="noConversion"/>
  </si>
  <si>
    <t>바다로3호</t>
    <phoneticPr fontId="2" type="noConversion"/>
  </si>
  <si>
    <t>네오팜</t>
    <phoneticPr fontId="2" type="noConversion"/>
  </si>
  <si>
    <t>LG패션</t>
    <phoneticPr fontId="2" type="noConversion"/>
  </si>
  <si>
    <t>빅솔론</t>
    <phoneticPr fontId="2" type="noConversion"/>
  </si>
  <si>
    <t>이필름</t>
    <phoneticPr fontId="2" type="noConversion"/>
  </si>
  <si>
    <t>에리트베이직</t>
    <phoneticPr fontId="2" type="noConversion"/>
  </si>
  <si>
    <t>케이아이엔엑스</t>
    <phoneticPr fontId="2" type="noConversion"/>
  </si>
  <si>
    <t>후성</t>
    <phoneticPr fontId="2" type="noConversion"/>
  </si>
  <si>
    <t>풍강</t>
    <phoneticPr fontId="2" type="noConversion"/>
  </si>
  <si>
    <t>코리아05호</t>
    <phoneticPr fontId="2" type="noConversion"/>
  </si>
  <si>
    <t>코리아06호</t>
    <phoneticPr fontId="2" type="noConversion"/>
  </si>
  <si>
    <t>매커스</t>
    <phoneticPr fontId="2" type="noConversion"/>
  </si>
  <si>
    <t>다믈멀티미디어</t>
    <phoneticPr fontId="2" type="noConversion"/>
  </si>
  <si>
    <t>서원인텍</t>
    <phoneticPr fontId="2" type="noConversion"/>
  </si>
  <si>
    <t>효성ITX</t>
    <phoneticPr fontId="2" type="noConversion"/>
  </si>
  <si>
    <t>갤럭시아컴즈</t>
    <phoneticPr fontId="2" type="noConversion"/>
  </si>
  <si>
    <t>맵스리얼티1</t>
    <phoneticPr fontId="2" type="noConversion"/>
  </si>
  <si>
    <t>일진에너지</t>
    <phoneticPr fontId="2" type="noConversion"/>
  </si>
  <si>
    <t>슈프리마</t>
    <phoneticPr fontId="2" type="noConversion"/>
  </si>
  <si>
    <t>참좋은레져</t>
    <phoneticPr fontId="2" type="noConversion"/>
  </si>
  <si>
    <t>코닉글로리</t>
    <phoneticPr fontId="2" type="noConversion"/>
  </si>
  <si>
    <t>푸른기술</t>
    <phoneticPr fontId="2" type="noConversion"/>
  </si>
  <si>
    <t>제이엠티</t>
    <phoneticPr fontId="2" type="noConversion"/>
  </si>
  <si>
    <t>이엠코리아</t>
    <phoneticPr fontId="2" type="noConversion"/>
  </si>
  <si>
    <t>웨이브일렉트로</t>
    <phoneticPr fontId="2" type="noConversion"/>
  </si>
  <si>
    <t>엔에스브이</t>
    <phoneticPr fontId="2" type="noConversion"/>
  </si>
  <si>
    <t>ISC</t>
    <phoneticPr fontId="2" type="noConversion"/>
  </si>
  <si>
    <t>미래나노텍</t>
    <phoneticPr fontId="2" type="noConversion"/>
  </si>
  <si>
    <t>테스</t>
    <phoneticPr fontId="2" type="noConversion"/>
  </si>
  <si>
    <t>네오위즈게임즈</t>
    <phoneticPr fontId="2" type="noConversion"/>
  </si>
  <si>
    <t>제넥신</t>
    <phoneticPr fontId="2" type="noConversion"/>
  </si>
  <si>
    <t>웅진씽크빅</t>
    <phoneticPr fontId="2" type="noConversion"/>
  </si>
  <si>
    <t>에스에너지</t>
    <phoneticPr fontId="2" type="noConversion"/>
  </si>
  <si>
    <t>네오엠텔</t>
    <phoneticPr fontId="2" type="noConversion"/>
  </si>
  <si>
    <t>청담러닝</t>
    <phoneticPr fontId="2" type="noConversion"/>
  </si>
  <si>
    <t>베트남개발1</t>
    <phoneticPr fontId="2" type="noConversion"/>
  </si>
  <si>
    <t>대창솔루션</t>
    <phoneticPr fontId="2" type="noConversion"/>
  </si>
  <si>
    <t>씨젠</t>
    <phoneticPr fontId="2" type="noConversion"/>
  </si>
  <si>
    <t>알에프세미</t>
    <phoneticPr fontId="2" type="noConversion"/>
  </si>
  <si>
    <t>에스코넥</t>
    <phoneticPr fontId="2" type="noConversion"/>
  </si>
  <si>
    <t>멜파스</t>
    <phoneticPr fontId="2" type="noConversion"/>
  </si>
  <si>
    <t>세우테크</t>
    <phoneticPr fontId="2" type="noConversion"/>
  </si>
  <si>
    <t>JW홀딩스</t>
    <phoneticPr fontId="2" type="noConversion"/>
  </si>
  <si>
    <t>SK이노베이션</t>
    <phoneticPr fontId="2" type="noConversion"/>
  </si>
  <si>
    <t>엘디티</t>
    <phoneticPr fontId="2" type="noConversion"/>
  </si>
  <si>
    <t>한진중공업</t>
    <phoneticPr fontId="2" type="noConversion"/>
  </si>
  <si>
    <t>엠씨넥스</t>
    <phoneticPr fontId="2" type="noConversion"/>
  </si>
  <si>
    <t>TIGER 가치주</t>
    <phoneticPr fontId="2" type="noConversion"/>
  </si>
  <si>
    <t>TIGER 미드캡</t>
    <phoneticPr fontId="2" type="noConversion"/>
  </si>
  <si>
    <t>TREX 중소형가치</t>
    <phoneticPr fontId="2" type="noConversion"/>
  </si>
  <si>
    <t>에스맥</t>
    <phoneticPr fontId="2" type="noConversion"/>
  </si>
  <si>
    <t>효성오앤비</t>
    <phoneticPr fontId="2" type="noConversion"/>
  </si>
  <si>
    <t>CJ제일제당</t>
    <phoneticPr fontId="2" type="noConversion"/>
  </si>
  <si>
    <t>마이크로컨텍솔</t>
    <phoneticPr fontId="2" type="noConversion"/>
  </si>
  <si>
    <t>고영</t>
    <phoneticPr fontId="2" type="noConversion"/>
  </si>
  <si>
    <t>TIGER 미디어통신</t>
    <phoneticPr fontId="2" type="noConversion"/>
  </si>
  <si>
    <t>에스티오</t>
    <phoneticPr fontId="2" type="noConversion"/>
  </si>
  <si>
    <t>KODEX China H</t>
    <phoneticPr fontId="2" type="noConversion"/>
  </si>
  <si>
    <t>코리아07호</t>
    <phoneticPr fontId="2" type="noConversion"/>
  </si>
  <si>
    <t>SDN</t>
    <phoneticPr fontId="2" type="noConversion"/>
  </si>
  <si>
    <t>쎄트렉아이</t>
    <phoneticPr fontId="2" type="noConversion"/>
  </si>
  <si>
    <t>하나니켈1호</t>
    <phoneticPr fontId="2" type="noConversion"/>
  </si>
  <si>
    <t>하나니켈2호</t>
    <phoneticPr fontId="2" type="noConversion"/>
  </si>
  <si>
    <t>동방선기</t>
    <phoneticPr fontId="2" type="noConversion"/>
  </si>
  <si>
    <t>SMEC</t>
    <phoneticPr fontId="2" type="noConversion"/>
  </si>
  <si>
    <t>ITX시큐리티</t>
    <phoneticPr fontId="2" type="noConversion"/>
  </si>
  <si>
    <t>한솔신텍</t>
    <phoneticPr fontId="2" type="noConversion"/>
  </si>
  <si>
    <t>씨그널정보통신</t>
    <phoneticPr fontId="2" type="noConversion"/>
  </si>
  <si>
    <t>모바일리더</t>
    <phoneticPr fontId="2" type="noConversion"/>
  </si>
  <si>
    <t>삼강엠앤티</t>
    <phoneticPr fontId="2" type="noConversion"/>
  </si>
  <si>
    <t>뷰웍스</t>
    <phoneticPr fontId="2" type="noConversion"/>
  </si>
  <si>
    <t>동국S&amp;C</t>
    <phoneticPr fontId="2" type="noConversion"/>
  </si>
  <si>
    <t>비상교육</t>
    <phoneticPr fontId="2" type="noConversion"/>
  </si>
  <si>
    <t>진양홀딩스</t>
    <phoneticPr fontId="2" type="noConversion"/>
  </si>
  <si>
    <t>서암기계공업</t>
    <phoneticPr fontId="2" type="noConversion"/>
  </si>
  <si>
    <t>세운메디칼</t>
    <phoneticPr fontId="2" type="noConversion"/>
  </si>
  <si>
    <t>S&amp;TC</t>
    <phoneticPr fontId="2" type="noConversion"/>
  </si>
  <si>
    <t>KOSEF KRX100</t>
    <phoneticPr fontId="2" type="noConversion"/>
  </si>
  <si>
    <t>디엠씨</t>
    <phoneticPr fontId="2" type="noConversion"/>
  </si>
  <si>
    <t>SBS미디어홀딩스</t>
    <phoneticPr fontId="2" type="noConversion"/>
  </si>
  <si>
    <t>아티스</t>
    <phoneticPr fontId="2" type="noConversion"/>
  </si>
  <si>
    <t>월덱스</t>
    <phoneticPr fontId="2" type="noConversion"/>
  </si>
  <si>
    <t>우림기계</t>
    <phoneticPr fontId="2" type="noConversion"/>
  </si>
  <si>
    <t>씨큐브</t>
    <phoneticPr fontId="2" type="noConversion"/>
  </si>
  <si>
    <t>KODEX Japan</t>
    <phoneticPr fontId="2" type="noConversion"/>
  </si>
  <si>
    <t>모베이스</t>
    <phoneticPr fontId="2" type="noConversion"/>
  </si>
  <si>
    <t>아이엠</t>
    <phoneticPr fontId="2" type="noConversion"/>
  </si>
  <si>
    <t>네오피델리티</t>
    <phoneticPr fontId="2" type="noConversion"/>
  </si>
  <si>
    <t>에스앤에스텍</t>
    <phoneticPr fontId="2" type="noConversion"/>
  </si>
  <si>
    <t>코리아에스이</t>
    <phoneticPr fontId="2" type="noConversion"/>
  </si>
  <si>
    <t>한국정밀기계</t>
    <phoneticPr fontId="2" type="noConversion"/>
  </si>
  <si>
    <t>조이맥스</t>
    <phoneticPr fontId="2" type="noConversion"/>
  </si>
  <si>
    <t>인화정공</t>
    <phoneticPr fontId="2" type="noConversion"/>
  </si>
  <si>
    <t>우양에이치씨</t>
    <phoneticPr fontId="2" type="noConversion"/>
  </si>
  <si>
    <t>파브코</t>
    <phoneticPr fontId="2" type="noConversion"/>
  </si>
  <si>
    <t>TIGER 200</t>
    <phoneticPr fontId="2" type="noConversion"/>
  </si>
  <si>
    <t>어보브반도체</t>
    <phoneticPr fontId="2" type="noConversion"/>
  </si>
  <si>
    <t>해덕파워웨이</t>
    <phoneticPr fontId="2" type="noConversion"/>
  </si>
  <si>
    <t>동성홀딩스</t>
    <phoneticPr fontId="2" type="noConversion"/>
  </si>
  <si>
    <t>쌍방울</t>
    <phoneticPr fontId="2" type="noConversion"/>
  </si>
  <si>
    <t>이연제약</t>
    <phoneticPr fontId="2" type="noConversion"/>
  </si>
  <si>
    <t>이엔에프테크놀로지</t>
    <phoneticPr fontId="2" type="noConversion"/>
  </si>
  <si>
    <t>KODEX 삼성그룹</t>
    <phoneticPr fontId="2" type="noConversion"/>
  </si>
  <si>
    <t>코오롱생명과학</t>
    <phoneticPr fontId="2" type="noConversion"/>
  </si>
  <si>
    <t>KODEX 조선</t>
    <phoneticPr fontId="2" type="noConversion"/>
  </si>
  <si>
    <t>KODEX 증권</t>
    <phoneticPr fontId="2" type="noConversion"/>
  </si>
  <si>
    <t>웅진에너지</t>
    <phoneticPr fontId="2" type="noConversion"/>
  </si>
  <si>
    <t>풍산</t>
    <phoneticPr fontId="2" type="noConversion"/>
  </si>
  <si>
    <t>에스앤더블류</t>
    <phoneticPr fontId="2" type="noConversion"/>
  </si>
  <si>
    <t>일진전기</t>
    <phoneticPr fontId="2" type="noConversion"/>
  </si>
  <si>
    <t>대성파인텍</t>
    <phoneticPr fontId="2" type="noConversion"/>
  </si>
  <si>
    <t>신성이엔지</t>
    <phoneticPr fontId="2" type="noConversion"/>
  </si>
  <si>
    <t>신성에프에이</t>
    <phoneticPr fontId="2" type="noConversion"/>
  </si>
  <si>
    <t>네오위즈인터넷</t>
    <phoneticPr fontId="2" type="noConversion"/>
  </si>
  <si>
    <t>동양피엔에프</t>
    <phoneticPr fontId="2" type="noConversion"/>
  </si>
  <si>
    <t>티케이케미칼</t>
    <phoneticPr fontId="2" type="noConversion"/>
  </si>
  <si>
    <t>KOSEF 블루칩</t>
    <phoneticPr fontId="2" type="noConversion"/>
  </si>
  <si>
    <t>KOSEF 고배당</t>
    <phoneticPr fontId="2" type="noConversion"/>
  </si>
  <si>
    <t>KODEX Brazil</t>
    <phoneticPr fontId="2" type="noConversion"/>
  </si>
  <si>
    <t>한국철강</t>
    <phoneticPr fontId="2" type="noConversion"/>
  </si>
  <si>
    <t>원익머트리얼즈</t>
    <phoneticPr fontId="2" type="noConversion"/>
  </si>
  <si>
    <t>TIGER 라틴</t>
    <phoneticPr fontId="2" type="noConversion"/>
  </si>
  <si>
    <t>TIGER 브릭스</t>
    <phoneticPr fontId="2" type="noConversion"/>
  </si>
  <si>
    <t>KINDEX200</t>
    <phoneticPr fontId="2" type="noConversion"/>
  </si>
  <si>
    <t>KINDEX 성장대형F15</t>
    <phoneticPr fontId="2" type="noConversion"/>
  </si>
  <si>
    <t>케이엔더블유</t>
    <phoneticPr fontId="2" type="noConversion"/>
  </si>
  <si>
    <t>KB금융</t>
    <phoneticPr fontId="2" type="noConversion"/>
  </si>
  <si>
    <t>한세실업</t>
    <phoneticPr fontId="2" type="noConversion"/>
  </si>
  <si>
    <t>디케이락</t>
    <phoneticPr fontId="2" type="noConversion"/>
  </si>
  <si>
    <t>KStar 5대그룹주</t>
    <phoneticPr fontId="2" type="noConversion"/>
  </si>
  <si>
    <t>우진</t>
    <phoneticPr fontId="2" type="noConversion"/>
  </si>
  <si>
    <t>하이소닉</t>
    <phoneticPr fontId="2" type="noConversion"/>
  </si>
  <si>
    <t>하이텍팜</t>
    <phoneticPr fontId="2" type="noConversion"/>
  </si>
  <si>
    <t>파인테크닉스</t>
    <phoneticPr fontId="2" type="noConversion"/>
  </si>
  <si>
    <t>디지탈옵틱</t>
    <phoneticPr fontId="2" type="noConversion"/>
  </si>
  <si>
    <t>GIANT 현대차그룹</t>
    <phoneticPr fontId="2" type="noConversion"/>
  </si>
  <si>
    <t>미원에스씨</t>
    <phoneticPr fontId="2" type="noConversion"/>
  </si>
  <si>
    <t>톱텍</t>
    <phoneticPr fontId="2" type="noConversion"/>
  </si>
  <si>
    <t>실리콘웍스</t>
    <phoneticPr fontId="2" type="noConversion"/>
  </si>
  <si>
    <t>대양전기공업</t>
    <phoneticPr fontId="2" type="noConversion"/>
  </si>
  <si>
    <t>KINDEX 코스닥스타</t>
    <phoneticPr fontId="2" type="noConversion"/>
  </si>
  <si>
    <t>KINDEX 삼성그룹주</t>
    <phoneticPr fontId="2" type="noConversion"/>
  </si>
  <si>
    <t>KStar 코스닥엘리트30</t>
    <phoneticPr fontId="2" type="noConversion"/>
  </si>
  <si>
    <t>TREX 200</t>
    <phoneticPr fontId="2" type="noConversion"/>
  </si>
  <si>
    <t>FIRST 스타우량</t>
    <phoneticPr fontId="2" type="noConversion"/>
  </si>
  <si>
    <t>LG하우시스</t>
    <phoneticPr fontId="2" type="noConversion"/>
  </si>
  <si>
    <t>디오텍</t>
    <phoneticPr fontId="2" type="noConversion"/>
  </si>
  <si>
    <t>KGP</t>
    <phoneticPr fontId="2" type="noConversion"/>
  </si>
  <si>
    <t>옵티시스</t>
    <phoneticPr fontId="2" type="noConversion"/>
  </si>
  <si>
    <t>디에스케이</t>
    <phoneticPr fontId="2" type="noConversion"/>
  </si>
  <si>
    <t>진매트릭스</t>
    <phoneticPr fontId="2" type="noConversion"/>
  </si>
  <si>
    <t>동일금속</t>
    <phoneticPr fontId="2" type="noConversion"/>
  </si>
  <si>
    <t>이너스텍</t>
    <phoneticPr fontId="2" type="noConversion"/>
  </si>
  <si>
    <t>모린스</t>
    <phoneticPr fontId="2" type="noConversion"/>
  </si>
  <si>
    <t>쓰리피시스템</t>
    <phoneticPr fontId="2" type="noConversion"/>
  </si>
  <si>
    <t>넥솔론</t>
    <phoneticPr fontId="2" type="noConversion"/>
  </si>
  <si>
    <t>승화프리텍</t>
    <phoneticPr fontId="2" type="noConversion"/>
  </si>
  <si>
    <t>영원무역</t>
    <phoneticPr fontId="2" type="noConversion"/>
  </si>
  <si>
    <t>처음앤씨</t>
    <phoneticPr fontId="2" type="noConversion"/>
  </si>
  <si>
    <t>삼본정밀전자</t>
    <phoneticPr fontId="2" type="noConversion"/>
  </si>
  <si>
    <t>위메이드</t>
    <phoneticPr fontId="2" type="noConversion"/>
  </si>
  <si>
    <t>에스에프씨</t>
    <phoneticPr fontId="2" type="noConversion"/>
  </si>
  <si>
    <t>GKL</t>
    <phoneticPr fontId="2" type="noConversion"/>
  </si>
  <si>
    <t>KStar 국고채</t>
    <phoneticPr fontId="2" type="noConversion"/>
  </si>
  <si>
    <t>크루셜텍</t>
    <phoneticPr fontId="2" type="noConversion"/>
  </si>
  <si>
    <t>웰크론강원</t>
    <phoneticPr fontId="2" type="noConversion"/>
  </si>
  <si>
    <t>KODEX 국고채</t>
    <phoneticPr fontId="2" type="noConversion"/>
  </si>
  <si>
    <t>KPX생명과학</t>
    <phoneticPr fontId="2" type="noConversion"/>
  </si>
  <si>
    <t>KINDEX 국고채</t>
    <phoneticPr fontId="2" type="noConversion"/>
  </si>
  <si>
    <t>KOSEF 국고채</t>
    <phoneticPr fontId="2" type="noConversion"/>
  </si>
  <si>
    <t>에스이티아이</t>
    <phoneticPr fontId="2" type="noConversion"/>
  </si>
  <si>
    <t>우노앤컴퍼니</t>
    <phoneticPr fontId="2" type="noConversion"/>
  </si>
  <si>
    <t>KODEX 인버스</t>
    <phoneticPr fontId="2" type="noConversion"/>
  </si>
  <si>
    <t>TIGER 국채3</t>
    <phoneticPr fontId="2" type="noConversion"/>
  </si>
  <si>
    <t>휴맥스</t>
    <phoneticPr fontId="2" type="noConversion"/>
  </si>
  <si>
    <t>인포바인</t>
    <phoneticPr fontId="2" type="noConversion"/>
  </si>
  <si>
    <t>락앤락</t>
    <phoneticPr fontId="2" type="noConversion"/>
  </si>
  <si>
    <t>우리넷</t>
    <phoneticPr fontId="2" type="noConversion"/>
  </si>
  <si>
    <t>디지탈아리아</t>
    <phoneticPr fontId="2" type="noConversion"/>
  </si>
  <si>
    <t>씨유메디칼</t>
    <phoneticPr fontId="2" type="noConversion"/>
  </si>
  <si>
    <t>케이씨에스</t>
    <phoneticPr fontId="2" type="noConversion"/>
  </si>
  <si>
    <t>씨엔플러스</t>
    <phoneticPr fontId="2" type="noConversion"/>
  </si>
  <si>
    <t>스타플렉스</t>
    <phoneticPr fontId="2" type="noConversion"/>
  </si>
  <si>
    <t>이미지스</t>
    <phoneticPr fontId="2" type="noConversion"/>
  </si>
  <si>
    <t>KODEX 에너지화학</t>
    <phoneticPr fontId="2" type="noConversion"/>
  </si>
  <si>
    <t>대성에너지</t>
    <phoneticPr fontId="2" type="noConversion"/>
  </si>
  <si>
    <t>알파칩스</t>
    <phoneticPr fontId="2" type="noConversion"/>
  </si>
  <si>
    <t>KODEX 철강</t>
    <phoneticPr fontId="2" type="noConversion"/>
  </si>
  <si>
    <t>TIGER 차이나</t>
    <phoneticPr fontId="2" type="noConversion"/>
  </si>
  <si>
    <t>KODEX 건설</t>
    <phoneticPr fontId="2" type="noConversion"/>
  </si>
  <si>
    <t>ARIRANG LG그룹&amp;</t>
    <phoneticPr fontId="2" type="noConversion"/>
  </si>
  <si>
    <t>한진해운</t>
    <phoneticPr fontId="2" type="noConversion"/>
  </si>
  <si>
    <t>우리들생명과학</t>
    <phoneticPr fontId="2" type="noConversion"/>
  </si>
  <si>
    <t>골든나래리츠</t>
    <phoneticPr fontId="2" type="noConversion"/>
  </si>
  <si>
    <t>포메탈</t>
    <phoneticPr fontId="2" type="noConversion"/>
  </si>
  <si>
    <t>인터로조</t>
    <phoneticPr fontId="2" type="noConversion"/>
  </si>
  <si>
    <t>KC코트렐</t>
    <phoneticPr fontId="2" type="noConversion"/>
  </si>
  <si>
    <t>아이텍반도체</t>
    <phoneticPr fontId="2" type="noConversion"/>
  </si>
  <si>
    <t>다나와</t>
    <phoneticPr fontId="2" type="noConversion"/>
  </si>
  <si>
    <t>조선선재</t>
    <phoneticPr fontId="2" type="noConversion"/>
  </si>
  <si>
    <t>코오롱인더</t>
    <phoneticPr fontId="2" type="noConversion"/>
  </si>
  <si>
    <t>GREAT SRI</t>
    <phoneticPr fontId="2" type="noConversion"/>
  </si>
  <si>
    <t>대정화금</t>
    <phoneticPr fontId="2" type="noConversion"/>
  </si>
  <si>
    <t>골프존</t>
    <phoneticPr fontId="2" type="noConversion"/>
  </si>
  <si>
    <t>코크렙15호</t>
    <phoneticPr fontId="2" type="noConversion"/>
  </si>
  <si>
    <t>나노신소재</t>
    <phoneticPr fontId="2" type="noConversion"/>
  </si>
  <si>
    <t>티브이로직</t>
    <phoneticPr fontId="2" type="noConversion"/>
  </si>
  <si>
    <t>코이즈</t>
    <phoneticPr fontId="2" type="noConversion"/>
  </si>
  <si>
    <t>에스디시스템</t>
    <phoneticPr fontId="2" type="noConversion"/>
  </si>
  <si>
    <t>미래에셋스팩1호</t>
    <phoneticPr fontId="2" type="noConversion"/>
  </si>
  <si>
    <t>ARIRANG KOSPI50</t>
    <phoneticPr fontId="2" type="noConversion"/>
  </si>
  <si>
    <t>KOSEF 통안채</t>
    <phoneticPr fontId="2" type="noConversion"/>
  </si>
  <si>
    <t>동양밸류스팩</t>
    <phoneticPr fontId="2" type="noConversion"/>
  </si>
  <si>
    <t>삼기오토모티브</t>
    <phoneticPr fontId="2" type="noConversion"/>
  </si>
  <si>
    <t>TIGER 코스닥Premier</t>
    <phoneticPr fontId="2" type="noConversion"/>
  </si>
  <si>
    <t>KMH</t>
    <phoneticPr fontId="2" type="noConversion"/>
  </si>
  <si>
    <t>KODEX 레버리지</t>
    <phoneticPr fontId="2" type="noConversion"/>
  </si>
  <si>
    <t>서진오토모티브</t>
    <phoneticPr fontId="2" type="noConversion"/>
  </si>
  <si>
    <t>우리스팩1호</t>
    <phoneticPr fontId="2" type="noConversion"/>
  </si>
  <si>
    <t>케이티롤</t>
    <phoneticPr fontId="2" type="noConversion"/>
  </si>
  <si>
    <t>와이지엔터테인먼트</t>
    <phoneticPr fontId="2" type="noConversion"/>
  </si>
  <si>
    <t>아이마켓코리아</t>
    <phoneticPr fontId="2" type="noConversion"/>
  </si>
  <si>
    <t>와이솔</t>
    <phoneticPr fontId="2" type="noConversion"/>
  </si>
  <si>
    <t>엠에스오토텍</t>
    <phoneticPr fontId="2" type="noConversion"/>
  </si>
  <si>
    <t>테라세미콘</t>
    <phoneticPr fontId="2" type="noConversion"/>
  </si>
  <si>
    <t>히든챔피언스팩1호</t>
    <phoneticPr fontId="2" type="noConversion"/>
  </si>
  <si>
    <t>사파이어테크놀로지</t>
    <phoneticPr fontId="2" type="noConversion"/>
  </si>
  <si>
    <t>한국스팩1호</t>
    <phoneticPr fontId="2" type="noConversion"/>
  </si>
  <si>
    <t>부국퓨쳐스타즈스팩</t>
    <phoneticPr fontId="2" type="noConversion"/>
  </si>
  <si>
    <t>TIGER 인버스</t>
    <phoneticPr fontId="2" type="noConversion"/>
  </si>
  <si>
    <t>TIGER 레버리지</t>
    <phoneticPr fontId="2" type="noConversion"/>
  </si>
  <si>
    <t>제닉</t>
    <phoneticPr fontId="2" type="noConversion"/>
  </si>
  <si>
    <t>코리아에프티</t>
    <phoneticPr fontId="2" type="noConversion"/>
  </si>
  <si>
    <t>하나그린스팩</t>
    <phoneticPr fontId="2" type="noConversion"/>
  </si>
  <si>
    <t>대신증권그로쓰스팩</t>
    <phoneticPr fontId="2" type="noConversion"/>
  </si>
  <si>
    <t>이엠넷</t>
    <phoneticPr fontId="2" type="noConversion"/>
  </si>
  <si>
    <t>한국화장품</t>
    <phoneticPr fontId="2" type="noConversion"/>
  </si>
  <si>
    <t>SJM</t>
    <phoneticPr fontId="2" type="noConversion"/>
  </si>
  <si>
    <t>알톤스포츠</t>
    <phoneticPr fontId="2" type="noConversion"/>
  </si>
  <si>
    <t>KStar 레버리지</t>
    <phoneticPr fontId="2" type="noConversion"/>
  </si>
  <si>
    <t>키움스팩1호</t>
    <phoneticPr fontId="2" type="noConversion"/>
  </si>
  <si>
    <t>아나패스</t>
    <phoneticPr fontId="2" type="noConversion"/>
  </si>
  <si>
    <t>에스비아이앤솔로몬스팩</t>
    <phoneticPr fontId="2" type="noConversion"/>
  </si>
  <si>
    <t>KOSEF 인버스</t>
    <phoneticPr fontId="2" type="noConversion"/>
  </si>
  <si>
    <t>한화SV스팩1호</t>
    <phoneticPr fontId="2" type="noConversion"/>
  </si>
  <si>
    <t>현대에이치씨엔</t>
    <phoneticPr fontId="2" type="noConversion"/>
  </si>
  <si>
    <t>코프라</t>
    <phoneticPr fontId="2" type="noConversion"/>
  </si>
  <si>
    <t>화신정공</t>
    <phoneticPr fontId="2" type="noConversion"/>
  </si>
  <si>
    <t>IBKS스팩1호</t>
    <phoneticPr fontId="2" type="noConversion"/>
  </si>
  <si>
    <t>하이비젼시스템</t>
    <phoneticPr fontId="2" type="noConversion"/>
  </si>
  <si>
    <t>뉴로스</t>
    <phoneticPr fontId="2" type="noConversion"/>
  </si>
  <si>
    <t>제이엔케이히터</t>
    <phoneticPr fontId="2" type="noConversion"/>
  </si>
  <si>
    <t>디엔에이링크</t>
    <phoneticPr fontId="2" type="noConversion"/>
  </si>
  <si>
    <t>피제이메탈</t>
    <phoneticPr fontId="2" type="noConversion"/>
  </si>
  <si>
    <t>대성산업</t>
    <phoneticPr fontId="2" type="noConversion"/>
  </si>
  <si>
    <t>동부티에스블랙펄스팩</t>
    <phoneticPr fontId="2" type="noConversion"/>
  </si>
  <si>
    <t>한미약품</t>
    <phoneticPr fontId="2" type="noConversion"/>
  </si>
  <si>
    <t>인터지스</t>
    <phoneticPr fontId="2" type="noConversion"/>
  </si>
  <si>
    <t>ARIRANG 네오밸류</t>
    <phoneticPr fontId="2" type="noConversion"/>
  </si>
  <si>
    <t>나이스디앤비</t>
    <phoneticPr fontId="2" type="noConversion"/>
  </si>
  <si>
    <t>한전산업</t>
    <phoneticPr fontId="2" type="noConversion"/>
  </si>
  <si>
    <t>TIGER 원유선물(H)</t>
    <phoneticPr fontId="2" type="noConversion"/>
  </si>
  <si>
    <t>KOSEF 단기자금</t>
    <phoneticPr fontId="2" type="noConversion"/>
  </si>
  <si>
    <t>티피씨글로벌</t>
    <phoneticPr fontId="2" type="noConversion"/>
  </si>
  <si>
    <t>CJ E&amp;M</t>
    <phoneticPr fontId="2" type="noConversion"/>
  </si>
  <si>
    <t>하이제1호스팩</t>
    <phoneticPr fontId="2" type="noConversion"/>
  </si>
  <si>
    <t>시큐브</t>
    <phoneticPr fontId="2" type="noConversion"/>
  </si>
  <si>
    <t>리켐</t>
    <phoneticPr fontId="2" type="noConversion"/>
  </si>
  <si>
    <t>딜리</t>
    <phoneticPr fontId="2" type="noConversion"/>
  </si>
  <si>
    <t>대한과학</t>
    <phoneticPr fontId="2" type="noConversion"/>
  </si>
  <si>
    <t>티에스이</t>
    <phoneticPr fontId="2" type="noConversion"/>
  </si>
  <si>
    <t>케이비게임앤앱스스팩</t>
    <phoneticPr fontId="2" type="noConversion"/>
  </si>
  <si>
    <t>피앤이솔루션</t>
    <phoneticPr fontId="2" type="noConversion"/>
  </si>
  <si>
    <t>액트</t>
    <phoneticPr fontId="2" type="noConversion"/>
  </si>
  <si>
    <t>KINDEX 삼성그룹EW</t>
    <phoneticPr fontId="2" type="noConversion"/>
  </si>
  <si>
    <t>KODEX 골드선물(H)</t>
    <phoneticPr fontId="2" type="noConversion"/>
  </si>
  <si>
    <t>TIGER 나스닥100</t>
    <phoneticPr fontId="2" type="noConversion"/>
  </si>
  <si>
    <t>이퓨쳐</t>
    <phoneticPr fontId="2" type="noConversion"/>
  </si>
  <si>
    <t>미원화학</t>
    <phoneticPr fontId="2" type="noConversion"/>
  </si>
  <si>
    <t>화진</t>
    <phoneticPr fontId="2" type="noConversion"/>
  </si>
  <si>
    <t>팀스</t>
    <phoneticPr fontId="2" type="noConversion"/>
  </si>
  <si>
    <t>KODEX 소비재</t>
    <phoneticPr fontId="2" type="noConversion"/>
  </si>
  <si>
    <t>KStar 우량회사채</t>
    <phoneticPr fontId="2" type="noConversion"/>
  </si>
  <si>
    <t>하림</t>
    <phoneticPr fontId="2" type="noConversion"/>
  </si>
  <si>
    <t>선진</t>
    <phoneticPr fontId="2" type="noConversion"/>
  </si>
  <si>
    <t>쎄미시스코</t>
    <phoneticPr fontId="2" type="noConversion"/>
  </si>
  <si>
    <t>윈스테크넷</t>
    <phoneticPr fontId="2" type="noConversion"/>
  </si>
  <si>
    <t>피엔티</t>
    <phoneticPr fontId="2" type="noConversion"/>
  </si>
  <si>
    <t>TIGER 농산물선물(H)</t>
    <phoneticPr fontId="2" type="noConversion"/>
  </si>
  <si>
    <t>마이다스 커버드콜</t>
    <phoneticPr fontId="2" type="noConversion"/>
  </si>
  <si>
    <t>넥스트아이</t>
    <phoneticPr fontId="2" type="noConversion"/>
  </si>
  <si>
    <t>제이씨케미칼</t>
    <phoneticPr fontId="2" type="noConversion"/>
  </si>
  <si>
    <t>TIGER 그린</t>
    <phoneticPr fontId="2" type="noConversion"/>
  </si>
  <si>
    <t>메리츠금융지주</t>
    <phoneticPr fontId="2" type="noConversion"/>
  </si>
  <si>
    <t>신진에스엠</t>
    <phoneticPr fontId="2" type="noConversion"/>
  </si>
  <si>
    <t>GREAT GREEN</t>
    <phoneticPr fontId="2" type="noConversion"/>
  </si>
  <si>
    <t>KOSEF 달러선물</t>
    <phoneticPr fontId="2" type="noConversion"/>
  </si>
  <si>
    <t>이코리아리츠</t>
    <phoneticPr fontId="2" type="noConversion"/>
  </si>
  <si>
    <t>코오롱플라스틱</t>
    <phoneticPr fontId="2" type="noConversion"/>
  </si>
  <si>
    <t>TIGER 삼성그룹</t>
    <phoneticPr fontId="2" type="noConversion"/>
  </si>
  <si>
    <t>TIGER LG그룹+</t>
    <phoneticPr fontId="2" type="noConversion"/>
  </si>
  <si>
    <t>TIGER 현대차그룹+</t>
    <phoneticPr fontId="2" type="noConversion"/>
  </si>
  <si>
    <t>나이벡</t>
    <phoneticPr fontId="2" type="noConversion"/>
  </si>
  <si>
    <t>엘티에스</t>
    <phoneticPr fontId="2" type="noConversion"/>
  </si>
  <si>
    <t>KODEX 구리선물(H)</t>
    <phoneticPr fontId="2" type="noConversion"/>
  </si>
  <si>
    <t>KODEX 콩선물(H)</t>
    <phoneticPr fontId="2" type="noConversion"/>
  </si>
  <si>
    <t>BS금융지주</t>
    <phoneticPr fontId="2" type="noConversion"/>
  </si>
  <si>
    <t>경봉</t>
    <phoneticPr fontId="2" type="noConversion"/>
  </si>
  <si>
    <t>DGB금융지주</t>
    <phoneticPr fontId="2" type="noConversion"/>
  </si>
  <si>
    <t>하이골드2호</t>
    <phoneticPr fontId="2" type="noConversion"/>
  </si>
  <si>
    <t>TIGER 건설기계</t>
    <phoneticPr fontId="2" type="noConversion"/>
  </si>
  <si>
    <t>TIGER 조선운송</t>
    <phoneticPr fontId="2" type="noConversion"/>
  </si>
  <si>
    <t>TIGER 철강소재</t>
    <phoneticPr fontId="2" type="noConversion"/>
  </si>
  <si>
    <t>TIGER 에너지화학</t>
    <phoneticPr fontId="2" type="noConversion"/>
  </si>
  <si>
    <t>TIGER IT</t>
    <phoneticPr fontId="2" type="noConversion"/>
  </si>
  <si>
    <t>TIGER 금융</t>
    <phoneticPr fontId="2" type="noConversion"/>
  </si>
  <si>
    <t>TIGER 경기방어</t>
    <phoneticPr fontId="2" type="noConversion"/>
  </si>
  <si>
    <t>TIGER 경기민감</t>
    <phoneticPr fontId="2" type="noConversion"/>
  </si>
  <si>
    <t>TIGER 블루칩30</t>
    <phoneticPr fontId="2" type="noConversion"/>
  </si>
  <si>
    <t>TIGER 금속선물(H)</t>
    <phoneticPr fontId="2" type="noConversion"/>
  </si>
  <si>
    <t>TIGER 금은선물(H)</t>
    <phoneticPr fontId="2" type="noConversion"/>
  </si>
  <si>
    <t>이마트</t>
    <phoneticPr fontId="2" type="noConversion"/>
  </si>
  <si>
    <t>KOSEF 달러인버스선물</t>
    <phoneticPr fontId="2" type="noConversion"/>
  </si>
  <si>
    <t>넥스트리밍</t>
    <phoneticPr fontId="2" type="noConversion"/>
  </si>
  <si>
    <t>메지온</t>
    <phoneticPr fontId="2" type="noConversion"/>
  </si>
  <si>
    <t>KStar 수출주</t>
    <phoneticPr fontId="2" type="noConversion"/>
  </si>
  <si>
    <t>KStar 우량업종</t>
    <phoneticPr fontId="2" type="noConversion"/>
  </si>
  <si>
    <t>KODEX 보험</t>
    <phoneticPr fontId="2" type="noConversion"/>
  </si>
  <si>
    <t>KODEX 운송</t>
    <phoneticPr fontId="2" type="noConversion"/>
  </si>
  <si>
    <t>트러스제7호</t>
    <phoneticPr fontId="2" type="noConversion"/>
  </si>
  <si>
    <t>광희리츠</t>
    <phoneticPr fontId="2" type="noConversion"/>
  </si>
  <si>
    <t>파워 K100</t>
    <phoneticPr fontId="2" type="noConversion"/>
  </si>
  <si>
    <t>비아트론</t>
    <phoneticPr fontId="2" type="noConversion"/>
  </si>
  <si>
    <t>ARIRANG K100EW</t>
    <phoneticPr fontId="2" type="noConversion"/>
  </si>
  <si>
    <t>ARIRANG KRX100EW</t>
    <phoneticPr fontId="2" type="noConversion"/>
  </si>
  <si>
    <t>아이디스</t>
    <phoneticPr fontId="2" type="noConversion"/>
  </si>
  <si>
    <t>사람인에이치알</t>
    <phoneticPr fontId="2" type="noConversion"/>
  </si>
  <si>
    <t>KINDEX 밸류대형</t>
    <phoneticPr fontId="2" type="noConversion"/>
  </si>
  <si>
    <t>TIGER 인버스국채3Y</t>
    <phoneticPr fontId="2" type="noConversion"/>
  </si>
  <si>
    <t>TIGER S&amp;P500선물(H)</t>
    <phoneticPr fontId="2" type="noConversion"/>
  </si>
  <si>
    <t>TIGER 헬스케어</t>
    <phoneticPr fontId="2" type="noConversion"/>
  </si>
  <si>
    <t>KODEX 은선물(H)</t>
    <phoneticPr fontId="2" type="noConversion"/>
  </si>
  <si>
    <t>코오롱머티리얼</t>
    <phoneticPr fontId="2" type="noConversion"/>
  </si>
  <si>
    <t>KOSEF 펀더멘탈대형주</t>
    <phoneticPr fontId="2" type="noConversion"/>
  </si>
  <si>
    <t>KODEX 태양광</t>
    <phoneticPr fontId="2" type="noConversion"/>
  </si>
  <si>
    <t>케이탑리츠</t>
    <phoneticPr fontId="2" type="noConversion"/>
  </si>
  <si>
    <t>KINDEX 인버스</t>
    <phoneticPr fontId="2" type="noConversion"/>
  </si>
  <si>
    <t>TREX 펀더멘탈 200</t>
    <phoneticPr fontId="2" type="noConversion"/>
  </si>
  <si>
    <t>삼양사</t>
    <phoneticPr fontId="2" type="noConversion"/>
  </si>
  <si>
    <t>제룡산업</t>
    <phoneticPr fontId="2" type="noConversion"/>
  </si>
  <si>
    <t>TIGER 모멘텀</t>
    <phoneticPr fontId="2" type="noConversion"/>
  </si>
  <si>
    <t>KStar 200</t>
    <phoneticPr fontId="2" type="noConversion"/>
  </si>
  <si>
    <t>Pioneer SRI</t>
    <phoneticPr fontId="2" type="noConversion"/>
  </si>
  <si>
    <t>KOSEF 10년국고채</t>
    <phoneticPr fontId="2" type="noConversion"/>
  </si>
  <si>
    <t>케이비부국위탁리츠</t>
    <phoneticPr fontId="2" type="noConversion"/>
  </si>
  <si>
    <t>모다정보통신</t>
    <phoneticPr fontId="2" type="noConversion"/>
  </si>
  <si>
    <t xml:space="preserve">TIGER 중국소비테마 </t>
    <phoneticPr fontId="2" type="noConversion"/>
  </si>
  <si>
    <t>나노스</t>
    <phoneticPr fontId="2" type="noConversion"/>
  </si>
  <si>
    <t xml:space="preserve">ARIRANG 200 </t>
    <phoneticPr fontId="2" type="noConversion"/>
  </si>
  <si>
    <t>TIGER 생활소비재</t>
    <phoneticPr fontId="2" type="noConversion"/>
  </si>
  <si>
    <t>KOSEF 200 선물</t>
    <phoneticPr fontId="2" type="noConversion"/>
  </si>
  <si>
    <t>KODEX 10년국채선물</t>
    <phoneticPr fontId="2" type="noConversion"/>
  </si>
  <si>
    <t>KINDEX 레버리지</t>
    <phoneticPr fontId="2" type="noConversion"/>
  </si>
  <si>
    <t>한국ANKOR유전</t>
    <phoneticPr fontId="2" type="noConversion"/>
  </si>
  <si>
    <t>파워 K200</t>
    <phoneticPr fontId="2" type="noConversion"/>
  </si>
  <si>
    <t>KODEX 단기채권</t>
    <phoneticPr fontId="2" type="noConversion"/>
  </si>
  <si>
    <t>iKon 100</t>
    <phoneticPr fontId="2" type="noConversion"/>
  </si>
  <si>
    <t>하이골드3호</t>
    <phoneticPr fontId="2" type="noConversion"/>
  </si>
  <si>
    <t>네이블</t>
    <phoneticPr fontId="2" type="noConversion"/>
  </si>
  <si>
    <t>바다로19호</t>
    <phoneticPr fontId="2" type="noConversion"/>
  </si>
  <si>
    <t>KODEX MSCI KOREA</t>
    <phoneticPr fontId="2" type="noConversion"/>
  </si>
  <si>
    <t xml:space="preserve">TIGER 유동자금 </t>
    <phoneticPr fontId="2" type="noConversion"/>
  </si>
  <si>
    <t>TIGER 소프트웨어</t>
    <phoneticPr fontId="2" type="noConversion"/>
  </si>
  <si>
    <t>TIGER 증권</t>
    <phoneticPr fontId="2" type="noConversion"/>
  </si>
  <si>
    <t>TIGER 자동차</t>
    <phoneticPr fontId="2" type="noConversion"/>
  </si>
  <si>
    <t>TIGER 화학</t>
    <phoneticPr fontId="2" type="noConversion"/>
  </si>
  <si>
    <t>KStar 5대그룹주장기채+</t>
    <phoneticPr fontId="2" type="noConversion"/>
  </si>
  <si>
    <t>하이골드8호</t>
    <phoneticPr fontId="2" type="noConversion"/>
  </si>
  <si>
    <t>마이티 K100</t>
    <phoneticPr fontId="2" type="noConversion"/>
  </si>
  <si>
    <t>애경유화</t>
    <phoneticPr fontId="2" type="noConversion"/>
  </si>
  <si>
    <t>한국타이어</t>
    <phoneticPr fontId="2" type="noConversion"/>
  </si>
  <si>
    <t>ARIRANG 방어주</t>
    <phoneticPr fontId="2" type="noConversion"/>
  </si>
  <si>
    <t>ARIRANG 주도주</t>
    <phoneticPr fontId="2" type="noConversion"/>
  </si>
  <si>
    <t>ARIRANG 배당주</t>
    <phoneticPr fontId="2" type="noConversion"/>
  </si>
  <si>
    <t>ARIRANG 자동차</t>
    <phoneticPr fontId="2" type="noConversion"/>
  </si>
  <si>
    <t>ARIRANG 조선운송</t>
    <phoneticPr fontId="2" type="noConversion"/>
  </si>
  <si>
    <t>ARIRANG 철강금속</t>
    <phoneticPr fontId="2" type="noConversion"/>
  </si>
  <si>
    <t>ARIRANG 화학</t>
    <phoneticPr fontId="2" type="noConversion"/>
  </si>
  <si>
    <t>KODEX 주식&amp;골드(H)</t>
    <phoneticPr fontId="2" type="noConversion"/>
  </si>
  <si>
    <t>3노드디지탈</t>
    <phoneticPr fontId="2" type="noConversion"/>
  </si>
  <si>
    <t>차이나그레이트</t>
    <phoneticPr fontId="2" type="noConversion"/>
  </si>
  <si>
    <t>중국원양자원</t>
    <phoneticPr fontId="2" type="noConversion"/>
  </si>
  <si>
    <t>중국식품포장</t>
    <phoneticPr fontId="2" type="noConversion"/>
  </si>
  <si>
    <t>글로벌에스엠</t>
    <phoneticPr fontId="2" type="noConversion"/>
  </si>
  <si>
    <t>에스앤씨엔진그룹</t>
    <phoneticPr fontId="2" type="noConversion"/>
  </si>
  <si>
    <t>차이나하오란</t>
    <phoneticPr fontId="2" type="noConversion"/>
  </si>
  <si>
    <t>뉴프라이드</t>
    <phoneticPr fontId="2" type="noConversion"/>
  </si>
  <si>
    <t>이스트아시아홀딩스</t>
    <phoneticPr fontId="2" type="noConversion"/>
  </si>
  <si>
    <t>차이나킹</t>
    <phoneticPr fontId="2" type="noConversion"/>
  </si>
  <si>
    <t>웨이포트</t>
    <phoneticPr fontId="2" type="noConversion"/>
  </si>
  <si>
    <t>코라오홀딩스</t>
    <phoneticPr fontId="2" type="noConversion"/>
  </si>
  <si>
    <t>완리</t>
    <phoneticPr fontId="2" type="noConversion"/>
  </si>
  <si>
    <t>화풍집단KDR</t>
    <phoneticPr fontId="2" type="noConversion"/>
  </si>
  <si>
    <t>중국고섬</t>
    <phoneticPr fontId="2" type="noConversion"/>
  </si>
  <si>
    <t>SBI모기지</t>
    <phoneticPr fontId="2" type="noConversion"/>
  </si>
  <si>
    <t>Consensus Structure</t>
    <phoneticPr fontId="2" type="noConversion"/>
  </si>
  <si>
    <t>Code</t>
    <phoneticPr fontId="2" type="noConversion"/>
  </si>
  <si>
    <t>Consensus Date</t>
    <phoneticPr fontId="2" type="noConversion"/>
  </si>
  <si>
    <t>신한금융투자</t>
  </si>
  <si>
    <t>IBK투자증권</t>
  </si>
  <si>
    <t>Consensus Data</t>
    <phoneticPr fontId="2" type="noConversion"/>
  </si>
  <si>
    <t>High</t>
    <phoneticPr fontId="2" type="noConversion"/>
  </si>
  <si>
    <t>Median</t>
    <phoneticPr fontId="2" type="noConversion"/>
  </si>
  <si>
    <t>Low</t>
    <phoneticPr fontId="2" type="noConversion"/>
  </si>
  <si>
    <t>Frequency</t>
    <phoneticPr fontId="2" type="noConversion"/>
  </si>
  <si>
    <t>Period(From)</t>
    <phoneticPr fontId="2" type="noConversion"/>
  </si>
  <si>
    <t>Period(To)</t>
    <phoneticPr fontId="2" type="noConversion"/>
  </si>
  <si>
    <t>Code</t>
    <phoneticPr fontId="2" type="noConversion"/>
  </si>
  <si>
    <t>Name</t>
    <phoneticPr fontId="2" type="noConversion"/>
  </si>
  <si>
    <t>Item Code</t>
    <phoneticPr fontId="2" type="noConversion"/>
  </si>
  <si>
    <t>Unit</t>
    <phoneticPr fontId="2" type="noConversion"/>
  </si>
  <si>
    <t>Base Date</t>
    <phoneticPr fontId="2" type="noConversion"/>
  </si>
  <si>
    <t>영업이익</t>
    <phoneticPr fontId="2" type="noConversion"/>
  </si>
  <si>
    <t>수정주가</t>
    <phoneticPr fontId="2" type="noConversion"/>
  </si>
  <si>
    <t>대차거래잔고금액</t>
    <phoneticPr fontId="2" type="noConversion"/>
  </si>
  <si>
    <t>1개월누적 기관 순매수대금(일간)</t>
    <phoneticPr fontId="2" type="noConversion"/>
  </si>
  <si>
    <t>1개월누적 외국인총합계순매수대금(일간)</t>
    <phoneticPr fontId="2" type="noConversion"/>
  </si>
  <si>
    <t>시가총액</t>
    <phoneticPr fontId="2" type="noConversion"/>
  </si>
  <si>
    <t>Last Update : 2013-07-30 16:57</t>
    <phoneticPr fontId="2" type="noConversion"/>
  </si>
  <si>
    <t>KOSPI</t>
    <phoneticPr fontId="2" type="noConversion"/>
  </si>
  <si>
    <t>종가</t>
    <phoneticPr fontId="2" type="noConversion"/>
  </si>
  <si>
    <t>LG유플러스</t>
    <phoneticPr fontId="2" type="noConversion"/>
  </si>
  <si>
    <t>양종인</t>
  </si>
  <si>
    <t>김장원</t>
  </si>
  <si>
    <t>황승택</t>
  </si>
  <si>
    <t>김동준,박진영</t>
  </si>
  <si>
    <t>안재민,김한결</t>
  </si>
  <si>
    <t>양승우,박재석</t>
  </si>
  <si>
    <t>최남곤,김솔</t>
  </si>
  <si>
    <t>김미송,김한준</t>
  </si>
  <si>
    <t>문지현</t>
  </si>
  <si>
    <t>박종수</t>
  </si>
  <si>
    <t>김홍식</t>
  </si>
  <si>
    <t>황성진,김영인</t>
  </si>
  <si>
    <t>최윤미</t>
  </si>
  <si>
    <t>원형운</t>
  </si>
  <si>
    <t>김회재</t>
  </si>
  <si>
    <t>이동섭</t>
  </si>
  <si>
    <t>김준섭</t>
  </si>
  <si>
    <t>송재경,박일규</t>
  </si>
  <si>
    <t>성준원</t>
  </si>
  <si>
    <t>김동준</t>
  </si>
  <si>
    <t>김미송</t>
  </si>
  <si>
    <t>양종인,황인혁</t>
  </si>
  <si>
    <t>황성진</t>
  </si>
  <si>
    <t>김은지,양승우</t>
  </si>
  <si>
    <t>LG유플러스</t>
    <phoneticPr fontId="2" type="noConversion"/>
  </si>
  <si>
    <t>D A T E</t>
    <phoneticPr fontId="2" type="noConversion"/>
  </si>
  <si>
    <t>LG유플러스</t>
    <phoneticPr fontId="2" type="noConversion"/>
  </si>
  <si>
    <t>LG유플러스</t>
    <phoneticPr fontId="2" type="noConversion"/>
  </si>
  <si>
    <t>LG유플러스</t>
    <phoneticPr fontId="2" type="noConversion"/>
  </si>
  <si>
    <t>LG유플러스</t>
    <phoneticPr fontId="2" type="noConversion"/>
  </si>
  <si>
    <t>D A T E</t>
    <phoneticPr fontId="2" type="noConversion"/>
  </si>
  <si>
    <t>Code</t>
    <phoneticPr fontId="2" type="noConversion"/>
  </si>
  <si>
    <t>IKS001</t>
    <phoneticPr fontId="2" type="noConversion"/>
  </si>
  <si>
    <t>IKS001</t>
    <phoneticPr fontId="2" type="noConversion"/>
  </si>
  <si>
    <t>최근 예상치6</t>
  </si>
  <si>
    <t>최근 예상치7</t>
  </si>
  <si>
    <t>최근 예상치8</t>
  </si>
  <si>
    <t>최근 예상치9</t>
  </si>
  <si>
    <t>최근 예상치10</t>
  </si>
  <si>
    <t>최근 예상치11</t>
  </si>
  <si>
    <t>최근 예상치12</t>
  </si>
  <si>
    <t>최근 예상치13</t>
  </si>
  <si>
    <t>-&gt; 복사전 업종소팅1, 시총1 순위로 하여 복사</t>
    <phoneticPr fontId="2" type="noConversion"/>
  </si>
  <si>
    <t>P</t>
    <phoneticPr fontId="2" type="noConversion"/>
  </si>
  <si>
    <t>-1W</t>
    <phoneticPr fontId="2" type="noConversion"/>
  </si>
  <si>
    <t>-2W</t>
    <phoneticPr fontId="2" type="noConversion"/>
  </si>
  <si>
    <t>-3W</t>
    <phoneticPr fontId="2" type="noConversion"/>
  </si>
  <si>
    <t>원래T열</t>
    <phoneticPr fontId="2" type="noConversion"/>
  </si>
  <si>
    <t>U</t>
    <phoneticPr fontId="2" type="noConversion"/>
  </si>
  <si>
    <t>V</t>
    <phoneticPr fontId="2" type="noConversion"/>
  </si>
  <si>
    <t>W</t>
    <phoneticPr fontId="2" type="noConversion"/>
  </si>
  <si>
    <t>3M</t>
  </si>
  <si>
    <t>Consensus Data</t>
    <phoneticPr fontId="2" type="noConversion"/>
  </si>
  <si>
    <t>High</t>
    <phoneticPr fontId="2" type="noConversion"/>
  </si>
  <si>
    <t>Median</t>
    <phoneticPr fontId="2" type="noConversion"/>
  </si>
  <si>
    <t>Low</t>
    <phoneticPr fontId="2" type="noConversion"/>
  </si>
  <si>
    <t>LG유플러스</t>
    <phoneticPr fontId="2" type="noConversion"/>
  </si>
  <si>
    <t>Consensus Structure</t>
    <phoneticPr fontId="2" type="noConversion"/>
  </si>
  <si>
    <t>Code</t>
    <phoneticPr fontId="2" type="noConversion"/>
  </si>
  <si>
    <t>Consensus Date</t>
    <phoneticPr fontId="2" type="noConversion"/>
  </si>
  <si>
    <t>컨센서스3W</t>
    <phoneticPr fontId="2" type="noConversion"/>
  </si>
  <si>
    <t>컨센서스(평균)</t>
    <phoneticPr fontId="2" type="noConversion"/>
  </si>
  <si>
    <t>Consensus 추정</t>
    <phoneticPr fontId="2" type="noConversion"/>
  </si>
  <si>
    <t>Consensus structure 추정</t>
    <phoneticPr fontId="2" type="noConversion"/>
  </si>
  <si>
    <t>Intercept</t>
    <phoneticPr fontId="2" type="noConversion"/>
  </si>
  <si>
    <t>Linest</t>
    <phoneticPr fontId="2" type="noConversion"/>
  </si>
  <si>
    <t>X축</t>
    <phoneticPr fontId="2" type="noConversion"/>
  </si>
  <si>
    <t>추정값</t>
    <phoneticPr fontId="2" type="noConversion"/>
  </si>
  <si>
    <t>Vs Cons</t>
    <phoneticPr fontId="2" type="noConversion"/>
  </si>
  <si>
    <t>투자판단</t>
    <phoneticPr fontId="2" type="noConversion"/>
  </si>
  <si>
    <t>% Distance</t>
    <phoneticPr fontId="2" type="noConversion"/>
  </si>
  <si>
    <t>Trend of Consensus</t>
    <phoneticPr fontId="2" type="noConversion"/>
  </si>
  <si>
    <t>L/S판단</t>
    <phoneticPr fontId="2" type="noConversion"/>
  </si>
  <si>
    <t>Last Update : 2013-08-02 12:33</t>
    <phoneticPr fontId="2" type="noConversion"/>
  </si>
  <si>
    <t>실제값</t>
    <phoneticPr fontId="2" type="noConversion"/>
  </si>
  <si>
    <t>E121500.M</t>
    <phoneticPr fontId="2" type="noConversion"/>
  </si>
  <si>
    <t>FQ2</t>
    <phoneticPr fontId="2" type="noConversion"/>
  </si>
  <si>
    <t>추정실적</t>
    <phoneticPr fontId="2" type="noConversion"/>
  </si>
  <si>
    <t>FQ1</t>
    <phoneticPr fontId="2" type="noConversion"/>
  </si>
  <si>
    <t>FQ2</t>
    <phoneticPr fontId="2" type="noConversion"/>
  </si>
  <si>
    <t>실제치</t>
    <phoneticPr fontId="2" type="noConversion"/>
  </si>
  <si>
    <t>컨센서스</t>
    <phoneticPr fontId="2" type="noConversion"/>
  </si>
  <si>
    <t>회귀추정</t>
    <phoneticPr fontId="2" type="noConversion"/>
  </si>
  <si>
    <t>회계기준</t>
    <phoneticPr fontId="2" type="noConversion"/>
  </si>
  <si>
    <t>Today</t>
    <phoneticPr fontId="2" type="noConversion"/>
  </si>
  <si>
    <t>-1W</t>
    <phoneticPr fontId="2" type="noConversion"/>
  </si>
  <si>
    <t>-2W</t>
    <phoneticPr fontId="2" type="noConversion"/>
  </si>
  <si>
    <t>-3W</t>
    <phoneticPr fontId="2" type="noConversion"/>
  </si>
  <si>
    <t>실제</t>
    <phoneticPr fontId="2" type="noConversion"/>
  </si>
  <si>
    <t>Earnings Momentum Summmary</t>
    <phoneticPr fontId="2" type="noConversion"/>
  </si>
  <si>
    <t>시가총액</t>
  </si>
  <si>
    <t>W3 sheet</t>
  </si>
  <si>
    <t>수정주가</t>
  </si>
  <si>
    <t>대차잔고비율</t>
  </si>
  <si>
    <t>기관순매수</t>
  </si>
  <si>
    <t>외인순매수</t>
  </si>
  <si>
    <t>기관+외인</t>
  </si>
  <si>
    <t>Liquidity</t>
  </si>
  <si>
    <t>QuantWise</t>
  </si>
  <si>
    <t>N</t>
  </si>
  <si>
    <t>실제부호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</si>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</sst>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41" formatCode="_-* #,##0_-;\-* #,##0_-;_-* &quot;-&quot;_-;_-@_-"/>
    <numFmt numFmtId="43" formatCode="_-* #,##0.00_-;\-* #,##0.00_-;_-* &quot;-&quot;??_-;_-@_-"/>
    <numFmt numFmtId="176" formatCode="0.0%"/>
    <numFmt numFmtId="177" formatCode="_-* #,##0.0_-;\-* #,##0.0_-;_-* &quot;-&quot;_-;_-@_-"/>
    <numFmt numFmtId="178" formatCode="0.0_ "/>
    <numFmt numFmtId="179" formatCode="0.0_);[Red]\(0.0\)"/>
    <numFmt numFmtId="180" formatCode="0.000_ "/>
    <numFmt numFmtId="181" formatCode="0.00_ "/>
    <numFmt numFmtId="182" formatCode="_-* #,##0.00_-;\-* #,##0.00_-;_-* &quot;-&quot;_-;_-@_-"/>
    <numFmt numFmtId="183" formatCode="#,##0.0_ ;[Red]\-#,##0.0\ "/>
    <numFmt numFmtId="184" formatCode="#,##0.00_ ;[Red]\-#,##0.00\ "/>
    <numFmt numFmtId="185" formatCode="yyyy\-mm\-dd"/>
    <numFmt numFmtId="186" formatCode="0.0000"/>
    <numFmt numFmtId="187" formatCode="0.0"/>
  </numFmts>
  <fonts count="3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돋움체"/>
      <family val="3"/>
      <charset val="129"/>
    </font>
    <font>
      <b/>
      <sz val="9"/>
      <color rgb="FF3664FD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0" tint="-4.9989318521683403E-2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9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000000"/>
      <name val="돋움"/>
      <family val="3"/>
      <charset val="129"/>
    </font>
    <font>
      <sz val="9"/>
      <color rgb="FFFFFFFF"/>
      <name val="맑은 고딕"/>
      <family val="2"/>
      <charset val="129"/>
      <scheme val="minor"/>
    </font>
    <font>
      <sz val="9"/>
      <color rgb="FF00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rgb="FFFFFFFF"/>
      <name val="맑은 고딕"/>
      <family val="3"/>
      <charset val="129"/>
      <scheme val="minor"/>
    </font>
    <font>
      <b/>
      <sz val="9"/>
      <color rgb="FF000000"/>
      <name val="맑은 고딕"/>
      <family val="3"/>
      <charset val="129"/>
      <scheme val="minor"/>
    </font>
    <font>
      <sz val="9"/>
      <color rgb="FF9B9B9B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sz val="11"/>
      <color theme="0"/>
      <name val="맑은 고딕"/>
      <family val="2"/>
      <charset val="129"/>
      <scheme val="minor"/>
    </font>
    <font>
      <b/>
      <sz val="15"/>
      <color theme="0"/>
      <name val="맑은 고딕"/>
      <family val="3"/>
      <charset val="129"/>
      <scheme val="minor"/>
    </font>
    <font>
      <b/>
      <sz val="11"/>
      <color theme="0"/>
      <name val="맑은 고딕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-0.499984740745262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/>
      <right/>
      <top/>
      <bottom style="dotted">
        <color rgb="FF3664FD"/>
      </bottom>
      <diagonal/>
    </border>
    <border>
      <left/>
      <right/>
      <top style="dotted">
        <color rgb="FF3664FD"/>
      </top>
      <bottom style="dotted">
        <color rgb="FF3664FD"/>
      </bottom>
      <diagonal/>
    </border>
    <border>
      <left/>
      <right style="thin">
        <color rgb="FF3664FD"/>
      </right>
      <top/>
      <bottom/>
      <diagonal/>
    </border>
    <border>
      <left style="thin">
        <color rgb="FF3664FD"/>
      </left>
      <right/>
      <top/>
      <bottom/>
      <diagonal/>
    </border>
    <border>
      <left style="thin">
        <color rgb="FF3664FD"/>
      </left>
      <right/>
      <top style="thin">
        <color rgb="FF3664FD"/>
      </top>
      <bottom/>
      <diagonal/>
    </border>
    <border>
      <left style="thin">
        <color rgb="FF3664FD"/>
      </left>
      <right/>
      <top/>
      <bottom style="thin">
        <color rgb="FF3664FD"/>
      </bottom>
      <diagonal/>
    </border>
    <border>
      <left style="thin">
        <color rgb="FF3664FD"/>
      </left>
      <right style="thin">
        <color rgb="FF3664FD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8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Fill="1">
      <alignment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7" borderId="0" xfId="0" applyFill="1">
      <alignment vertical="center"/>
    </xf>
    <xf numFmtId="0" fontId="5" fillId="0" borderId="0" xfId="0" applyFont="1" applyFill="1">
      <alignment vertical="center"/>
    </xf>
    <xf numFmtId="0" fontId="5" fillId="0" borderId="0" xfId="0" applyFont="1">
      <alignment vertical="center"/>
    </xf>
    <xf numFmtId="0" fontId="6" fillId="3" borderId="10" xfId="0" applyFont="1" applyFill="1" applyBorder="1">
      <alignment vertical="center"/>
    </xf>
    <xf numFmtId="0" fontId="6" fillId="0" borderId="10" xfId="0" applyFont="1" applyBorder="1">
      <alignment vertical="center"/>
    </xf>
    <xf numFmtId="0" fontId="6" fillId="0" borderId="10" xfId="0" applyFont="1" applyBorder="1" applyAlignment="1">
      <alignment horizontal="center" vertical="center"/>
    </xf>
    <xf numFmtId="0" fontId="7" fillId="5" borderId="2" xfId="0" applyNumberFormat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right" vertical="center"/>
    </xf>
    <xf numFmtId="0" fontId="7" fillId="4" borderId="2" xfId="0" applyNumberFormat="1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right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right" vertical="center"/>
    </xf>
    <xf numFmtId="0" fontId="6" fillId="6" borderId="0" xfId="0" applyFont="1" applyFill="1">
      <alignment vertical="center"/>
    </xf>
    <xf numFmtId="0" fontId="6" fillId="7" borderId="0" xfId="0" applyFont="1" applyFill="1">
      <alignment vertical="center"/>
    </xf>
    <xf numFmtId="0" fontId="8" fillId="0" borderId="0" xfId="0" applyFont="1" applyFill="1" applyAlignment="1">
      <alignment horizontal="left" vertical="center"/>
    </xf>
    <xf numFmtId="0" fontId="8" fillId="0" borderId="0" xfId="0" applyFont="1" applyFill="1">
      <alignment vertical="center"/>
    </xf>
    <xf numFmtId="14" fontId="6" fillId="0" borderId="0" xfId="0" applyNumberFormat="1" applyFont="1">
      <alignment vertical="center"/>
    </xf>
    <xf numFmtId="14" fontId="6" fillId="0" borderId="0" xfId="0" applyNumberFormat="1" applyFont="1" applyFill="1" applyAlignment="1">
      <alignment horizontal="center" vertical="center"/>
    </xf>
    <xf numFmtId="10" fontId="6" fillId="0" borderId="0" xfId="2" applyNumberFormat="1" applyFont="1">
      <alignment vertical="center"/>
    </xf>
    <xf numFmtId="176" fontId="6" fillId="0" borderId="0" xfId="2" applyNumberFormat="1" applyFont="1">
      <alignment vertical="center"/>
    </xf>
    <xf numFmtId="0" fontId="6" fillId="3" borderId="10" xfId="0" applyFont="1" applyFill="1" applyBorder="1" applyAlignment="1">
      <alignment horizontal="center" vertical="center"/>
    </xf>
    <xf numFmtId="14" fontId="6" fillId="0" borderId="10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left" vertical="center"/>
    </xf>
    <xf numFmtId="0" fontId="5" fillId="8" borderId="0" xfId="0" applyFont="1" applyFill="1">
      <alignment vertical="center"/>
    </xf>
    <xf numFmtId="0" fontId="9" fillId="0" borderId="0" xfId="0" applyFont="1">
      <alignment vertical="center"/>
    </xf>
    <xf numFmtId="0" fontId="10" fillId="9" borderId="0" xfId="0" applyFont="1" applyFill="1">
      <alignment vertical="center"/>
    </xf>
    <xf numFmtId="0" fontId="0" fillId="0" borderId="0" xfId="0" applyFill="1" applyAlignment="1">
      <alignment horizontal="right" vertical="center"/>
    </xf>
    <xf numFmtId="177" fontId="6" fillId="0" borderId="10" xfId="1" applyNumberFormat="1" applyFont="1" applyBorder="1" applyAlignment="1">
      <alignment horizontal="center" vertical="center"/>
    </xf>
    <xf numFmtId="177" fontId="6" fillId="0" borderId="11" xfId="1" applyNumberFormat="1" applyFont="1" applyBorder="1" applyAlignment="1">
      <alignment horizontal="center" vertical="center"/>
    </xf>
    <xf numFmtId="14" fontId="6" fillId="0" borderId="11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left" vertical="center"/>
    </xf>
    <xf numFmtId="0" fontId="9" fillId="0" borderId="10" xfId="0" applyFont="1" applyBorder="1">
      <alignment vertical="center"/>
    </xf>
    <xf numFmtId="0" fontId="9" fillId="0" borderId="11" xfId="0" applyFont="1" applyBorder="1">
      <alignment vertical="center"/>
    </xf>
    <xf numFmtId="178" fontId="8" fillId="0" borderId="0" xfId="0" applyNumberFormat="1" applyFont="1" applyFill="1" applyAlignment="1">
      <alignment horizontal="right" vertical="center"/>
    </xf>
    <xf numFmtId="178" fontId="5" fillId="0" borderId="0" xfId="0" applyNumberFormat="1" applyFont="1">
      <alignment vertical="center"/>
    </xf>
    <xf numFmtId="0" fontId="5" fillId="0" borderId="0" xfId="0" applyFont="1" applyAlignment="1">
      <alignment horizontal="right" vertical="center"/>
    </xf>
    <xf numFmtId="14" fontId="8" fillId="0" borderId="0" xfId="0" applyNumberFormat="1" applyFont="1" applyFill="1" applyAlignment="1">
      <alignment horizontal="right" vertical="center"/>
    </xf>
    <xf numFmtId="14" fontId="6" fillId="0" borderId="0" xfId="0" applyNumberFormat="1" applyFont="1" applyAlignment="1">
      <alignment horizontal="right" vertical="center"/>
    </xf>
    <xf numFmtId="41" fontId="5" fillId="0" borderId="0" xfId="1" applyFont="1" applyFill="1">
      <alignment vertical="center"/>
    </xf>
    <xf numFmtId="14" fontId="10" fillId="9" borderId="0" xfId="0" applyNumberFormat="1" applyFont="1" applyFill="1" applyAlignment="1">
      <alignment vertical="center"/>
    </xf>
    <xf numFmtId="0" fontId="0" fillId="8" borderId="0" xfId="0" applyFill="1">
      <alignment vertical="center"/>
    </xf>
    <xf numFmtId="0" fontId="11" fillId="8" borderId="0" xfId="0" applyFont="1" applyFill="1">
      <alignment vertical="center"/>
    </xf>
    <xf numFmtId="0" fontId="0" fillId="0" borderId="0" xfId="0" applyAlignment="1">
      <alignment horizontal="right" vertical="center"/>
    </xf>
    <xf numFmtId="41" fontId="12" fillId="0" borderId="0" xfId="1" applyFont="1">
      <alignment vertical="center"/>
    </xf>
    <xf numFmtId="180" fontId="5" fillId="0" borderId="0" xfId="0" applyNumberFormat="1" applyFont="1">
      <alignment vertical="center"/>
    </xf>
    <xf numFmtId="181" fontId="5" fillId="0" borderId="0" xfId="0" applyNumberFormat="1" applyFont="1">
      <alignment vertical="center"/>
    </xf>
    <xf numFmtId="0" fontId="8" fillId="0" borderId="0" xfId="0" applyFont="1" applyFill="1" applyAlignment="1">
      <alignment horizontal="right" vertical="center"/>
    </xf>
    <xf numFmtId="14" fontId="5" fillId="0" borderId="0" xfId="0" applyNumberFormat="1" applyFont="1">
      <alignment vertical="center"/>
    </xf>
    <xf numFmtId="14" fontId="5" fillId="0" borderId="0" xfId="0" applyNumberFormat="1" applyFont="1" applyAlignment="1">
      <alignment horizontal="right" vertical="center"/>
    </xf>
    <xf numFmtId="182" fontId="5" fillId="0" borderId="0" xfId="1" applyNumberFormat="1" applyFont="1" applyFill="1">
      <alignment vertical="center"/>
    </xf>
    <xf numFmtId="0" fontId="13" fillId="0" borderId="0" xfId="0" applyFont="1">
      <alignment vertical="center"/>
    </xf>
    <xf numFmtId="14" fontId="14" fillId="0" borderId="0" xfId="0" applyNumberFormat="1" applyFont="1">
      <alignment vertical="center"/>
    </xf>
    <xf numFmtId="14" fontId="14" fillId="0" borderId="0" xfId="0" applyNumberFormat="1" applyFont="1" applyAlignment="1">
      <alignment horizontal="right" vertical="center"/>
    </xf>
    <xf numFmtId="41" fontId="14" fillId="0" borderId="0" xfId="1" applyFont="1" applyFill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5" fillId="11" borderId="0" xfId="0" applyFont="1" applyFill="1">
      <alignment vertical="center"/>
    </xf>
    <xf numFmtId="0" fontId="0" fillId="10" borderId="0" xfId="0" applyFill="1">
      <alignment vertical="center"/>
    </xf>
    <xf numFmtId="0" fontId="6" fillId="10" borderId="0" xfId="0" applyFont="1" applyFill="1">
      <alignment vertical="center"/>
    </xf>
    <xf numFmtId="0" fontId="15" fillId="9" borderId="0" xfId="0" applyFont="1" applyFill="1">
      <alignment vertical="center"/>
    </xf>
    <xf numFmtId="0" fontId="16" fillId="9" borderId="0" xfId="0" applyFont="1" applyFill="1">
      <alignment vertical="center"/>
    </xf>
    <xf numFmtId="0" fontId="17" fillId="9" borderId="0" xfId="0" applyFont="1" applyFill="1">
      <alignment vertical="center"/>
    </xf>
    <xf numFmtId="0" fontId="5" fillId="0" borderId="10" xfId="0" applyFont="1" applyBorder="1">
      <alignment vertical="center"/>
    </xf>
    <xf numFmtId="178" fontId="5" fillId="0" borderId="10" xfId="0" applyNumberFormat="1" applyFont="1" applyBorder="1">
      <alignment vertical="center"/>
    </xf>
    <xf numFmtId="177" fontId="5" fillId="0" borderId="10" xfId="0" applyNumberFormat="1" applyFont="1" applyBorder="1">
      <alignment vertical="center"/>
    </xf>
    <xf numFmtId="0" fontId="5" fillId="3" borderId="10" xfId="0" applyFont="1" applyFill="1" applyBorder="1">
      <alignment vertical="center"/>
    </xf>
    <xf numFmtId="0" fontId="9" fillId="3" borderId="10" xfId="0" applyFont="1" applyFill="1" applyBorder="1" applyAlignment="1">
      <alignment horizontal="center" vertical="center"/>
    </xf>
    <xf numFmtId="0" fontId="5" fillId="12" borderId="0" xfId="0" applyFont="1" applyFill="1">
      <alignment vertical="center"/>
    </xf>
    <xf numFmtId="0" fontId="15" fillId="12" borderId="0" xfId="0" applyFont="1" applyFill="1">
      <alignment vertical="center"/>
    </xf>
    <xf numFmtId="0" fontId="15" fillId="0" borderId="0" xfId="0" applyFont="1">
      <alignment vertical="center"/>
    </xf>
    <xf numFmtId="0" fontId="13" fillId="7" borderId="0" xfId="0" applyFont="1" applyFill="1">
      <alignment vertical="center"/>
    </xf>
    <xf numFmtId="181" fontId="8" fillId="7" borderId="0" xfId="0" applyNumberFormat="1" applyFont="1" applyFill="1" applyAlignment="1">
      <alignment horizontal="right" vertical="center"/>
    </xf>
    <xf numFmtId="185" fontId="5" fillId="0" borderId="0" xfId="0" applyNumberFormat="1" applyFont="1" applyAlignment="1">
      <alignment horizontal="center" vertical="center"/>
    </xf>
    <xf numFmtId="184" fontId="5" fillId="0" borderId="10" xfId="0" applyNumberFormat="1" applyFont="1" applyBorder="1">
      <alignment vertical="center"/>
    </xf>
    <xf numFmtId="41" fontId="13" fillId="0" borderId="0" xfId="1" applyFont="1">
      <alignment vertical="center"/>
    </xf>
    <xf numFmtId="14" fontId="6" fillId="7" borderId="0" xfId="0" applyNumberFormat="1" applyFont="1" applyFill="1" applyAlignment="1">
      <alignment horizontal="center" vertical="center"/>
    </xf>
    <xf numFmtId="177" fontId="14" fillId="0" borderId="0" xfId="1" applyNumberFormat="1" applyFont="1" applyFill="1" applyAlignment="1">
      <alignment horizontal="right" vertical="center"/>
    </xf>
    <xf numFmtId="183" fontId="14" fillId="0" borderId="0" xfId="1" applyNumberFormat="1" applyFont="1" applyFill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184" fontId="5" fillId="0" borderId="10" xfId="1" applyNumberFormat="1" applyFont="1" applyFill="1" applyBorder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14" fontId="12" fillId="0" borderId="0" xfId="0" applyNumberFormat="1" applyFont="1">
      <alignment vertical="center"/>
    </xf>
    <xf numFmtId="0" fontId="0" fillId="15" borderId="0" xfId="0" applyFill="1" applyAlignment="1">
      <alignment horizontal="center" vertical="center"/>
    </xf>
    <xf numFmtId="0" fontId="0" fillId="16" borderId="0" xfId="0" applyFill="1">
      <alignment vertical="center"/>
    </xf>
    <xf numFmtId="14" fontId="0" fillId="16" borderId="0" xfId="0" applyNumberFormat="1" applyFill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4" fillId="0" borderId="0" xfId="0" applyFont="1">
      <alignment vertical="center"/>
    </xf>
    <xf numFmtId="0" fontId="14" fillId="0" borderId="1" xfId="0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2" xfId="0" applyFont="1" applyBorder="1" applyAlignment="1">
      <alignment horizontal="left" vertical="center"/>
    </xf>
    <xf numFmtId="14" fontId="14" fillId="15" borderId="0" xfId="0" applyNumberFormat="1" applyFont="1" applyFill="1" applyBorder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0" borderId="0" xfId="0" applyFont="1" applyBorder="1">
      <alignment vertical="center"/>
    </xf>
    <xf numFmtId="0" fontId="14" fillId="7" borderId="0" xfId="0" applyFont="1" applyFill="1">
      <alignment vertical="center"/>
    </xf>
    <xf numFmtId="0" fontId="14" fillId="0" borderId="2" xfId="0" applyFont="1" applyBorder="1" applyAlignment="1">
      <alignment horizontal="center" vertical="center"/>
    </xf>
    <xf numFmtId="0" fontId="14" fillId="0" borderId="2" xfId="0" applyFont="1" applyBorder="1">
      <alignment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41" fontId="14" fillId="0" borderId="0" xfId="1" applyFont="1">
      <alignment vertical="center"/>
    </xf>
    <xf numFmtId="179" fontId="14" fillId="0" borderId="0" xfId="0" applyNumberFormat="1" applyFont="1">
      <alignment vertical="center"/>
    </xf>
    <xf numFmtId="14" fontId="13" fillId="0" borderId="0" xfId="0" applyNumberFormat="1" applyFont="1">
      <alignment vertical="center"/>
    </xf>
    <xf numFmtId="0" fontId="13" fillId="10" borderId="0" xfId="0" applyFont="1" applyFill="1">
      <alignment vertical="center"/>
    </xf>
    <xf numFmtId="14" fontId="13" fillId="10" borderId="0" xfId="0" applyNumberFormat="1" applyFont="1" applyFill="1">
      <alignment vertical="center"/>
    </xf>
    <xf numFmtId="0" fontId="13" fillId="0" borderId="0" xfId="0" quotePrefix="1" applyFont="1">
      <alignment vertical="center"/>
    </xf>
    <xf numFmtId="0" fontId="21" fillId="8" borderId="0" xfId="0" applyFont="1" applyFill="1">
      <alignment vertical="center"/>
    </xf>
    <xf numFmtId="0" fontId="4" fillId="0" borderId="0" xfId="0" applyFont="1" applyAlignment="1">
      <alignment horizontal="right" vertical="center"/>
    </xf>
    <xf numFmtId="0" fontId="14" fillId="0" borderId="1" xfId="0" applyNumberFormat="1" applyFont="1" applyBorder="1" applyAlignment="1">
      <alignment horizontal="left" vertical="center"/>
    </xf>
    <xf numFmtId="0" fontId="14" fillId="0" borderId="2" xfId="0" applyNumberFormat="1" applyFont="1" applyBorder="1" applyAlignment="1">
      <alignment horizontal="left" vertical="center"/>
    </xf>
    <xf numFmtId="0" fontId="14" fillId="0" borderId="1" xfId="0" applyFont="1" applyBorder="1">
      <alignment vertical="center"/>
    </xf>
    <xf numFmtId="0" fontId="14" fillId="0" borderId="3" xfId="0" applyFont="1" applyBorder="1">
      <alignment vertical="center"/>
    </xf>
    <xf numFmtId="0" fontId="22" fillId="0" borderId="3" xfId="0" applyFont="1" applyBorder="1">
      <alignment vertical="center"/>
    </xf>
    <xf numFmtId="0" fontId="23" fillId="0" borderId="3" xfId="0" applyFont="1" applyFill="1" applyBorder="1" applyAlignment="1">
      <alignment horizontal="center" vertical="center"/>
    </xf>
    <xf numFmtId="0" fontId="20" fillId="0" borderId="4" xfId="0" applyFont="1" applyFill="1" applyBorder="1" applyAlignment="1">
      <alignment horizontal="right" vertical="center"/>
    </xf>
    <xf numFmtId="0" fontId="23" fillId="0" borderId="0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right" vertical="center"/>
    </xf>
    <xf numFmtId="0" fontId="23" fillId="0" borderId="2" xfId="0" applyNumberFormat="1" applyFont="1" applyFill="1" applyBorder="1" applyAlignment="1">
      <alignment horizontal="center" vertical="center"/>
    </xf>
    <xf numFmtId="0" fontId="23" fillId="0" borderId="2" xfId="0" applyFont="1" applyFill="1" applyBorder="1" applyAlignment="1">
      <alignment horizontal="center" vertical="center"/>
    </xf>
    <xf numFmtId="0" fontId="20" fillId="0" borderId="2" xfId="0" applyFont="1" applyFill="1" applyBorder="1" applyAlignment="1">
      <alignment horizontal="right" vertical="center"/>
    </xf>
    <xf numFmtId="14" fontId="20" fillId="0" borderId="0" xfId="0" applyNumberFormat="1" applyFont="1" applyFill="1" applyAlignment="1">
      <alignment horizontal="center" vertical="center"/>
    </xf>
    <xf numFmtId="0" fontId="20" fillId="0" borderId="0" xfId="0" applyFont="1" applyFill="1" applyAlignment="1">
      <alignment horizontal="left" vertical="center"/>
    </xf>
    <xf numFmtId="0" fontId="20" fillId="0" borderId="0" xfId="0" applyFont="1" applyFill="1">
      <alignment vertical="center"/>
    </xf>
    <xf numFmtId="0" fontId="20" fillId="0" borderId="0" xfId="0" applyNumberFormat="1" applyFont="1" applyFill="1" applyAlignment="1">
      <alignment horizontal="center" vertical="center"/>
    </xf>
    <xf numFmtId="14" fontId="14" fillId="0" borderId="0" xfId="0" applyNumberFormat="1" applyFont="1" applyAlignment="1">
      <alignment horizontal="left" vertical="center"/>
    </xf>
    <xf numFmtId="14" fontId="14" fillId="0" borderId="2" xfId="0" applyNumberFormat="1" applyFont="1" applyBorder="1" applyAlignment="1">
      <alignment horizontal="left" vertical="center"/>
    </xf>
    <xf numFmtId="0" fontId="24" fillId="0" borderId="1" xfId="0" applyFont="1" applyBorder="1" applyAlignment="1">
      <alignment horizontal="right" vertical="center"/>
    </xf>
    <xf numFmtId="0" fontId="14" fillId="0" borderId="7" xfId="0" applyFont="1" applyBorder="1">
      <alignment vertical="center"/>
    </xf>
    <xf numFmtId="0" fontId="24" fillId="0" borderId="0" xfId="0" applyFont="1" applyBorder="1" applyAlignment="1">
      <alignment horizontal="right" vertical="center"/>
    </xf>
    <xf numFmtId="0" fontId="14" fillId="0" borderId="8" xfId="0" applyFont="1" applyBorder="1">
      <alignment vertical="center"/>
    </xf>
    <xf numFmtId="0" fontId="24" fillId="0" borderId="5" xfId="0" applyFont="1" applyBorder="1" applyAlignment="1">
      <alignment horizontal="right" vertical="center"/>
    </xf>
    <xf numFmtId="0" fontId="14" fillId="0" borderId="9" xfId="0" applyFont="1" applyBorder="1">
      <alignment vertical="center"/>
    </xf>
    <xf numFmtId="0" fontId="14" fillId="0" borderId="6" xfId="0" applyFont="1" applyBorder="1">
      <alignment vertical="center"/>
    </xf>
    <xf numFmtId="14" fontId="14" fillId="0" borderId="0" xfId="0" applyNumberFormat="1" applyFont="1" applyFill="1" applyAlignment="1">
      <alignment horizontal="center" vertical="center"/>
    </xf>
    <xf numFmtId="0" fontId="14" fillId="0" borderId="0" xfId="0" applyFont="1" applyFill="1" applyAlignment="1">
      <alignment horizontal="right" vertical="center"/>
    </xf>
    <xf numFmtId="0" fontId="14" fillId="0" borderId="0" xfId="0" applyFont="1" applyFill="1">
      <alignment vertical="center"/>
    </xf>
    <xf numFmtId="0" fontId="14" fillId="0" borderId="7" xfId="0" applyNumberFormat="1" applyFont="1" applyBorder="1">
      <alignment vertical="center"/>
    </xf>
    <xf numFmtId="0" fontId="14" fillId="0" borderId="1" xfId="0" applyNumberFormat="1" applyFont="1" applyBorder="1">
      <alignment vertical="center"/>
    </xf>
    <xf numFmtId="0" fontId="25" fillId="0" borderId="0" xfId="0" applyFont="1">
      <alignment vertical="center"/>
    </xf>
    <xf numFmtId="49" fontId="14" fillId="0" borderId="1" xfId="0" applyNumberFormat="1" applyFont="1" applyBorder="1">
      <alignment vertical="center"/>
    </xf>
    <xf numFmtId="14" fontId="13" fillId="10" borderId="0" xfId="0" applyNumberFormat="1" applyFont="1" applyFill="1" applyAlignment="1">
      <alignment horizontal="right" vertical="center"/>
    </xf>
    <xf numFmtId="0" fontId="13" fillId="10" borderId="0" xfId="0" applyFont="1" applyFill="1" applyAlignment="1">
      <alignment horizontal="right" vertical="center"/>
    </xf>
    <xf numFmtId="184" fontId="5" fillId="0" borderId="0" xfId="0" applyNumberFormat="1" applyFont="1" applyFill="1">
      <alignment vertical="center"/>
    </xf>
    <xf numFmtId="184" fontId="5" fillId="0" borderId="10" xfId="2" applyNumberFormat="1" applyFont="1" applyFill="1" applyBorder="1">
      <alignment vertical="center"/>
    </xf>
    <xf numFmtId="184" fontId="5" fillId="0" borderId="10" xfId="0" applyNumberFormat="1" applyFont="1" applyFill="1" applyBorder="1">
      <alignment vertical="center"/>
    </xf>
    <xf numFmtId="43" fontId="5" fillId="0" borderId="10" xfId="0" applyNumberFormat="1" applyFont="1" applyFill="1" applyBorder="1">
      <alignment vertical="center"/>
    </xf>
    <xf numFmtId="183" fontId="5" fillId="0" borderId="10" xfId="0" applyNumberFormat="1" applyFont="1" applyFill="1" applyBorder="1">
      <alignment vertical="center"/>
    </xf>
    <xf numFmtId="0" fontId="6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14" fontId="0" fillId="0" borderId="0" xfId="0" applyNumberFormat="1" applyFill="1">
      <alignment vertical="center"/>
    </xf>
    <xf numFmtId="14" fontId="0" fillId="0" borderId="0" xfId="0" applyNumberFormat="1" applyFill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7" borderId="0" xfId="0" applyFill="1" applyAlignment="1">
      <alignment horizontal="center" vertical="center"/>
    </xf>
    <xf numFmtId="14" fontId="0" fillId="7" borderId="0" xfId="0" applyNumberFormat="1" applyFill="1" applyAlignment="1">
      <alignment horizontal="right" vertical="center"/>
    </xf>
    <xf numFmtId="14" fontId="0" fillId="7" borderId="0" xfId="0" applyNumberFormat="1" applyFill="1">
      <alignment vertical="center"/>
    </xf>
    <xf numFmtId="0" fontId="0" fillId="7" borderId="0" xfId="0" applyFill="1" applyAlignment="1">
      <alignment horizontal="right" vertical="center"/>
    </xf>
    <xf numFmtId="0" fontId="0" fillId="0" borderId="0" xfId="0" quotePrefix="1">
      <alignment vertical="center"/>
    </xf>
    <xf numFmtId="0" fontId="9" fillId="3" borderId="10" xfId="0" quotePrefix="1" applyFont="1" applyFill="1" applyBorder="1" applyAlignment="1">
      <alignment horizontal="center" vertical="center"/>
    </xf>
    <xf numFmtId="181" fontId="5" fillId="0" borderId="10" xfId="0" applyNumberFormat="1" applyFont="1" applyFill="1" applyBorder="1" applyAlignment="1">
      <alignment horizontal="right" vertical="center"/>
    </xf>
    <xf numFmtId="186" fontId="5" fillId="0" borderId="0" xfId="0" applyNumberFormat="1" applyFont="1">
      <alignment vertical="center"/>
    </xf>
    <xf numFmtId="187" fontId="5" fillId="0" borderId="0" xfId="0" applyNumberFormat="1" applyFont="1">
      <alignment vertical="center"/>
    </xf>
    <xf numFmtId="187" fontId="20" fillId="0" borderId="0" xfId="0" applyNumberFormat="1" applyFont="1" applyFill="1" applyAlignment="1">
      <alignment horizontal="right" vertical="center"/>
    </xf>
    <xf numFmtId="0" fontId="8" fillId="15" borderId="2" xfId="0" applyFont="1" applyFill="1" applyBorder="1" applyAlignment="1">
      <alignment horizontal="right" vertical="center"/>
    </xf>
    <xf numFmtId="183" fontId="5" fillId="0" borderId="10" xfId="0" applyNumberFormat="1" applyFont="1" applyFill="1" applyBorder="1" applyAlignment="1">
      <alignment horizontal="right" vertical="center"/>
    </xf>
    <xf numFmtId="0" fontId="5" fillId="0" borderId="0" xfId="0" applyFont="1" applyFill="1" applyBorder="1">
      <alignment vertical="center"/>
    </xf>
    <xf numFmtId="184" fontId="5" fillId="0" borderId="0" xfId="1" applyNumberFormat="1" applyFont="1" applyFill="1" applyBorder="1">
      <alignment vertical="center"/>
    </xf>
    <xf numFmtId="2" fontId="5" fillId="0" borderId="0" xfId="0" applyNumberFormat="1" applyFont="1" applyFill="1" applyBorder="1">
      <alignment vertical="center"/>
    </xf>
    <xf numFmtId="0" fontId="10" fillId="9" borderId="0" xfId="0" quotePrefix="1" applyFont="1" applyFill="1">
      <alignment vertical="center"/>
    </xf>
    <xf numFmtId="0" fontId="0" fillId="17" borderId="0" xfId="0" applyFill="1">
      <alignment vertical="center"/>
    </xf>
    <xf numFmtId="14" fontId="28" fillId="17" borderId="0" xfId="0" applyNumberFormat="1" applyFont="1" applyFill="1">
      <alignment vertical="center"/>
    </xf>
    <xf numFmtId="0" fontId="29" fillId="17" borderId="0" xfId="0" applyFont="1" applyFill="1">
      <alignment vertical="center"/>
    </xf>
    <xf numFmtId="182" fontId="5" fillId="7" borderId="10" xfId="1" applyNumberFormat="1" applyFont="1" applyFill="1" applyBorder="1">
      <alignment vertical="center"/>
    </xf>
    <xf numFmtId="178" fontId="5" fillId="7" borderId="10" xfId="0" applyNumberFormat="1" applyFont="1" applyFill="1" applyBorder="1">
      <alignment vertical="center"/>
    </xf>
    <xf numFmtId="0" fontId="30" fillId="8" borderId="0" xfId="0" applyFont="1" applyFill="1">
      <alignment vertical="center"/>
    </xf>
    <xf numFmtId="0" fontId="30" fillId="8" borderId="0" xfId="0" applyFont="1" applyFill="1" applyAlignment="1">
      <alignment horizontal="left" vertical="center" indent="1"/>
    </xf>
    <xf numFmtId="0" fontId="5" fillId="7" borderId="10" xfId="0" applyFont="1" applyFill="1" applyBorder="1" applyAlignment="1">
      <alignment horizontal="center" vertical="center"/>
    </xf>
    <xf numFmtId="180" fontId="5" fillId="7" borderId="10" xfId="0" applyNumberFormat="1" applyFont="1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1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7FAD5775-E82B-4001-A794-D191866DA0BB}" ax:persistence="persistPropertyBag">
  <ax:ocxPr ax:name="_ExtentX" ax:value="1773"/>
  <ax:ocxPr ax:name="_ExtentY" ax:value="529"/>
  <ax:ocxPr ax:name="Version" ax:value="7.00"/>
  <ax:ocxPr ax:name="IDValue" ax:value="D706C515----------------6C699A76C276"/>
  <ax:ocxPr ax:name="MenuType" ax:value="8"/>
  <ax:ocxPr ax:name="MenuID" ax:value="4110"/>
  <ax:ocxPr ax:name="HeaderRange" ax:value="$B$1"/>
  <ax:ocxPr ax:name="LastRefresh" ax:value="Last Update : 2013-07-30 16:53:00"/>
  <ax:ocxPr ax:name="UseParentName" ax:value=""/>
</ax:ocx>
</file>

<file path=xl/activeX/activeX2.xml><?xml version="1.0" encoding="utf-8"?>
<ax:ocx xmlns:ax="http://schemas.microsoft.com/office/2006/activeX" xmlns:r="http://schemas.openxmlformats.org/officeDocument/2006/relationships" ax:classid="{7FAD5775-E82B-4001-A794-D191866DA0BB}" ax:persistence="persistPropertyBag">
  <ax:ocxPr ax:name="_ExtentX" ax:value="1773"/>
  <ax:ocxPr ax:name="_ExtentY" ax:value="529"/>
  <ax:ocxPr ax:name="Version" ax:value="7.00"/>
  <ax:ocxPr ax:name="IDValue" ax:value="D706C515----------------3A6FB25869AF"/>
  <ax:ocxPr ax:name="MenuType" ax:value="8"/>
  <ax:ocxPr ax:name="MenuID" ax:value="4110"/>
  <ax:ocxPr ax:name="HeaderRange" ax:value="$E$1"/>
  <ax:ocxPr ax:name="LastRefresh" ax:value="Last Update : 2013-07-30 16:53:12"/>
  <ax:ocxPr ax:name="UseParentName" ax:value=""/>
</ax:ocx>
</file>

<file path=xl/activeX/activeX3.xml><?xml version="1.0" encoding="utf-8"?>
<ax:ocx xmlns:ax="http://schemas.microsoft.com/office/2006/activeX" xmlns:r="http://schemas.openxmlformats.org/officeDocument/2006/relationships" ax:classid="{7FAD5775-E82B-4001-A794-D191866DA0BB}" ax:persistence="persistPropertyBag">
  <ax:ocxPr ax:name="_ExtentX" ax:value="1773"/>
  <ax:ocxPr ax:name="_ExtentY" ax:value="529"/>
  <ax:ocxPr ax:name="Version" ax:value="7.00"/>
  <ax:ocxPr ax:name="IDValue" ax:value="4E95E6D1----------------E82C050FAF9D"/>
  <ax:ocxPr ax:name="MenuType" ax:value="10"/>
  <ax:ocxPr ax:name="MenuID" ax:value="4110"/>
  <ax:ocxPr ax:name="HeaderRange" ax:value="$A$1"/>
  <ax:ocxPr ax:name="LastRefresh" ax:value="Last Update : 2013-07-30 16:53:25"/>
  <ax:ocxPr ax:name="UseParentName" ax:value=""/>
</ax:ocx>
</file>

<file path=xl/activeX/activeX4.xml><?xml version="1.0" encoding="utf-8"?>
<ax:ocx xmlns:ax="http://schemas.microsoft.com/office/2006/activeX" xmlns:r="http://schemas.openxmlformats.org/officeDocument/2006/relationships" ax:classid="{7FAD5775-E82B-4001-A794-D191866DA0BB}" ax:persistence="persistPropertyBag">
  <ax:ocxPr ax:name="_ExtentX" ax:value="1773"/>
  <ax:ocxPr ax:name="_ExtentY" ax:value="529"/>
  <ax:ocxPr ax:name="Version" ax:value="7.00"/>
  <ax:ocxPr ax:name="IDValue" ax:value="36938821----------------86C22F3F10CE"/>
  <ax:ocxPr ax:name="MenuType" ax:value="10"/>
  <ax:ocxPr ax:name="MenuID" ax:value="4110"/>
  <ax:ocxPr ax:name="HeaderRange" ax:value="$A$1"/>
  <ax:ocxPr ax:name="LastRefresh" ax:value="Last Update : 2013-07-30 16:53:33"/>
  <ax:ocxPr ax:name="UseParentName" ax:value=""/>
</ax:ocx>
</file>

<file path=xl/activeX/activeX5.xml><?xml version="1.0" encoding="utf-8"?>
<ax:ocx xmlns:ax="http://schemas.microsoft.com/office/2006/activeX" xmlns:r="http://schemas.openxmlformats.org/officeDocument/2006/relationships" ax:classid="{7FAD5775-E82B-4001-A794-D191866DA0BB}" ax:persistence="persistPropertyBag">
  <ax:ocxPr ax:name="_ExtentX" ax:value="1773"/>
  <ax:ocxPr ax:name="_ExtentY" ax:value="529"/>
  <ax:ocxPr ax:name="Version" ax:value="7.00"/>
  <ax:ocxPr ax:name="IDValue" ax:value="0B2ED901----------------1A10CF194A2F"/>
  <ax:ocxPr ax:name="MenuType" ax:value="25"/>
  <ax:ocxPr ax:name="MenuID" ax:value="3600"/>
  <ax:ocxPr ax:name="HeaderRange" ax:value="$A$1"/>
  <ax:ocxPr ax:name="LastRefresh" ax:value="Last Update : 2013-07-30 16:57:12"/>
  <ax:ocxPr ax:name="UseParentName" ax:value=""/>
</ax:ocx>
</file>

<file path=xl/activeX/activeX6.xml><?xml version="1.0" encoding="utf-8"?>
<ax:ocx xmlns:ax="http://schemas.microsoft.com/office/2006/activeX" xmlns:r="http://schemas.openxmlformats.org/officeDocument/2006/relationships" ax:classid="{7FAD5775-E82B-4001-A794-D191866DA0BB}" ax:persistence="persistPropertyBag">
  <ax:ocxPr ax:name="_ExtentX" ax:value="1773"/>
  <ax:ocxPr ax:name="_ExtentY" ax:value="529"/>
  <ax:ocxPr ax:name="Version" ax:value="7.00"/>
  <ax:ocxPr ax:name="IDValue" ax:value="0B2ED901----------------64650CFA2C61"/>
  <ax:ocxPr ax:name="MenuType" ax:value="25"/>
  <ax:ocxPr ax:name="MenuID" ax:value="3600"/>
  <ax:ocxPr ax:name="HeaderRange" ax:value="$A$1"/>
  <ax:ocxPr ax:name="LastRefresh" ax:value="Last Update : 2013-07-30 16:57:13"/>
  <ax:ocxPr ax:name="UseParentName" ax:value=""/>
</ax:ocx>
</file>

<file path=xl/activeX/activeX7.xml><?xml version="1.0" encoding="utf-8"?>
<ax:ocx xmlns:ax="http://schemas.microsoft.com/office/2006/activeX" xmlns:r="http://schemas.openxmlformats.org/officeDocument/2006/relationships" ax:classid="{7FAD5775-E82B-4001-A794-D191866DA0BB}" ax:persistence="persistPropertyBag">
  <ax:ocxPr ax:name="_ExtentX" ax:value="1773"/>
  <ax:ocxPr ax:name="_ExtentY" ax:value="529"/>
  <ax:ocxPr ax:name="Version" ax:value="7.00"/>
  <ax:ocxPr ax:name="IDValue" ax:value="0C33CF8D----F-8-2--7--9-F1B039F56F94"/>
  <ax:ocxPr ax:name="MenuType" ax:value="25"/>
  <ax:ocxPr ax:name="MenuID" ax:value="3600"/>
  <ax:ocxPr ax:name="HeaderRange" ax:value="$A$1"/>
  <ax:ocxPr ax:name="LastRefresh" ax:value="Last Update : 2013-08-02 12:33:14"/>
  <ax:ocxPr ax:name="UseParentName" ax:value=""/>
</ax:ocx>
</file>

<file path=xl/activeX/activeX8.xml><?xml version="1.0" encoding="utf-8"?>
<ax:ocx xmlns:ax="http://schemas.microsoft.com/office/2006/activeX" xmlns:r="http://schemas.openxmlformats.org/officeDocument/2006/relationships" ax:classid="{7FAD5775-E82B-4001-A794-D191866DA0BB}" ax:persistence="persistPropertyBag">
  <ax:ocxPr ax:name="_ExtentX" ax:value="1773"/>
  <ax:ocxPr ax:name="_ExtentY" ax:value="529"/>
  <ax:ocxPr ax:name="Version" ax:value="7.00"/>
  <ax:ocxPr ax:name="IDValue" ax:value="0B2ED901----------------21E4EBCB1B26"/>
  <ax:ocxPr ax:name="MenuType" ax:value="25"/>
  <ax:ocxPr ax:name="MenuID" ax:value="3600"/>
  <ax:ocxPr ax:name="HeaderRange" ax:value="$A$1"/>
  <ax:ocxPr ax:name="LastRefresh" ax:value="Last Update : 2013-07-30 16:57:14"/>
  <ax:ocxPr ax:name="UseParentName" ax:value=""/>
</ax:ocx>
</file>

<file path=xl/activeX/activeX9.xml><?xml version="1.0" encoding="utf-8"?>
<ax:ocx xmlns:ax="http://schemas.microsoft.com/office/2006/activeX" xmlns:r="http://schemas.openxmlformats.org/officeDocument/2006/relationships" ax:classid="{7FAD5775-E82B-4001-A794-D191866DA0BB}" ax:persistence="persistPropertyBag">
  <ax:ocxPr ax:name="_ExtentX" ax:value="1773"/>
  <ax:ocxPr ax:name="_ExtentY" ax:value="529"/>
  <ax:ocxPr ax:name="Version" ax:value="7.00"/>
  <ax:ocxPr ax:name="IDValue" ax:value="5F837A94----------------203034B38276"/>
  <ax:ocxPr ax:name="MenuType" ax:value="9"/>
  <ax:ocxPr ax:name="MenuID" ax:value="3200"/>
  <ax:ocxPr ax:name="HeaderRange" ax:value="$A$1"/>
  <ax:ocxPr ax:name="LastRefresh" ax:value="Last Update : 2013-07-30 16:57:15"/>
  <ax:ocxPr ax:name="UseParentName" ax:value=""/>
</ax:ocx>
</file>

<file path=xl/activeX/activeX10.xml><?xml version="1.0" encoding="utf-8"?>
<ax:ocx xmlns:ax="http://schemas.microsoft.com/office/2006/activeX" xmlns:r="http://schemas.openxmlformats.org/officeDocument/2006/relationships" ax:classid="{7FAD5775-E82B-4001-A794-D191866DA0BB}" ax:persistence="persistPropertyBag">
  <ax:ocxPr ax:name="_ExtentX" ax:value="1773"/>
  <ax:ocxPr ax:name="_ExtentY" ax:value="529"/>
  <ax:ocxPr ax:name="Version" ax:value="7.00"/>
  <ax:ocxPr ax:name="IDValue" ax:value="1F64B2D4----------------9B3D49FEB5F3"/>
  <ax:ocxPr ax:name="MenuType" ax:value="9"/>
  <ax:ocxPr ax:name="MenuID" ax:value="2100"/>
  <ax:ocxPr ax:name="HeaderRange" ax:value="$G$1"/>
  <ax:ocxPr ax:name="LastRefresh" ax:value="Last Update : 2013-07-30 16:57:17"/>
  <ax:ocxPr ax:name="UseParentName" ax:value=""/>
</ax:ocx>
</file>

<file path=xl/activeX/activeX11.xml><?xml version="1.0" encoding="utf-8"?>
<ax:ocx xmlns:ax="http://schemas.microsoft.com/office/2006/activeX" xmlns:r="http://schemas.openxmlformats.org/officeDocument/2006/relationships" ax:classid="{7FAD5775-E82B-4001-A794-D191866DA0BB}" ax:persistence="persistPropertyBag">
  <ax:ocxPr ax:name="_ExtentX" ax:value="1773"/>
  <ax:ocxPr ax:name="_ExtentY" ax:value="529"/>
  <ax:ocxPr ax:name="Version" ax:value="7.00"/>
  <ax:ocxPr ax:name="IDValue" ax:value="B2437097----------------F4B93800BAA5"/>
  <ax:ocxPr ax:name="MenuType" ax:value="9"/>
  <ax:ocxPr ax:name="MenuID" ax:value="2100"/>
  <ax:ocxPr ax:name="HeaderRange" ax:value="$A$1"/>
  <ax:ocxPr ax:name="LastRefresh" ax:value="Last Update : 2013-07-30 16:57:19"/>
  <ax:ocxPr ax:name="UseParentName" ax:value=""/>
</ax:ocx>
</file>

<file path=xl/activeX/activeX12.xml><?xml version="1.0" encoding="utf-8"?>
<ax:ocx xmlns:ax="http://schemas.microsoft.com/office/2006/activeX" xmlns:r="http://schemas.openxmlformats.org/officeDocument/2006/relationships" ax:classid="{7FAD5775-E82B-4001-A794-D191866DA0BB}" ax:persistence="persistPropertyBag">
  <ax:ocxPr ax:name="_ExtentX" ax:value="1773"/>
  <ax:ocxPr ax:name="_ExtentY" ax:value="529"/>
  <ax:ocxPr ax:name="Version" ax:value="7.00"/>
  <ax:ocxPr ax:name="IDValue" ax:value="E0975625----------------8778465CF64A"/>
  <ax:ocxPr ax:name="MenuType" ax:value="9"/>
  <ax:ocxPr ax:name="MenuID" ax:value="2100"/>
  <ax:ocxPr ax:name="HeaderRange" ax:value="$A$1"/>
  <ax:ocxPr ax:name="LastRefresh" ax:value="Last Update : 2013-07-30 16:57:21"/>
  <ax:ocxPr ax:name="UseParentName" ax:value="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4"/>
          <c:order val="4"/>
          <c:tx>
            <c:strRef>
              <c:f>최종!$AL$24</c:f>
              <c:strCache>
                <c:ptCount val="1"/>
                <c:pt idx="0">
                  <c:v>기관+외인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val>
            <c:numRef>
              <c:f>최종!$AL$25:$AL$109</c:f>
              <c:numCache>
                <c:formatCode>_-* #,##0.00_-;\-* #,##0.00_-;_-* "-"_-;_-@_-</c:formatCode>
                <c:ptCount val="85"/>
                <c:pt idx="0">
                  <c:v>32.489999999999995</c:v>
                </c:pt>
                <c:pt idx="1">
                  <c:v>17.97</c:v>
                </c:pt>
                <c:pt idx="2">
                  <c:v>23.22</c:v>
                </c:pt>
                <c:pt idx="3">
                  <c:v>28.07</c:v>
                </c:pt>
                <c:pt idx="4">
                  <c:v>33.179999999999993</c:v>
                </c:pt>
                <c:pt idx="5">
                  <c:v>28.15</c:v>
                </c:pt>
                <c:pt idx="6">
                  <c:v>40.629999999999995</c:v>
                </c:pt>
                <c:pt idx="7">
                  <c:v>43.269999999999996</c:v>
                </c:pt>
                <c:pt idx="8">
                  <c:v>39.809999999999995</c:v>
                </c:pt>
                <c:pt idx="9">
                  <c:v>38.94</c:v>
                </c:pt>
                <c:pt idx="10">
                  <c:v>39.950000000000003</c:v>
                </c:pt>
                <c:pt idx="11">
                  <c:v>63.21</c:v>
                </c:pt>
                <c:pt idx="12">
                  <c:v>71.009999999999991</c:v>
                </c:pt>
                <c:pt idx="13">
                  <c:v>78.180000000000007</c:v>
                </c:pt>
                <c:pt idx="14">
                  <c:v>82.85</c:v>
                </c:pt>
                <c:pt idx="15">
                  <c:v>90.14</c:v>
                </c:pt>
                <c:pt idx="16">
                  <c:v>101.91</c:v>
                </c:pt>
                <c:pt idx="17">
                  <c:v>85.2</c:v>
                </c:pt>
                <c:pt idx="18">
                  <c:v>75.63</c:v>
                </c:pt>
                <c:pt idx="19">
                  <c:v>65.83</c:v>
                </c:pt>
                <c:pt idx="20">
                  <c:v>65.02</c:v>
                </c:pt>
                <c:pt idx="21">
                  <c:v>62.68</c:v>
                </c:pt>
                <c:pt idx="22">
                  <c:v>63.34</c:v>
                </c:pt>
                <c:pt idx="23">
                  <c:v>60.51</c:v>
                </c:pt>
                <c:pt idx="24">
                  <c:v>59.010000000000005</c:v>
                </c:pt>
                <c:pt idx="25">
                  <c:v>55.230000000000004</c:v>
                </c:pt>
                <c:pt idx="26">
                  <c:v>64.849999999999994</c:v>
                </c:pt>
                <c:pt idx="27">
                  <c:v>63.81</c:v>
                </c:pt>
                <c:pt idx="28">
                  <c:v>54.47</c:v>
                </c:pt>
                <c:pt idx="29">
                  <c:v>51.25</c:v>
                </c:pt>
                <c:pt idx="30">
                  <c:v>53.03</c:v>
                </c:pt>
                <c:pt idx="31">
                  <c:v>37.479999999999997</c:v>
                </c:pt>
                <c:pt idx="32">
                  <c:v>42.58</c:v>
                </c:pt>
                <c:pt idx="33">
                  <c:v>19.46</c:v>
                </c:pt>
                <c:pt idx="34">
                  <c:v>9.4600000000000009</c:v>
                </c:pt>
                <c:pt idx="35">
                  <c:v>1.9499999999999993</c:v>
                </c:pt>
                <c:pt idx="36">
                  <c:v>6.5500000000000007</c:v>
                </c:pt>
                <c:pt idx="37">
                  <c:v>-4.8599999999999994</c:v>
                </c:pt>
                <c:pt idx="38">
                  <c:v>-3.3700000000000045</c:v>
                </c:pt>
                <c:pt idx="39">
                  <c:v>-0.55999999999999517</c:v>
                </c:pt>
                <c:pt idx="40">
                  <c:v>19.999999999999993</c:v>
                </c:pt>
                <c:pt idx="41">
                  <c:v>13.600000000000009</c:v>
                </c:pt>
                <c:pt idx="42">
                  <c:v>20.959999999999994</c:v>
                </c:pt>
                <c:pt idx="43">
                  <c:v>38.959999999999994</c:v>
                </c:pt>
                <c:pt idx="44">
                  <c:v>37.019999999999996</c:v>
                </c:pt>
                <c:pt idx="45">
                  <c:v>41.510000000000005</c:v>
                </c:pt>
                <c:pt idx="46">
                  <c:v>48.290000000000006</c:v>
                </c:pt>
                <c:pt idx="47">
                  <c:v>42.779999999999994</c:v>
                </c:pt>
                <c:pt idx="48">
                  <c:v>44.510000000000005</c:v>
                </c:pt>
                <c:pt idx="49">
                  <c:v>41.649999999999991</c:v>
                </c:pt>
                <c:pt idx="50">
                  <c:v>65.53</c:v>
                </c:pt>
                <c:pt idx="51">
                  <c:v>89.92</c:v>
                </c:pt>
                <c:pt idx="52">
                  <c:v>94.990000000000009</c:v>
                </c:pt>
                <c:pt idx="53">
                  <c:v>90.33</c:v>
                </c:pt>
                <c:pt idx="54">
                  <c:v>100.97</c:v>
                </c:pt>
                <c:pt idx="55">
                  <c:v>88.7</c:v>
                </c:pt>
                <c:pt idx="56">
                  <c:v>91.45</c:v>
                </c:pt>
                <c:pt idx="57">
                  <c:v>93.35</c:v>
                </c:pt>
                <c:pt idx="58">
                  <c:v>99.17</c:v>
                </c:pt>
                <c:pt idx="59">
                  <c:v>108.03</c:v>
                </c:pt>
                <c:pt idx="60">
                  <c:v>121.46000000000001</c:v>
                </c:pt>
                <c:pt idx="61">
                  <c:v>95.54</c:v>
                </c:pt>
                <c:pt idx="62">
                  <c:v>91.22</c:v>
                </c:pt>
                <c:pt idx="63">
                  <c:v>80.359999999999985</c:v>
                </c:pt>
                <c:pt idx="64">
                  <c:v>76.19</c:v>
                </c:pt>
                <c:pt idx="65">
                  <c:v>68.56</c:v>
                </c:pt>
                <c:pt idx="66">
                  <c:v>64.710000000000008</c:v>
                </c:pt>
                <c:pt idx="67">
                  <c:v>59.830000000000005</c:v>
                </c:pt>
                <c:pt idx="68">
                  <c:v>53.509999999999991</c:v>
                </c:pt>
                <c:pt idx="69">
                  <c:v>47.82</c:v>
                </c:pt>
                <c:pt idx="70">
                  <c:v>48.639999999999993</c:v>
                </c:pt>
                <c:pt idx="71">
                  <c:v>33.279999999999994</c:v>
                </c:pt>
                <c:pt idx="72">
                  <c:v>19.11</c:v>
                </c:pt>
                <c:pt idx="73">
                  <c:v>14.25</c:v>
                </c:pt>
                <c:pt idx="74">
                  <c:v>13.079999999999998</c:v>
                </c:pt>
                <c:pt idx="75">
                  <c:v>5.93</c:v>
                </c:pt>
                <c:pt idx="76">
                  <c:v>11.36</c:v>
                </c:pt>
                <c:pt idx="77">
                  <c:v>10.71</c:v>
                </c:pt>
                <c:pt idx="78">
                  <c:v>7.4099999999999966</c:v>
                </c:pt>
                <c:pt idx="79">
                  <c:v>4.8699999999999974</c:v>
                </c:pt>
                <c:pt idx="80">
                  <c:v>3.0400000000000027</c:v>
                </c:pt>
                <c:pt idx="81">
                  <c:v>-2.490000000000002</c:v>
                </c:pt>
                <c:pt idx="82">
                  <c:v>-5.3999999999999986</c:v>
                </c:pt>
                <c:pt idx="83">
                  <c:v>-4.5</c:v>
                </c:pt>
                <c:pt idx="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A2-4264-8FCA-5F5A6D141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47616"/>
        <c:axId val="40849408"/>
      </c:areaChart>
      <c:lineChart>
        <c:grouping val="standard"/>
        <c:varyColors val="0"/>
        <c:ser>
          <c:idx val="0"/>
          <c:order val="1"/>
          <c:tx>
            <c:strRef>
              <c:f>최종!$AI$24</c:f>
              <c:strCache>
                <c:ptCount val="1"/>
                <c:pt idx="0">
                  <c:v>대차잔고비율</c:v>
                </c:pt>
              </c:strCache>
            </c:strRef>
          </c:tx>
          <c:spPr>
            <a:ln w="22225">
              <a:solidFill>
                <a:schemeClr val="accent3">
                  <a:lumMod val="75000"/>
                </a:schemeClr>
              </a:solidFill>
            </a:ln>
          </c:spPr>
          <c:marker>
            <c:symbol val="star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solidFill>
                  <a:srgbClr val="9BBB59">
                    <a:lumMod val="75000"/>
                  </a:srgbClr>
                </a:solidFill>
              </a:ln>
            </c:spPr>
          </c:marker>
          <c:cat>
            <c:numRef>
              <c:f>최종!$AB$25:$AB$109</c:f>
              <c:numCache>
                <c:formatCode>m/d/yyyy</c:formatCode>
                <c:ptCount val="85"/>
                <c:pt idx="0">
                  <c:v>41484</c:v>
                </c:pt>
                <c:pt idx="1">
                  <c:v>41481</c:v>
                </c:pt>
                <c:pt idx="2">
                  <c:v>41480</c:v>
                </c:pt>
                <c:pt idx="3">
                  <c:v>41479</c:v>
                </c:pt>
                <c:pt idx="4">
                  <c:v>41478</c:v>
                </c:pt>
                <c:pt idx="5">
                  <c:v>41477</c:v>
                </c:pt>
                <c:pt idx="6">
                  <c:v>41474</c:v>
                </c:pt>
                <c:pt idx="7">
                  <c:v>41473</c:v>
                </c:pt>
                <c:pt idx="8">
                  <c:v>41472</c:v>
                </c:pt>
                <c:pt idx="9">
                  <c:v>41471</c:v>
                </c:pt>
                <c:pt idx="10">
                  <c:v>41470</c:v>
                </c:pt>
                <c:pt idx="11">
                  <c:v>41467</c:v>
                </c:pt>
                <c:pt idx="12">
                  <c:v>41466</c:v>
                </c:pt>
                <c:pt idx="13">
                  <c:v>41465</c:v>
                </c:pt>
                <c:pt idx="14">
                  <c:v>41464</c:v>
                </c:pt>
                <c:pt idx="15">
                  <c:v>41463</c:v>
                </c:pt>
                <c:pt idx="16">
                  <c:v>41460</c:v>
                </c:pt>
                <c:pt idx="17">
                  <c:v>41459</c:v>
                </c:pt>
                <c:pt idx="18">
                  <c:v>41458</c:v>
                </c:pt>
                <c:pt idx="19">
                  <c:v>41457</c:v>
                </c:pt>
                <c:pt idx="20">
                  <c:v>41456</c:v>
                </c:pt>
                <c:pt idx="21">
                  <c:v>41453</c:v>
                </c:pt>
                <c:pt idx="22">
                  <c:v>41452</c:v>
                </c:pt>
                <c:pt idx="23">
                  <c:v>41451</c:v>
                </c:pt>
                <c:pt idx="24">
                  <c:v>41450</c:v>
                </c:pt>
                <c:pt idx="25">
                  <c:v>41449</c:v>
                </c:pt>
                <c:pt idx="26">
                  <c:v>41446</c:v>
                </c:pt>
                <c:pt idx="27">
                  <c:v>41445</c:v>
                </c:pt>
                <c:pt idx="28">
                  <c:v>41444</c:v>
                </c:pt>
                <c:pt idx="29">
                  <c:v>41443</c:v>
                </c:pt>
                <c:pt idx="30">
                  <c:v>41442</c:v>
                </c:pt>
                <c:pt idx="31">
                  <c:v>41439</c:v>
                </c:pt>
                <c:pt idx="32">
                  <c:v>41438</c:v>
                </c:pt>
                <c:pt idx="33">
                  <c:v>41437</c:v>
                </c:pt>
                <c:pt idx="34">
                  <c:v>41436</c:v>
                </c:pt>
                <c:pt idx="35">
                  <c:v>41435</c:v>
                </c:pt>
                <c:pt idx="36">
                  <c:v>41432</c:v>
                </c:pt>
                <c:pt idx="37">
                  <c:v>41430</c:v>
                </c:pt>
                <c:pt idx="38">
                  <c:v>41429</c:v>
                </c:pt>
                <c:pt idx="39">
                  <c:v>41428</c:v>
                </c:pt>
                <c:pt idx="40">
                  <c:v>41425</c:v>
                </c:pt>
                <c:pt idx="41">
                  <c:v>41424</c:v>
                </c:pt>
                <c:pt idx="42">
                  <c:v>41423</c:v>
                </c:pt>
                <c:pt idx="43">
                  <c:v>41422</c:v>
                </c:pt>
                <c:pt idx="44">
                  <c:v>41421</c:v>
                </c:pt>
                <c:pt idx="45">
                  <c:v>41418</c:v>
                </c:pt>
                <c:pt idx="46">
                  <c:v>41417</c:v>
                </c:pt>
                <c:pt idx="47">
                  <c:v>41416</c:v>
                </c:pt>
                <c:pt idx="48">
                  <c:v>41415</c:v>
                </c:pt>
                <c:pt idx="49">
                  <c:v>41414</c:v>
                </c:pt>
                <c:pt idx="50">
                  <c:v>41410</c:v>
                </c:pt>
                <c:pt idx="51">
                  <c:v>41409</c:v>
                </c:pt>
                <c:pt idx="52">
                  <c:v>41408</c:v>
                </c:pt>
                <c:pt idx="53">
                  <c:v>41407</c:v>
                </c:pt>
                <c:pt idx="54">
                  <c:v>41404</c:v>
                </c:pt>
                <c:pt idx="55">
                  <c:v>41403</c:v>
                </c:pt>
                <c:pt idx="56">
                  <c:v>41402</c:v>
                </c:pt>
                <c:pt idx="57">
                  <c:v>41401</c:v>
                </c:pt>
                <c:pt idx="58">
                  <c:v>41400</c:v>
                </c:pt>
                <c:pt idx="59">
                  <c:v>41397</c:v>
                </c:pt>
                <c:pt idx="60">
                  <c:v>41396</c:v>
                </c:pt>
                <c:pt idx="61">
                  <c:v>41394</c:v>
                </c:pt>
                <c:pt idx="62">
                  <c:v>41393</c:v>
                </c:pt>
                <c:pt idx="63">
                  <c:v>41390</c:v>
                </c:pt>
                <c:pt idx="64">
                  <c:v>41389</c:v>
                </c:pt>
                <c:pt idx="65">
                  <c:v>41388</c:v>
                </c:pt>
                <c:pt idx="66">
                  <c:v>41387</c:v>
                </c:pt>
                <c:pt idx="67">
                  <c:v>41386</c:v>
                </c:pt>
                <c:pt idx="68">
                  <c:v>41383</c:v>
                </c:pt>
                <c:pt idx="69">
                  <c:v>41382</c:v>
                </c:pt>
                <c:pt idx="70">
                  <c:v>41381</c:v>
                </c:pt>
                <c:pt idx="71">
                  <c:v>41380</c:v>
                </c:pt>
                <c:pt idx="72">
                  <c:v>41379</c:v>
                </c:pt>
                <c:pt idx="73">
                  <c:v>41376</c:v>
                </c:pt>
                <c:pt idx="74">
                  <c:v>41375</c:v>
                </c:pt>
                <c:pt idx="75">
                  <c:v>41374</c:v>
                </c:pt>
                <c:pt idx="76">
                  <c:v>41373</c:v>
                </c:pt>
                <c:pt idx="77">
                  <c:v>41372</c:v>
                </c:pt>
                <c:pt idx="78">
                  <c:v>41369</c:v>
                </c:pt>
                <c:pt idx="79">
                  <c:v>41368</c:v>
                </c:pt>
                <c:pt idx="80">
                  <c:v>41367</c:v>
                </c:pt>
                <c:pt idx="81">
                  <c:v>41366</c:v>
                </c:pt>
                <c:pt idx="82">
                  <c:v>41365</c:v>
                </c:pt>
                <c:pt idx="83">
                  <c:v>41362</c:v>
                </c:pt>
              </c:numCache>
            </c:numRef>
          </c:cat>
          <c:val>
            <c:numRef>
              <c:f>최종!$AI$25:$AI$109</c:f>
              <c:numCache>
                <c:formatCode>_-* #,##0.00_-;\-* #,##0.00_-;_-* "-"_-;_-@_-</c:formatCode>
                <c:ptCount val="85"/>
                <c:pt idx="0">
                  <c:v>200.36</c:v>
                </c:pt>
                <c:pt idx="1">
                  <c:v>185.1</c:v>
                </c:pt>
                <c:pt idx="2">
                  <c:v>186.23</c:v>
                </c:pt>
                <c:pt idx="3">
                  <c:v>170.78</c:v>
                </c:pt>
                <c:pt idx="4">
                  <c:v>175.27</c:v>
                </c:pt>
                <c:pt idx="5">
                  <c:v>172.34</c:v>
                </c:pt>
                <c:pt idx="6">
                  <c:v>176.07</c:v>
                </c:pt>
                <c:pt idx="7">
                  <c:v>176.11</c:v>
                </c:pt>
                <c:pt idx="8">
                  <c:v>159.66</c:v>
                </c:pt>
                <c:pt idx="9">
                  <c:v>151.97999999999999</c:v>
                </c:pt>
                <c:pt idx="10">
                  <c:v>151.52000000000001</c:v>
                </c:pt>
                <c:pt idx="11">
                  <c:v>156.19999999999999</c:v>
                </c:pt>
                <c:pt idx="12">
                  <c:v>159.72999999999999</c:v>
                </c:pt>
                <c:pt idx="13">
                  <c:v>143.30000000000001</c:v>
                </c:pt>
                <c:pt idx="14">
                  <c:v>142.34</c:v>
                </c:pt>
                <c:pt idx="15">
                  <c:v>121.74</c:v>
                </c:pt>
                <c:pt idx="16">
                  <c:v>126.1</c:v>
                </c:pt>
                <c:pt idx="17">
                  <c:v>118.41</c:v>
                </c:pt>
                <c:pt idx="18">
                  <c:v>114.6</c:v>
                </c:pt>
                <c:pt idx="19">
                  <c:v>108.54</c:v>
                </c:pt>
                <c:pt idx="20">
                  <c:v>110.25</c:v>
                </c:pt>
                <c:pt idx="21">
                  <c:v>112.38</c:v>
                </c:pt>
                <c:pt idx="22">
                  <c:v>109.99</c:v>
                </c:pt>
                <c:pt idx="23">
                  <c:v>114.19</c:v>
                </c:pt>
                <c:pt idx="24">
                  <c:v>114.7</c:v>
                </c:pt>
                <c:pt idx="25">
                  <c:v>100.05</c:v>
                </c:pt>
                <c:pt idx="26">
                  <c:v>122.71</c:v>
                </c:pt>
                <c:pt idx="27">
                  <c:v>120.83</c:v>
                </c:pt>
                <c:pt idx="28">
                  <c:v>88.64</c:v>
                </c:pt>
                <c:pt idx="29">
                  <c:v>87.25</c:v>
                </c:pt>
                <c:pt idx="30">
                  <c:v>86.79</c:v>
                </c:pt>
                <c:pt idx="31">
                  <c:v>81.89</c:v>
                </c:pt>
                <c:pt idx="32">
                  <c:v>90.75</c:v>
                </c:pt>
                <c:pt idx="33">
                  <c:v>93.22</c:v>
                </c:pt>
                <c:pt idx="34">
                  <c:v>91.14</c:v>
                </c:pt>
                <c:pt idx="35">
                  <c:v>89.35</c:v>
                </c:pt>
                <c:pt idx="36">
                  <c:v>87.21</c:v>
                </c:pt>
                <c:pt idx="37">
                  <c:v>87.04</c:v>
                </c:pt>
                <c:pt idx="38">
                  <c:v>88.71</c:v>
                </c:pt>
                <c:pt idx="39">
                  <c:v>87.42</c:v>
                </c:pt>
                <c:pt idx="40">
                  <c:v>84.85</c:v>
                </c:pt>
                <c:pt idx="41">
                  <c:v>83.78</c:v>
                </c:pt>
                <c:pt idx="42">
                  <c:v>81.56</c:v>
                </c:pt>
                <c:pt idx="43">
                  <c:v>69.81</c:v>
                </c:pt>
                <c:pt idx="44">
                  <c:v>70.98</c:v>
                </c:pt>
                <c:pt idx="45">
                  <c:v>76.69</c:v>
                </c:pt>
                <c:pt idx="46">
                  <c:v>78.05</c:v>
                </c:pt>
                <c:pt idx="47">
                  <c:v>73.13</c:v>
                </c:pt>
                <c:pt idx="48">
                  <c:v>73.400000000000006</c:v>
                </c:pt>
                <c:pt idx="49">
                  <c:v>71.88</c:v>
                </c:pt>
                <c:pt idx="50">
                  <c:v>77.319999999999993</c:v>
                </c:pt>
                <c:pt idx="51">
                  <c:v>74.489999999999995</c:v>
                </c:pt>
                <c:pt idx="52">
                  <c:v>77.069999999999993</c:v>
                </c:pt>
                <c:pt idx="53">
                  <c:v>73.59</c:v>
                </c:pt>
                <c:pt idx="54">
                  <c:v>72.78</c:v>
                </c:pt>
                <c:pt idx="55">
                  <c:v>73.27</c:v>
                </c:pt>
                <c:pt idx="56">
                  <c:v>63.14</c:v>
                </c:pt>
                <c:pt idx="57">
                  <c:v>54.97</c:v>
                </c:pt>
                <c:pt idx="58">
                  <c:v>54.31</c:v>
                </c:pt>
                <c:pt idx="59">
                  <c:v>56.26</c:v>
                </c:pt>
                <c:pt idx="60">
                  <c:v>56.13</c:v>
                </c:pt>
                <c:pt idx="61">
                  <c:v>47</c:v>
                </c:pt>
                <c:pt idx="62">
                  <c:v>36.270000000000003</c:v>
                </c:pt>
                <c:pt idx="63">
                  <c:v>36.04</c:v>
                </c:pt>
                <c:pt idx="64">
                  <c:v>39.04</c:v>
                </c:pt>
                <c:pt idx="65">
                  <c:v>38.42</c:v>
                </c:pt>
                <c:pt idx="66">
                  <c:v>39.630000000000003</c:v>
                </c:pt>
                <c:pt idx="67">
                  <c:v>39.42</c:v>
                </c:pt>
                <c:pt idx="68">
                  <c:v>45.34</c:v>
                </c:pt>
                <c:pt idx="69">
                  <c:v>46.39</c:v>
                </c:pt>
                <c:pt idx="70">
                  <c:v>49.18</c:v>
                </c:pt>
                <c:pt idx="71">
                  <c:v>47.04</c:v>
                </c:pt>
                <c:pt idx="72">
                  <c:v>46.45</c:v>
                </c:pt>
                <c:pt idx="73">
                  <c:v>44.1</c:v>
                </c:pt>
                <c:pt idx="74">
                  <c:v>41.09</c:v>
                </c:pt>
                <c:pt idx="75">
                  <c:v>38.020000000000003</c:v>
                </c:pt>
                <c:pt idx="76">
                  <c:v>28.14</c:v>
                </c:pt>
                <c:pt idx="77">
                  <c:v>27.72</c:v>
                </c:pt>
                <c:pt idx="78">
                  <c:v>24.26</c:v>
                </c:pt>
                <c:pt idx="79">
                  <c:v>28.28</c:v>
                </c:pt>
                <c:pt idx="80">
                  <c:v>28.5</c:v>
                </c:pt>
                <c:pt idx="81">
                  <c:v>27.57</c:v>
                </c:pt>
                <c:pt idx="82">
                  <c:v>27.68</c:v>
                </c:pt>
                <c:pt idx="83">
                  <c:v>28.4</c:v>
                </c:pt>
                <c:pt idx="8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A2-4264-8FCA-5F5A6D141F0D}"/>
            </c:ext>
          </c:extLst>
        </c:ser>
        <c:ser>
          <c:idx val="2"/>
          <c:order val="2"/>
          <c:tx>
            <c:strRef>
              <c:f>최종!$AJ$24</c:f>
              <c:strCache>
                <c:ptCount val="1"/>
                <c:pt idx="0">
                  <c:v>기관순매수</c:v>
                </c:pt>
              </c:strCache>
            </c:strRef>
          </c:tx>
          <c:spPr>
            <a:ln w="19050">
              <a:solidFill>
                <a:schemeClr val="accent6">
                  <a:lumMod val="50000"/>
                </a:schemeClr>
              </a:solidFill>
              <a:prstDash val="sysDot"/>
            </a:ln>
          </c:spPr>
          <c:marker>
            <c:symbol val="none"/>
          </c:marker>
          <c:cat>
            <c:numRef>
              <c:f>최종!$AB$25:$AB$109</c:f>
              <c:numCache>
                <c:formatCode>m/d/yyyy</c:formatCode>
                <c:ptCount val="85"/>
                <c:pt idx="0">
                  <c:v>41484</c:v>
                </c:pt>
                <c:pt idx="1">
                  <c:v>41481</c:v>
                </c:pt>
                <c:pt idx="2">
                  <c:v>41480</c:v>
                </c:pt>
                <c:pt idx="3">
                  <c:v>41479</c:v>
                </c:pt>
                <c:pt idx="4">
                  <c:v>41478</c:v>
                </c:pt>
                <c:pt idx="5">
                  <c:v>41477</c:v>
                </c:pt>
                <c:pt idx="6">
                  <c:v>41474</c:v>
                </c:pt>
                <c:pt idx="7">
                  <c:v>41473</c:v>
                </c:pt>
                <c:pt idx="8">
                  <c:v>41472</c:v>
                </c:pt>
                <c:pt idx="9">
                  <c:v>41471</c:v>
                </c:pt>
                <c:pt idx="10">
                  <c:v>41470</c:v>
                </c:pt>
                <c:pt idx="11">
                  <c:v>41467</c:v>
                </c:pt>
                <c:pt idx="12">
                  <c:v>41466</c:v>
                </c:pt>
                <c:pt idx="13">
                  <c:v>41465</c:v>
                </c:pt>
                <c:pt idx="14">
                  <c:v>41464</c:v>
                </c:pt>
                <c:pt idx="15">
                  <c:v>41463</c:v>
                </c:pt>
                <c:pt idx="16">
                  <c:v>41460</c:v>
                </c:pt>
                <c:pt idx="17">
                  <c:v>41459</c:v>
                </c:pt>
                <c:pt idx="18">
                  <c:v>41458</c:v>
                </c:pt>
                <c:pt idx="19">
                  <c:v>41457</c:v>
                </c:pt>
                <c:pt idx="20">
                  <c:v>41456</c:v>
                </c:pt>
                <c:pt idx="21">
                  <c:v>41453</c:v>
                </c:pt>
                <c:pt idx="22">
                  <c:v>41452</c:v>
                </c:pt>
                <c:pt idx="23">
                  <c:v>41451</c:v>
                </c:pt>
                <c:pt idx="24">
                  <c:v>41450</c:v>
                </c:pt>
                <c:pt idx="25">
                  <c:v>41449</c:v>
                </c:pt>
                <c:pt idx="26">
                  <c:v>41446</c:v>
                </c:pt>
                <c:pt idx="27">
                  <c:v>41445</c:v>
                </c:pt>
                <c:pt idx="28">
                  <c:v>41444</c:v>
                </c:pt>
                <c:pt idx="29">
                  <c:v>41443</c:v>
                </c:pt>
                <c:pt idx="30">
                  <c:v>41442</c:v>
                </c:pt>
                <c:pt idx="31">
                  <c:v>41439</c:v>
                </c:pt>
                <c:pt idx="32">
                  <c:v>41438</c:v>
                </c:pt>
                <c:pt idx="33">
                  <c:v>41437</c:v>
                </c:pt>
                <c:pt idx="34">
                  <c:v>41436</c:v>
                </c:pt>
                <c:pt idx="35">
                  <c:v>41435</c:v>
                </c:pt>
                <c:pt idx="36">
                  <c:v>41432</c:v>
                </c:pt>
                <c:pt idx="37">
                  <c:v>41430</c:v>
                </c:pt>
                <c:pt idx="38">
                  <c:v>41429</c:v>
                </c:pt>
                <c:pt idx="39">
                  <c:v>41428</c:v>
                </c:pt>
                <c:pt idx="40">
                  <c:v>41425</c:v>
                </c:pt>
                <c:pt idx="41">
                  <c:v>41424</c:v>
                </c:pt>
                <c:pt idx="42">
                  <c:v>41423</c:v>
                </c:pt>
                <c:pt idx="43">
                  <c:v>41422</c:v>
                </c:pt>
                <c:pt idx="44">
                  <c:v>41421</c:v>
                </c:pt>
                <c:pt idx="45">
                  <c:v>41418</c:v>
                </c:pt>
                <c:pt idx="46">
                  <c:v>41417</c:v>
                </c:pt>
                <c:pt idx="47">
                  <c:v>41416</c:v>
                </c:pt>
                <c:pt idx="48">
                  <c:v>41415</c:v>
                </c:pt>
                <c:pt idx="49">
                  <c:v>41414</c:v>
                </c:pt>
                <c:pt idx="50">
                  <c:v>41410</c:v>
                </c:pt>
                <c:pt idx="51">
                  <c:v>41409</c:v>
                </c:pt>
                <c:pt idx="52">
                  <c:v>41408</c:v>
                </c:pt>
                <c:pt idx="53">
                  <c:v>41407</c:v>
                </c:pt>
                <c:pt idx="54">
                  <c:v>41404</c:v>
                </c:pt>
                <c:pt idx="55">
                  <c:v>41403</c:v>
                </c:pt>
                <c:pt idx="56">
                  <c:v>41402</c:v>
                </c:pt>
                <c:pt idx="57">
                  <c:v>41401</c:v>
                </c:pt>
                <c:pt idx="58">
                  <c:v>41400</c:v>
                </c:pt>
                <c:pt idx="59">
                  <c:v>41397</c:v>
                </c:pt>
                <c:pt idx="60">
                  <c:v>41396</c:v>
                </c:pt>
                <c:pt idx="61">
                  <c:v>41394</c:v>
                </c:pt>
                <c:pt idx="62">
                  <c:v>41393</c:v>
                </c:pt>
                <c:pt idx="63">
                  <c:v>41390</c:v>
                </c:pt>
                <c:pt idx="64">
                  <c:v>41389</c:v>
                </c:pt>
                <c:pt idx="65">
                  <c:v>41388</c:v>
                </c:pt>
                <c:pt idx="66">
                  <c:v>41387</c:v>
                </c:pt>
                <c:pt idx="67">
                  <c:v>41386</c:v>
                </c:pt>
                <c:pt idx="68">
                  <c:v>41383</c:v>
                </c:pt>
                <c:pt idx="69">
                  <c:v>41382</c:v>
                </c:pt>
                <c:pt idx="70">
                  <c:v>41381</c:v>
                </c:pt>
                <c:pt idx="71">
                  <c:v>41380</c:v>
                </c:pt>
                <c:pt idx="72">
                  <c:v>41379</c:v>
                </c:pt>
                <c:pt idx="73">
                  <c:v>41376</c:v>
                </c:pt>
                <c:pt idx="74">
                  <c:v>41375</c:v>
                </c:pt>
                <c:pt idx="75">
                  <c:v>41374</c:v>
                </c:pt>
                <c:pt idx="76">
                  <c:v>41373</c:v>
                </c:pt>
                <c:pt idx="77">
                  <c:v>41372</c:v>
                </c:pt>
                <c:pt idx="78">
                  <c:v>41369</c:v>
                </c:pt>
                <c:pt idx="79">
                  <c:v>41368</c:v>
                </c:pt>
                <c:pt idx="80">
                  <c:v>41367</c:v>
                </c:pt>
                <c:pt idx="81">
                  <c:v>41366</c:v>
                </c:pt>
                <c:pt idx="82">
                  <c:v>41365</c:v>
                </c:pt>
                <c:pt idx="83">
                  <c:v>41362</c:v>
                </c:pt>
              </c:numCache>
            </c:numRef>
          </c:cat>
          <c:val>
            <c:numRef>
              <c:f>최종!$AJ$25:$AJ$109</c:f>
              <c:numCache>
                <c:formatCode>_-* #,##0.00_-;\-* #,##0.00_-;_-* "-"_-;_-@_-</c:formatCode>
                <c:ptCount val="85"/>
                <c:pt idx="0">
                  <c:v>-35.840000000000003</c:v>
                </c:pt>
                <c:pt idx="1">
                  <c:v>-55.08</c:v>
                </c:pt>
                <c:pt idx="2">
                  <c:v>-53.39</c:v>
                </c:pt>
                <c:pt idx="3">
                  <c:v>-50.35</c:v>
                </c:pt>
                <c:pt idx="4">
                  <c:v>-47.2</c:v>
                </c:pt>
                <c:pt idx="5">
                  <c:v>-48.18</c:v>
                </c:pt>
                <c:pt idx="6">
                  <c:v>-37.08</c:v>
                </c:pt>
                <c:pt idx="7">
                  <c:v>-32.17</c:v>
                </c:pt>
                <c:pt idx="8">
                  <c:v>-30.85</c:v>
                </c:pt>
                <c:pt idx="9">
                  <c:v>-23.6</c:v>
                </c:pt>
                <c:pt idx="10">
                  <c:v>-21.12</c:v>
                </c:pt>
                <c:pt idx="11">
                  <c:v>13.92</c:v>
                </c:pt>
                <c:pt idx="12">
                  <c:v>16.75</c:v>
                </c:pt>
                <c:pt idx="13">
                  <c:v>27.12</c:v>
                </c:pt>
                <c:pt idx="14">
                  <c:v>32.15</c:v>
                </c:pt>
                <c:pt idx="15">
                  <c:v>42.17</c:v>
                </c:pt>
                <c:pt idx="16">
                  <c:v>51.3</c:v>
                </c:pt>
                <c:pt idx="17">
                  <c:v>49.63</c:v>
                </c:pt>
                <c:pt idx="18">
                  <c:v>51.68</c:v>
                </c:pt>
                <c:pt idx="19">
                  <c:v>48.27</c:v>
                </c:pt>
                <c:pt idx="20">
                  <c:v>49.72</c:v>
                </c:pt>
                <c:pt idx="21">
                  <c:v>38.97</c:v>
                </c:pt>
                <c:pt idx="22">
                  <c:v>49.07</c:v>
                </c:pt>
                <c:pt idx="23">
                  <c:v>51.01</c:v>
                </c:pt>
                <c:pt idx="24">
                  <c:v>50.67</c:v>
                </c:pt>
                <c:pt idx="25">
                  <c:v>50.96</c:v>
                </c:pt>
                <c:pt idx="26">
                  <c:v>70.22</c:v>
                </c:pt>
                <c:pt idx="27">
                  <c:v>74.31</c:v>
                </c:pt>
                <c:pt idx="28">
                  <c:v>62.14</c:v>
                </c:pt>
                <c:pt idx="29">
                  <c:v>56.12</c:v>
                </c:pt>
                <c:pt idx="30">
                  <c:v>57.07</c:v>
                </c:pt>
                <c:pt idx="31">
                  <c:v>30.22</c:v>
                </c:pt>
                <c:pt idx="32">
                  <c:v>17.5</c:v>
                </c:pt>
                <c:pt idx="33">
                  <c:v>-5.34</c:v>
                </c:pt>
                <c:pt idx="34">
                  <c:v>-9.5500000000000007</c:v>
                </c:pt>
                <c:pt idx="35">
                  <c:v>-19.61</c:v>
                </c:pt>
                <c:pt idx="36">
                  <c:v>-29.23</c:v>
                </c:pt>
                <c:pt idx="37">
                  <c:v>-44.24</c:v>
                </c:pt>
                <c:pt idx="38">
                  <c:v>-42.1</c:v>
                </c:pt>
                <c:pt idx="39">
                  <c:v>-40.119999999999997</c:v>
                </c:pt>
                <c:pt idx="40">
                  <c:v>-55.07</c:v>
                </c:pt>
                <c:pt idx="41">
                  <c:v>-58.33</c:v>
                </c:pt>
                <c:pt idx="42">
                  <c:v>-75.23</c:v>
                </c:pt>
                <c:pt idx="43">
                  <c:v>-61.06</c:v>
                </c:pt>
                <c:pt idx="44">
                  <c:v>-64.62</c:v>
                </c:pt>
                <c:pt idx="45">
                  <c:v>-56.78</c:v>
                </c:pt>
                <c:pt idx="46">
                  <c:v>-51.41</c:v>
                </c:pt>
                <c:pt idx="47">
                  <c:v>-49.85</c:v>
                </c:pt>
                <c:pt idx="48">
                  <c:v>-56.36</c:v>
                </c:pt>
                <c:pt idx="49">
                  <c:v>-59.59</c:v>
                </c:pt>
                <c:pt idx="50">
                  <c:v>-34.549999999999997</c:v>
                </c:pt>
                <c:pt idx="51">
                  <c:v>2.04</c:v>
                </c:pt>
                <c:pt idx="52">
                  <c:v>27.06</c:v>
                </c:pt>
                <c:pt idx="53">
                  <c:v>36.5</c:v>
                </c:pt>
                <c:pt idx="54">
                  <c:v>47.14</c:v>
                </c:pt>
                <c:pt idx="55">
                  <c:v>47</c:v>
                </c:pt>
                <c:pt idx="56">
                  <c:v>54.39</c:v>
                </c:pt>
                <c:pt idx="57">
                  <c:v>55.11</c:v>
                </c:pt>
                <c:pt idx="58">
                  <c:v>59.84</c:v>
                </c:pt>
                <c:pt idx="59">
                  <c:v>83.09</c:v>
                </c:pt>
                <c:pt idx="60">
                  <c:v>98.95</c:v>
                </c:pt>
                <c:pt idx="61">
                  <c:v>107.54</c:v>
                </c:pt>
                <c:pt idx="62">
                  <c:v>127.94</c:v>
                </c:pt>
                <c:pt idx="63">
                  <c:v>123.21</c:v>
                </c:pt>
                <c:pt idx="64">
                  <c:v>118.26</c:v>
                </c:pt>
                <c:pt idx="65">
                  <c:v>118.67</c:v>
                </c:pt>
                <c:pt idx="66">
                  <c:v>113.4</c:v>
                </c:pt>
                <c:pt idx="67">
                  <c:v>105.09</c:v>
                </c:pt>
                <c:pt idx="68">
                  <c:v>110.32</c:v>
                </c:pt>
                <c:pt idx="69">
                  <c:v>108.84</c:v>
                </c:pt>
                <c:pt idx="70">
                  <c:v>107.49</c:v>
                </c:pt>
                <c:pt idx="71">
                  <c:v>93.07</c:v>
                </c:pt>
                <c:pt idx="72">
                  <c:v>71.36</c:v>
                </c:pt>
                <c:pt idx="73">
                  <c:v>55.77</c:v>
                </c:pt>
                <c:pt idx="74">
                  <c:v>49.73</c:v>
                </c:pt>
                <c:pt idx="75">
                  <c:v>47.56</c:v>
                </c:pt>
                <c:pt idx="76">
                  <c:v>49.85</c:v>
                </c:pt>
                <c:pt idx="77">
                  <c:v>49.59</c:v>
                </c:pt>
                <c:pt idx="78">
                  <c:v>50.05</c:v>
                </c:pt>
                <c:pt idx="79">
                  <c:v>39.51</c:v>
                </c:pt>
                <c:pt idx="80">
                  <c:v>33.92</c:v>
                </c:pt>
                <c:pt idx="81">
                  <c:v>27.22</c:v>
                </c:pt>
                <c:pt idx="82">
                  <c:v>25.5</c:v>
                </c:pt>
                <c:pt idx="83">
                  <c:v>24.69</c:v>
                </c:pt>
                <c:pt idx="8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A2-4264-8FCA-5F5A6D141F0D}"/>
            </c:ext>
          </c:extLst>
        </c:ser>
        <c:ser>
          <c:idx val="3"/>
          <c:order val="3"/>
          <c:tx>
            <c:strRef>
              <c:f>최종!$AK$24</c:f>
              <c:strCache>
                <c:ptCount val="1"/>
                <c:pt idx="0">
                  <c:v>외인순매수</c:v>
                </c:pt>
              </c:strCache>
            </c:strRef>
          </c:tx>
          <c:spPr>
            <a:ln w="19050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최종!$AK$25:$AK$109</c:f>
              <c:numCache>
                <c:formatCode>_-* #,##0.00_-;\-* #,##0.00_-;_-* "-"_-;_-@_-</c:formatCode>
                <c:ptCount val="85"/>
                <c:pt idx="0">
                  <c:v>68.33</c:v>
                </c:pt>
                <c:pt idx="1">
                  <c:v>73.05</c:v>
                </c:pt>
                <c:pt idx="2">
                  <c:v>76.61</c:v>
                </c:pt>
                <c:pt idx="3">
                  <c:v>78.42</c:v>
                </c:pt>
                <c:pt idx="4">
                  <c:v>80.38</c:v>
                </c:pt>
                <c:pt idx="5">
                  <c:v>76.33</c:v>
                </c:pt>
                <c:pt idx="6">
                  <c:v>77.709999999999994</c:v>
                </c:pt>
                <c:pt idx="7">
                  <c:v>75.44</c:v>
                </c:pt>
                <c:pt idx="8">
                  <c:v>70.66</c:v>
                </c:pt>
                <c:pt idx="9">
                  <c:v>62.54</c:v>
                </c:pt>
                <c:pt idx="10">
                  <c:v>61.07</c:v>
                </c:pt>
                <c:pt idx="11">
                  <c:v>49.29</c:v>
                </c:pt>
                <c:pt idx="12">
                  <c:v>54.26</c:v>
                </c:pt>
                <c:pt idx="13">
                  <c:v>51.06</c:v>
                </c:pt>
                <c:pt idx="14">
                  <c:v>50.7</c:v>
                </c:pt>
                <c:pt idx="15">
                  <c:v>47.97</c:v>
                </c:pt>
                <c:pt idx="16">
                  <c:v>50.61</c:v>
                </c:pt>
                <c:pt idx="17">
                  <c:v>35.57</c:v>
                </c:pt>
                <c:pt idx="18">
                  <c:v>23.95</c:v>
                </c:pt>
                <c:pt idx="19">
                  <c:v>17.559999999999999</c:v>
                </c:pt>
                <c:pt idx="20">
                  <c:v>15.3</c:v>
                </c:pt>
                <c:pt idx="21">
                  <c:v>23.71</c:v>
                </c:pt>
                <c:pt idx="22">
                  <c:v>14.27</c:v>
                </c:pt>
                <c:pt idx="23">
                  <c:v>9.5</c:v>
                </c:pt>
                <c:pt idx="24">
                  <c:v>8.34</c:v>
                </c:pt>
                <c:pt idx="25">
                  <c:v>4.2699999999999996</c:v>
                </c:pt>
                <c:pt idx="26">
                  <c:v>-5.37</c:v>
                </c:pt>
                <c:pt idx="27">
                  <c:v>-10.5</c:v>
                </c:pt>
                <c:pt idx="28">
                  <c:v>-7.67</c:v>
                </c:pt>
                <c:pt idx="29">
                  <c:v>-4.87</c:v>
                </c:pt>
                <c:pt idx="30">
                  <c:v>-4.04</c:v>
                </c:pt>
                <c:pt idx="31">
                  <c:v>7.26</c:v>
                </c:pt>
                <c:pt idx="32">
                  <c:v>25.08</c:v>
                </c:pt>
                <c:pt idx="33">
                  <c:v>24.8</c:v>
                </c:pt>
                <c:pt idx="34">
                  <c:v>19.010000000000002</c:v>
                </c:pt>
                <c:pt idx="35">
                  <c:v>21.56</c:v>
                </c:pt>
                <c:pt idx="36">
                  <c:v>35.78</c:v>
                </c:pt>
                <c:pt idx="37">
                  <c:v>39.380000000000003</c:v>
                </c:pt>
                <c:pt idx="38">
                  <c:v>38.729999999999997</c:v>
                </c:pt>
                <c:pt idx="39">
                  <c:v>39.56</c:v>
                </c:pt>
                <c:pt idx="40">
                  <c:v>75.069999999999993</c:v>
                </c:pt>
                <c:pt idx="41">
                  <c:v>71.930000000000007</c:v>
                </c:pt>
                <c:pt idx="42">
                  <c:v>96.19</c:v>
                </c:pt>
                <c:pt idx="43">
                  <c:v>100.02</c:v>
                </c:pt>
                <c:pt idx="44">
                  <c:v>101.64</c:v>
                </c:pt>
                <c:pt idx="45">
                  <c:v>98.29</c:v>
                </c:pt>
                <c:pt idx="46">
                  <c:v>99.7</c:v>
                </c:pt>
                <c:pt idx="47">
                  <c:v>92.63</c:v>
                </c:pt>
                <c:pt idx="48">
                  <c:v>100.87</c:v>
                </c:pt>
                <c:pt idx="49">
                  <c:v>101.24</c:v>
                </c:pt>
                <c:pt idx="50">
                  <c:v>100.08</c:v>
                </c:pt>
                <c:pt idx="51">
                  <c:v>87.88</c:v>
                </c:pt>
                <c:pt idx="52">
                  <c:v>67.930000000000007</c:v>
                </c:pt>
                <c:pt idx="53">
                  <c:v>53.83</c:v>
                </c:pt>
                <c:pt idx="54">
                  <c:v>53.83</c:v>
                </c:pt>
                <c:pt idx="55">
                  <c:v>41.7</c:v>
                </c:pt>
                <c:pt idx="56">
                  <c:v>37.06</c:v>
                </c:pt>
                <c:pt idx="57">
                  <c:v>38.24</c:v>
                </c:pt>
                <c:pt idx="58">
                  <c:v>39.33</c:v>
                </c:pt>
                <c:pt idx="59">
                  <c:v>24.94</c:v>
                </c:pt>
                <c:pt idx="60">
                  <c:v>22.51</c:v>
                </c:pt>
                <c:pt idx="61">
                  <c:v>-12</c:v>
                </c:pt>
                <c:pt idx="62">
                  <c:v>-36.72</c:v>
                </c:pt>
                <c:pt idx="63">
                  <c:v>-42.85</c:v>
                </c:pt>
                <c:pt idx="64">
                  <c:v>-42.07</c:v>
                </c:pt>
                <c:pt idx="65">
                  <c:v>-50.11</c:v>
                </c:pt>
                <c:pt idx="66">
                  <c:v>-48.69</c:v>
                </c:pt>
                <c:pt idx="67">
                  <c:v>-45.26</c:v>
                </c:pt>
                <c:pt idx="68">
                  <c:v>-56.81</c:v>
                </c:pt>
                <c:pt idx="69">
                  <c:v>-61.02</c:v>
                </c:pt>
                <c:pt idx="70">
                  <c:v>-58.85</c:v>
                </c:pt>
                <c:pt idx="71">
                  <c:v>-59.79</c:v>
                </c:pt>
                <c:pt idx="72">
                  <c:v>-52.25</c:v>
                </c:pt>
                <c:pt idx="73">
                  <c:v>-41.52</c:v>
                </c:pt>
                <c:pt idx="74">
                  <c:v>-36.65</c:v>
                </c:pt>
                <c:pt idx="75">
                  <c:v>-41.63</c:v>
                </c:pt>
                <c:pt idx="76">
                  <c:v>-38.49</c:v>
                </c:pt>
                <c:pt idx="77">
                  <c:v>-38.880000000000003</c:v>
                </c:pt>
                <c:pt idx="78">
                  <c:v>-42.64</c:v>
                </c:pt>
                <c:pt idx="79">
                  <c:v>-34.64</c:v>
                </c:pt>
                <c:pt idx="80">
                  <c:v>-30.88</c:v>
                </c:pt>
                <c:pt idx="81">
                  <c:v>-29.71</c:v>
                </c:pt>
                <c:pt idx="82">
                  <c:v>-30.9</c:v>
                </c:pt>
                <c:pt idx="83">
                  <c:v>-29.19</c:v>
                </c:pt>
                <c:pt idx="8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A2-4264-8FCA-5F5A6D141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47616"/>
        <c:axId val="40849408"/>
      </c:lineChart>
      <c:lineChart>
        <c:grouping val="standard"/>
        <c:varyColors val="0"/>
        <c:ser>
          <c:idx val="1"/>
          <c:order val="0"/>
          <c:tx>
            <c:strRef>
              <c:f>최종!$AH$24</c:f>
              <c:strCache>
                <c:ptCount val="1"/>
                <c:pt idx="0">
                  <c:v>수정주가</c:v>
                </c:pt>
              </c:strCache>
            </c:strRef>
          </c:tx>
          <c:spPr>
            <a:ln w="22225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최종!$AB$25:$AB$109</c:f>
              <c:numCache>
                <c:formatCode>m/d/yyyy</c:formatCode>
                <c:ptCount val="85"/>
                <c:pt idx="0">
                  <c:v>41484</c:v>
                </c:pt>
                <c:pt idx="1">
                  <c:v>41481</c:v>
                </c:pt>
                <c:pt idx="2">
                  <c:v>41480</c:v>
                </c:pt>
                <c:pt idx="3">
                  <c:v>41479</c:v>
                </c:pt>
                <c:pt idx="4">
                  <c:v>41478</c:v>
                </c:pt>
                <c:pt idx="5">
                  <c:v>41477</c:v>
                </c:pt>
                <c:pt idx="6">
                  <c:v>41474</c:v>
                </c:pt>
                <c:pt idx="7">
                  <c:v>41473</c:v>
                </c:pt>
                <c:pt idx="8">
                  <c:v>41472</c:v>
                </c:pt>
                <c:pt idx="9">
                  <c:v>41471</c:v>
                </c:pt>
                <c:pt idx="10">
                  <c:v>41470</c:v>
                </c:pt>
                <c:pt idx="11">
                  <c:v>41467</c:v>
                </c:pt>
                <c:pt idx="12">
                  <c:v>41466</c:v>
                </c:pt>
                <c:pt idx="13">
                  <c:v>41465</c:v>
                </c:pt>
                <c:pt idx="14">
                  <c:v>41464</c:v>
                </c:pt>
                <c:pt idx="15">
                  <c:v>41463</c:v>
                </c:pt>
                <c:pt idx="16">
                  <c:v>41460</c:v>
                </c:pt>
                <c:pt idx="17">
                  <c:v>41459</c:v>
                </c:pt>
                <c:pt idx="18">
                  <c:v>41458</c:v>
                </c:pt>
                <c:pt idx="19">
                  <c:v>41457</c:v>
                </c:pt>
                <c:pt idx="20">
                  <c:v>41456</c:v>
                </c:pt>
                <c:pt idx="21">
                  <c:v>41453</c:v>
                </c:pt>
                <c:pt idx="22">
                  <c:v>41452</c:v>
                </c:pt>
                <c:pt idx="23">
                  <c:v>41451</c:v>
                </c:pt>
                <c:pt idx="24">
                  <c:v>41450</c:v>
                </c:pt>
                <c:pt idx="25">
                  <c:v>41449</c:v>
                </c:pt>
                <c:pt idx="26">
                  <c:v>41446</c:v>
                </c:pt>
                <c:pt idx="27">
                  <c:v>41445</c:v>
                </c:pt>
                <c:pt idx="28">
                  <c:v>41444</c:v>
                </c:pt>
                <c:pt idx="29">
                  <c:v>41443</c:v>
                </c:pt>
                <c:pt idx="30">
                  <c:v>41442</c:v>
                </c:pt>
                <c:pt idx="31">
                  <c:v>41439</c:v>
                </c:pt>
                <c:pt idx="32">
                  <c:v>41438</c:v>
                </c:pt>
                <c:pt idx="33">
                  <c:v>41437</c:v>
                </c:pt>
                <c:pt idx="34">
                  <c:v>41436</c:v>
                </c:pt>
                <c:pt idx="35">
                  <c:v>41435</c:v>
                </c:pt>
                <c:pt idx="36">
                  <c:v>41432</c:v>
                </c:pt>
                <c:pt idx="37">
                  <c:v>41430</c:v>
                </c:pt>
                <c:pt idx="38">
                  <c:v>41429</c:v>
                </c:pt>
                <c:pt idx="39">
                  <c:v>41428</c:v>
                </c:pt>
                <c:pt idx="40">
                  <c:v>41425</c:v>
                </c:pt>
                <c:pt idx="41">
                  <c:v>41424</c:v>
                </c:pt>
                <c:pt idx="42">
                  <c:v>41423</c:v>
                </c:pt>
                <c:pt idx="43">
                  <c:v>41422</c:v>
                </c:pt>
                <c:pt idx="44">
                  <c:v>41421</c:v>
                </c:pt>
                <c:pt idx="45">
                  <c:v>41418</c:v>
                </c:pt>
                <c:pt idx="46">
                  <c:v>41417</c:v>
                </c:pt>
                <c:pt idx="47">
                  <c:v>41416</c:v>
                </c:pt>
                <c:pt idx="48">
                  <c:v>41415</c:v>
                </c:pt>
                <c:pt idx="49">
                  <c:v>41414</c:v>
                </c:pt>
                <c:pt idx="50">
                  <c:v>41410</c:v>
                </c:pt>
                <c:pt idx="51">
                  <c:v>41409</c:v>
                </c:pt>
                <c:pt idx="52">
                  <c:v>41408</c:v>
                </c:pt>
                <c:pt idx="53">
                  <c:v>41407</c:v>
                </c:pt>
                <c:pt idx="54">
                  <c:v>41404</c:v>
                </c:pt>
                <c:pt idx="55">
                  <c:v>41403</c:v>
                </c:pt>
                <c:pt idx="56">
                  <c:v>41402</c:v>
                </c:pt>
                <c:pt idx="57">
                  <c:v>41401</c:v>
                </c:pt>
                <c:pt idx="58">
                  <c:v>41400</c:v>
                </c:pt>
                <c:pt idx="59">
                  <c:v>41397</c:v>
                </c:pt>
                <c:pt idx="60">
                  <c:v>41396</c:v>
                </c:pt>
                <c:pt idx="61">
                  <c:v>41394</c:v>
                </c:pt>
                <c:pt idx="62">
                  <c:v>41393</c:v>
                </c:pt>
                <c:pt idx="63">
                  <c:v>41390</c:v>
                </c:pt>
                <c:pt idx="64">
                  <c:v>41389</c:v>
                </c:pt>
                <c:pt idx="65">
                  <c:v>41388</c:v>
                </c:pt>
                <c:pt idx="66">
                  <c:v>41387</c:v>
                </c:pt>
                <c:pt idx="67">
                  <c:v>41386</c:v>
                </c:pt>
                <c:pt idx="68">
                  <c:v>41383</c:v>
                </c:pt>
                <c:pt idx="69">
                  <c:v>41382</c:v>
                </c:pt>
                <c:pt idx="70">
                  <c:v>41381</c:v>
                </c:pt>
                <c:pt idx="71">
                  <c:v>41380</c:v>
                </c:pt>
                <c:pt idx="72">
                  <c:v>41379</c:v>
                </c:pt>
                <c:pt idx="73">
                  <c:v>41376</c:v>
                </c:pt>
                <c:pt idx="74">
                  <c:v>41375</c:v>
                </c:pt>
                <c:pt idx="75">
                  <c:v>41374</c:v>
                </c:pt>
                <c:pt idx="76">
                  <c:v>41373</c:v>
                </c:pt>
                <c:pt idx="77">
                  <c:v>41372</c:v>
                </c:pt>
                <c:pt idx="78">
                  <c:v>41369</c:v>
                </c:pt>
                <c:pt idx="79">
                  <c:v>41368</c:v>
                </c:pt>
                <c:pt idx="80">
                  <c:v>41367</c:v>
                </c:pt>
                <c:pt idx="81">
                  <c:v>41366</c:v>
                </c:pt>
                <c:pt idx="82">
                  <c:v>41365</c:v>
                </c:pt>
                <c:pt idx="83">
                  <c:v>41362</c:v>
                </c:pt>
              </c:numCache>
            </c:numRef>
          </c:cat>
          <c:val>
            <c:numRef>
              <c:f>최종!$AH$25:$AH$109</c:f>
              <c:numCache>
                <c:formatCode>_(* #,##0_);_(* \(#,##0\);_(* "-"_);_(@_)</c:formatCode>
                <c:ptCount val="85"/>
                <c:pt idx="0">
                  <c:v>13200</c:v>
                </c:pt>
                <c:pt idx="1">
                  <c:v>12550</c:v>
                </c:pt>
                <c:pt idx="2">
                  <c:v>12750</c:v>
                </c:pt>
                <c:pt idx="3">
                  <c:v>12700</c:v>
                </c:pt>
                <c:pt idx="4">
                  <c:v>13050</c:v>
                </c:pt>
                <c:pt idx="5">
                  <c:v>12750</c:v>
                </c:pt>
                <c:pt idx="6">
                  <c:v>13000</c:v>
                </c:pt>
                <c:pt idx="7">
                  <c:v>13000</c:v>
                </c:pt>
                <c:pt idx="8">
                  <c:v>13000</c:v>
                </c:pt>
                <c:pt idx="9">
                  <c:v>12400</c:v>
                </c:pt>
                <c:pt idx="10">
                  <c:v>12500</c:v>
                </c:pt>
                <c:pt idx="11">
                  <c:v>12850</c:v>
                </c:pt>
                <c:pt idx="12">
                  <c:v>12500</c:v>
                </c:pt>
                <c:pt idx="13">
                  <c:v>12400</c:v>
                </c:pt>
                <c:pt idx="14">
                  <c:v>12200</c:v>
                </c:pt>
                <c:pt idx="15">
                  <c:v>12700</c:v>
                </c:pt>
                <c:pt idx="16">
                  <c:v>13250</c:v>
                </c:pt>
                <c:pt idx="17">
                  <c:v>12650</c:v>
                </c:pt>
                <c:pt idx="18">
                  <c:v>12250</c:v>
                </c:pt>
                <c:pt idx="19">
                  <c:v>11950</c:v>
                </c:pt>
                <c:pt idx="20">
                  <c:v>11800</c:v>
                </c:pt>
                <c:pt idx="21">
                  <c:v>11950</c:v>
                </c:pt>
                <c:pt idx="22">
                  <c:v>11600</c:v>
                </c:pt>
                <c:pt idx="23">
                  <c:v>11300</c:v>
                </c:pt>
                <c:pt idx="24">
                  <c:v>11500</c:v>
                </c:pt>
                <c:pt idx="25">
                  <c:v>11250</c:v>
                </c:pt>
                <c:pt idx="26">
                  <c:v>12750</c:v>
                </c:pt>
                <c:pt idx="27">
                  <c:v>12650</c:v>
                </c:pt>
                <c:pt idx="28">
                  <c:v>12850</c:v>
                </c:pt>
                <c:pt idx="29">
                  <c:v>12650</c:v>
                </c:pt>
                <c:pt idx="30">
                  <c:v>12950</c:v>
                </c:pt>
                <c:pt idx="31">
                  <c:v>12500</c:v>
                </c:pt>
                <c:pt idx="32">
                  <c:v>12900</c:v>
                </c:pt>
                <c:pt idx="33">
                  <c:v>12350</c:v>
                </c:pt>
                <c:pt idx="34">
                  <c:v>11900</c:v>
                </c:pt>
                <c:pt idx="35">
                  <c:v>11600</c:v>
                </c:pt>
                <c:pt idx="36">
                  <c:v>11350</c:v>
                </c:pt>
                <c:pt idx="37">
                  <c:v>11100</c:v>
                </c:pt>
                <c:pt idx="38">
                  <c:v>11300</c:v>
                </c:pt>
                <c:pt idx="39">
                  <c:v>11550</c:v>
                </c:pt>
                <c:pt idx="40">
                  <c:v>11700</c:v>
                </c:pt>
                <c:pt idx="41">
                  <c:v>11550</c:v>
                </c:pt>
                <c:pt idx="42">
                  <c:v>11700</c:v>
                </c:pt>
                <c:pt idx="43">
                  <c:v>12150</c:v>
                </c:pt>
                <c:pt idx="44">
                  <c:v>11950</c:v>
                </c:pt>
                <c:pt idx="45">
                  <c:v>12100</c:v>
                </c:pt>
                <c:pt idx="46">
                  <c:v>12300</c:v>
                </c:pt>
                <c:pt idx="47">
                  <c:v>11700</c:v>
                </c:pt>
                <c:pt idx="48">
                  <c:v>11950</c:v>
                </c:pt>
                <c:pt idx="49">
                  <c:v>11650</c:v>
                </c:pt>
                <c:pt idx="50">
                  <c:v>11900</c:v>
                </c:pt>
                <c:pt idx="51">
                  <c:v>12600</c:v>
                </c:pt>
                <c:pt idx="52">
                  <c:v>12650</c:v>
                </c:pt>
                <c:pt idx="53">
                  <c:v>12300</c:v>
                </c:pt>
                <c:pt idx="54">
                  <c:v>12100</c:v>
                </c:pt>
                <c:pt idx="55">
                  <c:v>11800</c:v>
                </c:pt>
                <c:pt idx="56">
                  <c:v>12000</c:v>
                </c:pt>
                <c:pt idx="57">
                  <c:v>11950</c:v>
                </c:pt>
                <c:pt idx="58">
                  <c:v>11550</c:v>
                </c:pt>
                <c:pt idx="59">
                  <c:v>11800</c:v>
                </c:pt>
                <c:pt idx="60">
                  <c:v>11950</c:v>
                </c:pt>
                <c:pt idx="61">
                  <c:v>10400</c:v>
                </c:pt>
                <c:pt idx="62">
                  <c:v>9830</c:v>
                </c:pt>
                <c:pt idx="63">
                  <c:v>9430</c:v>
                </c:pt>
                <c:pt idx="64">
                  <c:v>9310</c:v>
                </c:pt>
                <c:pt idx="65">
                  <c:v>9400</c:v>
                </c:pt>
                <c:pt idx="66">
                  <c:v>9410</c:v>
                </c:pt>
                <c:pt idx="67">
                  <c:v>9330</c:v>
                </c:pt>
                <c:pt idx="68">
                  <c:v>9270</c:v>
                </c:pt>
                <c:pt idx="69">
                  <c:v>9030</c:v>
                </c:pt>
                <c:pt idx="70">
                  <c:v>9360</c:v>
                </c:pt>
                <c:pt idx="71">
                  <c:v>8910</c:v>
                </c:pt>
                <c:pt idx="72">
                  <c:v>8730</c:v>
                </c:pt>
                <c:pt idx="73">
                  <c:v>8480</c:v>
                </c:pt>
                <c:pt idx="74">
                  <c:v>8490</c:v>
                </c:pt>
                <c:pt idx="75">
                  <c:v>8080</c:v>
                </c:pt>
                <c:pt idx="76">
                  <c:v>8510</c:v>
                </c:pt>
                <c:pt idx="77">
                  <c:v>8580</c:v>
                </c:pt>
                <c:pt idx="78">
                  <c:v>8340</c:v>
                </c:pt>
                <c:pt idx="79">
                  <c:v>8340</c:v>
                </c:pt>
                <c:pt idx="80">
                  <c:v>8310</c:v>
                </c:pt>
                <c:pt idx="81">
                  <c:v>8090</c:v>
                </c:pt>
                <c:pt idx="82">
                  <c:v>8030</c:v>
                </c:pt>
                <c:pt idx="83">
                  <c:v>8160</c:v>
                </c:pt>
                <c:pt idx="8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A2-4264-8FCA-5F5A6D141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52480"/>
        <c:axId val="40850944"/>
      </c:lineChart>
      <c:dateAx>
        <c:axId val="40847616"/>
        <c:scaling>
          <c:orientation val="minMax"/>
        </c:scaling>
        <c:delete val="0"/>
        <c:axPos val="b"/>
        <c:numFmt formatCode="mm&quot;/&quot;dd;@" sourceLinked="0"/>
        <c:majorTickMark val="none"/>
        <c:minorTickMark val="none"/>
        <c:tickLblPos val="low"/>
        <c:txPr>
          <a:bodyPr/>
          <a:lstStyle/>
          <a:p>
            <a:pPr>
              <a:defRPr sz="900"/>
            </a:pPr>
            <a:endParaRPr lang="ko-KR"/>
          </a:p>
        </c:txPr>
        <c:crossAx val="40849408"/>
        <c:crosses val="autoZero"/>
        <c:auto val="0"/>
        <c:lblOffset val="100"/>
        <c:baseTimeUnit val="days"/>
        <c:majorUnit val="15"/>
        <c:majorTimeUnit val="days"/>
        <c:minorUnit val="1"/>
        <c:minorTimeUnit val="days"/>
      </c:dateAx>
      <c:valAx>
        <c:axId val="40849408"/>
        <c:scaling>
          <c:orientation val="minMax"/>
        </c:scaling>
        <c:delete val="0"/>
        <c:axPos val="l"/>
        <c:numFmt formatCode="_-* #,##0.00_-;\-* #,##0.00_-;_-* &quot;-&quot;_-;_-@_-" sourceLinked="1"/>
        <c:majorTickMark val="none"/>
        <c:minorTickMark val="none"/>
        <c:tickLblPos val="nextTo"/>
        <c:crossAx val="40847616"/>
        <c:crosses val="autoZero"/>
        <c:crossBetween val="between"/>
      </c:valAx>
      <c:valAx>
        <c:axId val="40850944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40852480"/>
        <c:crosses val="max"/>
        <c:crossBetween val="between"/>
      </c:valAx>
      <c:dateAx>
        <c:axId val="4085248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0850944"/>
        <c:crosses val="autoZero"/>
        <c:auto val="1"/>
        <c:lblOffset val="100"/>
        <c:baseTimeUnit val="days"/>
      </c:dateAx>
    </c:plotArea>
    <c:legend>
      <c:legendPos val="t"/>
      <c:overlay val="0"/>
      <c:txPr>
        <a:bodyPr/>
        <a:lstStyle/>
        <a:p>
          <a:pPr>
            <a:defRPr sz="800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000000000000555" l="0.70000000000000062" r="0.70000000000000062" t="0.750000000000005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최종!$O$24</c:f>
              <c:strCache>
                <c:ptCount val="1"/>
                <c:pt idx="0">
                  <c:v>OP 컨센서스 1W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 w="22225"/>
            </c:spPr>
          </c:marker>
          <c:xVal>
            <c:numRef>
              <c:f>최종!$L$25:$L$70</c:f>
              <c:numCache>
                <c:formatCode>m/d/yyyy</c:formatCode>
                <c:ptCount val="46"/>
                <c:pt idx="0">
                  <c:v>41484</c:v>
                </c:pt>
                <c:pt idx="1">
                  <c:v>41484</c:v>
                </c:pt>
                <c:pt idx="2">
                  <c:v>41481</c:v>
                </c:pt>
                <c:pt idx="3">
                  <c:v>41474</c:v>
                </c:pt>
                <c:pt idx="4">
                  <c:v>41474</c:v>
                </c:pt>
                <c:pt idx="5">
                  <c:v>41474</c:v>
                </c:pt>
                <c:pt idx="6">
                  <c:v>41474</c:v>
                </c:pt>
                <c:pt idx="7">
                  <c:v>41474</c:v>
                </c:pt>
                <c:pt idx="8">
                  <c:v>41474</c:v>
                </c:pt>
                <c:pt idx="9">
                  <c:v>41473</c:v>
                </c:pt>
                <c:pt idx="10">
                  <c:v>41473</c:v>
                </c:pt>
                <c:pt idx="11">
                  <c:v>41472</c:v>
                </c:pt>
                <c:pt idx="12">
                  <c:v>41471</c:v>
                </c:pt>
                <c:pt idx="13">
                  <c:v>41467</c:v>
                </c:pt>
                <c:pt idx="14">
                  <c:v>41464</c:v>
                </c:pt>
                <c:pt idx="15">
                  <c:v>41460</c:v>
                </c:pt>
                <c:pt idx="16">
                  <c:v>41457</c:v>
                </c:pt>
                <c:pt idx="17">
                  <c:v>41446</c:v>
                </c:pt>
              </c:numCache>
            </c:numRef>
          </c:xVal>
          <c:yVal>
            <c:numRef>
              <c:f>최종!$O$25:$O$70</c:f>
              <c:numCache>
                <c:formatCode>0.0_ </c:formatCode>
                <c:ptCount val="46"/>
                <c:pt idx="0">
                  <c:v>145.69999999999999</c:v>
                </c:pt>
                <c:pt idx="1">
                  <c:v>156</c:v>
                </c:pt>
                <c:pt idx="2">
                  <c:v>139</c:v>
                </c:pt>
                <c:pt idx="3">
                  <c:v>145.6</c:v>
                </c:pt>
                <c:pt idx="4">
                  <c:v>145</c:v>
                </c:pt>
                <c:pt idx="5">
                  <c:v>158</c:v>
                </c:pt>
                <c:pt idx="6">
                  <c:v>146.4</c:v>
                </c:pt>
                <c:pt idx="7">
                  <c:v>144.4</c:v>
                </c:pt>
                <c:pt idx="8">
                  <c:v>154</c:v>
                </c:pt>
                <c:pt idx="9">
                  <c:v>141</c:v>
                </c:pt>
                <c:pt idx="10">
                  <c:v>148.80000000000001</c:v>
                </c:pt>
                <c:pt idx="11">
                  <c:v>147.6</c:v>
                </c:pt>
                <c:pt idx="12">
                  <c:v>145.4</c:v>
                </c:pt>
                <c:pt idx="13">
                  <c:v>142</c:v>
                </c:pt>
                <c:pt idx="14">
                  <c:v>169.2</c:v>
                </c:pt>
                <c:pt idx="15">
                  <c:v>137</c:v>
                </c:pt>
                <c:pt idx="16">
                  <c:v>152.71413999999999</c:v>
                </c:pt>
                <c:pt idx="17">
                  <c:v>155.69999999999999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34-43AB-8D2B-B4C4B16AA78F}"/>
            </c:ext>
          </c:extLst>
        </c:ser>
        <c:ser>
          <c:idx val="1"/>
          <c:order val="1"/>
          <c:tx>
            <c:strRef>
              <c:f>최종!$S$24</c:f>
              <c:strCache>
                <c:ptCount val="1"/>
                <c:pt idx="0">
                  <c:v>OP 컨센서스 2W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noFill/>
              <a:ln w="15875"/>
            </c:spPr>
          </c:marker>
          <c:xVal>
            <c:numRef>
              <c:f>최종!$P$25:$P$70</c:f>
              <c:numCache>
                <c:formatCode>m/d/yyyy</c:formatCode>
                <c:ptCount val="46"/>
                <c:pt idx="0">
                  <c:v>41470</c:v>
                </c:pt>
                <c:pt idx="1">
                  <c:v>41470</c:v>
                </c:pt>
                <c:pt idx="2">
                  <c:v>41470</c:v>
                </c:pt>
                <c:pt idx="3">
                  <c:v>41467</c:v>
                </c:pt>
                <c:pt idx="4">
                  <c:v>41467</c:v>
                </c:pt>
                <c:pt idx="5">
                  <c:v>41464</c:v>
                </c:pt>
                <c:pt idx="6">
                  <c:v>41460</c:v>
                </c:pt>
                <c:pt idx="7">
                  <c:v>41457</c:v>
                </c:pt>
                <c:pt idx="8">
                  <c:v>41457</c:v>
                </c:pt>
                <c:pt idx="9">
                  <c:v>41453</c:v>
                </c:pt>
                <c:pt idx="10">
                  <c:v>41452</c:v>
                </c:pt>
                <c:pt idx="11">
                  <c:v>41451</c:v>
                </c:pt>
                <c:pt idx="12">
                  <c:v>41450</c:v>
                </c:pt>
                <c:pt idx="13">
                  <c:v>41446</c:v>
                </c:pt>
                <c:pt idx="14">
                  <c:v>41445</c:v>
                </c:pt>
                <c:pt idx="15">
                  <c:v>41436</c:v>
                </c:pt>
                <c:pt idx="16">
                  <c:v>41435</c:v>
                </c:pt>
                <c:pt idx="17">
                  <c:v>41394</c:v>
                </c:pt>
              </c:numCache>
            </c:numRef>
          </c:xVal>
          <c:yVal>
            <c:numRef>
              <c:f>최종!$S$25:$S$70</c:f>
              <c:numCache>
                <c:formatCode>0.0_ </c:formatCode>
                <c:ptCount val="46"/>
                <c:pt idx="0">
                  <c:v>145.35978399999999</c:v>
                </c:pt>
                <c:pt idx="1">
                  <c:v>146.4</c:v>
                </c:pt>
                <c:pt idx="2">
                  <c:v>145.636055</c:v>
                </c:pt>
                <c:pt idx="3">
                  <c:v>173</c:v>
                </c:pt>
                <c:pt idx="4">
                  <c:v>142</c:v>
                </c:pt>
                <c:pt idx="5">
                  <c:v>169.2</c:v>
                </c:pt>
                <c:pt idx="6">
                  <c:v>137</c:v>
                </c:pt>
                <c:pt idx="7">
                  <c:v>161.91967</c:v>
                </c:pt>
                <c:pt idx="8">
                  <c:v>152.71413999999999</c:v>
                </c:pt>
                <c:pt idx="9">
                  <c:v>152.04295400000001</c:v>
                </c:pt>
                <c:pt idx="10">
                  <c:v>141.79224500000001</c:v>
                </c:pt>
                <c:pt idx="11">
                  <c:v>153.9</c:v>
                </c:pt>
                <c:pt idx="12">
                  <c:v>152.9</c:v>
                </c:pt>
                <c:pt idx="13">
                  <c:v>155.69999999999999</c:v>
                </c:pt>
                <c:pt idx="14">
                  <c:v>148.69999999999999</c:v>
                </c:pt>
                <c:pt idx="15">
                  <c:v>177</c:v>
                </c:pt>
                <c:pt idx="16">
                  <c:v>156</c:v>
                </c:pt>
                <c:pt idx="17">
                  <c:v>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34-43AB-8D2B-B4C4B16AA78F}"/>
            </c:ext>
          </c:extLst>
        </c:ser>
        <c:ser>
          <c:idx val="2"/>
          <c:order val="2"/>
          <c:tx>
            <c:strRef>
              <c:f>최종!$AA$24</c:f>
              <c:strCache>
                <c:ptCount val="1"/>
                <c:pt idx="0">
                  <c:v>OP 컨센서스 4W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chemeClr val="tx1">
                  <a:lumMod val="75000"/>
                  <a:lumOff val="25000"/>
                </a:schemeClr>
              </a:solidFill>
              <a:ln>
                <a:solidFill>
                  <a:schemeClr val="tx1">
                    <a:lumMod val="85000"/>
                    <a:lumOff val="15000"/>
                  </a:schemeClr>
                </a:solidFill>
              </a:ln>
            </c:spPr>
          </c:marker>
          <c:xVal>
            <c:numRef>
              <c:f>최종!$X$25:$X$70</c:f>
              <c:numCache>
                <c:formatCode>m/d/yyyy</c:formatCode>
                <c:ptCount val="46"/>
                <c:pt idx="0">
                  <c:v>41456</c:v>
                </c:pt>
                <c:pt idx="1">
                  <c:v>41456</c:v>
                </c:pt>
                <c:pt idx="2">
                  <c:v>41456</c:v>
                </c:pt>
                <c:pt idx="3">
                  <c:v>41453</c:v>
                </c:pt>
                <c:pt idx="4">
                  <c:v>41453</c:v>
                </c:pt>
                <c:pt idx="5">
                  <c:v>41453</c:v>
                </c:pt>
                <c:pt idx="6">
                  <c:v>41452</c:v>
                </c:pt>
                <c:pt idx="7">
                  <c:v>41451</c:v>
                </c:pt>
                <c:pt idx="8">
                  <c:v>41450</c:v>
                </c:pt>
                <c:pt idx="9">
                  <c:v>41446</c:v>
                </c:pt>
                <c:pt idx="10">
                  <c:v>41446</c:v>
                </c:pt>
                <c:pt idx="11">
                  <c:v>41445</c:v>
                </c:pt>
                <c:pt idx="12">
                  <c:v>41436</c:v>
                </c:pt>
                <c:pt idx="13">
                  <c:v>41435</c:v>
                </c:pt>
                <c:pt idx="14">
                  <c:v>41396</c:v>
                </c:pt>
                <c:pt idx="15">
                  <c:v>41394</c:v>
                </c:pt>
              </c:numCache>
            </c:numRef>
          </c:xVal>
          <c:yVal>
            <c:numRef>
              <c:f>최종!$AA$25:$AA$70</c:f>
              <c:numCache>
                <c:formatCode>0.0_ </c:formatCode>
                <c:ptCount val="46"/>
                <c:pt idx="0">
                  <c:v>138.02467899999999</c:v>
                </c:pt>
                <c:pt idx="1">
                  <c:v>157.6</c:v>
                </c:pt>
                <c:pt idx="2">
                  <c:v>152.71413999999999</c:v>
                </c:pt>
                <c:pt idx="3">
                  <c:v>152.04295400000001</c:v>
                </c:pt>
                <c:pt idx="4">
                  <c:v>173</c:v>
                </c:pt>
                <c:pt idx="5">
                  <c:v>189</c:v>
                </c:pt>
                <c:pt idx="6">
                  <c:v>141.79224500000001</c:v>
                </c:pt>
                <c:pt idx="7">
                  <c:v>153.9</c:v>
                </c:pt>
                <c:pt idx="8">
                  <c:v>152.9</c:v>
                </c:pt>
                <c:pt idx="9">
                  <c:v>155.69999999999999</c:v>
                </c:pt>
                <c:pt idx="10">
                  <c:v>166.18476999999999</c:v>
                </c:pt>
                <c:pt idx="11">
                  <c:v>148.69999999999999</c:v>
                </c:pt>
                <c:pt idx="12">
                  <c:v>177</c:v>
                </c:pt>
                <c:pt idx="13">
                  <c:v>156</c:v>
                </c:pt>
                <c:pt idx="14">
                  <c:v>169</c:v>
                </c:pt>
                <c:pt idx="15">
                  <c:v>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34-43AB-8D2B-B4C4B16AA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303552"/>
        <c:axId val="73305088"/>
      </c:scatterChart>
      <c:lineChart>
        <c:grouping val="standard"/>
        <c:varyColors val="0"/>
        <c:ser>
          <c:idx val="3"/>
          <c:order val="3"/>
          <c:tx>
            <c:strRef>
              <c:f>최종!$AC$24</c:f>
              <c:strCache>
                <c:ptCount val="1"/>
                <c:pt idx="0">
                  <c:v>FQ1</c:v>
                </c:pt>
              </c:strCache>
            </c:strRef>
          </c:tx>
          <c:spPr>
            <a:ln>
              <a:gradFill flip="none" rotWithShape="1">
                <a:gsLst>
                  <a:gs pos="0">
                    <a:schemeClr val="accent2">
                      <a:lumMod val="50000"/>
                    </a:schemeClr>
                  </a:gs>
                  <a:gs pos="50000">
                    <a:srgbClr val="4F81BD">
                      <a:tint val="44500"/>
                      <a:satMod val="160000"/>
                    </a:srgbClr>
                  </a:gs>
                  <a:gs pos="100000">
                    <a:srgbClr val="4F81BD">
                      <a:tint val="23500"/>
                      <a:satMod val="160000"/>
                    </a:srgbClr>
                  </a:gs>
                </a:gsLst>
                <a:lin ang="10800000" scaled="1"/>
                <a:tileRect/>
              </a:gradFill>
            </a:ln>
          </c:spPr>
          <c:marker>
            <c:symbol val="none"/>
          </c:marker>
          <c:cat>
            <c:numRef>
              <c:f>최종!$AB$25:$AB$108</c:f>
              <c:numCache>
                <c:formatCode>m/d/yyyy</c:formatCode>
                <c:ptCount val="84"/>
                <c:pt idx="0">
                  <c:v>41484</c:v>
                </c:pt>
                <c:pt idx="1">
                  <c:v>41481</c:v>
                </c:pt>
                <c:pt idx="2">
                  <c:v>41480</c:v>
                </c:pt>
                <c:pt idx="3">
                  <c:v>41479</c:v>
                </c:pt>
                <c:pt idx="4">
                  <c:v>41478</c:v>
                </c:pt>
                <c:pt idx="5">
                  <c:v>41477</c:v>
                </c:pt>
                <c:pt idx="6">
                  <c:v>41474</c:v>
                </c:pt>
                <c:pt idx="7">
                  <c:v>41473</c:v>
                </c:pt>
                <c:pt idx="8">
                  <c:v>41472</c:v>
                </c:pt>
                <c:pt idx="9">
                  <c:v>41471</c:v>
                </c:pt>
                <c:pt idx="10">
                  <c:v>41470</c:v>
                </c:pt>
                <c:pt idx="11">
                  <c:v>41467</c:v>
                </c:pt>
                <c:pt idx="12">
                  <c:v>41466</c:v>
                </c:pt>
                <c:pt idx="13">
                  <c:v>41465</c:v>
                </c:pt>
                <c:pt idx="14">
                  <c:v>41464</c:v>
                </c:pt>
                <c:pt idx="15">
                  <c:v>41463</c:v>
                </c:pt>
                <c:pt idx="16">
                  <c:v>41460</c:v>
                </c:pt>
                <c:pt idx="17">
                  <c:v>41459</c:v>
                </c:pt>
                <c:pt idx="18">
                  <c:v>41458</c:v>
                </c:pt>
                <c:pt idx="19">
                  <c:v>41457</c:v>
                </c:pt>
                <c:pt idx="20">
                  <c:v>41456</c:v>
                </c:pt>
                <c:pt idx="21">
                  <c:v>41453</c:v>
                </c:pt>
                <c:pt idx="22">
                  <c:v>41452</c:v>
                </c:pt>
                <c:pt idx="23">
                  <c:v>41451</c:v>
                </c:pt>
                <c:pt idx="24">
                  <c:v>41450</c:v>
                </c:pt>
                <c:pt idx="25">
                  <c:v>41449</c:v>
                </c:pt>
                <c:pt idx="26">
                  <c:v>41446</c:v>
                </c:pt>
                <c:pt idx="27">
                  <c:v>41445</c:v>
                </c:pt>
                <c:pt idx="28">
                  <c:v>41444</c:v>
                </c:pt>
                <c:pt idx="29">
                  <c:v>41443</c:v>
                </c:pt>
                <c:pt idx="30">
                  <c:v>41442</c:v>
                </c:pt>
                <c:pt idx="31">
                  <c:v>41439</c:v>
                </c:pt>
                <c:pt idx="32">
                  <c:v>41438</c:v>
                </c:pt>
                <c:pt idx="33">
                  <c:v>41437</c:v>
                </c:pt>
                <c:pt idx="34">
                  <c:v>41436</c:v>
                </c:pt>
                <c:pt idx="35">
                  <c:v>41435</c:v>
                </c:pt>
                <c:pt idx="36">
                  <c:v>41432</c:v>
                </c:pt>
                <c:pt idx="37">
                  <c:v>41430</c:v>
                </c:pt>
                <c:pt idx="38">
                  <c:v>41429</c:v>
                </c:pt>
                <c:pt idx="39">
                  <c:v>41428</c:v>
                </c:pt>
                <c:pt idx="40">
                  <c:v>41425</c:v>
                </c:pt>
                <c:pt idx="41">
                  <c:v>41424</c:v>
                </c:pt>
                <c:pt idx="42">
                  <c:v>41423</c:v>
                </c:pt>
                <c:pt idx="43">
                  <c:v>41422</c:v>
                </c:pt>
                <c:pt idx="44">
                  <c:v>41421</c:v>
                </c:pt>
                <c:pt idx="45">
                  <c:v>41418</c:v>
                </c:pt>
                <c:pt idx="46">
                  <c:v>41417</c:v>
                </c:pt>
                <c:pt idx="47">
                  <c:v>41416</c:v>
                </c:pt>
                <c:pt idx="48">
                  <c:v>41415</c:v>
                </c:pt>
                <c:pt idx="49">
                  <c:v>41414</c:v>
                </c:pt>
                <c:pt idx="50">
                  <c:v>41410</c:v>
                </c:pt>
                <c:pt idx="51">
                  <c:v>41409</c:v>
                </c:pt>
                <c:pt idx="52">
                  <c:v>41408</c:v>
                </c:pt>
                <c:pt idx="53">
                  <c:v>41407</c:v>
                </c:pt>
                <c:pt idx="54">
                  <c:v>41404</c:v>
                </c:pt>
                <c:pt idx="55">
                  <c:v>41403</c:v>
                </c:pt>
                <c:pt idx="56">
                  <c:v>41402</c:v>
                </c:pt>
                <c:pt idx="57">
                  <c:v>41401</c:v>
                </c:pt>
                <c:pt idx="58">
                  <c:v>41400</c:v>
                </c:pt>
                <c:pt idx="59">
                  <c:v>41397</c:v>
                </c:pt>
                <c:pt idx="60">
                  <c:v>41396</c:v>
                </c:pt>
                <c:pt idx="61">
                  <c:v>41394</c:v>
                </c:pt>
                <c:pt idx="62">
                  <c:v>41393</c:v>
                </c:pt>
                <c:pt idx="63">
                  <c:v>41390</c:v>
                </c:pt>
                <c:pt idx="64">
                  <c:v>41389</c:v>
                </c:pt>
                <c:pt idx="65">
                  <c:v>41388</c:v>
                </c:pt>
                <c:pt idx="66">
                  <c:v>41387</c:v>
                </c:pt>
                <c:pt idx="67">
                  <c:v>41386</c:v>
                </c:pt>
                <c:pt idx="68">
                  <c:v>41383</c:v>
                </c:pt>
                <c:pt idx="69">
                  <c:v>41382</c:v>
                </c:pt>
                <c:pt idx="70">
                  <c:v>41381</c:v>
                </c:pt>
                <c:pt idx="71">
                  <c:v>41380</c:v>
                </c:pt>
                <c:pt idx="72">
                  <c:v>41379</c:v>
                </c:pt>
                <c:pt idx="73">
                  <c:v>41376</c:v>
                </c:pt>
                <c:pt idx="74">
                  <c:v>41375</c:v>
                </c:pt>
                <c:pt idx="75">
                  <c:v>41374</c:v>
                </c:pt>
                <c:pt idx="76">
                  <c:v>41373</c:v>
                </c:pt>
                <c:pt idx="77">
                  <c:v>41372</c:v>
                </c:pt>
                <c:pt idx="78">
                  <c:v>41369</c:v>
                </c:pt>
                <c:pt idx="79">
                  <c:v>41368</c:v>
                </c:pt>
                <c:pt idx="80">
                  <c:v>41367</c:v>
                </c:pt>
                <c:pt idx="81">
                  <c:v>41366</c:v>
                </c:pt>
                <c:pt idx="82">
                  <c:v>41365</c:v>
                </c:pt>
                <c:pt idx="83">
                  <c:v>41362</c:v>
                </c:pt>
              </c:numCache>
            </c:numRef>
          </c:cat>
          <c:val>
            <c:numRef>
              <c:f>최종!$AC$25:$AC$108</c:f>
              <c:numCache>
                <c:formatCode>General</c:formatCode>
                <c:ptCount val="84"/>
                <c:pt idx="0">
                  <c:v>148.53</c:v>
                </c:pt>
                <c:pt idx="1">
                  <c:v>148.53</c:v>
                </c:pt>
                <c:pt idx="2">
                  <c:v>148.53</c:v>
                </c:pt>
                <c:pt idx="3">
                  <c:v>148.53</c:v>
                </c:pt>
                <c:pt idx="4">
                  <c:v>148.53</c:v>
                </c:pt>
                <c:pt idx="5">
                  <c:v>148.53</c:v>
                </c:pt>
                <c:pt idx="6">
                  <c:v>148.53</c:v>
                </c:pt>
                <c:pt idx="7">
                  <c:v>148.69999999999999</c:v>
                </c:pt>
                <c:pt idx="8">
                  <c:v>149.41999999999999</c:v>
                </c:pt>
                <c:pt idx="9">
                  <c:v>151.12</c:v>
                </c:pt>
                <c:pt idx="10">
                  <c:v>152.74</c:v>
                </c:pt>
                <c:pt idx="11">
                  <c:v>155.36000000000001</c:v>
                </c:pt>
                <c:pt idx="12">
                  <c:v>156.15</c:v>
                </c:pt>
                <c:pt idx="13">
                  <c:v>156.15</c:v>
                </c:pt>
                <c:pt idx="14">
                  <c:v>156.15</c:v>
                </c:pt>
                <c:pt idx="15">
                  <c:v>156.13</c:v>
                </c:pt>
                <c:pt idx="16">
                  <c:v>156.13</c:v>
                </c:pt>
                <c:pt idx="17">
                  <c:v>156.11000000000001</c:v>
                </c:pt>
                <c:pt idx="18">
                  <c:v>156.11000000000001</c:v>
                </c:pt>
                <c:pt idx="19">
                  <c:v>157.33000000000001</c:v>
                </c:pt>
                <c:pt idx="20">
                  <c:v>157.6</c:v>
                </c:pt>
                <c:pt idx="21">
                  <c:v>157.6</c:v>
                </c:pt>
                <c:pt idx="22">
                  <c:v>157.6</c:v>
                </c:pt>
                <c:pt idx="23">
                  <c:v>158.69</c:v>
                </c:pt>
                <c:pt idx="24">
                  <c:v>158.97</c:v>
                </c:pt>
                <c:pt idx="25">
                  <c:v>158.97</c:v>
                </c:pt>
                <c:pt idx="26">
                  <c:v>158.97</c:v>
                </c:pt>
                <c:pt idx="27">
                  <c:v>158.85</c:v>
                </c:pt>
                <c:pt idx="28">
                  <c:v>158.08000000000001</c:v>
                </c:pt>
                <c:pt idx="29">
                  <c:v>158.69999999999999</c:v>
                </c:pt>
                <c:pt idx="30">
                  <c:v>158.69999999999999</c:v>
                </c:pt>
                <c:pt idx="31">
                  <c:v>158.69999999999999</c:v>
                </c:pt>
                <c:pt idx="32">
                  <c:v>159.16</c:v>
                </c:pt>
                <c:pt idx="33">
                  <c:v>159.16</c:v>
                </c:pt>
                <c:pt idx="34">
                  <c:v>159.16</c:v>
                </c:pt>
                <c:pt idx="35">
                  <c:v>157.97</c:v>
                </c:pt>
                <c:pt idx="36">
                  <c:v>157.97</c:v>
                </c:pt>
                <c:pt idx="37">
                  <c:v>157.97</c:v>
                </c:pt>
                <c:pt idx="38">
                  <c:v>157.97</c:v>
                </c:pt>
                <c:pt idx="39">
                  <c:v>157.97999999999999</c:v>
                </c:pt>
                <c:pt idx="40">
                  <c:v>157.97999999999999</c:v>
                </c:pt>
                <c:pt idx="41">
                  <c:v>157.91999999999999</c:v>
                </c:pt>
                <c:pt idx="42">
                  <c:v>157.91999999999999</c:v>
                </c:pt>
                <c:pt idx="43">
                  <c:v>157.27000000000001</c:v>
                </c:pt>
                <c:pt idx="44">
                  <c:v>157.27000000000001</c:v>
                </c:pt>
                <c:pt idx="45">
                  <c:v>157.30000000000001</c:v>
                </c:pt>
                <c:pt idx="46">
                  <c:v>157.30000000000001</c:v>
                </c:pt>
                <c:pt idx="47">
                  <c:v>156.06</c:v>
                </c:pt>
                <c:pt idx="48">
                  <c:v>156.06</c:v>
                </c:pt>
                <c:pt idx="49">
                  <c:v>156.06</c:v>
                </c:pt>
                <c:pt idx="50">
                  <c:v>158.13999999999999</c:v>
                </c:pt>
                <c:pt idx="51">
                  <c:v>158.13999999999999</c:v>
                </c:pt>
                <c:pt idx="52">
                  <c:v>158.13999999999999</c:v>
                </c:pt>
                <c:pt idx="53">
                  <c:v>157.53</c:v>
                </c:pt>
                <c:pt idx="54">
                  <c:v>157.53</c:v>
                </c:pt>
                <c:pt idx="55">
                  <c:v>157.53</c:v>
                </c:pt>
                <c:pt idx="56">
                  <c:v>157.53</c:v>
                </c:pt>
                <c:pt idx="57">
                  <c:v>157.53</c:v>
                </c:pt>
                <c:pt idx="58">
                  <c:v>157.55000000000001</c:v>
                </c:pt>
                <c:pt idx="59">
                  <c:v>157.55000000000001</c:v>
                </c:pt>
                <c:pt idx="60">
                  <c:v>157.53</c:v>
                </c:pt>
                <c:pt idx="61">
                  <c:v>145.05000000000001</c:v>
                </c:pt>
                <c:pt idx="62">
                  <c:v>136.78</c:v>
                </c:pt>
                <c:pt idx="63">
                  <c:v>135.31</c:v>
                </c:pt>
                <c:pt idx="64">
                  <c:v>135.31</c:v>
                </c:pt>
                <c:pt idx="65">
                  <c:v>135.31</c:v>
                </c:pt>
                <c:pt idx="66">
                  <c:v>135.31</c:v>
                </c:pt>
                <c:pt idx="67">
                  <c:v>135.31</c:v>
                </c:pt>
                <c:pt idx="68">
                  <c:v>135.31</c:v>
                </c:pt>
                <c:pt idx="69">
                  <c:v>135.31</c:v>
                </c:pt>
                <c:pt idx="70">
                  <c:v>135.31</c:v>
                </c:pt>
                <c:pt idx="71">
                  <c:v>135.31</c:v>
                </c:pt>
                <c:pt idx="72">
                  <c:v>132.66999999999999</c:v>
                </c:pt>
                <c:pt idx="73">
                  <c:v>130.9</c:v>
                </c:pt>
                <c:pt idx="74">
                  <c:v>130.9</c:v>
                </c:pt>
                <c:pt idx="75">
                  <c:v>132.69999999999999</c:v>
                </c:pt>
                <c:pt idx="76">
                  <c:v>132.69999999999999</c:v>
                </c:pt>
                <c:pt idx="77">
                  <c:v>132.69999999999999</c:v>
                </c:pt>
                <c:pt idx="78">
                  <c:v>132.69999999999999</c:v>
                </c:pt>
                <c:pt idx="79">
                  <c:v>132.69999999999999</c:v>
                </c:pt>
                <c:pt idx="80">
                  <c:v>132.33000000000001</c:v>
                </c:pt>
                <c:pt idx="81">
                  <c:v>132.13</c:v>
                </c:pt>
                <c:pt idx="82">
                  <c:v>132.21</c:v>
                </c:pt>
                <c:pt idx="83">
                  <c:v>130.66999999999999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34-43AB-8D2B-B4C4B16AA78F}"/>
            </c:ext>
          </c:extLst>
        </c:ser>
        <c:ser>
          <c:idx val="4"/>
          <c:order val="4"/>
          <c:tx>
            <c:strRef>
              <c:f>최종!$AE$24</c:f>
              <c:strCache>
                <c:ptCount val="1"/>
                <c:pt idx="0">
                  <c:v>발표실적</c:v>
                </c:pt>
              </c:strCache>
            </c:strRef>
          </c:tx>
          <c:marker>
            <c:symbol val="circle"/>
            <c:size val="9"/>
            <c:spPr>
              <a:solidFill>
                <a:srgbClr val="00B050"/>
              </a:solidFill>
              <a:ln>
                <a:noFill/>
              </a:ln>
            </c:spPr>
          </c:marker>
          <c:dPt>
            <c:idx val="81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F734-43AB-8D2B-B4C4B16AA78F}"/>
              </c:ext>
            </c:extLst>
          </c:dPt>
          <c:cat>
            <c:numRef>
              <c:f>최종!$AB$25:$AB$108</c:f>
              <c:numCache>
                <c:formatCode>m/d/yyyy</c:formatCode>
                <c:ptCount val="84"/>
                <c:pt idx="0">
                  <c:v>41484</c:v>
                </c:pt>
                <c:pt idx="1">
                  <c:v>41481</c:v>
                </c:pt>
                <c:pt idx="2">
                  <c:v>41480</c:v>
                </c:pt>
                <c:pt idx="3">
                  <c:v>41479</c:v>
                </c:pt>
                <c:pt idx="4">
                  <c:v>41478</c:v>
                </c:pt>
                <c:pt idx="5">
                  <c:v>41477</c:v>
                </c:pt>
                <c:pt idx="6">
                  <c:v>41474</c:v>
                </c:pt>
                <c:pt idx="7">
                  <c:v>41473</c:v>
                </c:pt>
                <c:pt idx="8">
                  <c:v>41472</c:v>
                </c:pt>
                <c:pt idx="9">
                  <c:v>41471</c:v>
                </c:pt>
                <c:pt idx="10">
                  <c:v>41470</c:v>
                </c:pt>
                <c:pt idx="11">
                  <c:v>41467</c:v>
                </c:pt>
                <c:pt idx="12">
                  <c:v>41466</c:v>
                </c:pt>
                <c:pt idx="13">
                  <c:v>41465</c:v>
                </c:pt>
                <c:pt idx="14">
                  <c:v>41464</c:v>
                </c:pt>
                <c:pt idx="15">
                  <c:v>41463</c:v>
                </c:pt>
                <c:pt idx="16">
                  <c:v>41460</c:v>
                </c:pt>
                <c:pt idx="17">
                  <c:v>41459</c:v>
                </c:pt>
                <c:pt idx="18">
                  <c:v>41458</c:v>
                </c:pt>
                <c:pt idx="19">
                  <c:v>41457</c:v>
                </c:pt>
                <c:pt idx="20">
                  <c:v>41456</c:v>
                </c:pt>
                <c:pt idx="21">
                  <c:v>41453</c:v>
                </c:pt>
                <c:pt idx="22">
                  <c:v>41452</c:v>
                </c:pt>
                <c:pt idx="23">
                  <c:v>41451</c:v>
                </c:pt>
                <c:pt idx="24">
                  <c:v>41450</c:v>
                </c:pt>
                <c:pt idx="25">
                  <c:v>41449</c:v>
                </c:pt>
                <c:pt idx="26">
                  <c:v>41446</c:v>
                </c:pt>
                <c:pt idx="27">
                  <c:v>41445</c:v>
                </c:pt>
                <c:pt idx="28">
                  <c:v>41444</c:v>
                </c:pt>
                <c:pt idx="29">
                  <c:v>41443</c:v>
                </c:pt>
                <c:pt idx="30">
                  <c:v>41442</c:v>
                </c:pt>
                <c:pt idx="31">
                  <c:v>41439</c:v>
                </c:pt>
                <c:pt idx="32">
                  <c:v>41438</c:v>
                </c:pt>
                <c:pt idx="33">
                  <c:v>41437</c:v>
                </c:pt>
                <c:pt idx="34">
                  <c:v>41436</c:v>
                </c:pt>
                <c:pt idx="35">
                  <c:v>41435</c:v>
                </c:pt>
                <c:pt idx="36">
                  <c:v>41432</c:v>
                </c:pt>
                <c:pt idx="37">
                  <c:v>41430</c:v>
                </c:pt>
                <c:pt idx="38">
                  <c:v>41429</c:v>
                </c:pt>
                <c:pt idx="39">
                  <c:v>41428</c:v>
                </c:pt>
                <c:pt idx="40">
                  <c:v>41425</c:v>
                </c:pt>
                <c:pt idx="41">
                  <c:v>41424</c:v>
                </c:pt>
                <c:pt idx="42">
                  <c:v>41423</c:v>
                </c:pt>
                <c:pt idx="43">
                  <c:v>41422</c:v>
                </c:pt>
                <c:pt idx="44">
                  <c:v>41421</c:v>
                </c:pt>
                <c:pt idx="45">
                  <c:v>41418</c:v>
                </c:pt>
                <c:pt idx="46">
                  <c:v>41417</c:v>
                </c:pt>
                <c:pt idx="47">
                  <c:v>41416</c:v>
                </c:pt>
                <c:pt idx="48">
                  <c:v>41415</c:v>
                </c:pt>
                <c:pt idx="49">
                  <c:v>41414</c:v>
                </c:pt>
                <c:pt idx="50">
                  <c:v>41410</c:v>
                </c:pt>
                <c:pt idx="51">
                  <c:v>41409</c:v>
                </c:pt>
                <c:pt idx="52">
                  <c:v>41408</c:v>
                </c:pt>
                <c:pt idx="53">
                  <c:v>41407</c:v>
                </c:pt>
                <c:pt idx="54">
                  <c:v>41404</c:v>
                </c:pt>
                <c:pt idx="55">
                  <c:v>41403</c:v>
                </c:pt>
                <c:pt idx="56">
                  <c:v>41402</c:v>
                </c:pt>
                <c:pt idx="57">
                  <c:v>41401</c:v>
                </c:pt>
                <c:pt idx="58">
                  <c:v>41400</c:v>
                </c:pt>
                <c:pt idx="59">
                  <c:v>41397</c:v>
                </c:pt>
                <c:pt idx="60">
                  <c:v>41396</c:v>
                </c:pt>
                <c:pt idx="61">
                  <c:v>41394</c:v>
                </c:pt>
                <c:pt idx="62">
                  <c:v>41393</c:v>
                </c:pt>
                <c:pt idx="63">
                  <c:v>41390</c:v>
                </c:pt>
                <c:pt idx="64">
                  <c:v>41389</c:v>
                </c:pt>
                <c:pt idx="65">
                  <c:v>41388</c:v>
                </c:pt>
                <c:pt idx="66">
                  <c:v>41387</c:v>
                </c:pt>
                <c:pt idx="67">
                  <c:v>41386</c:v>
                </c:pt>
                <c:pt idx="68">
                  <c:v>41383</c:v>
                </c:pt>
                <c:pt idx="69">
                  <c:v>41382</c:v>
                </c:pt>
                <c:pt idx="70">
                  <c:v>41381</c:v>
                </c:pt>
                <c:pt idx="71">
                  <c:v>41380</c:v>
                </c:pt>
                <c:pt idx="72">
                  <c:v>41379</c:v>
                </c:pt>
                <c:pt idx="73">
                  <c:v>41376</c:v>
                </c:pt>
                <c:pt idx="74">
                  <c:v>41375</c:v>
                </c:pt>
                <c:pt idx="75">
                  <c:v>41374</c:v>
                </c:pt>
                <c:pt idx="76">
                  <c:v>41373</c:v>
                </c:pt>
                <c:pt idx="77">
                  <c:v>41372</c:v>
                </c:pt>
                <c:pt idx="78">
                  <c:v>41369</c:v>
                </c:pt>
                <c:pt idx="79">
                  <c:v>41368</c:v>
                </c:pt>
                <c:pt idx="80">
                  <c:v>41367</c:v>
                </c:pt>
                <c:pt idx="81">
                  <c:v>41366</c:v>
                </c:pt>
                <c:pt idx="82">
                  <c:v>41365</c:v>
                </c:pt>
                <c:pt idx="83">
                  <c:v>41362</c:v>
                </c:pt>
              </c:numCache>
            </c:numRef>
          </c:cat>
          <c:val>
            <c:numRef>
              <c:f>최종!$AE$25:$AE$108</c:f>
              <c:numCache>
                <c:formatCode>General</c:formatCode>
                <c:ptCount val="84"/>
                <c:pt idx="0" formatCode="#,##0.00_ ;[Red]\-#,##0.00\ ">
                  <c:v>144.80000000000001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734-43AB-8D2B-B4C4B16AA78F}"/>
            </c:ext>
          </c:extLst>
        </c:ser>
        <c:ser>
          <c:idx val="5"/>
          <c:order val="5"/>
          <c:tx>
            <c:strRef>
              <c:f>최종!$AD$24</c:f>
              <c:strCache>
                <c:ptCount val="1"/>
                <c:pt idx="0">
                  <c:v>FQ2</c:v>
                </c:pt>
              </c:strCache>
            </c:strRef>
          </c:tx>
          <c:spPr>
            <a:ln>
              <a:gradFill flip="none" rotWithShape="1">
                <a:gsLst>
                  <a:gs pos="0">
                    <a:schemeClr val="accent3">
                      <a:lumMod val="5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10800000" scaled="1"/>
                <a:tileRect/>
              </a:gradFill>
            </a:ln>
          </c:spPr>
          <c:marker>
            <c:symbol val="none"/>
          </c:marker>
          <c:cat>
            <c:numRef>
              <c:f>최종!$AB$25:$AB$108</c:f>
              <c:numCache>
                <c:formatCode>m/d/yyyy</c:formatCode>
                <c:ptCount val="84"/>
                <c:pt idx="0">
                  <c:v>41484</c:v>
                </c:pt>
                <c:pt idx="1">
                  <c:v>41481</c:v>
                </c:pt>
                <c:pt idx="2">
                  <c:v>41480</c:v>
                </c:pt>
                <c:pt idx="3">
                  <c:v>41479</c:v>
                </c:pt>
                <c:pt idx="4">
                  <c:v>41478</c:v>
                </c:pt>
                <c:pt idx="5">
                  <c:v>41477</c:v>
                </c:pt>
                <c:pt idx="6">
                  <c:v>41474</c:v>
                </c:pt>
                <c:pt idx="7">
                  <c:v>41473</c:v>
                </c:pt>
                <c:pt idx="8">
                  <c:v>41472</c:v>
                </c:pt>
                <c:pt idx="9">
                  <c:v>41471</c:v>
                </c:pt>
                <c:pt idx="10">
                  <c:v>41470</c:v>
                </c:pt>
                <c:pt idx="11">
                  <c:v>41467</c:v>
                </c:pt>
                <c:pt idx="12">
                  <c:v>41466</c:v>
                </c:pt>
                <c:pt idx="13">
                  <c:v>41465</c:v>
                </c:pt>
                <c:pt idx="14">
                  <c:v>41464</c:v>
                </c:pt>
                <c:pt idx="15">
                  <c:v>41463</c:v>
                </c:pt>
                <c:pt idx="16">
                  <c:v>41460</c:v>
                </c:pt>
                <c:pt idx="17">
                  <c:v>41459</c:v>
                </c:pt>
                <c:pt idx="18">
                  <c:v>41458</c:v>
                </c:pt>
                <c:pt idx="19">
                  <c:v>41457</c:v>
                </c:pt>
                <c:pt idx="20">
                  <c:v>41456</c:v>
                </c:pt>
                <c:pt idx="21">
                  <c:v>41453</c:v>
                </c:pt>
                <c:pt idx="22">
                  <c:v>41452</c:v>
                </c:pt>
                <c:pt idx="23">
                  <c:v>41451</c:v>
                </c:pt>
                <c:pt idx="24">
                  <c:v>41450</c:v>
                </c:pt>
                <c:pt idx="25">
                  <c:v>41449</c:v>
                </c:pt>
                <c:pt idx="26">
                  <c:v>41446</c:v>
                </c:pt>
                <c:pt idx="27">
                  <c:v>41445</c:v>
                </c:pt>
                <c:pt idx="28">
                  <c:v>41444</c:v>
                </c:pt>
                <c:pt idx="29">
                  <c:v>41443</c:v>
                </c:pt>
                <c:pt idx="30">
                  <c:v>41442</c:v>
                </c:pt>
                <c:pt idx="31">
                  <c:v>41439</c:v>
                </c:pt>
                <c:pt idx="32">
                  <c:v>41438</c:v>
                </c:pt>
                <c:pt idx="33">
                  <c:v>41437</c:v>
                </c:pt>
                <c:pt idx="34">
                  <c:v>41436</c:v>
                </c:pt>
                <c:pt idx="35">
                  <c:v>41435</c:v>
                </c:pt>
                <c:pt idx="36">
                  <c:v>41432</c:v>
                </c:pt>
                <c:pt idx="37">
                  <c:v>41430</c:v>
                </c:pt>
                <c:pt idx="38">
                  <c:v>41429</c:v>
                </c:pt>
                <c:pt idx="39">
                  <c:v>41428</c:v>
                </c:pt>
                <c:pt idx="40">
                  <c:v>41425</c:v>
                </c:pt>
                <c:pt idx="41">
                  <c:v>41424</c:v>
                </c:pt>
                <c:pt idx="42">
                  <c:v>41423</c:v>
                </c:pt>
                <c:pt idx="43">
                  <c:v>41422</c:v>
                </c:pt>
                <c:pt idx="44">
                  <c:v>41421</c:v>
                </c:pt>
                <c:pt idx="45">
                  <c:v>41418</c:v>
                </c:pt>
                <c:pt idx="46">
                  <c:v>41417</c:v>
                </c:pt>
                <c:pt idx="47">
                  <c:v>41416</c:v>
                </c:pt>
                <c:pt idx="48">
                  <c:v>41415</c:v>
                </c:pt>
                <c:pt idx="49">
                  <c:v>41414</c:v>
                </c:pt>
                <c:pt idx="50">
                  <c:v>41410</c:v>
                </c:pt>
                <c:pt idx="51">
                  <c:v>41409</c:v>
                </c:pt>
                <c:pt idx="52">
                  <c:v>41408</c:v>
                </c:pt>
                <c:pt idx="53">
                  <c:v>41407</c:v>
                </c:pt>
                <c:pt idx="54">
                  <c:v>41404</c:v>
                </c:pt>
                <c:pt idx="55">
                  <c:v>41403</c:v>
                </c:pt>
                <c:pt idx="56">
                  <c:v>41402</c:v>
                </c:pt>
                <c:pt idx="57">
                  <c:v>41401</c:v>
                </c:pt>
                <c:pt idx="58">
                  <c:v>41400</c:v>
                </c:pt>
                <c:pt idx="59">
                  <c:v>41397</c:v>
                </c:pt>
                <c:pt idx="60">
                  <c:v>41396</c:v>
                </c:pt>
                <c:pt idx="61">
                  <c:v>41394</c:v>
                </c:pt>
                <c:pt idx="62">
                  <c:v>41393</c:v>
                </c:pt>
                <c:pt idx="63">
                  <c:v>41390</c:v>
                </c:pt>
                <c:pt idx="64">
                  <c:v>41389</c:v>
                </c:pt>
                <c:pt idx="65">
                  <c:v>41388</c:v>
                </c:pt>
                <c:pt idx="66">
                  <c:v>41387</c:v>
                </c:pt>
                <c:pt idx="67">
                  <c:v>41386</c:v>
                </c:pt>
                <c:pt idx="68">
                  <c:v>41383</c:v>
                </c:pt>
                <c:pt idx="69">
                  <c:v>41382</c:v>
                </c:pt>
                <c:pt idx="70">
                  <c:v>41381</c:v>
                </c:pt>
                <c:pt idx="71">
                  <c:v>41380</c:v>
                </c:pt>
                <c:pt idx="72">
                  <c:v>41379</c:v>
                </c:pt>
                <c:pt idx="73">
                  <c:v>41376</c:v>
                </c:pt>
                <c:pt idx="74">
                  <c:v>41375</c:v>
                </c:pt>
                <c:pt idx="75">
                  <c:v>41374</c:v>
                </c:pt>
                <c:pt idx="76">
                  <c:v>41373</c:v>
                </c:pt>
                <c:pt idx="77">
                  <c:v>41372</c:v>
                </c:pt>
                <c:pt idx="78">
                  <c:v>41369</c:v>
                </c:pt>
                <c:pt idx="79">
                  <c:v>41368</c:v>
                </c:pt>
                <c:pt idx="80">
                  <c:v>41367</c:v>
                </c:pt>
                <c:pt idx="81">
                  <c:v>41366</c:v>
                </c:pt>
                <c:pt idx="82">
                  <c:v>41365</c:v>
                </c:pt>
                <c:pt idx="83">
                  <c:v>41362</c:v>
                </c:pt>
              </c:numCache>
            </c:numRef>
          </c:cat>
          <c:val>
            <c:numRef>
              <c:f>최종!$AD$25:$AD$108</c:f>
              <c:numCache>
                <c:formatCode>General</c:formatCode>
                <c:ptCount val="84"/>
                <c:pt idx="0">
                  <c:v>147.61000000000001</c:v>
                </c:pt>
                <c:pt idx="1">
                  <c:v>147.61000000000001</c:v>
                </c:pt>
                <c:pt idx="2">
                  <c:v>147.61000000000001</c:v>
                </c:pt>
                <c:pt idx="3">
                  <c:v>147.61000000000001</c:v>
                </c:pt>
                <c:pt idx="4">
                  <c:v>147.61000000000001</c:v>
                </c:pt>
                <c:pt idx="5">
                  <c:v>147.61000000000001</c:v>
                </c:pt>
                <c:pt idx="6">
                  <c:v>148.09</c:v>
                </c:pt>
                <c:pt idx="7">
                  <c:v>147.03</c:v>
                </c:pt>
                <c:pt idx="8">
                  <c:v>147.47</c:v>
                </c:pt>
                <c:pt idx="9">
                  <c:v>148.38</c:v>
                </c:pt>
                <c:pt idx="10">
                  <c:v>150.46</c:v>
                </c:pt>
                <c:pt idx="11">
                  <c:v>152.41</c:v>
                </c:pt>
                <c:pt idx="12">
                  <c:v>153.9</c:v>
                </c:pt>
                <c:pt idx="13">
                  <c:v>156.78</c:v>
                </c:pt>
                <c:pt idx="14">
                  <c:v>156.78</c:v>
                </c:pt>
                <c:pt idx="15">
                  <c:v>155.01</c:v>
                </c:pt>
                <c:pt idx="16">
                  <c:v>155.01</c:v>
                </c:pt>
                <c:pt idx="17">
                  <c:v>154.96</c:v>
                </c:pt>
                <c:pt idx="18">
                  <c:v>154.96</c:v>
                </c:pt>
                <c:pt idx="19">
                  <c:v>158.01</c:v>
                </c:pt>
                <c:pt idx="20">
                  <c:v>158.72</c:v>
                </c:pt>
                <c:pt idx="21">
                  <c:v>163.05000000000001</c:v>
                </c:pt>
                <c:pt idx="22">
                  <c:v>162.37</c:v>
                </c:pt>
                <c:pt idx="23">
                  <c:v>163.6</c:v>
                </c:pt>
                <c:pt idx="24">
                  <c:v>162.78</c:v>
                </c:pt>
                <c:pt idx="25">
                  <c:v>162.78</c:v>
                </c:pt>
                <c:pt idx="26">
                  <c:v>161.68</c:v>
                </c:pt>
                <c:pt idx="27">
                  <c:v>161.47</c:v>
                </c:pt>
                <c:pt idx="28">
                  <c:v>159.72</c:v>
                </c:pt>
                <c:pt idx="29">
                  <c:v>160.83000000000001</c:v>
                </c:pt>
                <c:pt idx="30">
                  <c:v>160.83000000000001</c:v>
                </c:pt>
                <c:pt idx="31">
                  <c:v>160.83000000000001</c:v>
                </c:pt>
                <c:pt idx="32">
                  <c:v>161.63</c:v>
                </c:pt>
                <c:pt idx="33">
                  <c:v>161.63</c:v>
                </c:pt>
                <c:pt idx="34">
                  <c:v>161.63</c:v>
                </c:pt>
                <c:pt idx="35">
                  <c:v>159.71</c:v>
                </c:pt>
                <c:pt idx="36">
                  <c:v>159.71</c:v>
                </c:pt>
                <c:pt idx="37">
                  <c:v>157.72</c:v>
                </c:pt>
                <c:pt idx="38">
                  <c:v>157.72</c:v>
                </c:pt>
                <c:pt idx="39">
                  <c:v>156.66</c:v>
                </c:pt>
                <c:pt idx="40">
                  <c:v>160.79</c:v>
                </c:pt>
                <c:pt idx="41">
                  <c:v>159.11000000000001</c:v>
                </c:pt>
                <c:pt idx="42">
                  <c:v>159.11000000000001</c:v>
                </c:pt>
                <c:pt idx="43">
                  <c:v>157.27000000000001</c:v>
                </c:pt>
                <c:pt idx="44">
                  <c:v>157.27000000000001</c:v>
                </c:pt>
                <c:pt idx="45">
                  <c:v>157.30000000000001</c:v>
                </c:pt>
                <c:pt idx="46">
                  <c:v>157.30000000000001</c:v>
                </c:pt>
                <c:pt idx="47">
                  <c:v>156.06</c:v>
                </c:pt>
                <c:pt idx="48">
                  <c:v>156.06</c:v>
                </c:pt>
                <c:pt idx="49">
                  <c:v>156.06</c:v>
                </c:pt>
                <c:pt idx="50">
                  <c:v>158.13999999999999</c:v>
                </c:pt>
                <c:pt idx="51">
                  <c:v>158.13999999999999</c:v>
                </c:pt>
                <c:pt idx="52">
                  <c:v>158.13999999999999</c:v>
                </c:pt>
                <c:pt idx="53">
                  <c:v>157.53</c:v>
                </c:pt>
                <c:pt idx="54">
                  <c:v>157.53</c:v>
                </c:pt>
                <c:pt idx="55">
                  <c:v>157.53</c:v>
                </c:pt>
                <c:pt idx="56">
                  <c:v>157.53</c:v>
                </c:pt>
                <c:pt idx="57">
                  <c:v>157.53</c:v>
                </c:pt>
                <c:pt idx="58">
                  <c:v>157.55000000000001</c:v>
                </c:pt>
                <c:pt idx="59">
                  <c:v>157.55000000000001</c:v>
                </c:pt>
                <c:pt idx="60">
                  <c:v>157.53</c:v>
                </c:pt>
                <c:pt idx="61">
                  <c:v>149.22999999999999</c:v>
                </c:pt>
                <c:pt idx="62">
                  <c:v>143.65</c:v>
                </c:pt>
                <c:pt idx="63">
                  <c:v>141.44</c:v>
                </c:pt>
                <c:pt idx="64">
                  <c:v>141.72999999999999</c:v>
                </c:pt>
                <c:pt idx="65">
                  <c:v>139.16999999999999</c:v>
                </c:pt>
                <c:pt idx="66">
                  <c:v>139.16999999999999</c:v>
                </c:pt>
                <c:pt idx="67">
                  <c:v>139.16999999999999</c:v>
                </c:pt>
                <c:pt idx="68">
                  <c:v>138.47999999999999</c:v>
                </c:pt>
                <c:pt idx="69">
                  <c:v>138.47999999999999</c:v>
                </c:pt>
                <c:pt idx="70">
                  <c:v>138.49</c:v>
                </c:pt>
                <c:pt idx="71">
                  <c:v>138.49</c:v>
                </c:pt>
                <c:pt idx="72">
                  <c:v>137.76</c:v>
                </c:pt>
                <c:pt idx="73">
                  <c:v>135.54</c:v>
                </c:pt>
                <c:pt idx="74">
                  <c:v>133.59</c:v>
                </c:pt>
                <c:pt idx="75">
                  <c:v>132.32</c:v>
                </c:pt>
                <c:pt idx="76">
                  <c:v>132.32</c:v>
                </c:pt>
                <c:pt idx="77">
                  <c:v>132.32</c:v>
                </c:pt>
                <c:pt idx="78">
                  <c:v>132.32</c:v>
                </c:pt>
                <c:pt idx="79">
                  <c:v>132.32</c:v>
                </c:pt>
                <c:pt idx="80">
                  <c:v>131.86000000000001</c:v>
                </c:pt>
                <c:pt idx="81">
                  <c:v>131.6</c:v>
                </c:pt>
                <c:pt idx="82">
                  <c:v>129.78</c:v>
                </c:pt>
                <c:pt idx="83">
                  <c:v>129.81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734-43AB-8D2B-B4C4B16AA78F}"/>
            </c:ext>
          </c:extLst>
        </c:ser>
        <c:ser>
          <c:idx val="6"/>
          <c:order val="6"/>
          <c:tx>
            <c:strRef>
              <c:f>최종!$AF$24</c:f>
              <c:strCache>
                <c:ptCount val="1"/>
                <c:pt idx="0">
                  <c:v>추정실적</c:v>
                </c:pt>
              </c:strCache>
            </c:strRef>
          </c:tx>
          <c:marker>
            <c:symbol val="none"/>
          </c:marker>
          <c:cat>
            <c:numRef>
              <c:f>최종!$AB$25:$AB$108</c:f>
              <c:numCache>
                <c:formatCode>m/d/yyyy</c:formatCode>
                <c:ptCount val="84"/>
                <c:pt idx="0">
                  <c:v>41484</c:v>
                </c:pt>
                <c:pt idx="1">
                  <c:v>41481</c:v>
                </c:pt>
                <c:pt idx="2">
                  <c:v>41480</c:v>
                </c:pt>
                <c:pt idx="3">
                  <c:v>41479</c:v>
                </c:pt>
                <c:pt idx="4">
                  <c:v>41478</c:v>
                </c:pt>
                <c:pt idx="5">
                  <c:v>41477</c:v>
                </c:pt>
                <c:pt idx="6">
                  <c:v>41474</c:v>
                </c:pt>
                <c:pt idx="7">
                  <c:v>41473</c:v>
                </c:pt>
                <c:pt idx="8">
                  <c:v>41472</c:v>
                </c:pt>
                <c:pt idx="9">
                  <c:v>41471</c:v>
                </c:pt>
                <c:pt idx="10">
                  <c:v>41470</c:v>
                </c:pt>
                <c:pt idx="11">
                  <c:v>41467</c:v>
                </c:pt>
                <c:pt idx="12">
                  <c:v>41466</c:v>
                </c:pt>
                <c:pt idx="13">
                  <c:v>41465</c:v>
                </c:pt>
                <c:pt idx="14">
                  <c:v>41464</c:v>
                </c:pt>
                <c:pt idx="15">
                  <c:v>41463</c:v>
                </c:pt>
                <c:pt idx="16">
                  <c:v>41460</c:v>
                </c:pt>
                <c:pt idx="17">
                  <c:v>41459</c:v>
                </c:pt>
                <c:pt idx="18">
                  <c:v>41458</c:v>
                </c:pt>
                <c:pt idx="19">
                  <c:v>41457</c:v>
                </c:pt>
                <c:pt idx="20">
                  <c:v>41456</c:v>
                </c:pt>
                <c:pt idx="21">
                  <c:v>41453</c:v>
                </c:pt>
                <c:pt idx="22">
                  <c:v>41452</c:v>
                </c:pt>
                <c:pt idx="23">
                  <c:v>41451</c:v>
                </c:pt>
                <c:pt idx="24">
                  <c:v>41450</c:v>
                </c:pt>
                <c:pt idx="25">
                  <c:v>41449</c:v>
                </c:pt>
                <c:pt idx="26">
                  <c:v>41446</c:v>
                </c:pt>
                <c:pt idx="27">
                  <c:v>41445</c:v>
                </c:pt>
                <c:pt idx="28">
                  <c:v>41444</c:v>
                </c:pt>
                <c:pt idx="29">
                  <c:v>41443</c:v>
                </c:pt>
                <c:pt idx="30">
                  <c:v>41442</c:v>
                </c:pt>
                <c:pt idx="31">
                  <c:v>41439</c:v>
                </c:pt>
                <c:pt idx="32">
                  <c:v>41438</c:v>
                </c:pt>
                <c:pt idx="33">
                  <c:v>41437</c:v>
                </c:pt>
                <c:pt idx="34">
                  <c:v>41436</c:v>
                </c:pt>
                <c:pt idx="35">
                  <c:v>41435</c:v>
                </c:pt>
                <c:pt idx="36">
                  <c:v>41432</c:v>
                </c:pt>
                <c:pt idx="37">
                  <c:v>41430</c:v>
                </c:pt>
                <c:pt idx="38">
                  <c:v>41429</c:v>
                </c:pt>
                <c:pt idx="39">
                  <c:v>41428</c:v>
                </c:pt>
                <c:pt idx="40">
                  <c:v>41425</c:v>
                </c:pt>
                <c:pt idx="41">
                  <c:v>41424</c:v>
                </c:pt>
                <c:pt idx="42">
                  <c:v>41423</c:v>
                </c:pt>
                <c:pt idx="43">
                  <c:v>41422</c:v>
                </c:pt>
                <c:pt idx="44">
                  <c:v>41421</c:v>
                </c:pt>
                <c:pt idx="45">
                  <c:v>41418</c:v>
                </c:pt>
                <c:pt idx="46">
                  <c:v>41417</c:v>
                </c:pt>
                <c:pt idx="47">
                  <c:v>41416</c:v>
                </c:pt>
                <c:pt idx="48">
                  <c:v>41415</c:v>
                </c:pt>
                <c:pt idx="49">
                  <c:v>41414</c:v>
                </c:pt>
                <c:pt idx="50">
                  <c:v>41410</c:v>
                </c:pt>
                <c:pt idx="51">
                  <c:v>41409</c:v>
                </c:pt>
                <c:pt idx="52">
                  <c:v>41408</c:v>
                </c:pt>
                <c:pt idx="53">
                  <c:v>41407</c:v>
                </c:pt>
                <c:pt idx="54">
                  <c:v>41404</c:v>
                </c:pt>
                <c:pt idx="55">
                  <c:v>41403</c:v>
                </c:pt>
                <c:pt idx="56">
                  <c:v>41402</c:v>
                </c:pt>
                <c:pt idx="57">
                  <c:v>41401</c:v>
                </c:pt>
                <c:pt idx="58">
                  <c:v>41400</c:v>
                </c:pt>
                <c:pt idx="59">
                  <c:v>41397</c:v>
                </c:pt>
                <c:pt idx="60">
                  <c:v>41396</c:v>
                </c:pt>
                <c:pt idx="61">
                  <c:v>41394</c:v>
                </c:pt>
                <c:pt idx="62">
                  <c:v>41393</c:v>
                </c:pt>
                <c:pt idx="63">
                  <c:v>41390</c:v>
                </c:pt>
                <c:pt idx="64">
                  <c:v>41389</c:v>
                </c:pt>
                <c:pt idx="65">
                  <c:v>41388</c:v>
                </c:pt>
                <c:pt idx="66">
                  <c:v>41387</c:v>
                </c:pt>
                <c:pt idx="67">
                  <c:v>41386</c:v>
                </c:pt>
                <c:pt idx="68">
                  <c:v>41383</c:v>
                </c:pt>
                <c:pt idx="69">
                  <c:v>41382</c:v>
                </c:pt>
                <c:pt idx="70">
                  <c:v>41381</c:v>
                </c:pt>
                <c:pt idx="71">
                  <c:v>41380</c:v>
                </c:pt>
                <c:pt idx="72">
                  <c:v>41379</c:v>
                </c:pt>
                <c:pt idx="73">
                  <c:v>41376</c:v>
                </c:pt>
                <c:pt idx="74">
                  <c:v>41375</c:v>
                </c:pt>
                <c:pt idx="75">
                  <c:v>41374</c:v>
                </c:pt>
                <c:pt idx="76">
                  <c:v>41373</c:v>
                </c:pt>
                <c:pt idx="77">
                  <c:v>41372</c:v>
                </c:pt>
                <c:pt idx="78">
                  <c:v>41369</c:v>
                </c:pt>
                <c:pt idx="79">
                  <c:v>41368</c:v>
                </c:pt>
                <c:pt idx="80">
                  <c:v>41367</c:v>
                </c:pt>
                <c:pt idx="81">
                  <c:v>41366</c:v>
                </c:pt>
                <c:pt idx="82">
                  <c:v>41365</c:v>
                </c:pt>
                <c:pt idx="83">
                  <c:v>41362</c:v>
                </c:pt>
              </c:numCache>
            </c:numRef>
          </c:cat>
          <c:val>
            <c:numRef>
              <c:f>최종!$AF$25:$AF$61</c:f>
              <c:numCache>
                <c:formatCode>#,##0.00_ ;[Red]\-#,##0.00\ </c:formatCode>
                <c:ptCount val="37"/>
                <c:pt idx="0">
                  <c:v>145.60782487840606</c:v>
                </c:pt>
                <c:pt idx="1">
                  <c:v>190</c:v>
                </c:pt>
                <c:pt idx="2">
                  <c:v>190</c:v>
                </c:pt>
                <c:pt idx="3">
                  <c:v>190</c:v>
                </c:pt>
                <c:pt idx="4">
                  <c:v>190</c:v>
                </c:pt>
                <c:pt idx="5">
                  <c:v>190</c:v>
                </c:pt>
                <c:pt idx="6">
                  <c:v>190</c:v>
                </c:pt>
                <c:pt idx="7">
                  <c:v>190</c:v>
                </c:pt>
                <c:pt idx="8">
                  <c:v>190</c:v>
                </c:pt>
                <c:pt idx="9">
                  <c:v>190</c:v>
                </c:pt>
                <c:pt idx="10">
                  <c:v>190</c:v>
                </c:pt>
                <c:pt idx="11">
                  <c:v>190</c:v>
                </c:pt>
                <c:pt idx="12">
                  <c:v>190</c:v>
                </c:pt>
                <c:pt idx="13">
                  <c:v>190</c:v>
                </c:pt>
                <c:pt idx="14">
                  <c:v>190</c:v>
                </c:pt>
                <c:pt idx="15">
                  <c:v>190</c:v>
                </c:pt>
                <c:pt idx="16">
                  <c:v>190</c:v>
                </c:pt>
                <c:pt idx="17">
                  <c:v>190</c:v>
                </c:pt>
                <c:pt idx="18">
                  <c:v>190</c:v>
                </c:pt>
                <c:pt idx="19">
                  <c:v>190</c:v>
                </c:pt>
                <c:pt idx="20">
                  <c:v>190</c:v>
                </c:pt>
                <c:pt idx="21">
                  <c:v>190</c:v>
                </c:pt>
                <c:pt idx="22">
                  <c:v>190</c:v>
                </c:pt>
                <c:pt idx="23">
                  <c:v>190</c:v>
                </c:pt>
                <c:pt idx="24">
                  <c:v>190</c:v>
                </c:pt>
                <c:pt idx="25">
                  <c:v>190</c:v>
                </c:pt>
                <c:pt idx="26">
                  <c:v>190</c:v>
                </c:pt>
                <c:pt idx="27">
                  <c:v>190</c:v>
                </c:pt>
                <c:pt idx="28" formatCode="General">
                  <c:v>190</c:v>
                </c:pt>
                <c:pt idx="29" formatCode="General">
                  <c:v>190</c:v>
                </c:pt>
                <c:pt idx="30" formatCode="General">
                  <c:v>190</c:v>
                </c:pt>
                <c:pt idx="31" formatCode="General">
                  <c:v>190</c:v>
                </c:pt>
                <c:pt idx="32" formatCode="General">
                  <c:v>190</c:v>
                </c:pt>
                <c:pt idx="33" formatCode="General">
                  <c:v>190</c:v>
                </c:pt>
                <c:pt idx="34" formatCode="General">
                  <c:v>190</c:v>
                </c:pt>
                <c:pt idx="35" formatCode="General">
                  <c:v>190</c:v>
                </c:pt>
                <c:pt idx="36" formatCode="General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734-43AB-8D2B-B4C4B16AA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03552"/>
        <c:axId val="73305088"/>
      </c:lineChart>
      <c:dateAx>
        <c:axId val="73303552"/>
        <c:scaling>
          <c:orientation val="minMax"/>
        </c:scaling>
        <c:delete val="0"/>
        <c:axPos val="b"/>
        <c:numFmt formatCode="mm/dd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ko-KR"/>
          </a:p>
        </c:txPr>
        <c:crossAx val="73305088"/>
        <c:crosses val="autoZero"/>
        <c:auto val="1"/>
        <c:lblOffset val="100"/>
        <c:baseTimeUnit val="days"/>
      </c:dateAx>
      <c:valAx>
        <c:axId val="73305088"/>
        <c:scaling>
          <c:orientation val="minMax"/>
          <c:max val="199.5"/>
          <c:min val="123.291"/>
        </c:scaling>
        <c:delete val="0"/>
        <c:axPos val="l"/>
        <c:numFmt formatCode="0.0_ " sourceLinked="1"/>
        <c:majorTickMark val="out"/>
        <c:minorTickMark val="none"/>
        <c:tickLblPos val="nextTo"/>
        <c:crossAx val="733035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0480555555555562"/>
          <c:y val="2.7777777777778064E-2"/>
          <c:w val="0.84927927927927926"/>
          <c:h val="0.19756076629780697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6</xdr:row>
          <xdr:rowOff>9525</xdr:rowOff>
        </xdr:from>
        <xdr:to>
          <xdr:col>13</xdr:col>
          <xdr:colOff>0</xdr:colOff>
          <xdr:row>8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</xdr:row>
          <xdr:rowOff>19050</xdr:rowOff>
        </xdr:from>
        <xdr:to>
          <xdr:col>13</xdr:col>
          <xdr:colOff>0</xdr:colOff>
          <xdr:row>11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실적발표후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12</xdr:row>
          <xdr:rowOff>19050</xdr:rowOff>
        </xdr:from>
        <xdr:to>
          <xdr:col>13</xdr:col>
          <xdr:colOff>0</xdr:colOff>
          <xdr:row>13</xdr:row>
          <xdr:rowOff>180975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실적발표전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15</xdr:row>
          <xdr:rowOff>19050</xdr:rowOff>
        </xdr:from>
        <xdr:to>
          <xdr:col>13</xdr:col>
          <xdr:colOff>0</xdr:colOff>
          <xdr:row>16</xdr:row>
          <xdr:rowOff>180975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전체구분없이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9525</xdr:rowOff>
        </xdr:from>
        <xdr:to>
          <xdr:col>1</xdr:col>
          <xdr:colOff>647700</xdr:colOff>
          <xdr:row>1</xdr:row>
          <xdr:rowOff>9525</xdr:rowOff>
        </xdr:to>
        <xdr:sp macro="" textlink="">
          <xdr:nvSpPr>
            <xdr:cNvPr id="9217" name="RefreshBt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9525</xdr:rowOff>
        </xdr:from>
        <xdr:to>
          <xdr:col>4</xdr:col>
          <xdr:colOff>647700</xdr:colOff>
          <xdr:row>1</xdr:row>
          <xdr:rowOff>9525</xdr:rowOff>
        </xdr:to>
        <xdr:sp macro="" textlink="">
          <xdr:nvSpPr>
            <xdr:cNvPr id="29697" name="RefreshBtn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</xdr:rowOff>
        </xdr:from>
        <xdr:to>
          <xdr:col>0</xdr:col>
          <xdr:colOff>647700</xdr:colOff>
          <xdr:row>1</xdr:row>
          <xdr:rowOff>9525</xdr:rowOff>
        </xdr:to>
        <xdr:sp macro="" textlink="">
          <xdr:nvSpPr>
            <xdr:cNvPr id="7169" name="RefreshBt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</xdr:rowOff>
        </xdr:from>
        <xdr:to>
          <xdr:col>0</xdr:col>
          <xdr:colOff>647700</xdr:colOff>
          <xdr:row>1</xdr:row>
          <xdr:rowOff>9525</xdr:rowOff>
        </xdr:to>
        <xdr:sp macro="" textlink="">
          <xdr:nvSpPr>
            <xdr:cNvPr id="23553" name="RefreshBtn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22</xdr:row>
      <xdr:rowOff>9525</xdr:rowOff>
    </xdr:from>
    <xdr:to>
      <xdr:col>4</xdr:col>
      <xdr:colOff>714375</xdr:colOff>
      <xdr:row>34</xdr:row>
      <xdr:rowOff>190500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95248</xdr:rowOff>
    </xdr:from>
    <xdr:to>
      <xdr:col>4</xdr:col>
      <xdr:colOff>647700</xdr:colOff>
      <xdr:row>20</xdr:row>
      <xdr:rowOff>133349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19050</xdr:rowOff>
        </xdr:from>
        <xdr:to>
          <xdr:col>12</xdr:col>
          <xdr:colOff>304800</xdr:colOff>
          <xdr:row>1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6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One Day</a:t>
              </a:r>
            </a:p>
            <a:p>
              <a:pPr algn="ctr" rtl="0">
                <a:defRPr sz="1000"/>
              </a:pPr>
              <a:endParaRPr lang="ko-KR" altLang="en-US" sz="9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</xdr:rowOff>
        </xdr:from>
        <xdr:to>
          <xdr:col>0</xdr:col>
          <xdr:colOff>647700</xdr:colOff>
          <xdr:row>1</xdr:row>
          <xdr:rowOff>9525</xdr:rowOff>
        </xdr:to>
        <xdr:sp macro="" textlink="">
          <xdr:nvSpPr>
            <xdr:cNvPr id="1025" name="RefreshBt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</xdr:rowOff>
        </xdr:from>
        <xdr:to>
          <xdr:col>0</xdr:col>
          <xdr:colOff>647700</xdr:colOff>
          <xdr:row>1</xdr:row>
          <xdr:rowOff>9525</xdr:rowOff>
        </xdr:to>
        <xdr:sp macro="" textlink="">
          <xdr:nvSpPr>
            <xdr:cNvPr id="2049" name="RefreshBt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</xdr:rowOff>
        </xdr:from>
        <xdr:to>
          <xdr:col>0</xdr:col>
          <xdr:colOff>647700</xdr:colOff>
          <xdr:row>1</xdr:row>
          <xdr:rowOff>9525</xdr:rowOff>
        </xdr:to>
        <xdr:sp macro="" textlink="">
          <xdr:nvSpPr>
            <xdr:cNvPr id="182273" name="RefreshBtn1" hidden="1">
              <a:extLst>
                <a:ext uri="{63B3BB69-23CF-44E3-9099-C40C66FF867C}">
                  <a14:compatExt spid="_x0000_s182273"/>
                </a:ext>
                <a:ext uri="{FF2B5EF4-FFF2-40B4-BE49-F238E27FC236}">
                  <a16:creationId xmlns:a16="http://schemas.microsoft.com/office/drawing/2014/main" id="{00000000-0008-0000-0900-000001C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</xdr:rowOff>
        </xdr:from>
        <xdr:to>
          <xdr:col>0</xdr:col>
          <xdr:colOff>647700</xdr:colOff>
          <xdr:row>1</xdr:row>
          <xdr:rowOff>9525</xdr:rowOff>
        </xdr:to>
        <xdr:sp macro="" textlink="">
          <xdr:nvSpPr>
            <xdr:cNvPr id="3073" name="RefreshBt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</xdr:rowOff>
        </xdr:from>
        <xdr:to>
          <xdr:col>0</xdr:col>
          <xdr:colOff>647700</xdr:colOff>
          <xdr:row>1</xdr:row>
          <xdr:rowOff>9525</xdr:rowOff>
        </xdr:to>
        <xdr:sp macro="" textlink="">
          <xdr:nvSpPr>
            <xdr:cNvPr id="4097" name="RefreshBt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9525</xdr:rowOff>
        </xdr:from>
        <xdr:to>
          <xdr:col>6</xdr:col>
          <xdr:colOff>647700</xdr:colOff>
          <xdr:row>1</xdr:row>
          <xdr:rowOff>9525</xdr:rowOff>
        </xdr:to>
        <xdr:sp macro="" textlink="">
          <xdr:nvSpPr>
            <xdr:cNvPr id="6145" name="RefreshBt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</xdr:rowOff>
        </xdr:from>
        <xdr:to>
          <xdr:col>0</xdr:col>
          <xdr:colOff>647700</xdr:colOff>
          <xdr:row>1</xdr:row>
          <xdr:rowOff>9525</xdr:rowOff>
        </xdr:to>
        <xdr:sp macro="" textlink="">
          <xdr:nvSpPr>
            <xdr:cNvPr id="26625" name="RefreshBtn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</xdr:rowOff>
        </xdr:from>
        <xdr:to>
          <xdr:col>0</xdr:col>
          <xdr:colOff>647700</xdr:colOff>
          <xdr:row>1</xdr:row>
          <xdr:rowOff>9525</xdr:rowOff>
        </xdr:to>
        <xdr:sp macro="" textlink="">
          <xdr:nvSpPr>
            <xdr:cNvPr id="27649" name="RefreshBt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E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50641;&#49472;\Users\Administrator\AppData\Local\Microsoft\Windows\Temporary%20Internet%20Files\Content.Outlook\0AUS6CCW\2013071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50641;&#49472;\Users\Administrator\AppData\Local\Microsoft\Windows\Temporary%20Internet%20Files\Content.Outlook\0AUS6CCW\2013050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dl298"/>
    </sheetNames>
    <sheetDataSet>
      <sheetData sheetId="0">
        <row r="1">
          <cell r="B1" t="str">
            <v>Company Ticker</v>
          </cell>
          <cell r="C1" t="str">
            <v>Date</v>
          </cell>
          <cell r="D1" t="str">
            <v>Date Type</v>
          </cell>
        </row>
        <row r="2">
          <cell r="B2" t="str">
            <v>000220 KS</v>
          </cell>
          <cell r="C2">
            <v>41456</v>
          </cell>
          <cell r="D2" t="str">
            <v>C</v>
          </cell>
        </row>
        <row r="3">
          <cell r="B3" t="str">
            <v>000970 KS</v>
          </cell>
          <cell r="C3">
            <v>41456</v>
          </cell>
          <cell r="D3" t="str">
            <v>C</v>
          </cell>
        </row>
        <row r="4">
          <cell r="B4" t="str">
            <v>000470 KS</v>
          </cell>
          <cell r="C4">
            <v>41456</v>
          </cell>
          <cell r="D4" t="str">
            <v>C</v>
          </cell>
        </row>
        <row r="5">
          <cell r="B5" t="str">
            <v>000470 KS</v>
          </cell>
          <cell r="C5">
            <v>41456</v>
          </cell>
          <cell r="D5" t="str">
            <v>C</v>
          </cell>
        </row>
        <row r="6">
          <cell r="B6" t="str">
            <v>140890 KS</v>
          </cell>
          <cell r="C6">
            <v>41458</v>
          </cell>
          <cell r="D6" t="str">
            <v>C</v>
          </cell>
        </row>
        <row r="7">
          <cell r="B7" t="str">
            <v>005930 KS</v>
          </cell>
          <cell r="C7">
            <v>41460</v>
          </cell>
          <cell r="D7" t="str">
            <v>C</v>
          </cell>
        </row>
        <row r="8">
          <cell r="B8" t="str">
            <v>032430 KS</v>
          </cell>
          <cell r="C8">
            <v>41460</v>
          </cell>
          <cell r="D8" t="str">
            <v>E</v>
          </cell>
        </row>
        <row r="9">
          <cell r="B9" t="str">
            <v>004200 KS</v>
          </cell>
          <cell r="C9">
            <v>41460</v>
          </cell>
          <cell r="D9" t="str">
            <v>E</v>
          </cell>
        </row>
        <row r="10">
          <cell r="B10" t="str">
            <v>004490 KS</v>
          </cell>
          <cell r="C10">
            <v>41460</v>
          </cell>
          <cell r="D10" t="str">
            <v>E</v>
          </cell>
        </row>
        <row r="11">
          <cell r="B11" t="str">
            <v>003460 KS</v>
          </cell>
          <cell r="C11">
            <v>41460</v>
          </cell>
          <cell r="D11" t="str">
            <v>E</v>
          </cell>
        </row>
        <row r="12">
          <cell r="B12" t="str">
            <v>058430 KS</v>
          </cell>
          <cell r="C12">
            <v>41460</v>
          </cell>
          <cell r="D12" t="str">
            <v>E</v>
          </cell>
        </row>
        <row r="13">
          <cell r="B13" t="str">
            <v>003830 KS</v>
          </cell>
          <cell r="C13">
            <v>41460</v>
          </cell>
          <cell r="D13" t="str">
            <v>E</v>
          </cell>
        </row>
        <row r="14">
          <cell r="B14" t="str">
            <v>013120 KS</v>
          </cell>
          <cell r="C14">
            <v>41460</v>
          </cell>
          <cell r="D14" t="str">
            <v>E</v>
          </cell>
        </row>
        <row r="15">
          <cell r="B15" t="str">
            <v>004890 KS</v>
          </cell>
          <cell r="C15">
            <v>41460</v>
          </cell>
          <cell r="D15" t="str">
            <v>E</v>
          </cell>
        </row>
        <row r="16">
          <cell r="B16" t="str">
            <v>066350 KS</v>
          </cell>
          <cell r="C16">
            <v>41460</v>
          </cell>
          <cell r="D16" t="str">
            <v>E</v>
          </cell>
        </row>
        <row r="17">
          <cell r="B17" t="str">
            <v>002150 KS</v>
          </cell>
          <cell r="C17">
            <v>41460</v>
          </cell>
          <cell r="D17" t="str">
            <v>E</v>
          </cell>
        </row>
        <row r="18">
          <cell r="B18" t="str">
            <v>000020 KS</v>
          </cell>
          <cell r="C18">
            <v>41460</v>
          </cell>
          <cell r="D18" t="str">
            <v>E</v>
          </cell>
        </row>
        <row r="19">
          <cell r="B19" t="str">
            <v>033170 KS</v>
          </cell>
          <cell r="C19">
            <v>41460</v>
          </cell>
          <cell r="D19" t="str">
            <v>E</v>
          </cell>
        </row>
        <row r="20">
          <cell r="B20" t="str">
            <v>005070 KS</v>
          </cell>
          <cell r="C20">
            <v>41460</v>
          </cell>
          <cell r="D20" t="str">
            <v>E</v>
          </cell>
        </row>
        <row r="21">
          <cell r="B21" t="str">
            <v>005030 KS</v>
          </cell>
          <cell r="C21">
            <v>41460</v>
          </cell>
          <cell r="D21" t="str">
            <v>E</v>
          </cell>
        </row>
        <row r="22">
          <cell r="B22" t="str">
            <v>066900 KS</v>
          </cell>
          <cell r="C22">
            <v>41460</v>
          </cell>
          <cell r="D22" t="str">
            <v>E</v>
          </cell>
        </row>
        <row r="23">
          <cell r="B23" t="str">
            <v>024900 KS</v>
          </cell>
          <cell r="C23">
            <v>41460</v>
          </cell>
          <cell r="D23" t="str">
            <v>E</v>
          </cell>
        </row>
        <row r="24">
          <cell r="B24" t="str">
            <v>003650 KS</v>
          </cell>
          <cell r="C24">
            <v>41460</v>
          </cell>
          <cell r="D24" t="str">
            <v>E</v>
          </cell>
        </row>
        <row r="25">
          <cell r="B25" t="str">
            <v>086450 KS</v>
          </cell>
          <cell r="C25">
            <v>41460</v>
          </cell>
          <cell r="D25" t="str">
            <v>E</v>
          </cell>
        </row>
        <row r="26">
          <cell r="B26" t="str">
            <v>006090 KS</v>
          </cell>
          <cell r="C26">
            <v>41460</v>
          </cell>
          <cell r="D26" t="str">
            <v>E</v>
          </cell>
        </row>
        <row r="27">
          <cell r="B27" t="str">
            <v>052330 KS</v>
          </cell>
          <cell r="C27">
            <v>41460</v>
          </cell>
          <cell r="D27" t="str">
            <v>E</v>
          </cell>
        </row>
        <row r="28">
          <cell r="B28" t="str">
            <v>010170 KS</v>
          </cell>
          <cell r="C28">
            <v>41460</v>
          </cell>
          <cell r="D28" t="str">
            <v>E</v>
          </cell>
        </row>
        <row r="29">
          <cell r="B29" t="str">
            <v>066670 KS</v>
          </cell>
          <cell r="C29">
            <v>41460</v>
          </cell>
          <cell r="D29" t="str">
            <v>E</v>
          </cell>
        </row>
        <row r="30">
          <cell r="B30" t="str">
            <v>016170 KS</v>
          </cell>
          <cell r="C30">
            <v>41460</v>
          </cell>
          <cell r="D30" t="str">
            <v>E</v>
          </cell>
        </row>
        <row r="31">
          <cell r="B31" t="str">
            <v>036800 KS</v>
          </cell>
          <cell r="C31">
            <v>41460</v>
          </cell>
          <cell r="D31" t="str">
            <v>E</v>
          </cell>
        </row>
        <row r="32">
          <cell r="B32" t="str">
            <v>017480 KS</v>
          </cell>
          <cell r="C32">
            <v>41460</v>
          </cell>
          <cell r="D32" t="str">
            <v>E</v>
          </cell>
        </row>
        <row r="33">
          <cell r="B33" t="str">
            <v>026150 KS</v>
          </cell>
          <cell r="C33">
            <v>41460</v>
          </cell>
          <cell r="D33" t="str">
            <v>E</v>
          </cell>
        </row>
        <row r="34">
          <cell r="B34" t="str">
            <v>088910 KS</v>
          </cell>
          <cell r="C34">
            <v>41460</v>
          </cell>
          <cell r="D34" t="str">
            <v>E</v>
          </cell>
        </row>
        <row r="35">
          <cell r="B35" t="str">
            <v>008870 KS</v>
          </cell>
          <cell r="C35">
            <v>41460</v>
          </cell>
          <cell r="D35" t="str">
            <v>E</v>
          </cell>
        </row>
        <row r="36">
          <cell r="B36" t="str">
            <v>054670 KS</v>
          </cell>
          <cell r="C36">
            <v>41460</v>
          </cell>
          <cell r="D36" t="str">
            <v>E</v>
          </cell>
        </row>
        <row r="37">
          <cell r="B37" t="str">
            <v>013450 KS</v>
          </cell>
          <cell r="C37">
            <v>41460</v>
          </cell>
          <cell r="D37" t="str">
            <v>E</v>
          </cell>
        </row>
        <row r="38">
          <cell r="B38" t="str">
            <v>121550 KS</v>
          </cell>
          <cell r="C38">
            <v>41460</v>
          </cell>
          <cell r="D38" t="str">
            <v>E</v>
          </cell>
        </row>
        <row r="39">
          <cell r="B39" t="str">
            <v>021040 KS</v>
          </cell>
          <cell r="C39">
            <v>41460</v>
          </cell>
          <cell r="D39" t="str">
            <v>E</v>
          </cell>
        </row>
        <row r="40">
          <cell r="B40" t="str">
            <v>008830 KS</v>
          </cell>
          <cell r="C40">
            <v>41460</v>
          </cell>
          <cell r="D40" t="str">
            <v>E</v>
          </cell>
        </row>
        <row r="41">
          <cell r="B41" t="str">
            <v>005980 KS</v>
          </cell>
          <cell r="C41">
            <v>41460</v>
          </cell>
          <cell r="D41" t="str">
            <v>E</v>
          </cell>
        </row>
        <row r="42">
          <cell r="B42" t="str">
            <v>023910 KS</v>
          </cell>
          <cell r="C42">
            <v>41460</v>
          </cell>
          <cell r="D42" t="str">
            <v>E</v>
          </cell>
        </row>
        <row r="43">
          <cell r="B43" t="str">
            <v>123100 KS</v>
          </cell>
          <cell r="C43">
            <v>41460</v>
          </cell>
          <cell r="D43" t="str">
            <v>E</v>
          </cell>
        </row>
        <row r="44">
          <cell r="B44" t="str">
            <v>023790 KS</v>
          </cell>
          <cell r="C44">
            <v>41460</v>
          </cell>
          <cell r="D44" t="str">
            <v>E</v>
          </cell>
        </row>
        <row r="45">
          <cell r="B45" t="str">
            <v>001360 KS</v>
          </cell>
          <cell r="C45">
            <v>41460</v>
          </cell>
          <cell r="D45" t="str">
            <v>E</v>
          </cell>
        </row>
        <row r="46">
          <cell r="B46" t="str">
            <v>095610 KS</v>
          </cell>
          <cell r="C46">
            <v>41460</v>
          </cell>
          <cell r="D46" t="str">
            <v>E</v>
          </cell>
        </row>
        <row r="47">
          <cell r="B47" t="str">
            <v>064760 KS</v>
          </cell>
          <cell r="C47">
            <v>41460</v>
          </cell>
          <cell r="D47" t="str">
            <v>E</v>
          </cell>
        </row>
        <row r="48">
          <cell r="B48" t="str">
            <v>105740 KS</v>
          </cell>
          <cell r="C48">
            <v>41460</v>
          </cell>
          <cell r="D48" t="str">
            <v>E</v>
          </cell>
        </row>
        <row r="49">
          <cell r="B49" t="str">
            <v>025950 KS</v>
          </cell>
          <cell r="C49">
            <v>41460</v>
          </cell>
          <cell r="D49" t="str">
            <v>E</v>
          </cell>
        </row>
        <row r="50">
          <cell r="B50" t="str">
            <v>110310 KS</v>
          </cell>
          <cell r="C50">
            <v>41460</v>
          </cell>
          <cell r="D50" t="str">
            <v>E</v>
          </cell>
        </row>
        <row r="51">
          <cell r="B51" t="str">
            <v>134380 KS</v>
          </cell>
          <cell r="C51">
            <v>41460</v>
          </cell>
          <cell r="D51" t="str">
            <v>E</v>
          </cell>
        </row>
        <row r="52">
          <cell r="B52" t="str">
            <v>140410 KS</v>
          </cell>
          <cell r="C52">
            <v>41460</v>
          </cell>
          <cell r="D52" t="str">
            <v>E</v>
          </cell>
        </row>
        <row r="53">
          <cell r="B53" t="str">
            <v>120240 KS</v>
          </cell>
          <cell r="C53">
            <v>41460</v>
          </cell>
          <cell r="D53" t="str">
            <v>E</v>
          </cell>
        </row>
        <row r="54">
          <cell r="B54" t="str">
            <v>016600 KS</v>
          </cell>
          <cell r="C54">
            <v>41460</v>
          </cell>
          <cell r="D54" t="str">
            <v>E</v>
          </cell>
        </row>
        <row r="55">
          <cell r="B55" t="str">
            <v>119500 KS</v>
          </cell>
          <cell r="C55">
            <v>41460</v>
          </cell>
          <cell r="D55" t="str">
            <v>E</v>
          </cell>
        </row>
        <row r="56">
          <cell r="B56" t="str">
            <v>092070 KS</v>
          </cell>
          <cell r="C56">
            <v>41460</v>
          </cell>
          <cell r="D56" t="str">
            <v>E</v>
          </cell>
        </row>
        <row r="57">
          <cell r="B57" t="str">
            <v>068930 KS</v>
          </cell>
          <cell r="C57">
            <v>41460</v>
          </cell>
          <cell r="D57" t="str">
            <v>E</v>
          </cell>
        </row>
        <row r="58">
          <cell r="B58" t="str">
            <v>023450 KS</v>
          </cell>
          <cell r="C58">
            <v>41460</v>
          </cell>
          <cell r="D58" t="str">
            <v>E</v>
          </cell>
        </row>
        <row r="59">
          <cell r="B59" t="str">
            <v>126600 KS</v>
          </cell>
          <cell r="C59">
            <v>41460</v>
          </cell>
          <cell r="D59" t="str">
            <v>E</v>
          </cell>
        </row>
        <row r="60">
          <cell r="B60" t="str">
            <v>130740 KS</v>
          </cell>
          <cell r="C60">
            <v>41460</v>
          </cell>
          <cell r="D60" t="str">
            <v>E</v>
          </cell>
        </row>
        <row r="61">
          <cell r="B61" t="str">
            <v>020400 KS</v>
          </cell>
          <cell r="C61">
            <v>41460</v>
          </cell>
          <cell r="D61" t="str">
            <v>E</v>
          </cell>
        </row>
        <row r="62">
          <cell r="B62" t="str">
            <v>071280 KS</v>
          </cell>
          <cell r="C62">
            <v>41460</v>
          </cell>
          <cell r="D62" t="str">
            <v>E</v>
          </cell>
        </row>
        <row r="63">
          <cell r="B63" t="str">
            <v>089890 KS</v>
          </cell>
          <cell r="C63">
            <v>41460</v>
          </cell>
          <cell r="D63" t="str">
            <v>E</v>
          </cell>
        </row>
        <row r="64">
          <cell r="B64" t="str">
            <v>002760 KS</v>
          </cell>
          <cell r="C64">
            <v>41460</v>
          </cell>
          <cell r="D64" t="str">
            <v>E</v>
          </cell>
        </row>
        <row r="65">
          <cell r="B65" t="str">
            <v>065450 KS</v>
          </cell>
          <cell r="C65">
            <v>41460</v>
          </cell>
          <cell r="D65" t="str">
            <v>E</v>
          </cell>
        </row>
        <row r="66">
          <cell r="B66" t="str">
            <v>051630 KS</v>
          </cell>
          <cell r="C66">
            <v>41460</v>
          </cell>
          <cell r="D66" t="str">
            <v>E</v>
          </cell>
        </row>
        <row r="67">
          <cell r="B67" t="str">
            <v>091440 KS</v>
          </cell>
          <cell r="C67">
            <v>41460</v>
          </cell>
          <cell r="D67" t="str">
            <v>E</v>
          </cell>
        </row>
        <row r="68">
          <cell r="B68" t="str">
            <v>143240 KS</v>
          </cell>
          <cell r="C68">
            <v>41460</v>
          </cell>
          <cell r="D68" t="str">
            <v>E</v>
          </cell>
        </row>
        <row r="69">
          <cell r="B69" t="str">
            <v>063440 KS</v>
          </cell>
          <cell r="C69">
            <v>41460</v>
          </cell>
          <cell r="D69" t="str">
            <v>E</v>
          </cell>
        </row>
        <row r="70">
          <cell r="B70" t="str">
            <v>092730 KS</v>
          </cell>
          <cell r="C70">
            <v>41460</v>
          </cell>
          <cell r="D70" t="str">
            <v>E</v>
          </cell>
        </row>
        <row r="71">
          <cell r="B71" t="str">
            <v>127120 KS</v>
          </cell>
          <cell r="C71">
            <v>41460</v>
          </cell>
          <cell r="D71" t="str">
            <v>E</v>
          </cell>
        </row>
        <row r="72">
          <cell r="B72" t="str">
            <v>079810 KS</v>
          </cell>
          <cell r="C72">
            <v>41460</v>
          </cell>
          <cell r="D72" t="str">
            <v>E</v>
          </cell>
        </row>
        <row r="73">
          <cell r="B73" t="str">
            <v>033790 KS</v>
          </cell>
          <cell r="C73">
            <v>41460</v>
          </cell>
          <cell r="D73" t="str">
            <v>E</v>
          </cell>
        </row>
        <row r="74">
          <cell r="B74" t="str">
            <v>089140 KS</v>
          </cell>
          <cell r="C74">
            <v>41460</v>
          </cell>
          <cell r="D74" t="str">
            <v>E</v>
          </cell>
        </row>
        <row r="75">
          <cell r="B75" t="str">
            <v>141020 KS</v>
          </cell>
          <cell r="C75">
            <v>41460</v>
          </cell>
          <cell r="D75" t="str">
            <v>E</v>
          </cell>
        </row>
        <row r="76">
          <cell r="B76" t="str">
            <v>007390 KS</v>
          </cell>
          <cell r="C76">
            <v>41460</v>
          </cell>
          <cell r="D76" t="str">
            <v>E</v>
          </cell>
        </row>
        <row r="77">
          <cell r="B77" t="str">
            <v>060260 KS</v>
          </cell>
          <cell r="C77">
            <v>41460</v>
          </cell>
          <cell r="D77" t="str">
            <v>E</v>
          </cell>
        </row>
        <row r="78">
          <cell r="B78" t="str">
            <v>130580 KS</v>
          </cell>
          <cell r="C78">
            <v>41460</v>
          </cell>
          <cell r="D78" t="str">
            <v>E</v>
          </cell>
        </row>
        <row r="79">
          <cell r="B79" t="str">
            <v>010640 KS</v>
          </cell>
          <cell r="C79">
            <v>41460</v>
          </cell>
          <cell r="D79" t="str">
            <v>E</v>
          </cell>
        </row>
        <row r="80">
          <cell r="B80" t="str">
            <v>138610 KS</v>
          </cell>
          <cell r="C80">
            <v>41460</v>
          </cell>
          <cell r="D80" t="str">
            <v>E</v>
          </cell>
        </row>
        <row r="81">
          <cell r="B81" t="str">
            <v>069110 KS</v>
          </cell>
          <cell r="C81">
            <v>41460</v>
          </cell>
          <cell r="D81" t="str">
            <v>E</v>
          </cell>
        </row>
        <row r="82">
          <cell r="B82" t="str">
            <v>087730 KS</v>
          </cell>
          <cell r="C82">
            <v>41460</v>
          </cell>
          <cell r="D82" t="str">
            <v>E</v>
          </cell>
        </row>
        <row r="83">
          <cell r="B83" t="str">
            <v>078860 KS</v>
          </cell>
          <cell r="C83">
            <v>41460</v>
          </cell>
          <cell r="D83" t="str">
            <v>E</v>
          </cell>
        </row>
        <row r="84">
          <cell r="B84" t="str">
            <v>002840 KS</v>
          </cell>
          <cell r="C84">
            <v>41466</v>
          </cell>
          <cell r="D84" t="str">
            <v>C</v>
          </cell>
        </row>
        <row r="85">
          <cell r="B85" t="str">
            <v>107590 KS</v>
          </cell>
          <cell r="C85">
            <v>41466</v>
          </cell>
          <cell r="D85" t="str">
            <v>C</v>
          </cell>
        </row>
        <row r="86">
          <cell r="B86" t="str">
            <v>051370 KS</v>
          </cell>
          <cell r="C86">
            <v>41466</v>
          </cell>
          <cell r="D86" t="str">
            <v>C</v>
          </cell>
        </row>
        <row r="87">
          <cell r="B87" t="str">
            <v>134380 KS</v>
          </cell>
          <cell r="C87">
            <v>41467</v>
          </cell>
          <cell r="D87" t="str">
            <v>C</v>
          </cell>
        </row>
        <row r="88">
          <cell r="B88" t="str">
            <v>139480 KS</v>
          </cell>
          <cell r="C88">
            <v>41467</v>
          </cell>
          <cell r="D88" t="str">
            <v>C</v>
          </cell>
        </row>
        <row r="89">
          <cell r="B89" t="str">
            <v>093380 KS</v>
          </cell>
          <cell r="C89">
            <v>41467</v>
          </cell>
          <cell r="D89" t="str">
            <v>C</v>
          </cell>
        </row>
        <row r="90">
          <cell r="B90" t="str">
            <v>007810 KS</v>
          </cell>
          <cell r="C90">
            <v>41470</v>
          </cell>
          <cell r="D90" t="str">
            <v>C</v>
          </cell>
        </row>
        <row r="91">
          <cell r="B91" t="str">
            <v>004310 KS</v>
          </cell>
          <cell r="C91">
            <v>41470</v>
          </cell>
          <cell r="D91" t="str">
            <v>C</v>
          </cell>
        </row>
        <row r="92">
          <cell r="B92" t="str">
            <v>083620 KS</v>
          </cell>
          <cell r="C92">
            <v>41470</v>
          </cell>
          <cell r="D92" t="str">
            <v>C</v>
          </cell>
        </row>
        <row r="93">
          <cell r="B93" t="str">
            <v>033560 KS</v>
          </cell>
          <cell r="C93">
            <v>41471</v>
          </cell>
          <cell r="D93" t="str">
            <v>C</v>
          </cell>
        </row>
        <row r="94">
          <cell r="B94" t="str">
            <v>009240 KS</v>
          </cell>
          <cell r="C94">
            <v>41471</v>
          </cell>
          <cell r="D94" t="str">
            <v>C</v>
          </cell>
        </row>
        <row r="95">
          <cell r="B95" t="str">
            <v>091690 KS</v>
          </cell>
          <cell r="C95">
            <v>41471</v>
          </cell>
          <cell r="D95" t="str">
            <v>E</v>
          </cell>
        </row>
        <row r="96">
          <cell r="B96" t="str">
            <v>080160 KS</v>
          </cell>
          <cell r="C96">
            <v>41471</v>
          </cell>
          <cell r="D96" t="str">
            <v>E</v>
          </cell>
        </row>
        <row r="97">
          <cell r="B97" t="str">
            <v>028050 KS</v>
          </cell>
          <cell r="C97">
            <v>41471</v>
          </cell>
          <cell r="D97" t="str">
            <v>C</v>
          </cell>
        </row>
        <row r="98">
          <cell r="B98" t="str">
            <v>005830 KS</v>
          </cell>
          <cell r="C98">
            <v>41471</v>
          </cell>
          <cell r="D98" t="str">
            <v>E</v>
          </cell>
        </row>
        <row r="99">
          <cell r="B99" t="str">
            <v>082800 KS</v>
          </cell>
          <cell r="C99">
            <v>41472</v>
          </cell>
          <cell r="D99" t="str">
            <v>E</v>
          </cell>
        </row>
        <row r="100">
          <cell r="B100" t="str">
            <v>012200 KS</v>
          </cell>
          <cell r="C100">
            <v>41472</v>
          </cell>
          <cell r="D100" t="str">
            <v>E</v>
          </cell>
        </row>
        <row r="101">
          <cell r="B101" t="str">
            <v>034830 KS</v>
          </cell>
          <cell r="C101">
            <v>41472</v>
          </cell>
          <cell r="D101" t="str">
            <v>E</v>
          </cell>
        </row>
        <row r="102">
          <cell r="B102" t="str">
            <v>004170 KS</v>
          </cell>
          <cell r="C102">
            <v>41472</v>
          </cell>
          <cell r="D102" t="str">
            <v>E</v>
          </cell>
        </row>
        <row r="103">
          <cell r="B103" t="str">
            <v>033780 KS</v>
          </cell>
          <cell r="C103">
            <v>41472</v>
          </cell>
          <cell r="D103" t="str">
            <v>C</v>
          </cell>
        </row>
        <row r="104">
          <cell r="B104" t="str">
            <v>004170 KS</v>
          </cell>
          <cell r="C104">
            <v>41472</v>
          </cell>
          <cell r="D104" t="str">
            <v>E</v>
          </cell>
        </row>
        <row r="105">
          <cell r="B105" t="str">
            <v>042370 KS</v>
          </cell>
          <cell r="C105">
            <v>41473</v>
          </cell>
          <cell r="D105" t="str">
            <v>E</v>
          </cell>
        </row>
        <row r="106">
          <cell r="B106" t="str">
            <v>002880 KS</v>
          </cell>
          <cell r="C106">
            <v>41473</v>
          </cell>
          <cell r="D106" t="str">
            <v>E</v>
          </cell>
        </row>
        <row r="107">
          <cell r="B107" t="str">
            <v>089030 KS</v>
          </cell>
          <cell r="C107">
            <v>41473</v>
          </cell>
          <cell r="D107" t="str">
            <v>E</v>
          </cell>
        </row>
        <row r="108">
          <cell r="B108" t="str">
            <v>053740 KS</v>
          </cell>
          <cell r="C108">
            <v>41473</v>
          </cell>
          <cell r="D108" t="str">
            <v>E</v>
          </cell>
        </row>
        <row r="109">
          <cell r="B109" t="str">
            <v>042510 KS</v>
          </cell>
          <cell r="C109">
            <v>41473</v>
          </cell>
          <cell r="D109" t="str">
            <v>E</v>
          </cell>
        </row>
        <row r="110">
          <cell r="B110" t="str">
            <v>092440 KS</v>
          </cell>
          <cell r="C110">
            <v>41473</v>
          </cell>
          <cell r="D110" t="str">
            <v>E</v>
          </cell>
        </row>
        <row r="111">
          <cell r="B111" t="str">
            <v>011780 KS</v>
          </cell>
          <cell r="C111">
            <v>41473</v>
          </cell>
          <cell r="D111" t="str">
            <v>C</v>
          </cell>
        </row>
        <row r="112">
          <cell r="B112" t="str">
            <v>003520 KS</v>
          </cell>
          <cell r="C112">
            <v>41473</v>
          </cell>
          <cell r="D112" t="str">
            <v>E</v>
          </cell>
        </row>
        <row r="113">
          <cell r="B113" t="str">
            <v>034220 KS</v>
          </cell>
          <cell r="C113">
            <v>41473</v>
          </cell>
          <cell r="D113" t="str">
            <v>C</v>
          </cell>
        </row>
        <row r="114">
          <cell r="B114" t="str">
            <v>006370 KS</v>
          </cell>
          <cell r="C114">
            <v>41474</v>
          </cell>
          <cell r="D114" t="str">
            <v>E</v>
          </cell>
        </row>
        <row r="115">
          <cell r="B115" t="str">
            <v>035510 KS</v>
          </cell>
          <cell r="C115">
            <v>41474</v>
          </cell>
          <cell r="D115" t="str">
            <v>E</v>
          </cell>
        </row>
        <row r="116">
          <cell r="B116" t="str">
            <v>038390 KS</v>
          </cell>
          <cell r="C116">
            <v>41474</v>
          </cell>
          <cell r="D116" t="str">
            <v>E</v>
          </cell>
        </row>
        <row r="117">
          <cell r="B117" t="str">
            <v>086790 KS</v>
          </cell>
          <cell r="C117">
            <v>41474</v>
          </cell>
          <cell r="D117" t="str">
            <v>C</v>
          </cell>
        </row>
        <row r="118">
          <cell r="B118" t="str">
            <v>005360 KS</v>
          </cell>
          <cell r="C118">
            <v>41474</v>
          </cell>
          <cell r="D118" t="str">
            <v>E</v>
          </cell>
        </row>
        <row r="119">
          <cell r="B119" t="str">
            <v>000830 KS</v>
          </cell>
          <cell r="C119">
            <v>41474</v>
          </cell>
          <cell r="D119" t="str">
            <v>E</v>
          </cell>
        </row>
        <row r="120">
          <cell r="B120" t="str">
            <v>007070 KS</v>
          </cell>
          <cell r="C120">
            <v>41474</v>
          </cell>
          <cell r="D120" t="str">
            <v>E</v>
          </cell>
        </row>
        <row r="121">
          <cell r="B121" t="str">
            <v>102940 KS</v>
          </cell>
          <cell r="C121">
            <v>41474</v>
          </cell>
          <cell r="D121" t="str">
            <v>E</v>
          </cell>
        </row>
        <row r="122">
          <cell r="B122" t="str">
            <v>093320 KS</v>
          </cell>
          <cell r="C122">
            <v>41474</v>
          </cell>
          <cell r="D122" t="str">
            <v>E</v>
          </cell>
        </row>
        <row r="123">
          <cell r="B123" t="str">
            <v>003670 KS</v>
          </cell>
          <cell r="C123">
            <v>41474</v>
          </cell>
          <cell r="D123" t="str">
            <v>E</v>
          </cell>
        </row>
        <row r="124">
          <cell r="B124" t="str">
            <v>029780 KS</v>
          </cell>
          <cell r="C124">
            <v>41474</v>
          </cell>
          <cell r="D124" t="str">
            <v>E</v>
          </cell>
        </row>
        <row r="125">
          <cell r="B125" t="str">
            <v>012630 KS</v>
          </cell>
          <cell r="C125">
            <v>41474</v>
          </cell>
          <cell r="D125" t="str">
            <v>E</v>
          </cell>
        </row>
        <row r="126">
          <cell r="B126" t="str">
            <v>086790 KS</v>
          </cell>
          <cell r="C126">
            <v>41474</v>
          </cell>
          <cell r="D126" t="str">
            <v>C</v>
          </cell>
        </row>
        <row r="127">
          <cell r="B127" t="str">
            <v>092630 KS</v>
          </cell>
          <cell r="C127">
            <v>41474</v>
          </cell>
          <cell r="D127" t="str">
            <v>E</v>
          </cell>
        </row>
        <row r="128">
          <cell r="B128" t="str">
            <v>012630 KS</v>
          </cell>
          <cell r="C128">
            <v>41474</v>
          </cell>
          <cell r="D128" t="str">
            <v>E</v>
          </cell>
        </row>
        <row r="129">
          <cell r="B129" t="str">
            <v>019770 KS</v>
          </cell>
          <cell r="C129">
            <v>41474</v>
          </cell>
          <cell r="D129" t="str">
            <v>E</v>
          </cell>
        </row>
        <row r="130">
          <cell r="B130" t="str">
            <v>081940 KS</v>
          </cell>
          <cell r="C130">
            <v>41477</v>
          </cell>
          <cell r="D130" t="str">
            <v>E</v>
          </cell>
        </row>
        <row r="131">
          <cell r="B131" t="str">
            <v>051910 KS</v>
          </cell>
          <cell r="C131">
            <v>41477</v>
          </cell>
          <cell r="D131" t="str">
            <v>C</v>
          </cell>
        </row>
        <row r="132">
          <cell r="B132" t="str">
            <v>001790 KS</v>
          </cell>
          <cell r="C132">
            <v>41478</v>
          </cell>
          <cell r="D132" t="str">
            <v>E</v>
          </cell>
        </row>
        <row r="133">
          <cell r="B133" t="str">
            <v>040300 KS</v>
          </cell>
          <cell r="C133">
            <v>41478</v>
          </cell>
          <cell r="D133" t="str">
            <v>E</v>
          </cell>
        </row>
        <row r="134">
          <cell r="B134" t="str">
            <v>011170 KS</v>
          </cell>
          <cell r="C134">
            <v>41478</v>
          </cell>
          <cell r="D134" t="str">
            <v>E</v>
          </cell>
        </row>
        <row r="135">
          <cell r="B135" t="str">
            <v>071840 KS</v>
          </cell>
          <cell r="C135">
            <v>41478</v>
          </cell>
          <cell r="D135" t="str">
            <v>E</v>
          </cell>
        </row>
        <row r="136">
          <cell r="B136" t="str">
            <v>000240 KS</v>
          </cell>
          <cell r="C136">
            <v>41478</v>
          </cell>
          <cell r="D136" t="str">
            <v>E</v>
          </cell>
        </row>
        <row r="137">
          <cell r="B137" t="str">
            <v>071840 KS</v>
          </cell>
          <cell r="C137">
            <v>41478</v>
          </cell>
          <cell r="D137" t="str">
            <v>E</v>
          </cell>
        </row>
        <row r="138">
          <cell r="B138" t="str">
            <v>020760 KS</v>
          </cell>
          <cell r="C138">
            <v>41479</v>
          </cell>
          <cell r="D138" t="str">
            <v>E</v>
          </cell>
        </row>
        <row r="139">
          <cell r="B139" t="str">
            <v>009520 KS</v>
          </cell>
          <cell r="C139">
            <v>41479</v>
          </cell>
          <cell r="D139" t="str">
            <v>E</v>
          </cell>
        </row>
        <row r="140">
          <cell r="B140" t="str">
            <v>038290 KS</v>
          </cell>
          <cell r="C140">
            <v>41479</v>
          </cell>
          <cell r="D140" t="str">
            <v>E</v>
          </cell>
        </row>
        <row r="141">
          <cell r="B141" t="str">
            <v>046890 KS</v>
          </cell>
          <cell r="C141">
            <v>41479</v>
          </cell>
          <cell r="D141" t="str">
            <v>E</v>
          </cell>
        </row>
        <row r="142">
          <cell r="B142" t="str">
            <v>066670 KS</v>
          </cell>
          <cell r="C142">
            <v>41479</v>
          </cell>
          <cell r="D142" t="str">
            <v>E</v>
          </cell>
        </row>
        <row r="143">
          <cell r="B143" t="str">
            <v>012450 KS</v>
          </cell>
          <cell r="C143">
            <v>41479</v>
          </cell>
          <cell r="D143" t="str">
            <v>E</v>
          </cell>
        </row>
        <row r="144">
          <cell r="B144" t="str">
            <v>022100 KS</v>
          </cell>
          <cell r="C144">
            <v>41479</v>
          </cell>
          <cell r="D144" t="str">
            <v>E</v>
          </cell>
        </row>
        <row r="145">
          <cell r="B145" t="str">
            <v>010060 KS</v>
          </cell>
          <cell r="C145">
            <v>41479</v>
          </cell>
          <cell r="D145" t="str">
            <v>C</v>
          </cell>
        </row>
        <row r="146">
          <cell r="B146" t="str">
            <v>006360 KS</v>
          </cell>
          <cell r="C146">
            <v>41479</v>
          </cell>
          <cell r="D146" t="str">
            <v>E</v>
          </cell>
        </row>
        <row r="147">
          <cell r="B147" t="str">
            <v>005490 KS</v>
          </cell>
          <cell r="C147">
            <v>41479</v>
          </cell>
          <cell r="D147" t="str">
            <v>E</v>
          </cell>
        </row>
        <row r="148">
          <cell r="B148" t="str">
            <v>010520 KS</v>
          </cell>
          <cell r="C148">
            <v>41479</v>
          </cell>
          <cell r="D148" t="str">
            <v>E</v>
          </cell>
        </row>
        <row r="149">
          <cell r="B149" t="str">
            <v>010520 KS</v>
          </cell>
          <cell r="C149">
            <v>41479</v>
          </cell>
          <cell r="D149" t="str">
            <v>E</v>
          </cell>
        </row>
        <row r="150">
          <cell r="B150" t="str">
            <v>066570 KS</v>
          </cell>
          <cell r="C150">
            <v>41479</v>
          </cell>
          <cell r="D150" t="str">
            <v>C</v>
          </cell>
        </row>
        <row r="151">
          <cell r="B151" t="str">
            <v>006360 KS</v>
          </cell>
          <cell r="C151">
            <v>41479</v>
          </cell>
          <cell r="D151" t="str">
            <v>E</v>
          </cell>
        </row>
        <row r="152">
          <cell r="B152" t="str">
            <v>005190 KS</v>
          </cell>
          <cell r="C152">
            <v>41480</v>
          </cell>
          <cell r="D152" t="str">
            <v>E</v>
          </cell>
        </row>
        <row r="153">
          <cell r="B153" t="str">
            <v>047050 KS</v>
          </cell>
          <cell r="C153">
            <v>41480</v>
          </cell>
          <cell r="D153" t="str">
            <v>E</v>
          </cell>
        </row>
        <row r="154">
          <cell r="B154" t="str">
            <v>058730 KS</v>
          </cell>
          <cell r="C154">
            <v>41480</v>
          </cell>
          <cell r="D154" t="str">
            <v>E</v>
          </cell>
        </row>
        <row r="155">
          <cell r="B155" t="str">
            <v>013450 KS</v>
          </cell>
          <cell r="C155">
            <v>41480</v>
          </cell>
          <cell r="D155" t="str">
            <v>E</v>
          </cell>
        </row>
        <row r="156">
          <cell r="B156" t="str">
            <v>047040 KS</v>
          </cell>
          <cell r="C156">
            <v>41480</v>
          </cell>
          <cell r="D156" t="str">
            <v>E</v>
          </cell>
        </row>
        <row r="157">
          <cell r="B157" t="str">
            <v>004150 KS</v>
          </cell>
          <cell r="C157">
            <v>41480</v>
          </cell>
          <cell r="D157" t="str">
            <v>E</v>
          </cell>
        </row>
        <row r="158">
          <cell r="B158" t="str">
            <v>052690 KS</v>
          </cell>
          <cell r="C158">
            <v>41480</v>
          </cell>
          <cell r="D158" t="str">
            <v>E</v>
          </cell>
        </row>
        <row r="159">
          <cell r="B159" t="str">
            <v>007190 KS</v>
          </cell>
          <cell r="C159">
            <v>41480</v>
          </cell>
          <cell r="D159" t="str">
            <v>E</v>
          </cell>
        </row>
        <row r="160">
          <cell r="B160" t="str">
            <v>067280 KS</v>
          </cell>
          <cell r="C160">
            <v>41480</v>
          </cell>
          <cell r="D160" t="str">
            <v>E</v>
          </cell>
        </row>
        <row r="161">
          <cell r="B161" t="str">
            <v>099440 KS</v>
          </cell>
          <cell r="C161">
            <v>41480</v>
          </cell>
          <cell r="D161" t="str">
            <v>E</v>
          </cell>
        </row>
        <row r="162">
          <cell r="B162" t="str">
            <v>051900 KS</v>
          </cell>
          <cell r="C162">
            <v>41480</v>
          </cell>
          <cell r="D162" t="str">
            <v>E</v>
          </cell>
        </row>
        <row r="163">
          <cell r="B163" t="str">
            <v>008260 KS</v>
          </cell>
          <cell r="C163">
            <v>41480</v>
          </cell>
          <cell r="D163" t="str">
            <v>E</v>
          </cell>
        </row>
        <row r="164">
          <cell r="B164" t="str">
            <v>130740 KS</v>
          </cell>
          <cell r="C164">
            <v>41480</v>
          </cell>
          <cell r="D164" t="str">
            <v>E</v>
          </cell>
        </row>
        <row r="165">
          <cell r="B165" t="str">
            <v>000660 KS</v>
          </cell>
          <cell r="C165">
            <v>41480</v>
          </cell>
          <cell r="D165" t="str">
            <v>C</v>
          </cell>
        </row>
        <row r="166">
          <cell r="B166" t="str">
            <v>009150 KS</v>
          </cell>
          <cell r="C166">
            <v>41480</v>
          </cell>
          <cell r="D166" t="str">
            <v>C</v>
          </cell>
        </row>
        <row r="167">
          <cell r="B167" t="str">
            <v>047040 KS</v>
          </cell>
          <cell r="C167">
            <v>41480</v>
          </cell>
          <cell r="D167" t="str">
            <v>E</v>
          </cell>
        </row>
        <row r="168">
          <cell r="B168" t="str">
            <v>005490 KS</v>
          </cell>
          <cell r="C168">
            <v>41481</v>
          </cell>
          <cell r="D168" t="str">
            <v>C</v>
          </cell>
        </row>
        <row r="169">
          <cell r="B169" t="str">
            <v>136540 KS</v>
          </cell>
          <cell r="C169">
            <v>41481</v>
          </cell>
          <cell r="D169" t="str">
            <v>E</v>
          </cell>
        </row>
        <row r="170">
          <cell r="B170" t="str">
            <v>068870 KS</v>
          </cell>
          <cell r="C170">
            <v>41481</v>
          </cell>
          <cell r="D170" t="str">
            <v>E</v>
          </cell>
        </row>
        <row r="171">
          <cell r="B171" t="str">
            <v>122990 KS</v>
          </cell>
          <cell r="C171">
            <v>41481</v>
          </cell>
          <cell r="D171" t="str">
            <v>E</v>
          </cell>
        </row>
        <row r="172">
          <cell r="B172" t="str">
            <v>019680 KS</v>
          </cell>
          <cell r="C172">
            <v>41481</v>
          </cell>
          <cell r="D172" t="str">
            <v>E</v>
          </cell>
        </row>
        <row r="173">
          <cell r="B173" t="str">
            <v>001430 KS</v>
          </cell>
          <cell r="C173">
            <v>41481</v>
          </cell>
          <cell r="D173" t="str">
            <v>E</v>
          </cell>
        </row>
        <row r="174">
          <cell r="B174" t="str">
            <v>011070 KS</v>
          </cell>
          <cell r="C174">
            <v>41481</v>
          </cell>
          <cell r="D174" t="str">
            <v>E</v>
          </cell>
        </row>
        <row r="175">
          <cell r="B175" t="str">
            <v>005380 KS</v>
          </cell>
          <cell r="C175">
            <v>41481</v>
          </cell>
          <cell r="D175" t="str">
            <v>E</v>
          </cell>
        </row>
        <row r="176">
          <cell r="B176" t="str">
            <v>030000 KS</v>
          </cell>
          <cell r="C176">
            <v>41481</v>
          </cell>
          <cell r="D176" t="str">
            <v>E</v>
          </cell>
        </row>
        <row r="177">
          <cell r="B177" t="str">
            <v>011160 KS</v>
          </cell>
          <cell r="C177">
            <v>41481</v>
          </cell>
          <cell r="D177" t="str">
            <v>E</v>
          </cell>
        </row>
        <row r="178">
          <cell r="B178" t="str">
            <v>034020 KS</v>
          </cell>
          <cell r="C178">
            <v>41481</v>
          </cell>
          <cell r="D178" t="str">
            <v>E</v>
          </cell>
        </row>
        <row r="179">
          <cell r="B179" t="str">
            <v>001500 KS</v>
          </cell>
          <cell r="C179">
            <v>41481</v>
          </cell>
          <cell r="D179" t="str">
            <v>E</v>
          </cell>
        </row>
        <row r="180">
          <cell r="B180" t="str">
            <v>064760 KS</v>
          </cell>
          <cell r="C180">
            <v>41481</v>
          </cell>
          <cell r="D180" t="str">
            <v>E</v>
          </cell>
        </row>
        <row r="181">
          <cell r="B181" t="str">
            <v>089470 KS</v>
          </cell>
          <cell r="C181">
            <v>41481</v>
          </cell>
          <cell r="D181" t="str">
            <v>E</v>
          </cell>
        </row>
        <row r="182">
          <cell r="B182" t="str">
            <v>096770 KS</v>
          </cell>
          <cell r="C182">
            <v>41481</v>
          </cell>
          <cell r="D182" t="str">
            <v>E</v>
          </cell>
        </row>
        <row r="183">
          <cell r="B183" t="str">
            <v>000270 KS</v>
          </cell>
          <cell r="C183">
            <v>41481</v>
          </cell>
          <cell r="D183" t="str">
            <v>E</v>
          </cell>
        </row>
        <row r="184">
          <cell r="B184" t="str">
            <v>000060 KS</v>
          </cell>
          <cell r="C184">
            <v>41481</v>
          </cell>
          <cell r="D184" t="str">
            <v>E</v>
          </cell>
        </row>
        <row r="185">
          <cell r="B185" t="str">
            <v>012330 KS</v>
          </cell>
          <cell r="C185">
            <v>41481</v>
          </cell>
          <cell r="D185" t="str">
            <v>E</v>
          </cell>
        </row>
        <row r="186">
          <cell r="B186" t="str">
            <v>042670 KS</v>
          </cell>
          <cell r="C186">
            <v>41481</v>
          </cell>
          <cell r="D186" t="str">
            <v>E</v>
          </cell>
        </row>
        <row r="187">
          <cell r="B187" t="str">
            <v>000640 KS</v>
          </cell>
          <cell r="C187">
            <v>41481</v>
          </cell>
          <cell r="D187" t="str">
            <v>E</v>
          </cell>
        </row>
        <row r="188">
          <cell r="B188" t="str">
            <v>000720 KS</v>
          </cell>
          <cell r="C188">
            <v>41481</v>
          </cell>
          <cell r="D188" t="str">
            <v>E</v>
          </cell>
        </row>
        <row r="189">
          <cell r="B189" t="str">
            <v>010950 KS</v>
          </cell>
          <cell r="C189">
            <v>41481</v>
          </cell>
          <cell r="D189" t="str">
            <v>E</v>
          </cell>
        </row>
        <row r="190">
          <cell r="B190" t="str">
            <v>006400 KS</v>
          </cell>
          <cell r="C190">
            <v>41481</v>
          </cell>
          <cell r="D190" t="str">
            <v>E</v>
          </cell>
        </row>
        <row r="191">
          <cell r="B191" t="str">
            <v>004000 KS</v>
          </cell>
          <cell r="C191">
            <v>41481</v>
          </cell>
          <cell r="D191" t="str">
            <v>E</v>
          </cell>
        </row>
        <row r="192">
          <cell r="B192" t="str">
            <v>053620 KS</v>
          </cell>
          <cell r="C192">
            <v>41481</v>
          </cell>
          <cell r="D192" t="str">
            <v>E</v>
          </cell>
        </row>
        <row r="193">
          <cell r="B193" t="str">
            <v>049830 KS</v>
          </cell>
          <cell r="C193">
            <v>41481</v>
          </cell>
          <cell r="D193" t="str">
            <v>E</v>
          </cell>
        </row>
        <row r="194">
          <cell r="B194" t="str">
            <v>011210 KS</v>
          </cell>
          <cell r="C194">
            <v>41481</v>
          </cell>
          <cell r="D194" t="str">
            <v>E</v>
          </cell>
        </row>
        <row r="195">
          <cell r="B195" t="str">
            <v>024720 KS</v>
          </cell>
          <cell r="C195">
            <v>41481</v>
          </cell>
          <cell r="D195" t="str">
            <v>E</v>
          </cell>
        </row>
        <row r="196">
          <cell r="B196" t="str">
            <v>060980 KS</v>
          </cell>
          <cell r="C196">
            <v>41481</v>
          </cell>
          <cell r="D196" t="str">
            <v>E</v>
          </cell>
        </row>
        <row r="197">
          <cell r="B197" t="str">
            <v>070300 KS</v>
          </cell>
          <cell r="C197">
            <v>41481</v>
          </cell>
          <cell r="D197" t="str">
            <v>E</v>
          </cell>
        </row>
        <row r="198">
          <cell r="B198" t="str">
            <v>015760 KS</v>
          </cell>
          <cell r="C198">
            <v>41481</v>
          </cell>
          <cell r="D198" t="str">
            <v>E</v>
          </cell>
        </row>
        <row r="199">
          <cell r="B199" t="str">
            <v>007690 KS</v>
          </cell>
          <cell r="C199">
            <v>41481</v>
          </cell>
          <cell r="D199" t="str">
            <v>E</v>
          </cell>
        </row>
        <row r="200">
          <cell r="B200" t="str">
            <v>105560 KS</v>
          </cell>
          <cell r="C200">
            <v>41481</v>
          </cell>
          <cell r="D200" t="str">
            <v>E</v>
          </cell>
        </row>
        <row r="201">
          <cell r="B201" t="str">
            <v>036490 KS</v>
          </cell>
          <cell r="C201">
            <v>41481</v>
          </cell>
          <cell r="D201" t="str">
            <v>E</v>
          </cell>
        </row>
        <row r="202">
          <cell r="B202" t="str">
            <v>012750 KS</v>
          </cell>
          <cell r="C202">
            <v>41481</v>
          </cell>
          <cell r="D202" t="str">
            <v>E</v>
          </cell>
        </row>
        <row r="203">
          <cell r="B203" t="str">
            <v>004020 KS</v>
          </cell>
          <cell r="C203">
            <v>41481</v>
          </cell>
          <cell r="D203" t="str">
            <v>C</v>
          </cell>
        </row>
        <row r="204">
          <cell r="B204" t="str">
            <v>004020 KS</v>
          </cell>
          <cell r="C204">
            <v>41481</v>
          </cell>
          <cell r="D204" t="str">
            <v>E</v>
          </cell>
        </row>
        <row r="205">
          <cell r="B205" t="str">
            <v>000150 KS</v>
          </cell>
          <cell r="C205">
            <v>41481</v>
          </cell>
          <cell r="D205" t="str">
            <v>E</v>
          </cell>
        </row>
        <row r="206">
          <cell r="B206" t="str">
            <v>005930 KS</v>
          </cell>
          <cell r="C206">
            <v>41481</v>
          </cell>
          <cell r="D206" t="str">
            <v>C</v>
          </cell>
        </row>
        <row r="207">
          <cell r="B207" t="str">
            <v>000060 KS</v>
          </cell>
          <cell r="C207">
            <v>41481</v>
          </cell>
          <cell r="D207" t="str">
            <v>E</v>
          </cell>
        </row>
        <row r="208">
          <cell r="B208" t="str">
            <v>003600 KS</v>
          </cell>
          <cell r="C208">
            <v>41481</v>
          </cell>
          <cell r="D208" t="str">
            <v>C</v>
          </cell>
        </row>
        <row r="209">
          <cell r="B209" t="str">
            <v>170900 KS</v>
          </cell>
          <cell r="C209">
            <v>41481</v>
          </cell>
          <cell r="D209" t="str">
            <v>E</v>
          </cell>
        </row>
        <row r="210">
          <cell r="B210" t="str">
            <v>010120 KS</v>
          </cell>
          <cell r="C210">
            <v>41485</v>
          </cell>
          <cell r="D210" t="str">
            <v>E</v>
          </cell>
        </row>
        <row r="211">
          <cell r="B211" t="str">
            <v>051600 KS</v>
          </cell>
          <cell r="C211">
            <v>41485</v>
          </cell>
          <cell r="D211" t="str">
            <v>E</v>
          </cell>
        </row>
        <row r="212">
          <cell r="B212" t="str">
            <v>016580 KS</v>
          </cell>
          <cell r="C212">
            <v>41485</v>
          </cell>
          <cell r="D212" t="str">
            <v>E</v>
          </cell>
        </row>
        <row r="213">
          <cell r="B213" t="str">
            <v>010130 KS</v>
          </cell>
          <cell r="C213">
            <v>41485</v>
          </cell>
          <cell r="D213" t="str">
            <v>E</v>
          </cell>
        </row>
        <row r="214">
          <cell r="B214" t="str">
            <v>121440 KS</v>
          </cell>
          <cell r="C214">
            <v>41485</v>
          </cell>
          <cell r="D214" t="str">
            <v>E</v>
          </cell>
        </row>
        <row r="215">
          <cell r="B215" t="str">
            <v>082930 KS</v>
          </cell>
          <cell r="C215">
            <v>41485</v>
          </cell>
          <cell r="D215" t="str">
            <v>E</v>
          </cell>
        </row>
        <row r="216">
          <cell r="B216" t="str">
            <v>043650 KS</v>
          </cell>
          <cell r="C216">
            <v>41485</v>
          </cell>
          <cell r="D216" t="str">
            <v>E</v>
          </cell>
        </row>
        <row r="217">
          <cell r="B217" t="str">
            <v>063160 KS</v>
          </cell>
          <cell r="C217">
            <v>41485</v>
          </cell>
          <cell r="D217" t="str">
            <v>E</v>
          </cell>
        </row>
        <row r="218">
          <cell r="B218" t="str">
            <v>126700 KS</v>
          </cell>
          <cell r="C218">
            <v>41485</v>
          </cell>
          <cell r="D218" t="str">
            <v>E</v>
          </cell>
        </row>
        <row r="219">
          <cell r="B219" t="str">
            <v>103140 KS</v>
          </cell>
          <cell r="C219">
            <v>41485</v>
          </cell>
          <cell r="D219" t="str">
            <v>E</v>
          </cell>
        </row>
        <row r="220">
          <cell r="B220" t="str">
            <v>103140 KS</v>
          </cell>
          <cell r="C220">
            <v>41485</v>
          </cell>
          <cell r="D220" t="str">
            <v>E</v>
          </cell>
        </row>
        <row r="221">
          <cell r="B221" t="str">
            <v>108670 KS</v>
          </cell>
          <cell r="C221">
            <v>41485</v>
          </cell>
          <cell r="D221" t="str">
            <v>E</v>
          </cell>
        </row>
        <row r="222">
          <cell r="B222" t="str">
            <v>006350 KS</v>
          </cell>
          <cell r="C222">
            <v>41485</v>
          </cell>
          <cell r="D222" t="str">
            <v>E</v>
          </cell>
        </row>
        <row r="223">
          <cell r="B223" t="str">
            <v>006350 KS</v>
          </cell>
          <cell r="C223">
            <v>41485</v>
          </cell>
          <cell r="D223" t="str">
            <v>E</v>
          </cell>
        </row>
        <row r="224">
          <cell r="B224" t="str">
            <v>115390 KS</v>
          </cell>
          <cell r="C224">
            <v>41485</v>
          </cell>
          <cell r="D224" t="str">
            <v>E</v>
          </cell>
        </row>
        <row r="225">
          <cell r="B225" t="str">
            <v>003690 KS</v>
          </cell>
          <cell r="C225">
            <v>41486</v>
          </cell>
          <cell r="D225" t="str">
            <v>E</v>
          </cell>
        </row>
        <row r="226">
          <cell r="B226" t="str">
            <v>001450 KS</v>
          </cell>
          <cell r="C226">
            <v>41486</v>
          </cell>
          <cell r="D226" t="str">
            <v>E</v>
          </cell>
        </row>
        <row r="227">
          <cell r="B227" t="str">
            <v>000370 KS</v>
          </cell>
          <cell r="C227">
            <v>41486</v>
          </cell>
          <cell r="D227" t="str">
            <v>E</v>
          </cell>
        </row>
        <row r="228">
          <cell r="B228" t="str">
            <v>032640 KS</v>
          </cell>
          <cell r="C228">
            <v>41486</v>
          </cell>
          <cell r="D228" t="str">
            <v>T</v>
          </cell>
        </row>
        <row r="229">
          <cell r="B229" t="str">
            <v>119610 KS</v>
          </cell>
          <cell r="C229">
            <v>41486</v>
          </cell>
          <cell r="D229" t="str">
            <v>E</v>
          </cell>
        </row>
        <row r="230">
          <cell r="B230" t="str">
            <v>137940 KS</v>
          </cell>
          <cell r="C230">
            <v>41486</v>
          </cell>
          <cell r="D230" t="str">
            <v>E</v>
          </cell>
        </row>
        <row r="231">
          <cell r="B231" t="str">
            <v>085370 KS</v>
          </cell>
          <cell r="C231">
            <v>41486</v>
          </cell>
          <cell r="D231" t="str">
            <v>E</v>
          </cell>
        </row>
        <row r="232">
          <cell r="B232" t="str">
            <v>006280 KS</v>
          </cell>
          <cell r="C232">
            <v>41486</v>
          </cell>
          <cell r="D232" t="str">
            <v>E</v>
          </cell>
        </row>
        <row r="233">
          <cell r="B233" t="str">
            <v>037630 KS</v>
          </cell>
          <cell r="C233">
            <v>41486</v>
          </cell>
          <cell r="D233" t="str">
            <v>E</v>
          </cell>
        </row>
        <row r="234">
          <cell r="B234" t="str">
            <v>002550 KS</v>
          </cell>
          <cell r="C234">
            <v>41486</v>
          </cell>
          <cell r="D234" t="str">
            <v>E</v>
          </cell>
        </row>
        <row r="235">
          <cell r="B235" t="str">
            <v>000810 KS</v>
          </cell>
          <cell r="C235">
            <v>41486</v>
          </cell>
          <cell r="D235" t="str">
            <v>E</v>
          </cell>
        </row>
        <row r="236">
          <cell r="B236" t="str">
            <v>055550 KS</v>
          </cell>
          <cell r="C236">
            <v>41486</v>
          </cell>
          <cell r="D236" t="str">
            <v>E</v>
          </cell>
        </row>
        <row r="237">
          <cell r="B237" t="str">
            <v>001300 KS</v>
          </cell>
          <cell r="C237">
            <v>41486</v>
          </cell>
          <cell r="D237" t="str">
            <v>E</v>
          </cell>
        </row>
        <row r="238">
          <cell r="B238" t="str">
            <v>057050 KS</v>
          </cell>
          <cell r="C238">
            <v>41486</v>
          </cell>
          <cell r="D238" t="str">
            <v>E</v>
          </cell>
        </row>
        <row r="239">
          <cell r="B239" t="str">
            <v>069960 KS</v>
          </cell>
          <cell r="C239">
            <v>41486</v>
          </cell>
          <cell r="D239" t="str">
            <v>E</v>
          </cell>
        </row>
        <row r="240">
          <cell r="B240" t="str">
            <v>069960 KS</v>
          </cell>
          <cell r="C240">
            <v>41486</v>
          </cell>
          <cell r="D240" t="str">
            <v>E</v>
          </cell>
        </row>
        <row r="241">
          <cell r="B241" t="str">
            <v>126560 KS</v>
          </cell>
          <cell r="C241">
            <v>41486</v>
          </cell>
          <cell r="D241" t="str">
            <v>E</v>
          </cell>
        </row>
        <row r="242">
          <cell r="B242" t="str">
            <v>003690 KS</v>
          </cell>
          <cell r="C242">
            <v>41486</v>
          </cell>
          <cell r="D242" t="str">
            <v>E</v>
          </cell>
        </row>
        <row r="243">
          <cell r="B243" t="str">
            <v>024110 KS</v>
          </cell>
          <cell r="C243">
            <v>41487</v>
          </cell>
          <cell r="D243" t="str">
            <v>E</v>
          </cell>
        </row>
        <row r="244">
          <cell r="B244" t="str">
            <v>026040 KS</v>
          </cell>
          <cell r="C244">
            <v>41487</v>
          </cell>
          <cell r="D244" t="str">
            <v>E</v>
          </cell>
        </row>
        <row r="245">
          <cell r="B245" t="str">
            <v>033630 KS</v>
          </cell>
          <cell r="C245">
            <v>41487</v>
          </cell>
          <cell r="D245" t="str">
            <v>E</v>
          </cell>
        </row>
        <row r="246">
          <cell r="B246" t="str">
            <v>047310 KS</v>
          </cell>
          <cell r="C246">
            <v>41487</v>
          </cell>
          <cell r="D246" t="str">
            <v>E</v>
          </cell>
        </row>
        <row r="247">
          <cell r="B247" t="str">
            <v>115160 KS</v>
          </cell>
          <cell r="C247">
            <v>41487</v>
          </cell>
          <cell r="D247" t="str">
            <v>E</v>
          </cell>
        </row>
        <row r="248">
          <cell r="B248" t="str">
            <v>115160 KS</v>
          </cell>
          <cell r="C248">
            <v>41487</v>
          </cell>
          <cell r="D248" t="str">
            <v>E</v>
          </cell>
        </row>
        <row r="249">
          <cell r="B249" t="str">
            <v>061970 KS</v>
          </cell>
          <cell r="C249">
            <v>41487</v>
          </cell>
          <cell r="D249" t="str">
            <v>E</v>
          </cell>
        </row>
        <row r="250">
          <cell r="B250" t="str">
            <v>001740 KS</v>
          </cell>
          <cell r="C250">
            <v>41487</v>
          </cell>
          <cell r="D250" t="str">
            <v>E</v>
          </cell>
        </row>
        <row r="251">
          <cell r="B251" t="str">
            <v>131390 KS</v>
          </cell>
          <cell r="C251">
            <v>41487</v>
          </cell>
          <cell r="D251" t="str">
            <v>E</v>
          </cell>
        </row>
        <row r="252">
          <cell r="B252" t="str">
            <v>139130 KS</v>
          </cell>
          <cell r="C252">
            <v>41487</v>
          </cell>
          <cell r="D252" t="str">
            <v>E</v>
          </cell>
        </row>
        <row r="253">
          <cell r="B253" t="str">
            <v>117930 KS</v>
          </cell>
          <cell r="C253">
            <v>41487</v>
          </cell>
          <cell r="D253" t="str">
            <v>E</v>
          </cell>
        </row>
        <row r="254">
          <cell r="B254" t="str">
            <v>117930 KS</v>
          </cell>
          <cell r="C254">
            <v>41487</v>
          </cell>
          <cell r="D254" t="str">
            <v>E</v>
          </cell>
        </row>
        <row r="255">
          <cell r="B255" t="str">
            <v>001450 KS</v>
          </cell>
          <cell r="C255">
            <v>41488</v>
          </cell>
          <cell r="D255" t="str">
            <v>E</v>
          </cell>
        </row>
        <row r="256">
          <cell r="B256" t="str">
            <v>000120 KS</v>
          </cell>
          <cell r="C256">
            <v>41488</v>
          </cell>
          <cell r="D256" t="str">
            <v>E</v>
          </cell>
        </row>
        <row r="257">
          <cell r="B257" t="str">
            <v>017670 KS</v>
          </cell>
          <cell r="C257">
            <v>41488</v>
          </cell>
          <cell r="D257" t="str">
            <v>E</v>
          </cell>
        </row>
        <row r="258">
          <cell r="B258" t="str">
            <v>103590 KS</v>
          </cell>
          <cell r="C258">
            <v>41488</v>
          </cell>
          <cell r="D258" t="str">
            <v>E</v>
          </cell>
        </row>
        <row r="259">
          <cell r="B259" t="str">
            <v>015590 KS</v>
          </cell>
          <cell r="C259">
            <v>41488</v>
          </cell>
          <cell r="D259" t="str">
            <v>E</v>
          </cell>
        </row>
        <row r="260">
          <cell r="B260" t="str">
            <v>079970 KS</v>
          </cell>
          <cell r="C260">
            <v>41488</v>
          </cell>
          <cell r="D260" t="str">
            <v>E</v>
          </cell>
        </row>
        <row r="261">
          <cell r="B261" t="str">
            <v>097950 KS</v>
          </cell>
          <cell r="C261">
            <v>41488</v>
          </cell>
          <cell r="D261" t="str">
            <v>E</v>
          </cell>
        </row>
        <row r="262">
          <cell r="B262" t="str">
            <v>014830 KS</v>
          </cell>
          <cell r="C262">
            <v>41488</v>
          </cell>
          <cell r="D262" t="str">
            <v>E</v>
          </cell>
        </row>
        <row r="263">
          <cell r="B263" t="str">
            <v>018880 KS</v>
          </cell>
          <cell r="C263">
            <v>41488</v>
          </cell>
          <cell r="D263" t="str">
            <v>E</v>
          </cell>
        </row>
        <row r="264">
          <cell r="B264" t="str">
            <v>018880 KS</v>
          </cell>
          <cell r="C264">
            <v>41488</v>
          </cell>
          <cell r="D264" t="str">
            <v>E</v>
          </cell>
        </row>
        <row r="265">
          <cell r="B265" t="str">
            <v>053000 KS</v>
          </cell>
          <cell r="C265">
            <v>41488</v>
          </cell>
          <cell r="D265" t="str">
            <v>E</v>
          </cell>
        </row>
        <row r="266">
          <cell r="B266" t="str">
            <v>034730 KS</v>
          </cell>
          <cell r="C266">
            <v>41488</v>
          </cell>
          <cell r="D266" t="str">
            <v>E</v>
          </cell>
        </row>
        <row r="267">
          <cell r="B267" t="str">
            <v>021960 KS</v>
          </cell>
          <cell r="C267">
            <v>41488</v>
          </cell>
          <cell r="D267" t="str">
            <v>E</v>
          </cell>
        </row>
        <row r="268">
          <cell r="B268" t="str">
            <v>005430 KS</v>
          </cell>
          <cell r="C268">
            <v>41488</v>
          </cell>
          <cell r="D268" t="str">
            <v>E</v>
          </cell>
        </row>
        <row r="269">
          <cell r="B269" t="str">
            <v>030200 KS</v>
          </cell>
          <cell r="C269">
            <v>41488</v>
          </cell>
          <cell r="D269" t="str">
            <v>E</v>
          </cell>
        </row>
        <row r="270">
          <cell r="B270" t="str">
            <v>034230 KS</v>
          </cell>
          <cell r="C270">
            <v>41488</v>
          </cell>
          <cell r="D270" t="str">
            <v>E</v>
          </cell>
        </row>
        <row r="271">
          <cell r="B271" t="str">
            <v>048870 KS</v>
          </cell>
          <cell r="C271">
            <v>41488</v>
          </cell>
          <cell r="D271" t="str">
            <v>E</v>
          </cell>
        </row>
        <row r="272">
          <cell r="B272" t="str">
            <v>089890 KS</v>
          </cell>
          <cell r="C272">
            <v>41488</v>
          </cell>
          <cell r="D272" t="str">
            <v>E</v>
          </cell>
        </row>
        <row r="273">
          <cell r="B273" t="str">
            <v>078000 KS</v>
          </cell>
          <cell r="C273">
            <v>41488</v>
          </cell>
          <cell r="D273" t="str">
            <v>E</v>
          </cell>
        </row>
        <row r="274">
          <cell r="B274" t="str">
            <v>004450 KS</v>
          </cell>
          <cell r="C274">
            <v>41488</v>
          </cell>
          <cell r="D274" t="str">
            <v>E</v>
          </cell>
        </row>
        <row r="275">
          <cell r="B275" t="str">
            <v>131100 KS</v>
          </cell>
          <cell r="C275">
            <v>41488</v>
          </cell>
          <cell r="D275" t="str">
            <v>E</v>
          </cell>
        </row>
        <row r="276">
          <cell r="B276" t="str">
            <v>000210 KS</v>
          </cell>
          <cell r="C276">
            <v>41488</v>
          </cell>
          <cell r="D276" t="str">
            <v>E</v>
          </cell>
        </row>
        <row r="277">
          <cell r="B277" t="str">
            <v>136480 KS</v>
          </cell>
          <cell r="C277">
            <v>41488</v>
          </cell>
          <cell r="D277" t="str">
            <v>E</v>
          </cell>
        </row>
        <row r="278">
          <cell r="B278" t="str">
            <v>058850 KS</v>
          </cell>
          <cell r="C278">
            <v>41488</v>
          </cell>
          <cell r="D278" t="str">
            <v>E</v>
          </cell>
        </row>
        <row r="279">
          <cell r="B279" t="str">
            <v>058860 KS</v>
          </cell>
          <cell r="C279">
            <v>41488</v>
          </cell>
          <cell r="D279" t="str">
            <v>E</v>
          </cell>
        </row>
        <row r="280">
          <cell r="B280" t="str">
            <v>103590 KS</v>
          </cell>
          <cell r="C280">
            <v>41488</v>
          </cell>
          <cell r="D280" t="str">
            <v>E</v>
          </cell>
        </row>
        <row r="281">
          <cell r="B281" t="str">
            <v>015590 KS</v>
          </cell>
          <cell r="C281">
            <v>41488</v>
          </cell>
          <cell r="D281" t="str">
            <v>E</v>
          </cell>
        </row>
        <row r="282">
          <cell r="B282" t="str">
            <v>MX US</v>
          </cell>
          <cell r="C282">
            <v>41488</v>
          </cell>
          <cell r="D282" t="str">
            <v>E</v>
          </cell>
        </row>
        <row r="283">
          <cell r="B283" t="str">
            <v>000400 KS</v>
          </cell>
          <cell r="C283">
            <v>41492</v>
          </cell>
          <cell r="D283" t="str">
            <v>E</v>
          </cell>
        </row>
        <row r="284">
          <cell r="B284" t="str">
            <v>078340 KS</v>
          </cell>
          <cell r="C284">
            <v>41492</v>
          </cell>
          <cell r="D284" t="str">
            <v>E</v>
          </cell>
        </row>
        <row r="285">
          <cell r="B285" t="str">
            <v>044490 KS</v>
          </cell>
          <cell r="C285">
            <v>41492</v>
          </cell>
          <cell r="D285" t="str">
            <v>E</v>
          </cell>
        </row>
        <row r="286">
          <cell r="B286" t="str">
            <v>068240 KS</v>
          </cell>
          <cell r="C286">
            <v>41492</v>
          </cell>
          <cell r="D286" t="str">
            <v>E</v>
          </cell>
        </row>
        <row r="287">
          <cell r="B287" t="str">
            <v>054780 KS</v>
          </cell>
          <cell r="C287">
            <v>41492</v>
          </cell>
          <cell r="D287" t="str">
            <v>E</v>
          </cell>
        </row>
        <row r="288">
          <cell r="B288" t="str">
            <v>086670 KS</v>
          </cell>
          <cell r="C288">
            <v>41492</v>
          </cell>
          <cell r="D288" t="str">
            <v>E</v>
          </cell>
        </row>
        <row r="289">
          <cell r="B289" t="str">
            <v>084180 KS</v>
          </cell>
          <cell r="C289">
            <v>41492</v>
          </cell>
          <cell r="D289" t="str">
            <v>E</v>
          </cell>
        </row>
        <row r="290">
          <cell r="B290" t="str">
            <v>038060 KS</v>
          </cell>
          <cell r="C290">
            <v>41492</v>
          </cell>
          <cell r="D290" t="str">
            <v>E</v>
          </cell>
        </row>
        <row r="291">
          <cell r="B291" t="str">
            <v>068930 KS</v>
          </cell>
          <cell r="C291">
            <v>41492</v>
          </cell>
          <cell r="D291" t="str">
            <v>E</v>
          </cell>
        </row>
        <row r="292">
          <cell r="B292" t="str">
            <v>111870 KS</v>
          </cell>
          <cell r="C292">
            <v>41492</v>
          </cell>
          <cell r="D292" t="str">
            <v>E</v>
          </cell>
        </row>
        <row r="293">
          <cell r="B293" t="str">
            <v>114090 KS</v>
          </cell>
          <cell r="C293">
            <v>41492</v>
          </cell>
          <cell r="D293" t="str">
            <v>E</v>
          </cell>
        </row>
        <row r="294">
          <cell r="B294" t="str">
            <v>023160 KS</v>
          </cell>
          <cell r="C294">
            <v>41492</v>
          </cell>
          <cell r="D294" t="str">
            <v>E</v>
          </cell>
        </row>
        <row r="295">
          <cell r="B295" t="str">
            <v>054450 KS</v>
          </cell>
          <cell r="C295">
            <v>41492</v>
          </cell>
          <cell r="D295" t="str">
            <v>E</v>
          </cell>
        </row>
        <row r="296">
          <cell r="B296" t="str">
            <v>027390 KS</v>
          </cell>
          <cell r="C296">
            <v>41492</v>
          </cell>
          <cell r="D296" t="str">
            <v>E</v>
          </cell>
        </row>
        <row r="297">
          <cell r="B297" t="str">
            <v>065680 KS</v>
          </cell>
          <cell r="C297">
            <v>41492</v>
          </cell>
          <cell r="D297" t="str">
            <v>E</v>
          </cell>
        </row>
        <row r="298">
          <cell r="B298" t="str">
            <v>000540 KS</v>
          </cell>
          <cell r="C298">
            <v>41492</v>
          </cell>
          <cell r="D298" t="str">
            <v>E</v>
          </cell>
        </row>
        <row r="299">
          <cell r="B299" t="str">
            <v>065680 KS</v>
          </cell>
          <cell r="C299">
            <v>41492</v>
          </cell>
          <cell r="D299" t="str">
            <v>E</v>
          </cell>
        </row>
        <row r="300">
          <cell r="B300" t="str">
            <v>111870 KS</v>
          </cell>
          <cell r="C300">
            <v>41492</v>
          </cell>
          <cell r="D300" t="str">
            <v>E</v>
          </cell>
        </row>
        <row r="301">
          <cell r="B301" t="str">
            <v>067010 KS</v>
          </cell>
          <cell r="C301">
            <v>41493</v>
          </cell>
          <cell r="D301" t="str">
            <v>E</v>
          </cell>
        </row>
        <row r="302">
          <cell r="B302" t="str">
            <v>052330 KS</v>
          </cell>
          <cell r="C302">
            <v>41493</v>
          </cell>
          <cell r="D302" t="str">
            <v>E</v>
          </cell>
        </row>
        <row r="303">
          <cell r="B303" t="str">
            <v>096530 KS</v>
          </cell>
          <cell r="C303">
            <v>41493</v>
          </cell>
          <cell r="D303" t="str">
            <v>E</v>
          </cell>
        </row>
        <row r="304">
          <cell r="B304" t="str">
            <v>095500 KS</v>
          </cell>
          <cell r="C304">
            <v>41493</v>
          </cell>
          <cell r="D304" t="str">
            <v>E</v>
          </cell>
        </row>
        <row r="305">
          <cell r="B305" t="str">
            <v>004840 KS</v>
          </cell>
          <cell r="C305">
            <v>41493</v>
          </cell>
          <cell r="D305" t="str">
            <v>E</v>
          </cell>
        </row>
        <row r="306">
          <cell r="B306" t="str">
            <v>092600 KS</v>
          </cell>
          <cell r="C306">
            <v>41493</v>
          </cell>
          <cell r="D306" t="str">
            <v>E</v>
          </cell>
        </row>
        <row r="307">
          <cell r="B307" t="str">
            <v>067920 KS</v>
          </cell>
          <cell r="C307">
            <v>41493</v>
          </cell>
          <cell r="D307" t="str">
            <v>E</v>
          </cell>
        </row>
        <row r="308">
          <cell r="B308" t="str">
            <v>066350 KS</v>
          </cell>
          <cell r="C308">
            <v>41493</v>
          </cell>
          <cell r="D308" t="str">
            <v>E</v>
          </cell>
        </row>
        <row r="309">
          <cell r="B309" t="str">
            <v>096640 KS</v>
          </cell>
          <cell r="C309">
            <v>41493</v>
          </cell>
          <cell r="D309" t="str">
            <v>E</v>
          </cell>
        </row>
        <row r="310">
          <cell r="B310" t="str">
            <v>078600 KS</v>
          </cell>
          <cell r="C310">
            <v>41493</v>
          </cell>
          <cell r="D310" t="str">
            <v>E</v>
          </cell>
        </row>
        <row r="311">
          <cell r="B311" t="str">
            <v>012690 KS</v>
          </cell>
          <cell r="C311">
            <v>41493</v>
          </cell>
          <cell r="D311" t="str">
            <v>E</v>
          </cell>
        </row>
        <row r="312">
          <cell r="B312" t="str">
            <v>128940 KS</v>
          </cell>
          <cell r="C312">
            <v>41493</v>
          </cell>
          <cell r="D312" t="str">
            <v>E</v>
          </cell>
        </row>
        <row r="313">
          <cell r="B313" t="str">
            <v>111770 KS</v>
          </cell>
          <cell r="C313">
            <v>41493</v>
          </cell>
          <cell r="D313" t="str">
            <v>E</v>
          </cell>
        </row>
        <row r="314">
          <cell r="B314" t="str">
            <v>009970 KS</v>
          </cell>
          <cell r="C314">
            <v>41493</v>
          </cell>
          <cell r="D314" t="str">
            <v>E</v>
          </cell>
        </row>
        <row r="315">
          <cell r="B315" t="str">
            <v>043590 KS</v>
          </cell>
          <cell r="C315">
            <v>41493</v>
          </cell>
          <cell r="D315" t="str">
            <v>E</v>
          </cell>
        </row>
        <row r="316">
          <cell r="B316" t="str">
            <v>030200 KS</v>
          </cell>
          <cell r="C316">
            <v>41493</v>
          </cell>
          <cell r="D316" t="str">
            <v>E</v>
          </cell>
        </row>
        <row r="317">
          <cell r="B317" t="str">
            <v>ONI SP</v>
          </cell>
          <cell r="C317">
            <v>41493</v>
          </cell>
          <cell r="D317" t="str">
            <v>E</v>
          </cell>
        </row>
        <row r="318">
          <cell r="B318" t="str">
            <v>036570 KS</v>
          </cell>
          <cell r="C318">
            <v>41494</v>
          </cell>
          <cell r="D318" t="str">
            <v>E</v>
          </cell>
        </row>
        <row r="319">
          <cell r="B319" t="str">
            <v>012700 KS</v>
          </cell>
          <cell r="C319">
            <v>41494</v>
          </cell>
          <cell r="D319" t="str">
            <v>E</v>
          </cell>
        </row>
        <row r="320">
          <cell r="B320" t="str">
            <v>014190 KS</v>
          </cell>
          <cell r="C320">
            <v>41494</v>
          </cell>
          <cell r="D320" t="str">
            <v>E</v>
          </cell>
        </row>
        <row r="321">
          <cell r="B321" t="str">
            <v>072870 KS</v>
          </cell>
          <cell r="C321">
            <v>41494</v>
          </cell>
          <cell r="D321" t="str">
            <v>E</v>
          </cell>
        </row>
        <row r="322">
          <cell r="B322" t="str">
            <v>140410 KS</v>
          </cell>
          <cell r="C322">
            <v>41494</v>
          </cell>
          <cell r="D322" t="str">
            <v>E</v>
          </cell>
        </row>
        <row r="323">
          <cell r="B323" t="str">
            <v>138490 KS</v>
          </cell>
          <cell r="C323">
            <v>41494</v>
          </cell>
          <cell r="D323" t="str">
            <v>E</v>
          </cell>
        </row>
        <row r="324">
          <cell r="B324" t="str">
            <v>064480 KS</v>
          </cell>
          <cell r="C324">
            <v>41494</v>
          </cell>
          <cell r="D324" t="str">
            <v>E</v>
          </cell>
        </row>
        <row r="325">
          <cell r="B325" t="str">
            <v>010660 KS</v>
          </cell>
          <cell r="C325">
            <v>41494</v>
          </cell>
          <cell r="D325" t="str">
            <v>E</v>
          </cell>
        </row>
        <row r="326">
          <cell r="B326" t="str">
            <v>007280 KS</v>
          </cell>
          <cell r="C326">
            <v>41494</v>
          </cell>
          <cell r="D326" t="str">
            <v>E</v>
          </cell>
        </row>
        <row r="327">
          <cell r="B327" t="str">
            <v>082640 KS</v>
          </cell>
          <cell r="C327">
            <v>41494</v>
          </cell>
          <cell r="D327" t="str">
            <v>E</v>
          </cell>
        </row>
        <row r="328">
          <cell r="B328" t="str">
            <v>082640 KS</v>
          </cell>
          <cell r="C328">
            <v>41494</v>
          </cell>
          <cell r="D328" t="str">
            <v>E</v>
          </cell>
        </row>
        <row r="329">
          <cell r="B329" t="str">
            <v>004800 KS</v>
          </cell>
          <cell r="C329">
            <v>41494</v>
          </cell>
          <cell r="D329" t="str">
            <v>E</v>
          </cell>
        </row>
        <row r="330">
          <cell r="B330" t="str">
            <v>052220 KS</v>
          </cell>
          <cell r="C330">
            <v>41494</v>
          </cell>
          <cell r="D330" t="str">
            <v>E</v>
          </cell>
        </row>
        <row r="331">
          <cell r="B331" t="str">
            <v>052460 KS</v>
          </cell>
          <cell r="C331">
            <v>41494</v>
          </cell>
          <cell r="D331" t="str">
            <v>E</v>
          </cell>
        </row>
        <row r="332">
          <cell r="B332" t="str">
            <v>090430 KS</v>
          </cell>
          <cell r="C332">
            <v>41494</v>
          </cell>
          <cell r="D332" t="str">
            <v>E</v>
          </cell>
        </row>
        <row r="333">
          <cell r="B333" t="str">
            <v>037620 KS</v>
          </cell>
          <cell r="C333">
            <v>41494</v>
          </cell>
          <cell r="D333" t="str">
            <v>E</v>
          </cell>
        </row>
        <row r="334">
          <cell r="B334" t="str">
            <v>035420 KS</v>
          </cell>
          <cell r="C334">
            <v>41495</v>
          </cell>
          <cell r="D334" t="str">
            <v>E</v>
          </cell>
        </row>
        <row r="335">
          <cell r="B335" t="str">
            <v>035420 KS</v>
          </cell>
          <cell r="C335">
            <v>41495</v>
          </cell>
          <cell r="D335" t="str">
            <v>E</v>
          </cell>
        </row>
        <row r="336">
          <cell r="B336" t="str">
            <v>035080 KS</v>
          </cell>
          <cell r="C336">
            <v>41495</v>
          </cell>
          <cell r="D336" t="str">
            <v>E</v>
          </cell>
        </row>
        <row r="337">
          <cell r="B337" t="str">
            <v>012510 KS</v>
          </cell>
          <cell r="C337">
            <v>41495</v>
          </cell>
          <cell r="D337" t="str">
            <v>E</v>
          </cell>
        </row>
        <row r="338">
          <cell r="B338" t="str">
            <v>100840 KS</v>
          </cell>
          <cell r="C338">
            <v>41495</v>
          </cell>
          <cell r="D338" t="str">
            <v>E</v>
          </cell>
        </row>
        <row r="339">
          <cell r="B339" t="str">
            <v>064960 KS</v>
          </cell>
          <cell r="C339">
            <v>41495</v>
          </cell>
          <cell r="D339" t="str">
            <v>E</v>
          </cell>
        </row>
        <row r="340">
          <cell r="B340" t="str">
            <v>000040 KS</v>
          </cell>
          <cell r="C340">
            <v>41495</v>
          </cell>
          <cell r="D340" t="str">
            <v>E</v>
          </cell>
        </row>
        <row r="341">
          <cell r="B341" t="str">
            <v>003570 KS</v>
          </cell>
          <cell r="C341">
            <v>41495</v>
          </cell>
          <cell r="D341" t="str">
            <v>E</v>
          </cell>
        </row>
        <row r="342">
          <cell r="B342" t="str">
            <v>036530 KS</v>
          </cell>
          <cell r="C342">
            <v>41495</v>
          </cell>
          <cell r="D342" t="str">
            <v>E</v>
          </cell>
        </row>
        <row r="343">
          <cell r="B343" t="str">
            <v>095610 KS</v>
          </cell>
          <cell r="C343">
            <v>41495</v>
          </cell>
          <cell r="D343" t="str">
            <v>E</v>
          </cell>
        </row>
        <row r="344">
          <cell r="B344" t="str">
            <v>036480 KS</v>
          </cell>
          <cell r="C344">
            <v>41495</v>
          </cell>
          <cell r="D344" t="str">
            <v>E</v>
          </cell>
        </row>
        <row r="345">
          <cell r="B345" t="str">
            <v>045660 KS</v>
          </cell>
          <cell r="C345">
            <v>41495</v>
          </cell>
          <cell r="D345" t="str">
            <v>E</v>
          </cell>
        </row>
        <row r="346">
          <cell r="B346" t="str">
            <v>094940 KS</v>
          </cell>
          <cell r="C346">
            <v>41495</v>
          </cell>
          <cell r="D346" t="str">
            <v>E</v>
          </cell>
        </row>
        <row r="347">
          <cell r="B347" t="str">
            <v>065570 KS</v>
          </cell>
          <cell r="C347">
            <v>41495</v>
          </cell>
          <cell r="D347" t="str">
            <v>E</v>
          </cell>
        </row>
        <row r="348">
          <cell r="B348" t="str">
            <v>002350 KS</v>
          </cell>
          <cell r="C348">
            <v>41495</v>
          </cell>
          <cell r="D348" t="str">
            <v>E</v>
          </cell>
        </row>
        <row r="349">
          <cell r="B349" t="str">
            <v>002350 KS</v>
          </cell>
          <cell r="C349">
            <v>41495</v>
          </cell>
          <cell r="D349" t="str">
            <v>E</v>
          </cell>
        </row>
        <row r="350">
          <cell r="B350" t="str">
            <v>126600 KS</v>
          </cell>
          <cell r="C350">
            <v>41495</v>
          </cell>
          <cell r="D350" t="str">
            <v>E</v>
          </cell>
        </row>
        <row r="351">
          <cell r="B351" t="str">
            <v>021240 KS</v>
          </cell>
          <cell r="C351">
            <v>41495</v>
          </cell>
          <cell r="D351" t="str">
            <v>E</v>
          </cell>
        </row>
        <row r="352">
          <cell r="B352" t="str">
            <v>139670 KS</v>
          </cell>
          <cell r="C352">
            <v>41495</v>
          </cell>
          <cell r="D352" t="str">
            <v>E</v>
          </cell>
        </row>
        <row r="353">
          <cell r="B353" t="str">
            <v>004410 KS</v>
          </cell>
          <cell r="C353">
            <v>41495</v>
          </cell>
          <cell r="D353" t="str">
            <v>E</v>
          </cell>
        </row>
        <row r="354">
          <cell r="B354" t="str">
            <v>002790 KS</v>
          </cell>
          <cell r="C354">
            <v>41495</v>
          </cell>
          <cell r="D354" t="str">
            <v>E</v>
          </cell>
        </row>
        <row r="355">
          <cell r="B355" t="str">
            <v>004060 KS</v>
          </cell>
          <cell r="C355">
            <v>41495</v>
          </cell>
          <cell r="D355" t="str">
            <v>E</v>
          </cell>
        </row>
        <row r="356">
          <cell r="B356" t="str">
            <v>112240 KS</v>
          </cell>
          <cell r="C356">
            <v>41495</v>
          </cell>
          <cell r="D356" t="str">
            <v>E</v>
          </cell>
        </row>
        <row r="357">
          <cell r="B357" t="str">
            <v>006260 KS</v>
          </cell>
          <cell r="C357">
            <v>41495</v>
          </cell>
          <cell r="D357" t="str">
            <v>E</v>
          </cell>
        </row>
        <row r="358">
          <cell r="B358" t="str">
            <v>086960 KS</v>
          </cell>
          <cell r="C358">
            <v>41495</v>
          </cell>
          <cell r="D358" t="str">
            <v>E</v>
          </cell>
        </row>
        <row r="359">
          <cell r="B359" t="str">
            <v>005180 KS</v>
          </cell>
          <cell r="C359">
            <v>41495</v>
          </cell>
          <cell r="D359" t="str">
            <v>E</v>
          </cell>
        </row>
        <row r="360">
          <cell r="B360" t="str">
            <v>001020 KS</v>
          </cell>
          <cell r="C360">
            <v>41495</v>
          </cell>
          <cell r="D360" t="str">
            <v>E</v>
          </cell>
        </row>
        <row r="361">
          <cell r="B361" t="str">
            <v>001020 KS</v>
          </cell>
          <cell r="C361">
            <v>41495</v>
          </cell>
          <cell r="D361" t="str">
            <v>E</v>
          </cell>
        </row>
        <row r="362">
          <cell r="B362" t="str">
            <v>130960 KS</v>
          </cell>
          <cell r="C362">
            <v>41495</v>
          </cell>
          <cell r="D362" t="str">
            <v>E</v>
          </cell>
        </row>
        <row r="363">
          <cell r="B363" t="str">
            <v>023530 KS</v>
          </cell>
          <cell r="C363">
            <v>41495</v>
          </cell>
          <cell r="D363" t="str">
            <v>E</v>
          </cell>
        </row>
        <row r="364">
          <cell r="B364" t="str">
            <v>101240 KS</v>
          </cell>
          <cell r="C364">
            <v>41495</v>
          </cell>
          <cell r="D364" t="str">
            <v>E</v>
          </cell>
        </row>
        <row r="365">
          <cell r="B365" t="str">
            <v>101240 KS</v>
          </cell>
          <cell r="C365">
            <v>41495</v>
          </cell>
          <cell r="D365" t="str">
            <v>E</v>
          </cell>
        </row>
        <row r="366">
          <cell r="B366" t="str">
            <v>007330 KS</v>
          </cell>
          <cell r="C366">
            <v>41495</v>
          </cell>
          <cell r="D366" t="str">
            <v>E</v>
          </cell>
        </row>
        <row r="367">
          <cell r="B367" t="str">
            <v>103130 KS</v>
          </cell>
          <cell r="C367">
            <v>41495</v>
          </cell>
          <cell r="D367" t="str">
            <v>E</v>
          </cell>
        </row>
        <row r="368">
          <cell r="B368" t="str">
            <v>011790 KS</v>
          </cell>
          <cell r="C368">
            <v>41495</v>
          </cell>
          <cell r="D368" t="str">
            <v>E</v>
          </cell>
        </row>
        <row r="369">
          <cell r="B369" t="str">
            <v>035720 KS</v>
          </cell>
          <cell r="C369">
            <v>41495</v>
          </cell>
          <cell r="D369" t="str">
            <v>E</v>
          </cell>
        </row>
        <row r="370">
          <cell r="B370" t="str">
            <v>035720 KS</v>
          </cell>
          <cell r="C370">
            <v>41495</v>
          </cell>
          <cell r="D370" t="str">
            <v>E</v>
          </cell>
        </row>
        <row r="371">
          <cell r="B371" t="str">
            <v>008470 KS</v>
          </cell>
          <cell r="C371">
            <v>41495</v>
          </cell>
          <cell r="D371" t="str">
            <v>E</v>
          </cell>
        </row>
        <row r="372">
          <cell r="B372" t="str">
            <v>066270 KS</v>
          </cell>
          <cell r="C372">
            <v>41495</v>
          </cell>
          <cell r="D372" t="str">
            <v>E</v>
          </cell>
        </row>
        <row r="373">
          <cell r="B373" t="str">
            <v>011200 KS</v>
          </cell>
          <cell r="C373">
            <v>41495</v>
          </cell>
          <cell r="D373" t="str">
            <v>E</v>
          </cell>
        </row>
        <row r="374">
          <cell r="B374" t="str">
            <v>039980 KS</v>
          </cell>
          <cell r="C374">
            <v>41495</v>
          </cell>
          <cell r="D374" t="str">
            <v>E</v>
          </cell>
        </row>
        <row r="375">
          <cell r="B375" t="str">
            <v>131370 KS</v>
          </cell>
          <cell r="C375">
            <v>41495</v>
          </cell>
          <cell r="D375" t="str">
            <v>E</v>
          </cell>
        </row>
        <row r="376">
          <cell r="B376" t="str">
            <v>051360 KS</v>
          </cell>
          <cell r="C376">
            <v>41495</v>
          </cell>
          <cell r="D376" t="str">
            <v>E</v>
          </cell>
        </row>
        <row r="377">
          <cell r="B377" t="str">
            <v>016170 KS</v>
          </cell>
          <cell r="C377">
            <v>41495</v>
          </cell>
          <cell r="D377" t="str">
            <v>E</v>
          </cell>
        </row>
        <row r="378">
          <cell r="B378" t="str">
            <v>018120 KS</v>
          </cell>
          <cell r="C378">
            <v>41495</v>
          </cell>
          <cell r="D378" t="str">
            <v>E</v>
          </cell>
        </row>
        <row r="379">
          <cell r="B379" t="str">
            <v>048530 KS</v>
          </cell>
          <cell r="C379">
            <v>41495</v>
          </cell>
          <cell r="D379" t="str">
            <v>E</v>
          </cell>
        </row>
        <row r="380">
          <cell r="B380" t="str">
            <v>074130 KS</v>
          </cell>
          <cell r="C380">
            <v>41495</v>
          </cell>
          <cell r="D380" t="str">
            <v>E</v>
          </cell>
        </row>
        <row r="381">
          <cell r="B381" t="str">
            <v>101670 KS</v>
          </cell>
          <cell r="C381">
            <v>41495</v>
          </cell>
          <cell r="D381" t="str">
            <v>E</v>
          </cell>
        </row>
        <row r="382">
          <cell r="B382" t="str">
            <v>109080 KS</v>
          </cell>
          <cell r="C382">
            <v>41495</v>
          </cell>
          <cell r="D382" t="str">
            <v>E</v>
          </cell>
        </row>
        <row r="383">
          <cell r="B383" t="str">
            <v>017510 KS</v>
          </cell>
          <cell r="C383">
            <v>41495</v>
          </cell>
          <cell r="D383" t="str">
            <v>E</v>
          </cell>
        </row>
        <row r="384">
          <cell r="B384" t="str">
            <v>088350 KS</v>
          </cell>
          <cell r="C384">
            <v>41495</v>
          </cell>
          <cell r="D384" t="str">
            <v>E</v>
          </cell>
        </row>
        <row r="385">
          <cell r="B385" t="str">
            <v>088350 KS</v>
          </cell>
          <cell r="C385">
            <v>41495</v>
          </cell>
          <cell r="D385" t="str">
            <v>E</v>
          </cell>
        </row>
        <row r="386">
          <cell r="B386" t="str">
            <v>041520 KS</v>
          </cell>
          <cell r="C386">
            <v>41495</v>
          </cell>
          <cell r="D386" t="str">
            <v>E</v>
          </cell>
        </row>
        <row r="387">
          <cell r="B387" t="str">
            <v>015760 KS</v>
          </cell>
          <cell r="C387">
            <v>41495</v>
          </cell>
          <cell r="D387" t="str">
            <v>E</v>
          </cell>
        </row>
        <row r="388">
          <cell r="B388" t="str">
            <v>049550 KS</v>
          </cell>
          <cell r="C388">
            <v>41495</v>
          </cell>
          <cell r="D388" t="str">
            <v>E</v>
          </cell>
        </row>
        <row r="389">
          <cell r="B389" t="str">
            <v>016250 KS</v>
          </cell>
          <cell r="C389">
            <v>41495</v>
          </cell>
          <cell r="D389" t="str">
            <v>E</v>
          </cell>
        </row>
        <row r="390">
          <cell r="B390" t="str">
            <v>016250 KS</v>
          </cell>
          <cell r="C390">
            <v>41495</v>
          </cell>
          <cell r="D390" t="str">
            <v>E</v>
          </cell>
        </row>
        <row r="391">
          <cell r="B391" t="str">
            <v>136510 KS</v>
          </cell>
          <cell r="C391">
            <v>41495</v>
          </cell>
          <cell r="D391" t="str">
            <v>E</v>
          </cell>
        </row>
        <row r="392">
          <cell r="B392" t="str">
            <v>032830 KS</v>
          </cell>
          <cell r="C392">
            <v>41495</v>
          </cell>
          <cell r="D392" t="str">
            <v>E</v>
          </cell>
        </row>
        <row r="393">
          <cell r="B393" t="str">
            <v>054950 KS</v>
          </cell>
          <cell r="C393">
            <v>41495</v>
          </cell>
          <cell r="D393" t="str">
            <v>E</v>
          </cell>
        </row>
        <row r="394">
          <cell r="B394" t="str">
            <v>000760 KS</v>
          </cell>
          <cell r="C394">
            <v>41495</v>
          </cell>
          <cell r="D394" t="str">
            <v>E</v>
          </cell>
        </row>
        <row r="395">
          <cell r="B395" t="str">
            <v>035000 KS</v>
          </cell>
          <cell r="C395">
            <v>41495</v>
          </cell>
          <cell r="D395" t="str">
            <v>E</v>
          </cell>
        </row>
        <row r="396">
          <cell r="B396" t="str">
            <v>019660 KS</v>
          </cell>
          <cell r="C396">
            <v>41495</v>
          </cell>
          <cell r="D396" t="str">
            <v>E</v>
          </cell>
        </row>
        <row r="397">
          <cell r="B397" t="str">
            <v>005290 KS</v>
          </cell>
          <cell r="C397">
            <v>41495</v>
          </cell>
          <cell r="D397" t="str">
            <v>E</v>
          </cell>
        </row>
        <row r="398">
          <cell r="B398" t="str">
            <v>001130 KS</v>
          </cell>
          <cell r="C398">
            <v>41495</v>
          </cell>
          <cell r="D398" t="str">
            <v>E</v>
          </cell>
        </row>
        <row r="399">
          <cell r="B399" t="str">
            <v>006920 KS</v>
          </cell>
          <cell r="C399">
            <v>41495</v>
          </cell>
          <cell r="D399" t="str">
            <v>E</v>
          </cell>
        </row>
        <row r="400">
          <cell r="B400" t="str">
            <v>060720 KS</v>
          </cell>
          <cell r="C400">
            <v>41495</v>
          </cell>
          <cell r="D400" t="str">
            <v>E</v>
          </cell>
        </row>
        <row r="401">
          <cell r="B401" t="str">
            <v>080000 KS</v>
          </cell>
          <cell r="C401">
            <v>41495</v>
          </cell>
          <cell r="D401" t="str">
            <v>E</v>
          </cell>
        </row>
        <row r="402">
          <cell r="B402" t="str">
            <v>079000 KS</v>
          </cell>
          <cell r="C402">
            <v>41495</v>
          </cell>
          <cell r="D402" t="str">
            <v>E</v>
          </cell>
        </row>
        <row r="403">
          <cell r="B403" t="str">
            <v>105740 KS</v>
          </cell>
          <cell r="C403">
            <v>41495</v>
          </cell>
          <cell r="D403" t="str">
            <v>E</v>
          </cell>
        </row>
        <row r="404">
          <cell r="B404" t="str">
            <v>037070 KS</v>
          </cell>
          <cell r="C404">
            <v>41495</v>
          </cell>
          <cell r="D404" t="str">
            <v>E</v>
          </cell>
        </row>
        <row r="405">
          <cell r="B405" t="str">
            <v>036180 KS</v>
          </cell>
          <cell r="C405">
            <v>41495</v>
          </cell>
          <cell r="D405" t="str">
            <v>E</v>
          </cell>
        </row>
        <row r="406">
          <cell r="B406" t="str">
            <v>065130 KS</v>
          </cell>
          <cell r="C406">
            <v>41495</v>
          </cell>
          <cell r="D406" t="str">
            <v>E</v>
          </cell>
        </row>
        <row r="407">
          <cell r="B407" t="str">
            <v>036810 KS</v>
          </cell>
          <cell r="C407">
            <v>41495</v>
          </cell>
          <cell r="D407" t="str">
            <v>E</v>
          </cell>
        </row>
        <row r="408">
          <cell r="B408" t="str">
            <v>047440 KS</v>
          </cell>
          <cell r="C408">
            <v>41495</v>
          </cell>
          <cell r="D408" t="str">
            <v>E</v>
          </cell>
        </row>
        <row r="409">
          <cell r="B409" t="str">
            <v>034220 KS</v>
          </cell>
          <cell r="C409">
            <v>41495</v>
          </cell>
          <cell r="D409" t="str">
            <v>E</v>
          </cell>
        </row>
        <row r="410">
          <cell r="B410" t="str">
            <v>053590 KS</v>
          </cell>
          <cell r="C410">
            <v>41495</v>
          </cell>
          <cell r="D410" t="str">
            <v>E</v>
          </cell>
        </row>
        <row r="411">
          <cell r="B411" t="str">
            <v>036580 KS</v>
          </cell>
          <cell r="C411">
            <v>41495</v>
          </cell>
          <cell r="D411" t="str">
            <v>E</v>
          </cell>
        </row>
        <row r="412">
          <cell r="B412" t="str">
            <v>122800 KS</v>
          </cell>
          <cell r="C412">
            <v>41495</v>
          </cell>
          <cell r="D412" t="str">
            <v>E</v>
          </cell>
        </row>
        <row r="413">
          <cell r="B413" t="str">
            <v>041520 KS</v>
          </cell>
          <cell r="C413">
            <v>41495</v>
          </cell>
          <cell r="D413" t="str">
            <v>E</v>
          </cell>
        </row>
        <row r="414">
          <cell r="B414" t="str">
            <v>006260 KS</v>
          </cell>
          <cell r="C414">
            <v>41495</v>
          </cell>
          <cell r="D414" t="str">
            <v>E</v>
          </cell>
        </row>
        <row r="415">
          <cell r="B415" t="str">
            <v>066270 KS</v>
          </cell>
          <cell r="C415">
            <v>41495</v>
          </cell>
          <cell r="D415" t="str">
            <v>E</v>
          </cell>
        </row>
        <row r="416">
          <cell r="B416" t="str">
            <v>130960 KS</v>
          </cell>
          <cell r="C416">
            <v>41495</v>
          </cell>
          <cell r="D416" t="str">
            <v>E</v>
          </cell>
        </row>
        <row r="417">
          <cell r="B417" t="str">
            <v>011200 KS</v>
          </cell>
          <cell r="C417">
            <v>41495</v>
          </cell>
          <cell r="D417" t="str">
            <v>E</v>
          </cell>
        </row>
        <row r="418">
          <cell r="B418" t="str">
            <v>106520 KS</v>
          </cell>
          <cell r="C418">
            <v>41495</v>
          </cell>
          <cell r="D418" t="str">
            <v>E</v>
          </cell>
        </row>
        <row r="419">
          <cell r="B419" t="str">
            <v>036560 KS</v>
          </cell>
          <cell r="C419">
            <v>41496</v>
          </cell>
          <cell r="D419" t="str">
            <v>E</v>
          </cell>
        </row>
        <row r="420">
          <cell r="B420" t="str">
            <v>041960 KS</v>
          </cell>
          <cell r="C420">
            <v>41499</v>
          </cell>
          <cell r="D420" t="str">
            <v>E</v>
          </cell>
        </row>
        <row r="421">
          <cell r="B421" t="str">
            <v>123100 KS</v>
          </cell>
          <cell r="C421">
            <v>41499</v>
          </cell>
          <cell r="D421" t="str">
            <v>E</v>
          </cell>
        </row>
        <row r="422">
          <cell r="B422" t="str">
            <v>023000 KS</v>
          </cell>
          <cell r="C422">
            <v>41499</v>
          </cell>
          <cell r="D422" t="str">
            <v>E</v>
          </cell>
        </row>
        <row r="423">
          <cell r="B423" t="str">
            <v>063080 KS</v>
          </cell>
          <cell r="C423">
            <v>41499</v>
          </cell>
          <cell r="D423" t="str">
            <v>E</v>
          </cell>
        </row>
        <row r="424">
          <cell r="B424" t="str">
            <v>019770 KS</v>
          </cell>
          <cell r="C424">
            <v>41499</v>
          </cell>
          <cell r="D424" t="str">
            <v>E</v>
          </cell>
        </row>
        <row r="425">
          <cell r="B425" t="str">
            <v>082920 KS</v>
          </cell>
          <cell r="C425">
            <v>41499</v>
          </cell>
          <cell r="D425" t="str">
            <v>E</v>
          </cell>
        </row>
        <row r="426">
          <cell r="B426" t="str">
            <v>016670 KS</v>
          </cell>
          <cell r="C426">
            <v>41499</v>
          </cell>
          <cell r="D426" t="str">
            <v>E</v>
          </cell>
        </row>
        <row r="427">
          <cell r="B427" t="str">
            <v>008040 KS</v>
          </cell>
          <cell r="C427">
            <v>41499</v>
          </cell>
          <cell r="D427" t="str">
            <v>E</v>
          </cell>
        </row>
        <row r="428">
          <cell r="B428" t="str">
            <v>036670 KS</v>
          </cell>
          <cell r="C428">
            <v>41499</v>
          </cell>
          <cell r="D428" t="str">
            <v>E</v>
          </cell>
        </row>
        <row r="429">
          <cell r="B429" t="str">
            <v>038070 KS</v>
          </cell>
          <cell r="C429">
            <v>41499</v>
          </cell>
          <cell r="D429" t="str">
            <v>E</v>
          </cell>
        </row>
        <row r="430">
          <cell r="B430" t="str">
            <v>038540 KS</v>
          </cell>
          <cell r="C430">
            <v>41499</v>
          </cell>
          <cell r="D430" t="str">
            <v>E</v>
          </cell>
        </row>
        <row r="431">
          <cell r="B431" t="str">
            <v>019570 KS</v>
          </cell>
          <cell r="C431">
            <v>41499</v>
          </cell>
          <cell r="D431" t="str">
            <v>E</v>
          </cell>
        </row>
        <row r="432">
          <cell r="B432" t="str">
            <v>036190 KS</v>
          </cell>
          <cell r="C432">
            <v>41499</v>
          </cell>
          <cell r="D432" t="str">
            <v>E</v>
          </cell>
        </row>
        <row r="433">
          <cell r="B433" t="str">
            <v>032080 KS</v>
          </cell>
          <cell r="C433">
            <v>41499</v>
          </cell>
          <cell r="D433" t="str">
            <v>E</v>
          </cell>
        </row>
        <row r="434">
          <cell r="B434" t="str">
            <v>049950 KS</v>
          </cell>
          <cell r="C434">
            <v>41499</v>
          </cell>
          <cell r="D434" t="str">
            <v>E</v>
          </cell>
        </row>
        <row r="435">
          <cell r="B435" t="str">
            <v>021650 KS</v>
          </cell>
          <cell r="C435">
            <v>41499</v>
          </cell>
          <cell r="D435" t="str">
            <v>E</v>
          </cell>
        </row>
        <row r="436">
          <cell r="B436" t="str">
            <v>021650 KS</v>
          </cell>
          <cell r="C436">
            <v>41499</v>
          </cell>
          <cell r="D436" t="str">
            <v>E</v>
          </cell>
        </row>
        <row r="437">
          <cell r="B437" t="str">
            <v>093640 KS</v>
          </cell>
          <cell r="C437">
            <v>41499</v>
          </cell>
          <cell r="D437" t="str">
            <v>E</v>
          </cell>
        </row>
        <row r="438">
          <cell r="B438" t="str">
            <v>003650 KS</v>
          </cell>
          <cell r="C438">
            <v>41499</v>
          </cell>
          <cell r="D438" t="str">
            <v>E</v>
          </cell>
        </row>
        <row r="439">
          <cell r="B439" t="str">
            <v>012790 KS</v>
          </cell>
          <cell r="C439">
            <v>41499</v>
          </cell>
          <cell r="D439" t="str">
            <v>E</v>
          </cell>
        </row>
        <row r="440">
          <cell r="B440" t="str">
            <v>127120 KS</v>
          </cell>
          <cell r="C440">
            <v>41499</v>
          </cell>
          <cell r="D440" t="str">
            <v>E</v>
          </cell>
        </row>
        <row r="441">
          <cell r="B441" t="str">
            <v>036090 KS</v>
          </cell>
          <cell r="C441">
            <v>41499</v>
          </cell>
          <cell r="D441" t="str">
            <v>E</v>
          </cell>
        </row>
        <row r="442">
          <cell r="B442" t="str">
            <v>115310 KS</v>
          </cell>
          <cell r="C442">
            <v>41499</v>
          </cell>
          <cell r="D442" t="str">
            <v>E</v>
          </cell>
        </row>
        <row r="443">
          <cell r="B443" t="str">
            <v>093520 KS</v>
          </cell>
          <cell r="C443">
            <v>41499</v>
          </cell>
          <cell r="D443" t="str">
            <v>E</v>
          </cell>
        </row>
        <row r="444">
          <cell r="B444" t="str">
            <v>006140 KS</v>
          </cell>
          <cell r="C444">
            <v>41499</v>
          </cell>
          <cell r="D444" t="str">
            <v>E</v>
          </cell>
        </row>
        <row r="445">
          <cell r="B445" t="str">
            <v>002290 KS</v>
          </cell>
          <cell r="C445">
            <v>41499</v>
          </cell>
          <cell r="D445" t="str">
            <v>E</v>
          </cell>
        </row>
        <row r="446">
          <cell r="B446" t="str">
            <v>109860 KS</v>
          </cell>
          <cell r="C446">
            <v>41499</v>
          </cell>
          <cell r="D446" t="str">
            <v>E</v>
          </cell>
        </row>
        <row r="447">
          <cell r="B447" t="str">
            <v>045520 KS</v>
          </cell>
          <cell r="C447">
            <v>41499</v>
          </cell>
          <cell r="D447" t="str">
            <v>E</v>
          </cell>
        </row>
        <row r="448">
          <cell r="B448" t="str">
            <v>073540 KS</v>
          </cell>
          <cell r="C448">
            <v>41499</v>
          </cell>
          <cell r="D448" t="str">
            <v>E</v>
          </cell>
        </row>
        <row r="449">
          <cell r="B449" t="str">
            <v>018620 KS</v>
          </cell>
          <cell r="C449">
            <v>41499</v>
          </cell>
          <cell r="D449" t="str">
            <v>E</v>
          </cell>
        </row>
        <row r="450">
          <cell r="B450" t="str">
            <v>079810 KS</v>
          </cell>
          <cell r="C450">
            <v>41499</v>
          </cell>
          <cell r="D450" t="str">
            <v>E</v>
          </cell>
        </row>
        <row r="451">
          <cell r="B451" t="str">
            <v>058220 KS</v>
          </cell>
          <cell r="C451">
            <v>41499</v>
          </cell>
          <cell r="D451" t="str">
            <v>E</v>
          </cell>
        </row>
        <row r="452">
          <cell r="B452" t="str">
            <v>119500 KS</v>
          </cell>
          <cell r="C452">
            <v>41499</v>
          </cell>
          <cell r="D452" t="str">
            <v>E</v>
          </cell>
        </row>
        <row r="453">
          <cell r="B453" t="str">
            <v>091580 KS</v>
          </cell>
          <cell r="C453">
            <v>41499</v>
          </cell>
          <cell r="D453" t="str">
            <v>E</v>
          </cell>
        </row>
        <row r="454">
          <cell r="B454" t="str">
            <v>123860 KS</v>
          </cell>
          <cell r="C454">
            <v>41499</v>
          </cell>
          <cell r="D454" t="str">
            <v>E</v>
          </cell>
        </row>
        <row r="455">
          <cell r="B455" t="str">
            <v>098120 KS</v>
          </cell>
          <cell r="C455">
            <v>41499</v>
          </cell>
          <cell r="D455" t="str">
            <v>E</v>
          </cell>
        </row>
        <row r="456">
          <cell r="B456" t="str">
            <v>100130 KS</v>
          </cell>
          <cell r="C456">
            <v>41499</v>
          </cell>
          <cell r="D456" t="str">
            <v>E</v>
          </cell>
        </row>
        <row r="457">
          <cell r="B457" t="str">
            <v>044380 KS</v>
          </cell>
          <cell r="C457">
            <v>41499</v>
          </cell>
          <cell r="D457" t="str">
            <v>E</v>
          </cell>
        </row>
        <row r="458">
          <cell r="B458" t="str">
            <v>104460 KS</v>
          </cell>
          <cell r="C458">
            <v>41499</v>
          </cell>
          <cell r="D458" t="str">
            <v>E</v>
          </cell>
        </row>
        <row r="459">
          <cell r="B459" t="str">
            <v>002150 KS</v>
          </cell>
          <cell r="C459">
            <v>41499</v>
          </cell>
          <cell r="D459" t="str">
            <v>E</v>
          </cell>
        </row>
        <row r="460">
          <cell r="B460" t="str">
            <v>010140 KS</v>
          </cell>
          <cell r="C460">
            <v>41499</v>
          </cell>
          <cell r="D460" t="str">
            <v>E</v>
          </cell>
        </row>
        <row r="461">
          <cell r="B461" t="str">
            <v>091970 KS</v>
          </cell>
          <cell r="C461">
            <v>41499</v>
          </cell>
          <cell r="D461" t="str">
            <v>E</v>
          </cell>
        </row>
        <row r="462">
          <cell r="B462" t="str">
            <v>100030 KS</v>
          </cell>
          <cell r="C462">
            <v>41499</v>
          </cell>
          <cell r="D462" t="str">
            <v>E</v>
          </cell>
        </row>
        <row r="463">
          <cell r="B463" t="str">
            <v>013570 KS</v>
          </cell>
          <cell r="C463">
            <v>41499</v>
          </cell>
          <cell r="D463" t="str">
            <v>E</v>
          </cell>
        </row>
        <row r="464">
          <cell r="B464" t="str">
            <v>119650 KS</v>
          </cell>
          <cell r="C464">
            <v>41499</v>
          </cell>
          <cell r="D464" t="str">
            <v>E</v>
          </cell>
        </row>
        <row r="465">
          <cell r="B465" t="str">
            <v>090710 KS</v>
          </cell>
          <cell r="C465">
            <v>41499</v>
          </cell>
          <cell r="D465" t="str">
            <v>E</v>
          </cell>
        </row>
        <row r="466">
          <cell r="B466" t="str">
            <v>069730 KS</v>
          </cell>
          <cell r="C466">
            <v>41499</v>
          </cell>
          <cell r="D466" t="str">
            <v>E</v>
          </cell>
        </row>
        <row r="467">
          <cell r="B467" t="str">
            <v>002000 KS</v>
          </cell>
          <cell r="C467">
            <v>41499</v>
          </cell>
          <cell r="D467" t="str">
            <v>E</v>
          </cell>
        </row>
        <row r="468">
          <cell r="B468" t="str">
            <v>038950 KS</v>
          </cell>
          <cell r="C468">
            <v>41499</v>
          </cell>
          <cell r="D468" t="str">
            <v>E</v>
          </cell>
        </row>
        <row r="469">
          <cell r="B469" t="str">
            <v>091700 KS</v>
          </cell>
          <cell r="C469">
            <v>41499</v>
          </cell>
          <cell r="D469" t="str">
            <v>E</v>
          </cell>
        </row>
        <row r="470">
          <cell r="B470" t="str">
            <v>131290 KS</v>
          </cell>
          <cell r="C470">
            <v>41499</v>
          </cell>
          <cell r="D470" t="str">
            <v>E</v>
          </cell>
        </row>
        <row r="471">
          <cell r="B471" t="str">
            <v>035200 KS</v>
          </cell>
          <cell r="C471">
            <v>41499</v>
          </cell>
          <cell r="D471" t="str">
            <v>E</v>
          </cell>
        </row>
        <row r="472">
          <cell r="B472" t="str">
            <v>009540 KS</v>
          </cell>
          <cell r="C472">
            <v>41499</v>
          </cell>
          <cell r="D472" t="str">
            <v>E</v>
          </cell>
        </row>
        <row r="473">
          <cell r="B473" t="str">
            <v>145270 KS</v>
          </cell>
          <cell r="C473">
            <v>41499</v>
          </cell>
          <cell r="D473" t="str">
            <v>E</v>
          </cell>
        </row>
        <row r="474">
          <cell r="B474" t="str">
            <v>002600 KS</v>
          </cell>
          <cell r="C474">
            <v>41499</v>
          </cell>
          <cell r="D474" t="str">
            <v>E</v>
          </cell>
        </row>
        <row r="475">
          <cell r="B475" t="str">
            <v>006650 KS</v>
          </cell>
          <cell r="C475">
            <v>41499</v>
          </cell>
          <cell r="D475" t="str">
            <v>E</v>
          </cell>
        </row>
        <row r="476">
          <cell r="B476" t="str">
            <v>065650 KS</v>
          </cell>
          <cell r="C476">
            <v>41499</v>
          </cell>
          <cell r="D476" t="str">
            <v>E</v>
          </cell>
        </row>
        <row r="477">
          <cell r="B477" t="str">
            <v>032680 KS</v>
          </cell>
          <cell r="C477">
            <v>41499</v>
          </cell>
          <cell r="D477" t="str">
            <v>E</v>
          </cell>
        </row>
        <row r="478">
          <cell r="B478" t="str">
            <v>002960 KS</v>
          </cell>
          <cell r="C478">
            <v>41499</v>
          </cell>
          <cell r="D478" t="str">
            <v>E</v>
          </cell>
        </row>
        <row r="479">
          <cell r="B479" t="str">
            <v>081220 KS</v>
          </cell>
          <cell r="C479">
            <v>41499</v>
          </cell>
          <cell r="D479" t="str">
            <v>E</v>
          </cell>
        </row>
        <row r="480">
          <cell r="B480" t="str">
            <v>079170 KS</v>
          </cell>
          <cell r="C480">
            <v>41499</v>
          </cell>
          <cell r="D480" t="str">
            <v>E</v>
          </cell>
        </row>
        <row r="481">
          <cell r="B481" t="str">
            <v>049770 KS</v>
          </cell>
          <cell r="C481">
            <v>41499</v>
          </cell>
          <cell r="D481" t="str">
            <v>E</v>
          </cell>
        </row>
        <row r="482">
          <cell r="B482" t="str">
            <v>049770 KS</v>
          </cell>
          <cell r="C482">
            <v>41499</v>
          </cell>
          <cell r="D482" t="str">
            <v>E</v>
          </cell>
        </row>
        <row r="483">
          <cell r="B483" t="str">
            <v>101680 KS</v>
          </cell>
          <cell r="C483">
            <v>41499</v>
          </cell>
          <cell r="D483" t="str">
            <v>E</v>
          </cell>
        </row>
        <row r="484">
          <cell r="B484" t="str">
            <v>071090 KS</v>
          </cell>
          <cell r="C484">
            <v>41499</v>
          </cell>
          <cell r="D484" t="str">
            <v>E</v>
          </cell>
        </row>
        <row r="485">
          <cell r="B485" t="str">
            <v>027740 KS</v>
          </cell>
          <cell r="C485">
            <v>41499</v>
          </cell>
          <cell r="D485" t="str">
            <v>E</v>
          </cell>
        </row>
        <row r="486">
          <cell r="B486" t="str">
            <v>010170 KS</v>
          </cell>
          <cell r="C486">
            <v>41499</v>
          </cell>
          <cell r="D486" t="str">
            <v>E</v>
          </cell>
        </row>
        <row r="487">
          <cell r="B487" t="str">
            <v>006040 KS</v>
          </cell>
          <cell r="C487">
            <v>41499</v>
          </cell>
          <cell r="D487" t="str">
            <v>E</v>
          </cell>
        </row>
        <row r="488">
          <cell r="B488" t="str">
            <v>006040 KS</v>
          </cell>
          <cell r="C488">
            <v>41499</v>
          </cell>
          <cell r="D488" t="str">
            <v>E</v>
          </cell>
        </row>
        <row r="489">
          <cell r="B489" t="str">
            <v>045340 KS</v>
          </cell>
          <cell r="C489">
            <v>41499</v>
          </cell>
          <cell r="D489" t="str">
            <v>E</v>
          </cell>
        </row>
        <row r="490">
          <cell r="B490" t="str">
            <v>131030 KS</v>
          </cell>
          <cell r="C490">
            <v>41499</v>
          </cell>
          <cell r="D490" t="str">
            <v>E</v>
          </cell>
        </row>
        <row r="491">
          <cell r="B491" t="str">
            <v>101970 KS</v>
          </cell>
          <cell r="C491">
            <v>41499</v>
          </cell>
          <cell r="D491" t="str">
            <v>E</v>
          </cell>
        </row>
        <row r="492">
          <cell r="B492" t="str">
            <v>041960 KS</v>
          </cell>
          <cell r="C492">
            <v>41499</v>
          </cell>
          <cell r="D492" t="str">
            <v>E</v>
          </cell>
        </row>
        <row r="493">
          <cell r="B493" t="str">
            <v>024110 KS</v>
          </cell>
          <cell r="C493">
            <v>41500</v>
          </cell>
          <cell r="D493" t="str">
            <v>E</v>
          </cell>
        </row>
        <row r="494">
          <cell r="B494" t="str">
            <v>001120 KS</v>
          </cell>
          <cell r="C494">
            <v>41500</v>
          </cell>
          <cell r="D494" t="str">
            <v>E</v>
          </cell>
        </row>
        <row r="495">
          <cell r="B495" t="str">
            <v>003490 KS</v>
          </cell>
          <cell r="C495">
            <v>41500</v>
          </cell>
          <cell r="D495" t="str">
            <v>C</v>
          </cell>
        </row>
        <row r="496">
          <cell r="B496" t="str">
            <v>138930 KS</v>
          </cell>
          <cell r="C496">
            <v>41500</v>
          </cell>
          <cell r="D496" t="str">
            <v>E</v>
          </cell>
        </row>
        <row r="497">
          <cell r="B497" t="str">
            <v>048470 KS</v>
          </cell>
          <cell r="C497">
            <v>41500</v>
          </cell>
          <cell r="D497" t="str">
            <v>E</v>
          </cell>
        </row>
        <row r="498">
          <cell r="B498" t="str">
            <v>005800 KS</v>
          </cell>
          <cell r="C498">
            <v>41500</v>
          </cell>
          <cell r="D498" t="str">
            <v>E</v>
          </cell>
        </row>
        <row r="499">
          <cell r="B499" t="str">
            <v>000220 KS</v>
          </cell>
          <cell r="C499">
            <v>41500</v>
          </cell>
          <cell r="D499" t="str">
            <v>E</v>
          </cell>
        </row>
        <row r="500">
          <cell r="B500" t="str">
            <v>101330 KS</v>
          </cell>
          <cell r="C500">
            <v>41500</v>
          </cell>
          <cell r="D500" t="str">
            <v>E</v>
          </cell>
        </row>
        <row r="501">
          <cell r="B501" t="str">
            <v>039840 KS</v>
          </cell>
          <cell r="C501">
            <v>41500</v>
          </cell>
          <cell r="D501" t="str">
            <v>E</v>
          </cell>
        </row>
        <row r="502">
          <cell r="B502" t="str">
            <v>095660 KS</v>
          </cell>
          <cell r="C502">
            <v>41500</v>
          </cell>
          <cell r="D502" t="str">
            <v>E</v>
          </cell>
        </row>
        <row r="503">
          <cell r="B503" t="str">
            <v>088910 KS</v>
          </cell>
          <cell r="C503">
            <v>41500</v>
          </cell>
          <cell r="D503" t="str">
            <v>E</v>
          </cell>
        </row>
        <row r="504">
          <cell r="B504" t="str">
            <v>069540 KS</v>
          </cell>
          <cell r="C504">
            <v>41500</v>
          </cell>
          <cell r="D504" t="str">
            <v>E</v>
          </cell>
        </row>
        <row r="505">
          <cell r="B505" t="str">
            <v>069540 KS</v>
          </cell>
          <cell r="C505">
            <v>41500</v>
          </cell>
          <cell r="D505" t="str">
            <v>E</v>
          </cell>
        </row>
        <row r="506">
          <cell r="B506" t="str">
            <v>092300 KS</v>
          </cell>
          <cell r="C506">
            <v>41500</v>
          </cell>
          <cell r="D506" t="str">
            <v>E</v>
          </cell>
        </row>
        <row r="507">
          <cell r="B507" t="str">
            <v>003580 KS</v>
          </cell>
          <cell r="C507">
            <v>41500</v>
          </cell>
          <cell r="D507" t="str">
            <v>E</v>
          </cell>
        </row>
        <row r="508">
          <cell r="B508" t="str">
            <v>115440 KS</v>
          </cell>
          <cell r="C508">
            <v>41500</v>
          </cell>
          <cell r="D508" t="str">
            <v>E</v>
          </cell>
        </row>
        <row r="509">
          <cell r="B509" t="str">
            <v>110310 KS</v>
          </cell>
          <cell r="C509">
            <v>41500</v>
          </cell>
          <cell r="D509" t="str">
            <v>E</v>
          </cell>
        </row>
        <row r="510">
          <cell r="B510" t="str">
            <v>053950 KS</v>
          </cell>
          <cell r="C510">
            <v>41500</v>
          </cell>
          <cell r="D510" t="str">
            <v>E</v>
          </cell>
        </row>
        <row r="511">
          <cell r="B511" t="str">
            <v>059100 KS</v>
          </cell>
          <cell r="C511">
            <v>41500</v>
          </cell>
          <cell r="D511" t="str">
            <v>E</v>
          </cell>
        </row>
        <row r="512">
          <cell r="B512" t="str">
            <v>096870 KS</v>
          </cell>
          <cell r="C512">
            <v>41500</v>
          </cell>
          <cell r="D512" t="str">
            <v>E</v>
          </cell>
        </row>
        <row r="513">
          <cell r="B513" t="str">
            <v>014570 KS</v>
          </cell>
          <cell r="C513">
            <v>41500</v>
          </cell>
          <cell r="D513" t="str">
            <v>E</v>
          </cell>
        </row>
        <row r="514">
          <cell r="B514" t="str">
            <v>073010 KS</v>
          </cell>
          <cell r="C514">
            <v>41500</v>
          </cell>
          <cell r="D514" t="str">
            <v>E</v>
          </cell>
        </row>
        <row r="515">
          <cell r="B515" t="str">
            <v>002380 KS</v>
          </cell>
          <cell r="C515">
            <v>41500</v>
          </cell>
          <cell r="D515" t="str">
            <v>E</v>
          </cell>
        </row>
        <row r="516">
          <cell r="B516" t="str">
            <v>104700 KS</v>
          </cell>
          <cell r="C516">
            <v>41500</v>
          </cell>
          <cell r="D516" t="str">
            <v>E</v>
          </cell>
        </row>
        <row r="517">
          <cell r="B517" t="str">
            <v>001840 KS</v>
          </cell>
          <cell r="C517">
            <v>41500</v>
          </cell>
          <cell r="D517" t="str">
            <v>E</v>
          </cell>
        </row>
        <row r="518">
          <cell r="B518" t="str">
            <v>015350 KS</v>
          </cell>
          <cell r="C518">
            <v>41500</v>
          </cell>
          <cell r="D518" t="str">
            <v>E</v>
          </cell>
        </row>
        <row r="519">
          <cell r="B519" t="str">
            <v>033310 KS</v>
          </cell>
          <cell r="C519">
            <v>41500</v>
          </cell>
          <cell r="D519" t="str">
            <v>E</v>
          </cell>
        </row>
        <row r="520">
          <cell r="B520" t="str">
            <v>003940 KS</v>
          </cell>
          <cell r="C520">
            <v>41500</v>
          </cell>
          <cell r="D520" t="str">
            <v>E</v>
          </cell>
        </row>
        <row r="521">
          <cell r="B521" t="str">
            <v>019990 KS</v>
          </cell>
          <cell r="C521">
            <v>41500</v>
          </cell>
          <cell r="D521" t="str">
            <v>E</v>
          </cell>
        </row>
        <row r="522">
          <cell r="B522" t="str">
            <v>100660 KS</v>
          </cell>
          <cell r="C522">
            <v>41500</v>
          </cell>
          <cell r="D522" t="str">
            <v>E</v>
          </cell>
        </row>
        <row r="523">
          <cell r="B523" t="str">
            <v>114190 KS</v>
          </cell>
          <cell r="C523">
            <v>41500</v>
          </cell>
          <cell r="D523" t="str">
            <v>E</v>
          </cell>
        </row>
        <row r="524">
          <cell r="B524" t="str">
            <v>025870 KS</v>
          </cell>
          <cell r="C524">
            <v>41500</v>
          </cell>
          <cell r="D524" t="str">
            <v>E</v>
          </cell>
        </row>
        <row r="525">
          <cell r="B525" t="str">
            <v>001290 KS</v>
          </cell>
          <cell r="C525">
            <v>41500</v>
          </cell>
          <cell r="D525" t="str">
            <v>E</v>
          </cell>
        </row>
        <row r="526">
          <cell r="B526" t="str">
            <v>072950 KS</v>
          </cell>
          <cell r="C526">
            <v>41500</v>
          </cell>
          <cell r="D526" t="str">
            <v>E</v>
          </cell>
        </row>
        <row r="527">
          <cell r="B527" t="str">
            <v>036620 KS</v>
          </cell>
          <cell r="C527">
            <v>41500</v>
          </cell>
          <cell r="D527" t="str">
            <v>E</v>
          </cell>
        </row>
        <row r="528">
          <cell r="B528" t="str">
            <v>068330 KS</v>
          </cell>
          <cell r="C528">
            <v>41500</v>
          </cell>
          <cell r="D528" t="str">
            <v>E</v>
          </cell>
        </row>
        <row r="529">
          <cell r="B529" t="str">
            <v>073190 KS</v>
          </cell>
          <cell r="C529">
            <v>41500</v>
          </cell>
          <cell r="D529" t="str">
            <v>E</v>
          </cell>
        </row>
        <row r="530">
          <cell r="B530" t="str">
            <v>073190 KS</v>
          </cell>
          <cell r="C530">
            <v>41500</v>
          </cell>
          <cell r="D530" t="str">
            <v>E</v>
          </cell>
        </row>
        <row r="531">
          <cell r="B531" t="str">
            <v>058470 KS</v>
          </cell>
          <cell r="C531">
            <v>41500</v>
          </cell>
          <cell r="D531" t="str">
            <v>E</v>
          </cell>
        </row>
        <row r="532">
          <cell r="B532" t="str">
            <v>051380 KS</v>
          </cell>
          <cell r="C532">
            <v>41500</v>
          </cell>
          <cell r="D532" t="str">
            <v>E</v>
          </cell>
        </row>
        <row r="533">
          <cell r="B533" t="str">
            <v>024900 KS</v>
          </cell>
          <cell r="C533">
            <v>41500</v>
          </cell>
          <cell r="D533" t="str">
            <v>E</v>
          </cell>
        </row>
        <row r="534">
          <cell r="B534" t="str">
            <v>004380 KS</v>
          </cell>
          <cell r="C534">
            <v>41500</v>
          </cell>
          <cell r="D534" t="str">
            <v>E</v>
          </cell>
        </row>
        <row r="535">
          <cell r="B535" t="str">
            <v>115500 KS</v>
          </cell>
          <cell r="C535">
            <v>41500</v>
          </cell>
          <cell r="D535" t="str">
            <v>E</v>
          </cell>
        </row>
        <row r="536">
          <cell r="B536" t="str">
            <v>126640 KS</v>
          </cell>
          <cell r="C536">
            <v>41500</v>
          </cell>
          <cell r="D536" t="str">
            <v>E</v>
          </cell>
        </row>
        <row r="537">
          <cell r="B537" t="str">
            <v>009770 KS</v>
          </cell>
          <cell r="C537">
            <v>41500</v>
          </cell>
          <cell r="D537" t="str">
            <v>E</v>
          </cell>
        </row>
        <row r="538">
          <cell r="B538" t="str">
            <v>001000 KS</v>
          </cell>
          <cell r="C538">
            <v>41500</v>
          </cell>
          <cell r="D538" t="str">
            <v>E</v>
          </cell>
        </row>
        <row r="539">
          <cell r="B539" t="str">
            <v>131090 KS</v>
          </cell>
          <cell r="C539">
            <v>41500</v>
          </cell>
          <cell r="D539" t="str">
            <v>E</v>
          </cell>
        </row>
        <row r="540">
          <cell r="B540" t="str">
            <v>006740 KS</v>
          </cell>
          <cell r="C540">
            <v>41500</v>
          </cell>
          <cell r="D540" t="str">
            <v>E</v>
          </cell>
        </row>
        <row r="541">
          <cell r="B541" t="str">
            <v>003080 KS</v>
          </cell>
          <cell r="C541">
            <v>41500</v>
          </cell>
          <cell r="D541" t="str">
            <v>E</v>
          </cell>
        </row>
        <row r="542">
          <cell r="B542" t="str">
            <v>002900 KS</v>
          </cell>
          <cell r="C542">
            <v>41500</v>
          </cell>
          <cell r="D542" t="str">
            <v>E</v>
          </cell>
        </row>
        <row r="543">
          <cell r="B543" t="str">
            <v>086250 KS</v>
          </cell>
          <cell r="C543">
            <v>41500</v>
          </cell>
          <cell r="D543" t="str">
            <v>E</v>
          </cell>
        </row>
        <row r="544">
          <cell r="B544" t="str">
            <v>026910 KS</v>
          </cell>
          <cell r="C544">
            <v>41500</v>
          </cell>
          <cell r="D544" t="str">
            <v>E</v>
          </cell>
        </row>
        <row r="545">
          <cell r="B545" t="str">
            <v>114630 KS</v>
          </cell>
          <cell r="C545">
            <v>41500</v>
          </cell>
          <cell r="D545" t="str">
            <v>E</v>
          </cell>
        </row>
        <row r="546">
          <cell r="B546" t="str">
            <v>025860 KS</v>
          </cell>
          <cell r="C546">
            <v>41500</v>
          </cell>
          <cell r="D546" t="str">
            <v>E</v>
          </cell>
        </row>
        <row r="547">
          <cell r="B547" t="str">
            <v>017480 KS</v>
          </cell>
          <cell r="C547">
            <v>41500</v>
          </cell>
          <cell r="D547" t="str">
            <v>E</v>
          </cell>
        </row>
        <row r="548">
          <cell r="B548" t="str">
            <v>060260 KS</v>
          </cell>
          <cell r="C548">
            <v>41500</v>
          </cell>
          <cell r="D548" t="str">
            <v>E</v>
          </cell>
        </row>
        <row r="549">
          <cell r="B549" t="str">
            <v>051910 KS</v>
          </cell>
          <cell r="C549">
            <v>41500</v>
          </cell>
          <cell r="D549" t="str">
            <v>E</v>
          </cell>
        </row>
        <row r="550">
          <cell r="B550" t="str">
            <v>109960 KS</v>
          </cell>
          <cell r="C550">
            <v>41500</v>
          </cell>
          <cell r="D550" t="str">
            <v>E</v>
          </cell>
        </row>
        <row r="551">
          <cell r="B551" t="str">
            <v>039610 KS</v>
          </cell>
          <cell r="C551">
            <v>41500</v>
          </cell>
          <cell r="D551" t="str">
            <v>E</v>
          </cell>
        </row>
        <row r="552">
          <cell r="B552" t="str">
            <v>025890 KS</v>
          </cell>
          <cell r="C552">
            <v>41500</v>
          </cell>
          <cell r="D552" t="str">
            <v>E</v>
          </cell>
        </row>
        <row r="553">
          <cell r="B553" t="str">
            <v>140910 KS</v>
          </cell>
          <cell r="C553">
            <v>41500</v>
          </cell>
          <cell r="D553" t="str">
            <v>E</v>
          </cell>
        </row>
        <row r="554">
          <cell r="B554" t="str">
            <v>033780 KS</v>
          </cell>
          <cell r="C554">
            <v>41500</v>
          </cell>
          <cell r="D554" t="str">
            <v>E</v>
          </cell>
        </row>
        <row r="555">
          <cell r="B555" t="str">
            <v>000020 KS</v>
          </cell>
          <cell r="C555">
            <v>41500</v>
          </cell>
          <cell r="D555" t="str">
            <v>E</v>
          </cell>
        </row>
        <row r="556">
          <cell r="B556" t="str">
            <v>060280 KS</v>
          </cell>
          <cell r="C556">
            <v>41500</v>
          </cell>
          <cell r="D556" t="str">
            <v>E</v>
          </cell>
        </row>
        <row r="557">
          <cell r="B557" t="str">
            <v>001250 KS</v>
          </cell>
          <cell r="C557">
            <v>41500</v>
          </cell>
          <cell r="D557" t="str">
            <v>E</v>
          </cell>
        </row>
        <row r="558">
          <cell r="B558" t="str">
            <v>020560 KS</v>
          </cell>
          <cell r="C558">
            <v>41500</v>
          </cell>
          <cell r="D558" t="str">
            <v>E</v>
          </cell>
        </row>
        <row r="559">
          <cell r="B559" t="str">
            <v>006050 KS</v>
          </cell>
          <cell r="C559">
            <v>41500</v>
          </cell>
          <cell r="D559" t="str">
            <v>E</v>
          </cell>
        </row>
        <row r="560">
          <cell r="B560" t="str">
            <v>064290 KS</v>
          </cell>
          <cell r="C560">
            <v>41500</v>
          </cell>
          <cell r="D560" t="str">
            <v>E</v>
          </cell>
        </row>
        <row r="561">
          <cell r="B561" t="str">
            <v>099520 KS</v>
          </cell>
          <cell r="C561">
            <v>41500</v>
          </cell>
          <cell r="D561" t="str">
            <v>E</v>
          </cell>
        </row>
        <row r="562">
          <cell r="B562" t="str">
            <v>016800 KS</v>
          </cell>
          <cell r="C562">
            <v>41500</v>
          </cell>
          <cell r="D562" t="str">
            <v>E</v>
          </cell>
        </row>
        <row r="563">
          <cell r="B563" t="str">
            <v>024950 KS</v>
          </cell>
          <cell r="C563">
            <v>41500</v>
          </cell>
          <cell r="D563" t="str">
            <v>E</v>
          </cell>
        </row>
        <row r="564">
          <cell r="B564" t="str">
            <v>025270 KS</v>
          </cell>
          <cell r="C564">
            <v>41500</v>
          </cell>
          <cell r="D564" t="str">
            <v>E</v>
          </cell>
        </row>
        <row r="565">
          <cell r="B565" t="str">
            <v>025540 KS</v>
          </cell>
          <cell r="C565">
            <v>41500</v>
          </cell>
          <cell r="D565" t="str">
            <v>E</v>
          </cell>
        </row>
        <row r="566">
          <cell r="B566" t="str">
            <v>006110 KS</v>
          </cell>
          <cell r="C566">
            <v>41500</v>
          </cell>
          <cell r="D566" t="str">
            <v>E</v>
          </cell>
        </row>
        <row r="567">
          <cell r="B567" t="str">
            <v>042370 KS</v>
          </cell>
          <cell r="C567">
            <v>41500</v>
          </cell>
          <cell r="D567" t="str">
            <v>E</v>
          </cell>
        </row>
        <row r="568">
          <cell r="B568" t="str">
            <v>013340 KS</v>
          </cell>
          <cell r="C568">
            <v>41500</v>
          </cell>
          <cell r="D568" t="str">
            <v>E</v>
          </cell>
        </row>
        <row r="569">
          <cell r="B569" t="str">
            <v>005500 KS</v>
          </cell>
          <cell r="C569">
            <v>41500</v>
          </cell>
          <cell r="D569" t="str">
            <v>E</v>
          </cell>
        </row>
        <row r="570">
          <cell r="B570" t="str">
            <v>009300 KS</v>
          </cell>
          <cell r="C570">
            <v>41500</v>
          </cell>
          <cell r="D570" t="str">
            <v>E</v>
          </cell>
        </row>
        <row r="571">
          <cell r="B571" t="str">
            <v>111610 KS</v>
          </cell>
          <cell r="C571">
            <v>41500</v>
          </cell>
          <cell r="D571" t="str">
            <v>E</v>
          </cell>
        </row>
        <row r="572">
          <cell r="B572" t="str">
            <v>032280 KS</v>
          </cell>
          <cell r="C572">
            <v>41500</v>
          </cell>
          <cell r="D572" t="str">
            <v>E</v>
          </cell>
        </row>
        <row r="573">
          <cell r="B573" t="str">
            <v>053050 KS</v>
          </cell>
          <cell r="C573">
            <v>41500</v>
          </cell>
          <cell r="D573" t="str">
            <v>E</v>
          </cell>
        </row>
        <row r="574">
          <cell r="B574" t="str">
            <v>024090 KS</v>
          </cell>
          <cell r="C574">
            <v>41500</v>
          </cell>
          <cell r="D574" t="str">
            <v>E</v>
          </cell>
        </row>
        <row r="575">
          <cell r="B575" t="str">
            <v>017250 KS</v>
          </cell>
          <cell r="C575">
            <v>41500</v>
          </cell>
          <cell r="D575" t="str">
            <v>E</v>
          </cell>
        </row>
        <row r="576">
          <cell r="B576" t="str">
            <v>011370 KS</v>
          </cell>
          <cell r="C576">
            <v>41500</v>
          </cell>
          <cell r="D576" t="str">
            <v>E</v>
          </cell>
        </row>
        <row r="577">
          <cell r="B577" t="str">
            <v>024940 KS</v>
          </cell>
          <cell r="C577">
            <v>41500</v>
          </cell>
          <cell r="D577" t="str">
            <v>E</v>
          </cell>
        </row>
        <row r="578">
          <cell r="B578" t="str">
            <v>001420 KS</v>
          </cell>
          <cell r="C578">
            <v>41500</v>
          </cell>
          <cell r="D578" t="str">
            <v>E</v>
          </cell>
        </row>
        <row r="579">
          <cell r="B579" t="str">
            <v>086890 KS</v>
          </cell>
          <cell r="C579">
            <v>41500</v>
          </cell>
          <cell r="D579" t="str">
            <v>E</v>
          </cell>
        </row>
        <row r="580">
          <cell r="B580" t="str">
            <v>066570 KS</v>
          </cell>
          <cell r="C580">
            <v>41500</v>
          </cell>
          <cell r="D580" t="str">
            <v>E</v>
          </cell>
        </row>
        <row r="581">
          <cell r="B581" t="str">
            <v>010040 KS</v>
          </cell>
          <cell r="C581">
            <v>41500</v>
          </cell>
          <cell r="D581" t="str">
            <v>E</v>
          </cell>
        </row>
        <row r="582">
          <cell r="B582" t="str">
            <v>106240 KS</v>
          </cell>
          <cell r="C582">
            <v>41500</v>
          </cell>
          <cell r="D582" t="str">
            <v>E</v>
          </cell>
        </row>
        <row r="583">
          <cell r="B583" t="str">
            <v>106240 KS</v>
          </cell>
          <cell r="C583">
            <v>41500</v>
          </cell>
          <cell r="D583" t="str">
            <v>E</v>
          </cell>
        </row>
        <row r="584">
          <cell r="B584" t="str">
            <v>005870 KS</v>
          </cell>
          <cell r="C584">
            <v>41500</v>
          </cell>
          <cell r="D584" t="str">
            <v>E</v>
          </cell>
        </row>
        <row r="585">
          <cell r="B585" t="str">
            <v>007630 KS</v>
          </cell>
          <cell r="C585">
            <v>41500</v>
          </cell>
          <cell r="D585" t="str">
            <v>E</v>
          </cell>
        </row>
        <row r="586">
          <cell r="B586" t="str">
            <v>025620 KS</v>
          </cell>
          <cell r="C586">
            <v>41500</v>
          </cell>
          <cell r="D586" t="str">
            <v>E</v>
          </cell>
        </row>
        <row r="587">
          <cell r="B587" t="str">
            <v>052600 KS</v>
          </cell>
          <cell r="C587">
            <v>41500</v>
          </cell>
          <cell r="D587" t="str">
            <v>E</v>
          </cell>
        </row>
        <row r="588">
          <cell r="B588" t="str">
            <v>121890 KS</v>
          </cell>
          <cell r="C588">
            <v>41500</v>
          </cell>
          <cell r="D588" t="str">
            <v>E</v>
          </cell>
        </row>
        <row r="589">
          <cell r="B589" t="str">
            <v>051900 KS</v>
          </cell>
          <cell r="C589">
            <v>41500</v>
          </cell>
          <cell r="D589" t="str">
            <v>E</v>
          </cell>
        </row>
        <row r="590">
          <cell r="B590" t="str">
            <v>039240 KS</v>
          </cell>
          <cell r="C590">
            <v>41500</v>
          </cell>
          <cell r="D590" t="str">
            <v>E</v>
          </cell>
        </row>
        <row r="591">
          <cell r="B591" t="str">
            <v>010100 KS</v>
          </cell>
          <cell r="C591">
            <v>41500</v>
          </cell>
          <cell r="D591" t="str">
            <v>E</v>
          </cell>
        </row>
        <row r="592">
          <cell r="B592" t="str">
            <v>010100 KS</v>
          </cell>
          <cell r="C592">
            <v>41500</v>
          </cell>
          <cell r="D592" t="str">
            <v>E</v>
          </cell>
        </row>
        <row r="593">
          <cell r="B593" t="str">
            <v>067900 KS</v>
          </cell>
          <cell r="C593">
            <v>41500</v>
          </cell>
          <cell r="D593" t="str">
            <v>E</v>
          </cell>
        </row>
        <row r="594">
          <cell r="B594" t="str">
            <v>094850 KS</v>
          </cell>
          <cell r="C594">
            <v>41500</v>
          </cell>
          <cell r="D594" t="str">
            <v>E</v>
          </cell>
        </row>
        <row r="595">
          <cell r="B595" t="str">
            <v>037230 KS</v>
          </cell>
          <cell r="C595">
            <v>41500</v>
          </cell>
          <cell r="D595" t="str">
            <v>E</v>
          </cell>
        </row>
        <row r="596">
          <cell r="B596" t="str">
            <v>023910 KS</v>
          </cell>
          <cell r="C596">
            <v>41500</v>
          </cell>
          <cell r="D596" t="str">
            <v>E</v>
          </cell>
        </row>
        <row r="597">
          <cell r="B597" t="str">
            <v>011500 KS</v>
          </cell>
          <cell r="C597">
            <v>41500</v>
          </cell>
          <cell r="D597" t="str">
            <v>E</v>
          </cell>
        </row>
        <row r="598">
          <cell r="B598" t="str">
            <v>084010 KS</v>
          </cell>
          <cell r="C598">
            <v>41500</v>
          </cell>
          <cell r="D598" t="str">
            <v>E</v>
          </cell>
        </row>
        <row r="599">
          <cell r="B599" t="str">
            <v>008870 KS</v>
          </cell>
          <cell r="C599">
            <v>41500</v>
          </cell>
          <cell r="D599" t="str">
            <v>E</v>
          </cell>
        </row>
        <row r="600">
          <cell r="B600" t="str">
            <v>052670 KS</v>
          </cell>
          <cell r="C600">
            <v>41500</v>
          </cell>
          <cell r="D600" t="str">
            <v>E</v>
          </cell>
        </row>
        <row r="601">
          <cell r="B601" t="str">
            <v>008730 KS</v>
          </cell>
          <cell r="C601">
            <v>41500</v>
          </cell>
          <cell r="D601" t="str">
            <v>E</v>
          </cell>
        </row>
        <row r="602">
          <cell r="B602" t="str">
            <v>038870 KS</v>
          </cell>
          <cell r="C602">
            <v>41500</v>
          </cell>
          <cell r="D602" t="str">
            <v>E</v>
          </cell>
        </row>
        <row r="603">
          <cell r="B603" t="str">
            <v>038870 KS</v>
          </cell>
          <cell r="C603">
            <v>41500</v>
          </cell>
          <cell r="D603" t="str">
            <v>E</v>
          </cell>
        </row>
        <row r="604">
          <cell r="B604" t="str">
            <v>106190 KS</v>
          </cell>
          <cell r="C604">
            <v>41500</v>
          </cell>
          <cell r="D604" t="str">
            <v>E</v>
          </cell>
        </row>
        <row r="605">
          <cell r="B605" t="str">
            <v>043710 KS</v>
          </cell>
          <cell r="C605">
            <v>41500</v>
          </cell>
          <cell r="D605" t="str">
            <v>E</v>
          </cell>
        </row>
        <row r="606">
          <cell r="B606" t="str">
            <v>043710 KS</v>
          </cell>
          <cell r="C606">
            <v>41500</v>
          </cell>
          <cell r="D606" t="str">
            <v>E</v>
          </cell>
        </row>
        <row r="607">
          <cell r="B607" t="str">
            <v>041590 KS</v>
          </cell>
          <cell r="C607">
            <v>41500</v>
          </cell>
          <cell r="D607" t="str">
            <v>E</v>
          </cell>
        </row>
        <row r="608">
          <cell r="B608" t="str">
            <v>103230 KS</v>
          </cell>
          <cell r="C608">
            <v>41500</v>
          </cell>
          <cell r="D608" t="str">
            <v>E</v>
          </cell>
        </row>
        <row r="609">
          <cell r="B609" t="str">
            <v>020180 KS</v>
          </cell>
          <cell r="C609">
            <v>41500</v>
          </cell>
          <cell r="D609" t="str">
            <v>E</v>
          </cell>
        </row>
        <row r="610">
          <cell r="B610" t="str">
            <v>027580 KS</v>
          </cell>
          <cell r="C610">
            <v>41500</v>
          </cell>
          <cell r="D610" t="str">
            <v>E</v>
          </cell>
        </row>
        <row r="611">
          <cell r="B611" t="str">
            <v>046070 KS</v>
          </cell>
          <cell r="C611">
            <v>41500</v>
          </cell>
          <cell r="D611" t="str">
            <v>E</v>
          </cell>
        </row>
        <row r="612">
          <cell r="B612" t="str">
            <v>068870 KS</v>
          </cell>
          <cell r="C612">
            <v>41500</v>
          </cell>
          <cell r="D612" t="str">
            <v>E</v>
          </cell>
        </row>
        <row r="613">
          <cell r="B613" t="str">
            <v>024060 KS</v>
          </cell>
          <cell r="C613">
            <v>41500</v>
          </cell>
          <cell r="D613" t="str">
            <v>E</v>
          </cell>
        </row>
        <row r="614">
          <cell r="B614" t="str">
            <v>100090 KS</v>
          </cell>
          <cell r="C614">
            <v>41500</v>
          </cell>
          <cell r="D614" t="str">
            <v>E</v>
          </cell>
        </row>
        <row r="615">
          <cell r="B615" t="str">
            <v>083420 KS</v>
          </cell>
          <cell r="C615">
            <v>41500</v>
          </cell>
          <cell r="D615" t="str">
            <v>E</v>
          </cell>
        </row>
        <row r="616">
          <cell r="B616" t="str">
            <v>010580 KS</v>
          </cell>
          <cell r="C616">
            <v>41500</v>
          </cell>
          <cell r="D616" t="str">
            <v>E</v>
          </cell>
        </row>
        <row r="617">
          <cell r="B617" t="str">
            <v>013720 KS</v>
          </cell>
          <cell r="C617">
            <v>41500</v>
          </cell>
          <cell r="D617" t="str">
            <v>E</v>
          </cell>
        </row>
        <row r="618">
          <cell r="B618" t="str">
            <v>123420 KS</v>
          </cell>
          <cell r="C618">
            <v>41500</v>
          </cell>
          <cell r="D618" t="str">
            <v>E</v>
          </cell>
        </row>
        <row r="619">
          <cell r="B619" t="str">
            <v>004890 KS</v>
          </cell>
          <cell r="C619">
            <v>41500</v>
          </cell>
          <cell r="D619" t="str">
            <v>E</v>
          </cell>
        </row>
        <row r="620">
          <cell r="B620" t="str">
            <v>023760 KS</v>
          </cell>
          <cell r="C620">
            <v>41500</v>
          </cell>
          <cell r="D620" t="str">
            <v>E</v>
          </cell>
        </row>
        <row r="621">
          <cell r="B621" t="str">
            <v>029960 KS</v>
          </cell>
          <cell r="C621">
            <v>41500</v>
          </cell>
          <cell r="D621" t="str">
            <v>E</v>
          </cell>
        </row>
        <row r="622">
          <cell r="B622" t="str">
            <v>014100 KS</v>
          </cell>
          <cell r="C622">
            <v>41500</v>
          </cell>
          <cell r="D622" t="str">
            <v>E</v>
          </cell>
        </row>
        <row r="623">
          <cell r="B623" t="str">
            <v>096630 KS</v>
          </cell>
          <cell r="C623">
            <v>41500</v>
          </cell>
          <cell r="D623" t="str">
            <v>E</v>
          </cell>
        </row>
        <row r="624">
          <cell r="B624" t="str">
            <v>096630 KS</v>
          </cell>
          <cell r="C624">
            <v>41500</v>
          </cell>
          <cell r="D624" t="str">
            <v>E</v>
          </cell>
        </row>
        <row r="625">
          <cell r="B625" t="str">
            <v>000440 KS</v>
          </cell>
          <cell r="C625">
            <v>41500</v>
          </cell>
          <cell r="D625" t="str">
            <v>E</v>
          </cell>
        </row>
        <row r="626">
          <cell r="B626" t="str">
            <v>003350 KS</v>
          </cell>
          <cell r="C626">
            <v>41500</v>
          </cell>
          <cell r="D626" t="str">
            <v>E</v>
          </cell>
        </row>
        <row r="627">
          <cell r="B627" t="str">
            <v>108860 KS</v>
          </cell>
          <cell r="C627">
            <v>41500</v>
          </cell>
          <cell r="D627" t="str">
            <v>E</v>
          </cell>
        </row>
        <row r="628">
          <cell r="B628" t="str">
            <v>008110 KS</v>
          </cell>
          <cell r="C628">
            <v>41500</v>
          </cell>
          <cell r="D628" t="str">
            <v>E</v>
          </cell>
        </row>
        <row r="629">
          <cell r="B629" t="str">
            <v>126680 KS</v>
          </cell>
          <cell r="C629">
            <v>41500</v>
          </cell>
          <cell r="D629" t="str">
            <v>E</v>
          </cell>
        </row>
        <row r="630">
          <cell r="B630" t="str">
            <v>054220 KS</v>
          </cell>
          <cell r="C630">
            <v>41500</v>
          </cell>
          <cell r="D630" t="str">
            <v>E</v>
          </cell>
        </row>
        <row r="631">
          <cell r="B631" t="str">
            <v>008720 KS</v>
          </cell>
          <cell r="C631">
            <v>41500</v>
          </cell>
          <cell r="D631" t="str">
            <v>E</v>
          </cell>
        </row>
        <row r="632">
          <cell r="B632" t="str">
            <v>037460 KS</v>
          </cell>
          <cell r="C632">
            <v>41500</v>
          </cell>
          <cell r="D632" t="str">
            <v>E</v>
          </cell>
        </row>
        <row r="633">
          <cell r="B633" t="str">
            <v>053660 KS</v>
          </cell>
          <cell r="C633">
            <v>41500</v>
          </cell>
          <cell r="D633" t="str">
            <v>E</v>
          </cell>
        </row>
        <row r="634">
          <cell r="B634" t="str">
            <v>010640 KS</v>
          </cell>
          <cell r="C634">
            <v>41500</v>
          </cell>
          <cell r="D634" t="str">
            <v>E</v>
          </cell>
        </row>
        <row r="635">
          <cell r="B635" t="str">
            <v>052190 KS</v>
          </cell>
          <cell r="C635">
            <v>41500</v>
          </cell>
          <cell r="D635" t="str">
            <v>E</v>
          </cell>
        </row>
        <row r="636">
          <cell r="B636" t="str">
            <v>038530 KS</v>
          </cell>
          <cell r="C636">
            <v>41500</v>
          </cell>
          <cell r="D636" t="str">
            <v>E</v>
          </cell>
        </row>
        <row r="637">
          <cell r="B637" t="str">
            <v>030190 KS</v>
          </cell>
          <cell r="C637">
            <v>41500</v>
          </cell>
          <cell r="D637" t="str">
            <v>E</v>
          </cell>
        </row>
        <row r="638">
          <cell r="B638" t="str">
            <v>030190 KS</v>
          </cell>
          <cell r="C638">
            <v>41500</v>
          </cell>
          <cell r="D638" t="str">
            <v>E</v>
          </cell>
        </row>
        <row r="639">
          <cell r="B639" t="str">
            <v>032560 KS</v>
          </cell>
          <cell r="C639">
            <v>41500</v>
          </cell>
          <cell r="D639" t="str">
            <v>E</v>
          </cell>
        </row>
        <row r="640">
          <cell r="B640" t="str">
            <v>060310 KS</v>
          </cell>
          <cell r="C640">
            <v>41500</v>
          </cell>
          <cell r="D640" t="str">
            <v>E</v>
          </cell>
        </row>
        <row r="641">
          <cell r="B641" t="str">
            <v>003610 KS</v>
          </cell>
          <cell r="C641">
            <v>41500</v>
          </cell>
          <cell r="D641" t="str">
            <v>E</v>
          </cell>
        </row>
        <row r="642">
          <cell r="B642" t="str">
            <v>007570 KS</v>
          </cell>
          <cell r="C642">
            <v>41500</v>
          </cell>
          <cell r="D642" t="str">
            <v>E</v>
          </cell>
        </row>
        <row r="643">
          <cell r="B643" t="str">
            <v>015260 KS</v>
          </cell>
          <cell r="C643">
            <v>41500</v>
          </cell>
          <cell r="D643" t="str">
            <v>E</v>
          </cell>
        </row>
        <row r="644">
          <cell r="B644" t="str">
            <v>015260 KS</v>
          </cell>
          <cell r="C644">
            <v>41500</v>
          </cell>
          <cell r="D644" t="str">
            <v>E</v>
          </cell>
        </row>
        <row r="645">
          <cell r="B645" t="str">
            <v>017000 KS</v>
          </cell>
          <cell r="C645">
            <v>41500</v>
          </cell>
          <cell r="D645" t="str">
            <v>E</v>
          </cell>
        </row>
        <row r="646">
          <cell r="B646" t="str">
            <v>004920 KS</v>
          </cell>
          <cell r="C646">
            <v>41500</v>
          </cell>
          <cell r="D646" t="str">
            <v>E</v>
          </cell>
        </row>
        <row r="647">
          <cell r="B647" t="str">
            <v>130580 KS</v>
          </cell>
          <cell r="C647">
            <v>41500</v>
          </cell>
          <cell r="D647" t="str">
            <v>E</v>
          </cell>
        </row>
        <row r="648">
          <cell r="B648" t="str">
            <v>000650 KS</v>
          </cell>
          <cell r="C648">
            <v>41500</v>
          </cell>
          <cell r="D648" t="str">
            <v>E</v>
          </cell>
        </row>
        <row r="649">
          <cell r="B649" t="str">
            <v>078930 KS</v>
          </cell>
          <cell r="C649">
            <v>41500</v>
          </cell>
          <cell r="D649" t="str">
            <v>E</v>
          </cell>
        </row>
        <row r="650">
          <cell r="B650" t="str">
            <v>013520 KS</v>
          </cell>
          <cell r="C650">
            <v>41500</v>
          </cell>
          <cell r="D650" t="str">
            <v>E</v>
          </cell>
        </row>
        <row r="651">
          <cell r="B651" t="str">
            <v>013520 KS</v>
          </cell>
          <cell r="C651">
            <v>41500</v>
          </cell>
          <cell r="D651" t="str">
            <v>E</v>
          </cell>
        </row>
        <row r="652">
          <cell r="B652" t="str">
            <v>117670 KS</v>
          </cell>
          <cell r="C652">
            <v>41500</v>
          </cell>
          <cell r="D652" t="str">
            <v>E</v>
          </cell>
        </row>
        <row r="653">
          <cell r="B653" t="str">
            <v>131220 KS</v>
          </cell>
          <cell r="C653">
            <v>41500</v>
          </cell>
          <cell r="D653" t="str">
            <v>E</v>
          </cell>
        </row>
        <row r="654">
          <cell r="B654" t="str">
            <v>012800 KS</v>
          </cell>
          <cell r="C654">
            <v>41500</v>
          </cell>
          <cell r="D654" t="str">
            <v>E</v>
          </cell>
        </row>
        <row r="655">
          <cell r="B655" t="str">
            <v>035000 KS</v>
          </cell>
          <cell r="C655">
            <v>41500</v>
          </cell>
          <cell r="D655" t="str">
            <v>E</v>
          </cell>
        </row>
        <row r="656">
          <cell r="B656" t="str">
            <v>008290 KS</v>
          </cell>
          <cell r="C656">
            <v>41500</v>
          </cell>
          <cell r="D656" t="str">
            <v>E</v>
          </cell>
        </row>
        <row r="657">
          <cell r="B657" t="str">
            <v>096350 KS</v>
          </cell>
          <cell r="C657">
            <v>41500</v>
          </cell>
          <cell r="D657" t="str">
            <v>E</v>
          </cell>
        </row>
        <row r="658">
          <cell r="B658" t="str">
            <v>008420 KS</v>
          </cell>
          <cell r="C658">
            <v>41500</v>
          </cell>
          <cell r="D658" t="str">
            <v>E</v>
          </cell>
        </row>
        <row r="659">
          <cell r="B659" t="str">
            <v>051630 KS</v>
          </cell>
          <cell r="C659">
            <v>41500</v>
          </cell>
          <cell r="D659" t="str">
            <v>E</v>
          </cell>
        </row>
        <row r="660">
          <cell r="B660" t="str">
            <v>034310 KS</v>
          </cell>
          <cell r="C660">
            <v>41500</v>
          </cell>
          <cell r="D660" t="str">
            <v>E</v>
          </cell>
        </row>
        <row r="661">
          <cell r="B661" t="str">
            <v>034310 KS</v>
          </cell>
          <cell r="C661">
            <v>41500</v>
          </cell>
          <cell r="D661" t="str">
            <v>E</v>
          </cell>
        </row>
        <row r="662">
          <cell r="B662" t="str">
            <v>095300 KS</v>
          </cell>
          <cell r="C662">
            <v>41500</v>
          </cell>
          <cell r="D662" t="str">
            <v>E</v>
          </cell>
        </row>
        <row r="663">
          <cell r="B663" t="str">
            <v>034590 KS</v>
          </cell>
          <cell r="C663">
            <v>41500</v>
          </cell>
          <cell r="D663" t="str">
            <v>E</v>
          </cell>
        </row>
        <row r="664">
          <cell r="B664" t="str">
            <v>101140 KS</v>
          </cell>
          <cell r="C664">
            <v>41500</v>
          </cell>
          <cell r="D664" t="str">
            <v>E</v>
          </cell>
        </row>
        <row r="665">
          <cell r="B665" t="str">
            <v>002210 KS</v>
          </cell>
          <cell r="C665">
            <v>41500</v>
          </cell>
          <cell r="D665" t="str">
            <v>E</v>
          </cell>
        </row>
        <row r="666">
          <cell r="B666" t="str">
            <v>100250 KS</v>
          </cell>
          <cell r="C666">
            <v>41500</v>
          </cell>
          <cell r="D666" t="str">
            <v>E</v>
          </cell>
        </row>
        <row r="667">
          <cell r="B667" t="str">
            <v>014160 KS</v>
          </cell>
          <cell r="C667">
            <v>41500</v>
          </cell>
          <cell r="D667" t="str">
            <v>E</v>
          </cell>
        </row>
        <row r="668">
          <cell r="B668" t="str">
            <v>001770 KS</v>
          </cell>
          <cell r="C668">
            <v>41500</v>
          </cell>
          <cell r="D668" t="str">
            <v>E</v>
          </cell>
        </row>
        <row r="669">
          <cell r="B669" t="str">
            <v>016090 KS</v>
          </cell>
          <cell r="C669">
            <v>41500</v>
          </cell>
          <cell r="D669" t="str">
            <v>E</v>
          </cell>
        </row>
        <row r="670">
          <cell r="B670" t="str">
            <v>065180 KS</v>
          </cell>
          <cell r="C670">
            <v>41500</v>
          </cell>
          <cell r="D670" t="str">
            <v>E</v>
          </cell>
        </row>
        <row r="671">
          <cell r="B671" t="str">
            <v>025750 KS</v>
          </cell>
          <cell r="C671">
            <v>41500</v>
          </cell>
          <cell r="D671" t="str">
            <v>E</v>
          </cell>
        </row>
        <row r="672">
          <cell r="B672" t="str">
            <v>025750 KS</v>
          </cell>
          <cell r="C672">
            <v>41500</v>
          </cell>
          <cell r="D672" t="str">
            <v>E</v>
          </cell>
        </row>
        <row r="673">
          <cell r="B673" t="str">
            <v>025820 KS</v>
          </cell>
          <cell r="C673">
            <v>41500</v>
          </cell>
          <cell r="D673" t="str">
            <v>E</v>
          </cell>
        </row>
        <row r="674">
          <cell r="B674" t="str">
            <v>089230 KS</v>
          </cell>
          <cell r="C674">
            <v>41500</v>
          </cell>
          <cell r="D674" t="str">
            <v>E</v>
          </cell>
        </row>
        <row r="675">
          <cell r="B675" t="str">
            <v>043360 KS</v>
          </cell>
          <cell r="C675">
            <v>41500</v>
          </cell>
          <cell r="D675" t="str">
            <v>E</v>
          </cell>
        </row>
        <row r="676">
          <cell r="B676" t="str">
            <v>054930 KS</v>
          </cell>
          <cell r="C676">
            <v>41500</v>
          </cell>
          <cell r="D676" t="str">
            <v>E</v>
          </cell>
        </row>
        <row r="677">
          <cell r="B677" t="str">
            <v>069510 KS</v>
          </cell>
          <cell r="C677">
            <v>41500</v>
          </cell>
          <cell r="D677" t="str">
            <v>E</v>
          </cell>
        </row>
        <row r="678">
          <cell r="B678" t="str">
            <v>069510 KS</v>
          </cell>
          <cell r="C678">
            <v>41500</v>
          </cell>
          <cell r="D678" t="str">
            <v>E</v>
          </cell>
        </row>
        <row r="679">
          <cell r="B679" t="str">
            <v>001750 KS</v>
          </cell>
          <cell r="C679">
            <v>41500</v>
          </cell>
          <cell r="D679" t="str">
            <v>E</v>
          </cell>
        </row>
        <row r="680">
          <cell r="B680" t="str">
            <v>089480 KS</v>
          </cell>
          <cell r="C680">
            <v>41500</v>
          </cell>
          <cell r="D680" t="str">
            <v>E</v>
          </cell>
        </row>
        <row r="681">
          <cell r="B681" t="str">
            <v>073570 KS</v>
          </cell>
          <cell r="C681">
            <v>41500</v>
          </cell>
          <cell r="D681" t="str">
            <v>E</v>
          </cell>
        </row>
        <row r="682">
          <cell r="B682" t="str">
            <v>073570 KS</v>
          </cell>
          <cell r="C682">
            <v>41500</v>
          </cell>
          <cell r="D682" t="str">
            <v>E</v>
          </cell>
        </row>
        <row r="683">
          <cell r="B683" t="str">
            <v>030270 KS</v>
          </cell>
          <cell r="C683">
            <v>41500</v>
          </cell>
          <cell r="D683" t="str">
            <v>E</v>
          </cell>
        </row>
        <row r="684">
          <cell r="B684" t="str">
            <v>086450 KS</v>
          </cell>
          <cell r="C684">
            <v>41500</v>
          </cell>
          <cell r="D684" t="str">
            <v>E</v>
          </cell>
        </row>
        <row r="685">
          <cell r="B685" t="str">
            <v>141000 KS</v>
          </cell>
          <cell r="C685">
            <v>41500</v>
          </cell>
          <cell r="D685" t="str">
            <v>E</v>
          </cell>
        </row>
        <row r="686">
          <cell r="B686" t="str">
            <v>010420 KS</v>
          </cell>
          <cell r="C686">
            <v>41500</v>
          </cell>
          <cell r="D686" t="str">
            <v>E</v>
          </cell>
        </row>
        <row r="687">
          <cell r="B687" t="str">
            <v>120030 KS</v>
          </cell>
          <cell r="C687">
            <v>41500</v>
          </cell>
          <cell r="D687" t="str">
            <v>E</v>
          </cell>
        </row>
        <row r="688">
          <cell r="B688" t="str">
            <v>065530 KS</v>
          </cell>
          <cell r="C688">
            <v>41500</v>
          </cell>
          <cell r="D688" t="str">
            <v>E</v>
          </cell>
        </row>
        <row r="689">
          <cell r="B689" t="str">
            <v>067160 KS</v>
          </cell>
          <cell r="C689">
            <v>41500</v>
          </cell>
          <cell r="D689" t="str">
            <v>E</v>
          </cell>
        </row>
        <row r="690">
          <cell r="B690" t="str">
            <v>031440 KS</v>
          </cell>
          <cell r="C690">
            <v>41500</v>
          </cell>
          <cell r="D690" t="str">
            <v>E</v>
          </cell>
        </row>
        <row r="691">
          <cell r="B691" t="str">
            <v>111820 KS</v>
          </cell>
          <cell r="C691">
            <v>41500</v>
          </cell>
          <cell r="D691" t="str">
            <v>E</v>
          </cell>
        </row>
        <row r="692">
          <cell r="B692" t="str">
            <v>063570 KS</v>
          </cell>
          <cell r="C692">
            <v>41500</v>
          </cell>
          <cell r="D692" t="str">
            <v>E</v>
          </cell>
        </row>
        <row r="693">
          <cell r="B693" t="str">
            <v>063570 KS</v>
          </cell>
          <cell r="C693">
            <v>41500</v>
          </cell>
          <cell r="D693" t="str">
            <v>E</v>
          </cell>
        </row>
        <row r="694">
          <cell r="B694" t="str">
            <v>039420 KS</v>
          </cell>
          <cell r="C694">
            <v>41500</v>
          </cell>
          <cell r="D694" t="str">
            <v>E</v>
          </cell>
        </row>
        <row r="695">
          <cell r="B695" t="str">
            <v>077360 KS</v>
          </cell>
          <cell r="C695">
            <v>41500</v>
          </cell>
          <cell r="D695" t="str">
            <v>E</v>
          </cell>
        </row>
        <row r="696">
          <cell r="B696" t="str">
            <v>027830 KS</v>
          </cell>
          <cell r="C696">
            <v>41500</v>
          </cell>
          <cell r="D696" t="str">
            <v>E</v>
          </cell>
        </row>
        <row r="697">
          <cell r="B697" t="str">
            <v>089530 KS</v>
          </cell>
          <cell r="C697">
            <v>41500</v>
          </cell>
          <cell r="D697" t="str">
            <v>E</v>
          </cell>
        </row>
        <row r="698">
          <cell r="B698" t="str">
            <v>042110 KS</v>
          </cell>
          <cell r="C698">
            <v>41500</v>
          </cell>
          <cell r="D698" t="str">
            <v>E</v>
          </cell>
        </row>
        <row r="699">
          <cell r="B699" t="str">
            <v>094820 KS</v>
          </cell>
          <cell r="C699">
            <v>41500</v>
          </cell>
          <cell r="D699" t="str">
            <v>E</v>
          </cell>
        </row>
        <row r="700">
          <cell r="B700" t="str">
            <v>063440 KS</v>
          </cell>
          <cell r="C700">
            <v>41500</v>
          </cell>
          <cell r="D700" t="str">
            <v>E</v>
          </cell>
        </row>
        <row r="701">
          <cell r="B701" t="str">
            <v>036570 KS</v>
          </cell>
          <cell r="C701">
            <v>41500</v>
          </cell>
          <cell r="D701" t="str">
            <v>E</v>
          </cell>
        </row>
        <row r="702">
          <cell r="B702" t="str">
            <v>061460 KS</v>
          </cell>
          <cell r="C702">
            <v>41500</v>
          </cell>
          <cell r="D702" t="str">
            <v>E</v>
          </cell>
        </row>
        <row r="703">
          <cell r="B703" t="str">
            <v>128660 KS</v>
          </cell>
          <cell r="C703">
            <v>41500</v>
          </cell>
          <cell r="D703" t="str">
            <v>E</v>
          </cell>
        </row>
        <row r="704">
          <cell r="B704" t="str">
            <v>018470 KS</v>
          </cell>
          <cell r="C704">
            <v>41500</v>
          </cell>
          <cell r="D704" t="str">
            <v>E</v>
          </cell>
        </row>
        <row r="705">
          <cell r="B705" t="str">
            <v>023410 KS</v>
          </cell>
          <cell r="C705">
            <v>41500</v>
          </cell>
          <cell r="D705" t="str">
            <v>E</v>
          </cell>
        </row>
        <row r="706">
          <cell r="B706" t="str">
            <v>109070 KS</v>
          </cell>
          <cell r="C706">
            <v>41500</v>
          </cell>
          <cell r="D706" t="str">
            <v>E</v>
          </cell>
        </row>
        <row r="707">
          <cell r="B707" t="str">
            <v>134060 KS</v>
          </cell>
          <cell r="C707">
            <v>41500</v>
          </cell>
          <cell r="D707" t="str">
            <v>E</v>
          </cell>
        </row>
        <row r="708">
          <cell r="B708" t="str">
            <v>001340 KS</v>
          </cell>
          <cell r="C708">
            <v>41500</v>
          </cell>
          <cell r="D708" t="str">
            <v>E</v>
          </cell>
        </row>
        <row r="709">
          <cell r="B709" t="str">
            <v>094860 KS</v>
          </cell>
          <cell r="C709">
            <v>41500</v>
          </cell>
          <cell r="D709" t="str">
            <v>E</v>
          </cell>
        </row>
        <row r="710">
          <cell r="B710" t="str">
            <v>017810 KS</v>
          </cell>
          <cell r="C710">
            <v>41500</v>
          </cell>
          <cell r="D710" t="str">
            <v>E</v>
          </cell>
        </row>
        <row r="711">
          <cell r="B711" t="str">
            <v>017810 KS</v>
          </cell>
          <cell r="C711">
            <v>41500</v>
          </cell>
          <cell r="D711" t="str">
            <v>E</v>
          </cell>
        </row>
        <row r="712">
          <cell r="B712" t="str">
            <v>003120 KS</v>
          </cell>
          <cell r="C712">
            <v>41500</v>
          </cell>
          <cell r="D712" t="str">
            <v>E</v>
          </cell>
        </row>
        <row r="713">
          <cell r="B713" t="str">
            <v>002250 KS</v>
          </cell>
          <cell r="C713">
            <v>41500</v>
          </cell>
          <cell r="D713" t="str">
            <v>E</v>
          </cell>
        </row>
        <row r="714">
          <cell r="B714" t="str">
            <v>021080 KS</v>
          </cell>
          <cell r="C714">
            <v>41500</v>
          </cell>
          <cell r="D714" t="str">
            <v>E</v>
          </cell>
        </row>
        <row r="715">
          <cell r="B715" t="str">
            <v>004590 KS</v>
          </cell>
          <cell r="C715">
            <v>41500</v>
          </cell>
          <cell r="D715" t="str">
            <v>E</v>
          </cell>
        </row>
        <row r="716">
          <cell r="B716" t="str">
            <v>004590 KS</v>
          </cell>
          <cell r="C716">
            <v>41500</v>
          </cell>
          <cell r="D716" t="str">
            <v>E</v>
          </cell>
        </row>
        <row r="717">
          <cell r="B717" t="str">
            <v>002270 KS</v>
          </cell>
          <cell r="C717">
            <v>41500</v>
          </cell>
          <cell r="D717" t="str">
            <v>E</v>
          </cell>
        </row>
        <row r="718">
          <cell r="B718" t="str">
            <v>042940 KS</v>
          </cell>
          <cell r="C718">
            <v>41500</v>
          </cell>
          <cell r="D718" t="str">
            <v>E</v>
          </cell>
        </row>
        <row r="719">
          <cell r="B719" t="str">
            <v>004780 KS</v>
          </cell>
          <cell r="C719">
            <v>41500</v>
          </cell>
          <cell r="D719" t="str">
            <v>E</v>
          </cell>
        </row>
        <row r="720">
          <cell r="B720" t="str">
            <v>003160 KS</v>
          </cell>
          <cell r="C720">
            <v>41500</v>
          </cell>
          <cell r="D720" t="str">
            <v>E</v>
          </cell>
        </row>
        <row r="721">
          <cell r="B721" t="str">
            <v>011070 KS</v>
          </cell>
          <cell r="C721">
            <v>41500</v>
          </cell>
          <cell r="D721" t="str">
            <v>E</v>
          </cell>
        </row>
        <row r="722">
          <cell r="B722" t="str">
            <v>099830 KS</v>
          </cell>
          <cell r="C722">
            <v>41500</v>
          </cell>
          <cell r="D722" t="str">
            <v>E</v>
          </cell>
        </row>
        <row r="723">
          <cell r="B723" t="str">
            <v>003000 KS</v>
          </cell>
          <cell r="C723">
            <v>41500</v>
          </cell>
          <cell r="D723" t="str">
            <v>E</v>
          </cell>
        </row>
        <row r="724">
          <cell r="B724" t="str">
            <v>023450 KS</v>
          </cell>
          <cell r="C724">
            <v>41500</v>
          </cell>
          <cell r="D724" t="str">
            <v>E</v>
          </cell>
        </row>
        <row r="725">
          <cell r="B725" t="str">
            <v>046940 KS</v>
          </cell>
          <cell r="C725">
            <v>41500</v>
          </cell>
          <cell r="D725" t="str">
            <v>E</v>
          </cell>
        </row>
        <row r="726">
          <cell r="B726" t="str">
            <v>046940 KS</v>
          </cell>
          <cell r="C726">
            <v>41500</v>
          </cell>
          <cell r="D726" t="str">
            <v>E</v>
          </cell>
        </row>
        <row r="727">
          <cell r="B727" t="str">
            <v>120240 KS</v>
          </cell>
          <cell r="C727">
            <v>41500</v>
          </cell>
          <cell r="D727" t="str">
            <v>E</v>
          </cell>
        </row>
        <row r="728">
          <cell r="B728" t="str">
            <v>019550 KS</v>
          </cell>
          <cell r="C728">
            <v>41500</v>
          </cell>
          <cell r="D728" t="str">
            <v>E</v>
          </cell>
        </row>
        <row r="729">
          <cell r="B729" t="str">
            <v>109740 KS</v>
          </cell>
          <cell r="C729">
            <v>41500</v>
          </cell>
          <cell r="D729" t="str">
            <v>E</v>
          </cell>
        </row>
        <row r="730">
          <cell r="B730" t="str">
            <v>114450 KS</v>
          </cell>
          <cell r="C730">
            <v>41500</v>
          </cell>
          <cell r="D730" t="str">
            <v>E</v>
          </cell>
        </row>
        <row r="731">
          <cell r="B731" t="str">
            <v>023790 KS</v>
          </cell>
          <cell r="C731">
            <v>41500</v>
          </cell>
          <cell r="D731" t="str">
            <v>E</v>
          </cell>
        </row>
        <row r="732">
          <cell r="B732" t="str">
            <v>017650 KS</v>
          </cell>
          <cell r="C732">
            <v>41500</v>
          </cell>
          <cell r="D732" t="str">
            <v>E</v>
          </cell>
        </row>
        <row r="733">
          <cell r="B733" t="str">
            <v>053280 KS</v>
          </cell>
          <cell r="C733">
            <v>41500</v>
          </cell>
          <cell r="D733" t="str">
            <v>E</v>
          </cell>
        </row>
        <row r="734">
          <cell r="B734" t="str">
            <v>108670 KS</v>
          </cell>
          <cell r="C734">
            <v>41500</v>
          </cell>
          <cell r="D734" t="str">
            <v>E</v>
          </cell>
        </row>
        <row r="735">
          <cell r="B735" t="str">
            <v>004980 KS</v>
          </cell>
          <cell r="C735">
            <v>41500</v>
          </cell>
          <cell r="D735" t="str">
            <v>E</v>
          </cell>
        </row>
        <row r="736">
          <cell r="B736" t="str">
            <v>000990 KS</v>
          </cell>
          <cell r="C736">
            <v>41500</v>
          </cell>
          <cell r="D736" t="str">
            <v>E</v>
          </cell>
        </row>
        <row r="737">
          <cell r="B737" t="str">
            <v>023410 KS</v>
          </cell>
          <cell r="C737">
            <v>41500</v>
          </cell>
          <cell r="D737" t="str">
            <v>E</v>
          </cell>
        </row>
        <row r="738">
          <cell r="B738" t="str">
            <v>119250 KS</v>
          </cell>
          <cell r="C738">
            <v>41500</v>
          </cell>
          <cell r="D738" t="str">
            <v>E</v>
          </cell>
        </row>
        <row r="739">
          <cell r="B739" t="str">
            <v>138610 KS</v>
          </cell>
          <cell r="C739">
            <v>41500</v>
          </cell>
          <cell r="D739" t="str">
            <v>E</v>
          </cell>
        </row>
        <row r="740">
          <cell r="B740" t="str">
            <v>001550 KS</v>
          </cell>
          <cell r="C740">
            <v>41500</v>
          </cell>
          <cell r="D740" t="str">
            <v>E</v>
          </cell>
        </row>
        <row r="741">
          <cell r="B741" t="str">
            <v>084870 KS</v>
          </cell>
          <cell r="C741">
            <v>41500</v>
          </cell>
          <cell r="D741" t="str">
            <v>E</v>
          </cell>
        </row>
        <row r="742">
          <cell r="B742" t="str">
            <v>033500 KS</v>
          </cell>
          <cell r="C742">
            <v>41500</v>
          </cell>
          <cell r="D742" t="str">
            <v>E</v>
          </cell>
        </row>
        <row r="743">
          <cell r="B743" t="str">
            <v>003850 KS</v>
          </cell>
          <cell r="C743">
            <v>41500</v>
          </cell>
          <cell r="D743" t="str">
            <v>E</v>
          </cell>
        </row>
        <row r="744">
          <cell r="B744" t="str">
            <v>014530 KS</v>
          </cell>
          <cell r="C744">
            <v>41500</v>
          </cell>
          <cell r="D744" t="str">
            <v>E</v>
          </cell>
        </row>
        <row r="745">
          <cell r="B745" t="str">
            <v>034300 KS</v>
          </cell>
          <cell r="C745">
            <v>41500</v>
          </cell>
          <cell r="D745" t="str">
            <v>E</v>
          </cell>
        </row>
        <row r="746">
          <cell r="B746" t="str">
            <v>037440 KS</v>
          </cell>
          <cell r="C746">
            <v>41500</v>
          </cell>
          <cell r="D746" t="str">
            <v>E</v>
          </cell>
        </row>
        <row r="747">
          <cell r="B747" t="str">
            <v>045260 KS</v>
          </cell>
          <cell r="C747">
            <v>41500</v>
          </cell>
          <cell r="D747" t="str">
            <v>E</v>
          </cell>
        </row>
        <row r="748">
          <cell r="B748" t="str">
            <v>040910 KS</v>
          </cell>
          <cell r="C748">
            <v>41500</v>
          </cell>
          <cell r="D748" t="str">
            <v>E</v>
          </cell>
        </row>
        <row r="749">
          <cell r="B749" t="str">
            <v>011080 KS</v>
          </cell>
          <cell r="C749">
            <v>41500</v>
          </cell>
          <cell r="D749" t="str">
            <v>E</v>
          </cell>
        </row>
        <row r="750">
          <cell r="B750" t="str">
            <v>011280 KS</v>
          </cell>
          <cell r="C750">
            <v>41500</v>
          </cell>
          <cell r="D750" t="str">
            <v>E</v>
          </cell>
        </row>
        <row r="751">
          <cell r="B751" t="str">
            <v>002620 KS</v>
          </cell>
          <cell r="C751">
            <v>41500</v>
          </cell>
          <cell r="D751" t="str">
            <v>E</v>
          </cell>
        </row>
        <row r="752">
          <cell r="B752" t="str">
            <v>042520 KS</v>
          </cell>
          <cell r="C752">
            <v>41500</v>
          </cell>
          <cell r="D752" t="str">
            <v>E</v>
          </cell>
        </row>
        <row r="753">
          <cell r="B753" t="str">
            <v>008250 KS</v>
          </cell>
          <cell r="C753">
            <v>41500</v>
          </cell>
          <cell r="D753" t="str">
            <v>E</v>
          </cell>
        </row>
        <row r="754">
          <cell r="B754" t="str">
            <v>008250 KS</v>
          </cell>
          <cell r="C754">
            <v>41500</v>
          </cell>
          <cell r="D754" t="str">
            <v>E</v>
          </cell>
        </row>
        <row r="755">
          <cell r="B755" t="str">
            <v>099320 KS</v>
          </cell>
          <cell r="C755">
            <v>41500</v>
          </cell>
          <cell r="D755" t="str">
            <v>E</v>
          </cell>
        </row>
        <row r="756">
          <cell r="B756" t="str">
            <v>002310 KS</v>
          </cell>
          <cell r="C756">
            <v>41500</v>
          </cell>
          <cell r="D756" t="str">
            <v>E</v>
          </cell>
        </row>
        <row r="757">
          <cell r="B757" t="str">
            <v>009730 KS</v>
          </cell>
          <cell r="C757">
            <v>41500</v>
          </cell>
          <cell r="D757" t="str">
            <v>E</v>
          </cell>
        </row>
        <row r="758">
          <cell r="B758" t="str">
            <v>005820 KS</v>
          </cell>
          <cell r="C758">
            <v>41500</v>
          </cell>
          <cell r="D758" t="str">
            <v>E</v>
          </cell>
        </row>
        <row r="759">
          <cell r="B759" t="str">
            <v>021880 KS</v>
          </cell>
          <cell r="C759">
            <v>41500</v>
          </cell>
          <cell r="D759" t="str">
            <v>E</v>
          </cell>
        </row>
        <row r="760">
          <cell r="B760" t="str">
            <v>007370 KS</v>
          </cell>
          <cell r="C760">
            <v>41500</v>
          </cell>
          <cell r="D760" t="str">
            <v>E</v>
          </cell>
        </row>
        <row r="761">
          <cell r="B761" t="str">
            <v>119830 KS</v>
          </cell>
          <cell r="C761">
            <v>41500</v>
          </cell>
          <cell r="D761" t="str">
            <v>E</v>
          </cell>
        </row>
        <row r="762">
          <cell r="B762" t="str">
            <v>102460 KS</v>
          </cell>
          <cell r="C762">
            <v>41500</v>
          </cell>
          <cell r="D762" t="str">
            <v>E</v>
          </cell>
        </row>
        <row r="763">
          <cell r="B763" t="str">
            <v>001440 KS</v>
          </cell>
          <cell r="C763">
            <v>41500</v>
          </cell>
          <cell r="D763" t="str">
            <v>E</v>
          </cell>
        </row>
        <row r="764">
          <cell r="B764" t="str">
            <v>009460 KS</v>
          </cell>
          <cell r="C764">
            <v>41500</v>
          </cell>
          <cell r="D764" t="str">
            <v>E</v>
          </cell>
        </row>
        <row r="765">
          <cell r="B765" t="str">
            <v>009150 KS</v>
          </cell>
          <cell r="C765">
            <v>41500</v>
          </cell>
          <cell r="D765" t="str">
            <v>E</v>
          </cell>
        </row>
        <row r="766">
          <cell r="B766" t="str">
            <v>078590 KS</v>
          </cell>
          <cell r="C766">
            <v>41500</v>
          </cell>
          <cell r="D766" t="str">
            <v>E</v>
          </cell>
        </row>
        <row r="767">
          <cell r="B767" t="str">
            <v>006440 KS</v>
          </cell>
          <cell r="C767">
            <v>41500</v>
          </cell>
          <cell r="D767" t="str">
            <v>E</v>
          </cell>
        </row>
        <row r="768">
          <cell r="B768" t="str">
            <v>014580 KS</v>
          </cell>
          <cell r="C768">
            <v>41500</v>
          </cell>
          <cell r="D768" t="str">
            <v>E</v>
          </cell>
        </row>
        <row r="769">
          <cell r="B769" t="str">
            <v>089790 KS</v>
          </cell>
          <cell r="C769">
            <v>41500</v>
          </cell>
          <cell r="D769" t="str">
            <v>E</v>
          </cell>
        </row>
        <row r="770">
          <cell r="B770" t="str">
            <v>071970 KS</v>
          </cell>
          <cell r="C770">
            <v>41500</v>
          </cell>
          <cell r="D770" t="str">
            <v>E</v>
          </cell>
        </row>
        <row r="771">
          <cell r="B771" t="str">
            <v>071970 KS</v>
          </cell>
          <cell r="C771">
            <v>41500</v>
          </cell>
          <cell r="D771" t="str">
            <v>E</v>
          </cell>
        </row>
        <row r="772">
          <cell r="B772" t="str">
            <v>021040 KS</v>
          </cell>
          <cell r="C772">
            <v>41500</v>
          </cell>
          <cell r="D772" t="str">
            <v>E</v>
          </cell>
        </row>
        <row r="773">
          <cell r="B773" t="str">
            <v>056080 KS</v>
          </cell>
          <cell r="C773">
            <v>41500</v>
          </cell>
          <cell r="D773" t="str">
            <v>E</v>
          </cell>
        </row>
        <row r="774">
          <cell r="B774" t="str">
            <v>083350 KS</v>
          </cell>
          <cell r="C774">
            <v>41500</v>
          </cell>
          <cell r="D774" t="str">
            <v>E</v>
          </cell>
        </row>
        <row r="775">
          <cell r="B775" t="str">
            <v>069330 KS</v>
          </cell>
          <cell r="C775">
            <v>41500</v>
          </cell>
          <cell r="D775" t="str">
            <v>E</v>
          </cell>
        </row>
        <row r="776">
          <cell r="B776" t="str">
            <v>033100 KS</v>
          </cell>
          <cell r="C776">
            <v>41500</v>
          </cell>
          <cell r="D776" t="str">
            <v>E</v>
          </cell>
        </row>
        <row r="777">
          <cell r="B777" t="str">
            <v>025850 KS</v>
          </cell>
          <cell r="C777">
            <v>41500</v>
          </cell>
          <cell r="D777" t="str">
            <v>E</v>
          </cell>
        </row>
        <row r="778">
          <cell r="B778" t="str">
            <v>018290 KS</v>
          </cell>
          <cell r="C778">
            <v>41500</v>
          </cell>
          <cell r="D778" t="str">
            <v>E</v>
          </cell>
        </row>
        <row r="779">
          <cell r="B779" t="str">
            <v>005880 KS</v>
          </cell>
          <cell r="C779">
            <v>41500</v>
          </cell>
          <cell r="D779" t="str">
            <v>E</v>
          </cell>
        </row>
        <row r="780">
          <cell r="B780" t="str">
            <v>006370 KS</v>
          </cell>
          <cell r="C780">
            <v>41500</v>
          </cell>
          <cell r="D780" t="str">
            <v>E</v>
          </cell>
        </row>
        <row r="781">
          <cell r="B781" t="str">
            <v>002220 KS</v>
          </cell>
          <cell r="C781">
            <v>41500</v>
          </cell>
          <cell r="D781" t="str">
            <v>E</v>
          </cell>
        </row>
        <row r="782">
          <cell r="B782" t="str">
            <v>034810 KS</v>
          </cell>
          <cell r="C782">
            <v>41500</v>
          </cell>
          <cell r="D782" t="str">
            <v>E</v>
          </cell>
        </row>
        <row r="783">
          <cell r="B783" t="str">
            <v>026940 KS</v>
          </cell>
          <cell r="C783">
            <v>41500</v>
          </cell>
          <cell r="D783" t="str">
            <v>E</v>
          </cell>
        </row>
        <row r="784">
          <cell r="B784" t="str">
            <v>041910 KS</v>
          </cell>
          <cell r="C784">
            <v>41500</v>
          </cell>
          <cell r="D784" t="str">
            <v>E</v>
          </cell>
        </row>
        <row r="785">
          <cell r="B785" t="str">
            <v>002700 KS</v>
          </cell>
          <cell r="C785">
            <v>41500</v>
          </cell>
          <cell r="D785" t="str">
            <v>E</v>
          </cell>
        </row>
        <row r="786">
          <cell r="B786" t="str">
            <v>002700 KS</v>
          </cell>
          <cell r="C786">
            <v>41500</v>
          </cell>
          <cell r="D786" t="str">
            <v>E</v>
          </cell>
        </row>
        <row r="787">
          <cell r="B787" t="str">
            <v>078150 KS</v>
          </cell>
          <cell r="C787">
            <v>41500</v>
          </cell>
          <cell r="D787" t="str">
            <v>E</v>
          </cell>
        </row>
        <row r="788">
          <cell r="B788" t="str">
            <v>010050 KS</v>
          </cell>
          <cell r="C788">
            <v>41500</v>
          </cell>
          <cell r="D788" t="str">
            <v>E</v>
          </cell>
        </row>
        <row r="789">
          <cell r="B789" t="str">
            <v>001880 KS</v>
          </cell>
          <cell r="C789">
            <v>41500</v>
          </cell>
          <cell r="D789" t="str">
            <v>E</v>
          </cell>
        </row>
        <row r="790">
          <cell r="B790" t="str">
            <v>036120 KS</v>
          </cell>
          <cell r="C790">
            <v>41500</v>
          </cell>
          <cell r="D790" t="str">
            <v>E</v>
          </cell>
        </row>
        <row r="791">
          <cell r="B791" t="str">
            <v>115610 KS</v>
          </cell>
          <cell r="C791">
            <v>41500</v>
          </cell>
          <cell r="D791" t="str">
            <v>E</v>
          </cell>
        </row>
        <row r="792">
          <cell r="B792" t="str">
            <v>006400 KS</v>
          </cell>
          <cell r="C792">
            <v>41500</v>
          </cell>
          <cell r="D792" t="str">
            <v>E</v>
          </cell>
        </row>
        <row r="793">
          <cell r="B793" t="str">
            <v>020120 KS</v>
          </cell>
          <cell r="C793">
            <v>41500</v>
          </cell>
          <cell r="D793" t="str">
            <v>E</v>
          </cell>
        </row>
        <row r="794">
          <cell r="B794" t="str">
            <v>039560 KS</v>
          </cell>
          <cell r="C794">
            <v>41500</v>
          </cell>
          <cell r="D794" t="str">
            <v>E</v>
          </cell>
        </row>
        <row r="795">
          <cell r="B795" t="str">
            <v>072020 KS</v>
          </cell>
          <cell r="C795">
            <v>41500</v>
          </cell>
          <cell r="D795" t="str">
            <v>E</v>
          </cell>
        </row>
        <row r="796">
          <cell r="B796" t="str">
            <v>066130 KS</v>
          </cell>
          <cell r="C796">
            <v>41500</v>
          </cell>
          <cell r="D796" t="str">
            <v>E</v>
          </cell>
        </row>
        <row r="797">
          <cell r="B797" t="str">
            <v>104120 KS</v>
          </cell>
          <cell r="C797">
            <v>41500</v>
          </cell>
          <cell r="D797" t="str">
            <v>E</v>
          </cell>
        </row>
        <row r="798">
          <cell r="B798" t="str">
            <v>114570 KS</v>
          </cell>
          <cell r="C798">
            <v>41500</v>
          </cell>
          <cell r="D798" t="str">
            <v>E</v>
          </cell>
        </row>
        <row r="799">
          <cell r="B799" t="str">
            <v>077970 KS</v>
          </cell>
          <cell r="C799">
            <v>41500</v>
          </cell>
          <cell r="D799" t="str">
            <v>E</v>
          </cell>
        </row>
        <row r="800">
          <cell r="B800" t="str">
            <v>014200 KS</v>
          </cell>
          <cell r="C800">
            <v>41500</v>
          </cell>
          <cell r="D800" t="str">
            <v>E</v>
          </cell>
        </row>
        <row r="801">
          <cell r="B801" t="str">
            <v>013700 KS</v>
          </cell>
          <cell r="C801">
            <v>41500</v>
          </cell>
          <cell r="D801" t="str">
            <v>E</v>
          </cell>
        </row>
        <row r="802">
          <cell r="B802" t="str">
            <v>006490 KS</v>
          </cell>
          <cell r="C802">
            <v>41500</v>
          </cell>
          <cell r="D802" t="str">
            <v>E</v>
          </cell>
        </row>
        <row r="803">
          <cell r="B803" t="str">
            <v>118000 KS</v>
          </cell>
          <cell r="C803">
            <v>41500</v>
          </cell>
          <cell r="D803" t="str">
            <v>E</v>
          </cell>
        </row>
        <row r="804">
          <cell r="B804" t="str">
            <v>032640 KS</v>
          </cell>
          <cell r="C804">
            <v>41500</v>
          </cell>
          <cell r="D804" t="str">
            <v>E</v>
          </cell>
        </row>
        <row r="805">
          <cell r="B805" t="str">
            <v>003550 KS</v>
          </cell>
          <cell r="C805">
            <v>41500</v>
          </cell>
          <cell r="D805" t="str">
            <v>E</v>
          </cell>
        </row>
        <row r="806">
          <cell r="B806" t="str">
            <v>003550 KS</v>
          </cell>
          <cell r="C806">
            <v>41500</v>
          </cell>
          <cell r="D806" t="str">
            <v>E</v>
          </cell>
        </row>
        <row r="807">
          <cell r="B807" t="str">
            <v>060300 KS</v>
          </cell>
          <cell r="C807">
            <v>41500</v>
          </cell>
          <cell r="D807" t="str">
            <v>E</v>
          </cell>
        </row>
        <row r="808">
          <cell r="B808" t="str">
            <v>011330 KS</v>
          </cell>
          <cell r="C808">
            <v>41500</v>
          </cell>
          <cell r="D808" t="str">
            <v>E</v>
          </cell>
        </row>
        <row r="809">
          <cell r="B809" t="str">
            <v>011930 KS</v>
          </cell>
          <cell r="C809">
            <v>41500</v>
          </cell>
          <cell r="D809" t="str">
            <v>E</v>
          </cell>
        </row>
        <row r="810">
          <cell r="B810" t="str">
            <v>000970 KS</v>
          </cell>
          <cell r="C810">
            <v>41500</v>
          </cell>
          <cell r="D810" t="str">
            <v>E</v>
          </cell>
        </row>
        <row r="811">
          <cell r="B811" t="str">
            <v>024830 KS</v>
          </cell>
          <cell r="C811">
            <v>41500</v>
          </cell>
          <cell r="D811" t="str">
            <v>E</v>
          </cell>
        </row>
        <row r="812">
          <cell r="B812" t="str">
            <v>018700 KS</v>
          </cell>
          <cell r="C812">
            <v>41500</v>
          </cell>
          <cell r="D812" t="str">
            <v>E</v>
          </cell>
        </row>
        <row r="813">
          <cell r="B813" t="str">
            <v>067630 KS</v>
          </cell>
          <cell r="C813">
            <v>41500</v>
          </cell>
          <cell r="D813" t="str">
            <v>E</v>
          </cell>
        </row>
        <row r="814">
          <cell r="B814" t="str">
            <v>034950 KS</v>
          </cell>
          <cell r="C814">
            <v>41500</v>
          </cell>
          <cell r="D814" t="str">
            <v>E</v>
          </cell>
        </row>
        <row r="815">
          <cell r="B815" t="str">
            <v>028670 KS</v>
          </cell>
          <cell r="C815">
            <v>41500</v>
          </cell>
          <cell r="D815" t="str">
            <v>E</v>
          </cell>
        </row>
        <row r="816">
          <cell r="B816" t="str">
            <v>028670 KS</v>
          </cell>
          <cell r="C816">
            <v>41500</v>
          </cell>
          <cell r="D816" t="str">
            <v>E</v>
          </cell>
        </row>
        <row r="817">
          <cell r="B817" t="str">
            <v>046400 KS</v>
          </cell>
          <cell r="C817">
            <v>41500</v>
          </cell>
          <cell r="D817" t="str">
            <v>E</v>
          </cell>
        </row>
        <row r="818">
          <cell r="B818" t="str">
            <v>058370 KS</v>
          </cell>
          <cell r="C818">
            <v>41500</v>
          </cell>
          <cell r="D818" t="str">
            <v>E</v>
          </cell>
        </row>
        <row r="819">
          <cell r="B819" t="str">
            <v>048550 KS</v>
          </cell>
          <cell r="C819">
            <v>41500</v>
          </cell>
          <cell r="D819" t="str">
            <v>E</v>
          </cell>
        </row>
        <row r="820">
          <cell r="B820" t="str">
            <v>048550 KS</v>
          </cell>
          <cell r="C820">
            <v>41500</v>
          </cell>
          <cell r="D820" t="str">
            <v>E</v>
          </cell>
        </row>
        <row r="821">
          <cell r="B821" t="str">
            <v>003460 KS</v>
          </cell>
          <cell r="C821">
            <v>41500</v>
          </cell>
          <cell r="D821" t="str">
            <v>E</v>
          </cell>
        </row>
        <row r="822">
          <cell r="B822" t="str">
            <v>012450 KS</v>
          </cell>
          <cell r="C822">
            <v>41500</v>
          </cell>
          <cell r="D822" t="str">
            <v>E</v>
          </cell>
        </row>
        <row r="823">
          <cell r="B823" t="str">
            <v>044960 KS</v>
          </cell>
          <cell r="C823">
            <v>41500</v>
          </cell>
          <cell r="D823" t="str">
            <v>E</v>
          </cell>
        </row>
        <row r="824">
          <cell r="B824" t="str">
            <v>117580 KS</v>
          </cell>
          <cell r="C824">
            <v>41500</v>
          </cell>
          <cell r="D824" t="str">
            <v>E</v>
          </cell>
        </row>
        <row r="825">
          <cell r="B825" t="str">
            <v>003830 KS</v>
          </cell>
          <cell r="C825">
            <v>41500</v>
          </cell>
          <cell r="D825" t="str">
            <v>E</v>
          </cell>
        </row>
        <row r="826">
          <cell r="B826" t="str">
            <v>009970 KS</v>
          </cell>
          <cell r="C826">
            <v>41500</v>
          </cell>
          <cell r="D826" t="str">
            <v>E</v>
          </cell>
        </row>
        <row r="827">
          <cell r="B827" t="str">
            <v>111770 KS</v>
          </cell>
          <cell r="C827">
            <v>41500</v>
          </cell>
          <cell r="D827" t="str">
            <v>E</v>
          </cell>
        </row>
        <row r="828">
          <cell r="B828" t="str">
            <v>060910 KS</v>
          </cell>
          <cell r="C828">
            <v>41500</v>
          </cell>
          <cell r="D828" t="str">
            <v>E</v>
          </cell>
        </row>
        <row r="829">
          <cell r="B829" t="str">
            <v>057680 KS</v>
          </cell>
          <cell r="C829">
            <v>41500</v>
          </cell>
          <cell r="D829" t="str">
            <v>E</v>
          </cell>
        </row>
        <row r="830">
          <cell r="B830" t="str">
            <v>081660 KS</v>
          </cell>
          <cell r="C830">
            <v>41500</v>
          </cell>
          <cell r="D830" t="str">
            <v>E</v>
          </cell>
        </row>
        <row r="831">
          <cell r="B831" t="str">
            <v>081660 KS</v>
          </cell>
          <cell r="C831">
            <v>41500</v>
          </cell>
          <cell r="D831" t="str">
            <v>E</v>
          </cell>
        </row>
        <row r="832">
          <cell r="B832" t="str">
            <v>083610 KS</v>
          </cell>
          <cell r="C832">
            <v>41500</v>
          </cell>
          <cell r="D832" t="str">
            <v>E</v>
          </cell>
        </row>
        <row r="833">
          <cell r="B833" t="str">
            <v>002630 KS</v>
          </cell>
          <cell r="C833">
            <v>41500</v>
          </cell>
          <cell r="D833" t="str">
            <v>E</v>
          </cell>
        </row>
        <row r="834">
          <cell r="B834" t="str">
            <v>075970 KS</v>
          </cell>
          <cell r="C834">
            <v>41500</v>
          </cell>
          <cell r="D834" t="str">
            <v>E</v>
          </cell>
        </row>
        <row r="835">
          <cell r="B835" t="str">
            <v>030790 KS</v>
          </cell>
          <cell r="C835">
            <v>41500</v>
          </cell>
          <cell r="D835" t="str">
            <v>E</v>
          </cell>
        </row>
        <row r="836">
          <cell r="B836" t="str">
            <v>067250 KS</v>
          </cell>
          <cell r="C836">
            <v>41500</v>
          </cell>
          <cell r="D836" t="str">
            <v>E</v>
          </cell>
        </row>
        <row r="837">
          <cell r="B837" t="str">
            <v>067250 KS</v>
          </cell>
          <cell r="C837">
            <v>41500</v>
          </cell>
          <cell r="D837" t="str">
            <v>E</v>
          </cell>
        </row>
        <row r="838">
          <cell r="B838" t="str">
            <v>031990 KS</v>
          </cell>
          <cell r="C838">
            <v>41500</v>
          </cell>
          <cell r="D838" t="str">
            <v>E</v>
          </cell>
        </row>
        <row r="839">
          <cell r="B839" t="str">
            <v>016880 KS</v>
          </cell>
          <cell r="C839">
            <v>41500</v>
          </cell>
          <cell r="D839" t="str">
            <v>E</v>
          </cell>
        </row>
        <row r="840">
          <cell r="B840" t="str">
            <v>033030 KS</v>
          </cell>
          <cell r="C840">
            <v>41500</v>
          </cell>
          <cell r="D840" t="str">
            <v>E</v>
          </cell>
        </row>
        <row r="841">
          <cell r="B841" t="str">
            <v>027970 KS</v>
          </cell>
          <cell r="C841">
            <v>41500</v>
          </cell>
          <cell r="D841" t="str">
            <v>E</v>
          </cell>
        </row>
        <row r="842">
          <cell r="B842" t="str">
            <v>010460 KS</v>
          </cell>
          <cell r="C842">
            <v>41500</v>
          </cell>
          <cell r="D842" t="str">
            <v>E</v>
          </cell>
        </row>
        <row r="843">
          <cell r="B843" t="str">
            <v>011720 KS</v>
          </cell>
          <cell r="C843">
            <v>41500</v>
          </cell>
          <cell r="D843" t="str">
            <v>E</v>
          </cell>
        </row>
        <row r="844">
          <cell r="B844" t="str">
            <v>134790 KS</v>
          </cell>
          <cell r="C844">
            <v>41500</v>
          </cell>
          <cell r="D844" t="str">
            <v>E</v>
          </cell>
        </row>
        <row r="845">
          <cell r="B845" t="str">
            <v>078020 KS</v>
          </cell>
          <cell r="C845">
            <v>41500</v>
          </cell>
          <cell r="D845" t="str">
            <v>E</v>
          </cell>
        </row>
        <row r="846">
          <cell r="B846" t="str">
            <v>037710 KS</v>
          </cell>
          <cell r="C846">
            <v>41500</v>
          </cell>
          <cell r="D846" t="str">
            <v>E</v>
          </cell>
        </row>
        <row r="847">
          <cell r="B847" t="str">
            <v>007110 KS</v>
          </cell>
          <cell r="C847">
            <v>41500</v>
          </cell>
          <cell r="D847" t="str">
            <v>E</v>
          </cell>
        </row>
        <row r="848">
          <cell r="B848" t="str">
            <v>023350 KS</v>
          </cell>
          <cell r="C848">
            <v>41500</v>
          </cell>
          <cell r="D848" t="str">
            <v>E</v>
          </cell>
        </row>
        <row r="849">
          <cell r="B849" t="str">
            <v>001270 KS</v>
          </cell>
          <cell r="C849">
            <v>41500</v>
          </cell>
          <cell r="D849" t="str">
            <v>E</v>
          </cell>
        </row>
        <row r="850">
          <cell r="B850" t="str">
            <v>036220 KS</v>
          </cell>
          <cell r="C850">
            <v>41500</v>
          </cell>
          <cell r="D850" t="str">
            <v>E</v>
          </cell>
        </row>
        <row r="851">
          <cell r="B851" t="str">
            <v>058420 KS</v>
          </cell>
          <cell r="C851">
            <v>41500</v>
          </cell>
          <cell r="D851" t="str">
            <v>E</v>
          </cell>
        </row>
        <row r="852">
          <cell r="B852" t="str">
            <v>011810 KS</v>
          </cell>
          <cell r="C852">
            <v>41500</v>
          </cell>
          <cell r="D852" t="str">
            <v>E</v>
          </cell>
        </row>
        <row r="853">
          <cell r="B853" t="str">
            <v>011810 KS</v>
          </cell>
          <cell r="C853">
            <v>41500</v>
          </cell>
          <cell r="D853" t="str">
            <v>E</v>
          </cell>
        </row>
        <row r="854">
          <cell r="B854" t="str">
            <v>001310 KS</v>
          </cell>
          <cell r="C854">
            <v>41500</v>
          </cell>
          <cell r="D854" t="str">
            <v>E</v>
          </cell>
        </row>
        <row r="855">
          <cell r="B855" t="str">
            <v>036500 KS</v>
          </cell>
          <cell r="C855">
            <v>41500</v>
          </cell>
          <cell r="D855" t="str">
            <v>E</v>
          </cell>
        </row>
        <row r="856">
          <cell r="B856" t="str">
            <v>043340 KS</v>
          </cell>
          <cell r="C856">
            <v>41500</v>
          </cell>
          <cell r="D856" t="str">
            <v>E</v>
          </cell>
        </row>
        <row r="857">
          <cell r="B857" t="str">
            <v>015200 KS</v>
          </cell>
          <cell r="C857">
            <v>41500</v>
          </cell>
          <cell r="D857" t="str">
            <v>E</v>
          </cell>
        </row>
        <row r="858">
          <cell r="B858" t="str">
            <v>032860 KS</v>
          </cell>
          <cell r="C858">
            <v>41500</v>
          </cell>
          <cell r="D858" t="str">
            <v>E</v>
          </cell>
        </row>
        <row r="859">
          <cell r="B859" t="str">
            <v>077970 KS</v>
          </cell>
          <cell r="C859">
            <v>41500</v>
          </cell>
          <cell r="D859" t="str">
            <v>E</v>
          </cell>
        </row>
        <row r="860">
          <cell r="B860" t="str">
            <v>000470 KS</v>
          </cell>
          <cell r="C860">
            <v>41500</v>
          </cell>
          <cell r="D860" t="str">
            <v>E</v>
          </cell>
        </row>
        <row r="861">
          <cell r="B861" t="str">
            <v>104480 KS</v>
          </cell>
          <cell r="C861">
            <v>41500</v>
          </cell>
          <cell r="D861" t="str">
            <v>E</v>
          </cell>
        </row>
        <row r="862">
          <cell r="B862" t="str">
            <v>086520 KS</v>
          </cell>
          <cell r="C862">
            <v>41500</v>
          </cell>
          <cell r="D862" t="str">
            <v>E</v>
          </cell>
        </row>
        <row r="863">
          <cell r="B863" t="str">
            <v>102210 KS</v>
          </cell>
          <cell r="C863">
            <v>41500</v>
          </cell>
          <cell r="D863" t="str">
            <v>E</v>
          </cell>
        </row>
        <row r="864">
          <cell r="B864" t="str">
            <v>056340 KS</v>
          </cell>
          <cell r="C864">
            <v>41500</v>
          </cell>
          <cell r="D864" t="str">
            <v>E</v>
          </cell>
        </row>
        <row r="865">
          <cell r="B865" t="str">
            <v>056340 KS</v>
          </cell>
          <cell r="C865">
            <v>41500</v>
          </cell>
          <cell r="D865" t="str">
            <v>E</v>
          </cell>
        </row>
        <row r="866">
          <cell r="B866" t="str">
            <v>023440 KS</v>
          </cell>
          <cell r="C866">
            <v>41500</v>
          </cell>
          <cell r="D866" t="str">
            <v>E</v>
          </cell>
        </row>
        <row r="867">
          <cell r="B867" t="str">
            <v>046210 KS</v>
          </cell>
          <cell r="C867">
            <v>41500</v>
          </cell>
          <cell r="D867" t="str">
            <v>E</v>
          </cell>
        </row>
        <row r="868">
          <cell r="B868" t="str">
            <v>045510 KS</v>
          </cell>
          <cell r="C868">
            <v>41500</v>
          </cell>
          <cell r="D868" t="str">
            <v>E</v>
          </cell>
        </row>
        <row r="869">
          <cell r="B869" t="str">
            <v>016880 KS</v>
          </cell>
          <cell r="C869">
            <v>41500</v>
          </cell>
          <cell r="D869" t="str">
            <v>E</v>
          </cell>
        </row>
        <row r="870">
          <cell r="B870" t="str">
            <v>034510 KS</v>
          </cell>
          <cell r="C870">
            <v>41500</v>
          </cell>
          <cell r="D870" t="str">
            <v>E</v>
          </cell>
        </row>
        <row r="871">
          <cell r="B871" t="str">
            <v>054670 KS</v>
          </cell>
          <cell r="C871">
            <v>41500</v>
          </cell>
          <cell r="D871" t="str">
            <v>E</v>
          </cell>
        </row>
        <row r="872">
          <cell r="B872" t="str">
            <v>114120 KS</v>
          </cell>
          <cell r="C872">
            <v>41500</v>
          </cell>
          <cell r="D872" t="str">
            <v>E</v>
          </cell>
        </row>
        <row r="873">
          <cell r="B873" t="str">
            <v>056710 KS</v>
          </cell>
          <cell r="C873">
            <v>41500</v>
          </cell>
          <cell r="D873" t="str">
            <v>E</v>
          </cell>
        </row>
        <row r="874">
          <cell r="B874" t="str">
            <v>060150 KS</v>
          </cell>
          <cell r="C874">
            <v>41500</v>
          </cell>
          <cell r="D874" t="str">
            <v>E</v>
          </cell>
        </row>
        <row r="875">
          <cell r="B875" t="str">
            <v>060150 KS</v>
          </cell>
          <cell r="C875">
            <v>41500</v>
          </cell>
          <cell r="D875" t="str">
            <v>E</v>
          </cell>
        </row>
        <row r="876">
          <cell r="B876" t="str">
            <v>112040 KS</v>
          </cell>
          <cell r="C876">
            <v>41500</v>
          </cell>
          <cell r="D876" t="str">
            <v>E</v>
          </cell>
        </row>
        <row r="877">
          <cell r="B877" t="str">
            <v>112040 KS</v>
          </cell>
          <cell r="C877">
            <v>41500</v>
          </cell>
          <cell r="D877" t="str">
            <v>E</v>
          </cell>
        </row>
        <row r="878">
          <cell r="B878" t="str">
            <v>101730 KS</v>
          </cell>
          <cell r="C878">
            <v>41500</v>
          </cell>
          <cell r="D878" t="str">
            <v>E</v>
          </cell>
        </row>
        <row r="879">
          <cell r="B879" t="str">
            <v>101730 KS</v>
          </cell>
          <cell r="C879">
            <v>41500</v>
          </cell>
          <cell r="D879" t="str">
            <v>E</v>
          </cell>
        </row>
        <row r="880">
          <cell r="B880" t="str">
            <v>031510 KS</v>
          </cell>
          <cell r="C880">
            <v>41500</v>
          </cell>
          <cell r="D880" t="str">
            <v>E</v>
          </cell>
        </row>
        <row r="881">
          <cell r="B881" t="str">
            <v>031510 KS</v>
          </cell>
          <cell r="C881">
            <v>41500</v>
          </cell>
          <cell r="D881" t="str">
            <v>E</v>
          </cell>
        </row>
        <row r="882">
          <cell r="B882" t="str">
            <v>000040 KS</v>
          </cell>
          <cell r="C882">
            <v>41500</v>
          </cell>
          <cell r="D882" t="str">
            <v>E</v>
          </cell>
        </row>
        <row r="883">
          <cell r="B883" t="str">
            <v>064960 KS</v>
          </cell>
          <cell r="C883">
            <v>41500</v>
          </cell>
          <cell r="D883" t="str">
            <v>E</v>
          </cell>
        </row>
        <row r="884">
          <cell r="B884" t="str">
            <v>003570 KS</v>
          </cell>
          <cell r="C884">
            <v>41500</v>
          </cell>
          <cell r="D884" t="str">
            <v>E</v>
          </cell>
        </row>
        <row r="885">
          <cell r="B885" t="str">
            <v>039490 KS</v>
          </cell>
          <cell r="C885">
            <v>41500</v>
          </cell>
          <cell r="D885" t="str">
            <v>E</v>
          </cell>
        </row>
        <row r="886">
          <cell r="B886" t="str">
            <v>039490 KS</v>
          </cell>
          <cell r="C886">
            <v>41500</v>
          </cell>
          <cell r="D886" t="str">
            <v>E</v>
          </cell>
        </row>
        <row r="887">
          <cell r="B887" t="str">
            <v>036530 KS</v>
          </cell>
          <cell r="C887">
            <v>41500</v>
          </cell>
          <cell r="D887" t="str">
            <v>E</v>
          </cell>
        </row>
        <row r="888">
          <cell r="B888" t="str">
            <v>000660 KS</v>
          </cell>
          <cell r="C888">
            <v>41500</v>
          </cell>
          <cell r="D888" t="str">
            <v>E</v>
          </cell>
        </row>
        <row r="889">
          <cell r="B889" t="str">
            <v>065350 KS</v>
          </cell>
          <cell r="C889">
            <v>41500</v>
          </cell>
          <cell r="D889" t="str">
            <v>E</v>
          </cell>
        </row>
        <row r="890">
          <cell r="B890" t="str">
            <v>101930 KS</v>
          </cell>
          <cell r="C890">
            <v>41500</v>
          </cell>
          <cell r="D890" t="str">
            <v>E</v>
          </cell>
        </row>
        <row r="891">
          <cell r="B891" t="str">
            <v>101930 KS</v>
          </cell>
          <cell r="C891">
            <v>41500</v>
          </cell>
          <cell r="D891" t="str">
            <v>E</v>
          </cell>
        </row>
        <row r="892">
          <cell r="B892" t="str">
            <v>069080 KS</v>
          </cell>
          <cell r="C892">
            <v>41500</v>
          </cell>
          <cell r="D892" t="str">
            <v>E</v>
          </cell>
        </row>
        <row r="893">
          <cell r="B893" t="str">
            <v>069080 KS</v>
          </cell>
          <cell r="C893">
            <v>41500</v>
          </cell>
          <cell r="D893" t="str">
            <v>E</v>
          </cell>
        </row>
        <row r="894">
          <cell r="B894" t="str">
            <v>064090 KS</v>
          </cell>
          <cell r="C894">
            <v>41500</v>
          </cell>
          <cell r="D894" t="str">
            <v>E</v>
          </cell>
        </row>
        <row r="895">
          <cell r="B895" t="str">
            <v>064090 KS</v>
          </cell>
          <cell r="C895">
            <v>41500</v>
          </cell>
          <cell r="D895" t="str">
            <v>E</v>
          </cell>
        </row>
        <row r="896">
          <cell r="B896" t="str">
            <v>005940 KS</v>
          </cell>
          <cell r="C896">
            <v>41500</v>
          </cell>
          <cell r="D896" t="str">
            <v>E</v>
          </cell>
        </row>
        <row r="897">
          <cell r="B897" t="str">
            <v>044820 KS</v>
          </cell>
          <cell r="C897">
            <v>41500</v>
          </cell>
          <cell r="D897" t="str">
            <v>E</v>
          </cell>
        </row>
        <row r="898">
          <cell r="B898" t="str">
            <v>086390 KS</v>
          </cell>
          <cell r="C898">
            <v>41500</v>
          </cell>
          <cell r="D898" t="str">
            <v>E</v>
          </cell>
        </row>
        <row r="899">
          <cell r="B899" t="str">
            <v>086390 KS</v>
          </cell>
          <cell r="C899">
            <v>41500</v>
          </cell>
          <cell r="D899" t="str">
            <v>E</v>
          </cell>
        </row>
        <row r="900">
          <cell r="B900" t="str">
            <v>052790 KS</v>
          </cell>
          <cell r="C900">
            <v>41500</v>
          </cell>
          <cell r="D900" t="str">
            <v>E</v>
          </cell>
        </row>
        <row r="901">
          <cell r="B901" t="str">
            <v>052790 KS</v>
          </cell>
          <cell r="C901">
            <v>41500</v>
          </cell>
          <cell r="D901" t="str">
            <v>E</v>
          </cell>
        </row>
        <row r="902">
          <cell r="B902" t="str">
            <v>042340 KS</v>
          </cell>
          <cell r="C902">
            <v>41500</v>
          </cell>
          <cell r="D902" t="str">
            <v>E</v>
          </cell>
        </row>
        <row r="903">
          <cell r="B903" t="str">
            <v>002550 KS</v>
          </cell>
          <cell r="C903">
            <v>41500</v>
          </cell>
          <cell r="D903" t="str">
            <v>E</v>
          </cell>
        </row>
        <row r="904">
          <cell r="B904" t="str">
            <v>006120 KS</v>
          </cell>
          <cell r="C904">
            <v>41500</v>
          </cell>
          <cell r="D904" t="str">
            <v>E</v>
          </cell>
        </row>
        <row r="905">
          <cell r="B905" t="str">
            <v>002230 KS</v>
          </cell>
          <cell r="C905">
            <v>41500</v>
          </cell>
          <cell r="D905" t="str">
            <v>E</v>
          </cell>
        </row>
        <row r="906">
          <cell r="B906" t="str">
            <v>002230 KS</v>
          </cell>
          <cell r="C906">
            <v>41500</v>
          </cell>
          <cell r="D906" t="str">
            <v>E</v>
          </cell>
        </row>
        <row r="907">
          <cell r="B907" t="str">
            <v>105840 KS</v>
          </cell>
          <cell r="C907">
            <v>41500</v>
          </cell>
          <cell r="D907" t="str">
            <v>E</v>
          </cell>
        </row>
        <row r="908">
          <cell r="B908" t="str">
            <v>105840 KS</v>
          </cell>
          <cell r="C908">
            <v>41500</v>
          </cell>
          <cell r="D908" t="str">
            <v>E</v>
          </cell>
        </row>
        <row r="909">
          <cell r="B909" t="str">
            <v>027830 KS</v>
          </cell>
          <cell r="C909">
            <v>41500</v>
          </cell>
          <cell r="D909" t="str">
            <v>E</v>
          </cell>
        </row>
        <row r="910">
          <cell r="B910" t="str">
            <v>016360 KS</v>
          </cell>
          <cell r="C910">
            <v>41500</v>
          </cell>
          <cell r="D910" t="str">
            <v>E</v>
          </cell>
        </row>
        <row r="911">
          <cell r="B911" t="str">
            <v>016360 KS</v>
          </cell>
          <cell r="C911">
            <v>41500</v>
          </cell>
          <cell r="D911" t="str">
            <v>E</v>
          </cell>
        </row>
        <row r="912">
          <cell r="B912" t="str">
            <v>006800 KS</v>
          </cell>
          <cell r="C912">
            <v>41500</v>
          </cell>
          <cell r="D912" t="str">
            <v>E</v>
          </cell>
        </row>
        <row r="913">
          <cell r="B913" t="str">
            <v>006800 KS</v>
          </cell>
          <cell r="C913">
            <v>41500</v>
          </cell>
          <cell r="D913" t="str">
            <v>E</v>
          </cell>
        </row>
        <row r="914">
          <cell r="B914" t="str">
            <v>009830 KS</v>
          </cell>
          <cell r="C914">
            <v>41500</v>
          </cell>
          <cell r="D914" t="str">
            <v>E</v>
          </cell>
        </row>
        <row r="915">
          <cell r="B915" t="str">
            <v>009830 KS</v>
          </cell>
          <cell r="C915">
            <v>41500</v>
          </cell>
          <cell r="D915" t="str">
            <v>E</v>
          </cell>
        </row>
        <row r="916">
          <cell r="B916" t="str">
            <v>071320 KS</v>
          </cell>
          <cell r="C916">
            <v>41500</v>
          </cell>
          <cell r="D916" t="str">
            <v>E</v>
          </cell>
        </row>
        <row r="917">
          <cell r="B917" t="str">
            <v>071320 KS</v>
          </cell>
          <cell r="C917">
            <v>41500</v>
          </cell>
          <cell r="D917" t="str">
            <v>E</v>
          </cell>
        </row>
        <row r="918">
          <cell r="B918" t="str">
            <v>120110 KS</v>
          </cell>
          <cell r="C918">
            <v>41500</v>
          </cell>
          <cell r="D918" t="str">
            <v>E</v>
          </cell>
        </row>
        <row r="919">
          <cell r="B919" t="str">
            <v>036460 KS</v>
          </cell>
          <cell r="C919">
            <v>41500</v>
          </cell>
          <cell r="D919" t="str">
            <v>E</v>
          </cell>
        </row>
        <row r="920">
          <cell r="B920" t="str">
            <v>036460 KS</v>
          </cell>
          <cell r="C920">
            <v>41500</v>
          </cell>
          <cell r="D920" t="str">
            <v>E</v>
          </cell>
        </row>
        <row r="921">
          <cell r="B921" t="str">
            <v>011780 KS</v>
          </cell>
          <cell r="C921">
            <v>41500</v>
          </cell>
          <cell r="D921" t="str">
            <v>E</v>
          </cell>
        </row>
        <row r="922">
          <cell r="B922" t="str">
            <v>014190 KS</v>
          </cell>
          <cell r="C922">
            <v>41500</v>
          </cell>
          <cell r="D922" t="str">
            <v>E</v>
          </cell>
        </row>
        <row r="923">
          <cell r="B923" t="str">
            <v>000880 KS</v>
          </cell>
          <cell r="C923">
            <v>41500</v>
          </cell>
          <cell r="D923" t="str">
            <v>E</v>
          </cell>
        </row>
        <row r="924">
          <cell r="B924" t="str">
            <v>014820 KS</v>
          </cell>
          <cell r="C924">
            <v>41500</v>
          </cell>
          <cell r="D924" t="str">
            <v>E</v>
          </cell>
        </row>
        <row r="925">
          <cell r="B925" t="str">
            <v>014820 KS</v>
          </cell>
          <cell r="C925">
            <v>41500</v>
          </cell>
          <cell r="D925" t="str">
            <v>E</v>
          </cell>
        </row>
        <row r="926">
          <cell r="B926" t="str">
            <v>010620 KS</v>
          </cell>
          <cell r="C926">
            <v>41500</v>
          </cell>
          <cell r="D926" t="str">
            <v>E</v>
          </cell>
        </row>
        <row r="927">
          <cell r="B927" t="str">
            <v>010620 KS</v>
          </cell>
          <cell r="C927">
            <v>41500</v>
          </cell>
          <cell r="D927" t="str">
            <v>E</v>
          </cell>
        </row>
        <row r="928">
          <cell r="B928" t="str">
            <v>900140 KS</v>
          </cell>
          <cell r="C928">
            <v>41500</v>
          </cell>
          <cell r="D928" t="str">
            <v>E</v>
          </cell>
        </row>
        <row r="929">
          <cell r="B929" t="str">
            <v>122450 KS</v>
          </cell>
          <cell r="C929">
            <v>41500</v>
          </cell>
          <cell r="D929" t="str">
            <v>E</v>
          </cell>
        </row>
        <row r="930">
          <cell r="B930" t="str">
            <v>122450 KS</v>
          </cell>
          <cell r="C930">
            <v>41500</v>
          </cell>
          <cell r="D930" t="str">
            <v>E</v>
          </cell>
        </row>
        <row r="931">
          <cell r="B931" t="str">
            <v>101390 KS</v>
          </cell>
          <cell r="C931">
            <v>41500</v>
          </cell>
          <cell r="D931" t="str">
            <v>E</v>
          </cell>
        </row>
        <row r="932">
          <cell r="B932" t="str">
            <v>101390 KS</v>
          </cell>
          <cell r="C932">
            <v>41500</v>
          </cell>
          <cell r="D932" t="str">
            <v>E</v>
          </cell>
        </row>
        <row r="933">
          <cell r="B933" t="str">
            <v>053350 KS</v>
          </cell>
          <cell r="C933">
            <v>41500</v>
          </cell>
          <cell r="D933" t="str">
            <v>E</v>
          </cell>
        </row>
        <row r="934">
          <cell r="B934" t="str">
            <v>053350 KS</v>
          </cell>
          <cell r="C934">
            <v>41500</v>
          </cell>
          <cell r="D934" t="str">
            <v>E</v>
          </cell>
        </row>
        <row r="935">
          <cell r="B935" t="str">
            <v>034020 KS</v>
          </cell>
          <cell r="C935">
            <v>41500</v>
          </cell>
          <cell r="D935" t="str">
            <v>E</v>
          </cell>
        </row>
        <row r="936">
          <cell r="B936" t="str">
            <v>051490 KS</v>
          </cell>
          <cell r="C936">
            <v>41500</v>
          </cell>
          <cell r="D936" t="str">
            <v>E</v>
          </cell>
        </row>
        <row r="937">
          <cell r="B937" t="str">
            <v>051490 KS</v>
          </cell>
          <cell r="C937">
            <v>41500</v>
          </cell>
          <cell r="D937" t="str">
            <v>E</v>
          </cell>
        </row>
        <row r="938">
          <cell r="B938" t="str">
            <v>004990 KS</v>
          </cell>
          <cell r="C938">
            <v>41500</v>
          </cell>
          <cell r="D938" t="str">
            <v>E</v>
          </cell>
        </row>
        <row r="939">
          <cell r="B939" t="str">
            <v>014790 KS</v>
          </cell>
          <cell r="C939">
            <v>41500</v>
          </cell>
          <cell r="D939" t="str">
            <v>E</v>
          </cell>
        </row>
        <row r="940">
          <cell r="B940" t="str">
            <v>115450 KS</v>
          </cell>
          <cell r="C940">
            <v>41500</v>
          </cell>
          <cell r="D940" t="str">
            <v>E</v>
          </cell>
        </row>
        <row r="941">
          <cell r="B941" t="str">
            <v>115450 KS</v>
          </cell>
          <cell r="C941">
            <v>41500</v>
          </cell>
          <cell r="D941" t="str">
            <v>E</v>
          </cell>
        </row>
        <row r="942">
          <cell r="B942" t="str">
            <v>037620 KS</v>
          </cell>
          <cell r="C942">
            <v>41500</v>
          </cell>
          <cell r="D942" t="str">
            <v>E</v>
          </cell>
        </row>
        <row r="943">
          <cell r="B943" t="str">
            <v>026890 KS</v>
          </cell>
          <cell r="C943">
            <v>41500</v>
          </cell>
          <cell r="D943" t="str">
            <v>E</v>
          </cell>
        </row>
        <row r="944">
          <cell r="B944" t="str">
            <v>026890 KS</v>
          </cell>
          <cell r="C944">
            <v>41500</v>
          </cell>
          <cell r="D944" t="str">
            <v>E</v>
          </cell>
        </row>
        <row r="945">
          <cell r="B945" t="str">
            <v>054630 KS</v>
          </cell>
          <cell r="C945">
            <v>41500</v>
          </cell>
          <cell r="D945" t="str">
            <v>E</v>
          </cell>
        </row>
        <row r="946">
          <cell r="B946" t="str">
            <v>054630 KS</v>
          </cell>
          <cell r="C946">
            <v>41500</v>
          </cell>
          <cell r="D946" t="str">
            <v>E</v>
          </cell>
        </row>
        <row r="947">
          <cell r="B947" t="str">
            <v>011170 KS</v>
          </cell>
          <cell r="C947">
            <v>41500</v>
          </cell>
          <cell r="D947" t="str">
            <v>E</v>
          </cell>
        </row>
        <row r="948">
          <cell r="B948" t="str">
            <v>078930 KS</v>
          </cell>
          <cell r="C948">
            <v>41500</v>
          </cell>
          <cell r="D948" t="str">
            <v>E</v>
          </cell>
        </row>
        <row r="949">
          <cell r="B949" t="str">
            <v>003410 KS</v>
          </cell>
          <cell r="C949">
            <v>41500</v>
          </cell>
          <cell r="D949" t="str">
            <v>E</v>
          </cell>
        </row>
        <row r="950">
          <cell r="B950" t="str">
            <v>003410 KS</v>
          </cell>
          <cell r="C950">
            <v>41500</v>
          </cell>
          <cell r="D950" t="str">
            <v>E</v>
          </cell>
        </row>
        <row r="951">
          <cell r="B951" t="str">
            <v>053160 KS</v>
          </cell>
          <cell r="C951">
            <v>41500</v>
          </cell>
          <cell r="D951" t="str">
            <v>E</v>
          </cell>
        </row>
        <row r="952">
          <cell r="B952" t="str">
            <v>053160 KS</v>
          </cell>
          <cell r="C952">
            <v>41500</v>
          </cell>
          <cell r="D952" t="str">
            <v>E</v>
          </cell>
        </row>
        <row r="953">
          <cell r="B953" t="str">
            <v>091120 KS</v>
          </cell>
          <cell r="C953">
            <v>41500</v>
          </cell>
          <cell r="D953" t="str">
            <v>E</v>
          </cell>
        </row>
        <row r="954">
          <cell r="B954" t="str">
            <v>091120 KS</v>
          </cell>
          <cell r="C954">
            <v>41500</v>
          </cell>
          <cell r="D954" t="str">
            <v>E</v>
          </cell>
        </row>
        <row r="955">
          <cell r="B955" t="str">
            <v>007070 KS</v>
          </cell>
          <cell r="C955">
            <v>41500</v>
          </cell>
          <cell r="D955" t="str">
            <v>E</v>
          </cell>
        </row>
        <row r="956">
          <cell r="B956" t="str">
            <v>115530 KS</v>
          </cell>
          <cell r="C956">
            <v>41500</v>
          </cell>
          <cell r="D956" t="str">
            <v>E</v>
          </cell>
        </row>
        <row r="957">
          <cell r="B957" t="str">
            <v>115530 KS</v>
          </cell>
          <cell r="C957">
            <v>41500</v>
          </cell>
          <cell r="D957" t="str">
            <v>E</v>
          </cell>
        </row>
        <row r="958">
          <cell r="B958" t="str">
            <v>054090 KS</v>
          </cell>
          <cell r="C958">
            <v>41500</v>
          </cell>
          <cell r="D958" t="str">
            <v>E</v>
          </cell>
        </row>
        <row r="959">
          <cell r="B959" t="str">
            <v>054090 KS</v>
          </cell>
          <cell r="C959">
            <v>41500</v>
          </cell>
          <cell r="D959" t="str">
            <v>E</v>
          </cell>
        </row>
        <row r="960">
          <cell r="B960" t="str">
            <v>049120 KS</v>
          </cell>
          <cell r="C960">
            <v>41500</v>
          </cell>
          <cell r="D960" t="str">
            <v>E</v>
          </cell>
        </row>
        <row r="961">
          <cell r="B961" t="str">
            <v>049120 KS</v>
          </cell>
          <cell r="C961">
            <v>41500</v>
          </cell>
          <cell r="D961" t="str">
            <v>E</v>
          </cell>
        </row>
        <row r="962">
          <cell r="B962" t="str">
            <v>122870 KS</v>
          </cell>
          <cell r="C962">
            <v>41500</v>
          </cell>
          <cell r="D962" t="str">
            <v>E</v>
          </cell>
        </row>
        <row r="963">
          <cell r="B963" t="str">
            <v>122870 KS</v>
          </cell>
          <cell r="C963">
            <v>41500</v>
          </cell>
          <cell r="D963" t="str">
            <v>E</v>
          </cell>
        </row>
        <row r="964">
          <cell r="B964" t="str">
            <v>085660 KS</v>
          </cell>
          <cell r="C964">
            <v>41500</v>
          </cell>
          <cell r="D964" t="str">
            <v>E</v>
          </cell>
        </row>
        <row r="965">
          <cell r="B965" t="str">
            <v>085660 KS</v>
          </cell>
          <cell r="C965">
            <v>41500</v>
          </cell>
          <cell r="D965" t="str">
            <v>E</v>
          </cell>
        </row>
        <row r="966">
          <cell r="B966" t="str">
            <v>035080 KS</v>
          </cell>
          <cell r="C966">
            <v>41500</v>
          </cell>
          <cell r="D966" t="str">
            <v>E</v>
          </cell>
        </row>
        <row r="967">
          <cell r="B967" t="str">
            <v>065690 KS</v>
          </cell>
          <cell r="C967">
            <v>41500</v>
          </cell>
          <cell r="D967" t="str">
            <v>E</v>
          </cell>
        </row>
        <row r="968">
          <cell r="B968" t="str">
            <v>065690 KS</v>
          </cell>
          <cell r="C968">
            <v>41500</v>
          </cell>
          <cell r="D968" t="str">
            <v>E</v>
          </cell>
        </row>
        <row r="969">
          <cell r="B969" t="str">
            <v>003540 KS</v>
          </cell>
          <cell r="C969">
            <v>41500</v>
          </cell>
          <cell r="D969" t="str">
            <v>E</v>
          </cell>
        </row>
        <row r="970">
          <cell r="B970" t="str">
            <v>003540 KS</v>
          </cell>
          <cell r="C970">
            <v>41500</v>
          </cell>
          <cell r="D970" t="str">
            <v>E</v>
          </cell>
        </row>
        <row r="971">
          <cell r="B971" t="str">
            <v>005830 KS</v>
          </cell>
          <cell r="C971">
            <v>41500</v>
          </cell>
          <cell r="D971" t="str">
            <v>E</v>
          </cell>
        </row>
        <row r="972">
          <cell r="B972" t="str">
            <v>016420 KS</v>
          </cell>
          <cell r="C972">
            <v>41500</v>
          </cell>
          <cell r="D972" t="str">
            <v>E</v>
          </cell>
        </row>
        <row r="973">
          <cell r="B973" t="str">
            <v>016420 KS</v>
          </cell>
          <cell r="C973">
            <v>41500</v>
          </cell>
          <cell r="D973" t="str">
            <v>E</v>
          </cell>
        </row>
        <row r="974">
          <cell r="B974" t="str">
            <v>000370 KS</v>
          </cell>
          <cell r="C974">
            <v>41500</v>
          </cell>
          <cell r="D974" t="str">
            <v>E</v>
          </cell>
        </row>
        <row r="975">
          <cell r="B975" t="str">
            <v>033230 KS</v>
          </cell>
          <cell r="C975">
            <v>41500</v>
          </cell>
          <cell r="D975" t="str">
            <v>E</v>
          </cell>
        </row>
        <row r="976">
          <cell r="B976" t="str">
            <v>033230 KS</v>
          </cell>
          <cell r="C976">
            <v>41500</v>
          </cell>
          <cell r="D976" t="str">
            <v>E</v>
          </cell>
        </row>
        <row r="977">
          <cell r="B977" t="str">
            <v>075180 KS</v>
          </cell>
          <cell r="C977">
            <v>41500</v>
          </cell>
          <cell r="D977" t="str">
            <v>E</v>
          </cell>
        </row>
        <row r="978">
          <cell r="B978" t="str">
            <v>075180 KS</v>
          </cell>
          <cell r="C978">
            <v>41500</v>
          </cell>
          <cell r="D978" t="str">
            <v>E</v>
          </cell>
        </row>
        <row r="979">
          <cell r="B979" t="str">
            <v>009440 KS</v>
          </cell>
          <cell r="C979">
            <v>41500</v>
          </cell>
          <cell r="D979" t="str">
            <v>E</v>
          </cell>
        </row>
        <row r="980">
          <cell r="B980" t="str">
            <v>009440 KS</v>
          </cell>
          <cell r="C980">
            <v>41500</v>
          </cell>
          <cell r="D980" t="str">
            <v>E</v>
          </cell>
        </row>
        <row r="981">
          <cell r="B981" t="str">
            <v>122990 KS</v>
          </cell>
          <cell r="C981">
            <v>41500</v>
          </cell>
          <cell r="D981" t="str">
            <v>E</v>
          </cell>
        </row>
        <row r="982">
          <cell r="B982" t="str">
            <v>023800 KS</v>
          </cell>
          <cell r="C982">
            <v>41500</v>
          </cell>
          <cell r="D982" t="str">
            <v>E</v>
          </cell>
        </row>
        <row r="983">
          <cell r="B983" t="str">
            <v>023800 KS</v>
          </cell>
          <cell r="C983">
            <v>41500</v>
          </cell>
          <cell r="D983" t="str">
            <v>E</v>
          </cell>
        </row>
        <row r="984">
          <cell r="B984" t="str">
            <v>000810 KS</v>
          </cell>
          <cell r="C984">
            <v>41500</v>
          </cell>
          <cell r="D984" t="str">
            <v>E</v>
          </cell>
        </row>
        <row r="985">
          <cell r="B985" t="str">
            <v>016450 KS</v>
          </cell>
          <cell r="C985">
            <v>41500</v>
          </cell>
          <cell r="D985" t="str">
            <v>E</v>
          </cell>
        </row>
        <row r="986">
          <cell r="B986" t="str">
            <v>016450 KS</v>
          </cell>
          <cell r="C986">
            <v>41500</v>
          </cell>
          <cell r="D986" t="str">
            <v>E</v>
          </cell>
        </row>
        <row r="987">
          <cell r="B987" t="str">
            <v>075130 KS</v>
          </cell>
          <cell r="C987">
            <v>41500</v>
          </cell>
          <cell r="D987" t="str">
            <v>E</v>
          </cell>
        </row>
        <row r="988">
          <cell r="B988" t="str">
            <v>075130 KS</v>
          </cell>
          <cell r="C988">
            <v>41500</v>
          </cell>
          <cell r="D988" t="str">
            <v>E</v>
          </cell>
        </row>
        <row r="989">
          <cell r="B989" t="str">
            <v>096770 KS</v>
          </cell>
          <cell r="C989">
            <v>41500</v>
          </cell>
          <cell r="D989" t="str">
            <v>E</v>
          </cell>
        </row>
        <row r="990">
          <cell r="B990" t="str">
            <v>014830 KS</v>
          </cell>
          <cell r="C990">
            <v>41500</v>
          </cell>
          <cell r="D990" t="str">
            <v>E</v>
          </cell>
        </row>
        <row r="991">
          <cell r="B991" t="str">
            <v>093320 KS</v>
          </cell>
          <cell r="C991">
            <v>41500</v>
          </cell>
          <cell r="D991" t="str">
            <v>E</v>
          </cell>
        </row>
        <row r="992">
          <cell r="B992" t="str">
            <v>042670 KS</v>
          </cell>
          <cell r="C992">
            <v>41500</v>
          </cell>
          <cell r="D992" t="str">
            <v>E</v>
          </cell>
        </row>
        <row r="993">
          <cell r="B993" t="str">
            <v>017670 KS</v>
          </cell>
          <cell r="C993">
            <v>41500</v>
          </cell>
          <cell r="D993" t="str">
            <v>E</v>
          </cell>
        </row>
        <row r="994">
          <cell r="B994" t="str">
            <v>080010 KS</v>
          </cell>
          <cell r="C994">
            <v>41500</v>
          </cell>
          <cell r="D994" t="str">
            <v>E</v>
          </cell>
        </row>
        <row r="995">
          <cell r="B995" t="str">
            <v>080010 KS</v>
          </cell>
          <cell r="C995">
            <v>41500</v>
          </cell>
          <cell r="D995" t="str">
            <v>E</v>
          </cell>
        </row>
        <row r="996">
          <cell r="B996" t="str">
            <v>079940 KS</v>
          </cell>
          <cell r="C996">
            <v>41500</v>
          </cell>
          <cell r="D996" t="str">
            <v>E</v>
          </cell>
        </row>
        <row r="997">
          <cell r="B997" t="str">
            <v>079940 KS</v>
          </cell>
          <cell r="C997">
            <v>41500</v>
          </cell>
          <cell r="D997" t="str">
            <v>E</v>
          </cell>
        </row>
        <row r="998">
          <cell r="B998" t="str">
            <v>115390 KS</v>
          </cell>
          <cell r="C998">
            <v>41500</v>
          </cell>
          <cell r="D998" t="str">
            <v>E</v>
          </cell>
        </row>
        <row r="999">
          <cell r="B999" t="str">
            <v>037400 KS</v>
          </cell>
          <cell r="C999">
            <v>41500</v>
          </cell>
          <cell r="D999" t="str">
            <v>E</v>
          </cell>
        </row>
        <row r="1000">
          <cell r="B1000" t="str">
            <v>037400 KS</v>
          </cell>
          <cell r="C1000">
            <v>41500</v>
          </cell>
          <cell r="D1000" t="str">
            <v>E</v>
          </cell>
        </row>
        <row r="1001">
          <cell r="B1001" t="str">
            <v>018500 KS</v>
          </cell>
          <cell r="C1001">
            <v>41500</v>
          </cell>
          <cell r="D1001" t="str">
            <v>E</v>
          </cell>
        </row>
        <row r="1002">
          <cell r="B1002" t="str">
            <v>018500 KS</v>
          </cell>
          <cell r="C1002">
            <v>41500</v>
          </cell>
          <cell r="D1002" t="str">
            <v>E</v>
          </cell>
        </row>
        <row r="1003">
          <cell r="B1003" t="str">
            <v>010060 KS</v>
          </cell>
          <cell r="C1003">
            <v>41500</v>
          </cell>
          <cell r="D1003" t="str">
            <v>E</v>
          </cell>
        </row>
        <row r="1004">
          <cell r="B1004" t="str">
            <v>032560 KS</v>
          </cell>
          <cell r="C1004">
            <v>41500</v>
          </cell>
          <cell r="D1004" t="str">
            <v>E</v>
          </cell>
        </row>
        <row r="1005">
          <cell r="B1005" t="str">
            <v>082740 KS</v>
          </cell>
          <cell r="C1005">
            <v>41500</v>
          </cell>
          <cell r="D1005" t="str">
            <v>E</v>
          </cell>
        </row>
        <row r="1006">
          <cell r="B1006" t="str">
            <v>082740 KS</v>
          </cell>
          <cell r="C1006">
            <v>41500</v>
          </cell>
          <cell r="D1006" t="str">
            <v>E</v>
          </cell>
        </row>
        <row r="1007">
          <cell r="B1007" t="str">
            <v>033630 KS</v>
          </cell>
          <cell r="C1007">
            <v>41500</v>
          </cell>
          <cell r="D1007" t="str">
            <v>E</v>
          </cell>
        </row>
        <row r="1008">
          <cell r="B1008" t="str">
            <v>010120 KS</v>
          </cell>
          <cell r="C1008">
            <v>41500</v>
          </cell>
          <cell r="D1008" t="str">
            <v>E</v>
          </cell>
        </row>
        <row r="1009">
          <cell r="B1009" t="str">
            <v>003480 KS</v>
          </cell>
          <cell r="C1009">
            <v>41500</v>
          </cell>
          <cell r="D1009" t="str">
            <v>E</v>
          </cell>
        </row>
        <row r="1010">
          <cell r="B1010" t="str">
            <v>003480 KS</v>
          </cell>
          <cell r="C1010">
            <v>41500</v>
          </cell>
          <cell r="D1010" t="str">
            <v>E</v>
          </cell>
        </row>
        <row r="1011">
          <cell r="B1011" t="str">
            <v>036210 KS</v>
          </cell>
          <cell r="C1011">
            <v>41500</v>
          </cell>
          <cell r="D1011" t="str">
            <v>E</v>
          </cell>
        </row>
        <row r="1012">
          <cell r="B1012" t="str">
            <v>036210 KS</v>
          </cell>
          <cell r="C1012">
            <v>41500</v>
          </cell>
          <cell r="D1012" t="str">
            <v>E</v>
          </cell>
        </row>
        <row r="1013">
          <cell r="B1013" t="str">
            <v>082850 KS</v>
          </cell>
          <cell r="C1013">
            <v>41500</v>
          </cell>
          <cell r="D1013" t="str">
            <v>E</v>
          </cell>
        </row>
        <row r="1014">
          <cell r="B1014" t="str">
            <v>082850 KS</v>
          </cell>
          <cell r="C1014">
            <v>41500</v>
          </cell>
          <cell r="D1014" t="str">
            <v>E</v>
          </cell>
        </row>
        <row r="1015">
          <cell r="B1015" t="str">
            <v>000080 KS</v>
          </cell>
          <cell r="C1015">
            <v>41500</v>
          </cell>
          <cell r="D1015" t="str">
            <v>E</v>
          </cell>
        </row>
        <row r="1016">
          <cell r="B1016" t="str">
            <v>000080 KS</v>
          </cell>
          <cell r="C1016">
            <v>41500</v>
          </cell>
          <cell r="D1016" t="str">
            <v>E</v>
          </cell>
        </row>
        <row r="1017">
          <cell r="B1017" t="str">
            <v>084870 KS</v>
          </cell>
          <cell r="C1017">
            <v>41500</v>
          </cell>
          <cell r="D1017" t="str">
            <v>E</v>
          </cell>
        </row>
        <row r="1018">
          <cell r="B1018" t="str">
            <v>000720 KS</v>
          </cell>
          <cell r="C1018">
            <v>41500</v>
          </cell>
          <cell r="D1018" t="str">
            <v>E</v>
          </cell>
        </row>
        <row r="1019">
          <cell r="B1019" t="str">
            <v>123570 KS</v>
          </cell>
          <cell r="C1019">
            <v>41500</v>
          </cell>
          <cell r="D1019" t="str">
            <v>E</v>
          </cell>
        </row>
        <row r="1020">
          <cell r="B1020" t="str">
            <v>123570 KS</v>
          </cell>
          <cell r="C1020">
            <v>41500</v>
          </cell>
          <cell r="D1020" t="str">
            <v>E</v>
          </cell>
        </row>
        <row r="1021">
          <cell r="B1021" t="str">
            <v>039440 KS</v>
          </cell>
          <cell r="C1021">
            <v>41500</v>
          </cell>
          <cell r="D1021" t="str">
            <v>E</v>
          </cell>
        </row>
        <row r="1022">
          <cell r="B1022" t="str">
            <v>010950 KS</v>
          </cell>
          <cell r="C1022">
            <v>41500</v>
          </cell>
          <cell r="D1022" t="str">
            <v>E</v>
          </cell>
        </row>
        <row r="1023">
          <cell r="B1023" t="str">
            <v>102260 KS</v>
          </cell>
          <cell r="C1023">
            <v>41500</v>
          </cell>
          <cell r="D1023" t="str">
            <v>E</v>
          </cell>
        </row>
        <row r="1024">
          <cell r="B1024" t="str">
            <v>102260 KS</v>
          </cell>
          <cell r="C1024">
            <v>41500</v>
          </cell>
          <cell r="D1024" t="str">
            <v>E</v>
          </cell>
        </row>
        <row r="1025">
          <cell r="B1025" t="str">
            <v>000070 KS</v>
          </cell>
          <cell r="C1025">
            <v>41500</v>
          </cell>
          <cell r="D1025" t="str">
            <v>E</v>
          </cell>
        </row>
        <row r="1026">
          <cell r="B1026" t="str">
            <v>000070 KS</v>
          </cell>
          <cell r="C1026">
            <v>41500</v>
          </cell>
          <cell r="D1026" t="str">
            <v>E</v>
          </cell>
        </row>
        <row r="1027">
          <cell r="B1027" t="str">
            <v>039440 KS</v>
          </cell>
          <cell r="C1027">
            <v>41500</v>
          </cell>
          <cell r="D1027" t="str">
            <v>E</v>
          </cell>
        </row>
        <row r="1028">
          <cell r="B1028" t="str">
            <v>003490 KS</v>
          </cell>
          <cell r="C1028">
            <v>41500</v>
          </cell>
          <cell r="D1028" t="str">
            <v>E</v>
          </cell>
        </row>
        <row r="1029">
          <cell r="B1029" t="str">
            <v>095660 KS</v>
          </cell>
          <cell r="C1029">
            <v>41500</v>
          </cell>
          <cell r="D1029" t="str">
            <v>E</v>
          </cell>
        </row>
        <row r="1030">
          <cell r="B1030" t="str">
            <v>042420 KS</v>
          </cell>
          <cell r="C1030">
            <v>41500</v>
          </cell>
          <cell r="D1030" t="str">
            <v>E</v>
          </cell>
        </row>
        <row r="1031">
          <cell r="B1031" t="str">
            <v>042420 KS</v>
          </cell>
          <cell r="C1031">
            <v>41500</v>
          </cell>
          <cell r="D1031" t="str">
            <v>E</v>
          </cell>
        </row>
        <row r="1032">
          <cell r="B1032" t="str">
            <v>064800 KS</v>
          </cell>
          <cell r="C1032">
            <v>41500</v>
          </cell>
          <cell r="D1032" t="str">
            <v>E</v>
          </cell>
        </row>
        <row r="1033">
          <cell r="B1033" t="str">
            <v>001740 KS</v>
          </cell>
          <cell r="C1033">
            <v>41500</v>
          </cell>
          <cell r="D1033" t="str">
            <v>E</v>
          </cell>
        </row>
        <row r="1034">
          <cell r="B1034" t="str">
            <v>064800 KS</v>
          </cell>
          <cell r="C1034">
            <v>41500</v>
          </cell>
          <cell r="D1034" t="str">
            <v>E</v>
          </cell>
        </row>
        <row r="1035">
          <cell r="B1035" t="str">
            <v>015860 KS</v>
          </cell>
          <cell r="C1035">
            <v>41500</v>
          </cell>
          <cell r="D1035" t="str">
            <v>E</v>
          </cell>
        </row>
        <row r="1036">
          <cell r="B1036" t="str">
            <v>015860 KS</v>
          </cell>
          <cell r="C1036">
            <v>41500</v>
          </cell>
          <cell r="D1036" t="str">
            <v>E</v>
          </cell>
        </row>
        <row r="1037">
          <cell r="B1037" t="str">
            <v>012160 KS</v>
          </cell>
          <cell r="C1037">
            <v>41500</v>
          </cell>
          <cell r="D1037" t="str">
            <v>E</v>
          </cell>
        </row>
        <row r="1038">
          <cell r="B1038" t="str">
            <v>012160 KS</v>
          </cell>
          <cell r="C1038">
            <v>41500</v>
          </cell>
          <cell r="D1038" t="str">
            <v>E</v>
          </cell>
        </row>
        <row r="1039">
          <cell r="B1039" t="str">
            <v>035250 KS</v>
          </cell>
          <cell r="C1039">
            <v>41500</v>
          </cell>
          <cell r="D1039" t="str">
            <v>E</v>
          </cell>
        </row>
        <row r="1040">
          <cell r="B1040" t="str">
            <v>035250 KS</v>
          </cell>
          <cell r="C1040">
            <v>41500</v>
          </cell>
          <cell r="D1040" t="str">
            <v>E</v>
          </cell>
        </row>
        <row r="1041">
          <cell r="B1041" t="str">
            <v>001230 KS</v>
          </cell>
          <cell r="C1041">
            <v>41500</v>
          </cell>
          <cell r="D1041" t="str">
            <v>E</v>
          </cell>
        </row>
        <row r="1042">
          <cell r="B1042" t="str">
            <v>001230 KS</v>
          </cell>
          <cell r="C1042">
            <v>41500</v>
          </cell>
          <cell r="D1042" t="str">
            <v>E</v>
          </cell>
        </row>
        <row r="1043">
          <cell r="B1043" t="str">
            <v>003450 KS</v>
          </cell>
          <cell r="C1043">
            <v>41500</v>
          </cell>
          <cell r="D1043" t="str">
            <v>E</v>
          </cell>
        </row>
        <row r="1044">
          <cell r="B1044" t="str">
            <v>005300 KS</v>
          </cell>
          <cell r="C1044">
            <v>41500</v>
          </cell>
          <cell r="D1044" t="str">
            <v>E</v>
          </cell>
        </row>
        <row r="1045">
          <cell r="B1045" t="str">
            <v>005300 KS</v>
          </cell>
          <cell r="C1045">
            <v>41500</v>
          </cell>
          <cell r="D1045" t="str">
            <v>E</v>
          </cell>
        </row>
        <row r="1046">
          <cell r="B1046" t="str">
            <v>145990 KS</v>
          </cell>
          <cell r="C1046">
            <v>41500</v>
          </cell>
          <cell r="D1046" t="str">
            <v>E</v>
          </cell>
        </row>
        <row r="1047">
          <cell r="B1047" t="str">
            <v>145990 KS</v>
          </cell>
          <cell r="C1047">
            <v>41500</v>
          </cell>
          <cell r="D1047" t="str">
            <v>E</v>
          </cell>
        </row>
        <row r="1048">
          <cell r="B1048" t="str">
            <v>104200 KS</v>
          </cell>
          <cell r="C1048">
            <v>41500</v>
          </cell>
          <cell r="D1048" t="str">
            <v>E</v>
          </cell>
        </row>
        <row r="1049">
          <cell r="B1049" t="str">
            <v>104200 KS</v>
          </cell>
          <cell r="C1049">
            <v>41500</v>
          </cell>
          <cell r="D1049" t="str">
            <v>E</v>
          </cell>
        </row>
        <row r="1050">
          <cell r="B1050" t="str">
            <v>016380 KS</v>
          </cell>
          <cell r="C1050">
            <v>41500</v>
          </cell>
          <cell r="D1050" t="str">
            <v>E</v>
          </cell>
        </row>
        <row r="1051">
          <cell r="B1051" t="str">
            <v>016380 KS</v>
          </cell>
          <cell r="C1051">
            <v>41500</v>
          </cell>
          <cell r="D1051" t="str">
            <v>E</v>
          </cell>
        </row>
        <row r="1052">
          <cell r="B1052" t="str">
            <v>016610 KS</v>
          </cell>
          <cell r="C1052">
            <v>41500</v>
          </cell>
          <cell r="D1052" t="str">
            <v>E</v>
          </cell>
        </row>
        <row r="1053">
          <cell r="B1053" t="str">
            <v>081000 KS</v>
          </cell>
          <cell r="C1053">
            <v>41500</v>
          </cell>
          <cell r="D1053" t="str">
            <v>E</v>
          </cell>
        </row>
        <row r="1054">
          <cell r="B1054" t="str">
            <v>081000 KS</v>
          </cell>
          <cell r="C1054">
            <v>41500</v>
          </cell>
          <cell r="D1054" t="str">
            <v>E</v>
          </cell>
        </row>
        <row r="1055">
          <cell r="B1055" t="str">
            <v>016610 KS</v>
          </cell>
          <cell r="C1055">
            <v>41500</v>
          </cell>
          <cell r="D1055" t="str">
            <v>E</v>
          </cell>
        </row>
        <row r="1056">
          <cell r="B1056" t="str">
            <v>004000 KS</v>
          </cell>
          <cell r="C1056">
            <v>41500</v>
          </cell>
          <cell r="D1056" t="str">
            <v>E</v>
          </cell>
        </row>
        <row r="1057">
          <cell r="B1057" t="str">
            <v>030610 KS</v>
          </cell>
          <cell r="C1057">
            <v>41500</v>
          </cell>
          <cell r="D1057" t="str">
            <v>E</v>
          </cell>
        </row>
        <row r="1058">
          <cell r="B1058" t="str">
            <v>030610 KS</v>
          </cell>
          <cell r="C1058">
            <v>41500</v>
          </cell>
          <cell r="D1058" t="str">
            <v>E</v>
          </cell>
        </row>
        <row r="1059">
          <cell r="B1059" t="str">
            <v>097230 KS</v>
          </cell>
          <cell r="C1059">
            <v>41500</v>
          </cell>
          <cell r="D1059" t="str">
            <v>E</v>
          </cell>
        </row>
        <row r="1060">
          <cell r="B1060" t="str">
            <v>097230 KS</v>
          </cell>
          <cell r="C1060">
            <v>41500</v>
          </cell>
          <cell r="D1060" t="str">
            <v>E</v>
          </cell>
        </row>
        <row r="1061">
          <cell r="B1061" t="str">
            <v>005620 KS</v>
          </cell>
          <cell r="C1061">
            <v>41500</v>
          </cell>
          <cell r="D1061" t="str">
            <v>E</v>
          </cell>
        </row>
        <row r="1062">
          <cell r="B1062" t="str">
            <v>005620 KS</v>
          </cell>
          <cell r="C1062">
            <v>41500</v>
          </cell>
          <cell r="D1062" t="str">
            <v>E</v>
          </cell>
        </row>
        <row r="1063">
          <cell r="B1063" t="str">
            <v>027040 KS</v>
          </cell>
          <cell r="C1063">
            <v>41500</v>
          </cell>
          <cell r="D1063" t="str">
            <v>E</v>
          </cell>
        </row>
        <row r="1064">
          <cell r="B1064" t="str">
            <v>027040 KS</v>
          </cell>
          <cell r="C1064">
            <v>41500</v>
          </cell>
          <cell r="D1064" t="str">
            <v>E</v>
          </cell>
        </row>
        <row r="1065">
          <cell r="B1065" t="str">
            <v>020560 KS</v>
          </cell>
          <cell r="C1065">
            <v>41500</v>
          </cell>
          <cell r="D1065" t="str">
            <v>E</v>
          </cell>
        </row>
        <row r="1066">
          <cell r="B1066" t="str">
            <v>000210 KS</v>
          </cell>
          <cell r="C1066">
            <v>41500</v>
          </cell>
          <cell r="D1066" t="str">
            <v>E</v>
          </cell>
        </row>
        <row r="1067">
          <cell r="B1067" t="str">
            <v>030210 KS</v>
          </cell>
          <cell r="C1067">
            <v>41500</v>
          </cell>
          <cell r="D1067" t="str">
            <v>E</v>
          </cell>
        </row>
        <row r="1068">
          <cell r="B1068" t="str">
            <v>120110 KS</v>
          </cell>
          <cell r="C1068">
            <v>41500</v>
          </cell>
          <cell r="D1068" t="str">
            <v>E</v>
          </cell>
        </row>
        <row r="1069">
          <cell r="B1069" t="str">
            <v>001510 KS</v>
          </cell>
          <cell r="C1069">
            <v>41500</v>
          </cell>
          <cell r="D1069" t="str">
            <v>E</v>
          </cell>
        </row>
        <row r="1070">
          <cell r="B1070" t="str">
            <v>030210 KS</v>
          </cell>
          <cell r="C1070">
            <v>41500</v>
          </cell>
          <cell r="D1070" t="str">
            <v>E</v>
          </cell>
        </row>
        <row r="1071">
          <cell r="B1071" t="str">
            <v>001510 KS</v>
          </cell>
          <cell r="C1071">
            <v>41500</v>
          </cell>
          <cell r="D1071" t="str">
            <v>E</v>
          </cell>
        </row>
        <row r="1072">
          <cell r="B1072" t="str">
            <v>128820 KS</v>
          </cell>
          <cell r="C1072">
            <v>41500</v>
          </cell>
          <cell r="D1072" t="str">
            <v>E</v>
          </cell>
        </row>
        <row r="1073">
          <cell r="B1073" t="str">
            <v>128820 KS</v>
          </cell>
          <cell r="C1073">
            <v>41500</v>
          </cell>
          <cell r="D1073" t="str">
            <v>E</v>
          </cell>
        </row>
        <row r="1074">
          <cell r="B1074" t="str">
            <v>000240 KS</v>
          </cell>
          <cell r="C1074">
            <v>41500</v>
          </cell>
          <cell r="D1074" t="str">
            <v>E</v>
          </cell>
        </row>
        <row r="1075">
          <cell r="B1075" t="str">
            <v>138930 KS</v>
          </cell>
          <cell r="C1075">
            <v>41500</v>
          </cell>
          <cell r="D1075" t="str">
            <v>E</v>
          </cell>
        </row>
        <row r="1076">
          <cell r="B1076" t="str">
            <v>025880 KS</v>
          </cell>
          <cell r="C1076">
            <v>41500</v>
          </cell>
          <cell r="D1076" t="str">
            <v>E</v>
          </cell>
        </row>
        <row r="1077">
          <cell r="B1077" t="str">
            <v>025880 KS</v>
          </cell>
          <cell r="C1077">
            <v>41500</v>
          </cell>
          <cell r="D1077" t="str">
            <v>E</v>
          </cell>
        </row>
        <row r="1078">
          <cell r="B1078" t="str">
            <v>054300 KS</v>
          </cell>
          <cell r="C1078">
            <v>41500</v>
          </cell>
          <cell r="D1078" t="str">
            <v>E</v>
          </cell>
        </row>
        <row r="1079">
          <cell r="B1079" t="str">
            <v>054300 KS</v>
          </cell>
          <cell r="C1079">
            <v>41500</v>
          </cell>
          <cell r="D1079" t="str">
            <v>E</v>
          </cell>
        </row>
        <row r="1080">
          <cell r="B1080" t="str">
            <v>037330 KS</v>
          </cell>
          <cell r="C1080">
            <v>41500</v>
          </cell>
          <cell r="D1080" t="str">
            <v>E</v>
          </cell>
        </row>
        <row r="1081">
          <cell r="B1081" t="str">
            <v>037330 KS</v>
          </cell>
          <cell r="C1081">
            <v>41500</v>
          </cell>
          <cell r="D1081" t="str">
            <v>E</v>
          </cell>
        </row>
        <row r="1082">
          <cell r="B1082" t="str">
            <v>001120 KS</v>
          </cell>
          <cell r="C1082">
            <v>41500</v>
          </cell>
          <cell r="D1082" t="str">
            <v>E</v>
          </cell>
        </row>
        <row r="1083">
          <cell r="B1083" t="str">
            <v>017940 KS</v>
          </cell>
          <cell r="C1083">
            <v>41500</v>
          </cell>
          <cell r="D1083" t="str">
            <v>E</v>
          </cell>
        </row>
        <row r="1084">
          <cell r="B1084" t="str">
            <v>017940 KS</v>
          </cell>
          <cell r="C1084">
            <v>41500</v>
          </cell>
          <cell r="D1084" t="str">
            <v>E</v>
          </cell>
        </row>
        <row r="1085">
          <cell r="B1085" t="str">
            <v>065350 KS</v>
          </cell>
          <cell r="C1085">
            <v>41500</v>
          </cell>
          <cell r="D1085" t="str">
            <v>E</v>
          </cell>
        </row>
        <row r="1086">
          <cell r="B1086" t="str">
            <v>001300 KS</v>
          </cell>
          <cell r="C1086">
            <v>41500</v>
          </cell>
          <cell r="D1086" t="str">
            <v>E</v>
          </cell>
        </row>
        <row r="1087">
          <cell r="B1087" t="str">
            <v>025900 KS</v>
          </cell>
          <cell r="C1087">
            <v>41500</v>
          </cell>
          <cell r="D1087" t="str">
            <v>E</v>
          </cell>
        </row>
        <row r="1088">
          <cell r="B1088" t="str">
            <v>025900 KS</v>
          </cell>
          <cell r="C1088">
            <v>41500</v>
          </cell>
          <cell r="D1088" t="str">
            <v>E</v>
          </cell>
        </row>
        <row r="1089">
          <cell r="B1089" t="str">
            <v>067170 KS</v>
          </cell>
          <cell r="C1089">
            <v>41500</v>
          </cell>
          <cell r="D1089" t="str">
            <v>E</v>
          </cell>
        </row>
        <row r="1090">
          <cell r="B1090" t="str">
            <v>067170 KS</v>
          </cell>
          <cell r="C1090">
            <v>41500</v>
          </cell>
          <cell r="D1090" t="str">
            <v>E</v>
          </cell>
        </row>
        <row r="1091">
          <cell r="B1091" t="str">
            <v>000140 KS</v>
          </cell>
          <cell r="C1091">
            <v>41500</v>
          </cell>
          <cell r="D1091" t="str">
            <v>E</v>
          </cell>
        </row>
        <row r="1092">
          <cell r="B1092" t="str">
            <v>000140 KS</v>
          </cell>
          <cell r="C1092">
            <v>41500</v>
          </cell>
          <cell r="D1092" t="str">
            <v>E</v>
          </cell>
        </row>
        <row r="1093">
          <cell r="B1093" t="str">
            <v>011210 KS</v>
          </cell>
          <cell r="C1093">
            <v>41500</v>
          </cell>
          <cell r="D1093" t="str">
            <v>E</v>
          </cell>
        </row>
        <row r="1094">
          <cell r="B1094" t="str">
            <v>004800 KS</v>
          </cell>
          <cell r="C1094">
            <v>41500</v>
          </cell>
          <cell r="D1094" t="str">
            <v>E</v>
          </cell>
        </row>
        <row r="1095">
          <cell r="B1095" t="str">
            <v>002790 KS</v>
          </cell>
          <cell r="C1095">
            <v>41500</v>
          </cell>
          <cell r="D1095" t="str">
            <v>E</v>
          </cell>
        </row>
        <row r="1096">
          <cell r="B1096" t="str">
            <v>002380 KS</v>
          </cell>
          <cell r="C1096">
            <v>41500</v>
          </cell>
          <cell r="D1096" t="str">
            <v>E</v>
          </cell>
        </row>
        <row r="1097">
          <cell r="B1097" t="str">
            <v>030000 KS</v>
          </cell>
          <cell r="C1097">
            <v>41500</v>
          </cell>
          <cell r="D1097" t="str">
            <v>E</v>
          </cell>
        </row>
        <row r="1098">
          <cell r="B1098" t="str">
            <v>003530 KS</v>
          </cell>
          <cell r="C1098">
            <v>41500</v>
          </cell>
          <cell r="D1098" t="str">
            <v>E</v>
          </cell>
        </row>
        <row r="1099">
          <cell r="B1099" t="str">
            <v>003530 KS</v>
          </cell>
          <cell r="C1099">
            <v>41500</v>
          </cell>
          <cell r="D1099" t="str">
            <v>E</v>
          </cell>
        </row>
        <row r="1100">
          <cell r="B1100" t="str">
            <v>102280 KS</v>
          </cell>
          <cell r="C1100">
            <v>41500</v>
          </cell>
          <cell r="D1100" t="str">
            <v>E</v>
          </cell>
        </row>
        <row r="1101">
          <cell r="B1101" t="str">
            <v>008560 KS</v>
          </cell>
          <cell r="C1101">
            <v>41500</v>
          </cell>
          <cell r="D1101" t="str">
            <v>E</v>
          </cell>
        </row>
        <row r="1102">
          <cell r="B1102" t="str">
            <v>097950 KS</v>
          </cell>
          <cell r="C1102">
            <v>41500</v>
          </cell>
          <cell r="D1102" t="str">
            <v>E</v>
          </cell>
        </row>
        <row r="1103">
          <cell r="B1103" t="str">
            <v>042660 KS</v>
          </cell>
          <cell r="C1103">
            <v>41500</v>
          </cell>
          <cell r="D1103" t="str">
            <v>E</v>
          </cell>
        </row>
        <row r="1104">
          <cell r="B1104" t="str">
            <v>042660 KS</v>
          </cell>
          <cell r="C1104">
            <v>41500</v>
          </cell>
          <cell r="D1104" t="str">
            <v>E</v>
          </cell>
        </row>
        <row r="1105">
          <cell r="B1105" t="str">
            <v>008560 KS</v>
          </cell>
          <cell r="C1105">
            <v>41500</v>
          </cell>
          <cell r="D1105" t="str">
            <v>E</v>
          </cell>
        </row>
        <row r="1106">
          <cell r="B1106" t="str">
            <v>102280 KS</v>
          </cell>
          <cell r="C1106">
            <v>41500</v>
          </cell>
          <cell r="D1106" t="str">
            <v>E</v>
          </cell>
        </row>
        <row r="1107">
          <cell r="B1107" t="str">
            <v>017800 KS</v>
          </cell>
          <cell r="C1107">
            <v>41500</v>
          </cell>
          <cell r="D1107" t="str">
            <v>E</v>
          </cell>
        </row>
        <row r="1108">
          <cell r="B1108" t="str">
            <v>017800 KS</v>
          </cell>
          <cell r="C1108">
            <v>41500</v>
          </cell>
          <cell r="D1108" t="str">
            <v>E</v>
          </cell>
        </row>
        <row r="1109">
          <cell r="B1109" t="str">
            <v>090430 KS</v>
          </cell>
          <cell r="C1109">
            <v>41500</v>
          </cell>
          <cell r="D1109" t="str">
            <v>E</v>
          </cell>
        </row>
        <row r="1110">
          <cell r="B1110" t="str">
            <v>001720 KS</v>
          </cell>
          <cell r="C1110">
            <v>41500</v>
          </cell>
          <cell r="D1110" t="str">
            <v>E</v>
          </cell>
        </row>
        <row r="1111">
          <cell r="B1111" t="str">
            <v>001720 KS</v>
          </cell>
          <cell r="C1111">
            <v>41500</v>
          </cell>
          <cell r="D1111" t="str">
            <v>E</v>
          </cell>
        </row>
        <row r="1112">
          <cell r="B1112" t="str">
            <v>009200 KS</v>
          </cell>
          <cell r="C1112">
            <v>41500</v>
          </cell>
          <cell r="D1112" t="str">
            <v>E</v>
          </cell>
        </row>
        <row r="1113">
          <cell r="B1113" t="str">
            <v>009200 KS</v>
          </cell>
          <cell r="C1113">
            <v>41500</v>
          </cell>
          <cell r="D1113" t="str">
            <v>E</v>
          </cell>
        </row>
        <row r="1114">
          <cell r="B1114" t="str">
            <v>052420 KS</v>
          </cell>
          <cell r="C1114">
            <v>41500</v>
          </cell>
          <cell r="D1114" t="str">
            <v>E</v>
          </cell>
        </row>
        <row r="1115">
          <cell r="B1115" t="str">
            <v>052420 KS</v>
          </cell>
          <cell r="C1115">
            <v>41500</v>
          </cell>
          <cell r="D1115" t="str">
            <v>E</v>
          </cell>
        </row>
        <row r="1116">
          <cell r="B1116" t="str">
            <v>060720 KS</v>
          </cell>
          <cell r="C1116">
            <v>41500</v>
          </cell>
          <cell r="D1116" t="str">
            <v>E</v>
          </cell>
        </row>
        <row r="1117">
          <cell r="B1117" t="str">
            <v>032830 KS</v>
          </cell>
          <cell r="C1117">
            <v>41500</v>
          </cell>
          <cell r="D1117" t="str">
            <v>E</v>
          </cell>
        </row>
        <row r="1118">
          <cell r="B1118" t="str">
            <v>004990 KS</v>
          </cell>
          <cell r="C1118">
            <v>41500</v>
          </cell>
          <cell r="D1118" t="str">
            <v>E</v>
          </cell>
        </row>
        <row r="1119">
          <cell r="B1119" t="str">
            <v>126560 KS</v>
          </cell>
          <cell r="C1119">
            <v>41500</v>
          </cell>
          <cell r="D1119" t="str">
            <v>E</v>
          </cell>
        </row>
        <row r="1120">
          <cell r="B1120" t="str">
            <v>000150 KS</v>
          </cell>
          <cell r="C1120">
            <v>41500</v>
          </cell>
          <cell r="D1120" t="str">
            <v>E</v>
          </cell>
        </row>
        <row r="1121">
          <cell r="B1121" t="str">
            <v>139130 KS</v>
          </cell>
          <cell r="C1121">
            <v>41500</v>
          </cell>
          <cell r="D1121" t="str">
            <v>E</v>
          </cell>
        </row>
        <row r="1122">
          <cell r="B1122" t="str">
            <v>001040 KS</v>
          </cell>
          <cell r="C1122">
            <v>41500</v>
          </cell>
          <cell r="D1122" t="str">
            <v>E</v>
          </cell>
        </row>
        <row r="1123">
          <cell r="B1123" t="str">
            <v>001040 KS</v>
          </cell>
          <cell r="C1123">
            <v>41500</v>
          </cell>
          <cell r="D1123" t="str">
            <v>E</v>
          </cell>
        </row>
        <row r="1124">
          <cell r="B1124" t="str">
            <v>033540 KS</v>
          </cell>
          <cell r="C1124">
            <v>41500</v>
          </cell>
          <cell r="D1124" t="str">
            <v>E</v>
          </cell>
        </row>
        <row r="1125">
          <cell r="B1125" t="str">
            <v>003600 KS</v>
          </cell>
          <cell r="C1125">
            <v>41500</v>
          </cell>
          <cell r="D1125" t="str">
            <v>E</v>
          </cell>
        </row>
        <row r="1126">
          <cell r="B1126" t="str">
            <v>010140 KS</v>
          </cell>
          <cell r="C1126">
            <v>41500</v>
          </cell>
          <cell r="D1126" t="str">
            <v>E</v>
          </cell>
        </row>
        <row r="1127">
          <cell r="B1127" t="str">
            <v>010130 KS</v>
          </cell>
          <cell r="C1127">
            <v>41500</v>
          </cell>
          <cell r="D1127" t="str">
            <v>E</v>
          </cell>
        </row>
        <row r="1128">
          <cell r="B1128" t="str">
            <v>033540 KS</v>
          </cell>
          <cell r="C1128">
            <v>41500</v>
          </cell>
          <cell r="D1128" t="str">
            <v>E</v>
          </cell>
        </row>
        <row r="1129">
          <cell r="B1129" t="str">
            <v>005810 KS</v>
          </cell>
          <cell r="C1129">
            <v>41500</v>
          </cell>
          <cell r="D1129" t="str">
            <v>E</v>
          </cell>
        </row>
        <row r="1130">
          <cell r="B1130" t="str">
            <v>005810 KS</v>
          </cell>
          <cell r="C1130">
            <v>41500</v>
          </cell>
          <cell r="D1130" t="str">
            <v>E</v>
          </cell>
        </row>
        <row r="1131">
          <cell r="B1131" t="str">
            <v>012750 KS</v>
          </cell>
          <cell r="C1131">
            <v>41500</v>
          </cell>
          <cell r="D1131" t="str">
            <v>E</v>
          </cell>
        </row>
        <row r="1132">
          <cell r="B1132" t="str">
            <v>0579 KS</v>
          </cell>
          <cell r="C1132">
            <v>41500</v>
          </cell>
          <cell r="D1132" t="str">
            <v>E</v>
          </cell>
        </row>
        <row r="1133">
          <cell r="B1133" t="str">
            <v>0579 KS</v>
          </cell>
          <cell r="C1133">
            <v>41500</v>
          </cell>
          <cell r="D1133" t="str">
            <v>E</v>
          </cell>
        </row>
        <row r="1134">
          <cell r="B1134" t="str">
            <v>011790 KS</v>
          </cell>
          <cell r="C1134">
            <v>41500</v>
          </cell>
          <cell r="D1134" t="str">
            <v>E</v>
          </cell>
        </row>
        <row r="1135">
          <cell r="B1135" t="str">
            <v>053000 KS</v>
          </cell>
          <cell r="C1135">
            <v>41500</v>
          </cell>
          <cell r="D1135" t="str">
            <v>E</v>
          </cell>
        </row>
        <row r="1136">
          <cell r="B1136" t="str">
            <v>082660 KS</v>
          </cell>
          <cell r="C1136">
            <v>41500</v>
          </cell>
          <cell r="D1136" t="str">
            <v>E</v>
          </cell>
        </row>
        <row r="1137">
          <cell r="B1137" t="str">
            <v>082660 KS</v>
          </cell>
          <cell r="C1137">
            <v>41500</v>
          </cell>
          <cell r="D1137" t="str">
            <v>E</v>
          </cell>
        </row>
        <row r="1138">
          <cell r="B1138" t="str">
            <v>010770 KS</v>
          </cell>
          <cell r="C1138">
            <v>41500</v>
          </cell>
          <cell r="D1138" t="str">
            <v>E</v>
          </cell>
        </row>
        <row r="1139">
          <cell r="B1139" t="str">
            <v>010770 KS</v>
          </cell>
          <cell r="C1139">
            <v>41500</v>
          </cell>
          <cell r="D1139" t="str">
            <v>E</v>
          </cell>
        </row>
        <row r="1140">
          <cell r="B1140" t="str">
            <v>029780 KS</v>
          </cell>
          <cell r="C1140">
            <v>41500</v>
          </cell>
          <cell r="D1140" t="str">
            <v>E</v>
          </cell>
        </row>
        <row r="1141">
          <cell r="B1141" t="str">
            <v>005940 KS</v>
          </cell>
          <cell r="C1141">
            <v>41500</v>
          </cell>
          <cell r="D1141" t="str">
            <v>E</v>
          </cell>
        </row>
        <row r="1142">
          <cell r="B1142" t="str">
            <v>105560 KS</v>
          </cell>
          <cell r="C1142">
            <v>41500</v>
          </cell>
          <cell r="D1142" t="str">
            <v>E</v>
          </cell>
        </row>
        <row r="1143">
          <cell r="B1143" t="str">
            <v>001800 KS</v>
          </cell>
          <cell r="C1143">
            <v>41500</v>
          </cell>
          <cell r="D1143" t="str">
            <v>E</v>
          </cell>
        </row>
        <row r="1144">
          <cell r="B1144" t="str">
            <v>001800 KS</v>
          </cell>
          <cell r="C1144">
            <v>41500</v>
          </cell>
          <cell r="D1144" t="str">
            <v>E</v>
          </cell>
        </row>
        <row r="1145">
          <cell r="B1145" t="str">
            <v>114120 KS</v>
          </cell>
          <cell r="C1145">
            <v>41500</v>
          </cell>
          <cell r="D1145" t="str">
            <v>E</v>
          </cell>
        </row>
        <row r="1146">
          <cell r="B1146" t="str">
            <v>012330 KS</v>
          </cell>
          <cell r="C1146">
            <v>41500</v>
          </cell>
          <cell r="D1146" t="str">
            <v>E</v>
          </cell>
        </row>
        <row r="1147">
          <cell r="B1147" t="str">
            <v>034730 KS</v>
          </cell>
          <cell r="C1147">
            <v>41500</v>
          </cell>
          <cell r="D1147" t="str">
            <v>E</v>
          </cell>
        </row>
        <row r="1148">
          <cell r="B1148" t="str">
            <v>123410 KS</v>
          </cell>
          <cell r="C1148">
            <v>41500</v>
          </cell>
          <cell r="D1148" t="str">
            <v>E</v>
          </cell>
        </row>
        <row r="1149">
          <cell r="B1149" t="str">
            <v>123410 KS</v>
          </cell>
          <cell r="C1149">
            <v>41500</v>
          </cell>
          <cell r="D1149" t="str">
            <v>E</v>
          </cell>
        </row>
        <row r="1150">
          <cell r="B1150" t="str">
            <v>014790 KS</v>
          </cell>
          <cell r="C1150">
            <v>41500</v>
          </cell>
          <cell r="D1150" t="str">
            <v>E</v>
          </cell>
        </row>
        <row r="1151">
          <cell r="B1151" t="str">
            <v>028050 KS</v>
          </cell>
          <cell r="C1151">
            <v>41500</v>
          </cell>
          <cell r="D1151" t="str">
            <v>E</v>
          </cell>
        </row>
        <row r="1152">
          <cell r="B1152" t="str">
            <v>078340 KS</v>
          </cell>
          <cell r="C1152">
            <v>41500</v>
          </cell>
          <cell r="D1152" t="str">
            <v>E</v>
          </cell>
        </row>
        <row r="1153">
          <cell r="B1153" t="str">
            <v>138040 KS</v>
          </cell>
          <cell r="C1153">
            <v>41500</v>
          </cell>
          <cell r="D1153" t="str">
            <v>E</v>
          </cell>
        </row>
        <row r="1154">
          <cell r="B1154" t="str">
            <v>012030 KS</v>
          </cell>
          <cell r="C1154">
            <v>41500</v>
          </cell>
          <cell r="D1154" t="str">
            <v>E</v>
          </cell>
        </row>
        <row r="1155">
          <cell r="B1155" t="str">
            <v>138040 KS</v>
          </cell>
          <cell r="C1155">
            <v>41500</v>
          </cell>
          <cell r="D1155" t="str">
            <v>E</v>
          </cell>
        </row>
        <row r="1156">
          <cell r="B1156" t="str">
            <v>012030 KS</v>
          </cell>
          <cell r="C1156">
            <v>41500</v>
          </cell>
          <cell r="D1156" t="str">
            <v>E</v>
          </cell>
        </row>
        <row r="1157">
          <cell r="B1157" t="str">
            <v>011160 KS</v>
          </cell>
          <cell r="C1157">
            <v>41500</v>
          </cell>
          <cell r="D1157" t="str">
            <v>E</v>
          </cell>
        </row>
        <row r="1158">
          <cell r="B1158" t="str">
            <v>023530 KS</v>
          </cell>
          <cell r="C1158">
            <v>41500</v>
          </cell>
          <cell r="D1158" t="str">
            <v>E</v>
          </cell>
        </row>
        <row r="1159">
          <cell r="B1159" t="str">
            <v>006120 KS</v>
          </cell>
          <cell r="C1159">
            <v>41500</v>
          </cell>
          <cell r="D1159" t="str">
            <v>E</v>
          </cell>
        </row>
        <row r="1160">
          <cell r="B1160" t="str">
            <v>003470 KS</v>
          </cell>
          <cell r="C1160">
            <v>41500</v>
          </cell>
          <cell r="D1160" t="str">
            <v>E</v>
          </cell>
        </row>
        <row r="1161">
          <cell r="B1161" t="str">
            <v>003470 KS</v>
          </cell>
          <cell r="C1161">
            <v>41500</v>
          </cell>
          <cell r="D1161" t="str">
            <v>E</v>
          </cell>
        </row>
        <row r="1162">
          <cell r="B1162" t="str">
            <v>005380 KS</v>
          </cell>
          <cell r="C1162">
            <v>41500</v>
          </cell>
          <cell r="D1162" t="str">
            <v>E</v>
          </cell>
        </row>
        <row r="1163">
          <cell r="B1163" t="str">
            <v>052270 KS</v>
          </cell>
          <cell r="C1163">
            <v>41500</v>
          </cell>
          <cell r="D1163" t="str">
            <v>E</v>
          </cell>
        </row>
        <row r="1164">
          <cell r="B1164" t="str">
            <v>052270 KS</v>
          </cell>
          <cell r="C1164">
            <v>41500</v>
          </cell>
          <cell r="D1164" t="str">
            <v>E</v>
          </cell>
        </row>
        <row r="1165">
          <cell r="B1165" t="str">
            <v>051160 KS</v>
          </cell>
          <cell r="C1165">
            <v>41500</v>
          </cell>
          <cell r="D1165" t="str">
            <v>E</v>
          </cell>
        </row>
        <row r="1166">
          <cell r="B1166" t="str">
            <v>051160 KS</v>
          </cell>
          <cell r="C1166">
            <v>41500</v>
          </cell>
          <cell r="D1166" t="str">
            <v>E</v>
          </cell>
        </row>
        <row r="1167">
          <cell r="B1167" t="str">
            <v>000120 KS</v>
          </cell>
          <cell r="C1167">
            <v>41500</v>
          </cell>
          <cell r="D1167" t="str">
            <v>E</v>
          </cell>
        </row>
        <row r="1168">
          <cell r="B1168" t="str">
            <v>123260 KS</v>
          </cell>
          <cell r="C1168">
            <v>41500</v>
          </cell>
          <cell r="D1168" t="str">
            <v>E</v>
          </cell>
        </row>
        <row r="1169">
          <cell r="B1169" t="str">
            <v>123260 KS</v>
          </cell>
          <cell r="C1169">
            <v>41500</v>
          </cell>
          <cell r="D1169" t="str">
            <v>E</v>
          </cell>
        </row>
        <row r="1170">
          <cell r="B1170" t="str">
            <v>073240 KS</v>
          </cell>
          <cell r="C1170">
            <v>41500</v>
          </cell>
          <cell r="D1170" t="str">
            <v>E</v>
          </cell>
        </row>
        <row r="1171">
          <cell r="B1171" t="str">
            <v>073240 KS</v>
          </cell>
          <cell r="C1171">
            <v>41500</v>
          </cell>
          <cell r="D1171" t="str">
            <v>E</v>
          </cell>
        </row>
        <row r="1172">
          <cell r="B1172" t="str">
            <v>006280 KS</v>
          </cell>
          <cell r="C1172">
            <v>41500</v>
          </cell>
          <cell r="D1172" t="str">
            <v>E</v>
          </cell>
        </row>
        <row r="1173">
          <cell r="B1173" t="str">
            <v>033660 KS</v>
          </cell>
          <cell r="C1173">
            <v>41500</v>
          </cell>
          <cell r="D1173" t="str">
            <v>E</v>
          </cell>
        </row>
        <row r="1174">
          <cell r="B1174" t="str">
            <v>033660 KS</v>
          </cell>
          <cell r="C1174">
            <v>41500</v>
          </cell>
          <cell r="D1174" t="str">
            <v>E</v>
          </cell>
        </row>
        <row r="1175">
          <cell r="B1175" t="str">
            <v>000830 KS</v>
          </cell>
          <cell r="C1175">
            <v>41500</v>
          </cell>
          <cell r="D1175" t="str">
            <v>E</v>
          </cell>
        </row>
        <row r="1176">
          <cell r="B1176" t="str">
            <v>004720 KS</v>
          </cell>
          <cell r="C1176">
            <v>41500</v>
          </cell>
          <cell r="D1176" t="str">
            <v>E</v>
          </cell>
        </row>
        <row r="1177">
          <cell r="B1177" t="str">
            <v>004720 KS</v>
          </cell>
          <cell r="C1177">
            <v>41500</v>
          </cell>
          <cell r="D1177" t="str">
            <v>E</v>
          </cell>
        </row>
        <row r="1178">
          <cell r="B1178" t="str">
            <v>060230 KS</v>
          </cell>
          <cell r="C1178">
            <v>41500</v>
          </cell>
          <cell r="D1178" t="str">
            <v>E</v>
          </cell>
        </row>
        <row r="1179">
          <cell r="B1179" t="str">
            <v>000270 KS</v>
          </cell>
          <cell r="C1179">
            <v>41500</v>
          </cell>
          <cell r="D1179" t="str">
            <v>E</v>
          </cell>
        </row>
        <row r="1180">
          <cell r="B1180" t="str">
            <v>008930 KS</v>
          </cell>
          <cell r="C1180">
            <v>41500</v>
          </cell>
          <cell r="D1180" t="str">
            <v>E</v>
          </cell>
        </row>
        <row r="1181">
          <cell r="B1181" t="str">
            <v>008930 KS</v>
          </cell>
          <cell r="C1181">
            <v>41500</v>
          </cell>
          <cell r="D1181" t="str">
            <v>E</v>
          </cell>
        </row>
        <row r="1182">
          <cell r="B1182" t="str">
            <v>071050 KS</v>
          </cell>
          <cell r="C1182">
            <v>41500</v>
          </cell>
          <cell r="D1182" t="str">
            <v>E</v>
          </cell>
        </row>
        <row r="1183">
          <cell r="B1183" t="str">
            <v>071050 KS</v>
          </cell>
          <cell r="C1183">
            <v>41500</v>
          </cell>
          <cell r="D1183" t="str">
            <v>E</v>
          </cell>
        </row>
        <row r="1184">
          <cell r="B1184" t="str">
            <v>128940 KS</v>
          </cell>
          <cell r="C1184">
            <v>41500</v>
          </cell>
          <cell r="D1184" t="str">
            <v>E</v>
          </cell>
        </row>
        <row r="1185">
          <cell r="B1185" t="str">
            <v>005250 KS</v>
          </cell>
          <cell r="C1185">
            <v>41500</v>
          </cell>
          <cell r="D1185" t="str">
            <v>E</v>
          </cell>
        </row>
        <row r="1186">
          <cell r="B1186" t="str">
            <v>005250 KS</v>
          </cell>
          <cell r="C1186">
            <v>41500</v>
          </cell>
          <cell r="D1186" t="str">
            <v>E</v>
          </cell>
        </row>
        <row r="1187">
          <cell r="B1187" t="str">
            <v>009540 KS</v>
          </cell>
          <cell r="C1187">
            <v>41500</v>
          </cell>
          <cell r="D1187" t="str">
            <v>E</v>
          </cell>
        </row>
        <row r="1188">
          <cell r="B1188" t="str">
            <v>002990 KS</v>
          </cell>
          <cell r="C1188">
            <v>41500</v>
          </cell>
          <cell r="D1188" t="str">
            <v>E</v>
          </cell>
        </row>
        <row r="1189">
          <cell r="B1189" t="str">
            <v>002990 KS</v>
          </cell>
          <cell r="C1189">
            <v>41500</v>
          </cell>
          <cell r="D1189" t="str">
            <v>E</v>
          </cell>
        </row>
        <row r="1190">
          <cell r="B1190" t="str">
            <v>002020 KS</v>
          </cell>
          <cell r="C1190">
            <v>41500</v>
          </cell>
          <cell r="D1190" t="str">
            <v>E</v>
          </cell>
        </row>
        <row r="1191">
          <cell r="B1191" t="str">
            <v>002020 KS</v>
          </cell>
          <cell r="C1191">
            <v>41500</v>
          </cell>
          <cell r="D1191" t="str">
            <v>E</v>
          </cell>
        </row>
        <row r="1192">
          <cell r="B1192" t="str">
            <v>005960 KS</v>
          </cell>
          <cell r="C1192">
            <v>41500</v>
          </cell>
          <cell r="D1192" t="str">
            <v>E</v>
          </cell>
        </row>
        <row r="1193">
          <cell r="B1193" t="str">
            <v>082390 KS</v>
          </cell>
          <cell r="C1193">
            <v>41500</v>
          </cell>
          <cell r="D1193" t="str">
            <v>E</v>
          </cell>
        </row>
        <row r="1194">
          <cell r="B1194" t="str">
            <v>082390 KS</v>
          </cell>
          <cell r="C1194">
            <v>41500</v>
          </cell>
          <cell r="D1194" t="str">
            <v>E</v>
          </cell>
        </row>
        <row r="1195">
          <cell r="B1195" t="str">
            <v>005960 KS</v>
          </cell>
          <cell r="C1195">
            <v>41500</v>
          </cell>
          <cell r="D1195" t="str">
            <v>E</v>
          </cell>
        </row>
        <row r="1196">
          <cell r="B1196" t="str">
            <v>047050 KS</v>
          </cell>
          <cell r="C1196">
            <v>41500</v>
          </cell>
          <cell r="D1196" t="str">
            <v>E</v>
          </cell>
        </row>
        <row r="1197">
          <cell r="B1197" t="str">
            <v>063080 KS</v>
          </cell>
          <cell r="C1197">
            <v>41500</v>
          </cell>
          <cell r="D1197" t="str">
            <v>E</v>
          </cell>
        </row>
        <row r="1198">
          <cell r="B1198" t="str">
            <v>080440 KS</v>
          </cell>
          <cell r="C1198">
            <v>41500</v>
          </cell>
          <cell r="D1198" t="str">
            <v>E</v>
          </cell>
        </row>
        <row r="1199">
          <cell r="B1199" t="str">
            <v>080440 KS</v>
          </cell>
          <cell r="C1199">
            <v>41500</v>
          </cell>
          <cell r="D1199" t="str">
            <v>E</v>
          </cell>
        </row>
        <row r="1200">
          <cell r="B1200" t="str">
            <v>060240 KS</v>
          </cell>
          <cell r="C1200">
            <v>41500</v>
          </cell>
          <cell r="D1200" t="str">
            <v>E</v>
          </cell>
        </row>
        <row r="1201">
          <cell r="B1201" t="str">
            <v>060240 KS</v>
          </cell>
          <cell r="C1201">
            <v>41500</v>
          </cell>
          <cell r="D1201" t="str">
            <v>E</v>
          </cell>
        </row>
        <row r="1202">
          <cell r="B1202" t="str">
            <v>000880 KS</v>
          </cell>
          <cell r="C1202">
            <v>41500</v>
          </cell>
          <cell r="D1202" t="str">
            <v>E</v>
          </cell>
        </row>
        <row r="1203">
          <cell r="B1203" t="str">
            <v>001200 KS</v>
          </cell>
          <cell r="C1203">
            <v>41500</v>
          </cell>
          <cell r="D1203" t="str">
            <v>E</v>
          </cell>
        </row>
        <row r="1204">
          <cell r="B1204" t="str">
            <v>001200 KS</v>
          </cell>
          <cell r="C1204">
            <v>41500</v>
          </cell>
          <cell r="D1204" t="str">
            <v>E</v>
          </cell>
        </row>
        <row r="1205">
          <cell r="B1205" t="str">
            <v>001440 KS</v>
          </cell>
          <cell r="C1205">
            <v>41500</v>
          </cell>
          <cell r="D1205" t="str">
            <v>E</v>
          </cell>
        </row>
        <row r="1206">
          <cell r="B1206" t="str">
            <v>044820 KS</v>
          </cell>
          <cell r="C1206">
            <v>41500</v>
          </cell>
          <cell r="D1206" t="str">
            <v>E</v>
          </cell>
        </row>
        <row r="1207">
          <cell r="B1207" t="str">
            <v>003450 KS</v>
          </cell>
          <cell r="C1207">
            <v>41500</v>
          </cell>
          <cell r="D1207" t="str">
            <v>E</v>
          </cell>
        </row>
        <row r="1208">
          <cell r="B1208" t="str">
            <v>006220 KS</v>
          </cell>
          <cell r="C1208">
            <v>41500</v>
          </cell>
          <cell r="D1208" t="str">
            <v>E</v>
          </cell>
        </row>
        <row r="1209">
          <cell r="B1209" t="str">
            <v>006220 KS</v>
          </cell>
          <cell r="C1209">
            <v>41500</v>
          </cell>
          <cell r="D1209" t="str">
            <v>E</v>
          </cell>
        </row>
        <row r="1210">
          <cell r="B1210" t="str">
            <v>055550 KS</v>
          </cell>
          <cell r="C1210">
            <v>41500</v>
          </cell>
          <cell r="D1210" t="str">
            <v>E</v>
          </cell>
        </row>
        <row r="1211">
          <cell r="B1211" t="str">
            <v>060980 KS</v>
          </cell>
          <cell r="C1211">
            <v>41500</v>
          </cell>
          <cell r="D1211" t="str">
            <v>E</v>
          </cell>
        </row>
        <row r="1212">
          <cell r="B1212" t="str">
            <v>014710 KS</v>
          </cell>
          <cell r="C1212">
            <v>41500</v>
          </cell>
          <cell r="D1212" t="str">
            <v>E</v>
          </cell>
        </row>
        <row r="1213">
          <cell r="B1213" t="str">
            <v>014710 KS</v>
          </cell>
          <cell r="C1213">
            <v>41500</v>
          </cell>
          <cell r="D1213" t="str">
            <v>E</v>
          </cell>
        </row>
        <row r="1214">
          <cell r="B1214" t="str">
            <v>001250 KS</v>
          </cell>
          <cell r="C1214">
            <v>41500</v>
          </cell>
          <cell r="D1214" t="str">
            <v>E</v>
          </cell>
        </row>
        <row r="1215">
          <cell r="B1215" t="str">
            <v>113810 KS</v>
          </cell>
          <cell r="C1215">
            <v>41500</v>
          </cell>
          <cell r="D1215" t="str">
            <v>E</v>
          </cell>
        </row>
        <row r="1216">
          <cell r="B1216" t="str">
            <v>141070 KS</v>
          </cell>
          <cell r="C1216">
            <v>41500</v>
          </cell>
          <cell r="D1216" t="str">
            <v>E</v>
          </cell>
        </row>
        <row r="1217">
          <cell r="B1217" t="str">
            <v>037560 KS</v>
          </cell>
          <cell r="C1217">
            <v>41500</v>
          </cell>
          <cell r="D1217" t="str">
            <v>E</v>
          </cell>
        </row>
        <row r="1218">
          <cell r="B1218" t="str">
            <v>037560 KS</v>
          </cell>
          <cell r="C1218">
            <v>41500</v>
          </cell>
          <cell r="D1218" t="str">
            <v>E</v>
          </cell>
        </row>
        <row r="1219">
          <cell r="B1219" t="str">
            <v>053660 KS</v>
          </cell>
          <cell r="C1219">
            <v>41500</v>
          </cell>
          <cell r="D1219" t="str">
            <v>E</v>
          </cell>
        </row>
        <row r="1220">
          <cell r="B1220" t="str">
            <v>141020 KS</v>
          </cell>
          <cell r="C1220">
            <v>41500</v>
          </cell>
          <cell r="D1220" t="str">
            <v>E</v>
          </cell>
        </row>
        <row r="1221">
          <cell r="B1221" t="str">
            <v>161390 KS</v>
          </cell>
          <cell r="C1221">
            <v>41500</v>
          </cell>
          <cell r="D1221" t="str">
            <v>E</v>
          </cell>
        </row>
        <row r="1222">
          <cell r="B1222" t="str">
            <v>161390 KS</v>
          </cell>
          <cell r="C1222">
            <v>41500</v>
          </cell>
          <cell r="D1222" t="str">
            <v>E</v>
          </cell>
        </row>
        <row r="1223">
          <cell r="B1223" t="str">
            <v>008270 KS</v>
          </cell>
          <cell r="C1223">
            <v>41500</v>
          </cell>
          <cell r="D1223" t="str">
            <v>E</v>
          </cell>
        </row>
        <row r="1224">
          <cell r="B1224" t="str">
            <v>005880 KS</v>
          </cell>
          <cell r="C1224">
            <v>41500</v>
          </cell>
          <cell r="D1224" t="str">
            <v>E</v>
          </cell>
        </row>
        <row r="1225">
          <cell r="B1225" t="str">
            <v>001340 KS</v>
          </cell>
          <cell r="C1225">
            <v>41500</v>
          </cell>
          <cell r="D1225" t="str">
            <v>E</v>
          </cell>
        </row>
        <row r="1226">
          <cell r="B1226" t="str">
            <v>067160 KS</v>
          </cell>
          <cell r="C1226">
            <v>41500</v>
          </cell>
          <cell r="D1226" t="str">
            <v>E</v>
          </cell>
        </row>
        <row r="1227">
          <cell r="B1227" t="str">
            <v>060230 KS</v>
          </cell>
          <cell r="C1227">
            <v>41500</v>
          </cell>
          <cell r="D1227" t="str">
            <v>E</v>
          </cell>
        </row>
        <row r="1228">
          <cell r="B1228" t="str">
            <v>141080 KS</v>
          </cell>
          <cell r="C1228">
            <v>41500</v>
          </cell>
          <cell r="D1228" t="str">
            <v>E</v>
          </cell>
        </row>
        <row r="1229">
          <cell r="B1229" t="str">
            <v>155660 KS</v>
          </cell>
          <cell r="C1229">
            <v>41500</v>
          </cell>
          <cell r="D1229" t="str">
            <v>E</v>
          </cell>
        </row>
        <row r="1230">
          <cell r="B1230" t="str">
            <v>155660 KS</v>
          </cell>
          <cell r="C1230">
            <v>41500</v>
          </cell>
          <cell r="D1230" t="str">
            <v>E</v>
          </cell>
        </row>
        <row r="1231">
          <cell r="B1231" t="str">
            <v>155960 KS</v>
          </cell>
          <cell r="C1231">
            <v>41501</v>
          </cell>
          <cell r="D1231" t="str">
            <v>E</v>
          </cell>
        </row>
        <row r="1232">
          <cell r="B1232" t="str">
            <v>054180 KS</v>
          </cell>
          <cell r="C1232">
            <v>41506</v>
          </cell>
          <cell r="D1232" t="str">
            <v>E</v>
          </cell>
        </row>
        <row r="1233">
          <cell r="B1233" t="str">
            <v>083600 KS</v>
          </cell>
          <cell r="C1233">
            <v>41507</v>
          </cell>
          <cell r="D1233" t="str">
            <v>E</v>
          </cell>
        </row>
        <row r="1234">
          <cell r="B1234" t="str">
            <v>083600 KS</v>
          </cell>
          <cell r="C1234">
            <v>41507</v>
          </cell>
          <cell r="D1234" t="str">
            <v>E</v>
          </cell>
        </row>
        <row r="1235">
          <cell r="B1235" t="str">
            <v>083570 KS</v>
          </cell>
          <cell r="C1235">
            <v>41507</v>
          </cell>
          <cell r="D1235" t="str">
            <v>E</v>
          </cell>
        </row>
        <row r="1236">
          <cell r="B1236" t="str">
            <v>083570 KS</v>
          </cell>
          <cell r="C1236">
            <v>41507</v>
          </cell>
          <cell r="D1236" t="str">
            <v>E</v>
          </cell>
        </row>
        <row r="1237">
          <cell r="B1237" t="str">
            <v>097870 KS</v>
          </cell>
          <cell r="C1237">
            <v>41507</v>
          </cell>
          <cell r="D1237" t="str">
            <v>E</v>
          </cell>
        </row>
        <row r="1238">
          <cell r="B1238" t="str">
            <v>097870 KS</v>
          </cell>
          <cell r="C1238">
            <v>41507</v>
          </cell>
          <cell r="D1238" t="str">
            <v>E</v>
          </cell>
        </row>
        <row r="1239">
          <cell r="B1239" t="str">
            <v>033250 KS</v>
          </cell>
          <cell r="C1239">
            <v>41514</v>
          </cell>
          <cell r="D1239" t="str">
            <v>E</v>
          </cell>
        </row>
        <row r="1240">
          <cell r="B1240" t="str">
            <v>033250 KS</v>
          </cell>
          <cell r="C1240">
            <v>41514</v>
          </cell>
          <cell r="D1240" t="str">
            <v>E</v>
          </cell>
        </row>
        <row r="1241">
          <cell r="B1241" t="str">
            <v>000230 KS</v>
          </cell>
          <cell r="C1241">
            <v>41515</v>
          </cell>
          <cell r="D1241" t="str">
            <v>E</v>
          </cell>
        </row>
        <row r="1242">
          <cell r="B1242" t="str">
            <v>092130 KS</v>
          </cell>
          <cell r="C1242">
            <v>41515</v>
          </cell>
          <cell r="D1242" t="str">
            <v>E</v>
          </cell>
        </row>
        <row r="1243">
          <cell r="B1243" t="str">
            <v>137400 KS</v>
          </cell>
          <cell r="C1243">
            <v>41515</v>
          </cell>
          <cell r="D1243" t="str">
            <v>E</v>
          </cell>
        </row>
        <row r="1244">
          <cell r="B1244" t="str">
            <v>042700 KS</v>
          </cell>
          <cell r="C1244">
            <v>41515</v>
          </cell>
          <cell r="D1244" t="str">
            <v>E</v>
          </cell>
        </row>
        <row r="1245">
          <cell r="B1245" t="str">
            <v>039130 KS</v>
          </cell>
          <cell r="C1245">
            <v>41515</v>
          </cell>
          <cell r="D1245" t="str">
            <v>E</v>
          </cell>
        </row>
        <row r="1246">
          <cell r="B1246" t="str">
            <v>129260 KS</v>
          </cell>
          <cell r="C1246">
            <v>41515</v>
          </cell>
          <cell r="D1246" t="str">
            <v>E</v>
          </cell>
        </row>
        <row r="1247">
          <cell r="B1247" t="str">
            <v>090460 KS</v>
          </cell>
          <cell r="C1247">
            <v>41515</v>
          </cell>
          <cell r="D1247" t="str">
            <v>E</v>
          </cell>
        </row>
        <row r="1248">
          <cell r="B1248" t="str">
            <v>079980 KS</v>
          </cell>
          <cell r="C1248">
            <v>41515</v>
          </cell>
          <cell r="D1248" t="str">
            <v>E</v>
          </cell>
        </row>
        <row r="1249">
          <cell r="B1249" t="str">
            <v>011150 KS</v>
          </cell>
          <cell r="C1249">
            <v>41515</v>
          </cell>
          <cell r="D1249" t="str">
            <v>E</v>
          </cell>
        </row>
        <row r="1250">
          <cell r="B1250" t="str">
            <v>049520 KS</v>
          </cell>
          <cell r="C1250">
            <v>41515</v>
          </cell>
          <cell r="D1250" t="str">
            <v>E</v>
          </cell>
        </row>
        <row r="1251">
          <cell r="B1251" t="str">
            <v>053800 KS</v>
          </cell>
          <cell r="C1251">
            <v>41515</v>
          </cell>
          <cell r="D1251" t="str">
            <v>E</v>
          </cell>
        </row>
        <row r="1252">
          <cell r="B1252" t="str">
            <v>003560 KS</v>
          </cell>
          <cell r="C1252">
            <v>41515</v>
          </cell>
          <cell r="D1252" t="str">
            <v>E</v>
          </cell>
        </row>
        <row r="1253">
          <cell r="B1253" t="str">
            <v>023890 KS</v>
          </cell>
          <cell r="C1253">
            <v>41515</v>
          </cell>
          <cell r="D1253" t="str">
            <v>E</v>
          </cell>
        </row>
        <row r="1254">
          <cell r="B1254" t="str">
            <v>126880 KS</v>
          </cell>
          <cell r="C1254">
            <v>41515</v>
          </cell>
          <cell r="D1254" t="str">
            <v>E</v>
          </cell>
        </row>
        <row r="1255">
          <cell r="B1255" t="str">
            <v>093190 KS</v>
          </cell>
          <cell r="C1255">
            <v>41515</v>
          </cell>
          <cell r="D1255" t="str">
            <v>E</v>
          </cell>
        </row>
        <row r="1256">
          <cell r="B1256" t="str">
            <v>007810 KS</v>
          </cell>
          <cell r="C1256">
            <v>41515</v>
          </cell>
          <cell r="D1256" t="str">
            <v>E</v>
          </cell>
        </row>
        <row r="1257">
          <cell r="B1257" t="str">
            <v>095910 KS</v>
          </cell>
          <cell r="C1257">
            <v>41515</v>
          </cell>
          <cell r="D1257" t="str">
            <v>E</v>
          </cell>
        </row>
        <row r="1258">
          <cell r="B1258" t="str">
            <v>138690 KS</v>
          </cell>
          <cell r="C1258">
            <v>41515</v>
          </cell>
          <cell r="D1258" t="str">
            <v>E</v>
          </cell>
        </row>
        <row r="1259">
          <cell r="B1259" t="str">
            <v>060370 KS</v>
          </cell>
          <cell r="C1259">
            <v>41515</v>
          </cell>
          <cell r="D1259" t="str">
            <v>E</v>
          </cell>
        </row>
        <row r="1260">
          <cell r="B1260" t="str">
            <v>069260 KS</v>
          </cell>
          <cell r="C1260">
            <v>41515</v>
          </cell>
          <cell r="D1260" t="str">
            <v>E</v>
          </cell>
        </row>
        <row r="1261">
          <cell r="B1261" t="str">
            <v>081580 KS</v>
          </cell>
          <cell r="C1261">
            <v>41515</v>
          </cell>
          <cell r="D1261" t="str">
            <v>E</v>
          </cell>
        </row>
        <row r="1262">
          <cell r="B1262" t="str">
            <v>051500 KS</v>
          </cell>
          <cell r="C1262">
            <v>41515</v>
          </cell>
          <cell r="D1262" t="str">
            <v>E</v>
          </cell>
        </row>
        <row r="1263">
          <cell r="B1263" t="str">
            <v>034120 KS</v>
          </cell>
          <cell r="C1263">
            <v>41515</v>
          </cell>
          <cell r="D1263" t="str">
            <v>E</v>
          </cell>
        </row>
        <row r="1264">
          <cell r="B1264" t="str">
            <v>068400 KS</v>
          </cell>
          <cell r="C1264">
            <v>41515</v>
          </cell>
          <cell r="D1264" t="str">
            <v>E</v>
          </cell>
        </row>
        <row r="1265">
          <cell r="B1265" t="str">
            <v>043150 KS</v>
          </cell>
          <cell r="C1265">
            <v>41515</v>
          </cell>
          <cell r="D1265" t="str">
            <v>E</v>
          </cell>
        </row>
        <row r="1266">
          <cell r="B1266" t="str">
            <v>003620 KS</v>
          </cell>
          <cell r="C1266">
            <v>41515</v>
          </cell>
          <cell r="D1266" t="str">
            <v>E</v>
          </cell>
        </row>
        <row r="1267">
          <cell r="B1267" t="str">
            <v>079160 KS</v>
          </cell>
          <cell r="C1267">
            <v>41515</v>
          </cell>
          <cell r="D1267" t="str">
            <v>E</v>
          </cell>
        </row>
        <row r="1268">
          <cell r="B1268" t="str">
            <v>122900 KS</v>
          </cell>
          <cell r="C1268">
            <v>41515</v>
          </cell>
          <cell r="D1268" t="str">
            <v>E</v>
          </cell>
        </row>
        <row r="1269">
          <cell r="B1269" t="str">
            <v>009580 KS</v>
          </cell>
          <cell r="C1269">
            <v>41515</v>
          </cell>
          <cell r="D1269" t="str">
            <v>E</v>
          </cell>
        </row>
        <row r="1270">
          <cell r="B1270" t="str">
            <v>003030 KS</v>
          </cell>
          <cell r="C1270">
            <v>41515</v>
          </cell>
          <cell r="D1270" t="str">
            <v>E</v>
          </cell>
        </row>
        <row r="1271">
          <cell r="B1271" t="str">
            <v>004430 KS</v>
          </cell>
          <cell r="C1271">
            <v>41515</v>
          </cell>
          <cell r="D1271" t="str">
            <v>E</v>
          </cell>
        </row>
        <row r="1272">
          <cell r="B1272" t="str">
            <v>000100 KS</v>
          </cell>
          <cell r="C1272">
            <v>41515</v>
          </cell>
          <cell r="D1272" t="str">
            <v>E</v>
          </cell>
        </row>
        <row r="1273">
          <cell r="B1273" t="str">
            <v>143160 KS</v>
          </cell>
          <cell r="C1273">
            <v>41515</v>
          </cell>
          <cell r="D1273" t="str">
            <v>E</v>
          </cell>
        </row>
        <row r="1274">
          <cell r="B1274" t="str">
            <v>001630 KS</v>
          </cell>
          <cell r="C1274">
            <v>41515</v>
          </cell>
          <cell r="D1274" t="str">
            <v>E</v>
          </cell>
        </row>
        <row r="1275">
          <cell r="B1275" t="str">
            <v>008770 KS</v>
          </cell>
          <cell r="C1275">
            <v>41515</v>
          </cell>
          <cell r="D1275" t="str">
            <v>E</v>
          </cell>
        </row>
        <row r="1276">
          <cell r="B1276" t="str">
            <v>010470 KS</v>
          </cell>
          <cell r="C1276">
            <v>41515</v>
          </cell>
          <cell r="D1276" t="str">
            <v>E</v>
          </cell>
        </row>
        <row r="1277">
          <cell r="B1277" t="str">
            <v>028150 KS</v>
          </cell>
          <cell r="C1277">
            <v>41515</v>
          </cell>
          <cell r="D1277" t="str">
            <v>E</v>
          </cell>
        </row>
        <row r="1278">
          <cell r="B1278" t="str">
            <v>002390 KS</v>
          </cell>
          <cell r="C1278">
            <v>41515</v>
          </cell>
          <cell r="D1278" t="str">
            <v>E</v>
          </cell>
        </row>
        <row r="1279">
          <cell r="B1279" t="str">
            <v>086280 KS</v>
          </cell>
          <cell r="C1279">
            <v>41515</v>
          </cell>
          <cell r="D1279" t="str">
            <v>E</v>
          </cell>
        </row>
        <row r="1280">
          <cell r="B1280" t="str">
            <v>019210 KS</v>
          </cell>
          <cell r="C1280">
            <v>41515</v>
          </cell>
          <cell r="D1280" t="str">
            <v>E</v>
          </cell>
        </row>
        <row r="1281">
          <cell r="B1281" t="str">
            <v>097780 KS</v>
          </cell>
          <cell r="C1281">
            <v>41515</v>
          </cell>
          <cell r="D1281" t="str">
            <v>E</v>
          </cell>
        </row>
        <row r="1282">
          <cell r="B1282" t="str">
            <v>041440 KS</v>
          </cell>
          <cell r="C1282">
            <v>41515</v>
          </cell>
          <cell r="D1282" t="str">
            <v>E</v>
          </cell>
        </row>
        <row r="1283">
          <cell r="B1283" t="str">
            <v>040420 KS</v>
          </cell>
          <cell r="C1283">
            <v>41515</v>
          </cell>
          <cell r="D1283" t="str">
            <v>E</v>
          </cell>
        </row>
        <row r="1284">
          <cell r="B1284" t="str">
            <v>036710 KS</v>
          </cell>
          <cell r="C1284">
            <v>41515</v>
          </cell>
          <cell r="D1284" t="str">
            <v>E</v>
          </cell>
        </row>
        <row r="1285">
          <cell r="B1285" t="str">
            <v>069620 KS</v>
          </cell>
          <cell r="C1285">
            <v>41515</v>
          </cell>
          <cell r="D1285" t="str">
            <v>E</v>
          </cell>
        </row>
        <row r="1286">
          <cell r="B1286" t="str">
            <v>030520 KS</v>
          </cell>
          <cell r="C1286">
            <v>41515</v>
          </cell>
          <cell r="D1286" t="str">
            <v>E</v>
          </cell>
        </row>
        <row r="1287">
          <cell r="B1287" t="str">
            <v>050760 KS</v>
          </cell>
          <cell r="C1287">
            <v>41515</v>
          </cell>
          <cell r="D1287" t="str">
            <v>E</v>
          </cell>
        </row>
        <row r="1288">
          <cell r="B1288" t="str">
            <v>094840 KS</v>
          </cell>
          <cell r="C1288">
            <v>41515</v>
          </cell>
          <cell r="D1288" t="str">
            <v>E</v>
          </cell>
        </row>
        <row r="1289">
          <cell r="B1289" t="str">
            <v>033270 KS</v>
          </cell>
          <cell r="C1289">
            <v>41515</v>
          </cell>
          <cell r="D1289" t="str">
            <v>E</v>
          </cell>
        </row>
        <row r="1290">
          <cell r="B1290" t="str">
            <v>095720 KS</v>
          </cell>
          <cell r="C1290">
            <v>41515</v>
          </cell>
          <cell r="D1290" t="str">
            <v>E</v>
          </cell>
        </row>
        <row r="1291">
          <cell r="B1291" t="str">
            <v>078890 KS</v>
          </cell>
          <cell r="C1291">
            <v>41515</v>
          </cell>
          <cell r="D1291" t="str">
            <v>E</v>
          </cell>
        </row>
        <row r="1292">
          <cell r="B1292" t="str">
            <v>064240 KS</v>
          </cell>
          <cell r="C1292">
            <v>41515</v>
          </cell>
          <cell r="D1292" t="str">
            <v>E</v>
          </cell>
        </row>
        <row r="1293">
          <cell r="B1293" t="str">
            <v>065510 KS</v>
          </cell>
          <cell r="C1293">
            <v>41515</v>
          </cell>
          <cell r="D1293" t="str">
            <v>E</v>
          </cell>
        </row>
        <row r="1294">
          <cell r="B1294" t="str">
            <v>100700 KS</v>
          </cell>
          <cell r="C1294">
            <v>41515</v>
          </cell>
          <cell r="D1294" t="str">
            <v>E</v>
          </cell>
        </row>
        <row r="1295">
          <cell r="B1295" t="str">
            <v>100220 KS</v>
          </cell>
          <cell r="C1295">
            <v>41515</v>
          </cell>
          <cell r="D1295" t="str">
            <v>E</v>
          </cell>
        </row>
        <row r="1296">
          <cell r="B1296" t="str">
            <v>035760 KS</v>
          </cell>
          <cell r="C1296">
            <v>41515</v>
          </cell>
          <cell r="D1296" t="str">
            <v>E</v>
          </cell>
        </row>
        <row r="1297">
          <cell r="B1297" t="str">
            <v>005440 KS</v>
          </cell>
          <cell r="C1297">
            <v>41515</v>
          </cell>
          <cell r="D1297" t="str">
            <v>E</v>
          </cell>
        </row>
        <row r="1298">
          <cell r="B1298" t="str">
            <v>036030 KS</v>
          </cell>
          <cell r="C1298">
            <v>41515</v>
          </cell>
          <cell r="D1298" t="str">
            <v>E</v>
          </cell>
        </row>
        <row r="1299">
          <cell r="B1299" t="str">
            <v>052710 KS</v>
          </cell>
          <cell r="C1299">
            <v>41515</v>
          </cell>
          <cell r="D1299" t="str">
            <v>E</v>
          </cell>
        </row>
        <row r="1300">
          <cell r="B1300" t="str">
            <v>089850 KS</v>
          </cell>
          <cell r="C1300">
            <v>41515</v>
          </cell>
          <cell r="D1300" t="str">
            <v>E</v>
          </cell>
        </row>
        <row r="1301">
          <cell r="B1301" t="str">
            <v>050540 KS</v>
          </cell>
          <cell r="C1301">
            <v>41515</v>
          </cell>
          <cell r="D1301" t="str">
            <v>E</v>
          </cell>
        </row>
        <row r="1302">
          <cell r="B1302" t="str">
            <v>083930 KS</v>
          </cell>
          <cell r="C1302">
            <v>41515</v>
          </cell>
          <cell r="D1302" t="str">
            <v>E</v>
          </cell>
        </row>
        <row r="1303">
          <cell r="B1303" t="str">
            <v>089010 KS</v>
          </cell>
          <cell r="C1303">
            <v>41515</v>
          </cell>
          <cell r="D1303" t="str">
            <v>E</v>
          </cell>
        </row>
        <row r="1304">
          <cell r="B1304" t="str">
            <v>041830 KS</v>
          </cell>
          <cell r="C1304">
            <v>41515</v>
          </cell>
          <cell r="D1304" t="str">
            <v>E</v>
          </cell>
        </row>
        <row r="1305">
          <cell r="B1305" t="str">
            <v>110570 KS</v>
          </cell>
          <cell r="C1305">
            <v>41515</v>
          </cell>
          <cell r="D1305" t="str">
            <v>E</v>
          </cell>
        </row>
        <row r="1306">
          <cell r="B1306" t="str">
            <v>066970 KS</v>
          </cell>
          <cell r="C1306">
            <v>41515</v>
          </cell>
          <cell r="D1306" t="str">
            <v>E</v>
          </cell>
        </row>
        <row r="1307">
          <cell r="B1307" t="str">
            <v>060590 KS</v>
          </cell>
          <cell r="C1307">
            <v>41515</v>
          </cell>
          <cell r="D1307" t="str">
            <v>E</v>
          </cell>
        </row>
        <row r="1308">
          <cell r="B1308" t="str">
            <v>101160 KS</v>
          </cell>
          <cell r="C1308">
            <v>41515</v>
          </cell>
          <cell r="D1308" t="str">
            <v>E</v>
          </cell>
        </row>
        <row r="1309">
          <cell r="B1309" t="str">
            <v>067830 KS</v>
          </cell>
          <cell r="C1309">
            <v>41515</v>
          </cell>
          <cell r="D1309" t="str">
            <v>E</v>
          </cell>
        </row>
        <row r="1310">
          <cell r="B1310" t="str">
            <v>053210 KS</v>
          </cell>
          <cell r="C1310">
            <v>41515</v>
          </cell>
          <cell r="D1310" t="str">
            <v>E</v>
          </cell>
        </row>
        <row r="1311">
          <cell r="B1311" t="str">
            <v>078520 KS</v>
          </cell>
          <cell r="C1311">
            <v>41515</v>
          </cell>
          <cell r="D1311" t="str">
            <v>E</v>
          </cell>
        </row>
        <row r="1312">
          <cell r="B1312" t="str">
            <v>104830 KS</v>
          </cell>
          <cell r="C1312">
            <v>41515</v>
          </cell>
          <cell r="D1312" t="str">
            <v>E</v>
          </cell>
        </row>
        <row r="1313">
          <cell r="B1313" t="str">
            <v>044450 KS</v>
          </cell>
          <cell r="C1313">
            <v>41515</v>
          </cell>
          <cell r="D1313" t="str">
            <v>E</v>
          </cell>
        </row>
        <row r="1314">
          <cell r="B1314" t="str">
            <v>002760 KS</v>
          </cell>
          <cell r="C1314">
            <v>41515</v>
          </cell>
          <cell r="D1314" t="str">
            <v>E</v>
          </cell>
        </row>
        <row r="1315">
          <cell r="B1315" t="str">
            <v>008000 KS</v>
          </cell>
          <cell r="C1315">
            <v>41515</v>
          </cell>
          <cell r="D1315" t="str">
            <v>E</v>
          </cell>
        </row>
        <row r="1316">
          <cell r="B1316" t="str">
            <v>007660 KS</v>
          </cell>
          <cell r="C1316">
            <v>41515</v>
          </cell>
          <cell r="D1316" t="str">
            <v>E</v>
          </cell>
        </row>
        <row r="1317">
          <cell r="B1317" t="str">
            <v>088790 KS</v>
          </cell>
          <cell r="C1317">
            <v>41515</v>
          </cell>
          <cell r="D1317" t="str">
            <v>E</v>
          </cell>
        </row>
        <row r="1318">
          <cell r="B1318" t="str">
            <v>131400 KS</v>
          </cell>
          <cell r="C1318">
            <v>41515</v>
          </cell>
          <cell r="D1318" t="str">
            <v>E</v>
          </cell>
        </row>
        <row r="1319">
          <cell r="B1319" t="str">
            <v>105330 KS</v>
          </cell>
          <cell r="C1319">
            <v>41515</v>
          </cell>
          <cell r="D1319" t="str">
            <v>E</v>
          </cell>
        </row>
        <row r="1320">
          <cell r="B1320" t="str">
            <v>020150 KS</v>
          </cell>
          <cell r="C1320">
            <v>41515</v>
          </cell>
          <cell r="D1320" t="str">
            <v>E</v>
          </cell>
        </row>
        <row r="1321">
          <cell r="B1321" t="str">
            <v>052260 KS</v>
          </cell>
          <cell r="C1321">
            <v>41515</v>
          </cell>
          <cell r="D1321" t="str">
            <v>E</v>
          </cell>
        </row>
        <row r="1322">
          <cell r="B1322" t="str">
            <v>032500 KS</v>
          </cell>
          <cell r="C1322">
            <v>41515</v>
          </cell>
          <cell r="D1322" t="str">
            <v>E</v>
          </cell>
        </row>
        <row r="1323">
          <cell r="B1323" t="str">
            <v>014620 KS</v>
          </cell>
          <cell r="C1323">
            <v>41515</v>
          </cell>
          <cell r="D1323" t="str">
            <v>E</v>
          </cell>
        </row>
        <row r="1324">
          <cell r="B1324" t="str">
            <v>009450 KS</v>
          </cell>
          <cell r="C1324">
            <v>41515</v>
          </cell>
          <cell r="D1324" t="str">
            <v>E</v>
          </cell>
        </row>
        <row r="1325">
          <cell r="B1325" t="str">
            <v>047810 KS</v>
          </cell>
          <cell r="C1325">
            <v>41515</v>
          </cell>
          <cell r="D1325" t="str">
            <v>E</v>
          </cell>
        </row>
        <row r="1326">
          <cell r="B1326" t="str">
            <v>000680 KS</v>
          </cell>
          <cell r="C1326">
            <v>41515</v>
          </cell>
          <cell r="D1326" t="str">
            <v>E</v>
          </cell>
        </row>
        <row r="1327">
          <cell r="B1327" t="str">
            <v>047770 KS</v>
          </cell>
          <cell r="C1327">
            <v>41515</v>
          </cell>
          <cell r="D1327" t="str">
            <v>E</v>
          </cell>
        </row>
        <row r="1328">
          <cell r="B1328" t="str">
            <v>074600 KS</v>
          </cell>
          <cell r="C1328">
            <v>41515</v>
          </cell>
          <cell r="D1328" t="str">
            <v>E</v>
          </cell>
        </row>
        <row r="1329">
          <cell r="B1329" t="str">
            <v>094190 KS</v>
          </cell>
          <cell r="C1329">
            <v>41515</v>
          </cell>
          <cell r="D1329" t="str">
            <v>E</v>
          </cell>
        </row>
        <row r="1330">
          <cell r="B1330" t="str">
            <v>082210 KS</v>
          </cell>
          <cell r="C1330">
            <v>41515</v>
          </cell>
          <cell r="D1330" t="str">
            <v>E</v>
          </cell>
        </row>
        <row r="1331">
          <cell r="B1331" t="str">
            <v>044780 KS</v>
          </cell>
          <cell r="C1331">
            <v>41515</v>
          </cell>
          <cell r="D1331" t="str">
            <v>E</v>
          </cell>
        </row>
        <row r="1332">
          <cell r="B1332" t="str">
            <v>073640 KS</v>
          </cell>
          <cell r="C1332">
            <v>41515</v>
          </cell>
          <cell r="D1332" t="str">
            <v>E</v>
          </cell>
        </row>
        <row r="1333">
          <cell r="B1333" t="str">
            <v>091090 KS</v>
          </cell>
          <cell r="C1333">
            <v>41515</v>
          </cell>
          <cell r="D1333" t="str">
            <v>E</v>
          </cell>
        </row>
        <row r="1334">
          <cell r="B1334" t="str">
            <v>108380 KS</v>
          </cell>
          <cell r="C1334">
            <v>41515</v>
          </cell>
          <cell r="D1334" t="str">
            <v>E</v>
          </cell>
        </row>
        <row r="1335">
          <cell r="B1335" t="str">
            <v>095700 KS</v>
          </cell>
          <cell r="C1335">
            <v>41515</v>
          </cell>
          <cell r="D1335" t="str">
            <v>E</v>
          </cell>
        </row>
        <row r="1336">
          <cell r="B1336" t="str">
            <v>018000 KS</v>
          </cell>
          <cell r="C1336">
            <v>41515</v>
          </cell>
          <cell r="D1336" t="str">
            <v>E</v>
          </cell>
        </row>
        <row r="1337">
          <cell r="B1337" t="str">
            <v>073490 KS</v>
          </cell>
          <cell r="C1337">
            <v>41515</v>
          </cell>
          <cell r="D1337" t="str">
            <v>E</v>
          </cell>
        </row>
        <row r="1338">
          <cell r="B1338" t="str">
            <v>068270 KS</v>
          </cell>
          <cell r="C1338">
            <v>41515</v>
          </cell>
          <cell r="D1338" t="str">
            <v>E</v>
          </cell>
        </row>
        <row r="1339">
          <cell r="B1339" t="str">
            <v>078160 KS</v>
          </cell>
          <cell r="C1339">
            <v>41515</v>
          </cell>
          <cell r="D1339" t="str">
            <v>E</v>
          </cell>
        </row>
        <row r="1340">
          <cell r="B1340" t="str">
            <v>008700 KS</v>
          </cell>
          <cell r="C1340">
            <v>41515</v>
          </cell>
          <cell r="D1340" t="str">
            <v>E</v>
          </cell>
        </row>
        <row r="1341">
          <cell r="B1341" t="str">
            <v>005850 KS</v>
          </cell>
          <cell r="C1341">
            <v>41515</v>
          </cell>
          <cell r="D1341" t="str">
            <v>E</v>
          </cell>
        </row>
        <row r="1342">
          <cell r="B1342" t="str">
            <v>065270 KS</v>
          </cell>
          <cell r="C1342">
            <v>41515</v>
          </cell>
          <cell r="D1342" t="str">
            <v>E</v>
          </cell>
        </row>
        <row r="1343">
          <cell r="B1343" t="str">
            <v>009320 KS</v>
          </cell>
          <cell r="C1343">
            <v>41515</v>
          </cell>
          <cell r="D1343" t="str">
            <v>E</v>
          </cell>
        </row>
        <row r="1344">
          <cell r="B1344" t="str">
            <v>013030 KS</v>
          </cell>
          <cell r="C1344">
            <v>41515</v>
          </cell>
          <cell r="D1344" t="str">
            <v>E</v>
          </cell>
        </row>
        <row r="1345">
          <cell r="B1345" t="str">
            <v>004370 KS</v>
          </cell>
          <cell r="C1345">
            <v>41515</v>
          </cell>
          <cell r="D1345" t="str">
            <v>E</v>
          </cell>
        </row>
        <row r="1346">
          <cell r="B1346" t="str">
            <v>067000 KS</v>
          </cell>
          <cell r="C1346">
            <v>41515</v>
          </cell>
          <cell r="D1346" t="str">
            <v>E</v>
          </cell>
        </row>
        <row r="1347">
          <cell r="B1347" t="str">
            <v>096690 KS</v>
          </cell>
          <cell r="C1347">
            <v>41515</v>
          </cell>
          <cell r="D1347" t="str">
            <v>E</v>
          </cell>
        </row>
        <row r="1348">
          <cell r="B1348" t="str">
            <v>076080 KS</v>
          </cell>
          <cell r="C1348">
            <v>41515</v>
          </cell>
          <cell r="D1348" t="str">
            <v>E</v>
          </cell>
        </row>
        <row r="1349">
          <cell r="B1349" t="str">
            <v>074150 KS</v>
          </cell>
          <cell r="C1349">
            <v>41515</v>
          </cell>
          <cell r="D1349" t="str">
            <v>E</v>
          </cell>
        </row>
        <row r="1350">
          <cell r="B1350" t="str">
            <v>084110 KS</v>
          </cell>
          <cell r="C1350">
            <v>41515</v>
          </cell>
          <cell r="D1350" t="str">
            <v>E</v>
          </cell>
        </row>
        <row r="1351">
          <cell r="B1351" t="str">
            <v>024880 KS</v>
          </cell>
          <cell r="C1351">
            <v>41515</v>
          </cell>
          <cell r="D1351" t="str">
            <v>E</v>
          </cell>
        </row>
        <row r="1352">
          <cell r="B1352" t="str">
            <v>003800 KS</v>
          </cell>
          <cell r="C1352">
            <v>41515</v>
          </cell>
          <cell r="D1352" t="str">
            <v>E</v>
          </cell>
        </row>
        <row r="1353">
          <cell r="B1353" t="str">
            <v>032040 KS</v>
          </cell>
          <cell r="C1353">
            <v>41515</v>
          </cell>
          <cell r="D1353" t="str">
            <v>E</v>
          </cell>
        </row>
        <row r="1354">
          <cell r="B1354" t="str">
            <v>044340 KS</v>
          </cell>
          <cell r="C1354">
            <v>41515</v>
          </cell>
          <cell r="D1354" t="str">
            <v>E</v>
          </cell>
        </row>
        <row r="1355">
          <cell r="B1355" t="str">
            <v>108320 KS</v>
          </cell>
          <cell r="C1355">
            <v>41515</v>
          </cell>
          <cell r="D1355" t="str">
            <v>E</v>
          </cell>
        </row>
        <row r="1356">
          <cell r="B1356" t="str">
            <v>051390 KS</v>
          </cell>
          <cell r="C1356">
            <v>41515</v>
          </cell>
          <cell r="D1356" t="str">
            <v>E</v>
          </cell>
        </row>
        <row r="1357">
          <cell r="B1357" t="str">
            <v>060250 KS</v>
          </cell>
          <cell r="C1357">
            <v>41515</v>
          </cell>
          <cell r="D1357" t="str">
            <v>E</v>
          </cell>
        </row>
        <row r="1358">
          <cell r="B1358" t="str">
            <v>066790 KS</v>
          </cell>
          <cell r="C1358">
            <v>41515</v>
          </cell>
          <cell r="D1358" t="str">
            <v>E</v>
          </cell>
        </row>
        <row r="1359">
          <cell r="B1359" t="str">
            <v>002460 KS</v>
          </cell>
          <cell r="C1359">
            <v>41515</v>
          </cell>
          <cell r="D1359" t="str">
            <v>E</v>
          </cell>
        </row>
        <row r="1360">
          <cell r="B1360" t="str">
            <v>036890 KS</v>
          </cell>
          <cell r="C1360">
            <v>41515</v>
          </cell>
          <cell r="D1360" t="str">
            <v>E</v>
          </cell>
        </row>
        <row r="1361">
          <cell r="B1361" t="str">
            <v>066910 KS</v>
          </cell>
          <cell r="C1361">
            <v>41515</v>
          </cell>
          <cell r="D1361" t="str">
            <v>E</v>
          </cell>
        </row>
        <row r="1362">
          <cell r="B1362" t="str">
            <v>008080 KS</v>
          </cell>
          <cell r="C1362">
            <v>41515</v>
          </cell>
          <cell r="D1362" t="str">
            <v>E</v>
          </cell>
        </row>
        <row r="1363">
          <cell r="B1363" t="str">
            <v>096240 KS</v>
          </cell>
          <cell r="C1363">
            <v>41515</v>
          </cell>
          <cell r="D1363" t="str">
            <v>E</v>
          </cell>
        </row>
        <row r="1364">
          <cell r="B1364" t="str">
            <v>090470 KS</v>
          </cell>
          <cell r="C1364">
            <v>41515</v>
          </cell>
          <cell r="D1364" t="str">
            <v>E</v>
          </cell>
        </row>
        <row r="1365">
          <cell r="B1365" t="str">
            <v>049960 KS</v>
          </cell>
          <cell r="C1365">
            <v>41515</v>
          </cell>
          <cell r="D1365" t="str">
            <v>E</v>
          </cell>
        </row>
        <row r="1366">
          <cell r="B1366" t="str">
            <v>080470 KS</v>
          </cell>
          <cell r="C1366">
            <v>41515</v>
          </cell>
          <cell r="D1366" t="str">
            <v>E</v>
          </cell>
        </row>
        <row r="1367">
          <cell r="B1367" t="str">
            <v>056190 KS</v>
          </cell>
          <cell r="C1367">
            <v>41515</v>
          </cell>
          <cell r="D1367" t="str">
            <v>E</v>
          </cell>
        </row>
        <row r="1368">
          <cell r="B1368" t="str">
            <v>095340 KS</v>
          </cell>
          <cell r="C1368">
            <v>41515</v>
          </cell>
          <cell r="D1368" t="str">
            <v>E</v>
          </cell>
        </row>
        <row r="1369">
          <cell r="B1369" t="str">
            <v>031980 KS</v>
          </cell>
          <cell r="C1369">
            <v>41515</v>
          </cell>
          <cell r="D1369" t="str">
            <v>E</v>
          </cell>
        </row>
        <row r="1370">
          <cell r="B1370" t="str">
            <v>035480 KS</v>
          </cell>
          <cell r="C1370">
            <v>41515</v>
          </cell>
          <cell r="D1370" t="str">
            <v>E</v>
          </cell>
        </row>
        <row r="1371">
          <cell r="B1371" t="str">
            <v>004970 KS</v>
          </cell>
          <cell r="C1371">
            <v>41515</v>
          </cell>
          <cell r="D1371" t="str">
            <v>E</v>
          </cell>
        </row>
        <row r="1372">
          <cell r="B1372" t="str">
            <v>001540 KS</v>
          </cell>
          <cell r="C1372">
            <v>41515</v>
          </cell>
          <cell r="D1372" t="str">
            <v>E</v>
          </cell>
        </row>
        <row r="1373">
          <cell r="B1373" t="str">
            <v>053450 KS</v>
          </cell>
          <cell r="C1373">
            <v>41515</v>
          </cell>
          <cell r="D1373" t="str">
            <v>E</v>
          </cell>
        </row>
        <row r="1374">
          <cell r="B1374" t="str">
            <v>095190 KS</v>
          </cell>
          <cell r="C1374">
            <v>41515</v>
          </cell>
          <cell r="D1374" t="str">
            <v>E</v>
          </cell>
        </row>
        <row r="1375">
          <cell r="B1375" t="str">
            <v>086830 KS</v>
          </cell>
          <cell r="C1375">
            <v>41515</v>
          </cell>
          <cell r="D1375" t="str">
            <v>E</v>
          </cell>
        </row>
        <row r="1376">
          <cell r="B1376" t="str">
            <v>004490 KS</v>
          </cell>
          <cell r="C1376">
            <v>41515</v>
          </cell>
          <cell r="D1376" t="str">
            <v>E</v>
          </cell>
        </row>
        <row r="1377">
          <cell r="B1377" t="str">
            <v>065450 KS</v>
          </cell>
          <cell r="C1377">
            <v>41515</v>
          </cell>
          <cell r="D1377" t="str">
            <v>E</v>
          </cell>
        </row>
        <row r="1378">
          <cell r="B1378" t="str">
            <v>077500 KS</v>
          </cell>
          <cell r="C1378">
            <v>41515</v>
          </cell>
          <cell r="D1378" t="str">
            <v>E</v>
          </cell>
        </row>
        <row r="1379">
          <cell r="B1379" t="str">
            <v>005680 KS</v>
          </cell>
          <cell r="C1379">
            <v>41515</v>
          </cell>
          <cell r="D1379" t="str">
            <v>E</v>
          </cell>
        </row>
        <row r="1380">
          <cell r="B1380" t="str">
            <v>072770 KS</v>
          </cell>
          <cell r="C1380">
            <v>41515</v>
          </cell>
          <cell r="D1380" t="str">
            <v>E</v>
          </cell>
        </row>
        <row r="1381">
          <cell r="B1381" t="str">
            <v>052300 KS</v>
          </cell>
          <cell r="C1381">
            <v>41515</v>
          </cell>
          <cell r="D1381" t="str">
            <v>E</v>
          </cell>
        </row>
        <row r="1382">
          <cell r="B1382" t="str">
            <v>123300 KS</v>
          </cell>
          <cell r="C1382">
            <v>41515</v>
          </cell>
          <cell r="D1382" t="str">
            <v>E</v>
          </cell>
        </row>
        <row r="1383">
          <cell r="B1383" t="str">
            <v>068150 KS</v>
          </cell>
          <cell r="C1383">
            <v>41515</v>
          </cell>
          <cell r="D1383" t="str">
            <v>E</v>
          </cell>
        </row>
        <row r="1384">
          <cell r="B1384" t="str">
            <v>008600 KS</v>
          </cell>
          <cell r="C1384">
            <v>41515</v>
          </cell>
          <cell r="D1384" t="str">
            <v>E</v>
          </cell>
        </row>
        <row r="1385">
          <cell r="B1385" t="str">
            <v>047820 KS</v>
          </cell>
          <cell r="C1385">
            <v>41515</v>
          </cell>
          <cell r="D1385" t="str">
            <v>E</v>
          </cell>
        </row>
        <row r="1386">
          <cell r="B1386" t="str">
            <v>014990 KS</v>
          </cell>
          <cell r="C1386">
            <v>41515</v>
          </cell>
          <cell r="D1386" t="str">
            <v>E</v>
          </cell>
        </row>
        <row r="1387">
          <cell r="B1387" t="str">
            <v>102710 KS</v>
          </cell>
          <cell r="C1387">
            <v>41515</v>
          </cell>
          <cell r="D1387" t="str">
            <v>E</v>
          </cell>
        </row>
        <row r="1388">
          <cell r="B1388" t="str">
            <v>012340 KS</v>
          </cell>
          <cell r="C1388">
            <v>41515</v>
          </cell>
          <cell r="D1388" t="str">
            <v>E</v>
          </cell>
        </row>
        <row r="1389">
          <cell r="B1389" t="str">
            <v>036830 KS</v>
          </cell>
          <cell r="C1389">
            <v>41515</v>
          </cell>
          <cell r="D1389" t="str">
            <v>E</v>
          </cell>
        </row>
        <row r="1390">
          <cell r="B1390" t="str">
            <v>044480 KS</v>
          </cell>
          <cell r="C1390">
            <v>41515</v>
          </cell>
          <cell r="D1390" t="str">
            <v>E</v>
          </cell>
        </row>
        <row r="1391">
          <cell r="B1391" t="str">
            <v>048910 KS</v>
          </cell>
          <cell r="C1391">
            <v>41515</v>
          </cell>
          <cell r="D1391" t="str">
            <v>E</v>
          </cell>
        </row>
        <row r="1392">
          <cell r="B1392" t="str">
            <v>011690 KS</v>
          </cell>
          <cell r="C1392">
            <v>41515</v>
          </cell>
          <cell r="D1392" t="str">
            <v>E</v>
          </cell>
        </row>
        <row r="1393">
          <cell r="B1393" t="str">
            <v>046390 KS</v>
          </cell>
          <cell r="C1393">
            <v>41515</v>
          </cell>
          <cell r="D1393" t="str">
            <v>E</v>
          </cell>
        </row>
        <row r="1394">
          <cell r="B1394" t="str">
            <v>065710 KS</v>
          </cell>
          <cell r="C1394">
            <v>41515</v>
          </cell>
          <cell r="D1394" t="str">
            <v>E</v>
          </cell>
        </row>
        <row r="1395">
          <cell r="B1395" t="str">
            <v>069410 KS</v>
          </cell>
          <cell r="C1395">
            <v>41515</v>
          </cell>
          <cell r="D1395" t="str">
            <v>E</v>
          </cell>
        </row>
        <row r="1396">
          <cell r="B1396" t="str">
            <v>044060 KS</v>
          </cell>
          <cell r="C1396">
            <v>41515</v>
          </cell>
          <cell r="D1396" t="str">
            <v>E</v>
          </cell>
        </row>
        <row r="1397">
          <cell r="B1397" t="str">
            <v>104040 KS</v>
          </cell>
          <cell r="C1397">
            <v>41515</v>
          </cell>
          <cell r="D1397" t="str">
            <v>E</v>
          </cell>
        </row>
        <row r="1398">
          <cell r="B1398" t="str">
            <v>089980 KS</v>
          </cell>
          <cell r="C1398">
            <v>41515</v>
          </cell>
          <cell r="D1398" t="str">
            <v>E</v>
          </cell>
        </row>
        <row r="1399">
          <cell r="B1399" t="str">
            <v>049180 KS</v>
          </cell>
          <cell r="C1399">
            <v>41515</v>
          </cell>
          <cell r="D1399" t="str">
            <v>E</v>
          </cell>
        </row>
        <row r="1400">
          <cell r="B1400" t="str">
            <v>058630 KS</v>
          </cell>
          <cell r="C1400">
            <v>41515</v>
          </cell>
          <cell r="D1400" t="str">
            <v>E</v>
          </cell>
        </row>
        <row r="1401">
          <cell r="B1401" t="str">
            <v>011390 KS</v>
          </cell>
          <cell r="C1401">
            <v>41515</v>
          </cell>
          <cell r="D1401" t="str">
            <v>E</v>
          </cell>
        </row>
        <row r="1402">
          <cell r="B1402" t="str">
            <v>084370 KS</v>
          </cell>
          <cell r="C1402">
            <v>41515</v>
          </cell>
          <cell r="D1402" t="str">
            <v>E</v>
          </cell>
        </row>
        <row r="1403">
          <cell r="B1403" t="str">
            <v>069640 KS</v>
          </cell>
          <cell r="C1403">
            <v>41515</v>
          </cell>
          <cell r="D1403" t="str">
            <v>E</v>
          </cell>
        </row>
        <row r="1404">
          <cell r="B1404" t="str">
            <v>041020 KS</v>
          </cell>
          <cell r="C1404">
            <v>41515</v>
          </cell>
          <cell r="D1404" t="str">
            <v>E</v>
          </cell>
        </row>
        <row r="1405">
          <cell r="B1405" t="str">
            <v>009140 KS</v>
          </cell>
          <cell r="C1405">
            <v>41515</v>
          </cell>
          <cell r="D1405" t="str">
            <v>E</v>
          </cell>
        </row>
        <row r="1406">
          <cell r="B1406" t="str">
            <v>056700 KS</v>
          </cell>
          <cell r="C1406">
            <v>41515</v>
          </cell>
          <cell r="D1406" t="str">
            <v>E</v>
          </cell>
        </row>
        <row r="1407">
          <cell r="B1407" t="str">
            <v>078940 KS</v>
          </cell>
          <cell r="C1407">
            <v>41515</v>
          </cell>
          <cell r="D1407" t="str">
            <v>E</v>
          </cell>
        </row>
        <row r="1408">
          <cell r="B1408" t="str">
            <v>061040 KS</v>
          </cell>
          <cell r="C1408">
            <v>41515</v>
          </cell>
          <cell r="D1408" t="str">
            <v>E</v>
          </cell>
        </row>
        <row r="1409">
          <cell r="B1409" t="str">
            <v>002420 KS</v>
          </cell>
          <cell r="C1409">
            <v>41515</v>
          </cell>
          <cell r="D1409" t="str">
            <v>E</v>
          </cell>
        </row>
        <row r="1410">
          <cell r="B1410" t="str">
            <v>009270 KS</v>
          </cell>
          <cell r="C1410">
            <v>41515</v>
          </cell>
          <cell r="D1410" t="str">
            <v>E</v>
          </cell>
        </row>
        <row r="1411">
          <cell r="B1411" t="str">
            <v>048260 KS</v>
          </cell>
          <cell r="C1411">
            <v>41515</v>
          </cell>
          <cell r="D1411" t="str">
            <v>E</v>
          </cell>
        </row>
        <row r="1412">
          <cell r="B1412" t="str">
            <v>000390 KS</v>
          </cell>
          <cell r="C1412">
            <v>41515</v>
          </cell>
          <cell r="D1412" t="str">
            <v>E</v>
          </cell>
        </row>
        <row r="1413">
          <cell r="B1413" t="str">
            <v>106080 KS</v>
          </cell>
          <cell r="C1413">
            <v>41515</v>
          </cell>
          <cell r="D1413" t="str">
            <v>E</v>
          </cell>
        </row>
        <row r="1414">
          <cell r="B1414" t="str">
            <v>138070 KS</v>
          </cell>
          <cell r="C1414">
            <v>41515</v>
          </cell>
          <cell r="D1414" t="str">
            <v>E</v>
          </cell>
        </row>
        <row r="1415">
          <cell r="B1415" t="str">
            <v>007530 KS</v>
          </cell>
          <cell r="C1415">
            <v>41515</v>
          </cell>
          <cell r="D1415" t="str">
            <v>E</v>
          </cell>
        </row>
        <row r="1416">
          <cell r="B1416" t="str">
            <v>066110 KS</v>
          </cell>
          <cell r="C1416">
            <v>41515</v>
          </cell>
          <cell r="D1416" t="str">
            <v>E</v>
          </cell>
        </row>
        <row r="1417">
          <cell r="B1417" t="str">
            <v>019590 KS</v>
          </cell>
          <cell r="C1417">
            <v>41515</v>
          </cell>
          <cell r="D1417" t="str">
            <v>E</v>
          </cell>
        </row>
        <row r="1418">
          <cell r="B1418" t="str">
            <v>080220 KS</v>
          </cell>
          <cell r="C1418">
            <v>41515</v>
          </cell>
          <cell r="D1418" t="str">
            <v>E</v>
          </cell>
        </row>
        <row r="1419">
          <cell r="B1419" t="str">
            <v>031310 KS</v>
          </cell>
          <cell r="C1419">
            <v>41515</v>
          </cell>
          <cell r="D1419" t="str">
            <v>E</v>
          </cell>
        </row>
        <row r="1420">
          <cell r="B1420" t="str">
            <v>123330 KS</v>
          </cell>
          <cell r="C1420">
            <v>41515</v>
          </cell>
          <cell r="D1420" t="str">
            <v>E</v>
          </cell>
        </row>
        <row r="1421">
          <cell r="B1421" t="str">
            <v>020710 KS</v>
          </cell>
          <cell r="C1421">
            <v>41515</v>
          </cell>
          <cell r="D1421" t="str">
            <v>E</v>
          </cell>
        </row>
        <row r="1422">
          <cell r="B1422" t="str">
            <v>041650 KS</v>
          </cell>
          <cell r="C1422">
            <v>41515</v>
          </cell>
          <cell r="D1422" t="str">
            <v>E</v>
          </cell>
        </row>
        <row r="1423">
          <cell r="B1423" t="str">
            <v>072470 KS</v>
          </cell>
          <cell r="C1423">
            <v>41515</v>
          </cell>
          <cell r="D1423" t="str">
            <v>E</v>
          </cell>
        </row>
        <row r="1424">
          <cell r="B1424" t="str">
            <v>136490 KS</v>
          </cell>
          <cell r="C1424">
            <v>41515</v>
          </cell>
          <cell r="D1424" t="str">
            <v>E</v>
          </cell>
        </row>
        <row r="1425">
          <cell r="B1425" t="str">
            <v>012610 KS</v>
          </cell>
          <cell r="C1425">
            <v>41515</v>
          </cell>
          <cell r="D1425" t="str">
            <v>E</v>
          </cell>
        </row>
        <row r="1426">
          <cell r="B1426" t="str">
            <v>094480 KS</v>
          </cell>
          <cell r="C1426">
            <v>41515</v>
          </cell>
          <cell r="D1426" t="str">
            <v>E</v>
          </cell>
        </row>
        <row r="1427">
          <cell r="B1427" t="str">
            <v>036640 KS</v>
          </cell>
          <cell r="C1427">
            <v>41515</v>
          </cell>
          <cell r="D1427" t="str">
            <v>E</v>
          </cell>
        </row>
        <row r="1428">
          <cell r="B1428" t="str">
            <v>033290 KS</v>
          </cell>
          <cell r="C1428">
            <v>41515</v>
          </cell>
          <cell r="D1428" t="str">
            <v>E</v>
          </cell>
        </row>
        <row r="1429">
          <cell r="B1429" t="str">
            <v>001360 KS</v>
          </cell>
          <cell r="C1429">
            <v>41515</v>
          </cell>
          <cell r="D1429" t="str">
            <v>E</v>
          </cell>
        </row>
        <row r="1430">
          <cell r="B1430" t="str">
            <v>021050 KS</v>
          </cell>
          <cell r="C1430">
            <v>41515</v>
          </cell>
          <cell r="D1430" t="str">
            <v>E</v>
          </cell>
        </row>
        <row r="1431">
          <cell r="B1431" t="str">
            <v>039200 KS</v>
          </cell>
          <cell r="C1431">
            <v>41515</v>
          </cell>
          <cell r="D1431" t="str">
            <v>E</v>
          </cell>
        </row>
        <row r="1432">
          <cell r="B1432" t="str">
            <v>016100 KS</v>
          </cell>
          <cell r="C1432">
            <v>41515</v>
          </cell>
          <cell r="D1432" t="str">
            <v>E</v>
          </cell>
        </row>
        <row r="1433">
          <cell r="B1433" t="str">
            <v>054540 KS</v>
          </cell>
          <cell r="C1433">
            <v>41515</v>
          </cell>
          <cell r="D1433" t="str">
            <v>E</v>
          </cell>
        </row>
        <row r="1434">
          <cell r="B1434" t="str">
            <v>025440 KS</v>
          </cell>
          <cell r="C1434">
            <v>41515</v>
          </cell>
          <cell r="D1434" t="str">
            <v>E</v>
          </cell>
        </row>
        <row r="1435">
          <cell r="B1435" t="str">
            <v>137950 KS</v>
          </cell>
          <cell r="C1435">
            <v>41515</v>
          </cell>
          <cell r="D1435" t="str">
            <v>E</v>
          </cell>
        </row>
        <row r="1436">
          <cell r="B1436" t="str">
            <v>096040 KS</v>
          </cell>
          <cell r="C1436">
            <v>41515</v>
          </cell>
          <cell r="D1436" t="str">
            <v>E</v>
          </cell>
        </row>
        <row r="1437">
          <cell r="B1437" t="str">
            <v>023150 KS</v>
          </cell>
          <cell r="C1437">
            <v>41515</v>
          </cell>
          <cell r="D1437" t="str">
            <v>E</v>
          </cell>
        </row>
        <row r="1438">
          <cell r="B1438" t="str">
            <v>004250 KS</v>
          </cell>
          <cell r="C1438">
            <v>41515</v>
          </cell>
          <cell r="D1438" t="str">
            <v>E</v>
          </cell>
        </row>
        <row r="1439">
          <cell r="B1439" t="str">
            <v>036800 KS</v>
          </cell>
          <cell r="C1439">
            <v>41515</v>
          </cell>
          <cell r="D1439" t="str">
            <v>E</v>
          </cell>
        </row>
        <row r="1440">
          <cell r="B1440" t="str">
            <v>017550 KS</v>
          </cell>
          <cell r="C1440">
            <v>41515</v>
          </cell>
          <cell r="D1440" t="str">
            <v>E</v>
          </cell>
        </row>
        <row r="1441">
          <cell r="B1441" t="str">
            <v>123700 KS</v>
          </cell>
          <cell r="C1441">
            <v>41515</v>
          </cell>
          <cell r="D1441" t="str">
            <v>E</v>
          </cell>
        </row>
        <row r="1442">
          <cell r="B1442" t="str">
            <v>025530 KS</v>
          </cell>
          <cell r="C1442">
            <v>41515</v>
          </cell>
          <cell r="D1442" t="str">
            <v>E</v>
          </cell>
        </row>
        <row r="1443">
          <cell r="B1443" t="str">
            <v>054210 KS</v>
          </cell>
          <cell r="C1443">
            <v>41515</v>
          </cell>
          <cell r="D1443" t="str">
            <v>E</v>
          </cell>
        </row>
        <row r="1444">
          <cell r="B1444" t="str">
            <v>086900 KS</v>
          </cell>
          <cell r="C1444">
            <v>41515</v>
          </cell>
          <cell r="D1444" t="str">
            <v>E</v>
          </cell>
        </row>
        <row r="1445">
          <cell r="B1445" t="str">
            <v>007770 KS</v>
          </cell>
          <cell r="C1445">
            <v>41515</v>
          </cell>
          <cell r="D1445" t="str">
            <v>E</v>
          </cell>
        </row>
        <row r="1446">
          <cell r="B1446" t="str">
            <v>041460 KS</v>
          </cell>
          <cell r="C1446">
            <v>41515</v>
          </cell>
          <cell r="D1446" t="str">
            <v>E</v>
          </cell>
        </row>
        <row r="1447">
          <cell r="B1447" t="str">
            <v>025950 KS</v>
          </cell>
          <cell r="C1447">
            <v>41515</v>
          </cell>
          <cell r="D1447" t="str">
            <v>E</v>
          </cell>
        </row>
        <row r="1448">
          <cell r="B1448" t="str">
            <v>042600 KS</v>
          </cell>
          <cell r="C1448">
            <v>41515</v>
          </cell>
          <cell r="D1448" t="str">
            <v>E</v>
          </cell>
        </row>
        <row r="1449">
          <cell r="B1449" t="str">
            <v>039030 KS</v>
          </cell>
          <cell r="C1449">
            <v>41515</v>
          </cell>
          <cell r="D1449" t="str">
            <v>E</v>
          </cell>
        </row>
        <row r="1450">
          <cell r="B1450" t="str">
            <v>083650 KS</v>
          </cell>
          <cell r="C1450">
            <v>41515</v>
          </cell>
          <cell r="D1450" t="str">
            <v>E</v>
          </cell>
        </row>
        <row r="1451">
          <cell r="B1451" t="str">
            <v>053290 KS</v>
          </cell>
          <cell r="C1451">
            <v>41515</v>
          </cell>
          <cell r="D1451" t="str">
            <v>E</v>
          </cell>
        </row>
        <row r="1452">
          <cell r="B1452" t="str">
            <v>007120 KS</v>
          </cell>
          <cell r="C1452">
            <v>41515</v>
          </cell>
          <cell r="D1452" t="str">
            <v>E</v>
          </cell>
        </row>
        <row r="1453">
          <cell r="B1453" t="str">
            <v>096610 KS</v>
          </cell>
          <cell r="C1453">
            <v>41515</v>
          </cell>
          <cell r="D1453" t="str">
            <v>E</v>
          </cell>
        </row>
        <row r="1454">
          <cell r="B1454" t="str">
            <v>025770 KS</v>
          </cell>
          <cell r="C1454">
            <v>41515</v>
          </cell>
          <cell r="D1454" t="str">
            <v>E</v>
          </cell>
        </row>
        <row r="1455">
          <cell r="B1455" t="str">
            <v>020400 KS</v>
          </cell>
          <cell r="C1455">
            <v>41515</v>
          </cell>
          <cell r="D1455" t="str">
            <v>E</v>
          </cell>
        </row>
        <row r="1456">
          <cell r="B1456" t="str">
            <v>005670 KS</v>
          </cell>
          <cell r="C1456">
            <v>41515</v>
          </cell>
          <cell r="D1456" t="str">
            <v>E</v>
          </cell>
        </row>
        <row r="1457">
          <cell r="B1457" t="str">
            <v>088390 KS</v>
          </cell>
          <cell r="C1457">
            <v>41515</v>
          </cell>
          <cell r="D1457" t="str">
            <v>E</v>
          </cell>
        </row>
        <row r="1458">
          <cell r="B1458" t="str">
            <v>029530 KS</v>
          </cell>
          <cell r="C1458">
            <v>41515</v>
          </cell>
          <cell r="D1458" t="str">
            <v>E</v>
          </cell>
        </row>
        <row r="1459">
          <cell r="B1459" t="str">
            <v>008370 KS</v>
          </cell>
          <cell r="C1459">
            <v>41515</v>
          </cell>
          <cell r="D1459" t="str">
            <v>E</v>
          </cell>
        </row>
        <row r="1460">
          <cell r="B1460" t="str">
            <v>001940 KS</v>
          </cell>
          <cell r="C1460">
            <v>41515</v>
          </cell>
          <cell r="D1460" t="str">
            <v>E</v>
          </cell>
        </row>
        <row r="1461">
          <cell r="B1461" t="str">
            <v>010240 KS</v>
          </cell>
          <cell r="C1461">
            <v>41515</v>
          </cell>
          <cell r="D1461" t="str">
            <v>E</v>
          </cell>
        </row>
        <row r="1462">
          <cell r="B1462" t="str">
            <v>119860 KS</v>
          </cell>
          <cell r="C1462">
            <v>41515</v>
          </cell>
          <cell r="D1462" t="str">
            <v>E</v>
          </cell>
        </row>
        <row r="1463">
          <cell r="B1463" t="str">
            <v>053700 KS</v>
          </cell>
          <cell r="C1463">
            <v>41515</v>
          </cell>
          <cell r="D1463" t="str">
            <v>E</v>
          </cell>
        </row>
        <row r="1464">
          <cell r="B1464" t="str">
            <v>139050 KS</v>
          </cell>
          <cell r="C1464">
            <v>41515</v>
          </cell>
          <cell r="D1464" t="str">
            <v>E</v>
          </cell>
        </row>
        <row r="1465">
          <cell r="B1465" t="str">
            <v>093920 KS</v>
          </cell>
          <cell r="C1465">
            <v>41515</v>
          </cell>
          <cell r="D1465" t="str">
            <v>E</v>
          </cell>
        </row>
        <row r="1466">
          <cell r="B1466" t="str">
            <v>083470 KS</v>
          </cell>
          <cell r="C1466">
            <v>41515</v>
          </cell>
          <cell r="D1466" t="str">
            <v>E</v>
          </cell>
        </row>
        <row r="1467">
          <cell r="B1467" t="str">
            <v>083550 KS</v>
          </cell>
          <cell r="C1467">
            <v>41515</v>
          </cell>
          <cell r="D1467" t="str">
            <v>E</v>
          </cell>
        </row>
        <row r="1468">
          <cell r="B1468" t="str">
            <v>059210 KS</v>
          </cell>
          <cell r="C1468">
            <v>41515</v>
          </cell>
          <cell r="D1468" t="str">
            <v>E</v>
          </cell>
        </row>
        <row r="1469">
          <cell r="B1469" t="str">
            <v>002100 KS</v>
          </cell>
          <cell r="C1469">
            <v>41515</v>
          </cell>
          <cell r="D1469" t="str">
            <v>E</v>
          </cell>
        </row>
        <row r="1470">
          <cell r="B1470" t="str">
            <v>015360 KS</v>
          </cell>
          <cell r="C1470">
            <v>41515</v>
          </cell>
          <cell r="D1470" t="str">
            <v>E</v>
          </cell>
        </row>
        <row r="1471">
          <cell r="B1471" t="str">
            <v>000180 KS</v>
          </cell>
          <cell r="C1471">
            <v>41515</v>
          </cell>
          <cell r="D1471" t="str">
            <v>E</v>
          </cell>
        </row>
        <row r="1472">
          <cell r="B1472" t="str">
            <v>040610 KS</v>
          </cell>
          <cell r="C1472">
            <v>41515</v>
          </cell>
          <cell r="D1472" t="str">
            <v>E</v>
          </cell>
        </row>
        <row r="1473">
          <cell r="B1473" t="str">
            <v>017370 KS</v>
          </cell>
          <cell r="C1473">
            <v>41515</v>
          </cell>
          <cell r="D1473" t="str">
            <v>E</v>
          </cell>
        </row>
        <row r="1474">
          <cell r="B1474" t="str">
            <v>087220 KS</v>
          </cell>
          <cell r="C1474">
            <v>41515</v>
          </cell>
          <cell r="D1474" t="str">
            <v>E</v>
          </cell>
        </row>
        <row r="1475">
          <cell r="B1475" t="str">
            <v>000490 KS</v>
          </cell>
          <cell r="C1475">
            <v>41515</v>
          </cell>
          <cell r="D1475" t="str">
            <v>E</v>
          </cell>
        </row>
        <row r="1476">
          <cell r="B1476" t="str">
            <v>032580 KS</v>
          </cell>
          <cell r="C1476">
            <v>41515</v>
          </cell>
          <cell r="D1476" t="str">
            <v>E</v>
          </cell>
        </row>
        <row r="1477">
          <cell r="B1477" t="str">
            <v>000430 KS</v>
          </cell>
          <cell r="C1477">
            <v>41515</v>
          </cell>
          <cell r="D1477" t="str">
            <v>E</v>
          </cell>
        </row>
        <row r="1478">
          <cell r="B1478" t="str">
            <v>060570 KS</v>
          </cell>
          <cell r="C1478">
            <v>41515</v>
          </cell>
          <cell r="D1478" t="str">
            <v>E</v>
          </cell>
        </row>
        <row r="1479">
          <cell r="B1479" t="str">
            <v>088290 KS</v>
          </cell>
          <cell r="C1479">
            <v>41515</v>
          </cell>
          <cell r="D1479" t="str">
            <v>E</v>
          </cell>
        </row>
        <row r="1480">
          <cell r="B1480" t="str">
            <v>007700 KS</v>
          </cell>
          <cell r="C1480">
            <v>41515</v>
          </cell>
          <cell r="D1480" t="str">
            <v>E</v>
          </cell>
        </row>
        <row r="1481">
          <cell r="B1481" t="str">
            <v>005560 KS</v>
          </cell>
          <cell r="C1481">
            <v>41515</v>
          </cell>
          <cell r="D1481" t="str">
            <v>E</v>
          </cell>
        </row>
        <row r="1482">
          <cell r="B1482" t="str">
            <v>011040 KS</v>
          </cell>
          <cell r="C1482">
            <v>41515</v>
          </cell>
          <cell r="D1482" t="str">
            <v>E</v>
          </cell>
        </row>
        <row r="1483">
          <cell r="B1483" t="str">
            <v>086060 KS</v>
          </cell>
          <cell r="C1483">
            <v>41515</v>
          </cell>
          <cell r="D1483" t="str">
            <v>E</v>
          </cell>
        </row>
        <row r="1484">
          <cell r="B1484" t="str">
            <v>005010 KS</v>
          </cell>
          <cell r="C1484">
            <v>41515</v>
          </cell>
          <cell r="D1484" t="str">
            <v>E</v>
          </cell>
        </row>
        <row r="1485">
          <cell r="B1485" t="str">
            <v>072130 KS</v>
          </cell>
          <cell r="C1485">
            <v>41515</v>
          </cell>
          <cell r="D1485" t="str">
            <v>E</v>
          </cell>
        </row>
        <row r="1486">
          <cell r="B1486" t="str">
            <v>105630 KS</v>
          </cell>
          <cell r="C1486">
            <v>41515</v>
          </cell>
          <cell r="D1486" t="str">
            <v>E</v>
          </cell>
        </row>
        <row r="1487">
          <cell r="B1487" t="str">
            <v>004910 KS</v>
          </cell>
          <cell r="C1487">
            <v>41515</v>
          </cell>
          <cell r="D1487" t="str">
            <v>E</v>
          </cell>
        </row>
        <row r="1488">
          <cell r="B1488" t="str">
            <v>085670 KS</v>
          </cell>
          <cell r="C1488">
            <v>41515</v>
          </cell>
          <cell r="D1488" t="str">
            <v>E</v>
          </cell>
        </row>
        <row r="1489">
          <cell r="B1489" t="str">
            <v>083660 KS</v>
          </cell>
          <cell r="C1489">
            <v>41515</v>
          </cell>
          <cell r="D1489" t="str">
            <v>E</v>
          </cell>
        </row>
        <row r="1490">
          <cell r="B1490" t="str">
            <v>033340 KS</v>
          </cell>
          <cell r="C1490">
            <v>41515</v>
          </cell>
          <cell r="D1490" t="str">
            <v>E</v>
          </cell>
        </row>
        <row r="1491">
          <cell r="B1491" t="str">
            <v>069140 KS</v>
          </cell>
          <cell r="C1491">
            <v>41515</v>
          </cell>
          <cell r="D1491" t="str">
            <v>E</v>
          </cell>
        </row>
        <row r="1492">
          <cell r="B1492" t="str">
            <v>013810 KS</v>
          </cell>
          <cell r="C1492">
            <v>41515</v>
          </cell>
          <cell r="D1492" t="str">
            <v>E</v>
          </cell>
        </row>
        <row r="1493">
          <cell r="B1493" t="str">
            <v>009620 KS</v>
          </cell>
          <cell r="C1493">
            <v>41515</v>
          </cell>
          <cell r="D1493" t="str">
            <v>E</v>
          </cell>
        </row>
        <row r="1494">
          <cell r="B1494">
            <v>1492</v>
          </cell>
          <cell r="C1494" t="str">
            <v>Total Confirmed</v>
          </cell>
          <cell r="D1494">
            <v>33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dl335"/>
    </sheetNames>
    <sheetDataSet>
      <sheetData sheetId="0">
        <row r="1">
          <cell r="B1" t="str">
            <v>Company Ticker</v>
          </cell>
          <cell r="C1" t="str">
            <v>Date</v>
          </cell>
          <cell r="D1" t="str">
            <v>Date Type</v>
          </cell>
        </row>
        <row r="2">
          <cell r="B2" t="str">
            <v>033630 KS</v>
          </cell>
          <cell r="C2">
            <v>41401</v>
          </cell>
          <cell r="D2" t="str">
            <v>C</v>
          </cell>
        </row>
        <row r="3">
          <cell r="B3" t="str">
            <v>036170 KS</v>
          </cell>
          <cell r="C3">
            <v>41401</v>
          </cell>
          <cell r="D3" t="str">
            <v>C</v>
          </cell>
        </row>
        <row r="4">
          <cell r="B4" t="str">
            <v>064760 KS</v>
          </cell>
          <cell r="C4">
            <v>41401</v>
          </cell>
          <cell r="D4" t="str">
            <v>C</v>
          </cell>
        </row>
        <row r="5">
          <cell r="B5" t="str">
            <v>065680 KS</v>
          </cell>
          <cell r="C5">
            <v>41401</v>
          </cell>
          <cell r="D5" t="str">
            <v>C</v>
          </cell>
        </row>
        <row r="6">
          <cell r="B6" t="str">
            <v>023910 KS</v>
          </cell>
          <cell r="C6">
            <v>41401</v>
          </cell>
          <cell r="D6" t="str">
            <v>C</v>
          </cell>
        </row>
        <row r="7">
          <cell r="B7" t="str">
            <v>065440 KS</v>
          </cell>
          <cell r="C7">
            <v>41401</v>
          </cell>
          <cell r="D7" t="str">
            <v>C</v>
          </cell>
        </row>
        <row r="8">
          <cell r="B8" t="str">
            <v>078520 KS</v>
          </cell>
          <cell r="C8">
            <v>41401</v>
          </cell>
          <cell r="D8" t="str">
            <v>C</v>
          </cell>
        </row>
        <row r="9">
          <cell r="B9" t="str">
            <v>027580 KS</v>
          </cell>
          <cell r="C9">
            <v>41401</v>
          </cell>
          <cell r="D9" t="str">
            <v>C</v>
          </cell>
        </row>
        <row r="10">
          <cell r="B10" t="str">
            <v>052330 KS</v>
          </cell>
          <cell r="C10">
            <v>41401</v>
          </cell>
          <cell r="D10" t="str">
            <v>C</v>
          </cell>
        </row>
        <row r="11">
          <cell r="B11" t="str">
            <v>104830 KS</v>
          </cell>
          <cell r="C11">
            <v>41401</v>
          </cell>
          <cell r="D11" t="str">
            <v>C</v>
          </cell>
        </row>
        <row r="12">
          <cell r="B12" t="str">
            <v>136480 KS</v>
          </cell>
          <cell r="C12">
            <v>41401</v>
          </cell>
          <cell r="D12" t="str">
            <v>E</v>
          </cell>
        </row>
        <row r="13">
          <cell r="B13" t="str">
            <v>007190 KS</v>
          </cell>
          <cell r="C13">
            <v>41401</v>
          </cell>
          <cell r="D13" t="str">
            <v>C</v>
          </cell>
        </row>
        <row r="14">
          <cell r="B14" t="str">
            <v>011200 KS</v>
          </cell>
          <cell r="C14">
            <v>41401</v>
          </cell>
          <cell r="D14" t="str">
            <v>E</v>
          </cell>
        </row>
        <row r="15">
          <cell r="B15" t="str">
            <v>080470 KS</v>
          </cell>
          <cell r="C15">
            <v>41401</v>
          </cell>
          <cell r="D15" t="str">
            <v>E</v>
          </cell>
        </row>
        <row r="16">
          <cell r="B16" t="str">
            <v>121440 KS</v>
          </cell>
          <cell r="C16">
            <v>41401</v>
          </cell>
          <cell r="D16" t="str">
            <v>E</v>
          </cell>
        </row>
        <row r="17">
          <cell r="B17" t="str">
            <v>021240 KS</v>
          </cell>
          <cell r="C17">
            <v>41401</v>
          </cell>
          <cell r="D17" t="str">
            <v>E</v>
          </cell>
        </row>
        <row r="18">
          <cell r="B18" t="str">
            <v>087220 KS</v>
          </cell>
          <cell r="C18">
            <v>41401</v>
          </cell>
          <cell r="D18" t="str">
            <v>E</v>
          </cell>
        </row>
        <row r="19">
          <cell r="B19" t="str">
            <v>081580 KS</v>
          </cell>
          <cell r="C19">
            <v>41401</v>
          </cell>
          <cell r="D19" t="str">
            <v>E</v>
          </cell>
        </row>
        <row r="20">
          <cell r="B20" t="str">
            <v>002390 KS</v>
          </cell>
          <cell r="C20">
            <v>41401</v>
          </cell>
          <cell r="D20" t="str">
            <v>E</v>
          </cell>
        </row>
        <row r="21">
          <cell r="B21" t="str">
            <v>001440 KS</v>
          </cell>
          <cell r="C21">
            <v>41401</v>
          </cell>
          <cell r="D21" t="str">
            <v>E</v>
          </cell>
        </row>
        <row r="22">
          <cell r="B22" t="str">
            <v>000210 KS</v>
          </cell>
          <cell r="C22">
            <v>41401</v>
          </cell>
          <cell r="D22" t="str">
            <v>E</v>
          </cell>
        </row>
        <row r="23">
          <cell r="B23" t="str">
            <v>100700 KS</v>
          </cell>
          <cell r="C23">
            <v>41401</v>
          </cell>
          <cell r="D23" t="str">
            <v>E</v>
          </cell>
        </row>
        <row r="24">
          <cell r="B24" t="str">
            <v>038530 KS</v>
          </cell>
          <cell r="C24">
            <v>41401</v>
          </cell>
          <cell r="D24" t="str">
            <v>E</v>
          </cell>
        </row>
        <row r="25">
          <cell r="B25" t="str">
            <v>114190 KS</v>
          </cell>
          <cell r="C25">
            <v>41401</v>
          </cell>
          <cell r="D25" t="str">
            <v>E</v>
          </cell>
        </row>
        <row r="26">
          <cell r="B26" t="str">
            <v>023160 KS</v>
          </cell>
          <cell r="C26">
            <v>41401</v>
          </cell>
          <cell r="D26" t="str">
            <v>E</v>
          </cell>
        </row>
        <row r="27">
          <cell r="B27" t="str">
            <v>018880 KS</v>
          </cell>
          <cell r="C27">
            <v>41401</v>
          </cell>
          <cell r="D27" t="str">
            <v>E</v>
          </cell>
        </row>
        <row r="28">
          <cell r="B28" t="str">
            <v>018880 KS</v>
          </cell>
          <cell r="C28">
            <v>41401</v>
          </cell>
          <cell r="D28" t="str">
            <v>E</v>
          </cell>
        </row>
        <row r="29">
          <cell r="B29" t="str">
            <v>094820 KS</v>
          </cell>
          <cell r="C29">
            <v>41401</v>
          </cell>
          <cell r="D29" t="str">
            <v>E</v>
          </cell>
        </row>
        <row r="30">
          <cell r="B30" t="str">
            <v>019440 KS</v>
          </cell>
          <cell r="C30">
            <v>41401</v>
          </cell>
          <cell r="D30" t="str">
            <v>C</v>
          </cell>
        </row>
        <row r="31">
          <cell r="B31" t="str">
            <v>008470 KS</v>
          </cell>
          <cell r="C31">
            <v>41401</v>
          </cell>
          <cell r="D31" t="str">
            <v>C</v>
          </cell>
        </row>
        <row r="32">
          <cell r="B32" t="str">
            <v>001440 KS</v>
          </cell>
          <cell r="C32">
            <v>41401</v>
          </cell>
          <cell r="D32" t="str">
            <v>E</v>
          </cell>
        </row>
        <row r="33">
          <cell r="B33" t="str">
            <v>011200 KS</v>
          </cell>
          <cell r="C33">
            <v>41401</v>
          </cell>
          <cell r="D33" t="str">
            <v>E</v>
          </cell>
        </row>
        <row r="34">
          <cell r="B34" t="str">
            <v>000700 KS</v>
          </cell>
          <cell r="C34">
            <v>41401</v>
          </cell>
          <cell r="D34" t="str">
            <v>E</v>
          </cell>
        </row>
        <row r="35">
          <cell r="B35" t="str">
            <v>005090 KS</v>
          </cell>
          <cell r="C35">
            <v>41401</v>
          </cell>
          <cell r="D35" t="str">
            <v>E</v>
          </cell>
        </row>
        <row r="36">
          <cell r="B36" t="str">
            <v>019440 KS</v>
          </cell>
          <cell r="C36">
            <v>41401</v>
          </cell>
          <cell r="D36" t="str">
            <v>C</v>
          </cell>
        </row>
        <row r="37">
          <cell r="B37" t="str">
            <v>025320 KS</v>
          </cell>
          <cell r="C37">
            <v>41402</v>
          </cell>
          <cell r="D37" t="str">
            <v>E</v>
          </cell>
        </row>
        <row r="38">
          <cell r="B38" t="str">
            <v>079980 KS</v>
          </cell>
          <cell r="C38">
            <v>41402</v>
          </cell>
          <cell r="D38" t="str">
            <v>E</v>
          </cell>
        </row>
        <row r="39">
          <cell r="B39" t="str">
            <v>047810 KS</v>
          </cell>
          <cell r="C39">
            <v>41402</v>
          </cell>
          <cell r="D39" t="str">
            <v>E</v>
          </cell>
        </row>
        <row r="40">
          <cell r="B40" t="str">
            <v>048260 KS</v>
          </cell>
          <cell r="C40">
            <v>41402</v>
          </cell>
          <cell r="D40" t="str">
            <v>E</v>
          </cell>
        </row>
        <row r="41">
          <cell r="B41" t="str">
            <v>044340 KS</v>
          </cell>
          <cell r="C41">
            <v>41402</v>
          </cell>
          <cell r="D41" t="str">
            <v>E</v>
          </cell>
        </row>
        <row r="42">
          <cell r="B42" t="str">
            <v>007070 KS</v>
          </cell>
          <cell r="C42">
            <v>41402</v>
          </cell>
          <cell r="D42" t="str">
            <v>E</v>
          </cell>
        </row>
        <row r="43">
          <cell r="B43" t="str">
            <v>041440 KS</v>
          </cell>
          <cell r="C43">
            <v>41402</v>
          </cell>
          <cell r="D43" t="str">
            <v>E</v>
          </cell>
        </row>
        <row r="44">
          <cell r="B44" t="str">
            <v>086520 KS</v>
          </cell>
          <cell r="C44">
            <v>41402</v>
          </cell>
          <cell r="D44" t="str">
            <v>E</v>
          </cell>
        </row>
        <row r="45">
          <cell r="B45" t="str">
            <v>012800 KS</v>
          </cell>
          <cell r="C45">
            <v>41402</v>
          </cell>
          <cell r="D45" t="str">
            <v>E</v>
          </cell>
        </row>
        <row r="46">
          <cell r="B46" t="str">
            <v>007690 KS</v>
          </cell>
          <cell r="C46">
            <v>41402</v>
          </cell>
          <cell r="D46" t="str">
            <v>E</v>
          </cell>
        </row>
        <row r="47">
          <cell r="B47" t="str">
            <v>036490 KS</v>
          </cell>
          <cell r="C47">
            <v>41402</v>
          </cell>
          <cell r="D47" t="str">
            <v>E</v>
          </cell>
        </row>
        <row r="48">
          <cell r="B48" t="str">
            <v>032830 KS</v>
          </cell>
          <cell r="C48">
            <v>41402</v>
          </cell>
          <cell r="D48" t="str">
            <v>E</v>
          </cell>
        </row>
        <row r="49">
          <cell r="B49" t="str">
            <v>016610 KS</v>
          </cell>
          <cell r="C49">
            <v>41402</v>
          </cell>
          <cell r="D49" t="str">
            <v>E</v>
          </cell>
        </row>
        <row r="50">
          <cell r="B50" t="str">
            <v>095720 KS</v>
          </cell>
          <cell r="C50">
            <v>41402</v>
          </cell>
          <cell r="D50" t="str">
            <v>E</v>
          </cell>
        </row>
        <row r="51">
          <cell r="B51" t="str">
            <v>058730 KS</v>
          </cell>
          <cell r="C51">
            <v>41402</v>
          </cell>
          <cell r="D51" t="str">
            <v>E</v>
          </cell>
        </row>
        <row r="52">
          <cell r="B52" t="str">
            <v>900140 KS</v>
          </cell>
          <cell r="C52">
            <v>41402</v>
          </cell>
          <cell r="D52" t="str">
            <v>E</v>
          </cell>
        </row>
        <row r="53">
          <cell r="B53" t="str">
            <v>086060 KS</v>
          </cell>
          <cell r="C53">
            <v>41402</v>
          </cell>
          <cell r="D53" t="str">
            <v>E</v>
          </cell>
        </row>
        <row r="54">
          <cell r="B54" t="str">
            <v>065170 KS</v>
          </cell>
          <cell r="C54">
            <v>41402</v>
          </cell>
          <cell r="D54" t="str">
            <v>E</v>
          </cell>
        </row>
        <row r="55">
          <cell r="B55" t="str">
            <v>085370 KS</v>
          </cell>
          <cell r="C55">
            <v>41402</v>
          </cell>
          <cell r="D55" t="str">
            <v>E</v>
          </cell>
        </row>
        <row r="56">
          <cell r="B56" t="str">
            <v>086960 KS</v>
          </cell>
          <cell r="C56">
            <v>41402</v>
          </cell>
          <cell r="D56" t="str">
            <v>E</v>
          </cell>
        </row>
        <row r="57">
          <cell r="B57" t="str">
            <v>037630 KS</v>
          </cell>
          <cell r="C57">
            <v>41402</v>
          </cell>
          <cell r="D57" t="str">
            <v>E</v>
          </cell>
        </row>
        <row r="58">
          <cell r="B58" t="str">
            <v>044380 KS</v>
          </cell>
          <cell r="C58">
            <v>41402</v>
          </cell>
          <cell r="D58" t="str">
            <v>E</v>
          </cell>
        </row>
        <row r="59">
          <cell r="B59" t="str">
            <v>000640 KS</v>
          </cell>
          <cell r="C59">
            <v>41402</v>
          </cell>
          <cell r="D59" t="str">
            <v>E</v>
          </cell>
        </row>
        <row r="60">
          <cell r="B60" t="str">
            <v>004380 KS</v>
          </cell>
          <cell r="C60">
            <v>41402</v>
          </cell>
          <cell r="D60" t="str">
            <v>E</v>
          </cell>
        </row>
        <row r="61">
          <cell r="B61" t="str">
            <v>100220 KS</v>
          </cell>
          <cell r="C61">
            <v>41402</v>
          </cell>
          <cell r="D61" t="str">
            <v>E</v>
          </cell>
        </row>
        <row r="62">
          <cell r="B62" t="str">
            <v>047560 KS</v>
          </cell>
          <cell r="C62">
            <v>41402</v>
          </cell>
          <cell r="D62" t="str">
            <v>E</v>
          </cell>
        </row>
        <row r="63">
          <cell r="B63" t="str">
            <v>082660 KS</v>
          </cell>
          <cell r="C63">
            <v>41402</v>
          </cell>
          <cell r="D63" t="str">
            <v>E</v>
          </cell>
        </row>
        <row r="64">
          <cell r="B64" t="str">
            <v>010050 KS</v>
          </cell>
          <cell r="C64">
            <v>41402</v>
          </cell>
          <cell r="D64" t="str">
            <v>E</v>
          </cell>
        </row>
        <row r="65">
          <cell r="B65" t="str">
            <v>095610 KS</v>
          </cell>
          <cell r="C65">
            <v>41402</v>
          </cell>
          <cell r="D65" t="str">
            <v>E</v>
          </cell>
        </row>
        <row r="66">
          <cell r="B66" t="str">
            <v>052260 KS</v>
          </cell>
          <cell r="C66">
            <v>41402</v>
          </cell>
          <cell r="D66" t="str">
            <v>E</v>
          </cell>
        </row>
        <row r="67">
          <cell r="B67" t="str">
            <v>033630 KS</v>
          </cell>
          <cell r="C67">
            <v>41402</v>
          </cell>
          <cell r="D67" t="str">
            <v>E</v>
          </cell>
        </row>
        <row r="68">
          <cell r="B68" t="str">
            <v>115390 KS</v>
          </cell>
          <cell r="C68">
            <v>41402</v>
          </cell>
          <cell r="D68" t="str">
            <v>E</v>
          </cell>
        </row>
        <row r="69">
          <cell r="B69" t="str">
            <v>026040 KS</v>
          </cell>
          <cell r="C69">
            <v>41402</v>
          </cell>
          <cell r="D69" t="str">
            <v>E</v>
          </cell>
        </row>
        <row r="70">
          <cell r="B70" t="str">
            <v>082210 KS</v>
          </cell>
          <cell r="C70">
            <v>41402</v>
          </cell>
          <cell r="D70" t="str">
            <v>E</v>
          </cell>
        </row>
        <row r="71">
          <cell r="B71" t="str">
            <v>037350 KS</v>
          </cell>
          <cell r="C71">
            <v>41402</v>
          </cell>
          <cell r="D71" t="str">
            <v>E</v>
          </cell>
        </row>
        <row r="72">
          <cell r="B72" t="str">
            <v>032500 KS</v>
          </cell>
          <cell r="C72">
            <v>41402</v>
          </cell>
          <cell r="D72" t="str">
            <v>E</v>
          </cell>
        </row>
        <row r="73">
          <cell r="B73" t="str">
            <v>039440 KS</v>
          </cell>
          <cell r="C73">
            <v>41402</v>
          </cell>
          <cell r="D73" t="str">
            <v>E</v>
          </cell>
        </row>
        <row r="74">
          <cell r="B74" t="str">
            <v>086390 KS</v>
          </cell>
          <cell r="C74">
            <v>41402</v>
          </cell>
          <cell r="D74" t="str">
            <v>E</v>
          </cell>
        </row>
        <row r="75">
          <cell r="B75" t="str">
            <v>060250 KS</v>
          </cell>
          <cell r="C75">
            <v>41402</v>
          </cell>
          <cell r="D75" t="str">
            <v>E</v>
          </cell>
        </row>
        <row r="76">
          <cell r="B76" t="str">
            <v>004430 KS</v>
          </cell>
          <cell r="C76">
            <v>41402</v>
          </cell>
          <cell r="D76" t="str">
            <v>E</v>
          </cell>
        </row>
        <row r="77">
          <cell r="B77" t="str">
            <v>014620 KS</v>
          </cell>
          <cell r="C77">
            <v>41402</v>
          </cell>
          <cell r="D77" t="str">
            <v>E</v>
          </cell>
        </row>
        <row r="78">
          <cell r="B78" t="str">
            <v>010660 KS</v>
          </cell>
          <cell r="C78">
            <v>41402</v>
          </cell>
          <cell r="D78" t="str">
            <v>E</v>
          </cell>
        </row>
        <row r="79">
          <cell r="B79" t="str">
            <v>044490 KS</v>
          </cell>
          <cell r="C79">
            <v>41402</v>
          </cell>
          <cell r="D79" t="str">
            <v>E</v>
          </cell>
        </row>
        <row r="80">
          <cell r="B80" t="str">
            <v>013030 KS</v>
          </cell>
          <cell r="C80">
            <v>41402</v>
          </cell>
          <cell r="D80" t="str">
            <v>E</v>
          </cell>
        </row>
        <row r="81">
          <cell r="B81" t="str">
            <v>038070 KS</v>
          </cell>
          <cell r="C81">
            <v>41402</v>
          </cell>
          <cell r="D81" t="str">
            <v>E</v>
          </cell>
        </row>
        <row r="82">
          <cell r="B82" t="str">
            <v>000220 KS</v>
          </cell>
          <cell r="C82">
            <v>41402</v>
          </cell>
          <cell r="D82" t="str">
            <v>E</v>
          </cell>
        </row>
        <row r="83">
          <cell r="B83" t="str">
            <v>004690 KS</v>
          </cell>
          <cell r="C83">
            <v>41402</v>
          </cell>
          <cell r="D83" t="str">
            <v>E</v>
          </cell>
        </row>
        <row r="84">
          <cell r="B84" t="str">
            <v>096640 KS</v>
          </cell>
          <cell r="C84">
            <v>41402</v>
          </cell>
          <cell r="D84" t="str">
            <v>E</v>
          </cell>
        </row>
        <row r="85">
          <cell r="B85" t="str">
            <v>008000 KS</v>
          </cell>
          <cell r="C85">
            <v>41402</v>
          </cell>
          <cell r="D85" t="str">
            <v>E</v>
          </cell>
        </row>
        <row r="86">
          <cell r="B86" t="str">
            <v>027390 KS</v>
          </cell>
          <cell r="C86">
            <v>41402</v>
          </cell>
          <cell r="D86" t="str">
            <v>E</v>
          </cell>
        </row>
        <row r="87">
          <cell r="B87" t="str">
            <v>083470 KS</v>
          </cell>
          <cell r="C87">
            <v>41402</v>
          </cell>
          <cell r="D87" t="str">
            <v>E</v>
          </cell>
        </row>
        <row r="88">
          <cell r="B88" t="str">
            <v>092440 KS</v>
          </cell>
          <cell r="C88">
            <v>41402</v>
          </cell>
          <cell r="D88" t="str">
            <v>E</v>
          </cell>
        </row>
        <row r="89">
          <cell r="B89" t="str">
            <v>096530 KS</v>
          </cell>
          <cell r="C89">
            <v>41402</v>
          </cell>
          <cell r="D89" t="str">
            <v>E</v>
          </cell>
        </row>
        <row r="90">
          <cell r="B90" t="str">
            <v>138040 KS</v>
          </cell>
          <cell r="C90">
            <v>41402</v>
          </cell>
          <cell r="D90" t="str">
            <v>E</v>
          </cell>
        </row>
        <row r="91">
          <cell r="B91" t="str">
            <v>090430 KS</v>
          </cell>
          <cell r="C91">
            <v>41402</v>
          </cell>
          <cell r="D91" t="str">
            <v>C</v>
          </cell>
        </row>
        <row r="92">
          <cell r="B92" t="str">
            <v>011070 KS</v>
          </cell>
          <cell r="C92">
            <v>41402</v>
          </cell>
          <cell r="D92" t="str">
            <v>E</v>
          </cell>
        </row>
        <row r="93">
          <cell r="B93" t="str">
            <v>138690 KS</v>
          </cell>
          <cell r="C93">
            <v>41402</v>
          </cell>
          <cell r="D93" t="str">
            <v>E</v>
          </cell>
        </row>
        <row r="94">
          <cell r="B94" t="str">
            <v>002410 KS</v>
          </cell>
          <cell r="C94">
            <v>41402</v>
          </cell>
          <cell r="D94" t="str">
            <v>E</v>
          </cell>
        </row>
        <row r="95">
          <cell r="B95" t="str">
            <v>073640 KS</v>
          </cell>
          <cell r="C95">
            <v>41402</v>
          </cell>
          <cell r="D95" t="str">
            <v>E</v>
          </cell>
        </row>
        <row r="96">
          <cell r="B96" t="str">
            <v>086390 KS</v>
          </cell>
          <cell r="C96">
            <v>41402</v>
          </cell>
          <cell r="D96" t="str">
            <v>E</v>
          </cell>
        </row>
        <row r="97">
          <cell r="B97" t="str">
            <v>115390 KS</v>
          </cell>
          <cell r="C97">
            <v>41402</v>
          </cell>
          <cell r="D97" t="str">
            <v>E</v>
          </cell>
        </row>
        <row r="98">
          <cell r="B98" t="str">
            <v>170900 KS</v>
          </cell>
          <cell r="C98">
            <v>41402</v>
          </cell>
          <cell r="D98" t="str">
            <v>E</v>
          </cell>
        </row>
        <row r="99">
          <cell r="B99" t="str">
            <v>016420 KS</v>
          </cell>
          <cell r="C99">
            <v>41403</v>
          </cell>
          <cell r="D99" t="str">
            <v>E</v>
          </cell>
        </row>
        <row r="100">
          <cell r="B100" t="str">
            <v>002880 KS</v>
          </cell>
          <cell r="C100">
            <v>41403</v>
          </cell>
          <cell r="D100" t="str">
            <v>E</v>
          </cell>
        </row>
        <row r="101">
          <cell r="B101" t="str">
            <v>014190 KS</v>
          </cell>
          <cell r="C101">
            <v>41403</v>
          </cell>
          <cell r="D101" t="str">
            <v>E</v>
          </cell>
        </row>
        <row r="102">
          <cell r="B102" t="str">
            <v>143160 KS</v>
          </cell>
          <cell r="C102">
            <v>41403</v>
          </cell>
          <cell r="D102" t="str">
            <v>E</v>
          </cell>
        </row>
        <row r="103">
          <cell r="B103" t="str">
            <v>050120 KS</v>
          </cell>
          <cell r="C103">
            <v>41403</v>
          </cell>
          <cell r="D103" t="str">
            <v>E</v>
          </cell>
        </row>
        <row r="104">
          <cell r="B104" t="str">
            <v>069260 KS</v>
          </cell>
          <cell r="C104">
            <v>41403</v>
          </cell>
          <cell r="D104" t="str">
            <v>E</v>
          </cell>
        </row>
        <row r="105">
          <cell r="B105" t="str">
            <v>051500 KS</v>
          </cell>
          <cell r="C105">
            <v>41403</v>
          </cell>
          <cell r="D105" t="str">
            <v>E</v>
          </cell>
        </row>
        <row r="106">
          <cell r="B106" t="str">
            <v>089850 KS</v>
          </cell>
          <cell r="C106">
            <v>41403</v>
          </cell>
          <cell r="D106" t="str">
            <v>E</v>
          </cell>
        </row>
        <row r="107">
          <cell r="B107" t="str">
            <v>024880 KS</v>
          </cell>
          <cell r="C107">
            <v>41403</v>
          </cell>
          <cell r="D107" t="str">
            <v>E</v>
          </cell>
        </row>
        <row r="108">
          <cell r="B108" t="str">
            <v>007820 KS</v>
          </cell>
          <cell r="C108">
            <v>41403</v>
          </cell>
          <cell r="D108" t="str">
            <v>E</v>
          </cell>
        </row>
        <row r="109">
          <cell r="B109" t="str">
            <v>060570 KS</v>
          </cell>
          <cell r="C109">
            <v>41403</v>
          </cell>
          <cell r="D109" t="str">
            <v>E</v>
          </cell>
        </row>
        <row r="110">
          <cell r="B110" t="str">
            <v>016600 KS</v>
          </cell>
          <cell r="C110">
            <v>41403</v>
          </cell>
          <cell r="D110" t="str">
            <v>E</v>
          </cell>
        </row>
        <row r="111">
          <cell r="B111" t="str">
            <v>089470 KS</v>
          </cell>
          <cell r="C111">
            <v>41403</v>
          </cell>
          <cell r="D111" t="str">
            <v>E</v>
          </cell>
        </row>
        <row r="112">
          <cell r="B112" t="str">
            <v>111610 KS</v>
          </cell>
          <cell r="C112">
            <v>41403</v>
          </cell>
          <cell r="D112" t="str">
            <v>E</v>
          </cell>
        </row>
        <row r="113">
          <cell r="B113" t="str">
            <v>039560 KS</v>
          </cell>
          <cell r="C113">
            <v>41403</v>
          </cell>
          <cell r="D113" t="str">
            <v>E</v>
          </cell>
        </row>
        <row r="114">
          <cell r="B114" t="str">
            <v>122450 KS</v>
          </cell>
          <cell r="C114">
            <v>41403</v>
          </cell>
          <cell r="D114" t="str">
            <v>E</v>
          </cell>
        </row>
        <row r="115">
          <cell r="B115" t="str">
            <v>065270 KS</v>
          </cell>
          <cell r="C115">
            <v>41403</v>
          </cell>
          <cell r="D115" t="str">
            <v>E</v>
          </cell>
        </row>
        <row r="116">
          <cell r="B116" t="str">
            <v>066970 KS</v>
          </cell>
          <cell r="C116">
            <v>41403</v>
          </cell>
          <cell r="D116" t="str">
            <v>E</v>
          </cell>
        </row>
        <row r="117">
          <cell r="B117" t="str">
            <v>086670 KS</v>
          </cell>
          <cell r="C117">
            <v>41403</v>
          </cell>
          <cell r="D117" t="str">
            <v>E</v>
          </cell>
        </row>
        <row r="118">
          <cell r="B118" t="str">
            <v>074600 KS</v>
          </cell>
          <cell r="C118">
            <v>41403</v>
          </cell>
          <cell r="D118" t="str">
            <v>E</v>
          </cell>
        </row>
        <row r="119">
          <cell r="B119" t="str">
            <v>040670 KS</v>
          </cell>
          <cell r="C119">
            <v>41403</v>
          </cell>
          <cell r="D119" t="str">
            <v>E</v>
          </cell>
        </row>
        <row r="120">
          <cell r="B120" t="str">
            <v>139130 KS</v>
          </cell>
          <cell r="C120">
            <v>41403</v>
          </cell>
          <cell r="D120" t="str">
            <v>E</v>
          </cell>
        </row>
        <row r="121">
          <cell r="B121" t="str">
            <v>010520 KS</v>
          </cell>
          <cell r="C121">
            <v>41403</v>
          </cell>
          <cell r="D121" t="str">
            <v>E</v>
          </cell>
        </row>
        <row r="122">
          <cell r="B122" t="str">
            <v>003690 KS</v>
          </cell>
          <cell r="C122">
            <v>41403</v>
          </cell>
          <cell r="D122" t="str">
            <v>E</v>
          </cell>
        </row>
        <row r="123">
          <cell r="B123" t="str">
            <v>078160 KS</v>
          </cell>
          <cell r="C123">
            <v>41403</v>
          </cell>
          <cell r="D123" t="str">
            <v>E</v>
          </cell>
        </row>
        <row r="124">
          <cell r="B124" t="str">
            <v>010520 KS</v>
          </cell>
          <cell r="C124">
            <v>41403</v>
          </cell>
          <cell r="D124" t="str">
            <v>E</v>
          </cell>
        </row>
        <row r="125">
          <cell r="B125" t="str">
            <v>006360 KS</v>
          </cell>
          <cell r="C125">
            <v>41403</v>
          </cell>
          <cell r="D125" t="str">
            <v>E</v>
          </cell>
        </row>
        <row r="126">
          <cell r="B126" t="str">
            <v>079430 KS</v>
          </cell>
          <cell r="C126">
            <v>41403</v>
          </cell>
          <cell r="D126" t="str">
            <v>E</v>
          </cell>
        </row>
        <row r="127">
          <cell r="B127" t="str">
            <v>047820 KS</v>
          </cell>
          <cell r="C127">
            <v>41403</v>
          </cell>
          <cell r="D127" t="str">
            <v>E</v>
          </cell>
        </row>
        <row r="128">
          <cell r="B128" t="str">
            <v>091590 KS</v>
          </cell>
          <cell r="C128">
            <v>41403</v>
          </cell>
          <cell r="D128" t="str">
            <v>E</v>
          </cell>
        </row>
        <row r="129">
          <cell r="B129" t="str">
            <v>101730 KS</v>
          </cell>
          <cell r="C129">
            <v>41403</v>
          </cell>
          <cell r="D129" t="str">
            <v>E</v>
          </cell>
        </row>
        <row r="130">
          <cell r="B130" t="str">
            <v>091580 KS</v>
          </cell>
          <cell r="C130">
            <v>41403</v>
          </cell>
          <cell r="D130" t="str">
            <v>E</v>
          </cell>
        </row>
        <row r="131">
          <cell r="B131" t="str">
            <v>112040 KS</v>
          </cell>
          <cell r="C131">
            <v>41403</v>
          </cell>
          <cell r="D131" t="str">
            <v>E</v>
          </cell>
        </row>
        <row r="132">
          <cell r="B132" t="str">
            <v>050760 KS</v>
          </cell>
          <cell r="C132">
            <v>41403</v>
          </cell>
          <cell r="D132" t="str">
            <v>E</v>
          </cell>
        </row>
        <row r="133">
          <cell r="B133" t="str">
            <v>094480 KS</v>
          </cell>
          <cell r="C133">
            <v>41403</v>
          </cell>
          <cell r="D133" t="str">
            <v>E</v>
          </cell>
        </row>
        <row r="134">
          <cell r="B134" t="str">
            <v>083310 KS</v>
          </cell>
          <cell r="C134">
            <v>41403</v>
          </cell>
          <cell r="D134" t="str">
            <v>E</v>
          </cell>
        </row>
        <row r="135">
          <cell r="B135" t="str">
            <v>012690 KS</v>
          </cell>
          <cell r="C135">
            <v>41403</v>
          </cell>
          <cell r="D135" t="str">
            <v>E</v>
          </cell>
        </row>
        <row r="136">
          <cell r="B136" t="str">
            <v>096610 KS</v>
          </cell>
          <cell r="C136">
            <v>41403</v>
          </cell>
          <cell r="D136" t="str">
            <v>E</v>
          </cell>
        </row>
        <row r="137">
          <cell r="B137" t="str">
            <v>058530 KS</v>
          </cell>
          <cell r="C137">
            <v>41403</v>
          </cell>
          <cell r="D137" t="str">
            <v>E</v>
          </cell>
        </row>
        <row r="138">
          <cell r="B138" t="str">
            <v>035600 KS</v>
          </cell>
          <cell r="C138">
            <v>41403</v>
          </cell>
          <cell r="D138" t="str">
            <v>E</v>
          </cell>
        </row>
        <row r="139">
          <cell r="B139" t="str">
            <v>072870 KS</v>
          </cell>
          <cell r="C139">
            <v>41403</v>
          </cell>
          <cell r="D139" t="str">
            <v>E</v>
          </cell>
        </row>
        <row r="140">
          <cell r="B140" t="str">
            <v>007460 KS</v>
          </cell>
          <cell r="C140">
            <v>41403</v>
          </cell>
          <cell r="D140" t="str">
            <v>E</v>
          </cell>
        </row>
        <row r="141">
          <cell r="B141" t="str">
            <v>005390 KS</v>
          </cell>
          <cell r="C141">
            <v>41403</v>
          </cell>
          <cell r="D141" t="str">
            <v>E</v>
          </cell>
        </row>
        <row r="142">
          <cell r="B142" t="str">
            <v>071670 KS</v>
          </cell>
          <cell r="C142">
            <v>41403</v>
          </cell>
          <cell r="D142" t="str">
            <v>E</v>
          </cell>
        </row>
        <row r="143">
          <cell r="B143" t="str">
            <v>069110 KS</v>
          </cell>
          <cell r="C143">
            <v>41403</v>
          </cell>
          <cell r="D143" t="str">
            <v>E</v>
          </cell>
        </row>
        <row r="144">
          <cell r="B144" t="str">
            <v>041020 KS</v>
          </cell>
          <cell r="C144">
            <v>41403</v>
          </cell>
          <cell r="D144" t="str">
            <v>E</v>
          </cell>
        </row>
        <row r="145">
          <cell r="B145" t="str">
            <v>093640 KS</v>
          </cell>
          <cell r="C145">
            <v>41403</v>
          </cell>
          <cell r="D145" t="str">
            <v>E</v>
          </cell>
        </row>
        <row r="146">
          <cell r="B146" t="str">
            <v>038060 KS</v>
          </cell>
          <cell r="C146">
            <v>41403</v>
          </cell>
          <cell r="D146" t="str">
            <v>E</v>
          </cell>
        </row>
        <row r="147">
          <cell r="B147" t="str">
            <v>005180 KS</v>
          </cell>
          <cell r="C147">
            <v>41403</v>
          </cell>
          <cell r="D147" t="str">
            <v>E</v>
          </cell>
        </row>
        <row r="148">
          <cell r="B148" t="str">
            <v>002790 KS</v>
          </cell>
          <cell r="C148">
            <v>41403</v>
          </cell>
          <cell r="D148" t="str">
            <v>E</v>
          </cell>
        </row>
        <row r="149">
          <cell r="B149" t="str">
            <v>130960 KS</v>
          </cell>
          <cell r="C149">
            <v>41403</v>
          </cell>
          <cell r="D149" t="str">
            <v>E</v>
          </cell>
        </row>
        <row r="150">
          <cell r="B150" t="str">
            <v>067920 KS</v>
          </cell>
          <cell r="C150">
            <v>41403</v>
          </cell>
          <cell r="D150" t="str">
            <v>E</v>
          </cell>
        </row>
        <row r="151">
          <cell r="B151" t="str">
            <v>003800 KS</v>
          </cell>
          <cell r="C151">
            <v>41403</v>
          </cell>
          <cell r="D151" t="str">
            <v>E</v>
          </cell>
        </row>
        <row r="152">
          <cell r="B152" t="str">
            <v>080000 KS</v>
          </cell>
          <cell r="C152">
            <v>41403</v>
          </cell>
          <cell r="D152" t="str">
            <v>E</v>
          </cell>
        </row>
        <row r="153">
          <cell r="B153" t="str">
            <v>082640 KS</v>
          </cell>
          <cell r="C153">
            <v>41403</v>
          </cell>
          <cell r="D153" t="str">
            <v>E</v>
          </cell>
        </row>
        <row r="154">
          <cell r="B154" t="str">
            <v>082640 KS</v>
          </cell>
          <cell r="C154">
            <v>41403</v>
          </cell>
          <cell r="D154" t="str">
            <v>E</v>
          </cell>
        </row>
        <row r="155">
          <cell r="B155" t="str">
            <v>007280 KS</v>
          </cell>
          <cell r="C155">
            <v>41403</v>
          </cell>
          <cell r="D155" t="str">
            <v>E</v>
          </cell>
        </row>
        <row r="156">
          <cell r="B156" t="str">
            <v>049070 KS</v>
          </cell>
          <cell r="C156">
            <v>41403</v>
          </cell>
          <cell r="D156" t="str">
            <v>E</v>
          </cell>
        </row>
        <row r="157">
          <cell r="B157" t="str">
            <v>054950 KS</v>
          </cell>
          <cell r="C157">
            <v>41403</v>
          </cell>
          <cell r="D157" t="str">
            <v>E</v>
          </cell>
        </row>
        <row r="158">
          <cell r="B158" t="str">
            <v>067160 KS</v>
          </cell>
          <cell r="C158">
            <v>41403</v>
          </cell>
          <cell r="D158" t="str">
            <v>E</v>
          </cell>
        </row>
        <row r="159">
          <cell r="B159" t="str">
            <v>039490 KS</v>
          </cell>
          <cell r="C159">
            <v>41403</v>
          </cell>
          <cell r="D159" t="str">
            <v>E</v>
          </cell>
        </row>
        <row r="160">
          <cell r="B160" t="str">
            <v>041520 KS</v>
          </cell>
          <cell r="C160">
            <v>41403</v>
          </cell>
          <cell r="D160" t="str">
            <v>E</v>
          </cell>
        </row>
        <row r="161">
          <cell r="B161" t="str">
            <v>035420 KS</v>
          </cell>
          <cell r="C161">
            <v>41403</v>
          </cell>
          <cell r="D161" t="str">
            <v>C</v>
          </cell>
        </row>
        <row r="162">
          <cell r="B162" t="str">
            <v>047310 KS</v>
          </cell>
          <cell r="C162">
            <v>41403</v>
          </cell>
          <cell r="D162" t="str">
            <v>E</v>
          </cell>
        </row>
        <row r="163">
          <cell r="B163" t="str">
            <v>041520 KS</v>
          </cell>
          <cell r="C163">
            <v>41403</v>
          </cell>
          <cell r="D163" t="str">
            <v>E</v>
          </cell>
        </row>
        <row r="164">
          <cell r="B164" t="str">
            <v>023530 KS</v>
          </cell>
          <cell r="C164">
            <v>41403</v>
          </cell>
          <cell r="D164" t="str">
            <v>C</v>
          </cell>
        </row>
        <row r="165">
          <cell r="B165" t="str">
            <v>112040 KS</v>
          </cell>
          <cell r="C165">
            <v>41403</v>
          </cell>
          <cell r="D165" t="str">
            <v>E</v>
          </cell>
        </row>
        <row r="166">
          <cell r="B166" t="str">
            <v>130960 KS</v>
          </cell>
          <cell r="C166">
            <v>41403</v>
          </cell>
          <cell r="D166" t="str">
            <v>E</v>
          </cell>
        </row>
        <row r="167">
          <cell r="B167" t="str">
            <v>139130 KS</v>
          </cell>
          <cell r="C167">
            <v>41403</v>
          </cell>
          <cell r="D167" t="str">
            <v>E</v>
          </cell>
        </row>
        <row r="168">
          <cell r="B168" t="str">
            <v>014190 KS</v>
          </cell>
          <cell r="C168">
            <v>41403</v>
          </cell>
          <cell r="D168" t="str">
            <v>E</v>
          </cell>
        </row>
        <row r="169">
          <cell r="B169" t="str">
            <v>011780 KS</v>
          </cell>
          <cell r="C169">
            <v>41404</v>
          </cell>
          <cell r="D169" t="str">
            <v>E</v>
          </cell>
        </row>
        <row r="170">
          <cell r="B170" t="str">
            <v>115480 KS</v>
          </cell>
          <cell r="C170">
            <v>41404</v>
          </cell>
          <cell r="D170" t="str">
            <v>E</v>
          </cell>
        </row>
        <row r="171">
          <cell r="B171" t="str">
            <v>030610 KS</v>
          </cell>
          <cell r="C171">
            <v>41404</v>
          </cell>
          <cell r="D171" t="str">
            <v>E</v>
          </cell>
        </row>
        <row r="172">
          <cell r="B172" t="str">
            <v>071840 KS</v>
          </cell>
          <cell r="C172">
            <v>41404</v>
          </cell>
          <cell r="D172" t="str">
            <v>E</v>
          </cell>
        </row>
        <row r="173">
          <cell r="B173" t="str">
            <v>030530 KS</v>
          </cell>
          <cell r="C173">
            <v>41404</v>
          </cell>
          <cell r="D173" t="str">
            <v>E</v>
          </cell>
        </row>
        <row r="174">
          <cell r="B174" t="str">
            <v>094840 KS</v>
          </cell>
          <cell r="C174">
            <v>41404</v>
          </cell>
          <cell r="D174" t="str">
            <v>E</v>
          </cell>
        </row>
        <row r="175">
          <cell r="B175" t="str">
            <v>015590 KS</v>
          </cell>
          <cell r="C175">
            <v>41404</v>
          </cell>
          <cell r="D175" t="str">
            <v>E</v>
          </cell>
        </row>
        <row r="176">
          <cell r="B176" t="str">
            <v>083650 KS</v>
          </cell>
          <cell r="C176">
            <v>41404</v>
          </cell>
          <cell r="D176" t="str">
            <v>E</v>
          </cell>
        </row>
        <row r="177">
          <cell r="B177" t="str">
            <v>034120 KS</v>
          </cell>
          <cell r="C177">
            <v>41404</v>
          </cell>
          <cell r="D177" t="str">
            <v>E</v>
          </cell>
        </row>
        <row r="178">
          <cell r="B178" t="str">
            <v>037440 KS</v>
          </cell>
          <cell r="C178">
            <v>41404</v>
          </cell>
          <cell r="D178" t="str">
            <v>E</v>
          </cell>
        </row>
        <row r="179">
          <cell r="B179" t="str">
            <v>114120 KS</v>
          </cell>
          <cell r="C179">
            <v>41404</v>
          </cell>
          <cell r="D179" t="str">
            <v>E</v>
          </cell>
        </row>
        <row r="180">
          <cell r="B180" t="str">
            <v>000120 KS</v>
          </cell>
          <cell r="C180">
            <v>41404</v>
          </cell>
          <cell r="D180" t="str">
            <v>E</v>
          </cell>
        </row>
        <row r="181">
          <cell r="B181" t="str">
            <v>078520 KS</v>
          </cell>
          <cell r="C181">
            <v>41404</v>
          </cell>
          <cell r="D181" t="str">
            <v>E</v>
          </cell>
        </row>
        <row r="182">
          <cell r="B182" t="str">
            <v>033270 KS</v>
          </cell>
          <cell r="C182">
            <v>41404</v>
          </cell>
          <cell r="D182" t="str">
            <v>E</v>
          </cell>
        </row>
        <row r="183">
          <cell r="B183" t="str">
            <v>015260 KS</v>
          </cell>
          <cell r="C183">
            <v>41404</v>
          </cell>
          <cell r="D183" t="str">
            <v>E</v>
          </cell>
        </row>
        <row r="184">
          <cell r="B184" t="str">
            <v>012510 KS</v>
          </cell>
          <cell r="C184">
            <v>41404</v>
          </cell>
          <cell r="D184" t="str">
            <v>E</v>
          </cell>
        </row>
        <row r="185">
          <cell r="B185" t="str">
            <v>002460 KS</v>
          </cell>
          <cell r="C185">
            <v>41404</v>
          </cell>
          <cell r="D185" t="str">
            <v>E</v>
          </cell>
        </row>
        <row r="186">
          <cell r="B186" t="str">
            <v>079160 KS</v>
          </cell>
          <cell r="C186">
            <v>41404</v>
          </cell>
          <cell r="D186" t="str">
            <v>E</v>
          </cell>
        </row>
        <row r="187">
          <cell r="B187" t="str">
            <v>052460 KS</v>
          </cell>
          <cell r="C187">
            <v>41404</v>
          </cell>
          <cell r="D187" t="str">
            <v>E</v>
          </cell>
        </row>
        <row r="188">
          <cell r="B188" t="str">
            <v>068270 KS</v>
          </cell>
          <cell r="C188">
            <v>41404</v>
          </cell>
          <cell r="D188" t="str">
            <v>E</v>
          </cell>
        </row>
        <row r="189">
          <cell r="B189" t="str">
            <v>066910 KS</v>
          </cell>
          <cell r="C189">
            <v>41404</v>
          </cell>
          <cell r="D189" t="str">
            <v>E</v>
          </cell>
        </row>
        <row r="190">
          <cell r="B190" t="str">
            <v>088350 KS</v>
          </cell>
          <cell r="C190">
            <v>41404</v>
          </cell>
          <cell r="D190" t="str">
            <v>E</v>
          </cell>
        </row>
        <row r="191">
          <cell r="B191" t="str">
            <v>134790 KS</v>
          </cell>
          <cell r="C191">
            <v>41404</v>
          </cell>
          <cell r="D191" t="str">
            <v>E</v>
          </cell>
        </row>
        <row r="192">
          <cell r="B192" t="str">
            <v>078940 KS</v>
          </cell>
          <cell r="C192">
            <v>41404</v>
          </cell>
          <cell r="D192" t="str">
            <v>E</v>
          </cell>
        </row>
        <row r="193">
          <cell r="B193" t="str">
            <v>041830 KS</v>
          </cell>
          <cell r="C193">
            <v>41404</v>
          </cell>
          <cell r="D193" t="str">
            <v>E</v>
          </cell>
        </row>
        <row r="194">
          <cell r="B194" t="str">
            <v>095500 KS</v>
          </cell>
          <cell r="C194">
            <v>41404</v>
          </cell>
          <cell r="D194" t="str">
            <v>E</v>
          </cell>
        </row>
        <row r="195">
          <cell r="B195" t="str">
            <v>078340 KS</v>
          </cell>
          <cell r="C195">
            <v>41404</v>
          </cell>
          <cell r="D195" t="str">
            <v>E</v>
          </cell>
        </row>
        <row r="196">
          <cell r="B196" t="str">
            <v>020760 KS</v>
          </cell>
          <cell r="C196">
            <v>41404</v>
          </cell>
          <cell r="D196" t="str">
            <v>E</v>
          </cell>
        </row>
        <row r="197">
          <cell r="B197" t="str">
            <v>034230 KS</v>
          </cell>
          <cell r="C197">
            <v>41404</v>
          </cell>
          <cell r="D197" t="str">
            <v>E</v>
          </cell>
        </row>
        <row r="198">
          <cell r="B198" t="str">
            <v>009450 KS</v>
          </cell>
          <cell r="C198">
            <v>41404</v>
          </cell>
          <cell r="D198" t="str">
            <v>E</v>
          </cell>
        </row>
        <row r="199">
          <cell r="B199" t="str">
            <v>036030 KS</v>
          </cell>
          <cell r="C199">
            <v>41404</v>
          </cell>
          <cell r="D199" t="str">
            <v>E</v>
          </cell>
        </row>
        <row r="200">
          <cell r="B200" t="str">
            <v>089030 KS</v>
          </cell>
          <cell r="C200">
            <v>41404</v>
          </cell>
          <cell r="D200" t="str">
            <v>E</v>
          </cell>
        </row>
        <row r="201">
          <cell r="B201" t="str">
            <v>007570 KS</v>
          </cell>
          <cell r="C201">
            <v>41404</v>
          </cell>
          <cell r="D201" t="str">
            <v>E</v>
          </cell>
        </row>
        <row r="202">
          <cell r="B202" t="str">
            <v>105330 KS</v>
          </cell>
          <cell r="C202">
            <v>41404</v>
          </cell>
          <cell r="D202" t="str">
            <v>E</v>
          </cell>
        </row>
        <row r="203">
          <cell r="B203" t="str">
            <v>058860 KS</v>
          </cell>
          <cell r="C203">
            <v>41404</v>
          </cell>
          <cell r="D203" t="str">
            <v>E</v>
          </cell>
        </row>
        <row r="204">
          <cell r="B204" t="str">
            <v>005690 KS</v>
          </cell>
          <cell r="C204">
            <v>41404</v>
          </cell>
          <cell r="D204" t="str">
            <v>E</v>
          </cell>
        </row>
        <row r="205">
          <cell r="B205" t="str">
            <v>058850 KS</v>
          </cell>
          <cell r="C205">
            <v>41404</v>
          </cell>
          <cell r="D205" t="str">
            <v>E</v>
          </cell>
        </row>
        <row r="206">
          <cell r="B206" t="str">
            <v>005420 KS</v>
          </cell>
          <cell r="C206">
            <v>41404</v>
          </cell>
          <cell r="D206" t="str">
            <v>E</v>
          </cell>
        </row>
        <row r="207">
          <cell r="B207" t="str">
            <v>008700 KS</v>
          </cell>
          <cell r="C207">
            <v>41404</v>
          </cell>
          <cell r="D207" t="str">
            <v>E</v>
          </cell>
        </row>
        <row r="208">
          <cell r="B208" t="str">
            <v>035420 KS</v>
          </cell>
          <cell r="C208">
            <v>41404</v>
          </cell>
          <cell r="D208" t="str">
            <v>E</v>
          </cell>
        </row>
        <row r="209">
          <cell r="B209" t="str">
            <v>044820 KS</v>
          </cell>
          <cell r="C209">
            <v>41404</v>
          </cell>
          <cell r="D209" t="str">
            <v>E</v>
          </cell>
        </row>
        <row r="210">
          <cell r="B210" t="str">
            <v>067010 KS</v>
          </cell>
          <cell r="C210">
            <v>41404</v>
          </cell>
          <cell r="D210" t="str">
            <v>E</v>
          </cell>
        </row>
        <row r="211">
          <cell r="B211" t="str">
            <v>073490 KS</v>
          </cell>
          <cell r="C211">
            <v>41404</v>
          </cell>
          <cell r="D211" t="str">
            <v>E</v>
          </cell>
        </row>
        <row r="212">
          <cell r="B212" t="str">
            <v>090470 KS</v>
          </cell>
          <cell r="C212">
            <v>41404</v>
          </cell>
          <cell r="D212" t="str">
            <v>E</v>
          </cell>
        </row>
        <row r="213">
          <cell r="B213" t="str">
            <v>049960 KS</v>
          </cell>
          <cell r="C213">
            <v>41404</v>
          </cell>
          <cell r="D213" t="str">
            <v>E</v>
          </cell>
        </row>
        <row r="214">
          <cell r="B214" t="str">
            <v>052710 KS</v>
          </cell>
          <cell r="C214">
            <v>41404</v>
          </cell>
          <cell r="D214" t="str">
            <v>E</v>
          </cell>
        </row>
        <row r="215">
          <cell r="B215" t="str">
            <v>043290 KS</v>
          </cell>
          <cell r="C215">
            <v>41404</v>
          </cell>
          <cell r="D215" t="str">
            <v>E</v>
          </cell>
        </row>
        <row r="216">
          <cell r="B216" t="str">
            <v>139670 KS</v>
          </cell>
          <cell r="C216">
            <v>41404</v>
          </cell>
          <cell r="D216" t="str">
            <v>E</v>
          </cell>
        </row>
        <row r="217">
          <cell r="B217" t="str">
            <v>005360 KS</v>
          </cell>
          <cell r="C217">
            <v>41404</v>
          </cell>
          <cell r="D217" t="str">
            <v>E</v>
          </cell>
        </row>
        <row r="218">
          <cell r="B218" t="str">
            <v>046440 KS</v>
          </cell>
          <cell r="C218">
            <v>41404</v>
          </cell>
          <cell r="D218" t="str">
            <v>E</v>
          </cell>
        </row>
        <row r="219">
          <cell r="B219" t="str">
            <v>033130 KS</v>
          </cell>
          <cell r="C219">
            <v>41404</v>
          </cell>
          <cell r="D219" t="str">
            <v>E</v>
          </cell>
        </row>
        <row r="220">
          <cell r="B220" t="str">
            <v>089010 KS</v>
          </cell>
          <cell r="C220">
            <v>41404</v>
          </cell>
          <cell r="D220" t="str">
            <v>E</v>
          </cell>
        </row>
        <row r="221">
          <cell r="B221" t="str">
            <v>084370 KS</v>
          </cell>
          <cell r="C221">
            <v>41404</v>
          </cell>
          <cell r="D221" t="str">
            <v>E</v>
          </cell>
        </row>
        <row r="222">
          <cell r="B222" t="str">
            <v>049550 KS</v>
          </cell>
          <cell r="C222">
            <v>41404</v>
          </cell>
          <cell r="D222" t="str">
            <v>E</v>
          </cell>
        </row>
        <row r="223">
          <cell r="B223" t="str">
            <v>042040 KS</v>
          </cell>
          <cell r="C223">
            <v>41404</v>
          </cell>
          <cell r="D223" t="str">
            <v>E</v>
          </cell>
        </row>
        <row r="224">
          <cell r="B224" t="str">
            <v>090470 KS</v>
          </cell>
          <cell r="C224">
            <v>41404</v>
          </cell>
          <cell r="D224" t="str">
            <v>E</v>
          </cell>
        </row>
        <row r="225">
          <cell r="B225" t="str">
            <v>072770 KS</v>
          </cell>
          <cell r="C225">
            <v>41404</v>
          </cell>
          <cell r="D225" t="str">
            <v>E</v>
          </cell>
        </row>
        <row r="226">
          <cell r="B226" t="str">
            <v>078600 KS</v>
          </cell>
          <cell r="C226">
            <v>41404</v>
          </cell>
          <cell r="D226" t="str">
            <v>E</v>
          </cell>
        </row>
        <row r="227">
          <cell r="B227" t="str">
            <v>089230 KS</v>
          </cell>
          <cell r="C227">
            <v>41404</v>
          </cell>
          <cell r="D227" t="str">
            <v>E</v>
          </cell>
        </row>
        <row r="228">
          <cell r="B228" t="str">
            <v>136490 KS</v>
          </cell>
          <cell r="C228">
            <v>41404</v>
          </cell>
          <cell r="D228" t="str">
            <v>E</v>
          </cell>
        </row>
        <row r="229">
          <cell r="B229" t="str">
            <v>053950 KS</v>
          </cell>
          <cell r="C229">
            <v>41404</v>
          </cell>
          <cell r="D229" t="str">
            <v>E</v>
          </cell>
        </row>
        <row r="230">
          <cell r="B230" t="str">
            <v>092600 KS</v>
          </cell>
          <cell r="C230">
            <v>41404</v>
          </cell>
          <cell r="D230" t="str">
            <v>E</v>
          </cell>
        </row>
        <row r="231">
          <cell r="B231" t="str">
            <v>136510 KS</v>
          </cell>
          <cell r="C231">
            <v>41404</v>
          </cell>
          <cell r="D231" t="str">
            <v>E</v>
          </cell>
        </row>
        <row r="232">
          <cell r="B232" t="str">
            <v>000760 KS</v>
          </cell>
          <cell r="C232">
            <v>41404</v>
          </cell>
          <cell r="D232" t="str">
            <v>E</v>
          </cell>
        </row>
        <row r="233">
          <cell r="B233" t="str">
            <v>103130 KS</v>
          </cell>
          <cell r="C233">
            <v>41404</v>
          </cell>
          <cell r="D233" t="str">
            <v>E</v>
          </cell>
        </row>
        <row r="234">
          <cell r="B234" t="str">
            <v>091090 KS</v>
          </cell>
          <cell r="C234">
            <v>41404</v>
          </cell>
          <cell r="D234" t="str">
            <v>E</v>
          </cell>
        </row>
        <row r="235">
          <cell r="B235" t="str">
            <v>053590 KS</v>
          </cell>
          <cell r="C235">
            <v>41404</v>
          </cell>
          <cell r="D235" t="str">
            <v>E</v>
          </cell>
        </row>
        <row r="236">
          <cell r="B236" t="str">
            <v>035720 KS</v>
          </cell>
          <cell r="C236">
            <v>41404</v>
          </cell>
          <cell r="D236" t="str">
            <v>E</v>
          </cell>
        </row>
        <row r="237">
          <cell r="B237" t="str">
            <v>035720 KS</v>
          </cell>
          <cell r="C237">
            <v>41404</v>
          </cell>
          <cell r="D237" t="str">
            <v>E</v>
          </cell>
        </row>
        <row r="238">
          <cell r="B238" t="str">
            <v>066270 KS</v>
          </cell>
          <cell r="C238">
            <v>41404</v>
          </cell>
          <cell r="D238" t="str">
            <v>E</v>
          </cell>
        </row>
        <row r="239">
          <cell r="B239" t="str">
            <v>014790 KS</v>
          </cell>
          <cell r="C239">
            <v>41404</v>
          </cell>
          <cell r="D239" t="str">
            <v>E</v>
          </cell>
        </row>
        <row r="240">
          <cell r="B240" t="str">
            <v>007530 KS</v>
          </cell>
          <cell r="C240">
            <v>41404</v>
          </cell>
          <cell r="D240" t="str">
            <v>E</v>
          </cell>
        </row>
        <row r="241">
          <cell r="B241" t="str">
            <v>035250 KS</v>
          </cell>
          <cell r="C241">
            <v>41404</v>
          </cell>
          <cell r="D241" t="str">
            <v>C</v>
          </cell>
        </row>
        <row r="242">
          <cell r="B242" t="str">
            <v>011300 KS</v>
          </cell>
          <cell r="C242">
            <v>41404</v>
          </cell>
          <cell r="D242" t="str">
            <v>E</v>
          </cell>
        </row>
        <row r="243">
          <cell r="B243" t="str">
            <v>004320 KS</v>
          </cell>
          <cell r="C243">
            <v>41404</v>
          </cell>
          <cell r="D243" t="str">
            <v>E</v>
          </cell>
        </row>
        <row r="244">
          <cell r="B244" t="str">
            <v>108380 KS</v>
          </cell>
          <cell r="C244">
            <v>41404</v>
          </cell>
          <cell r="D244" t="str">
            <v>E</v>
          </cell>
        </row>
        <row r="245">
          <cell r="B245" t="str">
            <v>000390 KS</v>
          </cell>
          <cell r="C245">
            <v>41404</v>
          </cell>
          <cell r="D245" t="str">
            <v>E</v>
          </cell>
        </row>
        <row r="246">
          <cell r="B246" t="str">
            <v>045060 KS</v>
          </cell>
          <cell r="C246">
            <v>41404</v>
          </cell>
          <cell r="D246" t="str">
            <v>E</v>
          </cell>
        </row>
        <row r="247">
          <cell r="B247" t="str">
            <v>119610 KS</v>
          </cell>
          <cell r="C247">
            <v>41404</v>
          </cell>
          <cell r="D247" t="str">
            <v>E</v>
          </cell>
        </row>
        <row r="248">
          <cell r="B248" t="str">
            <v>036190 KS</v>
          </cell>
          <cell r="C248">
            <v>41404</v>
          </cell>
          <cell r="D248" t="str">
            <v>E</v>
          </cell>
        </row>
        <row r="249">
          <cell r="B249" t="str">
            <v>003650 KS</v>
          </cell>
          <cell r="C249">
            <v>41404</v>
          </cell>
          <cell r="D249" t="str">
            <v>E</v>
          </cell>
        </row>
        <row r="250">
          <cell r="B250" t="str">
            <v>060240 KS</v>
          </cell>
          <cell r="C250">
            <v>41404</v>
          </cell>
          <cell r="D250" t="str">
            <v>E</v>
          </cell>
        </row>
        <row r="251">
          <cell r="B251" t="str">
            <v>094970 KS</v>
          </cell>
          <cell r="C251">
            <v>41404</v>
          </cell>
          <cell r="D251" t="str">
            <v>E</v>
          </cell>
        </row>
        <row r="252">
          <cell r="B252" t="str">
            <v>056190 KS</v>
          </cell>
          <cell r="C252">
            <v>41404</v>
          </cell>
          <cell r="D252" t="str">
            <v>E</v>
          </cell>
        </row>
        <row r="253">
          <cell r="B253" t="str">
            <v>080520 KS</v>
          </cell>
          <cell r="C253">
            <v>41404</v>
          </cell>
          <cell r="D253" t="str">
            <v>E</v>
          </cell>
        </row>
        <row r="254">
          <cell r="B254" t="str">
            <v>054800 KS</v>
          </cell>
          <cell r="C254">
            <v>41404</v>
          </cell>
          <cell r="D254" t="str">
            <v>E</v>
          </cell>
        </row>
        <row r="255">
          <cell r="B255" t="str">
            <v>096870 KS</v>
          </cell>
          <cell r="C255">
            <v>41404</v>
          </cell>
          <cell r="D255" t="str">
            <v>E</v>
          </cell>
        </row>
        <row r="256">
          <cell r="B256" t="str">
            <v>074150 KS</v>
          </cell>
          <cell r="C256">
            <v>41404</v>
          </cell>
          <cell r="D256" t="str">
            <v>E</v>
          </cell>
        </row>
        <row r="257">
          <cell r="B257" t="str">
            <v>041140 KS</v>
          </cell>
          <cell r="C257">
            <v>41404</v>
          </cell>
          <cell r="D257" t="str">
            <v>E</v>
          </cell>
        </row>
        <row r="258">
          <cell r="B258" t="str">
            <v>033830 KS</v>
          </cell>
          <cell r="C258">
            <v>41404</v>
          </cell>
          <cell r="D258" t="str">
            <v>E</v>
          </cell>
        </row>
        <row r="259">
          <cell r="B259" t="str">
            <v>002210 KS</v>
          </cell>
          <cell r="C259">
            <v>41404</v>
          </cell>
          <cell r="D259" t="str">
            <v>E</v>
          </cell>
        </row>
        <row r="260">
          <cell r="B260" t="str">
            <v>053030 KS</v>
          </cell>
          <cell r="C260">
            <v>41404</v>
          </cell>
          <cell r="D260" t="str">
            <v>E</v>
          </cell>
        </row>
        <row r="261">
          <cell r="B261" t="str">
            <v>032580 KS</v>
          </cell>
          <cell r="C261">
            <v>41404</v>
          </cell>
          <cell r="D261" t="str">
            <v>E</v>
          </cell>
        </row>
        <row r="262">
          <cell r="B262" t="str">
            <v>008600 KS</v>
          </cell>
          <cell r="C262">
            <v>41404</v>
          </cell>
          <cell r="D262" t="str">
            <v>E</v>
          </cell>
        </row>
        <row r="263">
          <cell r="B263" t="str">
            <v>078930 KS</v>
          </cell>
          <cell r="C263">
            <v>41404</v>
          </cell>
          <cell r="D263" t="str">
            <v>E</v>
          </cell>
        </row>
        <row r="264">
          <cell r="B264" t="str">
            <v>006140 KS</v>
          </cell>
          <cell r="C264">
            <v>41404</v>
          </cell>
          <cell r="D264" t="str">
            <v>E</v>
          </cell>
        </row>
        <row r="265">
          <cell r="B265" t="str">
            <v>088790 KS</v>
          </cell>
          <cell r="C265">
            <v>41404</v>
          </cell>
          <cell r="D265" t="str">
            <v>E</v>
          </cell>
        </row>
        <row r="266">
          <cell r="B266" t="str">
            <v>105740 KS</v>
          </cell>
          <cell r="C266">
            <v>41404</v>
          </cell>
          <cell r="D266" t="str">
            <v>E</v>
          </cell>
        </row>
        <row r="267">
          <cell r="B267" t="str">
            <v>033050 KS</v>
          </cell>
          <cell r="C267">
            <v>41404</v>
          </cell>
          <cell r="D267" t="str">
            <v>E</v>
          </cell>
        </row>
        <row r="268">
          <cell r="B268" t="str">
            <v>109080 KS</v>
          </cell>
          <cell r="C268">
            <v>41404</v>
          </cell>
          <cell r="D268" t="str">
            <v>E</v>
          </cell>
        </row>
        <row r="269">
          <cell r="B269" t="str">
            <v>039980 KS</v>
          </cell>
          <cell r="C269">
            <v>41404</v>
          </cell>
          <cell r="D269" t="str">
            <v>E</v>
          </cell>
        </row>
        <row r="270">
          <cell r="B270" t="str">
            <v>045340 KS</v>
          </cell>
          <cell r="C270">
            <v>41404</v>
          </cell>
          <cell r="D270" t="str">
            <v>E</v>
          </cell>
        </row>
        <row r="271">
          <cell r="B271" t="str">
            <v>006260 KS</v>
          </cell>
          <cell r="C271">
            <v>41404</v>
          </cell>
          <cell r="D271" t="str">
            <v>E</v>
          </cell>
        </row>
        <row r="272">
          <cell r="B272" t="str">
            <v>008040 KS</v>
          </cell>
          <cell r="C272">
            <v>41404</v>
          </cell>
          <cell r="D272" t="str">
            <v>E</v>
          </cell>
        </row>
        <row r="273">
          <cell r="B273" t="str">
            <v>060720 KS</v>
          </cell>
          <cell r="C273">
            <v>41404</v>
          </cell>
          <cell r="D273" t="str">
            <v>E</v>
          </cell>
        </row>
        <row r="274">
          <cell r="B274" t="str">
            <v>005680 KS</v>
          </cell>
          <cell r="C274">
            <v>41404</v>
          </cell>
          <cell r="D274" t="str">
            <v>E</v>
          </cell>
        </row>
        <row r="275">
          <cell r="B275" t="str">
            <v>003560 KS</v>
          </cell>
          <cell r="C275">
            <v>41404</v>
          </cell>
          <cell r="D275" t="str">
            <v>E</v>
          </cell>
        </row>
        <row r="276">
          <cell r="B276" t="str">
            <v>127120 KS</v>
          </cell>
          <cell r="C276">
            <v>41404</v>
          </cell>
          <cell r="D276" t="str">
            <v>E</v>
          </cell>
        </row>
        <row r="277">
          <cell r="B277" t="str">
            <v>025980 KS</v>
          </cell>
          <cell r="C277">
            <v>41404</v>
          </cell>
          <cell r="D277" t="str">
            <v>E</v>
          </cell>
        </row>
        <row r="278">
          <cell r="B278" t="str">
            <v>036640 KS</v>
          </cell>
          <cell r="C278">
            <v>41404</v>
          </cell>
          <cell r="D278" t="str">
            <v>E</v>
          </cell>
        </row>
        <row r="279">
          <cell r="B279" t="str">
            <v>086040 KS</v>
          </cell>
          <cell r="C279">
            <v>41404</v>
          </cell>
          <cell r="D279" t="str">
            <v>E</v>
          </cell>
        </row>
        <row r="280">
          <cell r="B280" t="str">
            <v>036180 KS</v>
          </cell>
          <cell r="C280">
            <v>41404</v>
          </cell>
          <cell r="D280" t="str">
            <v>E</v>
          </cell>
        </row>
        <row r="281">
          <cell r="B281" t="str">
            <v>078070 KS</v>
          </cell>
          <cell r="C281">
            <v>41404</v>
          </cell>
          <cell r="D281" t="str">
            <v>E</v>
          </cell>
        </row>
        <row r="282">
          <cell r="B282" t="str">
            <v>052770 KS</v>
          </cell>
          <cell r="C282">
            <v>41404</v>
          </cell>
          <cell r="D282" t="str">
            <v>E</v>
          </cell>
        </row>
        <row r="283">
          <cell r="B283" t="str">
            <v>045390 KS</v>
          </cell>
          <cell r="C283">
            <v>41404</v>
          </cell>
          <cell r="D283" t="str">
            <v>E</v>
          </cell>
        </row>
        <row r="284">
          <cell r="B284" t="str">
            <v>064090 KS</v>
          </cell>
          <cell r="C284">
            <v>41404</v>
          </cell>
          <cell r="D284" t="str">
            <v>E</v>
          </cell>
        </row>
        <row r="285">
          <cell r="B285" t="str">
            <v>048910 KS</v>
          </cell>
          <cell r="C285">
            <v>41404</v>
          </cell>
          <cell r="D285" t="str">
            <v>E</v>
          </cell>
        </row>
        <row r="286">
          <cell r="B286" t="str">
            <v>080220 KS</v>
          </cell>
          <cell r="C286">
            <v>41404</v>
          </cell>
          <cell r="D286" t="str">
            <v>E</v>
          </cell>
        </row>
        <row r="287">
          <cell r="B287" t="str">
            <v>012170 KS</v>
          </cell>
          <cell r="C287">
            <v>41404</v>
          </cell>
          <cell r="D287" t="str">
            <v>E</v>
          </cell>
        </row>
        <row r="288">
          <cell r="B288" t="str">
            <v>032350 KS</v>
          </cell>
          <cell r="C288">
            <v>41404</v>
          </cell>
          <cell r="D288" t="str">
            <v>E</v>
          </cell>
        </row>
        <row r="289">
          <cell r="B289" t="str">
            <v>036570 KS</v>
          </cell>
          <cell r="C289">
            <v>41404</v>
          </cell>
          <cell r="D289" t="str">
            <v>C</v>
          </cell>
        </row>
        <row r="290">
          <cell r="B290" t="str">
            <v>120240 KS</v>
          </cell>
          <cell r="C290">
            <v>41404</v>
          </cell>
          <cell r="D290" t="str">
            <v>E</v>
          </cell>
        </row>
        <row r="291">
          <cell r="B291" t="str">
            <v>071840 KS</v>
          </cell>
          <cell r="C291">
            <v>41404</v>
          </cell>
          <cell r="D291" t="str">
            <v>E</v>
          </cell>
        </row>
        <row r="292">
          <cell r="B292" t="str">
            <v>011780 KS</v>
          </cell>
          <cell r="C292">
            <v>41404</v>
          </cell>
          <cell r="D292" t="str">
            <v>E</v>
          </cell>
        </row>
        <row r="293">
          <cell r="B293" t="str">
            <v>020560 KS</v>
          </cell>
          <cell r="C293">
            <v>41404</v>
          </cell>
          <cell r="D293" t="str">
            <v>C</v>
          </cell>
        </row>
        <row r="294">
          <cell r="B294" t="str">
            <v>001740 KS</v>
          </cell>
          <cell r="C294">
            <v>41404</v>
          </cell>
          <cell r="D294" t="str">
            <v>E</v>
          </cell>
        </row>
        <row r="295">
          <cell r="B295" t="str">
            <v>097950 KS</v>
          </cell>
          <cell r="C295">
            <v>41404</v>
          </cell>
          <cell r="D295" t="str">
            <v>E</v>
          </cell>
        </row>
        <row r="296">
          <cell r="B296" t="str">
            <v>145990 KS</v>
          </cell>
          <cell r="C296">
            <v>41404</v>
          </cell>
          <cell r="D296" t="str">
            <v>E</v>
          </cell>
        </row>
        <row r="297">
          <cell r="B297" t="str">
            <v>015590 KS</v>
          </cell>
          <cell r="C297">
            <v>41404</v>
          </cell>
          <cell r="D297" t="str">
            <v>E</v>
          </cell>
        </row>
        <row r="298">
          <cell r="B298" t="str">
            <v>089530 KS</v>
          </cell>
          <cell r="C298">
            <v>41405</v>
          </cell>
          <cell r="D298" t="str">
            <v>E</v>
          </cell>
        </row>
        <row r="299">
          <cell r="B299" t="str">
            <v>123100 KS</v>
          </cell>
          <cell r="C299">
            <v>41407</v>
          </cell>
          <cell r="D299" t="str">
            <v>E</v>
          </cell>
        </row>
        <row r="300">
          <cell r="B300" t="str">
            <v>001060 KS</v>
          </cell>
          <cell r="C300">
            <v>41407</v>
          </cell>
          <cell r="D300" t="str">
            <v>E</v>
          </cell>
        </row>
        <row r="301">
          <cell r="B301" t="str">
            <v>003470 KS</v>
          </cell>
          <cell r="C301">
            <v>41407</v>
          </cell>
          <cell r="D301" t="str">
            <v>E</v>
          </cell>
        </row>
        <row r="302">
          <cell r="B302" t="str">
            <v>003540 KS</v>
          </cell>
          <cell r="C302">
            <v>41407</v>
          </cell>
          <cell r="D302" t="str">
            <v>E</v>
          </cell>
        </row>
        <row r="303">
          <cell r="B303" t="str">
            <v>003530 KS</v>
          </cell>
          <cell r="C303">
            <v>41407</v>
          </cell>
          <cell r="D303" t="str">
            <v>E</v>
          </cell>
        </row>
        <row r="304">
          <cell r="B304" t="str">
            <v>001270 KS</v>
          </cell>
          <cell r="C304">
            <v>41407</v>
          </cell>
          <cell r="D304" t="str">
            <v>E</v>
          </cell>
        </row>
        <row r="305">
          <cell r="B305" t="str">
            <v>001290 KS</v>
          </cell>
          <cell r="C305">
            <v>41407</v>
          </cell>
          <cell r="D305" t="str">
            <v>E</v>
          </cell>
        </row>
        <row r="306">
          <cell r="B306" t="str">
            <v>043150 KS</v>
          </cell>
          <cell r="C306">
            <v>41407</v>
          </cell>
          <cell r="D306" t="str">
            <v>E</v>
          </cell>
        </row>
        <row r="307">
          <cell r="B307" t="str">
            <v>030210 KS</v>
          </cell>
          <cell r="C307">
            <v>41407</v>
          </cell>
          <cell r="D307" t="str">
            <v>E</v>
          </cell>
        </row>
        <row r="308">
          <cell r="B308" t="str">
            <v>038390 KS</v>
          </cell>
          <cell r="C308">
            <v>41407</v>
          </cell>
          <cell r="D308" t="str">
            <v>E</v>
          </cell>
        </row>
        <row r="309">
          <cell r="B309" t="str">
            <v>067000 KS</v>
          </cell>
          <cell r="C309">
            <v>41407</v>
          </cell>
          <cell r="D309" t="str">
            <v>E</v>
          </cell>
        </row>
        <row r="310">
          <cell r="B310" t="str">
            <v>008080 KS</v>
          </cell>
          <cell r="C310">
            <v>41407</v>
          </cell>
          <cell r="D310" t="str">
            <v>E</v>
          </cell>
        </row>
        <row r="311">
          <cell r="B311" t="str">
            <v>012200 KS</v>
          </cell>
          <cell r="C311">
            <v>41407</v>
          </cell>
          <cell r="D311" t="str">
            <v>E</v>
          </cell>
        </row>
        <row r="312">
          <cell r="B312" t="str">
            <v>010460 KS</v>
          </cell>
          <cell r="C312">
            <v>41407</v>
          </cell>
          <cell r="D312" t="str">
            <v>E</v>
          </cell>
        </row>
        <row r="313">
          <cell r="B313" t="str">
            <v>005190 KS</v>
          </cell>
          <cell r="C313">
            <v>41407</v>
          </cell>
          <cell r="D313" t="str">
            <v>E</v>
          </cell>
        </row>
        <row r="314">
          <cell r="B314" t="str">
            <v>094190 KS</v>
          </cell>
          <cell r="C314">
            <v>41407</v>
          </cell>
          <cell r="D314" t="str">
            <v>E</v>
          </cell>
        </row>
        <row r="315">
          <cell r="B315" t="str">
            <v>053800 KS</v>
          </cell>
          <cell r="C315">
            <v>41407</v>
          </cell>
          <cell r="D315" t="str">
            <v>E</v>
          </cell>
        </row>
        <row r="316">
          <cell r="B316" t="str">
            <v>013450 KS</v>
          </cell>
          <cell r="C316">
            <v>41407</v>
          </cell>
          <cell r="D316" t="str">
            <v>E</v>
          </cell>
        </row>
        <row r="317">
          <cell r="B317" t="str">
            <v>129260 KS</v>
          </cell>
          <cell r="C317">
            <v>41407</v>
          </cell>
          <cell r="D317" t="str">
            <v>E</v>
          </cell>
        </row>
        <row r="318">
          <cell r="B318" t="str">
            <v>122990 KS</v>
          </cell>
          <cell r="C318">
            <v>41407</v>
          </cell>
          <cell r="D318" t="str">
            <v>E</v>
          </cell>
        </row>
        <row r="319">
          <cell r="B319" t="str">
            <v>121800 KS</v>
          </cell>
          <cell r="C319">
            <v>41407</v>
          </cell>
          <cell r="D319" t="str">
            <v>E</v>
          </cell>
        </row>
        <row r="320">
          <cell r="B320" t="str">
            <v>060590 KS</v>
          </cell>
          <cell r="C320">
            <v>41407</v>
          </cell>
          <cell r="D320" t="str">
            <v>E</v>
          </cell>
        </row>
        <row r="321">
          <cell r="B321" t="str">
            <v>050540 KS</v>
          </cell>
          <cell r="C321">
            <v>41407</v>
          </cell>
          <cell r="D321" t="str">
            <v>E</v>
          </cell>
        </row>
        <row r="322">
          <cell r="B322" t="str">
            <v>005440 KS</v>
          </cell>
          <cell r="C322">
            <v>41407</v>
          </cell>
          <cell r="D322" t="str">
            <v>E</v>
          </cell>
        </row>
        <row r="323">
          <cell r="B323" t="str">
            <v>012700 KS</v>
          </cell>
          <cell r="C323">
            <v>41407</v>
          </cell>
          <cell r="D323" t="str">
            <v>E</v>
          </cell>
        </row>
        <row r="324">
          <cell r="B324" t="str">
            <v>071050 KS</v>
          </cell>
          <cell r="C324">
            <v>41407</v>
          </cell>
          <cell r="D324" t="str">
            <v>E</v>
          </cell>
        </row>
        <row r="325">
          <cell r="B325" t="str">
            <v>007660 KS</v>
          </cell>
          <cell r="C325">
            <v>41407</v>
          </cell>
          <cell r="D325" t="str">
            <v>E</v>
          </cell>
        </row>
        <row r="326">
          <cell r="B326" t="str">
            <v>010470 KS</v>
          </cell>
          <cell r="C326">
            <v>41407</v>
          </cell>
          <cell r="D326" t="str">
            <v>E</v>
          </cell>
        </row>
        <row r="327">
          <cell r="B327" t="str">
            <v>101160 KS</v>
          </cell>
          <cell r="C327">
            <v>41407</v>
          </cell>
          <cell r="D327" t="str">
            <v>E</v>
          </cell>
        </row>
        <row r="328">
          <cell r="B328" t="str">
            <v>046890 KS</v>
          </cell>
          <cell r="C328">
            <v>41407</v>
          </cell>
          <cell r="D328" t="str">
            <v>E</v>
          </cell>
        </row>
        <row r="329">
          <cell r="B329" t="str">
            <v>131390 KS</v>
          </cell>
          <cell r="C329">
            <v>41407</v>
          </cell>
          <cell r="D329" t="str">
            <v>E</v>
          </cell>
        </row>
        <row r="330">
          <cell r="B330" t="str">
            <v>115160 KS</v>
          </cell>
          <cell r="C330">
            <v>41407</v>
          </cell>
          <cell r="D330" t="str">
            <v>E</v>
          </cell>
        </row>
        <row r="331">
          <cell r="B331" t="str">
            <v>115160 KS</v>
          </cell>
          <cell r="C331">
            <v>41407</v>
          </cell>
          <cell r="D331" t="str">
            <v>E</v>
          </cell>
        </row>
        <row r="332">
          <cell r="B332" t="str">
            <v>065510 KS</v>
          </cell>
          <cell r="C332">
            <v>41407</v>
          </cell>
          <cell r="D332" t="str">
            <v>E</v>
          </cell>
        </row>
        <row r="333">
          <cell r="B333" t="str">
            <v>067280 KS</v>
          </cell>
          <cell r="C333">
            <v>41407</v>
          </cell>
          <cell r="D333" t="str">
            <v>E</v>
          </cell>
        </row>
        <row r="334">
          <cell r="B334" t="str">
            <v>040420 KS</v>
          </cell>
          <cell r="C334">
            <v>41407</v>
          </cell>
          <cell r="D334" t="str">
            <v>E</v>
          </cell>
        </row>
        <row r="335">
          <cell r="B335" t="str">
            <v>036090 KS</v>
          </cell>
          <cell r="C335">
            <v>41407</v>
          </cell>
          <cell r="D335" t="str">
            <v>E</v>
          </cell>
        </row>
        <row r="336">
          <cell r="B336" t="str">
            <v>097780 KS</v>
          </cell>
          <cell r="C336">
            <v>41407</v>
          </cell>
          <cell r="D336" t="str">
            <v>E</v>
          </cell>
        </row>
        <row r="337">
          <cell r="B337" t="str">
            <v>126880 KS</v>
          </cell>
          <cell r="C337">
            <v>41407</v>
          </cell>
          <cell r="D337" t="str">
            <v>E</v>
          </cell>
        </row>
        <row r="338">
          <cell r="B338" t="str">
            <v>122900 KS</v>
          </cell>
          <cell r="C338">
            <v>41407</v>
          </cell>
          <cell r="D338" t="str">
            <v>E</v>
          </cell>
        </row>
        <row r="339">
          <cell r="B339" t="str">
            <v>019210 KS</v>
          </cell>
          <cell r="C339">
            <v>41407</v>
          </cell>
          <cell r="D339" t="str">
            <v>E</v>
          </cell>
        </row>
        <row r="340">
          <cell r="B340" t="str">
            <v>008770 KS</v>
          </cell>
          <cell r="C340">
            <v>41407</v>
          </cell>
          <cell r="D340" t="str">
            <v>E</v>
          </cell>
        </row>
        <row r="341">
          <cell r="B341" t="str">
            <v>012630 KS</v>
          </cell>
          <cell r="C341">
            <v>41407</v>
          </cell>
          <cell r="D341" t="str">
            <v>E</v>
          </cell>
        </row>
        <row r="342">
          <cell r="B342" t="str">
            <v>002550 KS</v>
          </cell>
          <cell r="C342">
            <v>41407</v>
          </cell>
          <cell r="D342" t="str">
            <v>E</v>
          </cell>
        </row>
        <row r="343">
          <cell r="B343" t="str">
            <v>086280 KS</v>
          </cell>
          <cell r="C343">
            <v>41407</v>
          </cell>
          <cell r="D343" t="str">
            <v>E</v>
          </cell>
        </row>
        <row r="344">
          <cell r="B344" t="str">
            <v>000370 KS</v>
          </cell>
          <cell r="C344">
            <v>41407</v>
          </cell>
          <cell r="D344" t="str">
            <v>E</v>
          </cell>
        </row>
        <row r="345">
          <cell r="B345" t="str">
            <v>001200 KS</v>
          </cell>
          <cell r="C345">
            <v>41407</v>
          </cell>
          <cell r="D345" t="str">
            <v>E</v>
          </cell>
        </row>
        <row r="346">
          <cell r="B346" t="str">
            <v>096770 KS</v>
          </cell>
          <cell r="C346">
            <v>41407</v>
          </cell>
          <cell r="D346" t="str">
            <v>E</v>
          </cell>
        </row>
        <row r="347">
          <cell r="B347" t="str">
            <v>000830 KS</v>
          </cell>
          <cell r="C347">
            <v>41407</v>
          </cell>
          <cell r="D347" t="str">
            <v>E</v>
          </cell>
        </row>
        <row r="348">
          <cell r="B348" t="str">
            <v>010460 KS</v>
          </cell>
          <cell r="C348">
            <v>41407</v>
          </cell>
          <cell r="D348" t="str">
            <v>E</v>
          </cell>
        </row>
        <row r="349">
          <cell r="B349" t="str">
            <v>159580 KS</v>
          </cell>
          <cell r="C349">
            <v>41407</v>
          </cell>
          <cell r="D349" t="str">
            <v>E</v>
          </cell>
        </row>
        <row r="350">
          <cell r="B350" t="str">
            <v>035900 KS</v>
          </cell>
          <cell r="C350">
            <v>41408</v>
          </cell>
          <cell r="D350" t="str">
            <v>E</v>
          </cell>
        </row>
        <row r="351">
          <cell r="B351" t="str">
            <v>068240 KS</v>
          </cell>
          <cell r="C351">
            <v>41408</v>
          </cell>
          <cell r="D351" t="str">
            <v>E</v>
          </cell>
        </row>
        <row r="352">
          <cell r="B352" t="str">
            <v>069540 KS</v>
          </cell>
          <cell r="C352">
            <v>41408</v>
          </cell>
          <cell r="D352" t="str">
            <v>E</v>
          </cell>
        </row>
        <row r="353">
          <cell r="B353" t="str">
            <v>069540 KS</v>
          </cell>
          <cell r="C353">
            <v>41408</v>
          </cell>
          <cell r="D353" t="str">
            <v>E</v>
          </cell>
        </row>
        <row r="354">
          <cell r="B354" t="str">
            <v>126640 KS</v>
          </cell>
          <cell r="C354">
            <v>41408</v>
          </cell>
          <cell r="D354" t="str">
            <v>E</v>
          </cell>
        </row>
        <row r="355">
          <cell r="B355" t="str">
            <v>029530 KS</v>
          </cell>
          <cell r="C355">
            <v>41408</v>
          </cell>
          <cell r="D355" t="str">
            <v>E</v>
          </cell>
        </row>
        <row r="356">
          <cell r="B356" t="str">
            <v>010690 KS</v>
          </cell>
          <cell r="C356">
            <v>41408</v>
          </cell>
          <cell r="D356" t="str">
            <v>E</v>
          </cell>
        </row>
        <row r="357">
          <cell r="B357" t="str">
            <v>110310 KS</v>
          </cell>
          <cell r="C357">
            <v>41408</v>
          </cell>
          <cell r="D357" t="str">
            <v>E</v>
          </cell>
        </row>
        <row r="358">
          <cell r="B358" t="str">
            <v>063080 KS</v>
          </cell>
          <cell r="C358">
            <v>41408</v>
          </cell>
          <cell r="D358" t="str">
            <v>E</v>
          </cell>
        </row>
        <row r="359">
          <cell r="B359" t="str">
            <v>063170 KS</v>
          </cell>
          <cell r="C359">
            <v>41408</v>
          </cell>
          <cell r="D359" t="str">
            <v>E</v>
          </cell>
        </row>
        <row r="360">
          <cell r="B360" t="str">
            <v>093240 KS</v>
          </cell>
          <cell r="C360">
            <v>41408</v>
          </cell>
          <cell r="D360" t="str">
            <v>E</v>
          </cell>
        </row>
        <row r="361">
          <cell r="B361" t="str">
            <v>023000 KS</v>
          </cell>
          <cell r="C361">
            <v>41408</v>
          </cell>
          <cell r="D361" t="str">
            <v>E</v>
          </cell>
        </row>
        <row r="362">
          <cell r="B362" t="str">
            <v>025770 KS</v>
          </cell>
          <cell r="C362">
            <v>41408</v>
          </cell>
          <cell r="D362" t="str">
            <v>E</v>
          </cell>
        </row>
        <row r="363">
          <cell r="B363" t="str">
            <v>091700 KS</v>
          </cell>
          <cell r="C363">
            <v>41408</v>
          </cell>
          <cell r="D363" t="str">
            <v>E</v>
          </cell>
        </row>
        <row r="364">
          <cell r="B364" t="str">
            <v>024060 KS</v>
          </cell>
          <cell r="C364">
            <v>41408</v>
          </cell>
          <cell r="D364" t="str">
            <v>E</v>
          </cell>
        </row>
        <row r="365">
          <cell r="B365" t="str">
            <v>016670 KS</v>
          </cell>
          <cell r="C365">
            <v>41408</v>
          </cell>
          <cell r="D365" t="str">
            <v>E</v>
          </cell>
        </row>
        <row r="366">
          <cell r="B366" t="str">
            <v>017550 KS</v>
          </cell>
          <cell r="C366">
            <v>41408</v>
          </cell>
          <cell r="D366" t="str">
            <v>E</v>
          </cell>
        </row>
        <row r="367">
          <cell r="B367" t="str">
            <v>036670 KS</v>
          </cell>
          <cell r="C367">
            <v>41408</v>
          </cell>
          <cell r="D367" t="str">
            <v>E</v>
          </cell>
        </row>
        <row r="368">
          <cell r="B368" t="str">
            <v>139050 KS</v>
          </cell>
          <cell r="C368">
            <v>41408</v>
          </cell>
          <cell r="D368" t="str">
            <v>E</v>
          </cell>
        </row>
        <row r="369">
          <cell r="B369" t="str">
            <v>009620 KS</v>
          </cell>
          <cell r="C369">
            <v>41408</v>
          </cell>
          <cell r="D369" t="str">
            <v>E</v>
          </cell>
        </row>
        <row r="370">
          <cell r="B370" t="str">
            <v>104040 KS</v>
          </cell>
          <cell r="C370">
            <v>41408</v>
          </cell>
          <cell r="D370" t="str">
            <v>E</v>
          </cell>
        </row>
        <row r="371">
          <cell r="B371" t="str">
            <v>092200 KS</v>
          </cell>
          <cell r="C371">
            <v>41408</v>
          </cell>
          <cell r="D371" t="str">
            <v>E</v>
          </cell>
        </row>
        <row r="372">
          <cell r="B372" t="str">
            <v>089890 KS</v>
          </cell>
          <cell r="C372">
            <v>41408</v>
          </cell>
          <cell r="D372" t="str">
            <v>E</v>
          </cell>
        </row>
        <row r="373">
          <cell r="B373" t="str">
            <v>060540 KS</v>
          </cell>
          <cell r="C373">
            <v>41408</v>
          </cell>
          <cell r="D373" t="str">
            <v>E</v>
          </cell>
        </row>
        <row r="374">
          <cell r="B374" t="str">
            <v>036830 KS</v>
          </cell>
          <cell r="C374">
            <v>41408</v>
          </cell>
          <cell r="D374" t="str">
            <v>E</v>
          </cell>
        </row>
        <row r="375">
          <cell r="B375" t="str">
            <v>061250 KS</v>
          </cell>
          <cell r="C375">
            <v>41408</v>
          </cell>
          <cell r="D375" t="str">
            <v>E</v>
          </cell>
        </row>
        <row r="376">
          <cell r="B376" t="str">
            <v>069410 KS</v>
          </cell>
          <cell r="C376">
            <v>41408</v>
          </cell>
          <cell r="D376" t="str">
            <v>E</v>
          </cell>
        </row>
        <row r="377">
          <cell r="B377" t="str">
            <v>101000 KS</v>
          </cell>
          <cell r="C377">
            <v>41408</v>
          </cell>
          <cell r="D377" t="str">
            <v>E</v>
          </cell>
        </row>
        <row r="378">
          <cell r="B378" t="str">
            <v>079810 KS</v>
          </cell>
          <cell r="C378">
            <v>41408</v>
          </cell>
          <cell r="D378" t="str">
            <v>E</v>
          </cell>
        </row>
        <row r="379">
          <cell r="B379" t="str">
            <v>043090 KS</v>
          </cell>
          <cell r="C379">
            <v>41408</v>
          </cell>
          <cell r="D379" t="str">
            <v>E</v>
          </cell>
        </row>
        <row r="380">
          <cell r="B380" t="str">
            <v>011370 KS</v>
          </cell>
          <cell r="C380">
            <v>41408</v>
          </cell>
          <cell r="D380" t="str">
            <v>E</v>
          </cell>
        </row>
        <row r="381">
          <cell r="B381" t="str">
            <v>004910 KS</v>
          </cell>
          <cell r="C381">
            <v>41408</v>
          </cell>
          <cell r="D381" t="str">
            <v>E</v>
          </cell>
        </row>
        <row r="382">
          <cell r="B382" t="str">
            <v>114630 KS</v>
          </cell>
          <cell r="C382">
            <v>41408</v>
          </cell>
          <cell r="D382" t="str">
            <v>E</v>
          </cell>
        </row>
        <row r="383">
          <cell r="B383" t="str">
            <v>056360 KS</v>
          </cell>
          <cell r="C383">
            <v>41408</v>
          </cell>
          <cell r="D383" t="str">
            <v>E</v>
          </cell>
        </row>
        <row r="384">
          <cell r="B384" t="str">
            <v>115310 KS</v>
          </cell>
          <cell r="C384">
            <v>41408</v>
          </cell>
          <cell r="D384" t="str">
            <v>E</v>
          </cell>
        </row>
        <row r="385">
          <cell r="B385" t="str">
            <v>017510 KS</v>
          </cell>
          <cell r="C385">
            <v>41408</v>
          </cell>
          <cell r="D385" t="str">
            <v>E</v>
          </cell>
        </row>
        <row r="386">
          <cell r="B386" t="str">
            <v>013120 KS</v>
          </cell>
          <cell r="C386">
            <v>41408</v>
          </cell>
          <cell r="D386" t="str">
            <v>E</v>
          </cell>
        </row>
        <row r="387">
          <cell r="B387" t="str">
            <v>033290 KS</v>
          </cell>
          <cell r="C387">
            <v>41408</v>
          </cell>
          <cell r="D387" t="str">
            <v>E</v>
          </cell>
        </row>
        <row r="388">
          <cell r="B388" t="str">
            <v>021650 KS</v>
          </cell>
          <cell r="C388">
            <v>41408</v>
          </cell>
          <cell r="D388" t="str">
            <v>E</v>
          </cell>
        </row>
        <row r="389">
          <cell r="B389" t="str">
            <v>021650 KS</v>
          </cell>
          <cell r="C389">
            <v>41408</v>
          </cell>
          <cell r="D389" t="str">
            <v>E</v>
          </cell>
        </row>
        <row r="390">
          <cell r="B390" t="str">
            <v>013720 KS</v>
          </cell>
          <cell r="C390">
            <v>41408</v>
          </cell>
          <cell r="D390" t="str">
            <v>E</v>
          </cell>
        </row>
        <row r="391">
          <cell r="B391" t="str">
            <v>014130 KS</v>
          </cell>
          <cell r="C391">
            <v>41408</v>
          </cell>
          <cell r="D391" t="str">
            <v>E</v>
          </cell>
        </row>
        <row r="392">
          <cell r="B392" t="str">
            <v>112240 KS</v>
          </cell>
          <cell r="C392">
            <v>41408</v>
          </cell>
          <cell r="D392" t="str">
            <v>E</v>
          </cell>
        </row>
        <row r="393">
          <cell r="B393" t="str">
            <v>101170 KS</v>
          </cell>
          <cell r="C393">
            <v>41408</v>
          </cell>
          <cell r="D393" t="str">
            <v>E</v>
          </cell>
        </row>
        <row r="394">
          <cell r="B394" t="str">
            <v>011390 KS</v>
          </cell>
          <cell r="C394">
            <v>41408</v>
          </cell>
          <cell r="D394" t="str">
            <v>E</v>
          </cell>
        </row>
        <row r="395">
          <cell r="B395" t="str">
            <v>071090 KS</v>
          </cell>
          <cell r="C395">
            <v>41408</v>
          </cell>
          <cell r="D395" t="str">
            <v>E</v>
          </cell>
        </row>
        <row r="396">
          <cell r="B396" t="str">
            <v>006050 KS</v>
          </cell>
          <cell r="C396">
            <v>41408</v>
          </cell>
          <cell r="D396" t="str">
            <v>E</v>
          </cell>
        </row>
        <row r="397">
          <cell r="B397" t="str">
            <v>025550 KS</v>
          </cell>
          <cell r="C397">
            <v>41408</v>
          </cell>
          <cell r="D397" t="str">
            <v>E</v>
          </cell>
        </row>
        <row r="398">
          <cell r="B398" t="str">
            <v>017480 KS</v>
          </cell>
          <cell r="C398">
            <v>41408</v>
          </cell>
          <cell r="D398" t="str">
            <v>E</v>
          </cell>
        </row>
        <row r="399">
          <cell r="B399" t="str">
            <v>011700 KS</v>
          </cell>
          <cell r="C399">
            <v>41408</v>
          </cell>
          <cell r="D399" t="str">
            <v>E</v>
          </cell>
        </row>
        <row r="400">
          <cell r="B400" t="str">
            <v>115500 KS</v>
          </cell>
          <cell r="C400">
            <v>41408</v>
          </cell>
          <cell r="D400" t="str">
            <v>E</v>
          </cell>
        </row>
        <row r="401">
          <cell r="B401" t="str">
            <v>083660 KS</v>
          </cell>
          <cell r="C401">
            <v>41408</v>
          </cell>
          <cell r="D401" t="str">
            <v>E</v>
          </cell>
        </row>
        <row r="402">
          <cell r="B402" t="str">
            <v>067770 KS</v>
          </cell>
          <cell r="C402">
            <v>41408</v>
          </cell>
          <cell r="D402" t="str">
            <v>E</v>
          </cell>
        </row>
        <row r="403">
          <cell r="B403" t="str">
            <v>058470 KS</v>
          </cell>
          <cell r="C403">
            <v>41408</v>
          </cell>
          <cell r="D403" t="str">
            <v>E</v>
          </cell>
        </row>
        <row r="404">
          <cell r="B404" t="str">
            <v>119500 KS</v>
          </cell>
          <cell r="C404">
            <v>41408</v>
          </cell>
          <cell r="D404" t="str">
            <v>E</v>
          </cell>
        </row>
        <row r="405">
          <cell r="B405" t="str">
            <v>003100 KS</v>
          </cell>
          <cell r="C405">
            <v>41408</v>
          </cell>
          <cell r="D405" t="str">
            <v>E</v>
          </cell>
        </row>
        <row r="406">
          <cell r="B406" t="str">
            <v>079170 KS</v>
          </cell>
          <cell r="C406">
            <v>41408</v>
          </cell>
          <cell r="D406" t="str">
            <v>E</v>
          </cell>
        </row>
        <row r="407">
          <cell r="B407" t="str">
            <v>050110 KS</v>
          </cell>
          <cell r="C407">
            <v>41408</v>
          </cell>
          <cell r="D407" t="str">
            <v>E</v>
          </cell>
        </row>
        <row r="408">
          <cell r="B408" t="str">
            <v>069640 KS</v>
          </cell>
          <cell r="C408">
            <v>41408</v>
          </cell>
          <cell r="D408" t="str">
            <v>E</v>
          </cell>
        </row>
        <row r="409">
          <cell r="B409" t="str">
            <v>114570 KS</v>
          </cell>
          <cell r="C409">
            <v>41408</v>
          </cell>
          <cell r="D409" t="str">
            <v>E</v>
          </cell>
        </row>
        <row r="410">
          <cell r="B410" t="str">
            <v>131290 KS</v>
          </cell>
          <cell r="C410">
            <v>41408</v>
          </cell>
          <cell r="D410" t="str">
            <v>E</v>
          </cell>
        </row>
        <row r="411">
          <cell r="B411" t="str">
            <v>013810 KS</v>
          </cell>
          <cell r="C411">
            <v>41408</v>
          </cell>
          <cell r="D411" t="str">
            <v>E</v>
          </cell>
        </row>
        <row r="412">
          <cell r="B412" t="str">
            <v>018620 KS</v>
          </cell>
          <cell r="C412">
            <v>41408</v>
          </cell>
          <cell r="D412" t="str">
            <v>E</v>
          </cell>
        </row>
        <row r="413">
          <cell r="B413" t="str">
            <v>039340 KS</v>
          </cell>
          <cell r="C413">
            <v>41408</v>
          </cell>
          <cell r="D413" t="str">
            <v>E</v>
          </cell>
        </row>
        <row r="414">
          <cell r="B414" t="str">
            <v>054210 KS</v>
          </cell>
          <cell r="C414">
            <v>41408</v>
          </cell>
          <cell r="D414" t="str">
            <v>E</v>
          </cell>
        </row>
        <row r="415">
          <cell r="B415" t="str">
            <v>017370 KS</v>
          </cell>
          <cell r="C415">
            <v>41408</v>
          </cell>
          <cell r="D415" t="str">
            <v>E</v>
          </cell>
        </row>
        <row r="416">
          <cell r="B416" t="str">
            <v>007770 KS</v>
          </cell>
          <cell r="C416">
            <v>41408</v>
          </cell>
          <cell r="D416" t="str">
            <v>E</v>
          </cell>
        </row>
        <row r="417">
          <cell r="B417" t="str">
            <v>025540 KS</v>
          </cell>
          <cell r="C417">
            <v>41408</v>
          </cell>
          <cell r="D417" t="str">
            <v>E</v>
          </cell>
        </row>
        <row r="418">
          <cell r="B418" t="str">
            <v>018120 KS</v>
          </cell>
          <cell r="C418">
            <v>41408</v>
          </cell>
          <cell r="D418" t="str">
            <v>E</v>
          </cell>
        </row>
        <row r="419">
          <cell r="B419" t="str">
            <v>001390 KS</v>
          </cell>
          <cell r="C419">
            <v>41408</v>
          </cell>
          <cell r="D419" t="str">
            <v>E</v>
          </cell>
        </row>
        <row r="420">
          <cell r="B420" t="str">
            <v>061040 KS</v>
          </cell>
          <cell r="C420">
            <v>41408</v>
          </cell>
          <cell r="D420" t="str">
            <v>E</v>
          </cell>
        </row>
        <row r="421">
          <cell r="B421" t="str">
            <v>004060 KS</v>
          </cell>
          <cell r="C421">
            <v>41408</v>
          </cell>
          <cell r="D421" t="str">
            <v>E</v>
          </cell>
        </row>
        <row r="422">
          <cell r="B422" t="str">
            <v>012340 KS</v>
          </cell>
          <cell r="C422">
            <v>41408</v>
          </cell>
          <cell r="D422" t="str">
            <v>E</v>
          </cell>
        </row>
        <row r="423">
          <cell r="B423" t="str">
            <v>038950 KS</v>
          </cell>
          <cell r="C423">
            <v>41408</v>
          </cell>
          <cell r="D423" t="str">
            <v>E</v>
          </cell>
        </row>
        <row r="424">
          <cell r="B424" t="str">
            <v>065060 KS</v>
          </cell>
          <cell r="C424">
            <v>41408</v>
          </cell>
          <cell r="D424" t="str">
            <v>E</v>
          </cell>
        </row>
        <row r="425">
          <cell r="B425" t="str">
            <v>012790 KS</v>
          </cell>
          <cell r="C425">
            <v>41408</v>
          </cell>
          <cell r="D425" t="str">
            <v>E</v>
          </cell>
        </row>
        <row r="426">
          <cell r="B426" t="str">
            <v>013570 KS</v>
          </cell>
          <cell r="C426">
            <v>41408</v>
          </cell>
          <cell r="D426" t="str">
            <v>E</v>
          </cell>
        </row>
        <row r="427">
          <cell r="B427" t="str">
            <v>060230 KS</v>
          </cell>
          <cell r="C427">
            <v>41408</v>
          </cell>
          <cell r="D427" t="str">
            <v>E</v>
          </cell>
        </row>
        <row r="428">
          <cell r="B428" t="str">
            <v>058630 KS</v>
          </cell>
          <cell r="C428">
            <v>41408</v>
          </cell>
          <cell r="D428" t="str">
            <v>E</v>
          </cell>
        </row>
        <row r="429">
          <cell r="B429" t="str">
            <v>065620 KS</v>
          </cell>
          <cell r="C429">
            <v>41408</v>
          </cell>
          <cell r="D429" t="str">
            <v>E</v>
          </cell>
        </row>
        <row r="430">
          <cell r="B430" t="str">
            <v>021050 KS</v>
          </cell>
          <cell r="C430">
            <v>41408</v>
          </cell>
          <cell r="D430" t="str">
            <v>E</v>
          </cell>
        </row>
        <row r="431">
          <cell r="B431" t="str">
            <v>051390 KS</v>
          </cell>
          <cell r="C431">
            <v>41408</v>
          </cell>
          <cell r="D431" t="str">
            <v>E</v>
          </cell>
        </row>
        <row r="432">
          <cell r="B432" t="str">
            <v>082270 KS</v>
          </cell>
          <cell r="C432">
            <v>41408</v>
          </cell>
          <cell r="D432" t="str">
            <v>E</v>
          </cell>
        </row>
        <row r="433">
          <cell r="B433" t="str">
            <v>056700 KS</v>
          </cell>
          <cell r="C433">
            <v>41408</v>
          </cell>
          <cell r="D433" t="str">
            <v>E</v>
          </cell>
        </row>
        <row r="434">
          <cell r="B434" t="str">
            <v>005160 KS</v>
          </cell>
          <cell r="C434">
            <v>41408</v>
          </cell>
          <cell r="D434" t="str">
            <v>E</v>
          </cell>
        </row>
        <row r="435">
          <cell r="B435" t="str">
            <v>137940 KS</v>
          </cell>
          <cell r="C435">
            <v>41408</v>
          </cell>
          <cell r="D435" t="str">
            <v>E</v>
          </cell>
        </row>
        <row r="436">
          <cell r="B436" t="str">
            <v>009200 KS</v>
          </cell>
          <cell r="C436">
            <v>41408</v>
          </cell>
          <cell r="D436" t="str">
            <v>E</v>
          </cell>
        </row>
        <row r="437">
          <cell r="B437" t="str">
            <v>037340 KS</v>
          </cell>
          <cell r="C437">
            <v>41408</v>
          </cell>
          <cell r="D437" t="str">
            <v>E</v>
          </cell>
        </row>
        <row r="438">
          <cell r="B438" t="str">
            <v>033530 KS</v>
          </cell>
          <cell r="C438">
            <v>41408</v>
          </cell>
          <cell r="D438" t="str">
            <v>E</v>
          </cell>
        </row>
        <row r="439">
          <cell r="B439" t="str">
            <v>078780 KS</v>
          </cell>
          <cell r="C439">
            <v>41408</v>
          </cell>
          <cell r="D439" t="str">
            <v>E</v>
          </cell>
        </row>
        <row r="440">
          <cell r="B440" t="str">
            <v>098120 KS</v>
          </cell>
          <cell r="C440">
            <v>41408</v>
          </cell>
          <cell r="D440" t="str">
            <v>E</v>
          </cell>
        </row>
        <row r="441">
          <cell r="B441" t="str">
            <v>005290 KS</v>
          </cell>
          <cell r="C441">
            <v>41408</v>
          </cell>
          <cell r="D441" t="str">
            <v>E</v>
          </cell>
        </row>
        <row r="442">
          <cell r="B442" t="str">
            <v>036260 KS</v>
          </cell>
          <cell r="C442">
            <v>41408</v>
          </cell>
          <cell r="D442" t="str">
            <v>E</v>
          </cell>
        </row>
        <row r="443">
          <cell r="B443" t="str">
            <v>008730 KS</v>
          </cell>
          <cell r="C443">
            <v>41408</v>
          </cell>
          <cell r="D443" t="str">
            <v>E</v>
          </cell>
        </row>
        <row r="444">
          <cell r="B444" t="str">
            <v>094940 KS</v>
          </cell>
          <cell r="C444">
            <v>41408</v>
          </cell>
          <cell r="D444" t="str">
            <v>E</v>
          </cell>
        </row>
        <row r="445">
          <cell r="B445" t="str">
            <v>003670 KS</v>
          </cell>
          <cell r="C445">
            <v>41408</v>
          </cell>
          <cell r="D445" t="str">
            <v>E</v>
          </cell>
        </row>
        <row r="446">
          <cell r="B446" t="str">
            <v>049950 KS</v>
          </cell>
          <cell r="C446">
            <v>41408</v>
          </cell>
          <cell r="D446" t="str">
            <v>E</v>
          </cell>
        </row>
        <row r="447">
          <cell r="B447" t="str">
            <v>032080 KS</v>
          </cell>
          <cell r="C447">
            <v>41408</v>
          </cell>
          <cell r="D447" t="str">
            <v>E</v>
          </cell>
        </row>
        <row r="448">
          <cell r="B448" t="str">
            <v>079370 KS</v>
          </cell>
          <cell r="C448">
            <v>41408</v>
          </cell>
          <cell r="D448" t="str">
            <v>E</v>
          </cell>
        </row>
        <row r="449">
          <cell r="B449" t="str">
            <v>145270 KS</v>
          </cell>
          <cell r="C449">
            <v>41408</v>
          </cell>
          <cell r="D449" t="str">
            <v>E</v>
          </cell>
        </row>
        <row r="450">
          <cell r="B450" t="str">
            <v>002420 KS</v>
          </cell>
          <cell r="C450">
            <v>41408</v>
          </cell>
          <cell r="D450" t="str">
            <v>E</v>
          </cell>
        </row>
        <row r="451">
          <cell r="B451" t="str">
            <v>036890 KS</v>
          </cell>
          <cell r="C451">
            <v>41408</v>
          </cell>
          <cell r="D451" t="str">
            <v>E</v>
          </cell>
        </row>
        <row r="452">
          <cell r="B452" t="str">
            <v>101670 KS</v>
          </cell>
          <cell r="C452">
            <v>41408</v>
          </cell>
          <cell r="D452" t="str">
            <v>E</v>
          </cell>
        </row>
        <row r="453">
          <cell r="B453" t="str">
            <v>004410 KS</v>
          </cell>
          <cell r="C453">
            <v>41408</v>
          </cell>
          <cell r="D453" t="str">
            <v>E</v>
          </cell>
        </row>
        <row r="454">
          <cell r="B454" t="str">
            <v>078000 KS</v>
          </cell>
          <cell r="C454">
            <v>41408</v>
          </cell>
          <cell r="D454" t="str">
            <v>E</v>
          </cell>
        </row>
        <row r="455">
          <cell r="B455" t="str">
            <v>059210 KS</v>
          </cell>
          <cell r="C455">
            <v>41408</v>
          </cell>
          <cell r="D455" t="str">
            <v>E</v>
          </cell>
        </row>
        <row r="456">
          <cell r="B456" t="str">
            <v>009270 KS</v>
          </cell>
          <cell r="C456">
            <v>41408</v>
          </cell>
          <cell r="D456" t="str">
            <v>E</v>
          </cell>
        </row>
        <row r="457">
          <cell r="B457" t="str">
            <v>039240 KS</v>
          </cell>
          <cell r="C457">
            <v>41408</v>
          </cell>
          <cell r="D457" t="str">
            <v>E</v>
          </cell>
        </row>
        <row r="458">
          <cell r="B458" t="str">
            <v>033170 KS</v>
          </cell>
          <cell r="C458">
            <v>41408</v>
          </cell>
          <cell r="D458" t="str">
            <v>E</v>
          </cell>
        </row>
        <row r="459">
          <cell r="B459" t="str">
            <v>036000 KS</v>
          </cell>
          <cell r="C459">
            <v>41408</v>
          </cell>
          <cell r="D459" t="str">
            <v>E</v>
          </cell>
        </row>
        <row r="460">
          <cell r="B460" t="str">
            <v>006650 KS</v>
          </cell>
          <cell r="C460">
            <v>41408</v>
          </cell>
          <cell r="D460" t="str">
            <v>E</v>
          </cell>
        </row>
        <row r="461">
          <cell r="B461" t="str">
            <v>089140 KS</v>
          </cell>
          <cell r="C461">
            <v>41408</v>
          </cell>
          <cell r="D461" t="str">
            <v>E</v>
          </cell>
        </row>
        <row r="462">
          <cell r="B462" t="str">
            <v>041060 KS</v>
          </cell>
          <cell r="C462">
            <v>41408</v>
          </cell>
          <cell r="D462" t="str">
            <v>E</v>
          </cell>
        </row>
        <row r="463">
          <cell r="B463" t="str">
            <v>037070 KS</v>
          </cell>
          <cell r="C463">
            <v>41408</v>
          </cell>
          <cell r="D463" t="str">
            <v>E</v>
          </cell>
        </row>
        <row r="464">
          <cell r="B464" t="str">
            <v>086250 KS</v>
          </cell>
          <cell r="C464">
            <v>41408</v>
          </cell>
          <cell r="D464" t="str">
            <v>E</v>
          </cell>
        </row>
        <row r="465">
          <cell r="B465" t="str">
            <v>048830 KS</v>
          </cell>
          <cell r="C465">
            <v>41408</v>
          </cell>
          <cell r="D465" t="str">
            <v>E</v>
          </cell>
        </row>
        <row r="466">
          <cell r="B466" t="str">
            <v>128910 KS</v>
          </cell>
          <cell r="C466">
            <v>41408</v>
          </cell>
          <cell r="D466" t="str">
            <v>E</v>
          </cell>
        </row>
        <row r="467">
          <cell r="B467" t="str">
            <v>061460 KS</v>
          </cell>
          <cell r="C467">
            <v>41408</v>
          </cell>
          <cell r="D467" t="str">
            <v>E</v>
          </cell>
        </row>
        <row r="468">
          <cell r="B468" t="str">
            <v>042700 KS</v>
          </cell>
          <cell r="C468">
            <v>41408</v>
          </cell>
          <cell r="D468" t="str">
            <v>E</v>
          </cell>
        </row>
        <row r="469">
          <cell r="B469" t="str">
            <v>063440 KS</v>
          </cell>
          <cell r="C469">
            <v>41408</v>
          </cell>
          <cell r="D469" t="str">
            <v>E</v>
          </cell>
        </row>
        <row r="470">
          <cell r="B470" t="str">
            <v>123300 KS</v>
          </cell>
          <cell r="C470">
            <v>41408</v>
          </cell>
          <cell r="D470" t="str">
            <v>E</v>
          </cell>
        </row>
        <row r="471">
          <cell r="B471" t="str">
            <v>047440 KS</v>
          </cell>
          <cell r="C471">
            <v>41408</v>
          </cell>
          <cell r="D471" t="str">
            <v>E</v>
          </cell>
        </row>
        <row r="472">
          <cell r="B472" t="str">
            <v>002150 KS</v>
          </cell>
          <cell r="C472">
            <v>41408</v>
          </cell>
          <cell r="D472" t="str">
            <v>E</v>
          </cell>
        </row>
        <row r="473">
          <cell r="B473" t="str">
            <v>036810 KS</v>
          </cell>
          <cell r="C473">
            <v>41408</v>
          </cell>
          <cell r="D473" t="str">
            <v>E</v>
          </cell>
        </row>
        <row r="474">
          <cell r="B474" t="str">
            <v>009180 KS</v>
          </cell>
          <cell r="C474">
            <v>41408</v>
          </cell>
          <cell r="D474" t="str">
            <v>E</v>
          </cell>
        </row>
        <row r="475">
          <cell r="B475" t="str">
            <v>058430 KS</v>
          </cell>
          <cell r="C475">
            <v>41408</v>
          </cell>
          <cell r="D475" t="str">
            <v>E</v>
          </cell>
        </row>
        <row r="476">
          <cell r="B476" t="str">
            <v>000440 KS</v>
          </cell>
          <cell r="C476">
            <v>41408</v>
          </cell>
          <cell r="D476" t="str">
            <v>E</v>
          </cell>
        </row>
        <row r="477">
          <cell r="B477" t="str">
            <v>033250 KS</v>
          </cell>
          <cell r="C477">
            <v>41408</v>
          </cell>
          <cell r="D477" t="str">
            <v>E</v>
          </cell>
        </row>
        <row r="478">
          <cell r="B478" t="str">
            <v>031310 KS</v>
          </cell>
          <cell r="C478">
            <v>41408</v>
          </cell>
          <cell r="D478" t="str">
            <v>E</v>
          </cell>
        </row>
        <row r="479">
          <cell r="B479" t="str">
            <v>054540 KS</v>
          </cell>
          <cell r="C479">
            <v>41408</v>
          </cell>
          <cell r="D479" t="str">
            <v>E</v>
          </cell>
        </row>
        <row r="480">
          <cell r="B480" t="str">
            <v>045520 KS</v>
          </cell>
          <cell r="C480">
            <v>41408</v>
          </cell>
          <cell r="D480" t="str">
            <v>E</v>
          </cell>
        </row>
        <row r="481">
          <cell r="B481" t="str">
            <v>100090 KS</v>
          </cell>
          <cell r="C481">
            <v>41408</v>
          </cell>
          <cell r="D481" t="str">
            <v>E</v>
          </cell>
        </row>
        <row r="482">
          <cell r="B482" t="str">
            <v>052860 KS</v>
          </cell>
          <cell r="C482">
            <v>41408</v>
          </cell>
          <cell r="D482" t="str">
            <v>E</v>
          </cell>
        </row>
        <row r="483">
          <cell r="B483" t="str">
            <v>000020 KS</v>
          </cell>
          <cell r="C483">
            <v>41408</v>
          </cell>
          <cell r="D483" t="str">
            <v>E</v>
          </cell>
        </row>
        <row r="484">
          <cell r="B484" t="str">
            <v>102710 KS</v>
          </cell>
          <cell r="C484">
            <v>41408</v>
          </cell>
          <cell r="D484" t="str">
            <v>E</v>
          </cell>
        </row>
        <row r="485">
          <cell r="B485" t="str">
            <v>016100 KS</v>
          </cell>
          <cell r="C485">
            <v>41408</v>
          </cell>
          <cell r="D485" t="str">
            <v>E</v>
          </cell>
        </row>
        <row r="486">
          <cell r="B486" t="str">
            <v>002290 KS</v>
          </cell>
          <cell r="C486">
            <v>41408</v>
          </cell>
          <cell r="D486" t="str">
            <v>E</v>
          </cell>
        </row>
        <row r="487">
          <cell r="B487" t="str">
            <v>052300 KS</v>
          </cell>
          <cell r="C487">
            <v>41408</v>
          </cell>
          <cell r="D487" t="str">
            <v>E</v>
          </cell>
        </row>
        <row r="488">
          <cell r="B488" t="str">
            <v>001070 KS</v>
          </cell>
          <cell r="C488">
            <v>41408</v>
          </cell>
          <cell r="D488" t="str">
            <v>E</v>
          </cell>
        </row>
        <row r="489">
          <cell r="B489" t="str">
            <v>065940 KS</v>
          </cell>
          <cell r="C489">
            <v>41408</v>
          </cell>
          <cell r="D489" t="str">
            <v>E</v>
          </cell>
        </row>
        <row r="490">
          <cell r="B490" t="str">
            <v>104460 KS</v>
          </cell>
          <cell r="C490">
            <v>41408</v>
          </cell>
          <cell r="D490" t="str">
            <v>E</v>
          </cell>
        </row>
        <row r="491">
          <cell r="B491" t="str">
            <v>008490 KS</v>
          </cell>
          <cell r="C491">
            <v>41408</v>
          </cell>
          <cell r="D491" t="str">
            <v>E</v>
          </cell>
        </row>
        <row r="492">
          <cell r="B492" t="str">
            <v>049630 KS</v>
          </cell>
          <cell r="C492">
            <v>41408</v>
          </cell>
          <cell r="D492" t="str">
            <v>E</v>
          </cell>
        </row>
        <row r="493">
          <cell r="B493" t="str">
            <v>000700 KS</v>
          </cell>
          <cell r="C493">
            <v>41408</v>
          </cell>
          <cell r="D493" t="str">
            <v>E</v>
          </cell>
        </row>
        <row r="494">
          <cell r="B494" t="str">
            <v>101400 KS</v>
          </cell>
          <cell r="C494">
            <v>41408</v>
          </cell>
          <cell r="D494" t="str">
            <v>E</v>
          </cell>
        </row>
        <row r="495">
          <cell r="B495" t="str">
            <v>000480 KS</v>
          </cell>
          <cell r="C495">
            <v>41408</v>
          </cell>
          <cell r="D495" t="str">
            <v>E</v>
          </cell>
        </row>
        <row r="496">
          <cell r="B496" t="str">
            <v>077500 KS</v>
          </cell>
          <cell r="C496">
            <v>41408</v>
          </cell>
          <cell r="D496" t="str">
            <v>E</v>
          </cell>
        </row>
        <row r="497">
          <cell r="B497" t="str">
            <v>119650 KS</v>
          </cell>
          <cell r="C497">
            <v>41408</v>
          </cell>
          <cell r="D497" t="str">
            <v>E</v>
          </cell>
        </row>
        <row r="498">
          <cell r="B498" t="str">
            <v>059100 KS</v>
          </cell>
          <cell r="C498">
            <v>41408</v>
          </cell>
          <cell r="D498" t="str">
            <v>E</v>
          </cell>
        </row>
        <row r="499">
          <cell r="B499" t="str">
            <v>042110 KS</v>
          </cell>
          <cell r="C499">
            <v>41408</v>
          </cell>
          <cell r="D499" t="str">
            <v>E</v>
          </cell>
        </row>
        <row r="500">
          <cell r="B500" t="str">
            <v>025530 KS</v>
          </cell>
          <cell r="C500">
            <v>41408</v>
          </cell>
          <cell r="D500" t="str">
            <v>E</v>
          </cell>
        </row>
        <row r="501">
          <cell r="B501" t="str">
            <v>123700 KS</v>
          </cell>
          <cell r="C501">
            <v>41408</v>
          </cell>
          <cell r="D501" t="str">
            <v>E</v>
          </cell>
        </row>
        <row r="502">
          <cell r="B502" t="str">
            <v>123860 KS</v>
          </cell>
          <cell r="C502">
            <v>41408</v>
          </cell>
          <cell r="D502" t="str">
            <v>E</v>
          </cell>
        </row>
        <row r="503">
          <cell r="B503" t="str">
            <v>021040 KS</v>
          </cell>
          <cell r="C503">
            <v>41408</v>
          </cell>
          <cell r="D503" t="str">
            <v>E</v>
          </cell>
        </row>
        <row r="504">
          <cell r="B504" t="str">
            <v>012610 KS</v>
          </cell>
          <cell r="C504">
            <v>41408</v>
          </cell>
          <cell r="D504" t="str">
            <v>E</v>
          </cell>
        </row>
        <row r="505">
          <cell r="B505" t="str">
            <v>043360 KS</v>
          </cell>
          <cell r="C505">
            <v>41408</v>
          </cell>
          <cell r="D505" t="str">
            <v>E</v>
          </cell>
        </row>
        <row r="506">
          <cell r="B506" t="str">
            <v>023150 KS</v>
          </cell>
          <cell r="C506">
            <v>41408</v>
          </cell>
          <cell r="D506" t="str">
            <v>E</v>
          </cell>
        </row>
        <row r="507">
          <cell r="B507" t="str">
            <v>093520 KS</v>
          </cell>
          <cell r="C507">
            <v>41408</v>
          </cell>
          <cell r="D507" t="str">
            <v>E</v>
          </cell>
        </row>
        <row r="508">
          <cell r="B508" t="str">
            <v>060280 KS</v>
          </cell>
          <cell r="C508">
            <v>41408</v>
          </cell>
          <cell r="D508" t="str">
            <v>E</v>
          </cell>
        </row>
        <row r="509">
          <cell r="B509" t="str">
            <v>010780 KS</v>
          </cell>
          <cell r="C509">
            <v>41408</v>
          </cell>
          <cell r="D509" t="str">
            <v>E</v>
          </cell>
        </row>
        <row r="510">
          <cell r="B510" t="str">
            <v>043710 KS</v>
          </cell>
          <cell r="C510">
            <v>41408</v>
          </cell>
          <cell r="D510" t="str">
            <v>E</v>
          </cell>
        </row>
        <row r="511">
          <cell r="B511" t="str">
            <v>043710 KS</v>
          </cell>
          <cell r="C511">
            <v>41408</v>
          </cell>
          <cell r="D511" t="str">
            <v>E</v>
          </cell>
        </row>
        <row r="512">
          <cell r="B512" t="str">
            <v>065650 KS</v>
          </cell>
          <cell r="C512">
            <v>41408</v>
          </cell>
          <cell r="D512" t="str">
            <v>E</v>
          </cell>
        </row>
        <row r="513">
          <cell r="B513" t="str">
            <v>045100 KS</v>
          </cell>
          <cell r="C513">
            <v>41408</v>
          </cell>
          <cell r="D513" t="str">
            <v>E</v>
          </cell>
        </row>
        <row r="514">
          <cell r="B514" t="str">
            <v>000490 KS</v>
          </cell>
          <cell r="C514">
            <v>41408</v>
          </cell>
          <cell r="D514" t="str">
            <v>E</v>
          </cell>
        </row>
        <row r="515">
          <cell r="B515" t="str">
            <v>046940 KS</v>
          </cell>
          <cell r="C515">
            <v>41408</v>
          </cell>
          <cell r="D515" t="str">
            <v>E</v>
          </cell>
        </row>
        <row r="516">
          <cell r="B516" t="str">
            <v>003060 KS</v>
          </cell>
          <cell r="C516">
            <v>41408</v>
          </cell>
          <cell r="D516" t="str">
            <v>E</v>
          </cell>
        </row>
        <row r="517">
          <cell r="B517" t="str">
            <v>046940 KS</v>
          </cell>
          <cell r="C517">
            <v>41408</v>
          </cell>
          <cell r="D517" t="str">
            <v>E</v>
          </cell>
        </row>
        <row r="518">
          <cell r="B518" t="str">
            <v>034300 KS</v>
          </cell>
          <cell r="C518">
            <v>41408</v>
          </cell>
          <cell r="D518" t="str">
            <v>E</v>
          </cell>
        </row>
        <row r="519">
          <cell r="B519" t="str">
            <v>081220 KS</v>
          </cell>
          <cell r="C519">
            <v>41408</v>
          </cell>
          <cell r="D519" t="str">
            <v>E</v>
          </cell>
        </row>
        <row r="520">
          <cell r="B520" t="str">
            <v>046390 KS</v>
          </cell>
          <cell r="C520">
            <v>41408</v>
          </cell>
          <cell r="D520" t="str">
            <v>E</v>
          </cell>
        </row>
        <row r="521">
          <cell r="B521" t="str">
            <v>049470 KS</v>
          </cell>
          <cell r="C521">
            <v>41408</v>
          </cell>
          <cell r="D521" t="str">
            <v>E</v>
          </cell>
        </row>
        <row r="522">
          <cell r="B522" t="str">
            <v>025560 KS</v>
          </cell>
          <cell r="C522">
            <v>41408</v>
          </cell>
          <cell r="D522" t="str">
            <v>E</v>
          </cell>
        </row>
        <row r="523">
          <cell r="B523" t="str">
            <v>011040 KS</v>
          </cell>
          <cell r="C523">
            <v>41408</v>
          </cell>
          <cell r="D523" t="str">
            <v>E</v>
          </cell>
        </row>
        <row r="524">
          <cell r="B524" t="str">
            <v>100030 KS</v>
          </cell>
          <cell r="C524">
            <v>41408</v>
          </cell>
          <cell r="D524" t="str">
            <v>E</v>
          </cell>
        </row>
        <row r="525">
          <cell r="B525" t="str">
            <v>036580 KS</v>
          </cell>
          <cell r="C525">
            <v>41408</v>
          </cell>
          <cell r="D525" t="str">
            <v>E</v>
          </cell>
        </row>
        <row r="526">
          <cell r="B526" t="str">
            <v>095700 KS</v>
          </cell>
          <cell r="C526">
            <v>41408</v>
          </cell>
          <cell r="D526" t="str">
            <v>E</v>
          </cell>
        </row>
        <row r="527">
          <cell r="B527" t="str">
            <v>003030 KS</v>
          </cell>
          <cell r="C527">
            <v>41408</v>
          </cell>
          <cell r="D527" t="str">
            <v>E</v>
          </cell>
        </row>
        <row r="528">
          <cell r="B528" t="str">
            <v>099320 KS</v>
          </cell>
          <cell r="C528">
            <v>41408</v>
          </cell>
          <cell r="D528" t="str">
            <v>E</v>
          </cell>
        </row>
        <row r="529">
          <cell r="B529" t="str">
            <v>042510 KS</v>
          </cell>
          <cell r="C529">
            <v>41408</v>
          </cell>
          <cell r="D529" t="str">
            <v>E</v>
          </cell>
        </row>
        <row r="530">
          <cell r="B530" t="str">
            <v>091970 KS</v>
          </cell>
          <cell r="C530">
            <v>41408</v>
          </cell>
          <cell r="D530" t="str">
            <v>E</v>
          </cell>
        </row>
        <row r="531">
          <cell r="B531" t="str">
            <v>054670 KS</v>
          </cell>
          <cell r="C531">
            <v>41408</v>
          </cell>
          <cell r="D531" t="str">
            <v>E</v>
          </cell>
        </row>
        <row r="532">
          <cell r="B532" t="str">
            <v>096690 KS</v>
          </cell>
          <cell r="C532">
            <v>41408</v>
          </cell>
          <cell r="D532" t="str">
            <v>E</v>
          </cell>
        </row>
        <row r="533">
          <cell r="B533" t="str">
            <v>035480 KS</v>
          </cell>
          <cell r="C533">
            <v>41408</v>
          </cell>
          <cell r="D533" t="str">
            <v>E</v>
          </cell>
        </row>
        <row r="534">
          <cell r="B534" t="str">
            <v>123330 KS</v>
          </cell>
          <cell r="C534">
            <v>41408</v>
          </cell>
          <cell r="D534" t="str">
            <v>E</v>
          </cell>
        </row>
        <row r="535">
          <cell r="B535" t="str">
            <v>043340 KS</v>
          </cell>
          <cell r="C535">
            <v>41408</v>
          </cell>
          <cell r="D535" t="str">
            <v>E</v>
          </cell>
        </row>
        <row r="536">
          <cell r="B536" t="str">
            <v>065680 KS</v>
          </cell>
          <cell r="C536">
            <v>41408</v>
          </cell>
          <cell r="D536" t="str">
            <v>E</v>
          </cell>
        </row>
        <row r="537">
          <cell r="B537" t="str">
            <v>008900 KS</v>
          </cell>
          <cell r="C537">
            <v>41408</v>
          </cell>
          <cell r="D537" t="str">
            <v>E</v>
          </cell>
        </row>
        <row r="538">
          <cell r="B538" t="str">
            <v>002380 KS</v>
          </cell>
          <cell r="C538">
            <v>41408</v>
          </cell>
          <cell r="D538" t="str">
            <v>E</v>
          </cell>
        </row>
        <row r="539">
          <cell r="B539" t="str">
            <v>073240 KS</v>
          </cell>
          <cell r="C539">
            <v>41408</v>
          </cell>
          <cell r="D539" t="str">
            <v>C</v>
          </cell>
        </row>
        <row r="540">
          <cell r="B540" t="str">
            <v>005850 KS</v>
          </cell>
          <cell r="C540">
            <v>41408</v>
          </cell>
          <cell r="D540" t="str">
            <v>E</v>
          </cell>
        </row>
        <row r="541">
          <cell r="B541" t="str">
            <v>068400 KS</v>
          </cell>
          <cell r="C541">
            <v>41408</v>
          </cell>
          <cell r="D541" t="str">
            <v>E</v>
          </cell>
        </row>
        <row r="542">
          <cell r="B542" t="str">
            <v>003000 KS</v>
          </cell>
          <cell r="C542">
            <v>41408</v>
          </cell>
          <cell r="D542" t="str">
            <v>E</v>
          </cell>
        </row>
        <row r="543">
          <cell r="B543" t="str">
            <v>144620 KS</v>
          </cell>
          <cell r="C543">
            <v>41409</v>
          </cell>
          <cell r="D543" t="str">
            <v>E</v>
          </cell>
        </row>
        <row r="544">
          <cell r="B544" t="str">
            <v>039490 KS</v>
          </cell>
          <cell r="C544">
            <v>41409</v>
          </cell>
          <cell r="D544" t="str">
            <v>E</v>
          </cell>
        </row>
        <row r="545">
          <cell r="B545" t="str">
            <v>086790 KS</v>
          </cell>
          <cell r="C545">
            <v>41409</v>
          </cell>
          <cell r="D545" t="str">
            <v>E</v>
          </cell>
        </row>
        <row r="546">
          <cell r="B546" t="str">
            <v>005940 KS</v>
          </cell>
          <cell r="C546">
            <v>41409</v>
          </cell>
          <cell r="D546" t="str">
            <v>E</v>
          </cell>
        </row>
        <row r="547">
          <cell r="B547" t="str">
            <v>006800 KS</v>
          </cell>
          <cell r="C547">
            <v>41409</v>
          </cell>
          <cell r="D547" t="str">
            <v>E</v>
          </cell>
        </row>
        <row r="548">
          <cell r="B548" t="str">
            <v>000810 KS</v>
          </cell>
          <cell r="C548">
            <v>41409</v>
          </cell>
          <cell r="D548" t="str">
            <v>E</v>
          </cell>
        </row>
        <row r="549">
          <cell r="B549" t="str">
            <v>034220 KS</v>
          </cell>
          <cell r="C549">
            <v>41409</v>
          </cell>
          <cell r="D549" t="str">
            <v>E</v>
          </cell>
        </row>
        <row r="550">
          <cell r="B550" t="str">
            <v>003550 KS</v>
          </cell>
          <cell r="C550">
            <v>41409</v>
          </cell>
          <cell r="D550" t="str">
            <v>C</v>
          </cell>
        </row>
        <row r="551">
          <cell r="B551" t="str">
            <v>002960 KS</v>
          </cell>
          <cell r="C551">
            <v>41409</v>
          </cell>
          <cell r="D551" t="str">
            <v>E</v>
          </cell>
        </row>
        <row r="552">
          <cell r="B552" t="str">
            <v>123040 KS</v>
          </cell>
          <cell r="C552">
            <v>41409</v>
          </cell>
          <cell r="D552" t="str">
            <v>E</v>
          </cell>
        </row>
        <row r="553">
          <cell r="B553" t="str">
            <v>006740 KS</v>
          </cell>
          <cell r="C553">
            <v>41409</v>
          </cell>
          <cell r="D553" t="str">
            <v>E</v>
          </cell>
        </row>
        <row r="554">
          <cell r="B554" t="str">
            <v>093370 KS</v>
          </cell>
          <cell r="C554">
            <v>41409</v>
          </cell>
          <cell r="D554" t="str">
            <v>E</v>
          </cell>
        </row>
        <row r="555">
          <cell r="B555" t="str">
            <v>025950 KS</v>
          </cell>
          <cell r="C555">
            <v>41409</v>
          </cell>
          <cell r="D555" t="str">
            <v>E</v>
          </cell>
        </row>
        <row r="556">
          <cell r="B556" t="str">
            <v>002140 KS</v>
          </cell>
          <cell r="C556">
            <v>41409</v>
          </cell>
          <cell r="D556" t="str">
            <v>E</v>
          </cell>
        </row>
        <row r="557">
          <cell r="B557" t="str">
            <v>009680 KS</v>
          </cell>
          <cell r="C557">
            <v>41409</v>
          </cell>
          <cell r="D557" t="str">
            <v>E</v>
          </cell>
        </row>
        <row r="558">
          <cell r="B558" t="str">
            <v>005450 KS</v>
          </cell>
          <cell r="C558">
            <v>41409</v>
          </cell>
          <cell r="D558" t="str">
            <v>E</v>
          </cell>
        </row>
        <row r="559">
          <cell r="B559" t="str">
            <v>088910 KS</v>
          </cell>
          <cell r="C559">
            <v>41409</v>
          </cell>
          <cell r="D559" t="str">
            <v>E</v>
          </cell>
        </row>
        <row r="560">
          <cell r="B560" t="str">
            <v>050090 KS</v>
          </cell>
          <cell r="C560">
            <v>41409</v>
          </cell>
          <cell r="D560" t="str">
            <v>E</v>
          </cell>
        </row>
        <row r="561">
          <cell r="B561" t="str">
            <v>014570 KS</v>
          </cell>
          <cell r="C561">
            <v>41409</v>
          </cell>
          <cell r="D561" t="str">
            <v>E</v>
          </cell>
        </row>
        <row r="562">
          <cell r="B562" t="str">
            <v>095660 KS</v>
          </cell>
          <cell r="C562">
            <v>41409</v>
          </cell>
          <cell r="D562" t="str">
            <v>E</v>
          </cell>
        </row>
        <row r="563">
          <cell r="B563" t="str">
            <v>095660 KS</v>
          </cell>
          <cell r="C563">
            <v>41409</v>
          </cell>
          <cell r="D563" t="str">
            <v>E</v>
          </cell>
        </row>
        <row r="564">
          <cell r="B564" t="str">
            <v>043580 KS</v>
          </cell>
          <cell r="C564">
            <v>41409</v>
          </cell>
          <cell r="D564" t="str">
            <v>E</v>
          </cell>
        </row>
        <row r="565">
          <cell r="B565" t="str">
            <v>005800 KS</v>
          </cell>
          <cell r="C565">
            <v>41409</v>
          </cell>
          <cell r="D565" t="str">
            <v>E</v>
          </cell>
        </row>
        <row r="566">
          <cell r="B566" t="str">
            <v>103230 KS</v>
          </cell>
          <cell r="C566">
            <v>41409</v>
          </cell>
          <cell r="D566" t="str">
            <v>E</v>
          </cell>
        </row>
        <row r="567">
          <cell r="B567" t="str">
            <v>083450 KS</v>
          </cell>
          <cell r="C567">
            <v>41409</v>
          </cell>
          <cell r="D567" t="str">
            <v>E</v>
          </cell>
        </row>
        <row r="568">
          <cell r="B568" t="str">
            <v>015710 KS</v>
          </cell>
          <cell r="C568">
            <v>41409</v>
          </cell>
          <cell r="D568" t="str">
            <v>E</v>
          </cell>
        </row>
        <row r="569">
          <cell r="B569" t="str">
            <v>025860 KS</v>
          </cell>
          <cell r="C569">
            <v>41409</v>
          </cell>
          <cell r="D569" t="str">
            <v>E</v>
          </cell>
        </row>
        <row r="570">
          <cell r="B570" t="str">
            <v>006110 KS</v>
          </cell>
          <cell r="C570">
            <v>41409</v>
          </cell>
          <cell r="D570" t="str">
            <v>E</v>
          </cell>
        </row>
        <row r="571">
          <cell r="B571" t="str">
            <v>065130 KS</v>
          </cell>
          <cell r="C571">
            <v>41409</v>
          </cell>
          <cell r="D571" t="str">
            <v>E</v>
          </cell>
        </row>
        <row r="572">
          <cell r="B572" t="str">
            <v>007630 KS</v>
          </cell>
          <cell r="C572">
            <v>41409</v>
          </cell>
          <cell r="D572" t="str">
            <v>E</v>
          </cell>
        </row>
        <row r="573">
          <cell r="B573" t="str">
            <v>007390 KS</v>
          </cell>
          <cell r="C573">
            <v>41409</v>
          </cell>
          <cell r="D573" t="str">
            <v>E</v>
          </cell>
        </row>
        <row r="574">
          <cell r="B574" t="str">
            <v>025870 KS</v>
          </cell>
          <cell r="C574">
            <v>41409</v>
          </cell>
          <cell r="D574" t="str">
            <v>E</v>
          </cell>
        </row>
        <row r="575">
          <cell r="B575" t="str">
            <v>001560 KS</v>
          </cell>
          <cell r="C575">
            <v>41409</v>
          </cell>
          <cell r="D575" t="str">
            <v>E</v>
          </cell>
        </row>
        <row r="576">
          <cell r="B576" t="str">
            <v>048470 KS</v>
          </cell>
          <cell r="C576">
            <v>41409</v>
          </cell>
          <cell r="D576" t="str">
            <v>E</v>
          </cell>
        </row>
        <row r="577">
          <cell r="B577" t="str">
            <v>004540 KS</v>
          </cell>
          <cell r="C577">
            <v>41409</v>
          </cell>
          <cell r="D577" t="str">
            <v>E</v>
          </cell>
        </row>
        <row r="578">
          <cell r="B578" t="str">
            <v>054040 KS</v>
          </cell>
          <cell r="C578">
            <v>41409</v>
          </cell>
          <cell r="D578" t="str">
            <v>E</v>
          </cell>
        </row>
        <row r="579">
          <cell r="B579" t="str">
            <v>096240 KS</v>
          </cell>
          <cell r="C579">
            <v>41409</v>
          </cell>
          <cell r="D579" t="str">
            <v>E</v>
          </cell>
        </row>
        <row r="580">
          <cell r="B580" t="str">
            <v>005560 KS</v>
          </cell>
          <cell r="C580">
            <v>41409</v>
          </cell>
          <cell r="D580" t="str">
            <v>E</v>
          </cell>
        </row>
        <row r="581">
          <cell r="B581" t="str">
            <v>085310 KS</v>
          </cell>
          <cell r="C581">
            <v>41409</v>
          </cell>
          <cell r="D581" t="str">
            <v>E</v>
          </cell>
        </row>
        <row r="582">
          <cell r="B582" t="str">
            <v>041460 KS</v>
          </cell>
          <cell r="C582">
            <v>41409</v>
          </cell>
          <cell r="D582" t="str">
            <v>E</v>
          </cell>
        </row>
        <row r="583">
          <cell r="B583" t="str">
            <v>043590 KS</v>
          </cell>
          <cell r="C583">
            <v>41409</v>
          </cell>
          <cell r="D583" t="str">
            <v>E</v>
          </cell>
        </row>
        <row r="584">
          <cell r="B584" t="str">
            <v>092730 KS</v>
          </cell>
          <cell r="C584">
            <v>41409</v>
          </cell>
          <cell r="D584" t="str">
            <v>E</v>
          </cell>
        </row>
        <row r="585">
          <cell r="B585" t="str">
            <v>096630 KS</v>
          </cell>
          <cell r="C585">
            <v>41409</v>
          </cell>
          <cell r="D585" t="str">
            <v>E</v>
          </cell>
        </row>
        <row r="586">
          <cell r="B586" t="str">
            <v>096630 KS</v>
          </cell>
          <cell r="C586">
            <v>41409</v>
          </cell>
          <cell r="D586" t="str">
            <v>E</v>
          </cell>
        </row>
        <row r="587">
          <cell r="B587" t="str">
            <v>073190 KS</v>
          </cell>
          <cell r="C587">
            <v>41409</v>
          </cell>
          <cell r="D587" t="str">
            <v>E</v>
          </cell>
        </row>
        <row r="588">
          <cell r="B588" t="str">
            <v>073190 KS</v>
          </cell>
          <cell r="C588">
            <v>41409</v>
          </cell>
          <cell r="D588" t="str">
            <v>E</v>
          </cell>
        </row>
        <row r="589">
          <cell r="B589" t="str">
            <v>015360 KS</v>
          </cell>
          <cell r="C589">
            <v>41409</v>
          </cell>
          <cell r="D589" t="str">
            <v>E</v>
          </cell>
        </row>
        <row r="590">
          <cell r="B590" t="str">
            <v>002870 KS</v>
          </cell>
          <cell r="C590">
            <v>41409</v>
          </cell>
          <cell r="D590" t="str">
            <v>E</v>
          </cell>
        </row>
        <row r="591">
          <cell r="B591" t="str">
            <v>009770 KS</v>
          </cell>
          <cell r="C591">
            <v>41409</v>
          </cell>
          <cell r="D591" t="str">
            <v>E</v>
          </cell>
        </row>
        <row r="592">
          <cell r="B592" t="str">
            <v>026910 KS</v>
          </cell>
          <cell r="C592">
            <v>41409</v>
          </cell>
          <cell r="D592" t="str">
            <v>E</v>
          </cell>
        </row>
        <row r="593">
          <cell r="B593" t="str">
            <v>046120 KS</v>
          </cell>
          <cell r="C593">
            <v>41409</v>
          </cell>
          <cell r="D593" t="str">
            <v>E</v>
          </cell>
        </row>
        <row r="594">
          <cell r="B594" t="str">
            <v>122800 KS</v>
          </cell>
          <cell r="C594">
            <v>41409</v>
          </cell>
          <cell r="D594" t="str">
            <v>E</v>
          </cell>
        </row>
        <row r="595">
          <cell r="B595" t="str">
            <v>001020 KS</v>
          </cell>
          <cell r="C595">
            <v>41409</v>
          </cell>
          <cell r="D595" t="str">
            <v>E</v>
          </cell>
        </row>
        <row r="596">
          <cell r="B596" t="str">
            <v>001020 KS</v>
          </cell>
          <cell r="C596">
            <v>41409</v>
          </cell>
          <cell r="D596" t="str">
            <v>E</v>
          </cell>
        </row>
        <row r="597">
          <cell r="B597" t="str">
            <v>003580 KS</v>
          </cell>
          <cell r="C597">
            <v>41409</v>
          </cell>
          <cell r="D597" t="str">
            <v>E</v>
          </cell>
        </row>
        <row r="598">
          <cell r="B598" t="str">
            <v>036620 KS</v>
          </cell>
          <cell r="C598">
            <v>41409</v>
          </cell>
          <cell r="D598" t="str">
            <v>E</v>
          </cell>
        </row>
        <row r="599">
          <cell r="B599" t="str">
            <v>147830 KS</v>
          </cell>
          <cell r="C599">
            <v>41409</v>
          </cell>
          <cell r="D599" t="str">
            <v>E</v>
          </cell>
        </row>
        <row r="600">
          <cell r="B600" t="str">
            <v>111820 KS</v>
          </cell>
          <cell r="C600">
            <v>41409</v>
          </cell>
          <cell r="D600" t="str">
            <v>E</v>
          </cell>
        </row>
        <row r="601">
          <cell r="B601" t="str">
            <v>011560 KS</v>
          </cell>
          <cell r="C601">
            <v>41409</v>
          </cell>
          <cell r="D601" t="str">
            <v>E</v>
          </cell>
        </row>
        <row r="602">
          <cell r="B602" t="str">
            <v>131370 KS</v>
          </cell>
          <cell r="C602">
            <v>41409</v>
          </cell>
          <cell r="D602" t="str">
            <v>E</v>
          </cell>
        </row>
        <row r="603">
          <cell r="B603" t="str">
            <v>068290 KS</v>
          </cell>
          <cell r="C603">
            <v>41409</v>
          </cell>
          <cell r="D603" t="str">
            <v>E</v>
          </cell>
        </row>
        <row r="604">
          <cell r="B604" t="str">
            <v>032980 KS</v>
          </cell>
          <cell r="C604">
            <v>41409</v>
          </cell>
          <cell r="D604" t="str">
            <v>E</v>
          </cell>
        </row>
        <row r="605">
          <cell r="B605" t="str">
            <v>115440 KS</v>
          </cell>
          <cell r="C605">
            <v>41409</v>
          </cell>
          <cell r="D605" t="str">
            <v>E</v>
          </cell>
        </row>
        <row r="606">
          <cell r="B606" t="str">
            <v>086900 KS</v>
          </cell>
          <cell r="C606">
            <v>41409</v>
          </cell>
          <cell r="D606" t="str">
            <v>E</v>
          </cell>
        </row>
        <row r="607">
          <cell r="B607" t="str">
            <v>019770 KS</v>
          </cell>
          <cell r="C607">
            <v>41409</v>
          </cell>
          <cell r="D607" t="str">
            <v>E</v>
          </cell>
        </row>
        <row r="608">
          <cell r="B608" t="str">
            <v>069140 KS</v>
          </cell>
          <cell r="C608">
            <v>41409</v>
          </cell>
          <cell r="D608" t="str">
            <v>E</v>
          </cell>
        </row>
        <row r="609">
          <cell r="B609" t="str">
            <v>089480 KS</v>
          </cell>
          <cell r="C609">
            <v>41409</v>
          </cell>
          <cell r="D609" t="str">
            <v>E</v>
          </cell>
        </row>
        <row r="610">
          <cell r="B610" t="str">
            <v>039840 KS</v>
          </cell>
          <cell r="C610">
            <v>41409</v>
          </cell>
          <cell r="D610" t="str">
            <v>E</v>
          </cell>
        </row>
        <row r="611">
          <cell r="B611" t="str">
            <v>079000 KS</v>
          </cell>
          <cell r="C611">
            <v>41409</v>
          </cell>
          <cell r="D611" t="str">
            <v>E</v>
          </cell>
        </row>
        <row r="612">
          <cell r="B612" t="str">
            <v>033600 KS</v>
          </cell>
          <cell r="C612">
            <v>41409</v>
          </cell>
          <cell r="D612" t="str">
            <v>E</v>
          </cell>
        </row>
        <row r="613">
          <cell r="B613" t="str">
            <v>042600 KS</v>
          </cell>
          <cell r="C613">
            <v>41409</v>
          </cell>
          <cell r="D613" t="str">
            <v>E</v>
          </cell>
        </row>
        <row r="614">
          <cell r="B614" t="str">
            <v>053050 KS</v>
          </cell>
          <cell r="C614">
            <v>41409</v>
          </cell>
          <cell r="D614" t="str">
            <v>E</v>
          </cell>
        </row>
        <row r="615">
          <cell r="B615" t="str">
            <v>037460 KS</v>
          </cell>
          <cell r="C615">
            <v>41409</v>
          </cell>
          <cell r="D615" t="str">
            <v>E</v>
          </cell>
        </row>
        <row r="616">
          <cell r="B616" t="str">
            <v>073540 KS</v>
          </cell>
          <cell r="C616">
            <v>41409</v>
          </cell>
          <cell r="D616" t="str">
            <v>E</v>
          </cell>
        </row>
        <row r="617">
          <cell r="B617" t="str">
            <v>009300 KS</v>
          </cell>
          <cell r="C617">
            <v>41409</v>
          </cell>
          <cell r="D617" t="str">
            <v>E</v>
          </cell>
        </row>
        <row r="618">
          <cell r="B618" t="str">
            <v>053700 KS</v>
          </cell>
          <cell r="C618">
            <v>41409</v>
          </cell>
          <cell r="D618" t="str">
            <v>E</v>
          </cell>
        </row>
        <row r="619">
          <cell r="B619" t="str">
            <v>046310 KS</v>
          </cell>
          <cell r="C619">
            <v>41409</v>
          </cell>
          <cell r="D619" t="str">
            <v>E</v>
          </cell>
        </row>
        <row r="620">
          <cell r="B620" t="str">
            <v>001840 KS</v>
          </cell>
          <cell r="C620">
            <v>41409</v>
          </cell>
          <cell r="D620" t="str">
            <v>E</v>
          </cell>
        </row>
        <row r="621">
          <cell r="B621" t="str">
            <v>086830 KS</v>
          </cell>
          <cell r="C621">
            <v>41409</v>
          </cell>
          <cell r="D621" t="str">
            <v>E</v>
          </cell>
        </row>
        <row r="622">
          <cell r="B622" t="str">
            <v>044450 KS</v>
          </cell>
          <cell r="C622">
            <v>41409</v>
          </cell>
          <cell r="D622" t="str">
            <v>E</v>
          </cell>
        </row>
        <row r="623">
          <cell r="B623" t="str">
            <v>013520 KS</v>
          </cell>
          <cell r="C623">
            <v>41409</v>
          </cell>
          <cell r="D623" t="str">
            <v>E</v>
          </cell>
        </row>
        <row r="624">
          <cell r="B624" t="str">
            <v>013520 KS</v>
          </cell>
          <cell r="C624">
            <v>41409</v>
          </cell>
          <cell r="D624" t="str">
            <v>E</v>
          </cell>
        </row>
        <row r="625">
          <cell r="B625" t="str">
            <v>032280 KS</v>
          </cell>
          <cell r="C625">
            <v>41409</v>
          </cell>
          <cell r="D625" t="str">
            <v>E</v>
          </cell>
        </row>
        <row r="626">
          <cell r="B626" t="str">
            <v>027050 KS</v>
          </cell>
          <cell r="C626">
            <v>41409</v>
          </cell>
          <cell r="D626" t="str">
            <v>E</v>
          </cell>
        </row>
        <row r="627">
          <cell r="B627" t="str">
            <v>092460 KS</v>
          </cell>
          <cell r="C627">
            <v>41409</v>
          </cell>
          <cell r="D627" t="str">
            <v>E</v>
          </cell>
        </row>
        <row r="628">
          <cell r="B628" t="str">
            <v>054780 KS</v>
          </cell>
          <cell r="C628">
            <v>41409</v>
          </cell>
          <cell r="D628" t="str">
            <v>E</v>
          </cell>
        </row>
        <row r="629">
          <cell r="B629" t="str">
            <v>078590 KS</v>
          </cell>
          <cell r="C629">
            <v>41409</v>
          </cell>
          <cell r="D629" t="str">
            <v>E</v>
          </cell>
        </row>
        <row r="630">
          <cell r="B630" t="str">
            <v>066310 KS</v>
          </cell>
          <cell r="C630">
            <v>41409</v>
          </cell>
          <cell r="D630" t="str">
            <v>E</v>
          </cell>
        </row>
        <row r="631">
          <cell r="B631" t="str">
            <v>051380 KS</v>
          </cell>
          <cell r="C631">
            <v>41409</v>
          </cell>
          <cell r="D631" t="str">
            <v>E</v>
          </cell>
        </row>
        <row r="632">
          <cell r="B632" t="str">
            <v>054920 KS</v>
          </cell>
          <cell r="C632">
            <v>41409</v>
          </cell>
          <cell r="D632" t="str">
            <v>E</v>
          </cell>
        </row>
        <row r="633">
          <cell r="B633" t="str">
            <v>092300 KS</v>
          </cell>
          <cell r="C633">
            <v>41409</v>
          </cell>
          <cell r="D633" t="str">
            <v>E</v>
          </cell>
        </row>
        <row r="634">
          <cell r="B634" t="str">
            <v>039030 KS</v>
          </cell>
          <cell r="C634">
            <v>41409</v>
          </cell>
          <cell r="D634" t="str">
            <v>E</v>
          </cell>
        </row>
        <row r="635">
          <cell r="B635" t="str">
            <v>020710 KS</v>
          </cell>
          <cell r="C635">
            <v>41409</v>
          </cell>
          <cell r="D635" t="str">
            <v>E</v>
          </cell>
        </row>
        <row r="636">
          <cell r="B636" t="str">
            <v>086890 KS</v>
          </cell>
          <cell r="C636">
            <v>41409</v>
          </cell>
          <cell r="D636" t="str">
            <v>E</v>
          </cell>
        </row>
        <row r="637">
          <cell r="B637" t="str">
            <v>083550 KS</v>
          </cell>
          <cell r="C637">
            <v>41409</v>
          </cell>
          <cell r="D637" t="str">
            <v>E</v>
          </cell>
        </row>
        <row r="638">
          <cell r="B638" t="str">
            <v>078140 KS</v>
          </cell>
          <cell r="C638">
            <v>41409</v>
          </cell>
          <cell r="D638" t="str">
            <v>E</v>
          </cell>
        </row>
        <row r="639">
          <cell r="B639" t="str">
            <v>004970 KS</v>
          </cell>
          <cell r="C639">
            <v>41409</v>
          </cell>
          <cell r="D639" t="str">
            <v>E</v>
          </cell>
        </row>
        <row r="640">
          <cell r="B640" t="str">
            <v>108320 KS</v>
          </cell>
          <cell r="C640">
            <v>41409</v>
          </cell>
          <cell r="D640" t="str">
            <v>E</v>
          </cell>
        </row>
        <row r="641">
          <cell r="B641" t="str">
            <v>041510 KS</v>
          </cell>
          <cell r="C641">
            <v>41409</v>
          </cell>
          <cell r="D641" t="str">
            <v>E</v>
          </cell>
        </row>
        <row r="642">
          <cell r="B642" t="str">
            <v>094860 KS</v>
          </cell>
          <cell r="C642">
            <v>41409</v>
          </cell>
          <cell r="D642" t="str">
            <v>E</v>
          </cell>
        </row>
        <row r="643">
          <cell r="B643" t="str">
            <v>049180 KS</v>
          </cell>
          <cell r="C643">
            <v>41409</v>
          </cell>
          <cell r="D643" t="str">
            <v>E</v>
          </cell>
        </row>
        <row r="644">
          <cell r="B644" t="str">
            <v>090740 KS</v>
          </cell>
          <cell r="C644">
            <v>41409</v>
          </cell>
          <cell r="D644" t="str">
            <v>E</v>
          </cell>
        </row>
        <row r="645">
          <cell r="B645" t="str">
            <v>094700 KS</v>
          </cell>
          <cell r="C645">
            <v>41409</v>
          </cell>
          <cell r="D645" t="str">
            <v>E</v>
          </cell>
        </row>
        <row r="646">
          <cell r="B646" t="str">
            <v>053290 KS</v>
          </cell>
          <cell r="C646">
            <v>41409</v>
          </cell>
          <cell r="D646" t="str">
            <v>E</v>
          </cell>
        </row>
        <row r="647">
          <cell r="B647" t="str">
            <v>019990 KS</v>
          </cell>
          <cell r="C647">
            <v>41409</v>
          </cell>
          <cell r="D647" t="str">
            <v>E</v>
          </cell>
        </row>
        <row r="648">
          <cell r="B648" t="str">
            <v>040610 KS</v>
          </cell>
          <cell r="C648">
            <v>41409</v>
          </cell>
          <cell r="D648" t="str">
            <v>E</v>
          </cell>
        </row>
        <row r="649">
          <cell r="B649" t="str">
            <v>012620 KS</v>
          </cell>
          <cell r="C649">
            <v>41409</v>
          </cell>
          <cell r="D649" t="str">
            <v>E</v>
          </cell>
        </row>
        <row r="650">
          <cell r="B650" t="str">
            <v>065570 KS</v>
          </cell>
          <cell r="C650">
            <v>41409</v>
          </cell>
          <cell r="D650" t="str">
            <v>E</v>
          </cell>
        </row>
        <row r="651">
          <cell r="B651" t="str">
            <v>071950 KS</v>
          </cell>
          <cell r="C651">
            <v>41409</v>
          </cell>
          <cell r="D651" t="str">
            <v>E</v>
          </cell>
        </row>
        <row r="652">
          <cell r="B652" t="str">
            <v>070480 KS</v>
          </cell>
          <cell r="C652">
            <v>41409</v>
          </cell>
          <cell r="D652" t="str">
            <v>E</v>
          </cell>
        </row>
        <row r="653">
          <cell r="B653" t="str">
            <v>039310 KS</v>
          </cell>
          <cell r="C653">
            <v>41409</v>
          </cell>
          <cell r="D653" t="str">
            <v>E</v>
          </cell>
        </row>
        <row r="654">
          <cell r="B654" t="str">
            <v>034950 KS</v>
          </cell>
          <cell r="C654">
            <v>41409</v>
          </cell>
          <cell r="D654" t="str">
            <v>E</v>
          </cell>
        </row>
        <row r="655">
          <cell r="B655" t="str">
            <v>005320 KS</v>
          </cell>
          <cell r="C655">
            <v>41409</v>
          </cell>
          <cell r="D655" t="str">
            <v>E</v>
          </cell>
        </row>
        <row r="656">
          <cell r="B656" t="str">
            <v>058610 KS</v>
          </cell>
          <cell r="C656">
            <v>41409</v>
          </cell>
          <cell r="D656" t="str">
            <v>E</v>
          </cell>
        </row>
        <row r="657">
          <cell r="B657" t="str">
            <v>030190 KS</v>
          </cell>
          <cell r="C657">
            <v>41409</v>
          </cell>
          <cell r="D657" t="str">
            <v>E</v>
          </cell>
        </row>
        <row r="658">
          <cell r="B658" t="str">
            <v>030190 KS</v>
          </cell>
          <cell r="C658">
            <v>41409</v>
          </cell>
          <cell r="D658" t="str">
            <v>E</v>
          </cell>
        </row>
        <row r="659">
          <cell r="B659" t="str">
            <v>007310 KS</v>
          </cell>
          <cell r="C659">
            <v>41409</v>
          </cell>
          <cell r="D659" t="str">
            <v>E</v>
          </cell>
        </row>
        <row r="660">
          <cell r="B660" t="str">
            <v>044780 KS</v>
          </cell>
          <cell r="C660">
            <v>41409</v>
          </cell>
          <cell r="D660" t="str">
            <v>E</v>
          </cell>
        </row>
        <row r="661">
          <cell r="B661" t="str">
            <v>062860 KS</v>
          </cell>
          <cell r="C661">
            <v>41409</v>
          </cell>
          <cell r="D661" t="str">
            <v>E</v>
          </cell>
        </row>
        <row r="662">
          <cell r="B662" t="str">
            <v>032750 KS</v>
          </cell>
          <cell r="C662">
            <v>41409</v>
          </cell>
          <cell r="D662" t="str">
            <v>E</v>
          </cell>
        </row>
        <row r="663">
          <cell r="B663" t="str">
            <v>049520 KS</v>
          </cell>
          <cell r="C663">
            <v>41409</v>
          </cell>
          <cell r="D663" t="str">
            <v>E</v>
          </cell>
        </row>
        <row r="664">
          <cell r="B664" t="str">
            <v>131030 KS</v>
          </cell>
          <cell r="C664">
            <v>41409</v>
          </cell>
          <cell r="D664" t="str">
            <v>E</v>
          </cell>
        </row>
        <row r="665">
          <cell r="B665" t="str">
            <v>051310 KS</v>
          </cell>
          <cell r="C665">
            <v>41409</v>
          </cell>
          <cell r="D665" t="str">
            <v>E</v>
          </cell>
        </row>
        <row r="666">
          <cell r="B666" t="str">
            <v>009420 KS</v>
          </cell>
          <cell r="C666">
            <v>41409</v>
          </cell>
          <cell r="D666" t="str">
            <v>E</v>
          </cell>
        </row>
        <row r="667">
          <cell r="B667" t="str">
            <v>090360 KS</v>
          </cell>
          <cell r="C667">
            <v>41409</v>
          </cell>
          <cell r="D667" t="str">
            <v>E</v>
          </cell>
        </row>
        <row r="668">
          <cell r="B668" t="str">
            <v>072130 KS</v>
          </cell>
          <cell r="C668">
            <v>41409</v>
          </cell>
          <cell r="D668" t="str">
            <v>E</v>
          </cell>
        </row>
        <row r="669">
          <cell r="B669" t="str">
            <v>108860 KS</v>
          </cell>
          <cell r="C669">
            <v>41409</v>
          </cell>
          <cell r="D669" t="str">
            <v>E</v>
          </cell>
        </row>
        <row r="670">
          <cell r="B670" t="str">
            <v>002900 KS</v>
          </cell>
          <cell r="C670">
            <v>41409</v>
          </cell>
          <cell r="D670" t="str">
            <v>E</v>
          </cell>
        </row>
        <row r="671">
          <cell r="B671" t="str">
            <v>106190 KS</v>
          </cell>
          <cell r="C671">
            <v>41409</v>
          </cell>
          <cell r="D671" t="str">
            <v>E</v>
          </cell>
        </row>
        <row r="672">
          <cell r="B672" t="str">
            <v>008800 KS</v>
          </cell>
          <cell r="C672">
            <v>41409</v>
          </cell>
          <cell r="D672" t="str">
            <v>E</v>
          </cell>
        </row>
        <row r="673">
          <cell r="B673" t="str">
            <v>056710 KS</v>
          </cell>
          <cell r="C673">
            <v>41409</v>
          </cell>
          <cell r="D673" t="str">
            <v>E</v>
          </cell>
        </row>
        <row r="674">
          <cell r="B674" t="str">
            <v>016170 KS</v>
          </cell>
          <cell r="C674">
            <v>41409</v>
          </cell>
          <cell r="D674" t="str">
            <v>E</v>
          </cell>
        </row>
        <row r="675">
          <cell r="B675" t="str">
            <v>064260 KS</v>
          </cell>
          <cell r="C675">
            <v>41409</v>
          </cell>
          <cell r="D675" t="str">
            <v>E</v>
          </cell>
        </row>
        <row r="676">
          <cell r="B676" t="str">
            <v>037370 KS</v>
          </cell>
          <cell r="C676">
            <v>41409</v>
          </cell>
          <cell r="D676" t="str">
            <v>E</v>
          </cell>
        </row>
        <row r="677">
          <cell r="B677" t="str">
            <v>039020 KS</v>
          </cell>
          <cell r="C677">
            <v>41409</v>
          </cell>
          <cell r="D677" t="str">
            <v>E</v>
          </cell>
        </row>
        <row r="678">
          <cell r="B678" t="str">
            <v>006060 KS</v>
          </cell>
          <cell r="C678">
            <v>41409</v>
          </cell>
          <cell r="D678" t="str">
            <v>E</v>
          </cell>
        </row>
        <row r="679">
          <cell r="B679" t="str">
            <v>045300 KS</v>
          </cell>
          <cell r="C679">
            <v>41409</v>
          </cell>
          <cell r="D679" t="str">
            <v>E</v>
          </cell>
        </row>
        <row r="680">
          <cell r="B680" t="str">
            <v>002230 KS</v>
          </cell>
          <cell r="C680">
            <v>41409</v>
          </cell>
          <cell r="D680" t="str">
            <v>E</v>
          </cell>
        </row>
        <row r="681">
          <cell r="B681" t="str">
            <v>002230 KS</v>
          </cell>
          <cell r="C681">
            <v>41409</v>
          </cell>
          <cell r="D681" t="str">
            <v>E</v>
          </cell>
        </row>
        <row r="682">
          <cell r="B682" t="str">
            <v>005870 KS</v>
          </cell>
          <cell r="C682">
            <v>41409</v>
          </cell>
          <cell r="D682" t="str">
            <v>E</v>
          </cell>
        </row>
        <row r="683">
          <cell r="B683" t="str">
            <v>031510 KS</v>
          </cell>
          <cell r="C683">
            <v>41409</v>
          </cell>
          <cell r="D683" t="str">
            <v>E</v>
          </cell>
        </row>
        <row r="684">
          <cell r="B684" t="str">
            <v>031510 KS</v>
          </cell>
          <cell r="C684">
            <v>41409</v>
          </cell>
          <cell r="D684" t="str">
            <v>E</v>
          </cell>
        </row>
        <row r="685">
          <cell r="B685" t="str">
            <v>086980 KS</v>
          </cell>
          <cell r="C685">
            <v>41409</v>
          </cell>
          <cell r="D685" t="str">
            <v>E</v>
          </cell>
        </row>
        <row r="686">
          <cell r="B686" t="str">
            <v>000180 KS</v>
          </cell>
          <cell r="C686">
            <v>41409</v>
          </cell>
          <cell r="D686" t="str">
            <v>E</v>
          </cell>
        </row>
        <row r="687">
          <cell r="B687" t="str">
            <v>024850 KS</v>
          </cell>
          <cell r="C687">
            <v>41409</v>
          </cell>
          <cell r="D687" t="str">
            <v>E</v>
          </cell>
        </row>
        <row r="688">
          <cell r="B688" t="str">
            <v>085910 KS</v>
          </cell>
          <cell r="C688">
            <v>41409</v>
          </cell>
          <cell r="D688" t="str">
            <v>E</v>
          </cell>
        </row>
        <row r="689">
          <cell r="B689" t="str">
            <v>115570 KS</v>
          </cell>
          <cell r="C689">
            <v>41409</v>
          </cell>
          <cell r="D689" t="str">
            <v>E</v>
          </cell>
        </row>
        <row r="690">
          <cell r="B690" t="str">
            <v>053060 KS</v>
          </cell>
          <cell r="C690">
            <v>41409</v>
          </cell>
          <cell r="D690" t="str">
            <v>E</v>
          </cell>
        </row>
        <row r="691">
          <cell r="B691" t="str">
            <v>025750 KS</v>
          </cell>
          <cell r="C691">
            <v>41409</v>
          </cell>
          <cell r="D691" t="str">
            <v>E</v>
          </cell>
        </row>
        <row r="692">
          <cell r="B692" t="str">
            <v>025750 KS</v>
          </cell>
          <cell r="C692">
            <v>41409</v>
          </cell>
          <cell r="D692" t="str">
            <v>E</v>
          </cell>
        </row>
        <row r="693">
          <cell r="B693" t="str">
            <v>039010 KS</v>
          </cell>
          <cell r="C693">
            <v>41409</v>
          </cell>
          <cell r="D693" t="str">
            <v>E</v>
          </cell>
        </row>
        <row r="694">
          <cell r="B694" t="str">
            <v>010600 KS</v>
          </cell>
          <cell r="C694">
            <v>41409</v>
          </cell>
          <cell r="D694" t="str">
            <v>E</v>
          </cell>
        </row>
        <row r="695">
          <cell r="B695" t="str">
            <v>002240 KS</v>
          </cell>
          <cell r="C695">
            <v>41409</v>
          </cell>
          <cell r="D695" t="str">
            <v>E</v>
          </cell>
        </row>
        <row r="696">
          <cell r="B696" t="str">
            <v>002600 KS</v>
          </cell>
          <cell r="C696">
            <v>41409</v>
          </cell>
          <cell r="D696" t="str">
            <v>E</v>
          </cell>
        </row>
        <row r="697">
          <cell r="B697" t="str">
            <v>085670 KS</v>
          </cell>
          <cell r="C697">
            <v>41409</v>
          </cell>
          <cell r="D697" t="str">
            <v>E</v>
          </cell>
        </row>
        <row r="698">
          <cell r="B698" t="str">
            <v>041910 KS</v>
          </cell>
          <cell r="C698">
            <v>41409</v>
          </cell>
          <cell r="D698" t="str">
            <v>E</v>
          </cell>
        </row>
        <row r="699">
          <cell r="B699" t="str">
            <v>040160 KS</v>
          </cell>
          <cell r="C699">
            <v>41409</v>
          </cell>
          <cell r="D699" t="str">
            <v>E</v>
          </cell>
        </row>
        <row r="700">
          <cell r="B700" t="str">
            <v>089150 KS</v>
          </cell>
          <cell r="C700">
            <v>41409</v>
          </cell>
          <cell r="D700" t="str">
            <v>E</v>
          </cell>
        </row>
        <row r="701">
          <cell r="B701" t="str">
            <v>045660 KS</v>
          </cell>
          <cell r="C701">
            <v>41409</v>
          </cell>
          <cell r="D701" t="str">
            <v>E</v>
          </cell>
        </row>
        <row r="702">
          <cell r="B702" t="str">
            <v>005670 KS</v>
          </cell>
          <cell r="C702">
            <v>41409</v>
          </cell>
          <cell r="D702" t="str">
            <v>E</v>
          </cell>
        </row>
        <row r="703">
          <cell r="B703" t="str">
            <v>064480 KS</v>
          </cell>
          <cell r="C703">
            <v>41409</v>
          </cell>
          <cell r="D703" t="str">
            <v>E</v>
          </cell>
        </row>
        <row r="704">
          <cell r="B704" t="str">
            <v>010100 KS</v>
          </cell>
          <cell r="C704">
            <v>41409</v>
          </cell>
          <cell r="D704" t="str">
            <v>E</v>
          </cell>
        </row>
        <row r="705">
          <cell r="B705" t="str">
            <v>010100 KS</v>
          </cell>
          <cell r="C705">
            <v>41409</v>
          </cell>
          <cell r="D705" t="str">
            <v>E</v>
          </cell>
        </row>
        <row r="706">
          <cell r="B706" t="str">
            <v>041960 KS</v>
          </cell>
          <cell r="C706">
            <v>41409</v>
          </cell>
          <cell r="D706" t="str">
            <v>E</v>
          </cell>
        </row>
        <row r="707">
          <cell r="B707" t="str">
            <v>025440 KS</v>
          </cell>
          <cell r="C707">
            <v>41409</v>
          </cell>
          <cell r="D707" t="str">
            <v>E</v>
          </cell>
        </row>
        <row r="708">
          <cell r="B708" t="str">
            <v>084110 KS</v>
          </cell>
          <cell r="C708">
            <v>41409</v>
          </cell>
          <cell r="D708" t="str">
            <v>E</v>
          </cell>
        </row>
        <row r="709">
          <cell r="B709" t="str">
            <v>054410 KS</v>
          </cell>
          <cell r="C709">
            <v>41409</v>
          </cell>
          <cell r="D709" t="str">
            <v>E</v>
          </cell>
        </row>
        <row r="710">
          <cell r="B710" t="str">
            <v>039230 KS</v>
          </cell>
          <cell r="C710">
            <v>41409</v>
          </cell>
          <cell r="D710" t="str">
            <v>E</v>
          </cell>
        </row>
        <row r="711">
          <cell r="B711" t="str">
            <v>007120 KS</v>
          </cell>
          <cell r="C711">
            <v>41409</v>
          </cell>
          <cell r="D711" t="str">
            <v>E</v>
          </cell>
        </row>
        <row r="712">
          <cell r="B712" t="str">
            <v>043260 KS</v>
          </cell>
          <cell r="C712">
            <v>41409</v>
          </cell>
          <cell r="D712" t="str">
            <v>E</v>
          </cell>
        </row>
        <row r="713">
          <cell r="B713" t="str">
            <v>000520 KS</v>
          </cell>
          <cell r="C713">
            <v>41409</v>
          </cell>
          <cell r="D713" t="str">
            <v>E</v>
          </cell>
        </row>
        <row r="714">
          <cell r="B714" t="str">
            <v>053280 KS</v>
          </cell>
          <cell r="C714">
            <v>41409</v>
          </cell>
          <cell r="D714" t="str">
            <v>E</v>
          </cell>
        </row>
        <row r="715">
          <cell r="B715" t="str">
            <v>042500 KS</v>
          </cell>
          <cell r="C715">
            <v>41409</v>
          </cell>
          <cell r="D715" t="str">
            <v>E</v>
          </cell>
        </row>
        <row r="716">
          <cell r="B716" t="str">
            <v>097870 KS</v>
          </cell>
          <cell r="C716">
            <v>41409</v>
          </cell>
          <cell r="D716" t="str">
            <v>E</v>
          </cell>
        </row>
        <row r="717">
          <cell r="B717" t="str">
            <v>024090 KS</v>
          </cell>
          <cell r="C717">
            <v>41409</v>
          </cell>
          <cell r="D717" t="str">
            <v>E</v>
          </cell>
        </row>
        <row r="718">
          <cell r="B718" t="str">
            <v>007330 KS</v>
          </cell>
          <cell r="C718">
            <v>41409</v>
          </cell>
          <cell r="D718" t="str">
            <v>E</v>
          </cell>
        </row>
        <row r="719">
          <cell r="B719" t="str">
            <v>126600 KS</v>
          </cell>
          <cell r="C719">
            <v>41409</v>
          </cell>
          <cell r="D719" t="str">
            <v>E</v>
          </cell>
        </row>
        <row r="720">
          <cell r="B720" t="str">
            <v>034310 KS</v>
          </cell>
          <cell r="C720">
            <v>41409</v>
          </cell>
          <cell r="D720" t="str">
            <v>E</v>
          </cell>
        </row>
        <row r="721">
          <cell r="B721" t="str">
            <v>034310 KS</v>
          </cell>
          <cell r="C721">
            <v>41409</v>
          </cell>
          <cell r="D721" t="str">
            <v>E</v>
          </cell>
        </row>
        <row r="722">
          <cell r="B722" t="str">
            <v>005010 KS</v>
          </cell>
          <cell r="C722">
            <v>41409</v>
          </cell>
          <cell r="D722" t="str">
            <v>E</v>
          </cell>
        </row>
        <row r="723">
          <cell r="B723" t="str">
            <v>014910 KS</v>
          </cell>
          <cell r="C723">
            <v>41409</v>
          </cell>
          <cell r="D723" t="str">
            <v>E</v>
          </cell>
        </row>
        <row r="724">
          <cell r="B724" t="str">
            <v>036480 KS</v>
          </cell>
          <cell r="C724">
            <v>41409</v>
          </cell>
          <cell r="D724" t="str">
            <v>E</v>
          </cell>
        </row>
        <row r="725">
          <cell r="B725" t="str">
            <v>000420 KS</v>
          </cell>
          <cell r="C725">
            <v>41409</v>
          </cell>
          <cell r="D725" t="str">
            <v>E</v>
          </cell>
        </row>
        <row r="726">
          <cell r="B726" t="str">
            <v>017890 KS</v>
          </cell>
          <cell r="C726">
            <v>41409</v>
          </cell>
          <cell r="D726" t="str">
            <v>E</v>
          </cell>
        </row>
        <row r="727">
          <cell r="B727" t="str">
            <v>071280 KS</v>
          </cell>
          <cell r="C727">
            <v>41409</v>
          </cell>
          <cell r="D727" t="str">
            <v>E</v>
          </cell>
        </row>
        <row r="728">
          <cell r="B728" t="str">
            <v>049800 KS</v>
          </cell>
          <cell r="C728">
            <v>41409</v>
          </cell>
          <cell r="D728" t="str">
            <v>E</v>
          </cell>
        </row>
        <row r="729">
          <cell r="B729" t="str">
            <v>001000 KS</v>
          </cell>
          <cell r="C729">
            <v>41409</v>
          </cell>
          <cell r="D729" t="str">
            <v>E</v>
          </cell>
        </row>
        <row r="730">
          <cell r="B730" t="str">
            <v>012280 KS</v>
          </cell>
          <cell r="C730">
            <v>41409</v>
          </cell>
          <cell r="D730" t="str">
            <v>E</v>
          </cell>
        </row>
        <row r="731">
          <cell r="B731" t="str">
            <v>065710 KS</v>
          </cell>
          <cell r="C731">
            <v>41409</v>
          </cell>
          <cell r="D731" t="str">
            <v>E</v>
          </cell>
        </row>
        <row r="732">
          <cell r="B732" t="str">
            <v>030720 KS</v>
          </cell>
          <cell r="C732">
            <v>41409</v>
          </cell>
          <cell r="D732" t="str">
            <v>E</v>
          </cell>
        </row>
        <row r="733">
          <cell r="B733" t="str">
            <v>003070 KS</v>
          </cell>
          <cell r="C733">
            <v>41409</v>
          </cell>
          <cell r="D733" t="str">
            <v>E</v>
          </cell>
        </row>
        <row r="734">
          <cell r="B734" t="str">
            <v>035200 KS</v>
          </cell>
          <cell r="C734">
            <v>41409</v>
          </cell>
          <cell r="D734" t="str">
            <v>E</v>
          </cell>
        </row>
        <row r="735">
          <cell r="B735" t="str">
            <v>067900 KS</v>
          </cell>
          <cell r="C735">
            <v>41409</v>
          </cell>
          <cell r="D735" t="str">
            <v>E</v>
          </cell>
        </row>
        <row r="736">
          <cell r="B736" t="str">
            <v>003780 KS</v>
          </cell>
          <cell r="C736">
            <v>41409</v>
          </cell>
          <cell r="D736" t="str">
            <v>E</v>
          </cell>
        </row>
        <row r="737">
          <cell r="B737" t="str">
            <v>134780 KS</v>
          </cell>
          <cell r="C737">
            <v>41409</v>
          </cell>
          <cell r="D737" t="str">
            <v>E</v>
          </cell>
        </row>
        <row r="738">
          <cell r="B738" t="str">
            <v>110500 KS</v>
          </cell>
          <cell r="C738">
            <v>41409</v>
          </cell>
          <cell r="D738" t="str">
            <v>E</v>
          </cell>
        </row>
        <row r="739">
          <cell r="B739" t="str">
            <v>012320 KS</v>
          </cell>
          <cell r="C739">
            <v>41409</v>
          </cell>
          <cell r="D739" t="str">
            <v>E</v>
          </cell>
        </row>
        <row r="740">
          <cell r="B740" t="str">
            <v>038540 KS</v>
          </cell>
          <cell r="C740">
            <v>41409</v>
          </cell>
          <cell r="D740" t="str">
            <v>E</v>
          </cell>
        </row>
        <row r="741">
          <cell r="B741" t="str">
            <v>017960 KS</v>
          </cell>
          <cell r="C741">
            <v>41409</v>
          </cell>
          <cell r="D741" t="str">
            <v>E</v>
          </cell>
        </row>
        <row r="742">
          <cell r="B742" t="str">
            <v>002450 KS</v>
          </cell>
          <cell r="C742">
            <v>41409</v>
          </cell>
          <cell r="D742" t="str">
            <v>E</v>
          </cell>
        </row>
        <row r="743">
          <cell r="B743" t="str">
            <v>092630 KS</v>
          </cell>
          <cell r="C743">
            <v>41409</v>
          </cell>
          <cell r="D743" t="str">
            <v>E</v>
          </cell>
        </row>
        <row r="744">
          <cell r="B744" t="str">
            <v>066900 KS</v>
          </cell>
          <cell r="C744">
            <v>41409</v>
          </cell>
          <cell r="D744" t="str">
            <v>E</v>
          </cell>
        </row>
        <row r="745">
          <cell r="B745" t="str">
            <v>102120 KS</v>
          </cell>
          <cell r="C745">
            <v>41409</v>
          </cell>
          <cell r="D745" t="str">
            <v>E</v>
          </cell>
        </row>
        <row r="746">
          <cell r="B746" t="str">
            <v>004840 KS</v>
          </cell>
          <cell r="C746">
            <v>41409</v>
          </cell>
          <cell r="D746" t="str">
            <v>E</v>
          </cell>
        </row>
        <row r="747">
          <cell r="B747" t="str">
            <v>045970 KS</v>
          </cell>
          <cell r="C747">
            <v>41409</v>
          </cell>
          <cell r="D747" t="str">
            <v>E</v>
          </cell>
        </row>
        <row r="748">
          <cell r="B748" t="str">
            <v>100250 KS</v>
          </cell>
          <cell r="C748">
            <v>41409</v>
          </cell>
          <cell r="D748" t="str">
            <v>E</v>
          </cell>
        </row>
        <row r="749">
          <cell r="B749" t="str">
            <v>131090 KS</v>
          </cell>
          <cell r="C749">
            <v>41409</v>
          </cell>
          <cell r="D749" t="str">
            <v>E</v>
          </cell>
        </row>
        <row r="750">
          <cell r="B750" t="str">
            <v>003610 KS</v>
          </cell>
          <cell r="C750">
            <v>41409</v>
          </cell>
          <cell r="D750" t="str">
            <v>E</v>
          </cell>
        </row>
        <row r="751">
          <cell r="B751" t="str">
            <v>001420 KS</v>
          </cell>
          <cell r="C751">
            <v>41409</v>
          </cell>
          <cell r="D751" t="str">
            <v>E</v>
          </cell>
        </row>
        <row r="752">
          <cell r="B752" t="str">
            <v>018290 KS</v>
          </cell>
          <cell r="C752">
            <v>41409</v>
          </cell>
          <cell r="D752" t="str">
            <v>E</v>
          </cell>
        </row>
        <row r="753">
          <cell r="B753" t="str">
            <v>069730 KS</v>
          </cell>
          <cell r="C753">
            <v>41409</v>
          </cell>
          <cell r="D753" t="str">
            <v>E</v>
          </cell>
        </row>
        <row r="754">
          <cell r="B754" t="str">
            <v>053610 KS</v>
          </cell>
          <cell r="C754">
            <v>41409</v>
          </cell>
          <cell r="D754" t="str">
            <v>E</v>
          </cell>
        </row>
        <row r="755">
          <cell r="B755" t="str">
            <v>009160 KS</v>
          </cell>
          <cell r="C755">
            <v>41409</v>
          </cell>
          <cell r="D755" t="str">
            <v>E</v>
          </cell>
        </row>
        <row r="756">
          <cell r="B756" t="str">
            <v>002920 KS</v>
          </cell>
          <cell r="C756">
            <v>41409</v>
          </cell>
          <cell r="D756" t="str">
            <v>E</v>
          </cell>
        </row>
        <row r="757">
          <cell r="B757" t="str">
            <v>041590 KS</v>
          </cell>
          <cell r="C757">
            <v>41409</v>
          </cell>
          <cell r="D757" t="str">
            <v>E</v>
          </cell>
        </row>
        <row r="758">
          <cell r="B758" t="str">
            <v>006660 KS</v>
          </cell>
          <cell r="C758">
            <v>41409</v>
          </cell>
          <cell r="D758" t="str">
            <v>E</v>
          </cell>
        </row>
        <row r="759">
          <cell r="B759" t="str">
            <v>014970 KS</v>
          </cell>
          <cell r="C759">
            <v>41409</v>
          </cell>
          <cell r="D759" t="str">
            <v>E</v>
          </cell>
        </row>
        <row r="760">
          <cell r="B760" t="str">
            <v>011330 KS</v>
          </cell>
          <cell r="C760">
            <v>41409</v>
          </cell>
          <cell r="D760" t="str">
            <v>E</v>
          </cell>
        </row>
        <row r="761">
          <cell r="B761" t="str">
            <v>033110 KS</v>
          </cell>
          <cell r="C761">
            <v>41409</v>
          </cell>
          <cell r="D761" t="str">
            <v>E</v>
          </cell>
        </row>
        <row r="762">
          <cell r="B762" t="str">
            <v>105630 KS</v>
          </cell>
          <cell r="C762">
            <v>41409</v>
          </cell>
          <cell r="D762" t="str">
            <v>E</v>
          </cell>
        </row>
        <row r="763">
          <cell r="B763" t="str">
            <v>015020 KS</v>
          </cell>
          <cell r="C763">
            <v>41409</v>
          </cell>
          <cell r="D763" t="str">
            <v>E</v>
          </cell>
        </row>
        <row r="764">
          <cell r="B764" t="str">
            <v>095300 KS</v>
          </cell>
          <cell r="C764">
            <v>41409</v>
          </cell>
          <cell r="D764" t="str">
            <v>E</v>
          </cell>
        </row>
        <row r="765">
          <cell r="B765" t="str">
            <v>031980 KS</v>
          </cell>
          <cell r="C765">
            <v>41409</v>
          </cell>
          <cell r="D765" t="str">
            <v>E</v>
          </cell>
        </row>
        <row r="766">
          <cell r="B766" t="str">
            <v>008720 KS</v>
          </cell>
          <cell r="C766">
            <v>41409</v>
          </cell>
          <cell r="D766" t="str">
            <v>E</v>
          </cell>
        </row>
        <row r="767">
          <cell r="B767" t="str">
            <v>037270 KS</v>
          </cell>
          <cell r="C767">
            <v>41409</v>
          </cell>
          <cell r="D767" t="str">
            <v>E</v>
          </cell>
        </row>
        <row r="768">
          <cell r="B768" t="str">
            <v>004080 KS</v>
          </cell>
          <cell r="C768">
            <v>41409</v>
          </cell>
          <cell r="D768" t="str">
            <v>E</v>
          </cell>
        </row>
        <row r="769">
          <cell r="B769" t="str">
            <v>089980 KS</v>
          </cell>
          <cell r="C769">
            <v>41409</v>
          </cell>
          <cell r="D769" t="str">
            <v>E</v>
          </cell>
        </row>
        <row r="770">
          <cell r="B770" t="str">
            <v>017390 KS</v>
          </cell>
          <cell r="C770">
            <v>41409</v>
          </cell>
          <cell r="D770" t="str">
            <v>E</v>
          </cell>
        </row>
        <row r="771">
          <cell r="B771" t="str">
            <v>046070 KS</v>
          </cell>
          <cell r="C771">
            <v>41409</v>
          </cell>
          <cell r="D771" t="str">
            <v>E</v>
          </cell>
        </row>
        <row r="772">
          <cell r="B772" t="str">
            <v>059090 KS</v>
          </cell>
          <cell r="C772">
            <v>41409</v>
          </cell>
          <cell r="D772" t="str">
            <v>E</v>
          </cell>
        </row>
        <row r="773">
          <cell r="B773" t="str">
            <v>019300 KS</v>
          </cell>
          <cell r="C773">
            <v>41409</v>
          </cell>
          <cell r="D773" t="str">
            <v>E</v>
          </cell>
        </row>
        <row r="774">
          <cell r="B774" t="str">
            <v>126870 KS</v>
          </cell>
          <cell r="C774">
            <v>41409</v>
          </cell>
          <cell r="D774" t="str">
            <v>E</v>
          </cell>
        </row>
        <row r="775">
          <cell r="B775" t="str">
            <v>038870 KS</v>
          </cell>
          <cell r="C775">
            <v>41409</v>
          </cell>
          <cell r="D775" t="str">
            <v>E</v>
          </cell>
        </row>
        <row r="776">
          <cell r="B776" t="str">
            <v>080440 KS</v>
          </cell>
          <cell r="C776">
            <v>41409</v>
          </cell>
          <cell r="D776" t="str">
            <v>E</v>
          </cell>
        </row>
        <row r="777">
          <cell r="B777" t="str">
            <v>038870 KS</v>
          </cell>
          <cell r="C777">
            <v>41409</v>
          </cell>
          <cell r="D777" t="str">
            <v>E</v>
          </cell>
        </row>
        <row r="778">
          <cell r="B778" t="str">
            <v>080440 KS</v>
          </cell>
          <cell r="C778">
            <v>41409</v>
          </cell>
          <cell r="D778" t="str">
            <v>E</v>
          </cell>
        </row>
        <row r="779">
          <cell r="B779" t="str">
            <v>038290 KS</v>
          </cell>
          <cell r="C779">
            <v>41409</v>
          </cell>
          <cell r="D779" t="str">
            <v>E</v>
          </cell>
        </row>
        <row r="780">
          <cell r="B780" t="str">
            <v>008830 KS</v>
          </cell>
          <cell r="C780">
            <v>41409</v>
          </cell>
          <cell r="D780" t="str">
            <v>E</v>
          </cell>
        </row>
        <row r="781">
          <cell r="B781" t="str">
            <v>093920 KS</v>
          </cell>
          <cell r="C781">
            <v>41409</v>
          </cell>
          <cell r="D781" t="str">
            <v>E</v>
          </cell>
        </row>
        <row r="782">
          <cell r="B782" t="str">
            <v>027710 KS</v>
          </cell>
          <cell r="C782">
            <v>41409</v>
          </cell>
          <cell r="D782" t="str">
            <v>E</v>
          </cell>
        </row>
        <row r="783">
          <cell r="B783" t="str">
            <v>011690 KS</v>
          </cell>
          <cell r="C783">
            <v>41409</v>
          </cell>
          <cell r="D783" t="str">
            <v>E</v>
          </cell>
        </row>
        <row r="784">
          <cell r="B784" t="str">
            <v>032040 KS</v>
          </cell>
          <cell r="C784">
            <v>41409</v>
          </cell>
          <cell r="D784" t="str">
            <v>E</v>
          </cell>
        </row>
        <row r="785">
          <cell r="B785" t="str">
            <v>035810 KS</v>
          </cell>
          <cell r="C785">
            <v>41409</v>
          </cell>
          <cell r="D785" t="str">
            <v>E</v>
          </cell>
        </row>
        <row r="786">
          <cell r="B786" t="str">
            <v>000250 KS</v>
          </cell>
          <cell r="C786">
            <v>41409</v>
          </cell>
          <cell r="D786" t="str">
            <v>E</v>
          </cell>
        </row>
        <row r="787">
          <cell r="B787" t="str">
            <v>026260 KS</v>
          </cell>
          <cell r="C787">
            <v>41409</v>
          </cell>
          <cell r="D787" t="str">
            <v>E</v>
          </cell>
        </row>
        <row r="788">
          <cell r="B788" t="str">
            <v>032540 KS</v>
          </cell>
          <cell r="C788">
            <v>41409</v>
          </cell>
          <cell r="D788" t="str">
            <v>E</v>
          </cell>
        </row>
        <row r="789">
          <cell r="B789" t="str">
            <v>089790 KS</v>
          </cell>
          <cell r="C789">
            <v>41409</v>
          </cell>
          <cell r="D789" t="str">
            <v>E</v>
          </cell>
        </row>
        <row r="790">
          <cell r="B790" t="str">
            <v>010960 KS</v>
          </cell>
          <cell r="C790">
            <v>41409</v>
          </cell>
          <cell r="D790" t="str">
            <v>E</v>
          </cell>
        </row>
        <row r="791">
          <cell r="B791" t="str">
            <v>064290 KS</v>
          </cell>
          <cell r="C791">
            <v>41409</v>
          </cell>
          <cell r="D791" t="str">
            <v>E</v>
          </cell>
        </row>
        <row r="792">
          <cell r="B792" t="str">
            <v>024070 KS</v>
          </cell>
          <cell r="C792">
            <v>41409</v>
          </cell>
          <cell r="D792" t="str">
            <v>E</v>
          </cell>
        </row>
        <row r="793">
          <cell r="B793" t="str">
            <v>003080 KS</v>
          </cell>
          <cell r="C793">
            <v>41409</v>
          </cell>
          <cell r="D793" t="str">
            <v>E</v>
          </cell>
        </row>
        <row r="794">
          <cell r="B794" t="str">
            <v>032680 KS</v>
          </cell>
          <cell r="C794">
            <v>41409</v>
          </cell>
          <cell r="D794" t="str">
            <v>E</v>
          </cell>
        </row>
        <row r="795">
          <cell r="B795" t="str">
            <v>025620 KS</v>
          </cell>
          <cell r="C795">
            <v>41409</v>
          </cell>
          <cell r="D795" t="str">
            <v>E</v>
          </cell>
        </row>
        <row r="796">
          <cell r="B796" t="str">
            <v>029460 KS</v>
          </cell>
          <cell r="C796">
            <v>41409</v>
          </cell>
          <cell r="D796" t="str">
            <v>E</v>
          </cell>
        </row>
        <row r="797">
          <cell r="B797" t="str">
            <v>005720 KS</v>
          </cell>
          <cell r="C797">
            <v>41409</v>
          </cell>
          <cell r="D797" t="str">
            <v>E</v>
          </cell>
        </row>
        <row r="798">
          <cell r="B798" t="str">
            <v>043910 KS</v>
          </cell>
          <cell r="C798">
            <v>41409</v>
          </cell>
          <cell r="D798" t="str">
            <v>E</v>
          </cell>
        </row>
        <row r="799">
          <cell r="B799" t="str">
            <v>053690 KS</v>
          </cell>
          <cell r="C799">
            <v>41409</v>
          </cell>
          <cell r="D799" t="str">
            <v>E</v>
          </cell>
        </row>
        <row r="800">
          <cell r="B800" t="str">
            <v>005860 KS</v>
          </cell>
          <cell r="C800">
            <v>41409</v>
          </cell>
          <cell r="D800" t="str">
            <v>E</v>
          </cell>
        </row>
        <row r="801">
          <cell r="B801" t="str">
            <v>051170 KS</v>
          </cell>
          <cell r="C801">
            <v>41409</v>
          </cell>
          <cell r="D801" t="str">
            <v>E</v>
          </cell>
        </row>
        <row r="802">
          <cell r="B802" t="str">
            <v>026150 KS</v>
          </cell>
          <cell r="C802">
            <v>41409</v>
          </cell>
          <cell r="D802" t="str">
            <v>E</v>
          </cell>
        </row>
        <row r="803">
          <cell r="B803" t="str">
            <v>058820 KS</v>
          </cell>
          <cell r="C803">
            <v>41409</v>
          </cell>
          <cell r="D803" t="str">
            <v>E</v>
          </cell>
        </row>
        <row r="804">
          <cell r="B804" t="str">
            <v>138610 KS</v>
          </cell>
          <cell r="C804">
            <v>41409</v>
          </cell>
          <cell r="D804" t="str">
            <v>E</v>
          </cell>
        </row>
        <row r="805">
          <cell r="B805" t="str">
            <v>014280 KS</v>
          </cell>
          <cell r="C805">
            <v>41409</v>
          </cell>
          <cell r="D805" t="str">
            <v>E</v>
          </cell>
        </row>
        <row r="806">
          <cell r="B806" t="str">
            <v>031440 KS</v>
          </cell>
          <cell r="C806">
            <v>41409</v>
          </cell>
          <cell r="D806" t="str">
            <v>E</v>
          </cell>
        </row>
        <row r="807">
          <cell r="B807" t="str">
            <v>017250 KS</v>
          </cell>
          <cell r="C807">
            <v>41409</v>
          </cell>
          <cell r="D807" t="str">
            <v>E</v>
          </cell>
        </row>
        <row r="808">
          <cell r="B808" t="str">
            <v>123750 KS</v>
          </cell>
          <cell r="C808">
            <v>41409</v>
          </cell>
          <cell r="D808" t="str">
            <v>E</v>
          </cell>
        </row>
        <row r="809">
          <cell r="B809" t="str">
            <v>006340 KS</v>
          </cell>
          <cell r="C809">
            <v>41409</v>
          </cell>
          <cell r="D809" t="str">
            <v>E</v>
          </cell>
        </row>
        <row r="810">
          <cell r="B810" t="str">
            <v>083380 KS</v>
          </cell>
          <cell r="C810">
            <v>41409</v>
          </cell>
          <cell r="D810" t="str">
            <v>E</v>
          </cell>
        </row>
        <row r="811">
          <cell r="B811" t="str">
            <v>088290 KS</v>
          </cell>
          <cell r="C811">
            <v>41409</v>
          </cell>
          <cell r="D811" t="str">
            <v>E</v>
          </cell>
        </row>
        <row r="812">
          <cell r="B812" t="str">
            <v>083350 KS</v>
          </cell>
          <cell r="C812">
            <v>41409</v>
          </cell>
          <cell r="D812" t="str">
            <v>E</v>
          </cell>
        </row>
        <row r="813">
          <cell r="B813" t="str">
            <v>084690 KS</v>
          </cell>
          <cell r="C813">
            <v>41409</v>
          </cell>
          <cell r="D813" t="str">
            <v>E</v>
          </cell>
        </row>
        <row r="814">
          <cell r="B814" t="str">
            <v>001340 KS</v>
          </cell>
          <cell r="C814">
            <v>41409</v>
          </cell>
          <cell r="D814" t="str">
            <v>E</v>
          </cell>
        </row>
        <row r="815">
          <cell r="B815" t="str">
            <v>053450 KS</v>
          </cell>
          <cell r="C815">
            <v>41409</v>
          </cell>
          <cell r="D815" t="str">
            <v>E</v>
          </cell>
        </row>
        <row r="816">
          <cell r="B816" t="str">
            <v>001340 KS</v>
          </cell>
          <cell r="C816">
            <v>41409</v>
          </cell>
          <cell r="D816" t="str">
            <v>E</v>
          </cell>
        </row>
        <row r="817">
          <cell r="B817" t="str">
            <v>025890 KS</v>
          </cell>
          <cell r="C817">
            <v>41409</v>
          </cell>
          <cell r="D817" t="str">
            <v>E</v>
          </cell>
        </row>
        <row r="818">
          <cell r="B818" t="str">
            <v>083360 KS</v>
          </cell>
          <cell r="C818">
            <v>41409</v>
          </cell>
          <cell r="D818" t="str">
            <v>E</v>
          </cell>
        </row>
        <row r="819">
          <cell r="B819" t="str">
            <v>083390 KS</v>
          </cell>
          <cell r="C819">
            <v>41409</v>
          </cell>
          <cell r="D819" t="str">
            <v>E</v>
          </cell>
        </row>
        <row r="820">
          <cell r="B820" t="str">
            <v>080960 KS</v>
          </cell>
          <cell r="C820">
            <v>41409</v>
          </cell>
          <cell r="D820" t="str">
            <v>E</v>
          </cell>
        </row>
        <row r="821">
          <cell r="B821" t="str">
            <v>083370 KS</v>
          </cell>
          <cell r="C821">
            <v>41409</v>
          </cell>
          <cell r="D821" t="str">
            <v>E</v>
          </cell>
        </row>
        <row r="822">
          <cell r="B822" t="str">
            <v>109860 KS</v>
          </cell>
          <cell r="C822">
            <v>41409</v>
          </cell>
          <cell r="D822" t="str">
            <v>E</v>
          </cell>
        </row>
        <row r="823">
          <cell r="B823" t="str">
            <v>100120 KS</v>
          </cell>
          <cell r="C823">
            <v>41409</v>
          </cell>
          <cell r="D823" t="str">
            <v>E</v>
          </cell>
        </row>
        <row r="824">
          <cell r="B824" t="str">
            <v>007720 KS</v>
          </cell>
          <cell r="C824">
            <v>41409</v>
          </cell>
          <cell r="D824" t="str">
            <v>E</v>
          </cell>
        </row>
        <row r="825">
          <cell r="B825" t="str">
            <v>002000 KS</v>
          </cell>
          <cell r="C825">
            <v>41409</v>
          </cell>
          <cell r="D825" t="str">
            <v>E</v>
          </cell>
        </row>
        <row r="826">
          <cell r="B826" t="str">
            <v>068790 KS</v>
          </cell>
          <cell r="C826">
            <v>41409</v>
          </cell>
          <cell r="D826" t="str">
            <v>E</v>
          </cell>
        </row>
        <row r="827">
          <cell r="B827" t="str">
            <v>003680 KS</v>
          </cell>
          <cell r="C827">
            <v>41409</v>
          </cell>
          <cell r="D827" t="str">
            <v>E</v>
          </cell>
        </row>
        <row r="828">
          <cell r="B828" t="str">
            <v>080970 KS</v>
          </cell>
          <cell r="C828">
            <v>41409</v>
          </cell>
          <cell r="D828" t="str">
            <v>E</v>
          </cell>
        </row>
        <row r="829">
          <cell r="B829" t="str">
            <v>000850 KS</v>
          </cell>
          <cell r="C829">
            <v>41409</v>
          </cell>
          <cell r="D829" t="str">
            <v>E</v>
          </cell>
        </row>
        <row r="830">
          <cell r="B830" t="str">
            <v>130660 KS</v>
          </cell>
          <cell r="C830">
            <v>41409</v>
          </cell>
          <cell r="D830" t="str">
            <v>E</v>
          </cell>
        </row>
        <row r="831">
          <cell r="B831" t="str">
            <v>017000 KS</v>
          </cell>
          <cell r="C831">
            <v>41409</v>
          </cell>
          <cell r="D831" t="str">
            <v>E</v>
          </cell>
        </row>
        <row r="832">
          <cell r="B832" t="str">
            <v>009810 KS</v>
          </cell>
          <cell r="C832">
            <v>41409</v>
          </cell>
          <cell r="D832" t="str">
            <v>E</v>
          </cell>
        </row>
        <row r="833">
          <cell r="B833" t="str">
            <v>117670 KS</v>
          </cell>
          <cell r="C833">
            <v>41409</v>
          </cell>
          <cell r="D833" t="str">
            <v>E</v>
          </cell>
        </row>
        <row r="834">
          <cell r="B834" t="str">
            <v>068060 KS</v>
          </cell>
          <cell r="C834">
            <v>41409</v>
          </cell>
          <cell r="D834" t="str">
            <v>E</v>
          </cell>
        </row>
        <row r="835">
          <cell r="B835" t="str">
            <v>041650 KS</v>
          </cell>
          <cell r="C835">
            <v>41409</v>
          </cell>
          <cell r="D835" t="str">
            <v>E</v>
          </cell>
        </row>
        <row r="836">
          <cell r="B836" t="str">
            <v>058400 KS</v>
          </cell>
          <cell r="C836">
            <v>41409</v>
          </cell>
          <cell r="D836" t="str">
            <v>E</v>
          </cell>
        </row>
        <row r="837">
          <cell r="B837" t="str">
            <v>093050 KS</v>
          </cell>
          <cell r="C837">
            <v>41409</v>
          </cell>
          <cell r="D837" t="str">
            <v>E</v>
          </cell>
        </row>
        <row r="838">
          <cell r="B838" t="str">
            <v>008370 KS</v>
          </cell>
          <cell r="C838">
            <v>41409</v>
          </cell>
          <cell r="D838" t="str">
            <v>E</v>
          </cell>
        </row>
        <row r="839">
          <cell r="B839" t="str">
            <v>044480 KS</v>
          </cell>
          <cell r="C839">
            <v>41409</v>
          </cell>
          <cell r="D839" t="str">
            <v>E</v>
          </cell>
        </row>
        <row r="840">
          <cell r="B840" t="str">
            <v>080030 KS</v>
          </cell>
          <cell r="C840">
            <v>41409</v>
          </cell>
          <cell r="D840" t="str">
            <v>E</v>
          </cell>
        </row>
        <row r="841">
          <cell r="B841" t="str">
            <v>080980 KS</v>
          </cell>
          <cell r="C841">
            <v>41409</v>
          </cell>
          <cell r="D841" t="str">
            <v>E</v>
          </cell>
        </row>
        <row r="842">
          <cell r="B842" t="str">
            <v>004710 KS</v>
          </cell>
          <cell r="C842">
            <v>41409</v>
          </cell>
          <cell r="D842" t="str">
            <v>E</v>
          </cell>
        </row>
        <row r="843">
          <cell r="B843" t="str">
            <v>134060 KS</v>
          </cell>
          <cell r="C843">
            <v>41409</v>
          </cell>
          <cell r="D843" t="str">
            <v>E</v>
          </cell>
        </row>
        <row r="844">
          <cell r="B844" t="str">
            <v>001080 KS</v>
          </cell>
          <cell r="C844">
            <v>41409</v>
          </cell>
          <cell r="D844" t="str">
            <v>E</v>
          </cell>
        </row>
        <row r="845">
          <cell r="B845" t="str">
            <v>058450 KS</v>
          </cell>
          <cell r="C845">
            <v>41409</v>
          </cell>
          <cell r="D845" t="str">
            <v>E</v>
          </cell>
        </row>
        <row r="846">
          <cell r="B846" t="str">
            <v>008250 KS</v>
          </cell>
          <cell r="C846">
            <v>41409</v>
          </cell>
          <cell r="D846" t="str">
            <v>E</v>
          </cell>
        </row>
        <row r="847">
          <cell r="B847" t="str">
            <v>008250 KS</v>
          </cell>
          <cell r="C847">
            <v>41409</v>
          </cell>
          <cell r="D847" t="str">
            <v>E</v>
          </cell>
        </row>
        <row r="848">
          <cell r="B848" t="str">
            <v>032620 KS</v>
          </cell>
          <cell r="C848">
            <v>41409</v>
          </cell>
          <cell r="D848" t="str">
            <v>E</v>
          </cell>
        </row>
        <row r="849">
          <cell r="B849" t="str">
            <v>052600 KS</v>
          </cell>
          <cell r="C849">
            <v>41409</v>
          </cell>
          <cell r="D849" t="str">
            <v>E</v>
          </cell>
        </row>
        <row r="850">
          <cell r="B850" t="str">
            <v>068940 KS</v>
          </cell>
          <cell r="C850">
            <v>41409</v>
          </cell>
          <cell r="D850" t="str">
            <v>E</v>
          </cell>
        </row>
        <row r="851">
          <cell r="B851" t="str">
            <v>008420 KS</v>
          </cell>
          <cell r="C851">
            <v>41409</v>
          </cell>
          <cell r="D851" t="str">
            <v>E</v>
          </cell>
        </row>
        <row r="852">
          <cell r="B852" t="str">
            <v>036540 KS</v>
          </cell>
          <cell r="C852">
            <v>41409</v>
          </cell>
          <cell r="D852" t="str">
            <v>E</v>
          </cell>
        </row>
        <row r="853">
          <cell r="B853" t="str">
            <v>000430 KS</v>
          </cell>
          <cell r="C853">
            <v>41409</v>
          </cell>
          <cell r="D853" t="str">
            <v>E</v>
          </cell>
        </row>
        <row r="854">
          <cell r="B854" t="str">
            <v>016800 KS</v>
          </cell>
          <cell r="C854">
            <v>41409</v>
          </cell>
          <cell r="D854" t="str">
            <v>E</v>
          </cell>
        </row>
        <row r="855">
          <cell r="B855" t="str">
            <v>123420 KS</v>
          </cell>
          <cell r="C855">
            <v>41409</v>
          </cell>
          <cell r="D855" t="str">
            <v>E</v>
          </cell>
        </row>
        <row r="856">
          <cell r="B856" t="str">
            <v>100130 KS</v>
          </cell>
          <cell r="C856">
            <v>41409</v>
          </cell>
          <cell r="D856" t="str">
            <v>E</v>
          </cell>
        </row>
        <row r="857">
          <cell r="B857" t="str">
            <v>044960 KS</v>
          </cell>
          <cell r="C857">
            <v>41409</v>
          </cell>
          <cell r="D857" t="str">
            <v>E</v>
          </cell>
        </row>
        <row r="858">
          <cell r="B858" t="str">
            <v>014470 KS</v>
          </cell>
          <cell r="C858">
            <v>41409</v>
          </cell>
          <cell r="D858" t="str">
            <v>E</v>
          </cell>
        </row>
        <row r="859">
          <cell r="B859" t="str">
            <v>138490 KS</v>
          </cell>
          <cell r="C859">
            <v>41409</v>
          </cell>
          <cell r="D859" t="str">
            <v>E</v>
          </cell>
        </row>
        <row r="860">
          <cell r="B860" t="str">
            <v>002100 KS</v>
          </cell>
          <cell r="C860">
            <v>41409</v>
          </cell>
          <cell r="D860" t="str">
            <v>E</v>
          </cell>
        </row>
        <row r="861">
          <cell r="B861" t="str">
            <v>023410 KS</v>
          </cell>
          <cell r="C861">
            <v>41409</v>
          </cell>
          <cell r="D861" t="str">
            <v>E</v>
          </cell>
        </row>
        <row r="862">
          <cell r="B862" t="str">
            <v>023410 KS</v>
          </cell>
          <cell r="C862">
            <v>41409</v>
          </cell>
          <cell r="D862" t="str">
            <v>E</v>
          </cell>
        </row>
        <row r="863">
          <cell r="B863" t="str">
            <v>036500 KS</v>
          </cell>
          <cell r="C863">
            <v>41409</v>
          </cell>
          <cell r="D863" t="str">
            <v>E</v>
          </cell>
        </row>
        <row r="864">
          <cell r="B864" t="str">
            <v>109960 KS</v>
          </cell>
          <cell r="C864">
            <v>41409</v>
          </cell>
          <cell r="D864" t="str">
            <v>E</v>
          </cell>
        </row>
        <row r="865">
          <cell r="B865" t="str">
            <v>072020 KS</v>
          </cell>
          <cell r="C865">
            <v>41409</v>
          </cell>
          <cell r="D865" t="str">
            <v>E</v>
          </cell>
        </row>
        <row r="866">
          <cell r="B866" t="str">
            <v>069510 KS</v>
          </cell>
          <cell r="C866">
            <v>41409</v>
          </cell>
          <cell r="D866" t="str">
            <v>E</v>
          </cell>
        </row>
        <row r="867">
          <cell r="B867" t="str">
            <v>066350 KS</v>
          </cell>
          <cell r="C867">
            <v>41409</v>
          </cell>
          <cell r="D867" t="str">
            <v>E</v>
          </cell>
        </row>
        <row r="868">
          <cell r="B868" t="str">
            <v>069510 KS</v>
          </cell>
          <cell r="C868">
            <v>41409</v>
          </cell>
          <cell r="D868" t="str">
            <v>E</v>
          </cell>
        </row>
        <row r="869">
          <cell r="B869" t="str">
            <v>073070 KS</v>
          </cell>
          <cell r="C869">
            <v>41409</v>
          </cell>
          <cell r="D869" t="str">
            <v>E</v>
          </cell>
        </row>
        <row r="870">
          <cell r="B870" t="str">
            <v>000950 KS</v>
          </cell>
          <cell r="C870">
            <v>41409</v>
          </cell>
          <cell r="D870" t="str">
            <v>E</v>
          </cell>
        </row>
        <row r="871">
          <cell r="B871" t="str">
            <v>005980 KS</v>
          </cell>
          <cell r="C871">
            <v>41409</v>
          </cell>
          <cell r="D871" t="str">
            <v>E</v>
          </cell>
        </row>
        <row r="872">
          <cell r="B872" t="str">
            <v>053660 KS</v>
          </cell>
          <cell r="C872">
            <v>41409</v>
          </cell>
          <cell r="D872" t="str">
            <v>E</v>
          </cell>
        </row>
        <row r="873">
          <cell r="B873" t="str">
            <v>052670 KS</v>
          </cell>
          <cell r="C873">
            <v>41409</v>
          </cell>
          <cell r="D873" t="str">
            <v>E</v>
          </cell>
        </row>
        <row r="874">
          <cell r="B874" t="str">
            <v>038680 KS</v>
          </cell>
          <cell r="C874">
            <v>41409</v>
          </cell>
          <cell r="D874" t="str">
            <v>E</v>
          </cell>
        </row>
        <row r="875">
          <cell r="B875" t="str">
            <v>009780 KS</v>
          </cell>
          <cell r="C875">
            <v>41409</v>
          </cell>
          <cell r="D875" t="str">
            <v>E</v>
          </cell>
        </row>
        <row r="876">
          <cell r="B876" t="str">
            <v>010040 KS</v>
          </cell>
          <cell r="C876">
            <v>41409</v>
          </cell>
          <cell r="D876" t="str">
            <v>E</v>
          </cell>
        </row>
        <row r="877">
          <cell r="B877" t="str">
            <v>037760 KS</v>
          </cell>
          <cell r="C877">
            <v>41409</v>
          </cell>
          <cell r="D877" t="str">
            <v>E</v>
          </cell>
        </row>
        <row r="878">
          <cell r="B878" t="str">
            <v>008020 KS</v>
          </cell>
          <cell r="C878">
            <v>41409</v>
          </cell>
          <cell r="D878" t="str">
            <v>E</v>
          </cell>
        </row>
        <row r="879">
          <cell r="B879" t="str">
            <v>101330 KS</v>
          </cell>
          <cell r="C879">
            <v>41409</v>
          </cell>
          <cell r="D879" t="str">
            <v>E</v>
          </cell>
        </row>
        <row r="880">
          <cell r="B880" t="str">
            <v>064520 KS</v>
          </cell>
          <cell r="C880">
            <v>41409</v>
          </cell>
          <cell r="D880" t="str">
            <v>E</v>
          </cell>
        </row>
        <row r="881">
          <cell r="B881" t="str">
            <v>039670 KS</v>
          </cell>
          <cell r="C881">
            <v>41409</v>
          </cell>
          <cell r="D881" t="str">
            <v>E</v>
          </cell>
        </row>
        <row r="882">
          <cell r="B882" t="str">
            <v>006840 KS</v>
          </cell>
          <cell r="C882">
            <v>41409</v>
          </cell>
          <cell r="D882" t="str">
            <v>E</v>
          </cell>
        </row>
        <row r="883">
          <cell r="B883" t="str">
            <v>078650 KS</v>
          </cell>
          <cell r="C883">
            <v>41409</v>
          </cell>
          <cell r="D883" t="str">
            <v>E</v>
          </cell>
        </row>
        <row r="884">
          <cell r="B884" t="str">
            <v>019010 KS</v>
          </cell>
          <cell r="C884">
            <v>41409</v>
          </cell>
          <cell r="D884" t="str">
            <v>E</v>
          </cell>
        </row>
        <row r="885">
          <cell r="B885" t="str">
            <v>098660 KS</v>
          </cell>
          <cell r="C885">
            <v>41409</v>
          </cell>
          <cell r="D885" t="str">
            <v>E</v>
          </cell>
        </row>
        <row r="886">
          <cell r="B886" t="str">
            <v>000650 KS</v>
          </cell>
          <cell r="C886">
            <v>41409</v>
          </cell>
          <cell r="D886" t="str">
            <v>E</v>
          </cell>
        </row>
        <row r="887">
          <cell r="B887" t="str">
            <v>044180 KS</v>
          </cell>
          <cell r="C887">
            <v>41409</v>
          </cell>
          <cell r="D887" t="str">
            <v>E</v>
          </cell>
        </row>
        <row r="888">
          <cell r="B888" t="str">
            <v>010670 KS</v>
          </cell>
          <cell r="C888">
            <v>41409</v>
          </cell>
          <cell r="D888" t="str">
            <v>E</v>
          </cell>
        </row>
        <row r="889">
          <cell r="B889" t="str">
            <v>009320 KS</v>
          </cell>
          <cell r="C889">
            <v>41409</v>
          </cell>
          <cell r="D889" t="str">
            <v>E</v>
          </cell>
        </row>
        <row r="890">
          <cell r="B890" t="str">
            <v>015230 KS</v>
          </cell>
          <cell r="C890">
            <v>41409</v>
          </cell>
          <cell r="D890" t="str">
            <v>E</v>
          </cell>
        </row>
        <row r="891">
          <cell r="B891" t="str">
            <v>065560 KS</v>
          </cell>
          <cell r="C891">
            <v>41409</v>
          </cell>
          <cell r="D891" t="str">
            <v>E</v>
          </cell>
        </row>
        <row r="892">
          <cell r="B892" t="str">
            <v>033310 KS</v>
          </cell>
          <cell r="C892">
            <v>41409</v>
          </cell>
          <cell r="D892" t="str">
            <v>E</v>
          </cell>
        </row>
        <row r="893">
          <cell r="B893" t="str">
            <v>131180 KS</v>
          </cell>
          <cell r="C893">
            <v>41409</v>
          </cell>
          <cell r="D893" t="str">
            <v>E</v>
          </cell>
        </row>
        <row r="894">
          <cell r="B894" t="str">
            <v>032940 KS</v>
          </cell>
          <cell r="C894">
            <v>41409</v>
          </cell>
          <cell r="D894" t="str">
            <v>E</v>
          </cell>
        </row>
        <row r="895">
          <cell r="B895" t="str">
            <v>053260 KS</v>
          </cell>
          <cell r="C895">
            <v>41409</v>
          </cell>
          <cell r="D895" t="str">
            <v>E</v>
          </cell>
        </row>
        <row r="896">
          <cell r="B896" t="str">
            <v>096040 KS</v>
          </cell>
          <cell r="C896">
            <v>41409</v>
          </cell>
          <cell r="D896" t="str">
            <v>E</v>
          </cell>
        </row>
        <row r="897">
          <cell r="B897" t="str">
            <v>013000 KS</v>
          </cell>
          <cell r="C897">
            <v>41409</v>
          </cell>
          <cell r="D897" t="str">
            <v>E</v>
          </cell>
        </row>
        <row r="898">
          <cell r="B898" t="str">
            <v>086200 KS</v>
          </cell>
          <cell r="C898">
            <v>41409</v>
          </cell>
          <cell r="D898" t="str">
            <v>E</v>
          </cell>
        </row>
        <row r="899">
          <cell r="B899" t="str">
            <v>032960 KS</v>
          </cell>
          <cell r="C899">
            <v>41409</v>
          </cell>
          <cell r="D899" t="str">
            <v>E</v>
          </cell>
        </row>
        <row r="900">
          <cell r="B900" t="str">
            <v>023810 KS</v>
          </cell>
          <cell r="C900">
            <v>41409</v>
          </cell>
          <cell r="D900" t="str">
            <v>E</v>
          </cell>
        </row>
        <row r="901">
          <cell r="B901" t="str">
            <v>024840 KS</v>
          </cell>
          <cell r="C901">
            <v>41409</v>
          </cell>
          <cell r="D901" t="str">
            <v>E</v>
          </cell>
        </row>
        <row r="902">
          <cell r="B902" t="str">
            <v>106080 KS</v>
          </cell>
          <cell r="C902">
            <v>41409</v>
          </cell>
          <cell r="D902" t="str">
            <v>E</v>
          </cell>
        </row>
        <row r="903">
          <cell r="B903" t="str">
            <v>101680 KS</v>
          </cell>
          <cell r="C903">
            <v>41409</v>
          </cell>
          <cell r="D903" t="str">
            <v>E</v>
          </cell>
        </row>
        <row r="904">
          <cell r="B904" t="str">
            <v>036920 KS</v>
          </cell>
          <cell r="C904">
            <v>41409</v>
          </cell>
          <cell r="D904" t="str">
            <v>E</v>
          </cell>
        </row>
        <row r="905">
          <cell r="B905" t="str">
            <v>067290 KS</v>
          </cell>
          <cell r="C905">
            <v>41409</v>
          </cell>
          <cell r="D905" t="str">
            <v>E</v>
          </cell>
        </row>
        <row r="906">
          <cell r="B906" t="str">
            <v>024910 KS</v>
          </cell>
          <cell r="C906">
            <v>41409</v>
          </cell>
          <cell r="D906" t="str">
            <v>E</v>
          </cell>
        </row>
        <row r="907">
          <cell r="B907" t="str">
            <v>020400 KS</v>
          </cell>
          <cell r="C907">
            <v>41409</v>
          </cell>
          <cell r="D907" t="str">
            <v>E</v>
          </cell>
        </row>
        <row r="908">
          <cell r="B908" t="str">
            <v>023770 KS</v>
          </cell>
          <cell r="C908">
            <v>41409</v>
          </cell>
          <cell r="D908" t="str">
            <v>E</v>
          </cell>
        </row>
        <row r="909">
          <cell r="B909" t="str">
            <v>070590 KS</v>
          </cell>
          <cell r="C909">
            <v>41409</v>
          </cell>
          <cell r="D909" t="str">
            <v>E</v>
          </cell>
        </row>
        <row r="910">
          <cell r="B910" t="str">
            <v>084670 KS</v>
          </cell>
          <cell r="C910">
            <v>41409</v>
          </cell>
          <cell r="D910" t="str">
            <v>E</v>
          </cell>
        </row>
        <row r="911">
          <cell r="B911" t="str">
            <v>068150 KS</v>
          </cell>
          <cell r="C911">
            <v>41409</v>
          </cell>
          <cell r="D911" t="str">
            <v>E</v>
          </cell>
        </row>
        <row r="912">
          <cell r="B912" t="str">
            <v>077360 KS</v>
          </cell>
          <cell r="C912">
            <v>41409</v>
          </cell>
          <cell r="D912" t="str">
            <v>E</v>
          </cell>
        </row>
        <row r="913">
          <cell r="B913" t="str">
            <v>057030 KS</v>
          </cell>
          <cell r="C913">
            <v>41409</v>
          </cell>
          <cell r="D913" t="str">
            <v>E</v>
          </cell>
        </row>
        <row r="914">
          <cell r="B914" t="str">
            <v>010420 KS</v>
          </cell>
          <cell r="C914">
            <v>41409</v>
          </cell>
          <cell r="D914" t="str">
            <v>E</v>
          </cell>
        </row>
        <row r="915">
          <cell r="B915" t="str">
            <v>001570 KS</v>
          </cell>
          <cell r="C915">
            <v>41409</v>
          </cell>
          <cell r="D915" t="str">
            <v>E</v>
          </cell>
        </row>
        <row r="916">
          <cell r="B916" t="str">
            <v>046210 KS</v>
          </cell>
          <cell r="C916">
            <v>41409</v>
          </cell>
          <cell r="D916" t="str">
            <v>E</v>
          </cell>
        </row>
        <row r="917">
          <cell r="B917" t="str">
            <v>002200 KS</v>
          </cell>
          <cell r="C917">
            <v>41409</v>
          </cell>
          <cell r="D917" t="str">
            <v>E</v>
          </cell>
        </row>
        <row r="918">
          <cell r="B918" t="str">
            <v>060910 KS</v>
          </cell>
          <cell r="C918">
            <v>41409</v>
          </cell>
          <cell r="D918" t="str">
            <v>E</v>
          </cell>
        </row>
        <row r="919">
          <cell r="B919" t="str">
            <v>010580 KS</v>
          </cell>
          <cell r="C919">
            <v>41409</v>
          </cell>
          <cell r="D919" t="str">
            <v>E</v>
          </cell>
        </row>
        <row r="920">
          <cell r="B920" t="str">
            <v>012860 KS</v>
          </cell>
          <cell r="C920">
            <v>41409</v>
          </cell>
          <cell r="D920" t="str">
            <v>E</v>
          </cell>
        </row>
        <row r="921">
          <cell r="B921" t="str">
            <v>000800 KS</v>
          </cell>
          <cell r="C921">
            <v>41409</v>
          </cell>
          <cell r="D921" t="str">
            <v>E</v>
          </cell>
        </row>
        <row r="922">
          <cell r="B922" t="str">
            <v>065150 KS</v>
          </cell>
          <cell r="C922">
            <v>41409</v>
          </cell>
          <cell r="D922" t="str">
            <v>E</v>
          </cell>
        </row>
        <row r="923">
          <cell r="B923" t="str">
            <v>000680 KS</v>
          </cell>
          <cell r="C923">
            <v>41409</v>
          </cell>
          <cell r="D923" t="str">
            <v>E</v>
          </cell>
        </row>
        <row r="924">
          <cell r="B924" t="str">
            <v>001620 KS</v>
          </cell>
          <cell r="C924">
            <v>41409</v>
          </cell>
          <cell r="D924" t="str">
            <v>E</v>
          </cell>
        </row>
        <row r="925">
          <cell r="B925" t="str">
            <v>074130 KS</v>
          </cell>
          <cell r="C925">
            <v>41409</v>
          </cell>
          <cell r="D925" t="str">
            <v>E</v>
          </cell>
        </row>
        <row r="926">
          <cell r="B926" t="str">
            <v>003720 KS</v>
          </cell>
          <cell r="C926">
            <v>41409</v>
          </cell>
          <cell r="D926" t="str">
            <v>E</v>
          </cell>
        </row>
        <row r="927">
          <cell r="B927" t="str">
            <v>071930 KS</v>
          </cell>
          <cell r="C927">
            <v>41409</v>
          </cell>
          <cell r="D927" t="str">
            <v>E</v>
          </cell>
        </row>
        <row r="928">
          <cell r="B928" t="str">
            <v>051980 KS</v>
          </cell>
          <cell r="C928">
            <v>41409</v>
          </cell>
          <cell r="D928" t="str">
            <v>E</v>
          </cell>
        </row>
        <row r="929">
          <cell r="B929" t="str">
            <v>006980 KS</v>
          </cell>
          <cell r="C929">
            <v>41409</v>
          </cell>
          <cell r="D929" t="str">
            <v>E</v>
          </cell>
        </row>
        <row r="930">
          <cell r="B930" t="str">
            <v>068050 KS</v>
          </cell>
          <cell r="C930">
            <v>41409</v>
          </cell>
          <cell r="D930" t="str">
            <v>E</v>
          </cell>
        </row>
        <row r="931">
          <cell r="B931" t="str">
            <v>006580 KS</v>
          </cell>
          <cell r="C931">
            <v>41409</v>
          </cell>
          <cell r="D931" t="str">
            <v>E</v>
          </cell>
        </row>
        <row r="932">
          <cell r="B932" t="str">
            <v>035460 KS</v>
          </cell>
          <cell r="C932">
            <v>41409</v>
          </cell>
          <cell r="D932" t="str">
            <v>E</v>
          </cell>
        </row>
        <row r="933">
          <cell r="B933" t="str">
            <v>038010 KS</v>
          </cell>
          <cell r="C933">
            <v>41409</v>
          </cell>
          <cell r="D933" t="str">
            <v>E</v>
          </cell>
        </row>
        <row r="934">
          <cell r="B934" t="str">
            <v>016590 KS</v>
          </cell>
          <cell r="C934">
            <v>41409</v>
          </cell>
          <cell r="D934" t="str">
            <v>E</v>
          </cell>
        </row>
        <row r="935">
          <cell r="B935" t="str">
            <v>005750 KS</v>
          </cell>
          <cell r="C935">
            <v>41409</v>
          </cell>
          <cell r="D935" t="str">
            <v>E</v>
          </cell>
        </row>
        <row r="936">
          <cell r="B936" t="str">
            <v>030960 KS</v>
          </cell>
          <cell r="C936">
            <v>41409</v>
          </cell>
          <cell r="D936" t="str">
            <v>E</v>
          </cell>
        </row>
        <row r="937">
          <cell r="B937" t="str">
            <v>036200 KS</v>
          </cell>
          <cell r="C937">
            <v>41409</v>
          </cell>
          <cell r="D937" t="str">
            <v>E</v>
          </cell>
        </row>
        <row r="938">
          <cell r="B938" t="str">
            <v>109740 KS</v>
          </cell>
          <cell r="C938">
            <v>41409</v>
          </cell>
          <cell r="D938" t="str">
            <v>E</v>
          </cell>
        </row>
        <row r="939">
          <cell r="B939" t="str">
            <v>021320 KS</v>
          </cell>
          <cell r="C939">
            <v>41409</v>
          </cell>
          <cell r="D939" t="str">
            <v>E</v>
          </cell>
        </row>
        <row r="940">
          <cell r="B940" t="str">
            <v>033320 KS</v>
          </cell>
          <cell r="C940">
            <v>41409</v>
          </cell>
          <cell r="D940" t="str">
            <v>E</v>
          </cell>
        </row>
        <row r="941">
          <cell r="B941" t="str">
            <v>138070 KS</v>
          </cell>
          <cell r="C941">
            <v>41409</v>
          </cell>
          <cell r="D941" t="str">
            <v>E</v>
          </cell>
        </row>
        <row r="942">
          <cell r="B942" t="str">
            <v>014160 KS</v>
          </cell>
          <cell r="C942">
            <v>41409</v>
          </cell>
          <cell r="D942" t="str">
            <v>E</v>
          </cell>
        </row>
        <row r="943">
          <cell r="B943" t="str">
            <v>036120 KS</v>
          </cell>
          <cell r="C943">
            <v>41409</v>
          </cell>
          <cell r="D943" t="str">
            <v>E</v>
          </cell>
        </row>
        <row r="944">
          <cell r="B944" t="str">
            <v>121550 KS</v>
          </cell>
          <cell r="C944">
            <v>41409</v>
          </cell>
          <cell r="D944" t="str">
            <v>E</v>
          </cell>
        </row>
        <row r="945">
          <cell r="B945" t="str">
            <v>061970 KS</v>
          </cell>
          <cell r="C945">
            <v>41409</v>
          </cell>
          <cell r="D945" t="str">
            <v>E</v>
          </cell>
        </row>
        <row r="946">
          <cell r="B946" t="str">
            <v>079650 KS</v>
          </cell>
          <cell r="C946">
            <v>41409</v>
          </cell>
          <cell r="D946" t="str">
            <v>E</v>
          </cell>
        </row>
        <row r="947">
          <cell r="B947" t="str">
            <v>091340 KS</v>
          </cell>
          <cell r="C947">
            <v>41409</v>
          </cell>
          <cell r="D947" t="str">
            <v>E</v>
          </cell>
        </row>
        <row r="948">
          <cell r="B948" t="str">
            <v>069330 KS</v>
          </cell>
          <cell r="C948">
            <v>41409</v>
          </cell>
          <cell r="D948" t="str">
            <v>E</v>
          </cell>
        </row>
        <row r="949">
          <cell r="B949" t="str">
            <v>002810 KS</v>
          </cell>
          <cell r="C949">
            <v>41409</v>
          </cell>
          <cell r="D949" t="str">
            <v>E</v>
          </cell>
        </row>
        <row r="950">
          <cell r="B950" t="str">
            <v>066620 KS</v>
          </cell>
          <cell r="C950">
            <v>41409</v>
          </cell>
          <cell r="D950" t="str">
            <v>E</v>
          </cell>
        </row>
        <row r="951">
          <cell r="B951" t="str">
            <v>015200 KS</v>
          </cell>
          <cell r="C951">
            <v>41409</v>
          </cell>
          <cell r="D951" t="str">
            <v>E</v>
          </cell>
        </row>
        <row r="952">
          <cell r="B952" t="str">
            <v>041930 KS</v>
          </cell>
          <cell r="C952">
            <v>41409</v>
          </cell>
          <cell r="D952" t="str">
            <v>E</v>
          </cell>
        </row>
        <row r="953">
          <cell r="B953" t="str">
            <v>008290 KS</v>
          </cell>
          <cell r="C953">
            <v>41409</v>
          </cell>
          <cell r="D953" t="str">
            <v>E</v>
          </cell>
        </row>
        <row r="954">
          <cell r="B954" t="str">
            <v>005070 KS</v>
          </cell>
          <cell r="C954">
            <v>41409</v>
          </cell>
          <cell r="D954" t="str">
            <v>E</v>
          </cell>
        </row>
        <row r="955">
          <cell r="B955" t="str">
            <v>104700 KS</v>
          </cell>
          <cell r="C955">
            <v>41409</v>
          </cell>
          <cell r="D955" t="str">
            <v>E</v>
          </cell>
        </row>
        <row r="956">
          <cell r="B956" t="str">
            <v>019170 KS</v>
          </cell>
          <cell r="C956">
            <v>41409</v>
          </cell>
          <cell r="D956" t="str">
            <v>E</v>
          </cell>
        </row>
        <row r="957">
          <cell r="B957" t="str">
            <v>031390 KS</v>
          </cell>
          <cell r="C957">
            <v>41409</v>
          </cell>
          <cell r="D957" t="str">
            <v>E</v>
          </cell>
        </row>
        <row r="958">
          <cell r="B958" t="str">
            <v>137950 KS</v>
          </cell>
          <cell r="C958">
            <v>41409</v>
          </cell>
          <cell r="D958" t="str">
            <v>E</v>
          </cell>
        </row>
        <row r="959">
          <cell r="B959" t="str">
            <v>015260 KS</v>
          </cell>
          <cell r="C959">
            <v>41409</v>
          </cell>
          <cell r="D959" t="str">
            <v>E</v>
          </cell>
        </row>
        <row r="960">
          <cell r="B960" t="str">
            <v>078860 KS</v>
          </cell>
          <cell r="C960">
            <v>41409</v>
          </cell>
          <cell r="D960" t="str">
            <v>E</v>
          </cell>
        </row>
        <row r="961">
          <cell r="B961" t="str">
            <v>123690 KS</v>
          </cell>
          <cell r="C961">
            <v>41409</v>
          </cell>
          <cell r="D961" t="str">
            <v>E</v>
          </cell>
        </row>
        <row r="962">
          <cell r="B962" t="str">
            <v>121600 KS</v>
          </cell>
          <cell r="C962">
            <v>41409</v>
          </cell>
          <cell r="D962" t="str">
            <v>E</v>
          </cell>
        </row>
        <row r="963">
          <cell r="B963" t="str">
            <v>002220 KS</v>
          </cell>
          <cell r="C963">
            <v>41409</v>
          </cell>
          <cell r="D963" t="str">
            <v>E</v>
          </cell>
        </row>
        <row r="964">
          <cell r="B964" t="str">
            <v>081150 KS</v>
          </cell>
          <cell r="C964">
            <v>41409</v>
          </cell>
          <cell r="D964" t="str">
            <v>E</v>
          </cell>
        </row>
        <row r="965">
          <cell r="B965" t="str">
            <v>066110 KS</v>
          </cell>
          <cell r="C965">
            <v>41409</v>
          </cell>
          <cell r="D965" t="str">
            <v>E</v>
          </cell>
        </row>
        <row r="966">
          <cell r="B966" t="str">
            <v>030270 KS</v>
          </cell>
          <cell r="C966">
            <v>41409</v>
          </cell>
          <cell r="D966" t="str">
            <v>E</v>
          </cell>
        </row>
        <row r="967">
          <cell r="B967" t="str">
            <v>004780 KS</v>
          </cell>
          <cell r="C967">
            <v>41409</v>
          </cell>
          <cell r="D967" t="str">
            <v>E</v>
          </cell>
        </row>
        <row r="968">
          <cell r="B968" t="str">
            <v>031820 KS</v>
          </cell>
          <cell r="C968">
            <v>41409</v>
          </cell>
          <cell r="D968" t="str">
            <v>E</v>
          </cell>
        </row>
        <row r="969">
          <cell r="B969" t="str">
            <v>101490 KS</v>
          </cell>
          <cell r="C969">
            <v>41409</v>
          </cell>
          <cell r="D969" t="str">
            <v>E</v>
          </cell>
        </row>
        <row r="970">
          <cell r="B970" t="str">
            <v>009140 KS</v>
          </cell>
          <cell r="C970">
            <v>41409</v>
          </cell>
          <cell r="D970" t="str">
            <v>E</v>
          </cell>
        </row>
        <row r="971">
          <cell r="B971" t="str">
            <v>004370 KS</v>
          </cell>
          <cell r="C971">
            <v>41409</v>
          </cell>
          <cell r="D971" t="str">
            <v>E</v>
          </cell>
        </row>
        <row r="972">
          <cell r="B972" t="str">
            <v>014530 KS</v>
          </cell>
          <cell r="C972">
            <v>41409</v>
          </cell>
          <cell r="D972" t="str">
            <v>E</v>
          </cell>
        </row>
        <row r="973">
          <cell r="B973" t="str">
            <v>000910 KS</v>
          </cell>
          <cell r="C973">
            <v>41409</v>
          </cell>
          <cell r="D973" t="str">
            <v>E</v>
          </cell>
        </row>
        <row r="974">
          <cell r="B974" t="str">
            <v>009290 KS</v>
          </cell>
          <cell r="C974">
            <v>41409</v>
          </cell>
          <cell r="D974" t="str">
            <v>E</v>
          </cell>
        </row>
        <row r="975">
          <cell r="B975" t="str">
            <v>119860 KS</v>
          </cell>
          <cell r="C975">
            <v>41409</v>
          </cell>
          <cell r="D975" t="str">
            <v>E</v>
          </cell>
        </row>
        <row r="976">
          <cell r="B976" t="str">
            <v>002070 KS</v>
          </cell>
          <cell r="C976">
            <v>41409</v>
          </cell>
          <cell r="D976" t="str">
            <v>E</v>
          </cell>
        </row>
        <row r="977">
          <cell r="B977" t="str">
            <v>004770 KS</v>
          </cell>
          <cell r="C977">
            <v>41409</v>
          </cell>
          <cell r="D977" t="str">
            <v>E</v>
          </cell>
        </row>
        <row r="978">
          <cell r="B978" t="str">
            <v>017900 KS</v>
          </cell>
          <cell r="C978">
            <v>41409</v>
          </cell>
          <cell r="D978" t="str">
            <v>E</v>
          </cell>
        </row>
        <row r="979">
          <cell r="B979" t="str">
            <v>002360 KS</v>
          </cell>
          <cell r="C979">
            <v>41409</v>
          </cell>
          <cell r="D979" t="str">
            <v>E</v>
          </cell>
        </row>
        <row r="980">
          <cell r="B980" t="str">
            <v>073110 KS</v>
          </cell>
          <cell r="C980">
            <v>41409</v>
          </cell>
          <cell r="D980" t="str">
            <v>E</v>
          </cell>
        </row>
        <row r="981">
          <cell r="B981" t="str">
            <v>003940 KS</v>
          </cell>
          <cell r="C981">
            <v>41409</v>
          </cell>
          <cell r="D981" t="str">
            <v>E</v>
          </cell>
        </row>
        <row r="982">
          <cell r="B982" t="str">
            <v>069460 KS</v>
          </cell>
          <cell r="C982">
            <v>41409</v>
          </cell>
          <cell r="D982" t="str">
            <v>E</v>
          </cell>
        </row>
        <row r="983">
          <cell r="B983" t="str">
            <v>083790 KS</v>
          </cell>
          <cell r="C983">
            <v>41409</v>
          </cell>
          <cell r="D983" t="str">
            <v>E</v>
          </cell>
        </row>
        <row r="984">
          <cell r="B984" t="str">
            <v>003350 KS</v>
          </cell>
          <cell r="C984">
            <v>41409</v>
          </cell>
          <cell r="D984" t="str">
            <v>E</v>
          </cell>
        </row>
        <row r="985">
          <cell r="B985" t="str">
            <v>007160 KS</v>
          </cell>
          <cell r="C985">
            <v>41409</v>
          </cell>
          <cell r="D985" t="str">
            <v>E</v>
          </cell>
        </row>
        <row r="986">
          <cell r="B986" t="str">
            <v>058220 KS</v>
          </cell>
          <cell r="C986">
            <v>41409</v>
          </cell>
          <cell r="D986" t="str">
            <v>E</v>
          </cell>
        </row>
        <row r="987">
          <cell r="B987" t="str">
            <v>013360 KS</v>
          </cell>
          <cell r="C987">
            <v>41409</v>
          </cell>
          <cell r="D987" t="str">
            <v>E</v>
          </cell>
        </row>
        <row r="988">
          <cell r="B988" t="str">
            <v>038880 KS</v>
          </cell>
          <cell r="C988">
            <v>41409</v>
          </cell>
          <cell r="D988" t="str">
            <v>E</v>
          </cell>
        </row>
        <row r="989">
          <cell r="B989" t="str">
            <v>005030 KS</v>
          </cell>
          <cell r="C989">
            <v>41409</v>
          </cell>
          <cell r="D989" t="str">
            <v>E</v>
          </cell>
        </row>
        <row r="990">
          <cell r="B990" t="str">
            <v>052190 KS</v>
          </cell>
          <cell r="C990">
            <v>41409</v>
          </cell>
          <cell r="D990" t="str">
            <v>E</v>
          </cell>
        </row>
        <row r="991">
          <cell r="B991" t="str">
            <v>088130 KS</v>
          </cell>
          <cell r="C991">
            <v>41409</v>
          </cell>
          <cell r="D991" t="str">
            <v>E</v>
          </cell>
        </row>
        <row r="992">
          <cell r="B992" t="str">
            <v>084010 KS</v>
          </cell>
          <cell r="C992">
            <v>41409</v>
          </cell>
          <cell r="D992" t="str">
            <v>E</v>
          </cell>
        </row>
        <row r="993">
          <cell r="B993" t="str">
            <v>121890 KS</v>
          </cell>
          <cell r="C993">
            <v>41409</v>
          </cell>
          <cell r="D993" t="str">
            <v>E</v>
          </cell>
        </row>
        <row r="994">
          <cell r="B994" t="str">
            <v>016090 KS</v>
          </cell>
          <cell r="C994">
            <v>41409</v>
          </cell>
          <cell r="D994" t="str">
            <v>E</v>
          </cell>
        </row>
        <row r="995">
          <cell r="B995" t="str">
            <v>030350 KS</v>
          </cell>
          <cell r="C995">
            <v>41409</v>
          </cell>
          <cell r="D995" t="str">
            <v>E</v>
          </cell>
        </row>
        <row r="996">
          <cell r="B996" t="str">
            <v>054930 KS</v>
          </cell>
          <cell r="C996">
            <v>41409</v>
          </cell>
          <cell r="D996" t="str">
            <v>E</v>
          </cell>
        </row>
        <row r="997">
          <cell r="B997" t="str">
            <v>039530 KS</v>
          </cell>
          <cell r="C997">
            <v>41409</v>
          </cell>
          <cell r="D997" t="str">
            <v>E</v>
          </cell>
        </row>
        <row r="998">
          <cell r="B998" t="str">
            <v>008500 KS</v>
          </cell>
          <cell r="C998">
            <v>41409</v>
          </cell>
          <cell r="D998" t="str">
            <v>E</v>
          </cell>
        </row>
        <row r="999">
          <cell r="B999" t="str">
            <v>007540 KS</v>
          </cell>
          <cell r="C999">
            <v>41409</v>
          </cell>
          <cell r="D999" t="str">
            <v>E</v>
          </cell>
        </row>
        <row r="1000">
          <cell r="B1000" t="str">
            <v>143240 KS</v>
          </cell>
          <cell r="C1000">
            <v>41409</v>
          </cell>
          <cell r="D1000" t="str">
            <v>E</v>
          </cell>
        </row>
        <row r="1001">
          <cell r="B1001" t="str">
            <v>018470 KS</v>
          </cell>
          <cell r="C1001">
            <v>41409</v>
          </cell>
          <cell r="D1001" t="str">
            <v>E</v>
          </cell>
        </row>
        <row r="1002">
          <cell r="B1002" t="str">
            <v>033240 KS</v>
          </cell>
          <cell r="C1002">
            <v>41409</v>
          </cell>
          <cell r="D1002" t="str">
            <v>E</v>
          </cell>
        </row>
        <row r="1003">
          <cell r="B1003" t="str">
            <v>056810 KS</v>
          </cell>
          <cell r="C1003">
            <v>41409</v>
          </cell>
          <cell r="D1003" t="str">
            <v>E</v>
          </cell>
        </row>
        <row r="1004">
          <cell r="B1004" t="str">
            <v>024740 KS</v>
          </cell>
          <cell r="C1004">
            <v>41409</v>
          </cell>
          <cell r="D1004" t="str">
            <v>E</v>
          </cell>
        </row>
        <row r="1005">
          <cell r="B1005" t="str">
            <v>002170 KS</v>
          </cell>
          <cell r="C1005">
            <v>41409</v>
          </cell>
          <cell r="D1005" t="str">
            <v>E</v>
          </cell>
        </row>
        <row r="1006">
          <cell r="B1006" t="str">
            <v>101060 KS</v>
          </cell>
          <cell r="C1006">
            <v>41409</v>
          </cell>
          <cell r="D1006" t="str">
            <v>E</v>
          </cell>
        </row>
        <row r="1007">
          <cell r="B1007" t="str">
            <v>038110 KS</v>
          </cell>
          <cell r="C1007">
            <v>41409</v>
          </cell>
          <cell r="D1007" t="str">
            <v>E</v>
          </cell>
        </row>
        <row r="1008">
          <cell r="B1008" t="str">
            <v>078130 KS</v>
          </cell>
          <cell r="C1008">
            <v>41409</v>
          </cell>
          <cell r="D1008" t="str">
            <v>E</v>
          </cell>
        </row>
        <row r="1009">
          <cell r="B1009" t="str">
            <v>004490 KS</v>
          </cell>
          <cell r="C1009">
            <v>41409</v>
          </cell>
          <cell r="D1009" t="str">
            <v>E</v>
          </cell>
        </row>
        <row r="1010">
          <cell r="B1010" t="str">
            <v>038340 KS</v>
          </cell>
          <cell r="C1010">
            <v>41409</v>
          </cell>
          <cell r="D1010" t="str">
            <v>E</v>
          </cell>
        </row>
        <row r="1011">
          <cell r="B1011" t="str">
            <v>128660 KS</v>
          </cell>
          <cell r="C1011">
            <v>41409</v>
          </cell>
          <cell r="D1011" t="str">
            <v>E</v>
          </cell>
        </row>
        <row r="1012">
          <cell r="B1012" t="str">
            <v>011320 KS</v>
          </cell>
          <cell r="C1012">
            <v>41409</v>
          </cell>
          <cell r="D1012" t="str">
            <v>E</v>
          </cell>
        </row>
        <row r="1013">
          <cell r="B1013" t="str">
            <v>011500 KS</v>
          </cell>
          <cell r="C1013">
            <v>41409</v>
          </cell>
          <cell r="D1013" t="str">
            <v>E</v>
          </cell>
        </row>
        <row r="1014">
          <cell r="B1014" t="str">
            <v>010820 KS</v>
          </cell>
          <cell r="C1014">
            <v>41409</v>
          </cell>
          <cell r="D1014" t="str">
            <v>E</v>
          </cell>
        </row>
        <row r="1015">
          <cell r="B1015" t="str">
            <v>024900 KS</v>
          </cell>
          <cell r="C1015">
            <v>41409</v>
          </cell>
          <cell r="D1015" t="str">
            <v>E</v>
          </cell>
        </row>
        <row r="1016">
          <cell r="B1016" t="str">
            <v>110570 KS</v>
          </cell>
          <cell r="C1016">
            <v>41409</v>
          </cell>
          <cell r="D1016" t="str">
            <v>E</v>
          </cell>
        </row>
        <row r="1017">
          <cell r="B1017" t="str">
            <v>011720 KS</v>
          </cell>
          <cell r="C1017">
            <v>41409</v>
          </cell>
          <cell r="D1017" t="str">
            <v>E</v>
          </cell>
        </row>
        <row r="1018">
          <cell r="B1018" t="str">
            <v>011080 KS</v>
          </cell>
          <cell r="C1018">
            <v>41409</v>
          </cell>
          <cell r="D1018" t="str">
            <v>E</v>
          </cell>
        </row>
        <row r="1019">
          <cell r="B1019" t="str">
            <v>073570 KS</v>
          </cell>
          <cell r="C1019">
            <v>41409</v>
          </cell>
          <cell r="D1019" t="str">
            <v>E</v>
          </cell>
        </row>
        <row r="1020">
          <cell r="B1020" t="str">
            <v>073570 KS</v>
          </cell>
          <cell r="C1020">
            <v>41409</v>
          </cell>
          <cell r="D1020" t="str">
            <v>E</v>
          </cell>
        </row>
        <row r="1021">
          <cell r="B1021" t="str">
            <v>010240 KS</v>
          </cell>
          <cell r="C1021">
            <v>41409</v>
          </cell>
          <cell r="D1021" t="str">
            <v>E</v>
          </cell>
        </row>
        <row r="1022">
          <cell r="B1022" t="str">
            <v>039290 KS</v>
          </cell>
          <cell r="C1022">
            <v>41409</v>
          </cell>
          <cell r="D1022" t="str">
            <v>E</v>
          </cell>
        </row>
        <row r="1023">
          <cell r="B1023" t="str">
            <v>035620 KS</v>
          </cell>
          <cell r="C1023">
            <v>41409</v>
          </cell>
          <cell r="D1023" t="str">
            <v>E</v>
          </cell>
        </row>
        <row r="1024">
          <cell r="B1024" t="str">
            <v>049770 KS</v>
          </cell>
          <cell r="C1024">
            <v>41409</v>
          </cell>
          <cell r="D1024" t="str">
            <v>E</v>
          </cell>
        </row>
        <row r="1025">
          <cell r="B1025" t="str">
            <v>100660 KS</v>
          </cell>
          <cell r="C1025">
            <v>41409</v>
          </cell>
          <cell r="D1025" t="str">
            <v>E</v>
          </cell>
        </row>
        <row r="1026">
          <cell r="B1026" t="str">
            <v>023900 KS</v>
          </cell>
          <cell r="C1026">
            <v>41409</v>
          </cell>
          <cell r="D1026" t="str">
            <v>E</v>
          </cell>
        </row>
        <row r="1027">
          <cell r="B1027" t="str">
            <v>031860 KS</v>
          </cell>
          <cell r="C1027">
            <v>41409</v>
          </cell>
          <cell r="D1027" t="str">
            <v>E</v>
          </cell>
        </row>
        <row r="1028">
          <cell r="B1028" t="str">
            <v>043100 KS</v>
          </cell>
          <cell r="C1028">
            <v>41409</v>
          </cell>
          <cell r="D1028" t="str">
            <v>E</v>
          </cell>
        </row>
        <row r="1029">
          <cell r="B1029" t="str">
            <v>064550 KS</v>
          </cell>
          <cell r="C1029">
            <v>41409</v>
          </cell>
          <cell r="D1029" t="str">
            <v>E</v>
          </cell>
        </row>
        <row r="1030">
          <cell r="B1030" t="str">
            <v>090120 KS</v>
          </cell>
          <cell r="C1030">
            <v>41409</v>
          </cell>
          <cell r="D1030" t="str">
            <v>E</v>
          </cell>
        </row>
        <row r="1031">
          <cell r="B1031" t="str">
            <v>081970 KS</v>
          </cell>
          <cell r="C1031">
            <v>41409</v>
          </cell>
          <cell r="D1031" t="str">
            <v>E</v>
          </cell>
        </row>
        <row r="1032">
          <cell r="B1032" t="str">
            <v>065530 KS</v>
          </cell>
          <cell r="C1032">
            <v>41409</v>
          </cell>
          <cell r="D1032" t="str">
            <v>E</v>
          </cell>
        </row>
        <row r="1033">
          <cell r="B1033" t="str">
            <v>004090 KS</v>
          </cell>
          <cell r="C1033">
            <v>41409</v>
          </cell>
          <cell r="D1033" t="str">
            <v>E</v>
          </cell>
        </row>
        <row r="1034">
          <cell r="B1034" t="str">
            <v>036630 KS</v>
          </cell>
          <cell r="C1034">
            <v>41409</v>
          </cell>
          <cell r="D1034" t="str">
            <v>E</v>
          </cell>
        </row>
        <row r="1035">
          <cell r="B1035" t="str">
            <v>002700 KS</v>
          </cell>
          <cell r="C1035">
            <v>41409</v>
          </cell>
          <cell r="D1035" t="str">
            <v>E</v>
          </cell>
        </row>
        <row r="1036">
          <cell r="B1036" t="str">
            <v>007590 KS</v>
          </cell>
          <cell r="C1036">
            <v>41409</v>
          </cell>
          <cell r="D1036" t="str">
            <v>E</v>
          </cell>
        </row>
        <row r="1037">
          <cell r="B1037" t="str">
            <v>131220 KS</v>
          </cell>
          <cell r="C1037">
            <v>41409</v>
          </cell>
          <cell r="D1037" t="str">
            <v>E</v>
          </cell>
        </row>
        <row r="1038">
          <cell r="B1038" t="str">
            <v>001550 KS</v>
          </cell>
          <cell r="C1038">
            <v>41409</v>
          </cell>
          <cell r="D1038" t="str">
            <v>E</v>
          </cell>
        </row>
        <row r="1039">
          <cell r="B1039" t="str">
            <v>066590 KS</v>
          </cell>
          <cell r="C1039">
            <v>41409</v>
          </cell>
          <cell r="D1039" t="str">
            <v>E</v>
          </cell>
        </row>
        <row r="1040">
          <cell r="B1040" t="str">
            <v>067080 KS</v>
          </cell>
          <cell r="C1040">
            <v>41409</v>
          </cell>
          <cell r="D1040" t="str">
            <v>E</v>
          </cell>
        </row>
        <row r="1041">
          <cell r="B1041" t="str">
            <v>002310 KS</v>
          </cell>
          <cell r="C1041">
            <v>41409</v>
          </cell>
          <cell r="D1041" t="str">
            <v>E</v>
          </cell>
        </row>
        <row r="1042">
          <cell r="B1042" t="str">
            <v>053810 KS</v>
          </cell>
          <cell r="C1042">
            <v>41409</v>
          </cell>
          <cell r="D1042" t="str">
            <v>E</v>
          </cell>
        </row>
        <row r="1043">
          <cell r="B1043" t="str">
            <v>005090 KS</v>
          </cell>
          <cell r="C1043">
            <v>41409</v>
          </cell>
          <cell r="D1043" t="str">
            <v>E</v>
          </cell>
        </row>
        <row r="1044">
          <cell r="B1044" t="str">
            <v>001130 KS</v>
          </cell>
          <cell r="C1044">
            <v>41409</v>
          </cell>
          <cell r="D1044" t="str">
            <v>E</v>
          </cell>
        </row>
        <row r="1045">
          <cell r="B1045" t="str">
            <v>004560 KS</v>
          </cell>
          <cell r="C1045">
            <v>41409</v>
          </cell>
          <cell r="D1045" t="str">
            <v>E</v>
          </cell>
        </row>
        <row r="1046">
          <cell r="B1046" t="str">
            <v>046400 KS</v>
          </cell>
          <cell r="C1046">
            <v>41409</v>
          </cell>
          <cell r="D1046" t="str">
            <v>E</v>
          </cell>
        </row>
        <row r="1047">
          <cell r="B1047" t="str">
            <v>004960 KS</v>
          </cell>
          <cell r="C1047">
            <v>41409</v>
          </cell>
          <cell r="D1047" t="str">
            <v>E</v>
          </cell>
        </row>
        <row r="1048">
          <cell r="B1048" t="str">
            <v>015350 KS</v>
          </cell>
          <cell r="C1048">
            <v>41409</v>
          </cell>
          <cell r="D1048" t="str">
            <v>E</v>
          </cell>
        </row>
        <row r="1049">
          <cell r="B1049" t="str">
            <v>012600 KS</v>
          </cell>
          <cell r="C1049">
            <v>41409</v>
          </cell>
          <cell r="D1049" t="str">
            <v>E</v>
          </cell>
        </row>
        <row r="1050">
          <cell r="B1050" t="str">
            <v>033160 KS</v>
          </cell>
          <cell r="C1050">
            <v>41409</v>
          </cell>
          <cell r="D1050" t="str">
            <v>E</v>
          </cell>
        </row>
        <row r="1051">
          <cell r="B1051" t="str">
            <v>006730 KS</v>
          </cell>
          <cell r="C1051">
            <v>41409</v>
          </cell>
          <cell r="D1051" t="str">
            <v>E</v>
          </cell>
        </row>
        <row r="1052">
          <cell r="B1052" t="str">
            <v>001940 KS</v>
          </cell>
          <cell r="C1052">
            <v>41409</v>
          </cell>
          <cell r="D1052" t="str">
            <v>E</v>
          </cell>
        </row>
        <row r="1053">
          <cell r="B1053" t="str">
            <v>058370 KS</v>
          </cell>
          <cell r="C1053">
            <v>41409</v>
          </cell>
          <cell r="D1053" t="str">
            <v>E</v>
          </cell>
        </row>
        <row r="1054">
          <cell r="B1054" t="str">
            <v>000990 KS</v>
          </cell>
          <cell r="C1054">
            <v>41409</v>
          </cell>
          <cell r="D1054" t="str">
            <v>E</v>
          </cell>
        </row>
        <row r="1055">
          <cell r="B1055" t="str">
            <v>011090 KS</v>
          </cell>
          <cell r="C1055">
            <v>41409</v>
          </cell>
          <cell r="D1055" t="str">
            <v>E</v>
          </cell>
        </row>
        <row r="1056">
          <cell r="B1056" t="str">
            <v>001140 KS</v>
          </cell>
          <cell r="C1056">
            <v>41409</v>
          </cell>
          <cell r="D1056" t="str">
            <v>E</v>
          </cell>
        </row>
        <row r="1057">
          <cell r="B1057" t="str">
            <v>017040 KS</v>
          </cell>
          <cell r="C1057">
            <v>41409</v>
          </cell>
          <cell r="D1057" t="str">
            <v>E</v>
          </cell>
        </row>
        <row r="1058">
          <cell r="B1058" t="str">
            <v>087730 KS</v>
          </cell>
          <cell r="C1058">
            <v>41409</v>
          </cell>
          <cell r="D1058" t="str">
            <v>C</v>
          </cell>
        </row>
        <row r="1059">
          <cell r="B1059" t="str">
            <v>043370 KS</v>
          </cell>
          <cell r="C1059">
            <v>41409</v>
          </cell>
          <cell r="D1059" t="str">
            <v>E</v>
          </cell>
        </row>
        <row r="1060">
          <cell r="B1060" t="str">
            <v>049480 KS</v>
          </cell>
          <cell r="C1060">
            <v>41409</v>
          </cell>
          <cell r="D1060" t="str">
            <v>E</v>
          </cell>
        </row>
        <row r="1061">
          <cell r="B1061" t="str">
            <v>067990 KS</v>
          </cell>
          <cell r="C1061">
            <v>41409</v>
          </cell>
          <cell r="D1061" t="str">
            <v>E</v>
          </cell>
        </row>
        <row r="1062">
          <cell r="B1062" t="str">
            <v>040350 KS</v>
          </cell>
          <cell r="C1062">
            <v>41409</v>
          </cell>
          <cell r="D1062" t="str">
            <v>E</v>
          </cell>
        </row>
        <row r="1063">
          <cell r="B1063" t="str">
            <v>083420 KS</v>
          </cell>
          <cell r="C1063">
            <v>41409</v>
          </cell>
          <cell r="D1063" t="str">
            <v>E</v>
          </cell>
        </row>
        <row r="1064">
          <cell r="B1064" t="str">
            <v>039740 KS</v>
          </cell>
          <cell r="C1064">
            <v>41409</v>
          </cell>
          <cell r="D1064" t="str">
            <v>E</v>
          </cell>
        </row>
        <row r="1065">
          <cell r="B1065" t="str">
            <v>017680 KS</v>
          </cell>
          <cell r="C1065">
            <v>41409</v>
          </cell>
          <cell r="D1065" t="str">
            <v>E</v>
          </cell>
        </row>
        <row r="1066">
          <cell r="B1066" t="str">
            <v>013700 KS</v>
          </cell>
          <cell r="C1066">
            <v>41409</v>
          </cell>
          <cell r="D1066" t="str">
            <v>E</v>
          </cell>
        </row>
        <row r="1067">
          <cell r="B1067" t="str">
            <v>051780 KS</v>
          </cell>
          <cell r="C1067">
            <v>41409</v>
          </cell>
          <cell r="D1067" t="str">
            <v>E</v>
          </cell>
        </row>
        <row r="1068">
          <cell r="B1068" t="str">
            <v>004830 KS</v>
          </cell>
          <cell r="C1068">
            <v>41409</v>
          </cell>
          <cell r="D1068" t="str">
            <v>E</v>
          </cell>
        </row>
        <row r="1069">
          <cell r="B1069" t="str">
            <v>005820 KS</v>
          </cell>
          <cell r="C1069">
            <v>41409</v>
          </cell>
          <cell r="D1069" t="str">
            <v>E</v>
          </cell>
        </row>
        <row r="1070">
          <cell r="B1070" t="str">
            <v>028670 KS</v>
          </cell>
          <cell r="C1070">
            <v>41409</v>
          </cell>
          <cell r="D1070" t="str">
            <v>C</v>
          </cell>
        </row>
        <row r="1071">
          <cell r="B1071" t="str">
            <v>028670 KS</v>
          </cell>
          <cell r="C1071">
            <v>41409</v>
          </cell>
          <cell r="D1071" t="str">
            <v>E</v>
          </cell>
        </row>
        <row r="1072">
          <cell r="B1072" t="str">
            <v>039420 KS</v>
          </cell>
          <cell r="C1072">
            <v>41409</v>
          </cell>
          <cell r="D1072" t="str">
            <v>E</v>
          </cell>
        </row>
        <row r="1073">
          <cell r="B1073" t="str">
            <v>080420 KS</v>
          </cell>
          <cell r="C1073">
            <v>41409</v>
          </cell>
          <cell r="D1073" t="str">
            <v>E</v>
          </cell>
        </row>
        <row r="1074">
          <cell r="B1074" t="str">
            <v>101140 KS</v>
          </cell>
          <cell r="C1074">
            <v>41409</v>
          </cell>
          <cell r="D1074" t="str">
            <v>E</v>
          </cell>
        </row>
        <row r="1075">
          <cell r="B1075" t="str">
            <v>023590 KS</v>
          </cell>
          <cell r="C1075">
            <v>41409</v>
          </cell>
          <cell r="D1075" t="str">
            <v>E</v>
          </cell>
        </row>
        <row r="1076">
          <cell r="B1076" t="str">
            <v>014990 KS</v>
          </cell>
          <cell r="C1076">
            <v>41409</v>
          </cell>
          <cell r="D1076" t="str">
            <v>E</v>
          </cell>
        </row>
        <row r="1077">
          <cell r="B1077" t="str">
            <v>086450 KS</v>
          </cell>
          <cell r="C1077">
            <v>41409</v>
          </cell>
          <cell r="D1077" t="str">
            <v>E</v>
          </cell>
        </row>
        <row r="1078">
          <cell r="B1078" t="str">
            <v>004270 KS</v>
          </cell>
          <cell r="C1078">
            <v>41409</v>
          </cell>
          <cell r="D1078" t="str">
            <v>E</v>
          </cell>
        </row>
        <row r="1079">
          <cell r="B1079" t="str">
            <v>036690 KS</v>
          </cell>
          <cell r="C1079">
            <v>41409</v>
          </cell>
          <cell r="D1079" t="str">
            <v>E</v>
          </cell>
        </row>
        <row r="1080">
          <cell r="B1080" t="str">
            <v>007700 KS</v>
          </cell>
          <cell r="C1080">
            <v>41409</v>
          </cell>
          <cell r="D1080" t="str">
            <v>E</v>
          </cell>
        </row>
        <row r="1081">
          <cell r="B1081" t="str">
            <v>047400 KS</v>
          </cell>
          <cell r="C1081">
            <v>41409</v>
          </cell>
          <cell r="D1081" t="str">
            <v>E</v>
          </cell>
        </row>
        <row r="1082">
          <cell r="B1082" t="str">
            <v>005900 KS</v>
          </cell>
          <cell r="C1082">
            <v>41409</v>
          </cell>
          <cell r="D1082" t="str">
            <v>E</v>
          </cell>
        </row>
        <row r="1083">
          <cell r="B1083" t="str">
            <v>039860 KS</v>
          </cell>
          <cell r="C1083">
            <v>41409</v>
          </cell>
          <cell r="D1083" t="str">
            <v>E</v>
          </cell>
        </row>
        <row r="1084">
          <cell r="B1084" t="str">
            <v>080530 KS</v>
          </cell>
          <cell r="C1084">
            <v>41409</v>
          </cell>
          <cell r="D1084" t="str">
            <v>E</v>
          </cell>
        </row>
        <row r="1085">
          <cell r="B1085" t="str">
            <v>023600 KS</v>
          </cell>
          <cell r="C1085">
            <v>41409</v>
          </cell>
          <cell r="D1085" t="str">
            <v>E</v>
          </cell>
        </row>
        <row r="1086">
          <cell r="B1086" t="str">
            <v>074430 KS</v>
          </cell>
          <cell r="C1086">
            <v>41409</v>
          </cell>
          <cell r="D1086" t="str">
            <v>E</v>
          </cell>
        </row>
        <row r="1087">
          <cell r="B1087" t="str">
            <v>025920 KS</v>
          </cell>
          <cell r="C1087">
            <v>41409</v>
          </cell>
          <cell r="D1087" t="str">
            <v>E</v>
          </cell>
        </row>
        <row r="1088">
          <cell r="B1088" t="str">
            <v>024950 KS</v>
          </cell>
          <cell r="C1088">
            <v>41409</v>
          </cell>
          <cell r="D1088" t="str">
            <v>E</v>
          </cell>
        </row>
        <row r="1089">
          <cell r="B1089" t="str">
            <v>066670 KS</v>
          </cell>
          <cell r="C1089">
            <v>41409</v>
          </cell>
          <cell r="D1089" t="str">
            <v>E</v>
          </cell>
        </row>
        <row r="1090">
          <cell r="B1090" t="str">
            <v>010280 KS</v>
          </cell>
          <cell r="C1090">
            <v>41409</v>
          </cell>
          <cell r="D1090" t="str">
            <v>E</v>
          </cell>
        </row>
        <row r="1091">
          <cell r="B1091" t="str">
            <v>043220 KS</v>
          </cell>
          <cell r="C1091">
            <v>41409</v>
          </cell>
          <cell r="D1091" t="str">
            <v>E</v>
          </cell>
        </row>
        <row r="1092">
          <cell r="B1092" t="str">
            <v>045510 KS</v>
          </cell>
          <cell r="C1092">
            <v>41409</v>
          </cell>
          <cell r="D1092" t="str">
            <v>E</v>
          </cell>
        </row>
        <row r="1093">
          <cell r="B1093" t="str">
            <v>052290 KS</v>
          </cell>
          <cell r="C1093">
            <v>41409</v>
          </cell>
          <cell r="D1093" t="str">
            <v>E</v>
          </cell>
        </row>
        <row r="1094">
          <cell r="B1094" t="str">
            <v>038620 KS</v>
          </cell>
          <cell r="C1094">
            <v>41409</v>
          </cell>
          <cell r="D1094" t="str">
            <v>E</v>
          </cell>
        </row>
        <row r="1095">
          <cell r="B1095" t="str">
            <v>032790 KS</v>
          </cell>
          <cell r="C1095">
            <v>41409</v>
          </cell>
          <cell r="D1095" t="str">
            <v>E</v>
          </cell>
        </row>
        <row r="1096">
          <cell r="B1096" t="str">
            <v>028040 KS</v>
          </cell>
          <cell r="C1096">
            <v>41409</v>
          </cell>
          <cell r="D1096" t="str">
            <v>E</v>
          </cell>
        </row>
        <row r="1097">
          <cell r="B1097" t="str">
            <v>033500 KS</v>
          </cell>
          <cell r="C1097">
            <v>41409</v>
          </cell>
          <cell r="D1097" t="str">
            <v>E</v>
          </cell>
        </row>
        <row r="1098">
          <cell r="B1098" t="str">
            <v>102210 KS</v>
          </cell>
          <cell r="C1098">
            <v>41409</v>
          </cell>
          <cell r="D1098" t="str">
            <v>E</v>
          </cell>
        </row>
        <row r="1099">
          <cell r="B1099" t="str">
            <v>036420 KS</v>
          </cell>
          <cell r="C1099">
            <v>41409</v>
          </cell>
          <cell r="D1099" t="str">
            <v>E</v>
          </cell>
        </row>
        <row r="1100">
          <cell r="B1100" t="str">
            <v>002820 KS</v>
          </cell>
          <cell r="C1100">
            <v>41409</v>
          </cell>
          <cell r="D1100" t="str">
            <v>E</v>
          </cell>
        </row>
        <row r="1101">
          <cell r="B1101" t="str">
            <v>049430 KS</v>
          </cell>
          <cell r="C1101">
            <v>41409</v>
          </cell>
          <cell r="D1101" t="str">
            <v>E</v>
          </cell>
        </row>
        <row r="1102">
          <cell r="B1102" t="str">
            <v>079660 KS</v>
          </cell>
          <cell r="C1102">
            <v>41409</v>
          </cell>
          <cell r="D1102" t="str">
            <v>E</v>
          </cell>
        </row>
        <row r="1103">
          <cell r="B1103" t="str">
            <v>109070 KS</v>
          </cell>
          <cell r="C1103">
            <v>41409</v>
          </cell>
          <cell r="D1103" t="str">
            <v>E</v>
          </cell>
        </row>
        <row r="1104">
          <cell r="B1104" t="str">
            <v>091690 KS</v>
          </cell>
          <cell r="C1104">
            <v>41409</v>
          </cell>
          <cell r="D1104" t="str">
            <v>E</v>
          </cell>
        </row>
        <row r="1105">
          <cell r="B1105" t="str">
            <v>064820 KS</v>
          </cell>
          <cell r="C1105">
            <v>41409</v>
          </cell>
          <cell r="D1105" t="str">
            <v>E</v>
          </cell>
        </row>
        <row r="1106">
          <cell r="B1106" t="str">
            <v>060560 KS</v>
          </cell>
          <cell r="C1106">
            <v>41409</v>
          </cell>
          <cell r="D1106" t="str">
            <v>E</v>
          </cell>
        </row>
        <row r="1107">
          <cell r="B1107" t="str">
            <v>013580 KS</v>
          </cell>
          <cell r="C1107">
            <v>41409</v>
          </cell>
          <cell r="D1107" t="str">
            <v>E</v>
          </cell>
        </row>
        <row r="1108">
          <cell r="B1108" t="str">
            <v>011000 KS</v>
          </cell>
          <cell r="C1108">
            <v>41409</v>
          </cell>
          <cell r="D1108" t="str">
            <v>E</v>
          </cell>
        </row>
        <row r="1109">
          <cell r="B1109" t="str">
            <v>003200 KS</v>
          </cell>
          <cell r="C1109">
            <v>41409</v>
          </cell>
          <cell r="D1109" t="str">
            <v>E</v>
          </cell>
        </row>
        <row r="1110">
          <cell r="B1110" t="str">
            <v>007110 KS</v>
          </cell>
          <cell r="C1110">
            <v>41409</v>
          </cell>
          <cell r="D1110" t="str">
            <v>E</v>
          </cell>
        </row>
        <row r="1111">
          <cell r="B1111" t="str">
            <v>003960 KS</v>
          </cell>
          <cell r="C1111">
            <v>41409</v>
          </cell>
          <cell r="D1111" t="str">
            <v>E</v>
          </cell>
        </row>
        <row r="1112">
          <cell r="B1112" t="str">
            <v>063570 KS</v>
          </cell>
          <cell r="C1112">
            <v>41409</v>
          </cell>
          <cell r="D1112" t="str">
            <v>E</v>
          </cell>
        </row>
        <row r="1113">
          <cell r="B1113" t="str">
            <v>063570 KS</v>
          </cell>
          <cell r="C1113">
            <v>41409</v>
          </cell>
          <cell r="D1113" t="str">
            <v>E</v>
          </cell>
        </row>
        <row r="1114">
          <cell r="B1114" t="str">
            <v>004790 KS</v>
          </cell>
          <cell r="C1114">
            <v>41409</v>
          </cell>
          <cell r="D1114" t="str">
            <v>E</v>
          </cell>
        </row>
        <row r="1115">
          <cell r="B1115" t="str">
            <v>029960 KS</v>
          </cell>
          <cell r="C1115">
            <v>41409</v>
          </cell>
          <cell r="D1115" t="str">
            <v>E</v>
          </cell>
        </row>
        <row r="1116">
          <cell r="B1116" t="str">
            <v>014350 KS</v>
          </cell>
          <cell r="C1116">
            <v>41409</v>
          </cell>
          <cell r="D1116" t="str">
            <v>E</v>
          </cell>
        </row>
        <row r="1117">
          <cell r="B1117" t="str">
            <v>115610 KS</v>
          </cell>
          <cell r="C1117">
            <v>41409</v>
          </cell>
          <cell r="D1117" t="str">
            <v>E</v>
          </cell>
        </row>
        <row r="1118">
          <cell r="B1118" t="str">
            <v>004100 KS</v>
          </cell>
          <cell r="C1118">
            <v>41409</v>
          </cell>
          <cell r="D1118" t="str">
            <v>E</v>
          </cell>
        </row>
        <row r="1119">
          <cell r="B1119" t="str">
            <v>034510 KS</v>
          </cell>
          <cell r="C1119">
            <v>41409</v>
          </cell>
          <cell r="D1119" t="str">
            <v>E</v>
          </cell>
        </row>
        <row r="1120">
          <cell r="B1120" t="str">
            <v>002700 KS</v>
          </cell>
          <cell r="C1120">
            <v>41409</v>
          </cell>
          <cell r="D1120" t="str">
            <v>E</v>
          </cell>
        </row>
        <row r="1121">
          <cell r="B1121" t="str">
            <v>096350 KS</v>
          </cell>
          <cell r="C1121">
            <v>41409</v>
          </cell>
          <cell r="D1121" t="str">
            <v>E</v>
          </cell>
        </row>
        <row r="1122">
          <cell r="B1122" t="str">
            <v>034750 KS</v>
          </cell>
          <cell r="C1122">
            <v>41409</v>
          </cell>
          <cell r="D1122" t="str">
            <v>E</v>
          </cell>
        </row>
        <row r="1123">
          <cell r="B1123" t="str">
            <v>053110 KS</v>
          </cell>
          <cell r="C1123">
            <v>41409</v>
          </cell>
          <cell r="D1123" t="str">
            <v>E</v>
          </cell>
        </row>
        <row r="1124">
          <cell r="B1124" t="str">
            <v>090150 KS</v>
          </cell>
          <cell r="C1124">
            <v>41409</v>
          </cell>
          <cell r="D1124" t="str">
            <v>E</v>
          </cell>
        </row>
        <row r="1125">
          <cell r="B1125" t="str">
            <v>099410 KS</v>
          </cell>
          <cell r="C1125">
            <v>41409</v>
          </cell>
          <cell r="D1125" t="str">
            <v>E</v>
          </cell>
        </row>
        <row r="1126">
          <cell r="B1126" t="str">
            <v>048770 KS</v>
          </cell>
          <cell r="C1126">
            <v>41409</v>
          </cell>
          <cell r="D1126" t="str">
            <v>E</v>
          </cell>
        </row>
        <row r="1127">
          <cell r="B1127" t="str">
            <v>026940 KS</v>
          </cell>
          <cell r="C1127">
            <v>41409</v>
          </cell>
          <cell r="D1127" t="str">
            <v>E</v>
          </cell>
        </row>
        <row r="1128">
          <cell r="B1128" t="str">
            <v>098460 KS</v>
          </cell>
          <cell r="C1128">
            <v>41409</v>
          </cell>
          <cell r="D1128" t="str">
            <v>E</v>
          </cell>
        </row>
        <row r="1129">
          <cell r="B1129" t="str">
            <v>054340 KS</v>
          </cell>
          <cell r="C1129">
            <v>41409</v>
          </cell>
          <cell r="D1129" t="str">
            <v>E</v>
          </cell>
        </row>
        <row r="1130">
          <cell r="B1130" t="str">
            <v>016710 KS</v>
          </cell>
          <cell r="C1130">
            <v>41409</v>
          </cell>
          <cell r="D1130" t="str">
            <v>E</v>
          </cell>
        </row>
        <row r="1131">
          <cell r="B1131" t="str">
            <v>108230 KS</v>
          </cell>
          <cell r="C1131">
            <v>41409</v>
          </cell>
          <cell r="D1131" t="str">
            <v>E</v>
          </cell>
        </row>
        <row r="1132">
          <cell r="B1132" t="str">
            <v>122690 KS</v>
          </cell>
          <cell r="C1132">
            <v>41409</v>
          </cell>
          <cell r="D1132" t="str">
            <v>E</v>
          </cell>
        </row>
        <row r="1133">
          <cell r="B1133" t="str">
            <v>093230 KS</v>
          </cell>
          <cell r="C1133">
            <v>41409</v>
          </cell>
          <cell r="D1133" t="str">
            <v>E</v>
          </cell>
        </row>
        <row r="1134">
          <cell r="B1134" t="str">
            <v>007370 KS</v>
          </cell>
          <cell r="C1134">
            <v>41409</v>
          </cell>
          <cell r="D1134" t="str">
            <v>E</v>
          </cell>
        </row>
        <row r="1135">
          <cell r="B1135" t="str">
            <v>033340 KS</v>
          </cell>
          <cell r="C1135">
            <v>41409</v>
          </cell>
          <cell r="D1135" t="str">
            <v>E</v>
          </cell>
        </row>
        <row r="1136">
          <cell r="B1136" t="str">
            <v>002680 KS</v>
          </cell>
          <cell r="C1136">
            <v>41409</v>
          </cell>
          <cell r="D1136" t="str">
            <v>E</v>
          </cell>
        </row>
        <row r="1137">
          <cell r="B1137" t="str">
            <v>054620 KS</v>
          </cell>
          <cell r="C1137">
            <v>41409</v>
          </cell>
          <cell r="D1137" t="str">
            <v>E</v>
          </cell>
        </row>
        <row r="1138">
          <cell r="B1138" t="str">
            <v>040910 KS</v>
          </cell>
          <cell r="C1138">
            <v>41409</v>
          </cell>
          <cell r="D1138" t="str">
            <v>E</v>
          </cell>
        </row>
        <row r="1139">
          <cell r="B1139" t="str">
            <v>099830 KS</v>
          </cell>
          <cell r="C1139">
            <v>41409</v>
          </cell>
          <cell r="D1139" t="str">
            <v>E</v>
          </cell>
        </row>
        <row r="1140">
          <cell r="B1140" t="str">
            <v>019180 KS</v>
          </cell>
          <cell r="C1140">
            <v>41409</v>
          </cell>
          <cell r="D1140" t="str">
            <v>E</v>
          </cell>
        </row>
        <row r="1141">
          <cell r="B1141" t="str">
            <v>019490 KS</v>
          </cell>
          <cell r="C1141">
            <v>41409</v>
          </cell>
          <cell r="D1141" t="str">
            <v>E</v>
          </cell>
        </row>
        <row r="1142">
          <cell r="B1142" t="str">
            <v>039200 KS</v>
          </cell>
          <cell r="C1142">
            <v>41409</v>
          </cell>
          <cell r="D1142" t="str">
            <v>E</v>
          </cell>
        </row>
        <row r="1143">
          <cell r="B1143" t="str">
            <v>006920 KS</v>
          </cell>
          <cell r="C1143">
            <v>41409</v>
          </cell>
          <cell r="D1143" t="str">
            <v>E</v>
          </cell>
        </row>
        <row r="1144">
          <cell r="B1144" t="str">
            <v>048870 KS</v>
          </cell>
          <cell r="C1144">
            <v>41409</v>
          </cell>
          <cell r="D1144" t="str">
            <v>E</v>
          </cell>
        </row>
        <row r="1145">
          <cell r="B1145" t="str">
            <v>031330 KS</v>
          </cell>
          <cell r="C1145">
            <v>41409</v>
          </cell>
          <cell r="D1145" t="str">
            <v>E</v>
          </cell>
        </row>
        <row r="1146">
          <cell r="B1146" t="str">
            <v>004140 KS</v>
          </cell>
          <cell r="C1146">
            <v>41409</v>
          </cell>
          <cell r="D1146" t="str">
            <v>E</v>
          </cell>
        </row>
        <row r="1147">
          <cell r="B1147" t="str">
            <v>119250 KS</v>
          </cell>
          <cell r="C1147">
            <v>41409</v>
          </cell>
          <cell r="D1147" t="str">
            <v>E</v>
          </cell>
        </row>
        <row r="1148">
          <cell r="B1148" t="str">
            <v>066130 KS</v>
          </cell>
          <cell r="C1148">
            <v>41409</v>
          </cell>
          <cell r="D1148" t="str">
            <v>E</v>
          </cell>
        </row>
        <row r="1149">
          <cell r="B1149" t="str">
            <v>018670 KS</v>
          </cell>
          <cell r="C1149">
            <v>41409</v>
          </cell>
          <cell r="D1149" t="str">
            <v>E</v>
          </cell>
        </row>
        <row r="1150">
          <cell r="B1150" t="str">
            <v>006890 KS</v>
          </cell>
          <cell r="C1150">
            <v>41409</v>
          </cell>
          <cell r="D1150" t="str">
            <v>E</v>
          </cell>
        </row>
        <row r="1151">
          <cell r="B1151" t="str">
            <v>051910 KS</v>
          </cell>
          <cell r="C1151">
            <v>41409</v>
          </cell>
          <cell r="D1151" t="str">
            <v>E</v>
          </cell>
        </row>
        <row r="1152">
          <cell r="B1152" t="str">
            <v>004740 KS</v>
          </cell>
          <cell r="C1152">
            <v>41409</v>
          </cell>
          <cell r="D1152" t="str">
            <v>E</v>
          </cell>
        </row>
        <row r="1153">
          <cell r="B1153" t="str">
            <v>094850 KS</v>
          </cell>
          <cell r="C1153">
            <v>41409</v>
          </cell>
          <cell r="D1153" t="str">
            <v>E</v>
          </cell>
        </row>
        <row r="1154">
          <cell r="B1154" t="str">
            <v>006440 KS</v>
          </cell>
          <cell r="C1154">
            <v>41409</v>
          </cell>
          <cell r="D1154" t="str">
            <v>E</v>
          </cell>
        </row>
        <row r="1155">
          <cell r="B1155" t="str">
            <v>052020 KS</v>
          </cell>
          <cell r="C1155">
            <v>41409</v>
          </cell>
          <cell r="D1155" t="str">
            <v>E</v>
          </cell>
        </row>
        <row r="1156">
          <cell r="B1156" t="str">
            <v>035450 KS</v>
          </cell>
          <cell r="C1156">
            <v>41409</v>
          </cell>
          <cell r="D1156" t="str">
            <v>E</v>
          </cell>
        </row>
        <row r="1157">
          <cell r="B1157" t="str">
            <v>001820 KS</v>
          </cell>
          <cell r="C1157">
            <v>41409</v>
          </cell>
          <cell r="D1157" t="str">
            <v>E</v>
          </cell>
        </row>
        <row r="1158">
          <cell r="B1158" t="str">
            <v>001770 KS</v>
          </cell>
          <cell r="C1158">
            <v>41409</v>
          </cell>
          <cell r="D1158" t="str">
            <v>E</v>
          </cell>
        </row>
        <row r="1159">
          <cell r="B1159" t="str">
            <v>054180 KS</v>
          </cell>
          <cell r="C1159">
            <v>41409</v>
          </cell>
          <cell r="D1159" t="str">
            <v>E</v>
          </cell>
        </row>
        <row r="1160">
          <cell r="B1160" t="str">
            <v>007210 KS</v>
          </cell>
          <cell r="C1160">
            <v>41409</v>
          </cell>
          <cell r="D1160" t="str">
            <v>E</v>
          </cell>
        </row>
        <row r="1161">
          <cell r="B1161" t="str">
            <v>017650 KS</v>
          </cell>
          <cell r="C1161">
            <v>41409</v>
          </cell>
          <cell r="D1161" t="str">
            <v>E</v>
          </cell>
        </row>
        <row r="1162">
          <cell r="B1162" t="str">
            <v>005710 KS</v>
          </cell>
          <cell r="C1162">
            <v>41409</v>
          </cell>
          <cell r="D1162" t="str">
            <v>E</v>
          </cell>
        </row>
        <row r="1163">
          <cell r="B1163" t="str">
            <v>004920 KS</v>
          </cell>
          <cell r="C1163">
            <v>41409</v>
          </cell>
          <cell r="D1163" t="str">
            <v>E</v>
          </cell>
        </row>
        <row r="1164">
          <cell r="B1164" t="str">
            <v>011420 KS</v>
          </cell>
          <cell r="C1164">
            <v>41409</v>
          </cell>
          <cell r="D1164" t="str">
            <v>E</v>
          </cell>
        </row>
        <row r="1165">
          <cell r="B1165" t="str">
            <v>017180 KS</v>
          </cell>
          <cell r="C1165">
            <v>41409</v>
          </cell>
          <cell r="D1165" t="str">
            <v>E</v>
          </cell>
        </row>
        <row r="1166">
          <cell r="B1166" t="str">
            <v>066790 KS</v>
          </cell>
          <cell r="C1166">
            <v>41409</v>
          </cell>
          <cell r="D1166" t="str">
            <v>E</v>
          </cell>
        </row>
        <row r="1167">
          <cell r="B1167" t="str">
            <v>027970 KS</v>
          </cell>
          <cell r="C1167">
            <v>41409</v>
          </cell>
          <cell r="D1167" t="str">
            <v>E</v>
          </cell>
        </row>
        <row r="1168">
          <cell r="B1168" t="str">
            <v>005740 KS</v>
          </cell>
          <cell r="C1168">
            <v>41409</v>
          </cell>
          <cell r="D1168" t="str">
            <v>E</v>
          </cell>
        </row>
        <row r="1169">
          <cell r="B1169" t="str">
            <v>023350 KS</v>
          </cell>
          <cell r="C1169">
            <v>41409</v>
          </cell>
          <cell r="D1169" t="str">
            <v>E</v>
          </cell>
        </row>
        <row r="1170">
          <cell r="B1170" t="str">
            <v>072520 KS</v>
          </cell>
          <cell r="C1170">
            <v>41409</v>
          </cell>
          <cell r="D1170" t="str">
            <v>E</v>
          </cell>
        </row>
        <row r="1171">
          <cell r="B1171" t="str">
            <v>002270 KS</v>
          </cell>
          <cell r="C1171">
            <v>41409</v>
          </cell>
          <cell r="D1171" t="str">
            <v>E</v>
          </cell>
        </row>
        <row r="1172">
          <cell r="B1172" t="str">
            <v>014580 KS</v>
          </cell>
          <cell r="C1172">
            <v>41409</v>
          </cell>
          <cell r="D1172" t="str">
            <v>E</v>
          </cell>
        </row>
        <row r="1173">
          <cell r="B1173" t="str">
            <v>065420 KS</v>
          </cell>
          <cell r="C1173">
            <v>41409</v>
          </cell>
          <cell r="D1173" t="str">
            <v>E</v>
          </cell>
        </row>
        <row r="1174">
          <cell r="B1174" t="str">
            <v>036800 KS</v>
          </cell>
          <cell r="C1174">
            <v>41409</v>
          </cell>
          <cell r="D1174" t="str">
            <v>E</v>
          </cell>
        </row>
        <row r="1175">
          <cell r="B1175" t="str">
            <v>023960 KS</v>
          </cell>
          <cell r="C1175">
            <v>41409</v>
          </cell>
          <cell r="D1175" t="str">
            <v>E</v>
          </cell>
        </row>
        <row r="1176">
          <cell r="B1176" t="str">
            <v>036570 KS</v>
          </cell>
          <cell r="C1176">
            <v>41409</v>
          </cell>
          <cell r="D1176" t="str">
            <v>E</v>
          </cell>
        </row>
        <row r="1177">
          <cell r="B1177" t="str">
            <v>008970 KS</v>
          </cell>
          <cell r="C1177">
            <v>41409</v>
          </cell>
          <cell r="D1177" t="str">
            <v>E</v>
          </cell>
        </row>
        <row r="1178">
          <cell r="B1178" t="str">
            <v>018680 KS</v>
          </cell>
          <cell r="C1178">
            <v>41409</v>
          </cell>
          <cell r="D1178" t="str">
            <v>E</v>
          </cell>
        </row>
        <row r="1179">
          <cell r="B1179" t="str">
            <v>003550 KS</v>
          </cell>
          <cell r="C1179">
            <v>41409</v>
          </cell>
          <cell r="D1179" t="str">
            <v>E</v>
          </cell>
        </row>
        <row r="1180">
          <cell r="B1180" t="str">
            <v>065180 KS</v>
          </cell>
          <cell r="C1180">
            <v>41409</v>
          </cell>
          <cell r="D1180" t="str">
            <v>E</v>
          </cell>
        </row>
        <row r="1181">
          <cell r="B1181" t="str">
            <v>008350 KS</v>
          </cell>
          <cell r="C1181">
            <v>41409</v>
          </cell>
          <cell r="D1181" t="str">
            <v>E</v>
          </cell>
        </row>
        <row r="1182">
          <cell r="B1182" t="str">
            <v>119830 KS</v>
          </cell>
          <cell r="C1182">
            <v>41409</v>
          </cell>
          <cell r="D1182" t="str">
            <v>E</v>
          </cell>
        </row>
        <row r="1183">
          <cell r="B1183" t="str">
            <v>004890 KS</v>
          </cell>
          <cell r="C1183">
            <v>41409</v>
          </cell>
          <cell r="D1183" t="str">
            <v>E</v>
          </cell>
        </row>
        <row r="1184">
          <cell r="B1184" t="str">
            <v>016880 KS</v>
          </cell>
          <cell r="C1184">
            <v>41409</v>
          </cell>
          <cell r="D1184" t="str">
            <v>E</v>
          </cell>
        </row>
        <row r="1185">
          <cell r="B1185" t="str">
            <v>025820 KS</v>
          </cell>
          <cell r="C1185">
            <v>41409</v>
          </cell>
          <cell r="D1185" t="str">
            <v>E</v>
          </cell>
        </row>
        <row r="1186">
          <cell r="B1186" t="str">
            <v>016880 KS</v>
          </cell>
          <cell r="C1186">
            <v>41409</v>
          </cell>
          <cell r="D1186" t="str">
            <v>E</v>
          </cell>
        </row>
        <row r="1187">
          <cell r="B1187" t="str">
            <v>021080 KS</v>
          </cell>
          <cell r="C1187">
            <v>41409</v>
          </cell>
          <cell r="D1187" t="str">
            <v>E</v>
          </cell>
        </row>
        <row r="1188">
          <cell r="B1188" t="str">
            <v>006400 KS</v>
          </cell>
          <cell r="C1188">
            <v>41409</v>
          </cell>
          <cell r="D1188" t="str">
            <v>E</v>
          </cell>
        </row>
        <row r="1189">
          <cell r="B1189" t="str">
            <v>024810 KS</v>
          </cell>
          <cell r="C1189">
            <v>41409</v>
          </cell>
          <cell r="D1189" t="str">
            <v>E</v>
          </cell>
        </row>
        <row r="1190">
          <cell r="B1190" t="str">
            <v>014940 KS</v>
          </cell>
          <cell r="C1190">
            <v>41409</v>
          </cell>
          <cell r="D1190" t="str">
            <v>E</v>
          </cell>
        </row>
        <row r="1191">
          <cell r="B1191" t="str">
            <v>033640 KS</v>
          </cell>
          <cell r="C1191">
            <v>41409</v>
          </cell>
          <cell r="D1191" t="str">
            <v>E</v>
          </cell>
        </row>
        <row r="1192">
          <cell r="B1192" t="str">
            <v>065770 KS</v>
          </cell>
          <cell r="C1192">
            <v>41409</v>
          </cell>
          <cell r="D1192" t="str">
            <v>E</v>
          </cell>
        </row>
        <row r="1193">
          <cell r="B1193" t="str">
            <v>026180 KS</v>
          </cell>
          <cell r="C1193">
            <v>41409</v>
          </cell>
          <cell r="D1193" t="str">
            <v>E</v>
          </cell>
        </row>
        <row r="1194">
          <cell r="B1194" t="str">
            <v>009070 KS</v>
          </cell>
          <cell r="C1194">
            <v>41409</v>
          </cell>
          <cell r="D1194" t="str">
            <v>E</v>
          </cell>
        </row>
        <row r="1195">
          <cell r="B1195" t="str">
            <v>004700 KS</v>
          </cell>
          <cell r="C1195">
            <v>41409</v>
          </cell>
          <cell r="D1195" t="str">
            <v>E</v>
          </cell>
        </row>
        <row r="1196">
          <cell r="B1196" t="str">
            <v>028100 KS</v>
          </cell>
          <cell r="C1196">
            <v>41409</v>
          </cell>
          <cell r="D1196" t="str">
            <v>E</v>
          </cell>
        </row>
        <row r="1197">
          <cell r="B1197" t="str">
            <v>033180 KS</v>
          </cell>
          <cell r="C1197">
            <v>41409</v>
          </cell>
          <cell r="D1197" t="str">
            <v>E</v>
          </cell>
        </row>
        <row r="1198">
          <cell r="B1198" t="str">
            <v>102460 KS</v>
          </cell>
          <cell r="C1198">
            <v>41409</v>
          </cell>
          <cell r="D1198" t="str">
            <v>E</v>
          </cell>
        </row>
        <row r="1199">
          <cell r="B1199" t="str">
            <v>077280 KS</v>
          </cell>
          <cell r="C1199">
            <v>41409</v>
          </cell>
          <cell r="D1199" t="str">
            <v>E</v>
          </cell>
        </row>
        <row r="1200">
          <cell r="B1200" t="str">
            <v>011280 KS</v>
          </cell>
          <cell r="C1200">
            <v>41409</v>
          </cell>
          <cell r="D1200" t="str">
            <v>E</v>
          </cell>
        </row>
        <row r="1201">
          <cell r="B1201" t="str">
            <v>003220 KS</v>
          </cell>
          <cell r="C1201">
            <v>41409</v>
          </cell>
          <cell r="D1201" t="str">
            <v>E</v>
          </cell>
        </row>
        <row r="1202">
          <cell r="B1202" t="str">
            <v>014200 KS</v>
          </cell>
          <cell r="C1202">
            <v>41409</v>
          </cell>
          <cell r="D1202" t="str">
            <v>E</v>
          </cell>
        </row>
        <row r="1203">
          <cell r="B1203" t="str">
            <v>018000 KS</v>
          </cell>
          <cell r="C1203">
            <v>41409</v>
          </cell>
          <cell r="D1203" t="str">
            <v>E</v>
          </cell>
        </row>
        <row r="1204">
          <cell r="B1204" t="str">
            <v>006490 KS</v>
          </cell>
          <cell r="C1204">
            <v>41409</v>
          </cell>
          <cell r="D1204" t="str">
            <v>E</v>
          </cell>
        </row>
        <row r="1205">
          <cell r="B1205" t="str">
            <v>008870 KS</v>
          </cell>
          <cell r="C1205">
            <v>41409</v>
          </cell>
          <cell r="D1205" t="str">
            <v>E</v>
          </cell>
        </row>
        <row r="1206">
          <cell r="B1206" t="str">
            <v>036930 KS</v>
          </cell>
          <cell r="C1206">
            <v>41409</v>
          </cell>
          <cell r="D1206" t="str">
            <v>E</v>
          </cell>
        </row>
        <row r="1207">
          <cell r="B1207" t="str">
            <v>003090 KS</v>
          </cell>
          <cell r="C1207">
            <v>41409</v>
          </cell>
          <cell r="D1207" t="str">
            <v>E</v>
          </cell>
        </row>
        <row r="1208">
          <cell r="B1208" t="str">
            <v>002710 KS</v>
          </cell>
          <cell r="C1208">
            <v>41409</v>
          </cell>
          <cell r="D1208" t="str">
            <v>E</v>
          </cell>
        </row>
        <row r="1209">
          <cell r="B1209" t="str">
            <v>073010 KS</v>
          </cell>
          <cell r="C1209">
            <v>41409</v>
          </cell>
          <cell r="D1209" t="str">
            <v>E</v>
          </cell>
        </row>
        <row r="1210">
          <cell r="B1210" t="str">
            <v>037950 KS</v>
          </cell>
          <cell r="C1210">
            <v>41409</v>
          </cell>
          <cell r="D1210" t="str">
            <v>E</v>
          </cell>
        </row>
        <row r="1211">
          <cell r="B1211" t="str">
            <v>001540 KS</v>
          </cell>
          <cell r="C1211">
            <v>41409</v>
          </cell>
          <cell r="D1211" t="str">
            <v>E</v>
          </cell>
        </row>
        <row r="1212">
          <cell r="B1212" t="str">
            <v>092130 KS</v>
          </cell>
          <cell r="C1212">
            <v>41409</v>
          </cell>
          <cell r="D1212" t="str">
            <v>E</v>
          </cell>
        </row>
        <row r="1213">
          <cell r="B1213" t="str">
            <v>140910 KS</v>
          </cell>
          <cell r="C1213">
            <v>41409</v>
          </cell>
          <cell r="D1213" t="str">
            <v>E</v>
          </cell>
        </row>
        <row r="1214">
          <cell r="B1214" t="str">
            <v>009190 KS</v>
          </cell>
          <cell r="C1214">
            <v>41409</v>
          </cell>
          <cell r="D1214" t="str">
            <v>E</v>
          </cell>
        </row>
        <row r="1215">
          <cell r="B1215" t="str">
            <v>000860 KS</v>
          </cell>
          <cell r="C1215">
            <v>41409</v>
          </cell>
          <cell r="D1215" t="str">
            <v>E</v>
          </cell>
        </row>
        <row r="1216">
          <cell r="B1216" t="str">
            <v>032850 KS</v>
          </cell>
          <cell r="C1216">
            <v>41409</v>
          </cell>
          <cell r="D1216" t="str">
            <v>E</v>
          </cell>
        </row>
        <row r="1217">
          <cell r="B1217" t="str">
            <v>090080 KS</v>
          </cell>
          <cell r="C1217">
            <v>41409</v>
          </cell>
          <cell r="D1217" t="str">
            <v>E</v>
          </cell>
        </row>
        <row r="1218">
          <cell r="B1218" t="str">
            <v>092070 KS</v>
          </cell>
          <cell r="C1218">
            <v>41409</v>
          </cell>
          <cell r="D1218" t="str">
            <v>E</v>
          </cell>
        </row>
        <row r="1219">
          <cell r="B1219" t="str">
            <v>007340 KS</v>
          </cell>
          <cell r="C1219">
            <v>41409</v>
          </cell>
          <cell r="D1219" t="str">
            <v>E</v>
          </cell>
        </row>
        <row r="1220">
          <cell r="B1220" t="str">
            <v>024660 KS</v>
          </cell>
          <cell r="C1220">
            <v>41409</v>
          </cell>
          <cell r="D1220" t="str">
            <v>E</v>
          </cell>
        </row>
        <row r="1221">
          <cell r="B1221" t="str">
            <v>013340 KS</v>
          </cell>
          <cell r="C1221">
            <v>41409</v>
          </cell>
          <cell r="D1221" t="str">
            <v>E</v>
          </cell>
        </row>
        <row r="1222">
          <cell r="B1222" t="str">
            <v>060900 KS</v>
          </cell>
          <cell r="C1222">
            <v>41409</v>
          </cell>
          <cell r="D1222" t="str">
            <v>E</v>
          </cell>
        </row>
        <row r="1223">
          <cell r="B1223" t="str">
            <v>048430 KS</v>
          </cell>
          <cell r="C1223">
            <v>41409</v>
          </cell>
          <cell r="D1223" t="str">
            <v>E</v>
          </cell>
        </row>
        <row r="1224">
          <cell r="B1224" t="str">
            <v>130580 KS</v>
          </cell>
          <cell r="C1224">
            <v>41409</v>
          </cell>
          <cell r="D1224" t="str">
            <v>E</v>
          </cell>
        </row>
        <row r="1225">
          <cell r="B1225" t="str">
            <v>033200 KS</v>
          </cell>
          <cell r="C1225">
            <v>41409</v>
          </cell>
          <cell r="D1225" t="str">
            <v>E</v>
          </cell>
        </row>
        <row r="1226">
          <cell r="B1226" t="str">
            <v>066980 KS</v>
          </cell>
          <cell r="C1226">
            <v>41409</v>
          </cell>
          <cell r="D1226" t="str">
            <v>E</v>
          </cell>
        </row>
        <row r="1227">
          <cell r="B1227" t="str">
            <v>033100 KS</v>
          </cell>
          <cell r="C1227">
            <v>41409</v>
          </cell>
          <cell r="D1227" t="str">
            <v>E</v>
          </cell>
        </row>
        <row r="1228">
          <cell r="B1228" t="str">
            <v>033920 KS</v>
          </cell>
          <cell r="C1228">
            <v>41409</v>
          </cell>
          <cell r="D1228" t="str">
            <v>E</v>
          </cell>
        </row>
        <row r="1229">
          <cell r="B1229" t="str">
            <v>034940 KS</v>
          </cell>
          <cell r="C1229">
            <v>41409</v>
          </cell>
          <cell r="D1229" t="str">
            <v>E</v>
          </cell>
        </row>
        <row r="1230">
          <cell r="B1230" t="str">
            <v>001460 KS</v>
          </cell>
          <cell r="C1230">
            <v>41409</v>
          </cell>
          <cell r="D1230" t="str">
            <v>E</v>
          </cell>
        </row>
        <row r="1231">
          <cell r="B1231" t="str">
            <v>104120 KS</v>
          </cell>
          <cell r="C1231">
            <v>41409</v>
          </cell>
          <cell r="D1231" t="str">
            <v>E</v>
          </cell>
        </row>
        <row r="1232">
          <cell r="B1232" t="str">
            <v>009970 KS</v>
          </cell>
          <cell r="C1232">
            <v>41409</v>
          </cell>
          <cell r="D1232" t="str">
            <v>E</v>
          </cell>
        </row>
        <row r="1233">
          <cell r="B1233" t="str">
            <v>009970 KS</v>
          </cell>
          <cell r="C1233">
            <v>41409</v>
          </cell>
          <cell r="D1233" t="str">
            <v>E</v>
          </cell>
        </row>
        <row r="1234">
          <cell r="B1234" t="str">
            <v>032420 KS</v>
          </cell>
          <cell r="C1234">
            <v>41409</v>
          </cell>
          <cell r="D1234" t="str">
            <v>E</v>
          </cell>
        </row>
        <row r="1235">
          <cell r="B1235" t="str">
            <v>009150 KS</v>
          </cell>
          <cell r="C1235">
            <v>41409</v>
          </cell>
          <cell r="D1235" t="str">
            <v>E</v>
          </cell>
        </row>
        <row r="1236">
          <cell r="B1236" t="str">
            <v>057880 KS</v>
          </cell>
          <cell r="C1236">
            <v>41409</v>
          </cell>
          <cell r="D1236" t="str">
            <v>E</v>
          </cell>
        </row>
        <row r="1237">
          <cell r="B1237" t="str">
            <v>014680 KS</v>
          </cell>
          <cell r="C1237">
            <v>41409</v>
          </cell>
          <cell r="D1237" t="str">
            <v>E</v>
          </cell>
        </row>
        <row r="1238">
          <cell r="B1238" t="str">
            <v>036010 KS</v>
          </cell>
          <cell r="C1238">
            <v>41409</v>
          </cell>
          <cell r="D1238" t="str">
            <v>E</v>
          </cell>
        </row>
        <row r="1239">
          <cell r="B1239" t="str">
            <v>033550 KS</v>
          </cell>
          <cell r="C1239">
            <v>41409</v>
          </cell>
          <cell r="D1239" t="str">
            <v>E</v>
          </cell>
        </row>
        <row r="1240">
          <cell r="B1240" t="str">
            <v>084730 KS</v>
          </cell>
          <cell r="C1240">
            <v>41409</v>
          </cell>
          <cell r="D1240" t="str">
            <v>E</v>
          </cell>
        </row>
        <row r="1241">
          <cell r="B1241" t="str">
            <v>001530 KS</v>
          </cell>
          <cell r="C1241">
            <v>41409</v>
          </cell>
          <cell r="D1241" t="str">
            <v>E</v>
          </cell>
        </row>
        <row r="1242">
          <cell r="B1242" t="str">
            <v>126680 KS</v>
          </cell>
          <cell r="C1242">
            <v>41409</v>
          </cell>
          <cell r="D1242" t="str">
            <v>E</v>
          </cell>
        </row>
        <row r="1243">
          <cell r="B1243" t="str">
            <v>080180 KS</v>
          </cell>
          <cell r="C1243">
            <v>41409</v>
          </cell>
          <cell r="D1243" t="str">
            <v>E</v>
          </cell>
        </row>
        <row r="1244">
          <cell r="B1244" t="str">
            <v>101990 KS</v>
          </cell>
          <cell r="C1244">
            <v>41409</v>
          </cell>
          <cell r="D1244" t="str">
            <v>E</v>
          </cell>
        </row>
        <row r="1245">
          <cell r="B1245" t="str">
            <v>104480 KS</v>
          </cell>
          <cell r="C1245">
            <v>41409</v>
          </cell>
          <cell r="D1245" t="str">
            <v>E</v>
          </cell>
        </row>
        <row r="1246">
          <cell r="B1246" t="str">
            <v>072470 KS</v>
          </cell>
          <cell r="C1246">
            <v>41409</v>
          </cell>
          <cell r="D1246" t="str">
            <v>E</v>
          </cell>
        </row>
        <row r="1247">
          <cell r="B1247" t="str">
            <v>051900 KS</v>
          </cell>
          <cell r="C1247">
            <v>41409</v>
          </cell>
          <cell r="D1247" t="str">
            <v>E</v>
          </cell>
        </row>
        <row r="1248">
          <cell r="B1248" t="str">
            <v>111770 KS</v>
          </cell>
          <cell r="C1248">
            <v>41409</v>
          </cell>
          <cell r="D1248" t="str">
            <v>E</v>
          </cell>
        </row>
        <row r="1249">
          <cell r="B1249" t="str">
            <v>111770 KS</v>
          </cell>
          <cell r="C1249">
            <v>41409</v>
          </cell>
          <cell r="D1249" t="str">
            <v>E</v>
          </cell>
        </row>
        <row r="1250">
          <cell r="B1250" t="str">
            <v>026960 KS</v>
          </cell>
          <cell r="C1250">
            <v>41409</v>
          </cell>
          <cell r="D1250" t="str">
            <v>E</v>
          </cell>
        </row>
        <row r="1251">
          <cell r="B1251" t="str">
            <v>010170 KS</v>
          </cell>
          <cell r="C1251">
            <v>41409</v>
          </cell>
          <cell r="D1251" t="str">
            <v>E</v>
          </cell>
        </row>
        <row r="1252">
          <cell r="B1252" t="str">
            <v>009410 KS</v>
          </cell>
          <cell r="C1252">
            <v>41409</v>
          </cell>
          <cell r="D1252" t="str">
            <v>E</v>
          </cell>
        </row>
        <row r="1253">
          <cell r="B1253" t="str">
            <v>020000 KS</v>
          </cell>
          <cell r="C1253">
            <v>41409</v>
          </cell>
          <cell r="D1253" t="str">
            <v>E</v>
          </cell>
        </row>
        <row r="1254">
          <cell r="B1254" t="str">
            <v>000050 KS</v>
          </cell>
          <cell r="C1254">
            <v>41409</v>
          </cell>
          <cell r="D1254" t="str">
            <v>E</v>
          </cell>
        </row>
        <row r="1255">
          <cell r="B1255" t="str">
            <v>006390 KS</v>
          </cell>
          <cell r="C1255">
            <v>41409</v>
          </cell>
          <cell r="D1255" t="str">
            <v>E</v>
          </cell>
        </row>
        <row r="1256">
          <cell r="B1256" t="str">
            <v>003120 KS</v>
          </cell>
          <cell r="C1256">
            <v>41409</v>
          </cell>
          <cell r="D1256" t="str">
            <v>E</v>
          </cell>
        </row>
        <row r="1257">
          <cell r="B1257" t="str">
            <v>060150 KS</v>
          </cell>
          <cell r="C1257">
            <v>41409</v>
          </cell>
          <cell r="D1257" t="str">
            <v>E</v>
          </cell>
        </row>
        <row r="1258">
          <cell r="B1258" t="str">
            <v>000890 KS</v>
          </cell>
          <cell r="C1258">
            <v>41409</v>
          </cell>
          <cell r="D1258" t="str">
            <v>E</v>
          </cell>
        </row>
        <row r="1259">
          <cell r="B1259" t="str">
            <v>060150 KS</v>
          </cell>
          <cell r="C1259">
            <v>41409</v>
          </cell>
          <cell r="D1259" t="str">
            <v>E</v>
          </cell>
        </row>
        <row r="1260">
          <cell r="B1260" t="str">
            <v>000590 KS</v>
          </cell>
          <cell r="C1260">
            <v>41409</v>
          </cell>
          <cell r="D1260" t="str">
            <v>E</v>
          </cell>
        </row>
        <row r="1261">
          <cell r="B1261" t="str">
            <v>003850 KS</v>
          </cell>
          <cell r="C1261">
            <v>41409</v>
          </cell>
          <cell r="D1261" t="str">
            <v>E</v>
          </cell>
        </row>
        <row r="1262">
          <cell r="B1262" t="str">
            <v>090370 KS</v>
          </cell>
          <cell r="C1262">
            <v>41409</v>
          </cell>
          <cell r="D1262" t="str">
            <v>E</v>
          </cell>
        </row>
        <row r="1263">
          <cell r="B1263" t="str">
            <v>066430 KS</v>
          </cell>
          <cell r="C1263">
            <v>41409</v>
          </cell>
          <cell r="D1263" t="str">
            <v>E</v>
          </cell>
        </row>
        <row r="1264">
          <cell r="B1264" t="str">
            <v>056730 KS</v>
          </cell>
          <cell r="C1264">
            <v>41409</v>
          </cell>
          <cell r="D1264" t="str">
            <v>E</v>
          </cell>
        </row>
        <row r="1265">
          <cell r="B1265" t="str">
            <v>019540 KS</v>
          </cell>
          <cell r="C1265">
            <v>41409</v>
          </cell>
          <cell r="D1265" t="str">
            <v>E</v>
          </cell>
        </row>
        <row r="1266">
          <cell r="B1266" t="str">
            <v>024940 KS</v>
          </cell>
          <cell r="C1266">
            <v>41409</v>
          </cell>
          <cell r="D1266" t="str">
            <v>E</v>
          </cell>
        </row>
        <row r="1267">
          <cell r="B1267" t="str">
            <v>007610 KS</v>
          </cell>
          <cell r="C1267">
            <v>41409</v>
          </cell>
          <cell r="D1267" t="str">
            <v>E</v>
          </cell>
        </row>
        <row r="1268">
          <cell r="B1268" t="str">
            <v>120030 KS</v>
          </cell>
          <cell r="C1268">
            <v>41409</v>
          </cell>
          <cell r="D1268" t="str">
            <v>E</v>
          </cell>
        </row>
        <row r="1269">
          <cell r="B1269" t="str">
            <v>048550 KS</v>
          </cell>
          <cell r="C1269">
            <v>41409</v>
          </cell>
          <cell r="D1269" t="str">
            <v>E</v>
          </cell>
        </row>
        <row r="1270">
          <cell r="B1270" t="str">
            <v>046110 KS</v>
          </cell>
          <cell r="C1270">
            <v>41409</v>
          </cell>
          <cell r="D1270" t="str">
            <v>E</v>
          </cell>
        </row>
        <row r="1271">
          <cell r="B1271" t="str">
            <v>011930 KS</v>
          </cell>
          <cell r="C1271">
            <v>41409</v>
          </cell>
          <cell r="D1271" t="str">
            <v>E</v>
          </cell>
        </row>
        <row r="1272">
          <cell r="B1272" t="str">
            <v>009730 KS</v>
          </cell>
          <cell r="C1272">
            <v>41409</v>
          </cell>
          <cell r="D1272" t="str">
            <v>E</v>
          </cell>
        </row>
        <row r="1273">
          <cell r="B1273" t="str">
            <v>052900 KS</v>
          </cell>
          <cell r="C1273">
            <v>41409</v>
          </cell>
          <cell r="D1273" t="str">
            <v>E</v>
          </cell>
        </row>
        <row r="1274">
          <cell r="B1274" t="str">
            <v>015890 KS</v>
          </cell>
          <cell r="C1274">
            <v>41409</v>
          </cell>
          <cell r="D1274" t="str">
            <v>E</v>
          </cell>
        </row>
        <row r="1275">
          <cell r="B1275" t="str">
            <v>006910 KS</v>
          </cell>
          <cell r="C1275">
            <v>41409</v>
          </cell>
          <cell r="D1275" t="str">
            <v>E</v>
          </cell>
        </row>
        <row r="1276">
          <cell r="B1276" t="str">
            <v>003240 KS</v>
          </cell>
          <cell r="C1276">
            <v>41409</v>
          </cell>
          <cell r="D1276" t="str">
            <v>E</v>
          </cell>
        </row>
        <row r="1277">
          <cell r="B1277" t="str">
            <v>081190 KS</v>
          </cell>
          <cell r="C1277">
            <v>41409</v>
          </cell>
          <cell r="D1277" t="str">
            <v>E</v>
          </cell>
        </row>
        <row r="1278">
          <cell r="B1278" t="str">
            <v>004250 KS</v>
          </cell>
          <cell r="C1278">
            <v>41409</v>
          </cell>
          <cell r="D1278" t="str">
            <v>E</v>
          </cell>
        </row>
        <row r="1279">
          <cell r="B1279" t="str">
            <v>053330 KS</v>
          </cell>
          <cell r="C1279">
            <v>41409</v>
          </cell>
          <cell r="D1279" t="str">
            <v>E</v>
          </cell>
        </row>
        <row r="1280">
          <cell r="B1280" t="str">
            <v>065950 KS</v>
          </cell>
          <cell r="C1280">
            <v>41409</v>
          </cell>
          <cell r="D1280" t="str">
            <v>E</v>
          </cell>
        </row>
        <row r="1281">
          <cell r="B1281" t="str">
            <v>003920 KS</v>
          </cell>
          <cell r="C1281">
            <v>41409</v>
          </cell>
          <cell r="D1281" t="str">
            <v>E</v>
          </cell>
        </row>
        <row r="1282">
          <cell r="B1282" t="str">
            <v>005610 KS</v>
          </cell>
          <cell r="C1282">
            <v>41409</v>
          </cell>
          <cell r="D1282" t="str">
            <v>E</v>
          </cell>
        </row>
        <row r="1283">
          <cell r="B1283" t="str">
            <v>053270 KS</v>
          </cell>
          <cell r="C1283">
            <v>41409</v>
          </cell>
          <cell r="D1283" t="str">
            <v>E</v>
          </cell>
        </row>
        <row r="1284">
          <cell r="B1284" t="str">
            <v>005880 KS</v>
          </cell>
          <cell r="C1284">
            <v>41409</v>
          </cell>
          <cell r="D1284" t="str">
            <v>E</v>
          </cell>
        </row>
        <row r="1285">
          <cell r="B1285" t="str">
            <v>005880 KS</v>
          </cell>
          <cell r="C1285">
            <v>41409</v>
          </cell>
          <cell r="D1285" t="str">
            <v>E</v>
          </cell>
        </row>
        <row r="1286">
          <cell r="B1286" t="str">
            <v>001360 KS</v>
          </cell>
          <cell r="C1286">
            <v>41409</v>
          </cell>
          <cell r="D1286" t="str">
            <v>E</v>
          </cell>
        </row>
        <row r="1287">
          <cell r="B1287" t="str">
            <v>003160 KS</v>
          </cell>
          <cell r="C1287">
            <v>41409</v>
          </cell>
          <cell r="D1287" t="str">
            <v>E</v>
          </cell>
        </row>
        <row r="1288">
          <cell r="B1288" t="str">
            <v>058650 KS</v>
          </cell>
          <cell r="C1288">
            <v>41409</v>
          </cell>
          <cell r="D1288" t="str">
            <v>E</v>
          </cell>
        </row>
        <row r="1289">
          <cell r="B1289" t="str">
            <v>068760 KS</v>
          </cell>
          <cell r="C1289">
            <v>41409</v>
          </cell>
          <cell r="D1289" t="str">
            <v>E</v>
          </cell>
        </row>
        <row r="1290">
          <cell r="B1290" t="str">
            <v>033430 KS</v>
          </cell>
          <cell r="C1290">
            <v>41409</v>
          </cell>
          <cell r="D1290" t="str">
            <v>E</v>
          </cell>
        </row>
        <row r="1291">
          <cell r="B1291" t="str">
            <v>090350 KS</v>
          </cell>
          <cell r="C1291">
            <v>41409</v>
          </cell>
          <cell r="D1291" t="str">
            <v>E</v>
          </cell>
        </row>
        <row r="1292">
          <cell r="B1292" t="str">
            <v>079950 KS</v>
          </cell>
          <cell r="C1292">
            <v>41409</v>
          </cell>
          <cell r="D1292" t="str">
            <v>E</v>
          </cell>
        </row>
        <row r="1293">
          <cell r="B1293" t="str">
            <v>074000 KS</v>
          </cell>
          <cell r="C1293">
            <v>41409</v>
          </cell>
          <cell r="D1293" t="str">
            <v>E</v>
          </cell>
        </row>
        <row r="1294">
          <cell r="B1294" t="str">
            <v>056080 KS</v>
          </cell>
          <cell r="C1294">
            <v>41409</v>
          </cell>
          <cell r="D1294" t="str">
            <v>E</v>
          </cell>
        </row>
        <row r="1295">
          <cell r="B1295" t="str">
            <v>051630 KS</v>
          </cell>
          <cell r="C1295">
            <v>41409</v>
          </cell>
          <cell r="D1295" t="str">
            <v>E</v>
          </cell>
        </row>
        <row r="1296">
          <cell r="B1296" t="str">
            <v>035290 KS</v>
          </cell>
          <cell r="C1296">
            <v>41409</v>
          </cell>
          <cell r="D1296" t="str">
            <v>E</v>
          </cell>
        </row>
        <row r="1297">
          <cell r="B1297" t="str">
            <v>016920 KS</v>
          </cell>
          <cell r="C1297">
            <v>41409</v>
          </cell>
          <cell r="D1297" t="str">
            <v>E</v>
          </cell>
        </row>
        <row r="1298">
          <cell r="B1298" t="str">
            <v>056000 KS</v>
          </cell>
          <cell r="C1298">
            <v>41409</v>
          </cell>
          <cell r="D1298" t="str">
            <v>E</v>
          </cell>
        </row>
        <row r="1299">
          <cell r="B1299" t="str">
            <v>024830 KS</v>
          </cell>
          <cell r="C1299">
            <v>41409</v>
          </cell>
          <cell r="D1299" t="str">
            <v>E</v>
          </cell>
        </row>
        <row r="1300">
          <cell r="B1300" t="str">
            <v>014100 KS</v>
          </cell>
          <cell r="C1300">
            <v>41409</v>
          </cell>
          <cell r="D1300" t="str">
            <v>E</v>
          </cell>
        </row>
        <row r="1301">
          <cell r="B1301" t="str">
            <v>078350 KS</v>
          </cell>
          <cell r="C1301">
            <v>41409</v>
          </cell>
          <cell r="D1301" t="str">
            <v>E</v>
          </cell>
        </row>
        <row r="1302">
          <cell r="B1302" t="str">
            <v>084990 KS</v>
          </cell>
          <cell r="C1302">
            <v>41409</v>
          </cell>
          <cell r="D1302" t="str">
            <v>E</v>
          </cell>
        </row>
        <row r="1303">
          <cell r="B1303" t="str">
            <v>081660 KS</v>
          </cell>
          <cell r="C1303">
            <v>41409</v>
          </cell>
          <cell r="D1303" t="str">
            <v>E</v>
          </cell>
        </row>
        <row r="1304">
          <cell r="B1304" t="str">
            <v>081660 KS</v>
          </cell>
          <cell r="C1304">
            <v>41409</v>
          </cell>
          <cell r="D1304" t="str">
            <v>E</v>
          </cell>
        </row>
        <row r="1305">
          <cell r="B1305" t="str">
            <v>050860 KS</v>
          </cell>
          <cell r="C1305">
            <v>41409</v>
          </cell>
          <cell r="D1305" t="str">
            <v>E</v>
          </cell>
        </row>
        <row r="1306">
          <cell r="B1306" t="str">
            <v>081200 KS</v>
          </cell>
          <cell r="C1306">
            <v>41409</v>
          </cell>
          <cell r="D1306" t="str">
            <v>E</v>
          </cell>
        </row>
        <row r="1307">
          <cell r="B1307" t="str">
            <v>114120 KS</v>
          </cell>
          <cell r="C1307">
            <v>41409</v>
          </cell>
          <cell r="D1307" t="str">
            <v>E</v>
          </cell>
        </row>
        <row r="1308">
          <cell r="B1308" t="str">
            <v>015750 KS</v>
          </cell>
          <cell r="C1308">
            <v>41409</v>
          </cell>
          <cell r="D1308" t="str">
            <v>E</v>
          </cell>
        </row>
        <row r="1309">
          <cell r="B1309" t="str">
            <v>047770 KS</v>
          </cell>
          <cell r="C1309">
            <v>41409</v>
          </cell>
          <cell r="D1309" t="str">
            <v>E</v>
          </cell>
        </row>
        <row r="1310">
          <cell r="B1310" t="str">
            <v>013990 KS</v>
          </cell>
          <cell r="C1310">
            <v>41409</v>
          </cell>
          <cell r="D1310" t="str">
            <v>E</v>
          </cell>
        </row>
        <row r="1311">
          <cell r="B1311" t="str">
            <v>053870 KS</v>
          </cell>
          <cell r="C1311">
            <v>41409</v>
          </cell>
          <cell r="D1311" t="str">
            <v>E</v>
          </cell>
        </row>
        <row r="1312">
          <cell r="B1312" t="str">
            <v>021820 KS</v>
          </cell>
          <cell r="C1312">
            <v>41409</v>
          </cell>
          <cell r="D1312" t="str">
            <v>E</v>
          </cell>
        </row>
        <row r="1313">
          <cell r="B1313" t="str">
            <v>038460 KS</v>
          </cell>
          <cell r="C1313">
            <v>41409</v>
          </cell>
          <cell r="D1313" t="str">
            <v>E</v>
          </cell>
        </row>
        <row r="1314">
          <cell r="B1314" t="str">
            <v>071200 KS</v>
          </cell>
          <cell r="C1314">
            <v>41409</v>
          </cell>
          <cell r="D1314" t="str">
            <v>E</v>
          </cell>
        </row>
        <row r="1315">
          <cell r="B1315" t="str">
            <v>007980 KS</v>
          </cell>
          <cell r="C1315">
            <v>41409</v>
          </cell>
          <cell r="D1315" t="str">
            <v>E</v>
          </cell>
        </row>
        <row r="1316">
          <cell r="B1316" t="str">
            <v>060370 KS</v>
          </cell>
          <cell r="C1316">
            <v>41409</v>
          </cell>
          <cell r="D1316" t="str">
            <v>E</v>
          </cell>
        </row>
        <row r="1317">
          <cell r="B1317" t="str">
            <v>000300 KS</v>
          </cell>
          <cell r="C1317">
            <v>41409</v>
          </cell>
          <cell r="D1317" t="str">
            <v>E</v>
          </cell>
        </row>
        <row r="1318">
          <cell r="B1318" t="str">
            <v>001810 KS</v>
          </cell>
          <cell r="C1318">
            <v>41409</v>
          </cell>
          <cell r="D1318" t="str">
            <v>E</v>
          </cell>
        </row>
        <row r="1319">
          <cell r="B1319" t="str">
            <v>002620 KS</v>
          </cell>
          <cell r="C1319">
            <v>41409</v>
          </cell>
          <cell r="D1319" t="str">
            <v>E</v>
          </cell>
        </row>
        <row r="1320">
          <cell r="B1320" t="str">
            <v>009470 KS</v>
          </cell>
          <cell r="C1320">
            <v>41409</v>
          </cell>
          <cell r="D1320" t="str">
            <v>E</v>
          </cell>
        </row>
        <row r="1321">
          <cell r="B1321" t="str">
            <v>034590 KS</v>
          </cell>
          <cell r="C1321">
            <v>41409</v>
          </cell>
          <cell r="D1321" t="str">
            <v>E</v>
          </cell>
        </row>
        <row r="1322">
          <cell r="B1322" t="str">
            <v>081210 KS</v>
          </cell>
          <cell r="C1322">
            <v>41409</v>
          </cell>
          <cell r="D1322" t="str">
            <v>E</v>
          </cell>
        </row>
        <row r="1323">
          <cell r="B1323" t="str">
            <v>048410 KS</v>
          </cell>
          <cell r="C1323">
            <v>41409</v>
          </cell>
          <cell r="D1323" t="str">
            <v>E</v>
          </cell>
        </row>
        <row r="1324">
          <cell r="B1324" t="str">
            <v>053320 KS</v>
          </cell>
          <cell r="C1324">
            <v>41409</v>
          </cell>
          <cell r="D1324" t="str">
            <v>E</v>
          </cell>
        </row>
        <row r="1325">
          <cell r="B1325" t="str">
            <v>039850 KS</v>
          </cell>
          <cell r="C1325">
            <v>41409</v>
          </cell>
          <cell r="D1325" t="str">
            <v>E</v>
          </cell>
        </row>
        <row r="1326">
          <cell r="B1326" t="str">
            <v>108670 KS</v>
          </cell>
          <cell r="C1326">
            <v>41409</v>
          </cell>
          <cell r="D1326" t="str">
            <v>E</v>
          </cell>
        </row>
        <row r="1327">
          <cell r="B1327" t="str">
            <v>001210 KS</v>
          </cell>
          <cell r="C1327">
            <v>41409</v>
          </cell>
          <cell r="D1327" t="str">
            <v>E</v>
          </cell>
        </row>
        <row r="1328">
          <cell r="B1328" t="str">
            <v>092220 KS</v>
          </cell>
          <cell r="C1328">
            <v>41409</v>
          </cell>
          <cell r="D1328" t="str">
            <v>E</v>
          </cell>
        </row>
        <row r="1329">
          <cell r="B1329" t="str">
            <v>002250 KS</v>
          </cell>
          <cell r="C1329">
            <v>41409</v>
          </cell>
          <cell r="D1329" t="str">
            <v>E</v>
          </cell>
        </row>
        <row r="1330">
          <cell r="B1330" t="str">
            <v>066700 KS</v>
          </cell>
          <cell r="C1330">
            <v>41409</v>
          </cell>
          <cell r="D1330" t="str">
            <v>E</v>
          </cell>
        </row>
        <row r="1331">
          <cell r="B1331" t="str">
            <v>057680 KS</v>
          </cell>
          <cell r="C1331">
            <v>41409</v>
          </cell>
          <cell r="D1331" t="str">
            <v>E</v>
          </cell>
        </row>
        <row r="1332">
          <cell r="B1332" t="str">
            <v>043610 KS</v>
          </cell>
          <cell r="C1332">
            <v>41409</v>
          </cell>
          <cell r="D1332" t="str">
            <v>E</v>
          </cell>
        </row>
        <row r="1333">
          <cell r="B1333" t="str">
            <v>090970 KS</v>
          </cell>
          <cell r="C1333">
            <v>41409</v>
          </cell>
          <cell r="D1333" t="str">
            <v>E</v>
          </cell>
        </row>
        <row r="1334">
          <cell r="B1334" t="str">
            <v>005110 KS</v>
          </cell>
          <cell r="C1334">
            <v>41409</v>
          </cell>
          <cell r="D1334" t="str">
            <v>E</v>
          </cell>
        </row>
        <row r="1335">
          <cell r="B1335" t="str">
            <v>114450 KS</v>
          </cell>
          <cell r="C1335">
            <v>41409</v>
          </cell>
          <cell r="D1335" t="str">
            <v>E</v>
          </cell>
        </row>
        <row r="1336">
          <cell r="B1336" t="str">
            <v>011760 KS</v>
          </cell>
          <cell r="C1336">
            <v>41409</v>
          </cell>
          <cell r="D1336" t="str">
            <v>E</v>
          </cell>
        </row>
        <row r="1337">
          <cell r="B1337" t="str">
            <v>090730 KS</v>
          </cell>
          <cell r="C1337">
            <v>41409</v>
          </cell>
          <cell r="D1337" t="str">
            <v>E</v>
          </cell>
        </row>
        <row r="1338">
          <cell r="B1338" t="str">
            <v>006200 KS</v>
          </cell>
          <cell r="C1338">
            <v>41409</v>
          </cell>
          <cell r="D1338" t="str">
            <v>E</v>
          </cell>
        </row>
        <row r="1339">
          <cell r="B1339" t="str">
            <v>060260 KS</v>
          </cell>
          <cell r="C1339">
            <v>41409</v>
          </cell>
          <cell r="D1339" t="str">
            <v>E</v>
          </cell>
        </row>
        <row r="1340">
          <cell r="B1340" t="str">
            <v>003230 KS</v>
          </cell>
          <cell r="C1340">
            <v>41409</v>
          </cell>
          <cell r="D1340" t="str">
            <v>E</v>
          </cell>
        </row>
        <row r="1341">
          <cell r="B1341" t="str">
            <v>049000 KS</v>
          </cell>
          <cell r="C1341">
            <v>41409</v>
          </cell>
          <cell r="D1341" t="str">
            <v>E</v>
          </cell>
        </row>
        <row r="1342">
          <cell r="B1342" t="str">
            <v>032190 KS</v>
          </cell>
          <cell r="C1342">
            <v>41409</v>
          </cell>
          <cell r="D1342" t="str">
            <v>E</v>
          </cell>
        </row>
        <row r="1343">
          <cell r="B1343" t="str">
            <v>020120 KS</v>
          </cell>
          <cell r="C1343">
            <v>41409</v>
          </cell>
          <cell r="D1343" t="str">
            <v>E</v>
          </cell>
        </row>
        <row r="1344">
          <cell r="B1344" t="str">
            <v>088800 KS</v>
          </cell>
          <cell r="C1344">
            <v>41409</v>
          </cell>
          <cell r="D1344" t="str">
            <v>E</v>
          </cell>
        </row>
        <row r="1345">
          <cell r="B1345" t="str">
            <v>082240 KS</v>
          </cell>
          <cell r="C1345">
            <v>41409</v>
          </cell>
          <cell r="D1345" t="str">
            <v>E</v>
          </cell>
        </row>
        <row r="1346">
          <cell r="B1346" t="str">
            <v>001470 KS</v>
          </cell>
          <cell r="C1346">
            <v>41409</v>
          </cell>
          <cell r="D1346" t="str">
            <v>E</v>
          </cell>
        </row>
        <row r="1347">
          <cell r="B1347" t="str">
            <v>023460 KS</v>
          </cell>
          <cell r="C1347">
            <v>41409</v>
          </cell>
          <cell r="D1347" t="str">
            <v>E</v>
          </cell>
        </row>
        <row r="1348">
          <cell r="B1348" t="str">
            <v>023430 KS</v>
          </cell>
          <cell r="C1348">
            <v>41409</v>
          </cell>
          <cell r="D1348" t="str">
            <v>E</v>
          </cell>
        </row>
        <row r="1349">
          <cell r="B1349" t="str">
            <v>068870 KS</v>
          </cell>
          <cell r="C1349">
            <v>41409</v>
          </cell>
          <cell r="D1349" t="str">
            <v>E</v>
          </cell>
        </row>
        <row r="1350">
          <cell r="B1350" t="str">
            <v>024120 KS</v>
          </cell>
          <cell r="C1350">
            <v>41409</v>
          </cell>
          <cell r="D1350" t="str">
            <v>E</v>
          </cell>
        </row>
        <row r="1351">
          <cell r="B1351" t="str">
            <v>039790 KS</v>
          </cell>
          <cell r="C1351">
            <v>41409</v>
          </cell>
          <cell r="D1351" t="str">
            <v>E</v>
          </cell>
        </row>
        <row r="1352">
          <cell r="B1352" t="str">
            <v>005950 KS</v>
          </cell>
          <cell r="C1352">
            <v>41409</v>
          </cell>
          <cell r="D1352" t="str">
            <v>E</v>
          </cell>
        </row>
        <row r="1353">
          <cell r="B1353" t="str">
            <v>028300 KS</v>
          </cell>
          <cell r="C1353">
            <v>41409</v>
          </cell>
          <cell r="D1353" t="str">
            <v>E</v>
          </cell>
        </row>
        <row r="1354">
          <cell r="B1354" t="str">
            <v>011230 KS</v>
          </cell>
          <cell r="C1354">
            <v>41409</v>
          </cell>
          <cell r="D1354" t="str">
            <v>E</v>
          </cell>
        </row>
        <row r="1355">
          <cell r="B1355" t="str">
            <v>035890 KS</v>
          </cell>
          <cell r="C1355">
            <v>41409</v>
          </cell>
          <cell r="D1355" t="str">
            <v>E</v>
          </cell>
        </row>
        <row r="1356">
          <cell r="B1356" t="str">
            <v>067310 KS</v>
          </cell>
          <cell r="C1356">
            <v>41409</v>
          </cell>
          <cell r="D1356" t="str">
            <v>E</v>
          </cell>
        </row>
        <row r="1357">
          <cell r="B1357" t="str">
            <v>032820 KS</v>
          </cell>
          <cell r="C1357">
            <v>41409</v>
          </cell>
          <cell r="D1357" t="str">
            <v>E</v>
          </cell>
        </row>
        <row r="1358">
          <cell r="B1358" t="str">
            <v>074610 KS</v>
          </cell>
          <cell r="C1358">
            <v>41409</v>
          </cell>
          <cell r="D1358" t="str">
            <v>E</v>
          </cell>
        </row>
        <row r="1359">
          <cell r="B1359" t="str">
            <v>034810 KS</v>
          </cell>
          <cell r="C1359">
            <v>41409</v>
          </cell>
          <cell r="D1359" t="str">
            <v>E</v>
          </cell>
        </row>
        <row r="1360">
          <cell r="B1360" t="str">
            <v>090980 KS</v>
          </cell>
          <cell r="C1360">
            <v>41409</v>
          </cell>
          <cell r="D1360" t="str">
            <v>E</v>
          </cell>
        </row>
        <row r="1361">
          <cell r="B1361" t="str">
            <v>001380 KS</v>
          </cell>
          <cell r="C1361">
            <v>41409</v>
          </cell>
          <cell r="D1361" t="str">
            <v>E</v>
          </cell>
        </row>
        <row r="1362">
          <cell r="B1362" t="str">
            <v>082250 KS</v>
          </cell>
          <cell r="C1362">
            <v>41409</v>
          </cell>
          <cell r="D1362" t="str">
            <v>E</v>
          </cell>
        </row>
        <row r="1363">
          <cell r="B1363" t="str">
            <v>082260 KS</v>
          </cell>
          <cell r="C1363">
            <v>41409</v>
          </cell>
          <cell r="D1363" t="str">
            <v>E</v>
          </cell>
        </row>
        <row r="1364">
          <cell r="B1364" t="str">
            <v>010640 KS</v>
          </cell>
          <cell r="C1364">
            <v>41409</v>
          </cell>
          <cell r="D1364" t="str">
            <v>E</v>
          </cell>
        </row>
        <row r="1365">
          <cell r="B1365" t="str">
            <v>081930 KS</v>
          </cell>
          <cell r="C1365">
            <v>41409</v>
          </cell>
          <cell r="D1365" t="str">
            <v>E</v>
          </cell>
        </row>
        <row r="1366">
          <cell r="B1366" t="str">
            <v>053980 KS</v>
          </cell>
          <cell r="C1366">
            <v>41409</v>
          </cell>
          <cell r="D1366" t="str">
            <v>E</v>
          </cell>
        </row>
        <row r="1367">
          <cell r="B1367" t="str">
            <v>044060 KS</v>
          </cell>
          <cell r="C1367">
            <v>41409</v>
          </cell>
          <cell r="D1367" t="str">
            <v>E</v>
          </cell>
        </row>
        <row r="1368">
          <cell r="B1368" t="str">
            <v>037230 KS</v>
          </cell>
          <cell r="C1368">
            <v>41409</v>
          </cell>
          <cell r="D1368" t="str">
            <v>E</v>
          </cell>
        </row>
        <row r="1369">
          <cell r="B1369" t="str">
            <v>104110 KS</v>
          </cell>
          <cell r="C1369">
            <v>41409</v>
          </cell>
          <cell r="D1369" t="str">
            <v>E</v>
          </cell>
        </row>
        <row r="1370">
          <cell r="B1370" t="str">
            <v>004360 KS</v>
          </cell>
          <cell r="C1370">
            <v>41409</v>
          </cell>
          <cell r="D1370" t="str">
            <v>E</v>
          </cell>
        </row>
        <row r="1371">
          <cell r="B1371" t="str">
            <v>052400 KS</v>
          </cell>
          <cell r="C1371">
            <v>41409</v>
          </cell>
          <cell r="D1371" t="str">
            <v>E</v>
          </cell>
        </row>
        <row r="1372">
          <cell r="B1372" t="str">
            <v>118000 KS</v>
          </cell>
          <cell r="C1372">
            <v>41409</v>
          </cell>
          <cell r="D1372" t="str">
            <v>E</v>
          </cell>
        </row>
        <row r="1373">
          <cell r="B1373" t="str">
            <v>090990 KS</v>
          </cell>
          <cell r="C1373">
            <v>41409</v>
          </cell>
          <cell r="D1373" t="str">
            <v>E</v>
          </cell>
        </row>
        <row r="1374">
          <cell r="B1374" t="str">
            <v>054940 KS</v>
          </cell>
          <cell r="C1374">
            <v>41409</v>
          </cell>
          <cell r="D1374" t="str">
            <v>E</v>
          </cell>
        </row>
        <row r="1375">
          <cell r="B1375" t="str">
            <v>117580 KS</v>
          </cell>
          <cell r="C1375">
            <v>41409</v>
          </cell>
          <cell r="D1375" t="str">
            <v>E</v>
          </cell>
        </row>
        <row r="1376">
          <cell r="B1376" t="str">
            <v>039830 KS</v>
          </cell>
          <cell r="C1376">
            <v>41409</v>
          </cell>
          <cell r="D1376" t="str">
            <v>E</v>
          </cell>
        </row>
        <row r="1377">
          <cell r="B1377" t="str">
            <v>072710 KS</v>
          </cell>
          <cell r="C1377">
            <v>41409</v>
          </cell>
          <cell r="D1377" t="str">
            <v>E</v>
          </cell>
        </row>
        <row r="1378">
          <cell r="B1378" t="str">
            <v>006570 KS</v>
          </cell>
          <cell r="C1378">
            <v>41409</v>
          </cell>
          <cell r="D1378" t="str">
            <v>E</v>
          </cell>
        </row>
        <row r="1379">
          <cell r="B1379" t="str">
            <v>083580 KS</v>
          </cell>
          <cell r="C1379">
            <v>41409</v>
          </cell>
          <cell r="D1379" t="str">
            <v>E</v>
          </cell>
        </row>
        <row r="1380">
          <cell r="B1380" t="str">
            <v>083590 KS</v>
          </cell>
          <cell r="C1380">
            <v>41409</v>
          </cell>
          <cell r="D1380" t="str">
            <v>E</v>
          </cell>
        </row>
        <row r="1381">
          <cell r="B1381" t="str">
            <v>095190 KS</v>
          </cell>
          <cell r="C1381">
            <v>41409</v>
          </cell>
          <cell r="D1381" t="str">
            <v>E</v>
          </cell>
        </row>
        <row r="1382">
          <cell r="B1382" t="str">
            <v>083610 KS</v>
          </cell>
          <cell r="C1382">
            <v>41409</v>
          </cell>
          <cell r="D1382" t="str">
            <v>E</v>
          </cell>
        </row>
        <row r="1383">
          <cell r="B1383" t="str">
            <v>012410 KS</v>
          </cell>
          <cell r="C1383">
            <v>41409</v>
          </cell>
          <cell r="D1383" t="str">
            <v>E</v>
          </cell>
        </row>
        <row r="1384">
          <cell r="B1384" t="str">
            <v>028080 KS</v>
          </cell>
          <cell r="C1384">
            <v>41409</v>
          </cell>
          <cell r="D1384" t="str">
            <v>E</v>
          </cell>
        </row>
        <row r="1385">
          <cell r="B1385" t="str">
            <v>139200 KS</v>
          </cell>
          <cell r="C1385">
            <v>41409</v>
          </cell>
          <cell r="D1385" t="str">
            <v>E</v>
          </cell>
        </row>
        <row r="1386">
          <cell r="B1386" t="str">
            <v>065500 KS</v>
          </cell>
          <cell r="C1386">
            <v>41409</v>
          </cell>
          <cell r="D1386" t="str">
            <v>E</v>
          </cell>
        </row>
        <row r="1387">
          <cell r="B1387" t="str">
            <v>045890 KS</v>
          </cell>
          <cell r="C1387">
            <v>41409</v>
          </cell>
          <cell r="D1387" t="str">
            <v>E</v>
          </cell>
        </row>
        <row r="1388">
          <cell r="B1388" t="str">
            <v>017810 KS</v>
          </cell>
          <cell r="C1388">
            <v>41409</v>
          </cell>
          <cell r="D1388" t="str">
            <v>E</v>
          </cell>
        </row>
        <row r="1389">
          <cell r="B1389" t="str">
            <v>017810 KS</v>
          </cell>
          <cell r="C1389">
            <v>41409</v>
          </cell>
          <cell r="D1389" t="str">
            <v>E</v>
          </cell>
        </row>
        <row r="1390">
          <cell r="B1390" t="str">
            <v>001260 KS</v>
          </cell>
          <cell r="C1390">
            <v>41409</v>
          </cell>
          <cell r="D1390" t="str">
            <v>E</v>
          </cell>
        </row>
        <row r="1391">
          <cell r="B1391" t="str">
            <v>108890 KS</v>
          </cell>
          <cell r="C1391">
            <v>41409</v>
          </cell>
          <cell r="D1391" t="str">
            <v>E</v>
          </cell>
        </row>
        <row r="1392">
          <cell r="B1392" t="str">
            <v>046140 KS</v>
          </cell>
          <cell r="C1392">
            <v>41409</v>
          </cell>
          <cell r="D1392" t="str">
            <v>E</v>
          </cell>
        </row>
        <row r="1393">
          <cell r="B1393" t="str">
            <v>004870 KS</v>
          </cell>
          <cell r="C1393">
            <v>41409</v>
          </cell>
          <cell r="D1393" t="str">
            <v>E</v>
          </cell>
        </row>
        <row r="1394">
          <cell r="B1394" t="str">
            <v>003310 KS</v>
          </cell>
          <cell r="C1394">
            <v>41409</v>
          </cell>
          <cell r="D1394" t="str">
            <v>E</v>
          </cell>
        </row>
        <row r="1395">
          <cell r="B1395" t="str">
            <v>122350 KS</v>
          </cell>
          <cell r="C1395">
            <v>41409</v>
          </cell>
          <cell r="D1395" t="str">
            <v>E</v>
          </cell>
        </row>
        <row r="1396">
          <cell r="B1396" t="str">
            <v>082800 KS</v>
          </cell>
          <cell r="C1396">
            <v>41409</v>
          </cell>
          <cell r="D1396" t="str">
            <v>E</v>
          </cell>
        </row>
        <row r="1397">
          <cell r="B1397" t="str">
            <v>009460 KS</v>
          </cell>
          <cell r="C1397">
            <v>41409</v>
          </cell>
          <cell r="D1397" t="str">
            <v>E</v>
          </cell>
        </row>
        <row r="1398">
          <cell r="B1398" t="str">
            <v>000670 KS</v>
          </cell>
          <cell r="C1398">
            <v>41409</v>
          </cell>
          <cell r="D1398" t="str">
            <v>E</v>
          </cell>
        </row>
        <row r="1399">
          <cell r="B1399" t="str">
            <v>012650 KS</v>
          </cell>
          <cell r="C1399">
            <v>41409</v>
          </cell>
          <cell r="D1399" t="str">
            <v>E</v>
          </cell>
        </row>
        <row r="1400">
          <cell r="B1400" t="str">
            <v>091000 KS</v>
          </cell>
          <cell r="C1400">
            <v>41409</v>
          </cell>
          <cell r="D1400" t="str">
            <v>E</v>
          </cell>
        </row>
        <row r="1401">
          <cell r="B1401" t="str">
            <v>090710 KS</v>
          </cell>
          <cell r="C1401">
            <v>41409</v>
          </cell>
          <cell r="D1401" t="str">
            <v>E</v>
          </cell>
        </row>
        <row r="1402">
          <cell r="B1402" t="str">
            <v>075970 KS</v>
          </cell>
          <cell r="C1402">
            <v>41409</v>
          </cell>
          <cell r="D1402" t="str">
            <v>E</v>
          </cell>
        </row>
        <row r="1403">
          <cell r="B1403" t="str">
            <v>084680 KS</v>
          </cell>
          <cell r="C1403">
            <v>41409</v>
          </cell>
          <cell r="D1403" t="str">
            <v>E</v>
          </cell>
        </row>
        <row r="1404">
          <cell r="B1404" t="str">
            <v>067250 KS</v>
          </cell>
          <cell r="C1404">
            <v>41409</v>
          </cell>
          <cell r="D1404" t="str">
            <v>E</v>
          </cell>
        </row>
        <row r="1405">
          <cell r="B1405" t="str">
            <v>067250 KS</v>
          </cell>
          <cell r="C1405">
            <v>41409</v>
          </cell>
          <cell r="D1405" t="str">
            <v>E</v>
          </cell>
        </row>
        <row r="1406">
          <cell r="B1406" t="str">
            <v>001520 KS</v>
          </cell>
          <cell r="C1406">
            <v>41409</v>
          </cell>
          <cell r="D1406" t="str">
            <v>E</v>
          </cell>
        </row>
        <row r="1407">
          <cell r="B1407" t="str">
            <v>031430 KS</v>
          </cell>
          <cell r="C1407">
            <v>41409</v>
          </cell>
          <cell r="D1407" t="str">
            <v>E</v>
          </cell>
        </row>
        <row r="1408">
          <cell r="B1408" t="str">
            <v>023440 KS</v>
          </cell>
          <cell r="C1408">
            <v>41409</v>
          </cell>
          <cell r="D1408" t="str">
            <v>E</v>
          </cell>
        </row>
        <row r="1409">
          <cell r="B1409" t="str">
            <v>091440 KS</v>
          </cell>
          <cell r="C1409">
            <v>41409</v>
          </cell>
          <cell r="D1409" t="str">
            <v>E</v>
          </cell>
        </row>
        <row r="1410">
          <cell r="B1410" t="str">
            <v>024890 KS</v>
          </cell>
          <cell r="C1410">
            <v>41409</v>
          </cell>
          <cell r="D1410" t="str">
            <v>E</v>
          </cell>
        </row>
        <row r="1411">
          <cell r="B1411" t="str">
            <v>004980 KS</v>
          </cell>
          <cell r="C1411">
            <v>41409</v>
          </cell>
          <cell r="D1411" t="str">
            <v>E</v>
          </cell>
        </row>
        <row r="1412">
          <cell r="B1412" t="str">
            <v>029480 KS</v>
          </cell>
          <cell r="C1412">
            <v>41409</v>
          </cell>
          <cell r="D1412" t="str">
            <v>E</v>
          </cell>
        </row>
        <row r="1413">
          <cell r="B1413" t="str">
            <v>004130 KS</v>
          </cell>
          <cell r="C1413">
            <v>41409</v>
          </cell>
          <cell r="D1413" t="str">
            <v>E</v>
          </cell>
        </row>
        <row r="1414">
          <cell r="B1414" t="str">
            <v>035150 KS</v>
          </cell>
          <cell r="C1414">
            <v>41409</v>
          </cell>
          <cell r="D1414" t="str">
            <v>E</v>
          </cell>
        </row>
        <row r="1415">
          <cell r="B1415" t="str">
            <v>065160 KS</v>
          </cell>
          <cell r="C1415">
            <v>41409</v>
          </cell>
          <cell r="D1415" t="str">
            <v>E</v>
          </cell>
        </row>
        <row r="1416">
          <cell r="B1416" t="str">
            <v>000360 KS</v>
          </cell>
          <cell r="C1416">
            <v>41409</v>
          </cell>
          <cell r="D1416" t="str">
            <v>E</v>
          </cell>
        </row>
        <row r="1417">
          <cell r="B1417" t="str">
            <v>035610 KS</v>
          </cell>
          <cell r="C1417">
            <v>41409</v>
          </cell>
          <cell r="D1417" t="str">
            <v>E</v>
          </cell>
        </row>
        <row r="1418">
          <cell r="B1418" t="str">
            <v>000500 KS</v>
          </cell>
          <cell r="C1418">
            <v>41409</v>
          </cell>
          <cell r="D1418" t="str">
            <v>E</v>
          </cell>
        </row>
        <row r="1419">
          <cell r="B1419" t="str">
            <v>030790 KS</v>
          </cell>
          <cell r="C1419">
            <v>41409</v>
          </cell>
          <cell r="D1419" t="str">
            <v>E</v>
          </cell>
        </row>
        <row r="1420">
          <cell r="B1420" t="str">
            <v>056340 KS</v>
          </cell>
          <cell r="C1420">
            <v>41409</v>
          </cell>
          <cell r="D1420" t="str">
            <v>E</v>
          </cell>
        </row>
        <row r="1421">
          <cell r="B1421" t="str">
            <v>056340 KS</v>
          </cell>
          <cell r="C1421">
            <v>41409</v>
          </cell>
          <cell r="D1421" t="str">
            <v>E</v>
          </cell>
        </row>
        <row r="1422">
          <cell r="B1422" t="str">
            <v>050890 KS</v>
          </cell>
          <cell r="C1422">
            <v>41409</v>
          </cell>
          <cell r="D1422" t="str">
            <v>E</v>
          </cell>
        </row>
        <row r="1423">
          <cell r="B1423" t="str">
            <v>015540 KS</v>
          </cell>
          <cell r="C1423">
            <v>41409</v>
          </cell>
          <cell r="D1423" t="str">
            <v>E</v>
          </cell>
        </row>
        <row r="1424">
          <cell r="B1424" t="str">
            <v>037710 KS</v>
          </cell>
          <cell r="C1424">
            <v>41409</v>
          </cell>
          <cell r="D1424" t="str">
            <v>E</v>
          </cell>
        </row>
        <row r="1425">
          <cell r="B1425" t="str">
            <v>002530 KS</v>
          </cell>
          <cell r="C1425">
            <v>41409</v>
          </cell>
          <cell r="D1425" t="str">
            <v>E</v>
          </cell>
        </row>
        <row r="1426">
          <cell r="B1426" t="str">
            <v>027740 KS</v>
          </cell>
          <cell r="C1426">
            <v>41409</v>
          </cell>
          <cell r="D1426" t="str">
            <v>E</v>
          </cell>
        </row>
        <row r="1427">
          <cell r="B1427" t="str">
            <v>006090 KS</v>
          </cell>
          <cell r="C1427">
            <v>41409</v>
          </cell>
          <cell r="D1427" t="str">
            <v>E</v>
          </cell>
        </row>
        <row r="1428">
          <cell r="B1428" t="str">
            <v>050320 KS</v>
          </cell>
          <cell r="C1428">
            <v>41409</v>
          </cell>
          <cell r="D1428" t="str">
            <v>E</v>
          </cell>
        </row>
        <row r="1429">
          <cell r="B1429" t="str">
            <v>043200 KS</v>
          </cell>
          <cell r="C1429">
            <v>41409</v>
          </cell>
          <cell r="D1429" t="str">
            <v>E</v>
          </cell>
        </row>
        <row r="1430">
          <cell r="B1430" t="str">
            <v>038500 KS</v>
          </cell>
          <cell r="C1430">
            <v>41409</v>
          </cell>
          <cell r="D1430" t="str">
            <v>E</v>
          </cell>
        </row>
        <row r="1431">
          <cell r="B1431" t="str">
            <v>109820 KS</v>
          </cell>
          <cell r="C1431">
            <v>41409</v>
          </cell>
          <cell r="D1431" t="str">
            <v>E</v>
          </cell>
        </row>
        <row r="1432">
          <cell r="B1432" t="str">
            <v>008060 KS</v>
          </cell>
          <cell r="C1432">
            <v>41409</v>
          </cell>
          <cell r="D1432" t="str">
            <v>E</v>
          </cell>
        </row>
        <row r="1433">
          <cell r="B1433" t="str">
            <v>060380 KS</v>
          </cell>
          <cell r="C1433">
            <v>41409</v>
          </cell>
          <cell r="D1433" t="str">
            <v>E</v>
          </cell>
        </row>
        <row r="1434">
          <cell r="B1434" t="str">
            <v>000320 KS</v>
          </cell>
          <cell r="C1434">
            <v>41409</v>
          </cell>
          <cell r="D1434" t="str">
            <v>E</v>
          </cell>
        </row>
        <row r="1435">
          <cell r="B1435" t="str">
            <v>042940 KS</v>
          </cell>
          <cell r="C1435">
            <v>41409</v>
          </cell>
          <cell r="D1435" t="str">
            <v>E</v>
          </cell>
        </row>
        <row r="1436">
          <cell r="B1436" t="str">
            <v>049720 KS</v>
          </cell>
          <cell r="C1436">
            <v>41409</v>
          </cell>
          <cell r="D1436" t="str">
            <v>E</v>
          </cell>
        </row>
        <row r="1437">
          <cell r="B1437" t="str">
            <v>048550 KS</v>
          </cell>
          <cell r="C1437">
            <v>41409</v>
          </cell>
          <cell r="D1437" t="str">
            <v>E</v>
          </cell>
        </row>
        <row r="1438">
          <cell r="B1438" t="str">
            <v>005990 KS</v>
          </cell>
          <cell r="C1438">
            <v>41409</v>
          </cell>
          <cell r="D1438" t="str">
            <v>E</v>
          </cell>
        </row>
        <row r="1439">
          <cell r="B1439" t="str">
            <v>101240 KS</v>
          </cell>
          <cell r="C1439">
            <v>41409</v>
          </cell>
          <cell r="D1439" t="str">
            <v>E</v>
          </cell>
        </row>
        <row r="1440">
          <cell r="B1440" t="str">
            <v>010620 KS</v>
          </cell>
          <cell r="C1440">
            <v>41409</v>
          </cell>
          <cell r="D1440" t="str">
            <v>E</v>
          </cell>
        </row>
        <row r="1441">
          <cell r="B1441" t="str">
            <v>064240 KS</v>
          </cell>
          <cell r="C1441">
            <v>41409</v>
          </cell>
          <cell r="D1441" t="str">
            <v>E</v>
          </cell>
        </row>
        <row r="1442">
          <cell r="B1442" t="str">
            <v>095270 KS</v>
          </cell>
          <cell r="C1442">
            <v>41409</v>
          </cell>
          <cell r="D1442" t="str">
            <v>E</v>
          </cell>
        </row>
        <row r="1443">
          <cell r="B1443" t="str">
            <v>079960 KS</v>
          </cell>
          <cell r="C1443">
            <v>41409</v>
          </cell>
          <cell r="D1443" t="str">
            <v>E</v>
          </cell>
        </row>
        <row r="1444">
          <cell r="B1444" t="str">
            <v>042520 KS</v>
          </cell>
          <cell r="C1444">
            <v>41409</v>
          </cell>
          <cell r="D1444" t="str">
            <v>E</v>
          </cell>
        </row>
        <row r="1445">
          <cell r="B1445" t="str">
            <v>012450 KS</v>
          </cell>
          <cell r="C1445">
            <v>41409</v>
          </cell>
          <cell r="D1445" t="str">
            <v>E</v>
          </cell>
        </row>
        <row r="1446">
          <cell r="B1446" t="str">
            <v>032800 KS</v>
          </cell>
          <cell r="C1446">
            <v>41409</v>
          </cell>
          <cell r="D1446" t="str">
            <v>E</v>
          </cell>
        </row>
        <row r="1447">
          <cell r="B1447" t="str">
            <v>002780 KS</v>
          </cell>
          <cell r="C1447">
            <v>41409</v>
          </cell>
          <cell r="D1447" t="str">
            <v>E</v>
          </cell>
        </row>
        <row r="1448">
          <cell r="B1448" t="str">
            <v>068330 KS</v>
          </cell>
          <cell r="C1448">
            <v>41409</v>
          </cell>
          <cell r="D1448" t="str">
            <v>E</v>
          </cell>
        </row>
        <row r="1449">
          <cell r="B1449" t="str">
            <v>069920 KS</v>
          </cell>
          <cell r="C1449">
            <v>41409</v>
          </cell>
          <cell r="D1449" t="str">
            <v>E</v>
          </cell>
        </row>
        <row r="1450">
          <cell r="B1450" t="str">
            <v>025850 KS</v>
          </cell>
          <cell r="C1450">
            <v>41409</v>
          </cell>
          <cell r="D1450" t="str">
            <v>E</v>
          </cell>
        </row>
        <row r="1451">
          <cell r="B1451" t="str">
            <v>071970 KS</v>
          </cell>
          <cell r="C1451">
            <v>41409</v>
          </cell>
          <cell r="D1451" t="str">
            <v>E</v>
          </cell>
        </row>
        <row r="1452">
          <cell r="B1452" t="str">
            <v>071970 KS</v>
          </cell>
          <cell r="C1452">
            <v>41409</v>
          </cell>
          <cell r="D1452" t="str">
            <v>E</v>
          </cell>
        </row>
        <row r="1453">
          <cell r="B1453" t="str">
            <v>002670 KS</v>
          </cell>
          <cell r="C1453">
            <v>41409</v>
          </cell>
          <cell r="D1453" t="str">
            <v>E</v>
          </cell>
        </row>
        <row r="1454">
          <cell r="B1454" t="str">
            <v>007860 KS</v>
          </cell>
          <cell r="C1454">
            <v>41409</v>
          </cell>
          <cell r="D1454" t="str">
            <v>E</v>
          </cell>
        </row>
        <row r="1455">
          <cell r="B1455" t="str">
            <v>058420 KS</v>
          </cell>
          <cell r="C1455">
            <v>41409</v>
          </cell>
          <cell r="D1455" t="str">
            <v>E</v>
          </cell>
        </row>
        <row r="1456">
          <cell r="B1456" t="str">
            <v>003280 KS</v>
          </cell>
          <cell r="C1456">
            <v>41409</v>
          </cell>
          <cell r="D1456" t="str">
            <v>E</v>
          </cell>
        </row>
        <row r="1457">
          <cell r="B1457" t="str">
            <v>024800 KS</v>
          </cell>
          <cell r="C1457">
            <v>41409</v>
          </cell>
          <cell r="D1457" t="str">
            <v>E</v>
          </cell>
        </row>
        <row r="1458">
          <cell r="B1458" t="str">
            <v>003640 KS</v>
          </cell>
          <cell r="C1458">
            <v>41409</v>
          </cell>
          <cell r="D1458" t="str">
            <v>E</v>
          </cell>
        </row>
        <row r="1459">
          <cell r="B1459" t="str">
            <v>140410 KS</v>
          </cell>
          <cell r="C1459">
            <v>41409</v>
          </cell>
          <cell r="D1459" t="str">
            <v>E</v>
          </cell>
        </row>
        <row r="1460">
          <cell r="B1460" t="str">
            <v>033790 KS</v>
          </cell>
          <cell r="C1460">
            <v>41409</v>
          </cell>
          <cell r="D1460" t="str">
            <v>E</v>
          </cell>
        </row>
        <row r="1461">
          <cell r="B1461" t="str">
            <v>001680 KS</v>
          </cell>
          <cell r="C1461">
            <v>41409</v>
          </cell>
          <cell r="D1461" t="str">
            <v>E</v>
          </cell>
        </row>
        <row r="1462">
          <cell r="B1462" t="str">
            <v>077970 KS</v>
          </cell>
          <cell r="C1462">
            <v>41409</v>
          </cell>
          <cell r="D1462" t="str">
            <v>E</v>
          </cell>
        </row>
        <row r="1463">
          <cell r="B1463" t="str">
            <v>092230 KS</v>
          </cell>
          <cell r="C1463">
            <v>41409</v>
          </cell>
          <cell r="D1463" t="str">
            <v>E</v>
          </cell>
        </row>
        <row r="1464">
          <cell r="B1464" t="str">
            <v>079190 KS</v>
          </cell>
          <cell r="C1464">
            <v>41409</v>
          </cell>
          <cell r="D1464" t="str">
            <v>E</v>
          </cell>
        </row>
        <row r="1465">
          <cell r="B1465" t="str">
            <v>003010 KS</v>
          </cell>
          <cell r="C1465">
            <v>41409</v>
          </cell>
          <cell r="D1465" t="str">
            <v>E</v>
          </cell>
        </row>
        <row r="1466">
          <cell r="B1466" t="str">
            <v>057500 KS</v>
          </cell>
          <cell r="C1466">
            <v>41409</v>
          </cell>
          <cell r="D1466" t="str">
            <v>E</v>
          </cell>
        </row>
        <row r="1467">
          <cell r="B1467" t="str">
            <v>005930 KS</v>
          </cell>
          <cell r="C1467">
            <v>41409</v>
          </cell>
          <cell r="D1467" t="str">
            <v>E</v>
          </cell>
        </row>
        <row r="1468">
          <cell r="B1468" t="str">
            <v>025000 KS</v>
          </cell>
          <cell r="C1468">
            <v>41409</v>
          </cell>
          <cell r="D1468" t="str">
            <v>E</v>
          </cell>
        </row>
        <row r="1469">
          <cell r="B1469" t="str">
            <v>018310 KS</v>
          </cell>
          <cell r="C1469">
            <v>41409</v>
          </cell>
          <cell r="D1469" t="str">
            <v>E</v>
          </cell>
        </row>
        <row r="1470">
          <cell r="B1470" t="str">
            <v>022220 KS</v>
          </cell>
          <cell r="C1470">
            <v>41409</v>
          </cell>
          <cell r="D1470" t="str">
            <v>E</v>
          </cell>
        </row>
        <row r="1471">
          <cell r="B1471" t="str">
            <v>003300 KS</v>
          </cell>
          <cell r="C1471">
            <v>41409</v>
          </cell>
          <cell r="D1471" t="str">
            <v>E</v>
          </cell>
        </row>
        <row r="1472">
          <cell r="B1472" t="str">
            <v>002030 KS</v>
          </cell>
          <cell r="C1472">
            <v>41409</v>
          </cell>
          <cell r="D1472" t="str">
            <v>E</v>
          </cell>
        </row>
        <row r="1473">
          <cell r="B1473" t="str">
            <v>003830 KS</v>
          </cell>
          <cell r="C1473">
            <v>41409</v>
          </cell>
          <cell r="D1473" t="str">
            <v>E</v>
          </cell>
        </row>
        <row r="1474">
          <cell r="B1474" t="str">
            <v>002300 KS</v>
          </cell>
          <cell r="C1474">
            <v>41409</v>
          </cell>
          <cell r="D1474" t="str">
            <v>E</v>
          </cell>
        </row>
        <row r="1475">
          <cell r="B1475" t="str">
            <v>106240 KS</v>
          </cell>
          <cell r="C1475">
            <v>41409</v>
          </cell>
          <cell r="D1475" t="str">
            <v>E</v>
          </cell>
        </row>
        <row r="1476">
          <cell r="B1476" t="str">
            <v>067630 KS</v>
          </cell>
          <cell r="C1476">
            <v>41409</v>
          </cell>
          <cell r="D1476" t="str">
            <v>E</v>
          </cell>
        </row>
        <row r="1477">
          <cell r="B1477" t="str">
            <v>041190 KS</v>
          </cell>
          <cell r="C1477">
            <v>41409</v>
          </cell>
          <cell r="D1477" t="str">
            <v>E</v>
          </cell>
        </row>
        <row r="1478">
          <cell r="B1478" t="str">
            <v>077970 KS</v>
          </cell>
          <cell r="C1478">
            <v>41409</v>
          </cell>
          <cell r="D1478" t="str">
            <v>E</v>
          </cell>
        </row>
        <row r="1479">
          <cell r="B1479" t="str">
            <v>001880 KS</v>
          </cell>
          <cell r="C1479">
            <v>41409</v>
          </cell>
          <cell r="D1479" t="str">
            <v>E</v>
          </cell>
        </row>
        <row r="1480">
          <cell r="B1480" t="str">
            <v>056010 KS</v>
          </cell>
          <cell r="C1480">
            <v>41409</v>
          </cell>
          <cell r="D1480" t="str">
            <v>E</v>
          </cell>
        </row>
        <row r="1481">
          <cell r="B1481" t="str">
            <v>069080 KS</v>
          </cell>
          <cell r="C1481">
            <v>41409</v>
          </cell>
          <cell r="D1481" t="str">
            <v>E</v>
          </cell>
        </row>
        <row r="1482">
          <cell r="B1482" t="str">
            <v>069080 KS</v>
          </cell>
          <cell r="C1482">
            <v>41409</v>
          </cell>
          <cell r="D1482" t="str">
            <v>E</v>
          </cell>
        </row>
        <row r="1483">
          <cell r="B1483" t="str">
            <v>011790 KS</v>
          </cell>
          <cell r="C1483">
            <v>41409</v>
          </cell>
          <cell r="D1483" t="str">
            <v>E</v>
          </cell>
        </row>
        <row r="1484">
          <cell r="B1484" t="str">
            <v>006040 KS</v>
          </cell>
          <cell r="C1484">
            <v>41409</v>
          </cell>
          <cell r="D1484" t="str">
            <v>E</v>
          </cell>
        </row>
        <row r="1485">
          <cell r="B1485" t="str">
            <v>006040 KS</v>
          </cell>
          <cell r="C1485">
            <v>41409</v>
          </cell>
          <cell r="D1485" t="str">
            <v>E</v>
          </cell>
        </row>
        <row r="1486">
          <cell r="B1486" t="str">
            <v>015760 KS</v>
          </cell>
          <cell r="C1486">
            <v>41409</v>
          </cell>
          <cell r="D1486" t="str">
            <v>E</v>
          </cell>
        </row>
        <row r="1487">
          <cell r="B1487" t="str">
            <v>015760 KS</v>
          </cell>
          <cell r="C1487">
            <v>41409</v>
          </cell>
          <cell r="D1487" t="str">
            <v>E</v>
          </cell>
        </row>
        <row r="1488">
          <cell r="B1488" t="str">
            <v>004590 KS</v>
          </cell>
          <cell r="C1488">
            <v>41409</v>
          </cell>
          <cell r="D1488" t="str">
            <v>E</v>
          </cell>
        </row>
        <row r="1489">
          <cell r="B1489" t="str">
            <v>004590 KS</v>
          </cell>
          <cell r="C1489">
            <v>41409</v>
          </cell>
          <cell r="D1489" t="str">
            <v>E</v>
          </cell>
        </row>
        <row r="1490">
          <cell r="B1490" t="str">
            <v>035080 KS</v>
          </cell>
          <cell r="C1490">
            <v>41409</v>
          </cell>
          <cell r="D1490" t="str">
            <v>E</v>
          </cell>
        </row>
        <row r="1491">
          <cell r="B1491" t="str">
            <v>020560 KS</v>
          </cell>
          <cell r="C1491">
            <v>41409</v>
          </cell>
          <cell r="D1491" t="str">
            <v>E</v>
          </cell>
        </row>
        <row r="1492">
          <cell r="B1492" t="str">
            <v>065350 KS</v>
          </cell>
          <cell r="C1492">
            <v>41409</v>
          </cell>
          <cell r="D1492" t="str">
            <v>E</v>
          </cell>
        </row>
        <row r="1493">
          <cell r="B1493" t="str">
            <v>001720 KS</v>
          </cell>
          <cell r="C1493">
            <v>41409</v>
          </cell>
          <cell r="D1493" t="str">
            <v>E</v>
          </cell>
        </row>
        <row r="1494">
          <cell r="B1494">
            <v>1492</v>
          </cell>
          <cell r="C1494" t="str">
            <v>Total Confirmed</v>
          </cell>
          <cell r="D1494">
            <v>24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3.xml"/><Relationship Id="rId5" Type="http://schemas.openxmlformats.org/officeDocument/2006/relationships/image" Target="../media/image1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4.xml"/><Relationship Id="rId5" Type="http://schemas.openxmlformats.org/officeDocument/2006/relationships/image" Target="../media/image1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5.xml"/><Relationship Id="rId5" Type="http://schemas.openxmlformats.org/officeDocument/2006/relationships/image" Target="../media/image1.emf"/><Relationship Id="rId4" Type="http://schemas.openxmlformats.org/officeDocument/2006/relationships/control" Target="../activeX/activeX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6.xml"/><Relationship Id="rId5" Type="http://schemas.openxmlformats.org/officeDocument/2006/relationships/image" Target="../media/image1.emf"/><Relationship Id="rId4" Type="http://schemas.openxmlformats.org/officeDocument/2006/relationships/control" Target="../activeX/activeX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7.xml"/><Relationship Id="rId5" Type="http://schemas.openxmlformats.org/officeDocument/2006/relationships/image" Target="../media/image1.emf"/><Relationship Id="rId4" Type="http://schemas.openxmlformats.org/officeDocument/2006/relationships/control" Target="../activeX/activeX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8.xml"/><Relationship Id="rId5" Type="http://schemas.openxmlformats.org/officeDocument/2006/relationships/image" Target="../media/image1.emf"/><Relationship Id="rId4" Type="http://schemas.openxmlformats.org/officeDocument/2006/relationships/control" Target="../activeX/activeX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9.xml"/><Relationship Id="rId5" Type="http://schemas.openxmlformats.org/officeDocument/2006/relationships/image" Target="../media/image1.emf"/><Relationship Id="rId4" Type="http://schemas.openxmlformats.org/officeDocument/2006/relationships/control" Target="../activeX/activeX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10.xml"/><Relationship Id="rId5" Type="http://schemas.openxmlformats.org/officeDocument/2006/relationships/image" Target="../media/image1.emf"/><Relationship Id="rId4" Type="http://schemas.openxmlformats.org/officeDocument/2006/relationships/control" Target="../activeX/activeX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11.xml"/><Relationship Id="rId5" Type="http://schemas.openxmlformats.org/officeDocument/2006/relationships/image" Target="../media/image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12.xml"/><Relationship Id="rId5" Type="http://schemas.openxmlformats.org/officeDocument/2006/relationships/image" Target="../media/image1.emf"/><Relationship Id="rId4" Type="http://schemas.openxmlformats.org/officeDocument/2006/relationships/control" Target="../activeX/activeX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V247"/>
  <sheetViews>
    <sheetView tabSelected="1" zoomScale="85" zoomScaleNormal="85" workbookViewId="0">
      <selection activeCell="E18" sqref="E18"/>
    </sheetView>
  </sheetViews>
  <sheetFormatPr defaultRowHeight="16.5" x14ac:dyDescent="0.3"/>
  <cols>
    <col min="1" max="1" width="11.125" bestFit="1" customWidth="1"/>
    <col min="2" max="2" width="15.125" bestFit="1" customWidth="1"/>
    <col min="3" max="4" width="15.125" customWidth="1"/>
    <col min="5" max="5" width="15.875" bestFit="1" customWidth="1"/>
    <col min="7" max="7" width="15.875" bestFit="1" customWidth="1"/>
    <col min="8" max="8" width="7.375" customWidth="1"/>
    <col min="9" max="9" width="15.875" customWidth="1"/>
    <col min="10" max="10" width="11.625" bestFit="1" customWidth="1"/>
    <col min="11" max="11" width="10.75" customWidth="1"/>
    <col min="13" max="13" width="11.125" bestFit="1" customWidth="1"/>
  </cols>
  <sheetData>
    <row r="1" spans="1:22" x14ac:dyDescent="0.3">
      <c r="A1" s="49" t="s">
        <v>3030</v>
      </c>
      <c r="B1" s="48"/>
      <c r="C1" s="48"/>
      <c r="D1" s="48"/>
      <c r="E1" s="48"/>
      <c r="F1" s="48"/>
      <c r="G1" s="48"/>
      <c r="H1" s="48"/>
      <c r="I1" s="182" t="s">
        <v>7959</v>
      </c>
      <c r="J1" s="181" t="b">
        <v>0</v>
      </c>
      <c r="K1" t="s">
        <v>3096</v>
      </c>
      <c r="L1" t="s">
        <v>3563</v>
      </c>
      <c r="O1" s="164" t="s">
        <v>7903</v>
      </c>
    </row>
    <row r="2" spans="1:22" x14ac:dyDescent="0.3">
      <c r="A2" s="47" t="s">
        <v>3575</v>
      </c>
      <c r="B2" s="1">
        <f ca="1">IF(H2=2,TODAY()-3,TODAY()-1)</f>
        <v>42866</v>
      </c>
      <c r="C2" s="50" t="str">
        <f ca="1">YEAR(B2)&amp;TEXT(MONTH(B2),"00")&amp;TEXT(DAY(B2),"00")</f>
        <v>20170511</v>
      </c>
      <c r="D2" s="47" t="s">
        <v>3576</v>
      </c>
      <c r="E2" s="47" t="str">
        <f ca="1">TEXT(NOW(),"YYYYMMDD_HHSS")</f>
        <v>20170512 2222</v>
      </c>
      <c r="F2" s="90"/>
      <c r="G2" s="1">
        <f ca="1">TODAY()</f>
        <v>42867</v>
      </c>
      <c r="H2">
        <f ca="1">WEEKDAY(G2)</f>
        <v>6</v>
      </c>
      <c r="L2" t="s">
        <v>3564</v>
      </c>
    </row>
    <row r="3" spans="1:22" x14ac:dyDescent="0.3">
      <c r="A3" s="47" t="s">
        <v>3092</v>
      </c>
      <c r="B3" s="85">
        <f ca="1">EDATE(B2,-1)</f>
        <v>42836</v>
      </c>
      <c r="C3" s="50" t="str">
        <f ca="1">YEAR(B3)&amp;TEXT(MONTH(B3),"00")&amp;TEXT(DAY(B3),"00")</f>
        <v>20170411</v>
      </c>
      <c r="D3" s="50"/>
      <c r="E3" s="4"/>
      <c r="G3" t="s">
        <v>7937</v>
      </c>
      <c r="K3" t="s">
        <v>3097</v>
      </c>
      <c r="L3" t="s">
        <v>3569</v>
      </c>
    </row>
    <row r="4" spans="1:22" x14ac:dyDescent="0.3">
      <c r="A4" s="47" t="s">
        <v>3025</v>
      </c>
      <c r="B4">
        <v>201306</v>
      </c>
      <c r="C4">
        <v>201303</v>
      </c>
      <c r="D4">
        <v>201212</v>
      </c>
      <c r="E4">
        <v>201209</v>
      </c>
      <c r="F4">
        <v>201206</v>
      </c>
      <c r="G4">
        <v>201309</v>
      </c>
      <c r="K4" t="s">
        <v>3098</v>
      </c>
      <c r="L4" t="s">
        <v>3706</v>
      </c>
    </row>
    <row r="5" spans="1:22" x14ac:dyDescent="0.3">
      <c r="A5" s="33" t="s">
        <v>3015</v>
      </c>
      <c r="B5" s="33" t="s">
        <v>3016</v>
      </c>
      <c r="C5" s="33" t="s">
        <v>3017</v>
      </c>
      <c r="D5" s="33" t="s">
        <v>3127</v>
      </c>
      <c r="E5" s="33" t="s">
        <v>3596</v>
      </c>
      <c r="F5" s="33" t="s">
        <v>3018</v>
      </c>
      <c r="G5" s="33" t="s">
        <v>3035</v>
      </c>
      <c r="H5" s="33" t="s">
        <v>3566</v>
      </c>
      <c r="I5" s="33" t="s">
        <v>3128</v>
      </c>
      <c r="J5" s="33" t="s">
        <v>7951</v>
      </c>
      <c r="K5" t="s">
        <v>3567</v>
      </c>
      <c r="L5" t="s">
        <v>3568</v>
      </c>
      <c r="T5" s="1"/>
      <c r="V5" s="1"/>
    </row>
    <row r="6" spans="1:22" x14ac:dyDescent="0.3">
      <c r="A6" s="160" t="s">
        <v>329</v>
      </c>
      <c r="B6" s="5" t="s">
        <v>1800</v>
      </c>
      <c r="C6" s="5" t="str">
        <f>IFERROR(VLOOKUP(A6,Universe!B:G,6,0),"")</f>
        <v>IT</v>
      </c>
      <c r="D6" s="161">
        <f t="shared" ref="D6:D37" si="0">IFERROR(IF(ISNUMBER(E6),E6,I6),"")</f>
        <v>41460</v>
      </c>
      <c r="E6" s="162">
        <f>IFERROR(VLOOKUP(A6,Schedule!A:B,2,0),"")</f>
        <v>41460</v>
      </c>
      <c r="F6" s="5">
        <f t="shared" ref="F6:F37" ca="1" si="1">IFERROR(D6-$G$2,"")</f>
        <v>-1407</v>
      </c>
      <c r="G6" s="163">
        <f>IFERROR(VLOOKUP($A6,Schedule!$A:$D,4,0),"")</f>
        <v>9530.68</v>
      </c>
      <c r="H6" s="34" t="str">
        <f>IFERROR(VLOOKUP(A6,Universe!B:L,10,0),"")</f>
        <v>IC</v>
      </c>
      <c r="I6" s="161">
        <f>IFERROR(VLOOKUP(A6,Schedule2!A:P,9,0),"")</f>
        <v>41460</v>
      </c>
      <c r="J6">
        <f>IFERROR(VLOOKUP(A6,Universe!B:L,11,0),"")</f>
        <v>197675.71</v>
      </c>
      <c r="K6" s="91"/>
      <c r="L6" s="91"/>
      <c r="M6" s="91"/>
      <c r="T6" s="1"/>
      <c r="V6" s="1"/>
    </row>
    <row r="7" spans="1:22" x14ac:dyDescent="0.3">
      <c r="A7" s="156" t="s">
        <v>84</v>
      </c>
      <c r="B7" s="2" t="s">
        <v>1564</v>
      </c>
      <c r="C7" s="2" t="str">
        <f>IFERROR(VLOOKUP(A7,Universe!B:G,6,0),"")</f>
        <v>IT</v>
      </c>
      <c r="D7" s="158">
        <f t="shared" si="0"/>
        <v>41480</v>
      </c>
      <c r="E7" s="157">
        <f>IFERROR(VLOOKUP(A7,Schedule!A:B,2,0),"")</f>
        <v>41480</v>
      </c>
      <c r="F7" s="2">
        <f t="shared" ca="1" si="1"/>
        <v>-1387</v>
      </c>
      <c r="G7" s="34">
        <f>IFERROR(VLOOKUP($A7,Schedule!$A:$D,4,0),"")</f>
        <v>1113.5999999999999</v>
      </c>
      <c r="H7" s="34" t="str">
        <f>IFERROR(VLOOKUP(A7,Universe!B:L,10,0),"")</f>
        <v>IC</v>
      </c>
      <c r="I7" s="158">
        <f>IFERROR(VLOOKUP(A7,Schedule2!A:P,9,0),"")</f>
        <v>41480</v>
      </c>
      <c r="J7">
        <f>IFERROR(VLOOKUP(A7,Universe!B:L,11,0),"")</f>
        <v>21667.54</v>
      </c>
      <c r="K7" s="91"/>
      <c r="L7" s="91"/>
      <c r="M7" s="91"/>
      <c r="T7" s="1"/>
      <c r="V7" s="1"/>
    </row>
    <row r="8" spans="1:22" x14ac:dyDescent="0.3">
      <c r="A8" s="156" t="s">
        <v>817</v>
      </c>
      <c r="B8" s="2" t="s">
        <v>2267</v>
      </c>
      <c r="C8" s="2" t="str">
        <f>IFERROR(VLOOKUP(A8,Universe!B:G,6,0),"")</f>
        <v>IT</v>
      </c>
      <c r="D8" s="158">
        <f t="shared" si="0"/>
        <v>41494</v>
      </c>
      <c r="E8" s="157">
        <f>IFERROR(VLOOKUP(A8,Schedule!A:B,2,0),"")</f>
        <v>41494</v>
      </c>
      <c r="F8" s="2">
        <f t="shared" ca="1" si="1"/>
        <v>-1373</v>
      </c>
      <c r="G8" s="34" t="str">
        <f>IFERROR(VLOOKUP($A8,Schedule!$A:$D,4,0),"")</f>
        <v/>
      </c>
      <c r="H8" s="34" t="str">
        <f>IFERROR(VLOOKUP(A8,Universe!B:L,10,0),"")</f>
        <v>IC</v>
      </c>
      <c r="I8" s="158">
        <f>IFERROR(VLOOKUP(A8,Schedule2!A:P,9,0),"")</f>
        <v>41495</v>
      </c>
      <c r="J8">
        <f>IFERROR(VLOOKUP(A8,Universe!B:L,11,0),"")</f>
        <v>13981.1</v>
      </c>
      <c r="K8" s="91"/>
      <c r="L8" s="91"/>
      <c r="M8" s="91"/>
      <c r="T8" s="1"/>
      <c r="V8" s="1"/>
    </row>
    <row r="9" spans="1:22" x14ac:dyDescent="0.3">
      <c r="A9" s="156" t="s">
        <v>1210</v>
      </c>
      <c r="B9" s="2" t="s">
        <v>2647</v>
      </c>
      <c r="C9" s="2" t="str">
        <f>IFERROR(VLOOKUP(A9,Universe!B:G,6,0),"")</f>
        <v>IT</v>
      </c>
      <c r="D9" s="158">
        <f t="shared" si="0"/>
        <v>41479</v>
      </c>
      <c r="E9" s="157">
        <f>IFERROR(VLOOKUP(A9,Schedule!A:B,2,0),"")</f>
        <v>41479</v>
      </c>
      <c r="F9" s="2">
        <f t="shared" ca="1" si="1"/>
        <v>-1388</v>
      </c>
      <c r="G9" s="34">
        <f>IFERROR(VLOOKUP($A9,Schedule!$A:$D,4,0),"")</f>
        <v>479.31</v>
      </c>
      <c r="H9" s="34" t="str">
        <f>IFERROR(VLOOKUP(A9,Universe!B:L,10,0),"")</f>
        <v>IC</v>
      </c>
      <c r="I9" s="158">
        <f>IFERROR(VLOOKUP(A9,Schedule2!A:P,9,0),"")</f>
        <v>41479</v>
      </c>
      <c r="J9">
        <f>IFERROR(VLOOKUP(A9,Universe!B:L,11,0),"")</f>
        <v>11946.29</v>
      </c>
      <c r="K9" s="91"/>
      <c r="L9" s="91"/>
      <c r="M9" s="91"/>
      <c r="T9" s="1"/>
      <c r="V9" s="1"/>
    </row>
    <row r="10" spans="1:22" x14ac:dyDescent="0.3">
      <c r="A10" s="156" t="s">
        <v>801</v>
      </c>
      <c r="B10" s="2" t="s">
        <v>2251</v>
      </c>
      <c r="C10" s="2" t="str">
        <f>IFERROR(VLOOKUP(A10,Universe!B:G,6,0),"")</f>
        <v>IT</v>
      </c>
      <c r="D10" s="158">
        <f t="shared" si="0"/>
        <v>41473</v>
      </c>
      <c r="E10" s="157">
        <f>IFERROR(VLOOKUP(A10,Schedule!A:B,2,0),"")</f>
        <v>41473</v>
      </c>
      <c r="F10" s="2">
        <f t="shared" ca="1" si="1"/>
        <v>-1394</v>
      </c>
      <c r="G10" s="34">
        <f>IFERROR(VLOOKUP($A10,Schedule!$A:$D,4,0),"")</f>
        <v>365.88</v>
      </c>
      <c r="H10" s="34" t="str">
        <f>IFERROR(VLOOKUP(A10,Universe!B:L,10,0),"")</f>
        <v>IC</v>
      </c>
      <c r="I10" s="158">
        <f>IFERROR(VLOOKUP(A10,Schedule2!A:P,9,0),"")</f>
        <v>41473</v>
      </c>
      <c r="J10">
        <f>IFERROR(VLOOKUP(A10,Universe!B:L,11,0),"")</f>
        <v>9822.0400000000009</v>
      </c>
      <c r="K10" s="91"/>
      <c r="L10" s="91"/>
      <c r="M10" s="91"/>
      <c r="T10" s="1"/>
      <c r="V10" s="1"/>
    </row>
    <row r="11" spans="1:22" x14ac:dyDescent="0.3">
      <c r="A11" s="156" t="s">
        <v>420</v>
      </c>
      <c r="B11" s="2" t="s">
        <v>1884</v>
      </c>
      <c r="C11" s="2" t="str">
        <f>IFERROR(VLOOKUP(A11,Universe!B:G,6,0),"")</f>
        <v>IT</v>
      </c>
      <c r="D11" s="158">
        <f t="shared" si="0"/>
        <v>41480</v>
      </c>
      <c r="E11" s="157">
        <f>IFERROR(VLOOKUP(A11,Schedule!A:B,2,0),"")</f>
        <v>41480</v>
      </c>
      <c r="F11" s="2">
        <f t="shared" ca="1" si="1"/>
        <v>-1387</v>
      </c>
      <c r="G11" s="34">
        <f>IFERROR(VLOOKUP($A11,Schedule!$A:$D,4,0),"")</f>
        <v>222.4</v>
      </c>
      <c r="H11" s="34" t="str">
        <f>IFERROR(VLOOKUP(A11,Universe!B:L,10,0),"")</f>
        <v>IC</v>
      </c>
      <c r="I11" s="158">
        <f>IFERROR(VLOOKUP(A11,Schedule2!A:P,9,0),"")</f>
        <v>41480</v>
      </c>
      <c r="J11">
        <f>IFERROR(VLOOKUP(A11,Universe!B:L,11,0),"")</f>
        <v>6505.82</v>
      </c>
      <c r="K11" s="91"/>
      <c r="L11" s="91"/>
      <c r="M11" s="91"/>
      <c r="N11" s="2"/>
      <c r="O11" s="2"/>
      <c r="P11" s="2"/>
      <c r="Q11" s="2"/>
      <c r="R11" s="2"/>
    </row>
    <row r="12" spans="1:22" x14ac:dyDescent="0.3">
      <c r="A12" s="156" t="s">
        <v>352</v>
      </c>
      <c r="B12" s="2" t="s">
        <v>1822</v>
      </c>
      <c r="C12" s="2" t="str">
        <f>IFERROR(VLOOKUP(A12,Universe!B:G,6,0),"")</f>
        <v>IT</v>
      </c>
      <c r="D12" s="158">
        <f t="shared" si="0"/>
        <v>41481</v>
      </c>
      <c r="E12" s="157">
        <f>IFERROR(VLOOKUP(A12,Schedule!A:B,2,0),"")</f>
        <v>41481</v>
      </c>
      <c r="F12" s="2">
        <f t="shared" ca="1" si="1"/>
        <v>-1386</v>
      </c>
      <c r="G12" s="34">
        <f>IFERROR(VLOOKUP($A12,Schedule!$A:$D,4,0),"")</f>
        <v>32.270000000000003</v>
      </c>
      <c r="H12" s="34" t="str">
        <f>IFERROR(VLOOKUP(A12,Universe!B:L,10,0),"")</f>
        <v>IC</v>
      </c>
      <c r="I12" s="158">
        <f>IFERROR(VLOOKUP(A12,Schedule2!A:P,9,0),"")</f>
        <v>41481</v>
      </c>
      <c r="J12">
        <f>IFERROR(VLOOKUP(A12,Universe!B:L,11,0),"")</f>
        <v>6218.71</v>
      </c>
      <c r="K12" s="92"/>
      <c r="L12" s="91"/>
      <c r="M12" s="92"/>
      <c r="T12" s="1"/>
      <c r="V12" s="1"/>
    </row>
    <row r="13" spans="1:22" x14ac:dyDescent="0.3">
      <c r="A13" s="156" t="s">
        <v>806</v>
      </c>
      <c r="B13" s="2" t="s">
        <v>2256</v>
      </c>
      <c r="C13" s="2" t="str">
        <f>IFERROR(VLOOKUP(A13,Universe!B:G,6,0),"")</f>
        <v>IT</v>
      </c>
      <c r="D13" s="158">
        <f t="shared" si="0"/>
        <v>41485</v>
      </c>
      <c r="E13" s="157">
        <f>IFERROR(VLOOKUP(A13,Schedule!A:B,2,0),"")</f>
        <v>41485</v>
      </c>
      <c r="F13" s="2">
        <f t="shared" ca="1" si="1"/>
        <v>-1382</v>
      </c>
      <c r="G13" s="34">
        <f>IFERROR(VLOOKUP($A13,Schedule!$A:$D,4,0),"")</f>
        <v>52.85</v>
      </c>
      <c r="H13" s="34" t="str">
        <f>IFERROR(VLOOKUP(A13,Universe!B:L,10,0),"")</f>
        <v>IC</v>
      </c>
      <c r="I13" s="158">
        <f>IFERROR(VLOOKUP(A13,Schedule2!A:P,9,0),"")</f>
        <v>41488</v>
      </c>
      <c r="J13">
        <f>IFERROR(VLOOKUP(A13,Universe!B:L,11,0),"")</f>
        <v>4990</v>
      </c>
      <c r="K13" s="92"/>
      <c r="L13" s="91"/>
      <c r="M13" s="92"/>
      <c r="T13" s="1"/>
      <c r="V13" s="1"/>
    </row>
    <row r="14" spans="1:22" x14ac:dyDescent="0.3">
      <c r="A14" s="156" t="s">
        <v>850</v>
      </c>
      <c r="B14" s="2" t="s">
        <v>2298</v>
      </c>
      <c r="C14" s="2" t="str">
        <f>IFERROR(VLOOKUP(A14,Universe!B:G,6,0),"")</f>
        <v>IT</v>
      </c>
      <c r="D14" s="158">
        <f t="shared" si="0"/>
        <v>41500</v>
      </c>
      <c r="E14" s="157">
        <f>IFERROR(VLOOKUP(A14,Schedule!A:B,2,0),"")</f>
        <v>41500</v>
      </c>
      <c r="F14" s="2">
        <f t="shared" ca="1" si="1"/>
        <v>-1367</v>
      </c>
      <c r="G14" s="34" t="str">
        <f>IFERROR(VLOOKUP($A14,Schedule!$A:$D,4,0),"")</f>
        <v/>
      </c>
      <c r="H14" s="34" t="str">
        <f>IFERROR(VLOOKUP(A14,Universe!B:L,10,0),"")</f>
        <v>IC</v>
      </c>
      <c r="I14" s="158">
        <f>IFERROR(VLOOKUP(A14,Schedule2!A:P,9,0),"")</f>
        <v>41494</v>
      </c>
      <c r="J14">
        <f>IFERROR(VLOOKUP(A14,Universe!B:L,11,0),"")</f>
        <v>3550.18</v>
      </c>
      <c r="K14" s="92"/>
      <c r="L14" s="91"/>
      <c r="M14" s="92"/>
      <c r="T14" s="1"/>
      <c r="V14" s="1"/>
    </row>
    <row r="15" spans="1:22" x14ac:dyDescent="0.3">
      <c r="A15" s="156" t="s">
        <v>508</v>
      </c>
      <c r="B15" s="2" t="s">
        <v>1971</v>
      </c>
      <c r="C15" s="2" t="str">
        <f>IFERROR(VLOOKUP(A15,Universe!B:G,6,0),"")</f>
        <v>IT</v>
      </c>
      <c r="D15" s="158">
        <f t="shared" si="0"/>
        <v>41485</v>
      </c>
      <c r="E15" s="157">
        <f>IFERROR(VLOOKUP(A15,Schedule!A:B,2,0),"")</f>
        <v>41485</v>
      </c>
      <c r="F15" s="2">
        <f t="shared" ca="1" si="1"/>
        <v>-1382</v>
      </c>
      <c r="G15" s="34">
        <f>IFERROR(VLOOKUP($A15,Schedule!$A:$D,4,0),"")</f>
        <v>60.8</v>
      </c>
      <c r="H15" s="34" t="str">
        <f>IFERROR(VLOOKUP(A15,Universe!B:L,10,0),"")</f>
        <v>IC</v>
      </c>
      <c r="I15" s="158">
        <f>IFERROR(VLOOKUP(A15,Schedule2!A:P,9,0),"")</f>
        <v>41479</v>
      </c>
      <c r="J15">
        <f>IFERROR(VLOOKUP(A15,Universe!B:L,11,0),"")</f>
        <v>3464.08</v>
      </c>
      <c r="K15" s="92"/>
      <c r="L15" s="91"/>
      <c r="M15" s="92"/>
      <c r="T15" s="1"/>
      <c r="V15" s="1"/>
    </row>
    <row r="16" spans="1:22" x14ac:dyDescent="0.3">
      <c r="A16" s="156" t="s">
        <v>992</v>
      </c>
      <c r="B16" s="2" t="s">
        <v>2434</v>
      </c>
      <c r="C16" s="2" t="str">
        <f>IFERROR(VLOOKUP(A16,Universe!B:G,6,0),"")</f>
        <v>IT</v>
      </c>
      <c r="D16" s="158">
        <f t="shared" si="0"/>
        <v>41479</v>
      </c>
      <c r="E16" s="157" t="str">
        <f>IFERROR(VLOOKUP(A16,Schedule!A:B,2,0),"")</f>
        <v/>
      </c>
      <c r="F16" s="2">
        <f t="shared" ca="1" si="1"/>
        <v>-1388</v>
      </c>
      <c r="G16" s="34" t="str">
        <f>IFERROR(VLOOKUP($A16,Schedule!$A:$D,4,0),"")</f>
        <v/>
      </c>
      <c r="H16" s="34" t="str">
        <f>IFERROR(VLOOKUP(A16,Universe!B:L,10,0),"")</f>
        <v>IC</v>
      </c>
      <c r="I16" s="158">
        <f>IFERROR(VLOOKUP(A16,Schedule2!A:P,9,0),"")</f>
        <v>41479</v>
      </c>
      <c r="J16">
        <f>IFERROR(VLOOKUP(A16,Universe!B:L,11,0),"")</f>
        <v>1967.81</v>
      </c>
      <c r="K16" s="1"/>
      <c r="M16" s="1"/>
      <c r="T16" s="1"/>
      <c r="V16" s="1"/>
    </row>
    <row r="17" spans="1:13" x14ac:dyDescent="0.3">
      <c r="A17" s="156" t="s">
        <v>476</v>
      </c>
      <c r="B17" s="2" t="s">
        <v>1940</v>
      </c>
      <c r="C17" s="2" t="str">
        <f>IFERROR(VLOOKUP(A17,Universe!B:G,6,0),"")</f>
        <v>IT</v>
      </c>
      <c r="D17" s="158">
        <f t="shared" si="0"/>
        <v>41479</v>
      </c>
      <c r="E17" s="157">
        <f>IFERROR(VLOOKUP(A17,Schedule!A:B,2,0),"")</f>
        <v>41479</v>
      </c>
      <c r="F17" s="2">
        <f t="shared" ca="1" si="1"/>
        <v>-1388</v>
      </c>
      <c r="G17" s="34">
        <f>IFERROR(VLOOKUP($A17,Schedule!$A:$D,4,0),"")</f>
        <v>35.68</v>
      </c>
      <c r="H17" s="34" t="str">
        <f>IFERROR(VLOOKUP(A17,Universe!B:L,10,0),"")</f>
        <v>IC</v>
      </c>
      <c r="I17" s="158">
        <f>IFERROR(VLOOKUP(A17,Schedule2!A:P,9,0),"")</f>
        <v>41481</v>
      </c>
      <c r="J17">
        <f>IFERROR(VLOOKUP(A17,Universe!B:L,11,0),"")</f>
        <v>1839.57</v>
      </c>
      <c r="K17" s="1"/>
      <c r="M17" s="1"/>
    </row>
    <row r="18" spans="1:13" x14ac:dyDescent="0.3">
      <c r="A18" s="156" t="s">
        <v>825</v>
      </c>
      <c r="B18" s="2" t="s">
        <v>2274</v>
      </c>
      <c r="C18" s="2" t="str">
        <f>IFERROR(VLOOKUP(A18,Universe!B:G,6,0),"")</f>
        <v>IT</v>
      </c>
      <c r="D18" s="158">
        <f t="shared" si="0"/>
        <v>41495</v>
      </c>
      <c r="E18" s="157" t="str">
        <f>IFERROR(VLOOKUP(A18,Schedule!A:B,2,0),"")</f>
        <v/>
      </c>
      <c r="F18" s="2">
        <f t="shared" ca="1" si="1"/>
        <v>-1372</v>
      </c>
      <c r="G18" s="34" t="str">
        <f>IFERROR(VLOOKUP($A18,Schedule!$A:$D,4,0),"")</f>
        <v/>
      </c>
      <c r="H18" s="34" t="str">
        <f>IFERROR(VLOOKUP(A18,Universe!B:L,10,0),"")</f>
        <v>IC</v>
      </c>
      <c r="I18" s="158">
        <f>IFERROR(VLOOKUP(A18,Schedule2!A:P,9,0),"")</f>
        <v>41495</v>
      </c>
      <c r="J18">
        <f>IFERROR(VLOOKUP(A18,Universe!B:L,11,0),"")</f>
        <v>1069.78</v>
      </c>
      <c r="K18" s="1"/>
      <c r="M18" s="1"/>
    </row>
    <row r="19" spans="1:13" x14ac:dyDescent="0.3">
      <c r="A19" s="156" t="s">
        <v>3218</v>
      </c>
      <c r="B19" s="2" t="s">
        <v>3535</v>
      </c>
      <c r="C19" s="2" t="str">
        <f>IFERROR(VLOOKUP(A19,Universe!B:G,6,0),"")</f>
        <v>IT</v>
      </c>
      <c r="D19" s="158">
        <f t="shared" si="0"/>
        <v>41499</v>
      </c>
      <c r="E19" s="157">
        <f>IFERROR(VLOOKUP(A19,Schedule!A:B,2,0),"")</f>
        <v>41499</v>
      </c>
      <c r="F19" s="2">
        <f t="shared" ca="1" si="1"/>
        <v>-1368</v>
      </c>
      <c r="G19" s="34" t="str">
        <f>IFERROR(VLOOKUP($A19,Schedule!$A:$D,4,0),"")</f>
        <v/>
      </c>
      <c r="H19" s="34" t="str">
        <f>IFERROR(VLOOKUP(A19,Universe!B:L,10,0),"")</f>
        <v>IC</v>
      </c>
      <c r="I19" s="158">
        <f>IFERROR(VLOOKUP(A19,Schedule2!A:P,9,0),"")</f>
        <v>41500</v>
      </c>
      <c r="J19">
        <f>IFERROR(VLOOKUP(A19,Universe!B:L,11,0),"")</f>
        <v>903.84</v>
      </c>
      <c r="K19" s="1"/>
      <c r="M19" s="1"/>
    </row>
    <row r="20" spans="1:13" x14ac:dyDescent="0.3">
      <c r="A20" s="156" t="s">
        <v>1293</v>
      </c>
      <c r="B20" s="2" t="s">
        <v>2724</v>
      </c>
      <c r="C20" s="2" t="str">
        <f>IFERROR(VLOOKUP(A20,Universe!B:G,6,0),"")</f>
        <v>IT</v>
      </c>
      <c r="D20" s="158">
        <f t="shared" si="0"/>
        <v>41500</v>
      </c>
      <c r="E20" s="157" t="str">
        <f>IFERROR(VLOOKUP(A20,Schedule!A:B,2,0),"")</f>
        <v/>
      </c>
      <c r="F20" s="2">
        <f t="shared" ca="1" si="1"/>
        <v>-1367</v>
      </c>
      <c r="G20" s="34" t="str">
        <f>IFERROR(VLOOKUP($A20,Schedule!$A:$D,4,0),"")</f>
        <v/>
      </c>
      <c r="H20" s="34" t="str">
        <f>IFERROR(VLOOKUP(A20,Universe!B:L,10,0),"")</f>
        <v>IP</v>
      </c>
      <c r="I20" s="158">
        <f>IFERROR(VLOOKUP(A20,Schedule2!A:P,9,0),"")</f>
        <v>41500</v>
      </c>
      <c r="J20">
        <f>IFERROR(VLOOKUP(A20,Universe!B:L,11,0),"")</f>
        <v>746.57</v>
      </c>
      <c r="K20" s="1"/>
      <c r="M20" s="1"/>
    </row>
    <row r="21" spans="1:13" x14ac:dyDescent="0.3">
      <c r="A21" s="156" t="s">
        <v>860</v>
      </c>
      <c r="B21" s="2" t="s">
        <v>2308</v>
      </c>
      <c r="C21" s="2" t="str">
        <f>IFERROR(VLOOKUP(A21,Universe!B:G,6,0),"")</f>
        <v>IT</v>
      </c>
      <c r="D21" s="158">
        <f t="shared" si="0"/>
        <v>41515</v>
      </c>
      <c r="E21" s="157" t="str">
        <f>IFERROR(VLOOKUP(A21,Schedule!A:B,2,0),"")</f>
        <v/>
      </c>
      <c r="F21" s="2">
        <f t="shared" ca="1" si="1"/>
        <v>-1352</v>
      </c>
      <c r="G21" s="34" t="str">
        <f>IFERROR(VLOOKUP($A21,Schedule!$A:$D,4,0),"")</f>
        <v/>
      </c>
      <c r="H21" s="34" t="str">
        <f>IFERROR(VLOOKUP(A21,Universe!B:L,10,0),"")</f>
        <v>IC</v>
      </c>
      <c r="I21" s="158">
        <f>IFERROR(VLOOKUP(A21,Schedule2!A:P,9,0),"")</f>
        <v>41515</v>
      </c>
      <c r="J21">
        <f>IFERROR(VLOOKUP(A21,Universe!B:L,11,0),"")</f>
        <v>706.61</v>
      </c>
      <c r="K21" s="1"/>
      <c r="M21" s="1"/>
    </row>
    <row r="22" spans="1:13" x14ac:dyDescent="0.3">
      <c r="A22" s="156" t="s">
        <v>1039</v>
      </c>
      <c r="B22" s="2" t="s">
        <v>2479</v>
      </c>
      <c r="C22" s="2" t="str">
        <f>IFERROR(VLOOKUP(A22,Universe!B:G,6,0),"")</f>
        <v>IT</v>
      </c>
      <c r="D22" s="158">
        <f t="shared" si="0"/>
        <v>41466</v>
      </c>
      <c r="E22" s="157">
        <f>IFERROR(VLOOKUP(A22,Schedule!A:B,2,0),"")</f>
        <v>41466</v>
      </c>
      <c r="F22" s="2">
        <f t="shared" ca="1" si="1"/>
        <v>-1401</v>
      </c>
      <c r="G22" s="34">
        <f>IFERROR(VLOOKUP($A22,Schedule!$A:$D,4,0),"")</f>
        <v>21.11</v>
      </c>
      <c r="H22" s="34" t="str">
        <f>IFERROR(VLOOKUP(A22,Universe!B:L,10,0),"")</f>
        <v>IP</v>
      </c>
      <c r="I22" s="158">
        <f>IFERROR(VLOOKUP(A22,Schedule2!A:P,9,0),"")</f>
        <v>41466</v>
      </c>
      <c r="J22">
        <f>IFERROR(VLOOKUP(A22,Universe!B:L,11,0),"")</f>
        <v>559.23</v>
      </c>
      <c r="K22" s="1"/>
      <c r="M22" s="1"/>
    </row>
    <row r="23" spans="1:13" x14ac:dyDescent="0.3">
      <c r="A23" s="156" t="s">
        <v>395</v>
      </c>
      <c r="B23" s="2" t="s">
        <v>1859</v>
      </c>
      <c r="C23" s="2" t="str">
        <f>IFERROR(VLOOKUP(A23,Universe!B:G,6,0),"")</f>
        <v>IT</v>
      </c>
      <c r="D23" s="158" t="str">
        <f t="shared" si="0"/>
        <v/>
      </c>
      <c r="E23" s="157" t="str">
        <f>IFERROR(VLOOKUP(A23,Schedule!A:B,2,0),"")</f>
        <v/>
      </c>
      <c r="F23" s="2" t="str">
        <f t="shared" ca="1" si="1"/>
        <v/>
      </c>
      <c r="G23" s="34" t="str">
        <f>IFERROR(VLOOKUP($A23,Schedule!$A:$D,4,0),"")</f>
        <v/>
      </c>
      <c r="H23" s="34" t="str">
        <f>IFERROR(VLOOKUP(A23,Universe!B:L,10,0),"")</f>
        <v>IC</v>
      </c>
      <c r="I23" s="158" t="str">
        <f>IFERROR(VLOOKUP(A23,Schedule2!A:P,9,0),"")</f>
        <v/>
      </c>
      <c r="J23">
        <f>IFERROR(VLOOKUP(A23,Universe!B:L,11,0),"")</f>
        <v>463.56</v>
      </c>
      <c r="K23" s="1"/>
      <c r="M23" s="1"/>
    </row>
    <row r="24" spans="1:13" x14ac:dyDescent="0.3">
      <c r="A24" s="156" t="s">
        <v>632</v>
      </c>
      <c r="B24" s="2" t="s">
        <v>2090</v>
      </c>
      <c r="C24" s="2" t="str">
        <f>IFERROR(VLOOKUP(A24,Universe!B:G,6,0),"")</f>
        <v>IT</v>
      </c>
      <c r="D24" s="158">
        <f t="shared" si="0"/>
        <v>41479</v>
      </c>
      <c r="E24" s="157" t="str">
        <f>IFERROR(VLOOKUP(A24,Schedule!A:B,2,0),"")</f>
        <v/>
      </c>
      <c r="F24" s="2">
        <f t="shared" ca="1" si="1"/>
        <v>-1388</v>
      </c>
      <c r="G24" s="34" t="str">
        <f>IFERROR(VLOOKUP($A24,Schedule!$A:$D,4,0),"")</f>
        <v/>
      </c>
      <c r="H24" s="34" t="str">
        <f>IFERROR(VLOOKUP(A24,Universe!B:L,10,0),"")</f>
        <v>IP</v>
      </c>
      <c r="I24" s="158">
        <f>IFERROR(VLOOKUP(A24,Schedule2!A:P,9,0),"")</f>
        <v>41479</v>
      </c>
      <c r="J24">
        <f>IFERROR(VLOOKUP(A24,Universe!B:L,11,0),"")</f>
        <v>461.53</v>
      </c>
      <c r="K24" s="1"/>
      <c r="M24" s="1"/>
    </row>
    <row r="25" spans="1:13" x14ac:dyDescent="0.3">
      <c r="A25" s="156" t="s">
        <v>1164</v>
      </c>
      <c r="B25" s="2" t="s">
        <v>2601</v>
      </c>
      <c r="C25" s="2" t="str">
        <f>IFERROR(VLOOKUP(A25,Universe!B:G,6,0),"")</f>
        <v>IT</v>
      </c>
      <c r="D25" s="158">
        <f t="shared" si="0"/>
        <v>41499</v>
      </c>
      <c r="E25" s="157" t="str">
        <f>IFERROR(VLOOKUP(A25,Schedule!A:B,2,0),"")</f>
        <v/>
      </c>
      <c r="F25" s="2">
        <f t="shared" ca="1" si="1"/>
        <v>-1368</v>
      </c>
      <c r="G25" s="34" t="str">
        <f>IFERROR(VLOOKUP($A25,Schedule!$A:$D,4,0),"")</f>
        <v/>
      </c>
      <c r="H25" s="34" t="str">
        <f>IFERROR(VLOOKUP(A25,Universe!B:L,10,0),"")</f>
        <v>IC</v>
      </c>
      <c r="I25" s="158">
        <f>IFERROR(VLOOKUP(A25,Schedule2!A:P,9,0),"")</f>
        <v>41499</v>
      </c>
      <c r="J25">
        <f>IFERROR(VLOOKUP(A25,Universe!B:L,11,0),"")</f>
        <v>408.55</v>
      </c>
    </row>
    <row r="26" spans="1:13" x14ac:dyDescent="0.3">
      <c r="A26" s="156" t="s">
        <v>1303</v>
      </c>
      <c r="B26" s="2" t="s">
        <v>2734</v>
      </c>
      <c r="C26" s="2" t="str">
        <f>IFERROR(VLOOKUP(A26,Universe!B:G,6,0),"")</f>
        <v>IT</v>
      </c>
      <c r="D26" s="158">
        <f t="shared" si="0"/>
        <v>41488</v>
      </c>
      <c r="E26" s="157">
        <f>IFERROR(VLOOKUP(A26,Schedule!A:B,2,0),"")</f>
        <v>41488</v>
      </c>
      <c r="F26" s="2">
        <f t="shared" ca="1" si="1"/>
        <v>-1379</v>
      </c>
      <c r="G26" s="34" t="str">
        <f>IFERROR(VLOOKUP($A26,Schedule!$A:$D,4,0),"")</f>
        <v/>
      </c>
      <c r="H26" s="34" t="str">
        <f>IFERROR(VLOOKUP(A26,Universe!B:L,10,0),"")</f>
        <v>IC</v>
      </c>
      <c r="I26" s="158">
        <f>IFERROR(VLOOKUP(A26,Schedule2!A:P,9,0),"")</f>
        <v>41492</v>
      </c>
      <c r="J26">
        <f>IFERROR(VLOOKUP(A26,Universe!B:L,11,0),"")</f>
        <v>336.39</v>
      </c>
    </row>
    <row r="27" spans="1:13" x14ac:dyDescent="0.3">
      <c r="A27" s="156" t="s">
        <v>794</v>
      </c>
      <c r="B27" s="2" t="s">
        <v>2244</v>
      </c>
      <c r="C27" s="2" t="str">
        <f>IFERROR(VLOOKUP(A27,Universe!B:G,6,0),"")</f>
        <v>IT</v>
      </c>
      <c r="D27" s="158">
        <f t="shared" si="0"/>
        <v>41492</v>
      </c>
      <c r="E27" s="157" t="str">
        <f>IFERROR(VLOOKUP(A27,Schedule!A:B,2,0),"")</f>
        <v/>
      </c>
      <c r="F27" s="2">
        <f t="shared" ca="1" si="1"/>
        <v>-1375</v>
      </c>
      <c r="G27" s="34" t="str">
        <f>IFERROR(VLOOKUP($A27,Schedule!$A:$D,4,0),"")</f>
        <v/>
      </c>
      <c r="H27" s="34" t="str">
        <f>IFERROR(VLOOKUP(A27,Universe!B:L,10,0),"")</f>
        <v>IC</v>
      </c>
      <c r="I27" s="158">
        <f>IFERROR(VLOOKUP(A27,Schedule2!A:P,9,0),"")</f>
        <v>41492</v>
      </c>
      <c r="J27">
        <f>IFERROR(VLOOKUP(A27,Universe!B:L,11,0),"")</f>
        <v>276.08999999999997</v>
      </c>
    </row>
    <row r="28" spans="1:13" x14ac:dyDescent="0.3">
      <c r="A28" s="156" t="s">
        <v>345</v>
      </c>
      <c r="B28" s="2" t="s">
        <v>1815</v>
      </c>
      <c r="C28" s="2" t="str">
        <f>IFERROR(VLOOKUP(A28,Universe!B:G,6,0),"")</f>
        <v>건강관리</v>
      </c>
      <c r="D28" s="158">
        <f t="shared" si="0"/>
        <v>41484</v>
      </c>
      <c r="E28" s="157">
        <f>IFERROR(VLOOKUP(A28,Schedule!A:B,2,0),"")</f>
        <v>41484</v>
      </c>
      <c r="F28" s="2">
        <f t="shared" ca="1" si="1"/>
        <v>-1383</v>
      </c>
      <c r="G28" s="34">
        <f>IFERROR(VLOOKUP($A28,Schedule!$A:$D,4,0),"")</f>
        <v>17.07</v>
      </c>
      <c r="H28" s="34" t="str">
        <f>IFERROR(VLOOKUP(A28,Universe!B:L,10,0),"")</f>
        <v>IC</v>
      </c>
      <c r="I28" s="158">
        <f>IFERROR(VLOOKUP(A28,Schedule2!A:P,9,0),"")</f>
        <v>41486</v>
      </c>
      <c r="J28">
        <f>IFERROR(VLOOKUP(A28,Universe!B:L,11,0),"")</f>
        <v>1431.6</v>
      </c>
    </row>
    <row r="29" spans="1:13" x14ac:dyDescent="0.3">
      <c r="A29" s="156" t="s">
        <v>3276</v>
      </c>
      <c r="B29" s="2" t="s">
        <v>3473</v>
      </c>
      <c r="C29" s="2" t="str">
        <f>IFERROR(VLOOKUP(A29,Universe!B:G,6,0),"")</f>
        <v>건강관리</v>
      </c>
      <c r="D29" s="158">
        <f t="shared" si="0"/>
        <v>41495</v>
      </c>
      <c r="E29" s="157">
        <f>IFERROR(VLOOKUP(A29,Schedule!A:B,2,0),"")</f>
        <v>41495</v>
      </c>
      <c r="F29" s="2">
        <f t="shared" ca="1" si="1"/>
        <v>-1372</v>
      </c>
      <c r="G29" s="34" t="str">
        <f>IFERROR(VLOOKUP($A29,Schedule!$A:$D,4,0),"")</f>
        <v/>
      </c>
      <c r="H29" s="34" t="str">
        <f>IFERROR(VLOOKUP(A29,Universe!B:L,10,0),"")</f>
        <v>IC</v>
      </c>
      <c r="I29" s="158">
        <f>IFERROR(VLOOKUP(A29,Schedule2!A:P,9,0),"")</f>
        <v>41493</v>
      </c>
      <c r="J29">
        <f>IFERROR(VLOOKUP(A29,Universe!B:L,11,0),"")</f>
        <v>1250.45</v>
      </c>
    </row>
    <row r="30" spans="1:13" x14ac:dyDescent="0.3">
      <c r="A30" s="156" t="s">
        <v>3627</v>
      </c>
      <c r="B30" s="2" t="s">
        <v>3659</v>
      </c>
      <c r="C30" s="2" t="str">
        <f>IFERROR(VLOOKUP(A30,Universe!B:G,6,0),"")</f>
        <v>건강관리</v>
      </c>
      <c r="D30" s="158">
        <f t="shared" si="0"/>
        <v>41485</v>
      </c>
      <c r="E30" s="157">
        <f>IFERROR(VLOOKUP(A30,Schedule!A:B,2,0),"")</f>
        <v>41485</v>
      </c>
      <c r="F30" s="2">
        <f t="shared" ca="1" si="1"/>
        <v>-1382</v>
      </c>
      <c r="G30" s="34">
        <f>IFERROR(VLOOKUP($A30,Schedule!$A:$D,4,0),"")</f>
        <v>10.6</v>
      </c>
      <c r="H30" s="34" t="str">
        <f>IFERROR(VLOOKUP(A30,Universe!B:L,10,0),"")</f>
        <v>IP</v>
      </c>
      <c r="I30" s="158">
        <f>IFERROR(VLOOKUP(A30,Schedule2!A:P,9,0),"")</f>
        <v>41481</v>
      </c>
      <c r="J30">
        <f>IFERROR(VLOOKUP(A30,Universe!B:L,11,0),"")</f>
        <v>874.76</v>
      </c>
    </row>
    <row r="31" spans="1:13" x14ac:dyDescent="0.3">
      <c r="A31" s="156" t="s">
        <v>1242</v>
      </c>
      <c r="B31" s="2" t="s">
        <v>2677</v>
      </c>
      <c r="C31" s="2" t="str">
        <f>IFERROR(VLOOKUP(A31,Universe!B:G,6,0),"")</f>
        <v>건강관리</v>
      </c>
      <c r="D31" s="158">
        <f t="shared" si="0"/>
        <v>41479</v>
      </c>
      <c r="E31" s="157">
        <f>IFERROR(VLOOKUP(A31,Schedule!A:B,2,0),"")</f>
        <v>41479</v>
      </c>
      <c r="F31" s="2">
        <f t="shared" ca="1" si="1"/>
        <v>-1388</v>
      </c>
      <c r="G31" s="34">
        <f>IFERROR(VLOOKUP($A31,Schedule!$A:$D,4,0),"")</f>
        <v>5.86</v>
      </c>
      <c r="H31" s="34" t="str">
        <f>IFERROR(VLOOKUP(A31,Universe!B:L,10,0),"")</f>
        <v>IC</v>
      </c>
      <c r="I31" s="158">
        <f>IFERROR(VLOOKUP(A31,Schedule2!A:P,9,0),"")</f>
        <v>41481</v>
      </c>
      <c r="J31">
        <f>IFERROR(VLOOKUP(A31,Universe!B:L,11,0),"")</f>
        <v>795.7</v>
      </c>
    </row>
    <row r="32" spans="1:13" x14ac:dyDescent="0.3">
      <c r="A32" s="156" t="s">
        <v>302</v>
      </c>
      <c r="B32" s="2" t="s">
        <v>1773</v>
      </c>
      <c r="C32" s="2" t="str">
        <f>IFERROR(VLOOKUP(A32,Universe!B:G,6,0),"")</f>
        <v>경기관련소비재</v>
      </c>
      <c r="D32" s="158">
        <f t="shared" si="0"/>
        <v>41480</v>
      </c>
      <c r="E32" s="157">
        <f>IFERROR(VLOOKUP(A32,Schedule!A:B,2,0),"")</f>
        <v>41480</v>
      </c>
      <c r="F32" s="2">
        <f t="shared" ca="1" si="1"/>
        <v>-1387</v>
      </c>
      <c r="G32" s="34">
        <f>IFERROR(VLOOKUP($A32,Schedule!$A:$D,4,0),"")</f>
        <v>2406.4899999999998</v>
      </c>
      <c r="H32" s="34" t="str">
        <f>IFERROR(VLOOKUP(A32,Universe!B:L,10,0),"")</f>
        <v>IC</v>
      </c>
      <c r="I32" s="158">
        <f>IFERROR(VLOOKUP(A32,Schedule2!A:P,9,0),"")</f>
        <v>41481</v>
      </c>
      <c r="J32">
        <f>IFERROR(VLOOKUP(A32,Universe!B:L,11,0),"")</f>
        <v>49672.35</v>
      </c>
    </row>
    <row r="33" spans="1:10" x14ac:dyDescent="0.3">
      <c r="A33" s="156" t="s">
        <v>506</v>
      </c>
      <c r="B33" s="2" t="s">
        <v>1968</v>
      </c>
      <c r="C33" s="2" t="str">
        <f>IFERROR(VLOOKUP(A33,Universe!B:G,6,0),"")</f>
        <v>경기관련소비재</v>
      </c>
      <c r="D33" s="158">
        <f t="shared" si="0"/>
        <v>41481</v>
      </c>
      <c r="E33" s="157">
        <f>IFERROR(VLOOKUP(A33,Schedule!A:B,2,0),"")</f>
        <v>41481</v>
      </c>
      <c r="F33" s="2">
        <f t="shared" ca="1" si="1"/>
        <v>-1386</v>
      </c>
      <c r="G33" s="34">
        <f>IFERROR(VLOOKUP($A33,Schedule!$A:$D,4,0),"")</f>
        <v>733.16</v>
      </c>
      <c r="H33" s="34" t="str">
        <f>IFERROR(VLOOKUP(A33,Universe!B:L,10,0),"")</f>
        <v>IC</v>
      </c>
      <c r="I33" s="158">
        <f>IFERROR(VLOOKUP(A33,Schedule2!A:P,9,0),"")</f>
        <v>41481</v>
      </c>
      <c r="J33">
        <f>IFERROR(VLOOKUP(A33,Universe!B:L,11,0),"")</f>
        <v>26574.87</v>
      </c>
    </row>
    <row r="34" spans="1:10" x14ac:dyDescent="0.3">
      <c r="A34" s="156" t="s">
        <v>66</v>
      </c>
      <c r="B34" s="2" t="s">
        <v>1547</v>
      </c>
      <c r="C34" s="2" t="str">
        <f>IFERROR(VLOOKUP(A34,Universe!B:G,6,0),"")</f>
        <v>경기관련소비재</v>
      </c>
      <c r="D34" s="158">
        <f t="shared" si="0"/>
        <v>41481</v>
      </c>
      <c r="E34" s="157">
        <f>IFERROR(VLOOKUP(A34,Schedule!A:B,2,0),"")</f>
        <v>41481</v>
      </c>
      <c r="F34" s="2">
        <f t="shared" ca="1" si="1"/>
        <v>-1386</v>
      </c>
      <c r="G34" s="34">
        <f>IFERROR(VLOOKUP($A34,Schedule!$A:$D,4,0),"")</f>
        <v>1126.3699999999999</v>
      </c>
      <c r="H34" s="34" t="str">
        <f>IFERROR(VLOOKUP(A34,Universe!B:L,10,0),"")</f>
        <v>IC</v>
      </c>
      <c r="I34" s="158">
        <f>IFERROR(VLOOKUP(A34,Schedule2!A:P,9,0),"")</f>
        <v>41481</v>
      </c>
      <c r="J34">
        <f>IFERROR(VLOOKUP(A34,Universe!B:L,11,0),"")</f>
        <v>25173.06</v>
      </c>
    </row>
    <row r="35" spans="1:10" x14ac:dyDescent="0.3">
      <c r="A35" s="156" t="s">
        <v>651</v>
      </c>
      <c r="B35" s="2" t="s">
        <v>2107</v>
      </c>
      <c r="C35" s="2" t="str">
        <f>IFERROR(VLOOKUP(A35,Universe!B:G,6,0),"")</f>
        <v>경기관련소비재</v>
      </c>
      <c r="D35" s="158">
        <f t="shared" si="0"/>
        <v>41495</v>
      </c>
      <c r="E35" s="157">
        <f>IFERROR(VLOOKUP(A35,Schedule!A:B,2,0),"")</f>
        <v>41495</v>
      </c>
      <c r="F35" s="2">
        <f t="shared" ca="1" si="1"/>
        <v>-1372</v>
      </c>
      <c r="G35" s="34" t="str">
        <f>IFERROR(VLOOKUP($A35,Schedule!$A:$D,4,0),"")</f>
        <v/>
      </c>
      <c r="H35" s="34" t="str">
        <f>IFERROR(VLOOKUP(A35,Universe!B:L,10,0),"")</f>
        <v>IC</v>
      </c>
      <c r="I35" s="158">
        <f>IFERROR(VLOOKUP(A35,Schedule2!A:P,9,0),"")</f>
        <v>41495</v>
      </c>
      <c r="J35">
        <f>IFERROR(VLOOKUP(A35,Universe!B:L,11,0),"")</f>
        <v>11179.27</v>
      </c>
    </row>
    <row r="36" spans="1:10" x14ac:dyDescent="0.3">
      <c r="A36" s="156" t="s">
        <v>815</v>
      </c>
      <c r="B36" s="2" t="s">
        <v>2265</v>
      </c>
      <c r="C36" s="2" t="str">
        <f>IFERROR(VLOOKUP(A36,Universe!B:G,6,0),"")</f>
        <v>경기관련소비재</v>
      </c>
      <c r="D36" s="158">
        <f t="shared" si="0"/>
        <v>41495</v>
      </c>
      <c r="E36" s="157">
        <f>IFERROR(VLOOKUP(A36,Schedule!A:B,2,0),"")</f>
        <v>41495</v>
      </c>
      <c r="F36" s="2">
        <f t="shared" ca="1" si="1"/>
        <v>-1372</v>
      </c>
      <c r="G36" s="34" t="str">
        <f>IFERROR(VLOOKUP($A36,Schedule!$A:$D,4,0),"")</f>
        <v/>
      </c>
      <c r="H36" s="34" t="str">
        <f>IFERROR(VLOOKUP(A36,Universe!B:L,10,0),"")</f>
        <v>IC</v>
      </c>
      <c r="I36" s="158">
        <f>IFERROR(VLOOKUP(A36,Schedule2!A:P,9,0),"")</f>
        <v>41500</v>
      </c>
      <c r="J36">
        <f>IFERROR(VLOOKUP(A36,Universe!B:L,11,0),"")</f>
        <v>6760.52</v>
      </c>
    </row>
    <row r="37" spans="1:10" x14ac:dyDescent="0.3">
      <c r="A37" s="156" t="s">
        <v>3547</v>
      </c>
      <c r="B37" s="2" t="s">
        <v>3559</v>
      </c>
      <c r="C37" s="2" t="str">
        <f>IFERROR(VLOOKUP(A37,Universe!B:G,6,0),"")</f>
        <v>경기관련소비재</v>
      </c>
      <c r="D37" s="158">
        <f t="shared" si="0"/>
        <v>41485</v>
      </c>
      <c r="E37" s="157">
        <f>IFERROR(VLOOKUP(A37,Schedule!A:B,2,0),"")</f>
        <v>41485</v>
      </c>
      <c r="F37" s="2">
        <f t="shared" ca="1" si="1"/>
        <v>-1382</v>
      </c>
      <c r="G37" s="34">
        <f>IFERROR(VLOOKUP($A37,Schedule!$A:$D,4,0),"")</f>
        <v>271.35000000000002</v>
      </c>
      <c r="H37" s="34" t="str">
        <f>IFERROR(VLOOKUP(A37,Universe!B:L,10,0),"")</f>
        <v>IC</v>
      </c>
      <c r="I37" s="158">
        <f>IFERROR(VLOOKUP(A37,Schedule2!A:P,9,0),"")</f>
        <v>41500</v>
      </c>
      <c r="J37">
        <f>IFERROR(VLOOKUP(A37,Universe!B:L,11,0),"")</f>
        <v>6540.6</v>
      </c>
    </row>
    <row r="38" spans="1:10" x14ac:dyDescent="0.3">
      <c r="A38" s="156" t="s">
        <v>3308</v>
      </c>
      <c r="B38" s="2" t="s">
        <v>3505</v>
      </c>
      <c r="C38" s="2" t="str">
        <f>IFERROR(VLOOKUP(A38,Universe!B:G,6,0),"")</f>
        <v>경기관련소비재</v>
      </c>
      <c r="D38" s="158">
        <f t="shared" ref="D38:D69" si="2">IFERROR(IF(ISNUMBER(E38),E38,I38),"")</f>
        <v>41467</v>
      </c>
      <c r="E38" s="157" t="str">
        <f>IFERROR(VLOOKUP(A38,Schedule!A:B,2,0),"")</f>
        <v/>
      </c>
      <c r="F38" s="2">
        <f t="shared" ref="F38:F69" ca="1" si="3">IFERROR(D38-$G$2,"")</f>
        <v>-1400</v>
      </c>
      <c r="G38" s="34" t="str">
        <f>IFERROR(VLOOKUP($A38,Schedule!$A:$D,4,0),"")</f>
        <v/>
      </c>
      <c r="H38" s="34" t="str">
        <f>IFERROR(VLOOKUP(A38,Universe!B:L,10,0),"")</f>
        <v>IC</v>
      </c>
      <c r="I38" s="158">
        <f>IFERROR(VLOOKUP(A38,Schedule2!A:P,9,0),"")</f>
        <v>41467</v>
      </c>
      <c r="J38">
        <f>IFERROR(VLOOKUP(A38,Universe!B:L,11,0),"")</f>
        <v>5603.04</v>
      </c>
    </row>
    <row r="39" spans="1:10" x14ac:dyDescent="0.3">
      <c r="A39" s="156" t="s">
        <v>1406</v>
      </c>
      <c r="B39" s="2" t="s">
        <v>2835</v>
      </c>
      <c r="C39" s="2" t="str">
        <f>IFERROR(VLOOKUP(A39,Universe!B:G,6,0),"")</f>
        <v>경기관련소비재</v>
      </c>
      <c r="D39" s="158">
        <f t="shared" si="2"/>
        <v>41492</v>
      </c>
      <c r="E39" s="157">
        <f>IFERROR(VLOOKUP(A39,Schedule!A:B,2,0),"")</f>
        <v>41492</v>
      </c>
      <c r="F39" s="2">
        <f t="shared" ca="1" si="3"/>
        <v>-1375</v>
      </c>
      <c r="G39" s="34" t="str">
        <f>IFERROR(VLOOKUP($A39,Schedule!$A:$D,4,0),"")</f>
        <v/>
      </c>
      <c r="H39" s="34" t="str">
        <f>IFERROR(VLOOKUP(A39,Universe!B:L,10,0),"")</f>
        <v>IC</v>
      </c>
      <c r="I39" s="158">
        <f>IFERROR(VLOOKUP(A39,Schedule2!A:P,9,0),"")</f>
        <v>41494</v>
      </c>
      <c r="J39">
        <f>IFERROR(VLOOKUP(A39,Universe!B:L,11,0),"")</f>
        <v>5348.95</v>
      </c>
    </row>
    <row r="40" spans="1:10" x14ac:dyDescent="0.3">
      <c r="A40" s="156" t="s">
        <v>3133</v>
      </c>
      <c r="B40" s="2" t="s">
        <v>3336</v>
      </c>
      <c r="C40" s="2" t="str">
        <f>IFERROR(VLOOKUP(A40,Universe!B:G,6,0),"")</f>
        <v>경기관련소비재</v>
      </c>
      <c r="D40" s="158">
        <f t="shared" si="2"/>
        <v>41481</v>
      </c>
      <c r="E40" s="157">
        <f>IFERROR(VLOOKUP(A40,Schedule!A:B,2,0),"")</f>
        <v>41481</v>
      </c>
      <c r="F40" s="2">
        <f t="shared" ca="1" si="3"/>
        <v>-1386</v>
      </c>
      <c r="G40" s="34">
        <f>IFERROR(VLOOKUP($A40,Schedule!$A:$D,4,0),"")</f>
        <v>131.71</v>
      </c>
      <c r="H40" s="34" t="str">
        <f>IFERROR(VLOOKUP(A40,Universe!B:L,10,0),"")</f>
        <v>IC</v>
      </c>
      <c r="I40" s="158">
        <f>IFERROR(VLOOKUP(A40,Schedule2!A:P,9,0),"")</f>
        <v>41481</v>
      </c>
      <c r="J40">
        <f>IFERROR(VLOOKUP(A40,Universe!B:L,11,0),"")</f>
        <v>4374.12</v>
      </c>
    </row>
    <row r="41" spans="1:10" x14ac:dyDescent="0.3">
      <c r="A41" s="156" t="s">
        <v>612</v>
      </c>
      <c r="B41" s="2" t="s">
        <v>3636</v>
      </c>
      <c r="C41" s="2" t="str">
        <f>IFERROR(VLOOKUP(A41,Universe!B:G,6,0),"")</f>
        <v>경기관련소비재</v>
      </c>
      <c r="D41" s="158">
        <f t="shared" si="2"/>
        <v>41488</v>
      </c>
      <c r="E41" s="157" t="str">
        <f>IFERROR(VLOOKUP(A41,Schedule!A:B,2,0),"")</f>
        <v/>
      </c>
      <c r="F41" s="2">
        <f t="shared" ca="1" si="3"/>
        <v>-1379</v>
      </c>
      <c r="G41" s="34" t="str">
        <f>IFERROR(VLOOKUP($A41,Schedule!$A:$D,4,0),"")</f>
        <v/>
      </c>
      <c r="H41" s="34" t="str">
        <f>IFERROR(VLOOKUP(A41,Universe!B:L,10,0),"")</f>
        <v>IC</v>
      </c>
      <c r="I41" s="158">
        <f>IFERROR(VLOOKUP(A41,Schedule2!A:P,9,0),"")</f>
        <v>41488</v>
      </c>
      <c r="J41">
        <f>IFERROR(VLOOKUP(A41,Universe!B:L,11,0),"")</f>
        <v>3870.05</v>
      </c>
    </row>
    <row r="42" spans="1:10" x14ac:dyDescent="0.3">
      <c r="A42" s="156" t="s">
        <v>1255</v>
      </c>
      <c r="B42" s="2" t="s">
        <v>2689</v>
      </c>
      <c r="C42" s="2" t="str">
        <f>IFERROR(VLOOKUP(A42,Universe!B:G,6,0),"")</f>
        <v>경기관련소비재</v>
      </c>
      <c r="D42" s="158">
        <f t="shared" si="2"/>
        <v>41486</v>
      </c>
      <c r="E42" s="157" t="str">
        <f>IFERROR(VLOOKUP(A42,Schedule!A:B,2,0),"")</f>
        <v/>
      </c>
      <c r="F42" s="2">
        <f t="shared" ca="1" si="3"/>
        <v>-1381</v>
      </c>
      <c r="G42" s="34" t="str">
        <f>IFERROR(VLOOKUP($A42,Schedule!$A:$D,4,0),"")</f>
        <v/>
      </c>
      <c r="H42" s="34" t="str">
        <f>IFERROR(VLOOKUP(A42,Universe!B:L,10,0),"")</f>
        <v>IC</v>
      </c>
      <c r="I42" s="158">
        <f>IFERROR(VLOOKUP(A42,Schedule2!A:P,9,0),"")</f>
        <v>41486</v>
      </c>
      <c r="J42">
        <f>IFERROR(VLOOKUP(A42,Universe!B:L,11,0),"")</f>
        <v>3510.37</v>
      </c>
    </row>
    <row r="43" spans="1:10" x14ac:dyDescent="0.3">
      <c r="A43" s="156" t="s">
        <v>731</v>
      </c>
      <c r="B43" s="2" t="s">
        <v>2184</v>
      </c>
      <c r="C43" s="2" t="str">
        <f>IFERROR(VLOOKUP(A43,Universe!B:G,6,0),"")</f>
        <v>경기관련소비재</v>
      </c>
      <c r="D43" s="158">
        <f t="shared" si="2"/>
        <v>41480</v>
      </c>
      <c r="E43" s="157">
        <f>IFERROR(VLOOKUP(A43,Schedule!A:B,2,0),"")</f>
        <v>41480</v>
      </c>
      <c r="F43" s="2">
        <f t="shared" ca="1" si="3"/>
        <v>-1387</v>
      </c>
      <c r="G43" s="34">
        <f>IFERROR(VLOOKUP($A43,Schedule!$A:$D,4,0),"")</f>
        <v>40.81</v>
      </c>
      <c r="H43" s="34" t="str">
        <f>IFERROR(VLOOKUP(A43,Universe!B:L,10,0),"")</f>
        <v>IC</v>
      </c>
      <c r="I43" s="158">
        <f>IFERROR(VLOOKUP(A43,Schedule2!A:P,9,0),"")</f>
        <v>41481</v>
      </c>
      <c r="J43">
        <f>IFERROR(VLOOKUP(A43,Universe!B:L,11,0),"")</f>
        <v>2830.01</v>
      </c>
    </row>
    <row r="44" spans="1:10" x14ac:dyDescent="0.3">
      <c r="A44" s="156" t="s">
        <v>3130</v>
      </c>
      <c r="B44" s="2" t="s">
        <v>3333</v>
      </c>
      <c r="C44" s="2" t="str">
        <f>IFERROR(VLOOKUP(A44,Universe!B:G,6,0),"")</f>
        <v>경기관련소비재</v>
      </c>
      <c r="D44" s="158">
        <f t="shared" si="2"/>
        <v>41474</v>
      </c>
      <c r="E44" s="157" t="str">
        <f>IFERROR(VLOOKUP(A44,Schedule!A:B,2,0),"")</f>
        <v/>
      </c>
      <c r="F44" s="2">
        <f t="shared" ca="1" si="3"/>
        <v>-1393</v>
      </c>
      <c r="G44" s="34" t="str">
        <f>IFERROR(VLOOKUP($A44,Schedule!$A:$D,4,0),"")</f>
        <v/>
      </c>
      <c r="H44" s="34" t="str">
        <f>IFERROR(VLOOKUP(A44,Universe!B:L,10,0),"")</f>
        <v>IC</v>
      </c>
      <c r="I44" s="158">
        <f>IFERROR(VLOOKUP(A44,Schedule2!A:P,9,0),"")</f>
        <v>41474</v>
      </c>
      <c r="J44">
        <f>IFERROR(VLOOKUP(A44,Universe!B:L,11,0),"")</f>
        <v>2256.1</v>
      </c>
    </row>
    <row r="45" spans="1:10" x14ac:dyDescent="0.3">
      <c r="A45" s="156" t="s">
        <v>1525</v>
      </c>
      <c r="B45" s="2" t="s">
        <v>2950</v>
      </c>
      <c r="C45" s="2" t="str">
        <f>IFERROR(VLOOKUP(A45,Universe!B:G,6,0),"")</f>
        <v>경기관련소비재</v>
      </c>
      <c r="D45" s="158">
        <f t="shared" si="2"/>
        <v>41492</v>
      </c>
      <c r="E45" s="157" t="str">
        <f>IFERROR(VLOOKUP(A45,Schedule!A:B,2,0),"")</f>
        <v/>
      </c>
      <c r="F45" s="2">
        <f t="shared" ca="1" si="3"/>
        <v>-1375</v>
      </c>
      <c r="G45" s="34" t="str">
        <f>IFERROR(VLOOKUP($A45,Schedule!$A:$D,4,0),"")</f>
        <v/>
      </c>
      <c r="H45" s="34" t="str">
        <f>IFERROR(VLOOKUP(A45,Universe!B:L,10,0),"")</f>
        <v>IP</v>
      </c>
      <c r="I45" s="158">
        <f>IFERROR(VLOOKUP(A45,Schedule2!A:P,9,0),"")</f>
        <v>41492</v>
      </c>
      <c r="J45">
        <f>IFERROR(VLOOKUP(A45,Universe!B:L,11,0),"")</f>
        <v>2189.69</v>
      </c>
    </row>
    <row r="46" spans="1:10" x14ac:dyDescent="0.3">
      <c r="A46" s="156" t="s">
        <v>826</v>
      </c>
      <c r="B46" s="2" t="s">
        <v>2275</v>
      </c>
      <c r="C46" s="2" t="str">
        <f>IFERROR(VLOOKUP(A46,Universe!B:G,6,0),"")</f>
        <v>경기관련소비재</v>
      </c>
      <c r="D46" s="158">
        <f t="shared" si="2"/>
        <v>41515</v>
      </c>
      <c r="E46" s="157" t="str">
        <f>IFERROR(VLOOKUP(A46,Schedule!A:B,2,0),"")</f>
        <v/>
      </c>
      <c r="F46" s="2">
        <f t="shared" ca="1" si="3"/>
        <v>-1352</v>
      </c>
      <c r="G46" s="34" t="str">
        <f>IFERROR(VLOOKUP($A46,Schedule!$A:$D,4,0),"")</f>
        <v/>
      </c>
      <c r="H46" s="34" t="str">
        <f>IFERROR(VLOOKUP(A46,Universe!B:L,10,0),"")</f>
        <v>IC</v>
      </c>
      <c r="I46" s="158">
        <f>IFERROR(VLOOKUP(A46,Schedule2!A:P,9,0),"")</f>
        <v>41515</v>
      </c>
      <c r="J46">
        <f>IFERROR(VLOOKUP(A46,Universe!B:L,11,0),"")</f>
        <v>2140.6799999999998</v>
      </c>
    </row>
    <row r="47" spans="1:10" x14ac:dyDescent="0.3">
      <c r="A47" s="156" t="s">
        <v>802</v>
      </c>
      <c r="B47" s="2" t="s">
        <v>2252</v>
      </c>
      <c r="C47" s="2" t="str">
        <f>IFERROR(VLOOKUP(A47,Universe!B:G,6,0),"")</f>
        <v>경기관련소비재</v>
      </c>
      <c r="D47" s="158">
        <f t="shared" si="2"/>
        <v>41488</v>
      </c>
      <c r="E47" s="157" t="str">
        <f>IFERROR(VLOOKUP(A47,Schedule!A:B,2,0),"")</f>
        <v/>
      </c>
      <c r="F47" s="2">
        <f t="shared" ca="1" si="3"/>
        <v>-1379</v>
      </c>
      <c r="G47" s="34" t="str">
        <f>IFERROR(VLOOKUP($A47,Schedule!$A:$D,4,0),"")</f>
        <v/>
      </c>
      <c r="H47" s="34" t="str">
        <f>IFERROR(VLOOKUP(A47,Universe!B:L,10,0),"")</f>
        <v>IC</v>
      </c>
      <c r="I47" s="158">
        <f>IFERROR(VLOOKUP(A47,Schedule2!A:P,9,0),"")</f>
        <v>41488</v>
      </c>
      <c r="J47">
        <f>IFERROR(VLOOKUP(A47,Universe!B:L,11,0),"")</f>
        <v>2105.3200000000002</v>
      </c>
    </row>
    <row r="48" spans="1:10" x14ac:dyDescent="0.3">
      <c r="A48" s="156" t="s">
        <v>254</v>
      </c>
      <c r="B48" s="2" t="s">
        <v>1728</v>
      </c>
      <c r="C48" s="2" t="str">
        <f>IFERROR(VLOOKUP(A48,Universe!B:G,6,0),"")</f>
        <v>경기관련소비재</v>
      </c>
      <c r="D48" s="158">
        <f t="shared" si="2"/>
        <v>41472</v>
      </c>
      <c r="E48" s="157" t="str">
        <f>IFERROR(VLOOKUP(A48,Schedule!A:B,2,0),"")</f>
        <v/>
      </c>
      <c r="F48" s="2">
        <f t="shared" ca="1" si="3"/>
        <v>-1395</v>
      </c>
      <c r="G48" s="34" t="str">
        <f>IFERROR(VLOOKUP($A48,Schedule!$A:$D,4,0),"")</f>
        <v/>
      </c>
      <c r="H48" s="34" t="str">
        <f>IFERROR(VLOOKUP(A48,Universe!B:L,10,0),"")</f>
        <v>IC</v>
      </c>
      <c r="I48" s="158">
        <f>IFERROR(VLOOKUP(A48,Schedule2!A:P,9,0),"")</f>
        <v>41472</v>
      </c>
      <c r="J48">
        <f>IFERROR(VLOOKUP(A48,Universe!B:L,11,0),"")</f>
        <v>2077.33</v>
      </c>
    </row>
    <row r="49" spans="1:10" x14ac:dyDescent="0.3">
      <c r="A49" s="156" t="s">
        <v>3170</v>
      </c>
      <c r="B49" s="2" t="s">
        <v>3532</v>
      </c>
      <c r="C49" s="2" t="str">
        <f>IFERROR(VLOOKUP(A49,Universe!B:G,6,0),"")</f>
        <v>경기관련소비재</v>
      </c>
      <c r="D49" s="158">
        <f t="shared" si="2"/>
        <v>41494</v>
      </c>
      <c r="E49" s="157">
        <f>IFERROR(VLOOKUP(A49,Schedule!A:B,2,0),"")</f>
        <v>41494</v>
      </c>
      <c r="F49" s="2">
        <f t="shared" ca="1" si="3"/>
        <v>-1373</v>
      </c>
      <c r="G49" s="34" t="str">
        <f>IFERROR(VLOOKUP($A49,Schedule!$A:$D,4,0),"")</f>
        <v/>
      </c>
      <c r="H49" s="34" t="str">
        <f>IFERROR(VLOOKUP(A49,Universe!B:L,10,0),"")</f>
        <v>IC</v>
      </c>
      <c r="I49" s="158">
        <f>IFERROR(VLOOKUP(A49,Schedule2!A:P,9,0),"")</f>
        <v>41478</v>
      </c>
      <c r="J49">
        <f>IFERROR(VLOOKUP(A49,Universe!B:L,11,0),"")</f>
        <v>2001.93</v>
      </c>
    </row>
    <row r="50" spans="1:10" x14ac:dyDescent="0.3">
      <c r="A50" s="156" t="s">
        <v>3125</v>
      </c>
      <c r="B50" s="2" t="s">
        <v>3360</v>
      </c>
      <c r="C50" s="2" t="str">
        <f>IFERROR(VLOOKUP(A50,Universe!B:G,6,0),"")</f>
        <v>경기관련소비재</v>
      </c>
      <c r="D50" s="158">
        <f t="shared" si="2"/>
        <v>41481</v>
      </c>
      <c r="E50" s="157">
        <f>IFERROR(VLOOKUP(A50,Schedule!A:B,2,0),"")</f>
        <v>41481</v>
      </c>
      <c r="F50" s="2">
        <f t="shared" ca="1" si="3"/>
        <v>-1386</v>
      </c>
      <c r="G50" s="34">
        <f>IFERROR(VLOOKUP($A50,Schedule!$A:$D,4,0),"")</f>
        <v>90.21</v>
      </c>
      <c r="H50" s="34" t="str">
        <f>IFERROR(VLOOKUP(A50,Universe!B:L,10,0),"")</f>
        <v>IC</v>
      </c>
      <c r="I50" s="158">
        <f>IFERROR(VLOOKUP(A50,Schedule2!A:P,9,0),"")</f>
        <v>41481</v>
      </c>
      <c r="J50">
        <f>IFERROR(VLOOKUP(A50,Universe!B:L,11,0),"")</f>
        <v>1844.95</v>
      </c>
    </row>
    <row r="51" spans="1:10" x14ac:dyDescent="0.3">
      <c r="A51" s="156" t="s">
        <v>3155</v>
      </c>
      <c r="B51" s="2" t="s">
        <v>3356</v>
      </c>
      <c r="C51" s="2" t="str">
        <f>IFERROR(VLOOKUP(A51,Universe!B:G,6,0),"")</f>
        <v>경기관련소비재</v>
      </c>
      <c r="D51" s="158">
        <f t="shared" si="2"/>
        <v>41485</v>
      </c>
      <c r="E51" s="157">
        <f>IFERROR(VLOOKUP(A51,Schedule!A:B,2,0),"")</f>
        <v>41485</v>
      </c>
      <c r="F51" s="2">
        <f t="shared" ca="1" si="3"/>
        <v>-1382</v>
      </c>
      <c r="G51" s="34">
        <f>IFERROR(VLOOKUP($A51,Schedule!$A:$D,4,0),"")</f>
        <v>35.74</v>
      </c>
      <c r="H51" s="34" t="str">
        <f>IFERROR(VLOOKUP(A51,Universe!B:L,10,0),"")</f>
        <v>IP</v>
      </c>
      <c r="I51" s="158">
        <f>IFERROR(VLOOKUP(A51,Schedule2!A:P,9,0),"")</f>
        <v>41486</v>
      </c>
      <c r="J51">
        <f>IFERROR(VLOOKUP(A51,Universe!B:L,11,0),"")</f>
        <v>1842</v>
      </c>
    </row>
    <row r="52" spans="1:10" x14ac:dyDescent="0.3">
      <c r="A52" s="156" t="s">
        <v>723</v>
      </c>
      <c r="B52" s="2" t="s">
        <v>2176</v>
      </c>
      <c r="C52" s="2" t="str">
        <f>IFERROR(VLOOKUP(A52,Universe!B:G,6,0),"")</f>
        <v>경기관련소비재</v>
      </c>
      <c r="D52" s="158">
        <f t="shared" si="2"/>
        <v>41515</v>
      </c>
      <c r="E52" s="157" t="str">
        <f>IFERROR(VLOOKUP(A52,Schedule!A:B,2,0),"")</f>
        <v/>
      </c>
      <c r="F52" s="2">
        <f t="shared" ca="1" si="3"/>
        <v>-1352</v>
      </c>
      <c r="G52" s="34" t="str">
        <f>IFERROR(VLOOKUP($A52,Schedule!$A:$D,4,0),"")</f>
        <v/>
      </c>
      <c r="H52" s="34" t="str">
        <f>IFERROR(VLOOKUP(A52,Universe!B:L,10,0),"")</f>
        <v>IC</v>
      </c>
      <c r="I52" s="158">
        <f>IFERROR(VLOOKUP(A52,Schedule2!A:P,9,0),"")</f>
        <v>41515</v>
      </c>
      <c r="J52">
        <f>IFERROR(VLOOKUP(A52,Universe!B:L,11,0),"")</f>
        <v>1552.03</v>
      </c>
    </row>
    <row r="53" spans="1:10" x14ac:dyDescent="0.3">
      <c r="A53" s="156" t="s">
        <v>169</v>
      </c>
      <c r="B53" s="2" t="s">
        <v>1646</v>
      </c>
      <c r="C53" s="2" t="str">
        <f>IFERROR(VLOOKUP(A53,Universe!B:G,6,0),"")</f>
        <v>경기관련소비재</v>
      </c>
      <c r="D53" s="158">
        <f t="shared" si="2"/>
        <v>41495</v>
      </c>
      <c r="E53" s="157" t="str">
        <f>IFERROR(VLOOKUP(A53,Schedule!A:B,2,0),"")</f>
        <v/>
      </c>
      <c r="F53" s="2">
        <f t="shared" ca="1" si="3"/>
        <v>-1372</v>
      </c>
      <c r="G53" s="34" t="str">
        <f>IFERROR(VLOOKUP($A53,Schedule!$A:$D,4,0),"")</f>
        <v/>
      </c>
      <c r="H53" s="34" t="str">
        <f>IFERROR(VLOOKUP(A53,Universe!B:L,10,0),"")</f>
        <v>IC</v>
      </c>
      <c r="I53" s="158">
        <f>IFERROR(VLOOKUP(A53,Schedule2!A:P,9,0),"")</f>
        <v>41495</v>
      </c>
      <c r="J53">
        <f>IFERROR(VLOOKUP(A53,Universe!B:L,11,0),"")</f>
        <v>1551.95</v>
      </c>
    </row>
    <row r="54" spans="1:10" x14ac:dyDescent="0.3">
      <c r="A54" s="156" t="s">
        <v>3541</v>
      </c>
      <c r="B54" s="2" t="s">
        <v>3552</v>
      </c>
      <c r="C54" s="2" t="str">
        <f>IFERROR(VLOOKUP(A54,Universe!B:G,6,0),"")</f>
        <v>경기관련소비재</v>
      </c>
      <c r="D54" s="158">
        <f t="shared" si="2"/>
        <v>41500</v>
      </c>
      <c r="E54" s="157" t="str">
        <f>IFERROR(VLOOKUP(A54,Schedule!A:B,2,0),"")</f>
        <v/>
      </c>
      <c r="F54" s="2">
        <f t="shared" ca="1" si="3"/>
        <v>-1367</v>
      </c>
      <c r="G54" s="34" t="str">
        <f>IFERROR(VLOOKUP($A54,Schedule!$A:$D,4,0),"")</f>
        <v/>
      </c>
      <c r="H54" s="34" t="str">
        <f>IFERROR(VLOOKUP(A54,Universe!B:L,10,0),"")</f>
        <v>IC</v>
      </c>
      <c r="I54" s="158">
        <f>IFERROR(VLOOKUP(A54,Schedule2!A:P,9,0),"")</f>
        <v>41500</v>
      </c>
      <c r="J54">
        <f>IFERROR(VLOOKUP(A54,Universe!B:L,11,0),"")</f>
        <v>1428.89</v>
      </c>
    </row>
    <row r="55" spans="1:10" x14ac:dyDescent="0.3">
      <c r="A55" s="156" t="s">
        <v>3281</v>
      </c>
      <c r="B55" s="2" t="s">
        <v>3478</v>
      </c>
      <c r="C55" s="2" t="str">
        <f>IFERROR(VLOOKUP(A55,Universe!B:G,6,0),"")</f>
        <v>경기관련소비재</v>
      </c>
      <c r="D55" s="158">
        <f t="shared" si="2"/>
        <v>41495</v>
      </c>
      <c r="E55" s="157" t="str">
        <f>IFERROR(VLOOKUP(A55,Schedule!A:B,2,0),"")</f>
        <v/>
      </c>
      <c r="F55" s="2">
        <f t="shared" ca="1" si="3"/>
        <v>-1372</v>
      </c>
      <c r="G55" s="34" t="str">
        <f>IFERROR(VLOOKUP($A55,Schedule!$A:$D,4,0),"")</f>
        <v/>
      </c>
      <c r="H55" s="34" t="str">
        <f>IFERROR(VLOOKUP(A55,Universe!B:L,10,0),"")</f>
        <v>IC</v>
      </c>
      <c r="I55" s="158">
        <f>IFERROR(VLOOKUP(A55,Schedule2!A:P,9,0),"")</f>
        <v>41495</v>
      </c>
      <c r="J55">
        <f>IFERROR(VLOOKUP(A55,Universe!B:L,11,0),"")</f>
        <v>1316.4</v>
      </c>
    </row>
    <row r="56" spans="1:10" x14ac:dyDescent="0.3">
      <c r="A56" s="156" t="s">
        <v>897</v>
      </c>
      <c r="B56" s="2" t="s">
        <v>2344</v>
      </c>
      <c r="C56" s="2" t="str">
        <f>IFERROR(VLOOKUP(A56,Universe!B:G,6,0),"")</f>
        <v>경기관련소비재</v>
      </c>
      <c r="D56" s="158">
        <f t="shared" si="2"/>
        <v>41515</v>
      </c>
      <c r="E56" s="157" t="str">
        <f>IFERROR(VLOOKUP(A56,Schedule!A:B,2,0),"")</f>
        <v/>
      </c>
      <c r="F56" s="2">
        <f t="shared" ca="1" si="3"/>
        <v>-1352</v>
      </c>
      <c r="G56" s="34" t="str">
        <f>IFERROR(VLOOKUP($A56,Schedule!$A:$D,4,0),"")</f>
        <v/>
      </c>
      <c r="H56" s="34" t="str">
        <f>IFERROR(VLOOKUP(A56,Universe!B:L,10,0),"")</f>
        <v>IC</v>
      </c>
      <c r="I56" s="158">
        <f>IFERROR(VLOOKUP(A56,Schedule2!A:P,9,0),"")</f>
        <v>41515</v>
      </c>
      <c r="J56">
        <f>IFERROR(VLOOKUP(A56,Universe!B:L,11,0),"")</f>
        <v>835.2</v>
      </c>
    </row>
    <row r="57" spans="1:10" x14ac:dyDescent="0.3">
      <c r="A57" s="156" t="s">
        <v>1430</v>
      </c>
      <c r="B57" s="2" t="s">
        <v>2859</v>
      </c>
      <c r="C57" s="2" t="str">
        <f>IFERROR(VLOOKUP(A57,Universe!B:G,6,0),"")</f>
        <v>경기관련소비재</v>
      </c>
      <c r="D57" s="158" t="str">
        <f t="shared" si="2"/>
        <v/>
      </c>
      <c r="E57" s="157" t="str">
        <f>IFERROR(VLOOKUP(A57,Schedule!A:B,2,0),"")</f>
        <v/>
      </c>
      <c r="F57" s="2" t="str">
        <f t="shared" ca="1" si="3"/>
        <v/>
      </c>
      <c r="G57" s="34" t="str">
        <f>IFERROR(VLOOKUP($A57,Schedule!$A:$D,4,0),"")</f>
        <v/>
      </c>
      <c r="H57" s="34" t="str">
        <f>IFERROR(VLOOKUP(A57,Universe!B:L,10,0),"")</f>
        <v>IC</v>
      </c>
      <c r="I57" s="158" t="str">
        <f>IFERROR(VLOOKUP(A57,Schedule2!A:P,9,0),"")</f>
        <v/>
      </c>
      <c r="J57">
        <f>IFERROR(VLOOKUP(A57,Universe!B:L,11,0),"")</f>
        <v>824.57</v>
      </c>
    </row>
    <row r="58" spans="1:10" x14ac:dyDescent="0.3">
      <c r="A58" s="156" t="s">
        <v>3176</v>
      </c>
      <c r="B58" s="2" t="s">
        <v>3377</v>
      </c>
      <c r="C58" s="2" t="str">
        <f>IFERROR(VLOOKUP(A58,Universe!B:G,6,0),"")</f>
        <v>경기관련소비재</v>
      </c>
      <c r="D58" s="158">
        <f t="shared" si="2"/>
        <v>41500</v>
      </c>
      <c r="E58" s="157" t="str">
        <f>IFERROR(VLOOKUP(A58,Schedule!A:B,2,0),"")</f>
        <v/>
      </c>
      <c r="F58" s="2">
        <f t="shared" ca="1" si="3"/>
        <v>-1367</v>
      </c>
      <c r="G58" s="34" t="str">
        <f>IFERROR(VLOOKUP($A58,Schedule!$A:$D,4,0),"")</f>
        <v/>
      </c>
      <c r="H58" s="34" t="str">
        <f>IFERROR(VLOOKUP(A58,Universe!B:L,10,0),"")</f>
        <v>IC</v>
      </c>
      <c r="I58" s="158">
        <f>IFERROR(VLOOKUP(A58,Schedule2!A:P,9,0),"")</f>
        <v>41500</v>
      </c>
      <c r="J58">
        <f>IFERROR(VLOOKUP(A58,Universe!B:L,11,0),"")</f>
        <v>684.73</v>
      </c>
    </row>
    <row r="59" spans="1:10" x14ac:dyDescent="0.3">
      <c r="A59" s="156" t="s">
        <v>972</v>
      </c>
      <c r="B59" s="2" t="s">
        <v>2415</v>
      </c>
      <c r="C59" s="2" t="str">
        <f>IFERROR(VLOOKUP(A59,Universe!B:G,6,0),"")</f>
        <v>경기관련소비재</v>
      </c>
      <c r="D59" s="158">
        <f t="shared" si="2"/>
        <v>41500</v>
      </c>
      <c r="E59" s="157" t="str">
        <f>IFERROR(VLOOKUP(A59,Schedule!A:B,2,0),"")</f>
        <v/>
      </c>
      <c r="F59" s="2">
        <f t="shared" ca="1" si="3"/>
        <v>-1367</v>
      </c>
      <c r="G59" s="34" t="str">
        <f>IFERROR(VLOOKUP($A59,Schedule!$A:$D,4,0),"")</f>
        <v/>
      </c>
      <c r="H59" s="34" t="str">
        <f>IFERROR(VLOOKUP(A59,Universe!B:L,10,0),"")</f>
        <v>IC</v>
      </c>
      <c r="I59" s="158">
        <f>IFERROR(VLOOKUP(A59,Schedule2!A:P,9,0),"")</f>
        <v>41500</v>
      </c>
      <c r="J59">
        <f>IFERROR(VLOOKUP(A59,Universe!B:L,11,0),"")</f>
        <v>621.19000000000005</v>
      </c>
    </row>
    <row r="60" spans="1:10" x14ac:dyDescent="0.3">
      <c r="A60" s="156" t="s">
        <v>3254</v>
      </c>
      <c r="B60" s="2" t="s">
        <v>3451</v>
      </c>
      <c r="C60" s="2" t="str">
        <f>IFERROR(VLOOKUP(A60,Universe!B:G,6,0),"")</f>
        <v>경기관련소비재</v>
      </c>
      <c r="D60" s="158">
        <f t="shared" si="2"/>
        <v>41500</v>
      </c>
      <c r="E60" s="157" t="str">
        <f>IFERROR(VLOOKUP(A60,Schedule!A:B,2,0),"")</f>
        <v/>
      </c>
      <c r="F60" s="2">
        <f t="shared" ca="1" si="3"/>
        <v>-1367</v>
      </c>
      <c r="G60" s="34" t="str">
        <f>IFERROR(VLOOKUP($A60,Schedule!$A:$D,4,0),"")</f>
        <v/>
      </c>
      <c r="H60" s="34" t="str">
        <f>IFERROR(VLOOKUP(A60,Universe!B:L,10,0),"")</f>
        <v>IC</v>
      </c>
      <c r="I60" s="158">
        <f>IFERROR(VLOOKUP(A60,Schedule2!A:P,9,0),"")</f>
        <v>41500</v>
      </c>
      <c r="J60">
        <f>IFERROR(VLOOKUP(A60,Universe!B:L,11,0),"")</f>
        <v>539.78</v>
      </c>
    </row>
    <row r="61" spans="1:10" x14ac:dyDescent="0.3">
      <c r="A61" s="156" t="s">
        <v>812</v>
      </c>
      <c r="B61" s="2" t="s">
        <v>2262</v>
      </c>
      <c r="C61" s="2" t="str">
        <f>IFERROR(VLOOKUP(A61,Universe!B:G,6,0),"")</f>
        <v>경기관련소비재</v>
      </c>
      <c r="D61" s="158">
        <f t="shared" si="2"/>
        <v>41495</v>
      </c>
      <c r="E61" s="157" t="str">
        <f>IFERROR(VLOOKUP(A61,Schedule!A:B,2,0),"")</f>
        <v/>
      </c>
      <c r="F61" s="2">
        <f t="shared" ca="1" si="3"/>
        <v>-1372</v>
      </c>
      <c r="G61" s="34" t="str">
        <f>IFERROR(VLOOKUP($A61,Schedule!$A:$D,4,0),"")</f>
        <v/>
      </c>
      <c r="H61" s="34" t="str">
        <f>IFERROR(VLOOKUP(A61,Universe!B:L,10,0),"")</f>
        <v>IC</v>
      </c>
      <c r="I61" s="158">
        <f>IFERROR(VLOOKUP(A61,Schedule2!A:P,9,0),"")</f>
        <v>41495</v>
      </c>
      <c r="J61">
        <f>IFERROR(VLOOKUP(A61,Universe!B:L,11,0),"")</f>
        <v>520.20000000000005</v>
      </c>
    </row>
    <row r="62" spans="1:10" x14ac:dyDescent="0.3">
      <c r="A62" s="156" t="s">
        <v>1365</v>
      </c>
      <c r="B62" s="2" t="s">
        <v>2794</v>
      </c>
      <c r="C62" s="2" t="str">
        <f>IFERROR(VLOOKUP(A62,Universe!B:G,6,0),"")</f>
        <v>경기관련소비재</v>
      </c>
      <c r="D62" s="158">
        <f t="shared" si="2"/>
        <v>41485</v>
      </c>
      <c r="E62" s="157">
        <f>IFERROR(VLOOKUP(A62,Schedule!A:B,2,0),"")</f>
        <v>41485</v>
      </c>
      <c r="F62" s="2">
        <f t="shared" ca="1" si="3"/>
        <v>-1382</v>
      </c>
      <c r="G62" s="34" t="str">
        <f>IFERROR(VLOOKUP($A62,Schedule!$A:$D,4,0),"")</f>
        <v/>
      </c>
      <c r="H62" s="34" t="str">
        <f>IFERROR(VLOOKUP(A62,Universe!B:L,10,0),"")</f>
        <v>IC</v>
      </c>
      <c r="I62" s="158">
        <f>IFERROR(VLOOKUP(A62,Schedule2!A:P,9,0),"")</f>
        <v>41500</v>
      </c>
      <c r="J62">
        <f>IFERROR(VLOOKUP(A62,Universe!B:L,11,0),"")</f>
        <v>341.01</v>
      </c>
    </row>
    <row r="63" spans="1:10" x14ac:dyDescent="0.3">
      <c r="A63" s="156" t="s">
        <v>746</v>
      </c>
      <c r="B63" s="2" t="s">
        <v>2197</v>
      </c>
      <c r="C63" s="2" t="str">
        <f>IFERROR(VLOOKUP(A63,Universe!B:G,6,0),"")</f>
        <v>경기관련소비재</v>
      </c>
      <c r="D63" s="158">
        <f t="shared" si="2"/>
        <v>41500</v>
      </c>
      <c r="E63" s="157" t="str">
        <f>IFERROR(VLOOKUP(A63,Schedule!A:B,2,0),"")</f>
        <v/>
      </c>
      <c r="F63" s="2">
        <f t="shared" ca="1" si="3"/>
        <v>-1367</v>
      </c>
      <c r="G63" s="34" t="str">
        <f>IFERROR(VLOOKUP($A63,Schedule!$A:$D,4,0),"")</f>
        <v/>
      </c>
      <c r="H63" s="34" t="str">
        <f>IFERROR(VLOOKUP(A63,Universe!B:L,10,0),"")</f>
        <v>IP</v>
      </c>
      <c r="I63" s="158">
        <f>IFERROR(VLOOKUP(A63,Schedule2!A:P,9,0),"")</f>
        <v>41500</v>
      </c>
      <c r="J63">
        <f>IFERROR(VLOOKUP(A63,Universe!B:L,11,0),"")</f>
        <v>324</v>
      </c>
    </row>
    <row r="64" spans="1:10" x14ac:dyDescent="0.3">
      <c r="A64" s="156" t="s">
        <v>1114</v>
      </c>
      <c r="B64" s="2" t="s">
        <v>2553</v>
      </c>
      <c r="C64" s="2" t="str">
        <f>IFERROR(VLOOKUP(A64,Universe!B:G,6,0),"")</f>
        <v>금융</v>
      </c>
      <c r="D64" s="158">
        <f t="shared" si="2"/>
        <v>41485</v>
      </c>
      <c r="E64" s="157">
        <f>IFERROR(VLOOKUP(A64,Schedule!A:B,2,0),"")</f>
        <v>41485</v>
      </c>
      <c r="F64" s="2">
        <f t="shared" ca="1" si="3"/>
        <v>-1382</v>
      </c>
      <c r="G64" s="34">
        <f>IFERROR(VLOOKUP($A64,Schedule!$A:$D,4,0),"")</f>
        <v>743.06</v>
      </c>
      <c r="H64" s="34" t="str">
        <f>IFERROR(VLOOKUP(A64,Universe!B:L,10,0),"")</f>
        <v>IC</v>
      </c>
      <c r="I64" s="158">
        <f>IFERROR(VLOOKUP(A64,Schedule2!A:P,9,0),"")</f>
        <v>41486</v>
      </c>
      <c r="J64">
        <f>IFERROR(VLOOKUP(A64,Universe!B:L,11,0),"")</f>
        <v>17829.900000000001</v>
      </c>
    </row>
    <row r="65" spans="1:10" x14ac:dyDescent="0.3">
      <c r="A65" s="156" t="s">
        <v>1512</v>
      </c>
      <c r="B65" s="2" t="s">
        <v>2937</v>
      </c>
      <c r="C65" s="2" t="str">
        <f>IFERROR(VLOOKUP(A65,Universe!B:G,6,0),"")</f>
        <v>금융</v>
      </c>
      <c r="D65" s="158">
        <f t="shared" si="2"/>
        <v>41481</v>
      </c>
      <c r="E65" s="157">
        <f>IFERROR(VLOOKUP(A65,Schedule!A:B,2,0),"")</f>
        <v>41481</v>
      </c>
      <c r="F65" s="2">
        <f t="shared" ca="1" si="3"/>
        <v>-1386</v>
      </c>
      <c r="G65" s="34">
        <f>IFERROR(VLOOKUP($A65,Schedule!$A:$D,4,0),"")</f>
        <v>451.5</v>
      </c>
      <c r="H65" s="34" t="str">
        <f>IFERROR(VLOOKUP(A65,Universe!B:L,10,0),"")</f>
        <v>IC</v>
      </c>
      <c r="I65" s="158">
        <f>IFERROR(VLOOKUP(A65,Schedule2!A:P,9,0),"")</f>
        <v>41481</v>
      </c>
      <c r="J65">
        <f>IFERROR(VLOOKUP(A65,Universe!B:L,11,0),"")</f>
        <v>13213.23</v>
      </c>
    </row>
    <row r="66" spans="1:10" x14ac:dyDescent="0.3">
      <c r="A66" s="156" t="s">
        <v>1381</v>
      </c>
      <c r="B66" s="2" t="s">
        <v>2810</v>
      </c>
      <c r="C66" s="2" t="str">
        <f>IFERROR(VLOOKUP(A66,Universe!B:G,6,0),"")</f>
        <v>금융</v>
      </c>
      <c r="D66" s="158">
        <f t="shared" si="2"/>
        <v>41474</v>
      </c>
      <c r="E66" s="157">
        <f>IFERROR(VLOOKUP(A66,Schedule!A:B,2,0),"")</f>
        <v>41474</v>
      </c>
      <c r="F66" s="2">
        <f t="shared" ca="1" si="3"/>
        <v>-1393</v>
      </c>
      <c r="G66" s="34">
        <f>IFERROR(VLOOKUP($A66,Schedule!$A:$D,4,0),"")</f>
        <v>250.66</v>
      </c>
      <c r="H66" s="34" t="str">
        <f>IFERROR(VLOOKUP(A66,Universe!B:L,10,0),"")</f>
        <v>IC</v>
      </c>
      <c r="I66" s="158">
        <f>IFERROR(VLOOKUP(A66,Schedule2!A:P,9,0),"")</f>
        <v>41474</v>
      </c>
      <c r="J66">
        <f>IFERROR(VLOOKUP(A66,Universe!B:L,11,0),"")</f>
        <v>9638.98</v>
      </c>
    </row>
    <row r="67" spans="1:10" x14ac:dyDescent="0.3">
      <c r="A67" s="156" t="s">
        <v>1068</v>
      </c>
      <c r="B67" s="2" t="s">
        <v>2508</v>
      </c>
      <c r="C67" s="2" t="str">
        <f>IFERROR(VLOOKUP(A67,Universe!B:G,6,0),"")</f>
        <v>금융</v>
      </c>
      <c r="D67" s="158">
        <f t="shared" si="2"/>
        <v>41488</v>
      </c>
      <c r="E67" s="157" t="str">
        <f>IFERROR(VLOOKUP(A67,Schedule!A:B,2,0),"")</f>
        <v/>
      </c>
      <c r="F67" s="2">
        <f t="shared" ca="1" si="3"/>
        <v>-1379</v>
      </c>
      <c r="G67" s="34" t="str">
        <f>IFERROR(VLOOKUP($A67,Schedule!$A:$D,4,0),"")</f>
        <v/>
      </c>
      <c r="H67" s="34" t="str">
        <f>IFERROR(VLOOKUP(A67,Universe!B:L,10,0),"")</f>
        <v>IC</v>
      </c>
      <c r="I67" s="158">
        <f>IFERROR(VLOOKUP(A67,Schedule2!A:P,9,0),"")</f>
        <v>41488</v>
      </c>
      <c r="J67">
        <f>IFERROR(VLOOKUP(A67,Universe!B:L,11,0),"")</f>
        <v>8503.4599999999991</v>
      </c>
    </row>
    <row r="68" spans="1:10" x14ac:dyDescent="0.3">
      <c r="A68" s="156" t="s">
        <v>666</v>
      </c>
      <c r="B68" s="2" t="s">
        <v>2121</v>
      </c>
      <c r="C68" s="2" t="str">
        <f>IFERROR(VLOOKUP(A68,Universe!B:G,6,0),"")</f>
        <v>금융</v>
      </c>
      <c r="D68" s="158">
        <f t="shared" si="2"/>
        <v>41488</v>
      </c>
      <c r="E68" s="157">
        <f>IFERROR(VLOOKUP(A68,Schedule!A:B,2,0),"")</f>
        <v>41488</v>
      </c>
      <c r="F68" s="2">
        <f t="shared" ca="1" si="3"/>
        <v>-1379</v>
      </c>
      <c r="G68" s="34" t="str">
        <f>IFERROR(VLOOKUP($A68,Schedule!$A:$D,4,0),"")</f>
        <v/>
      </c>
      <c r="H68" s="34" t="str">
        <f>IFERROR(VLOOKUP(A68,Universe!B:L,10,0),"")</f>
        <v>IC</v>
      </c>
      <c r="I68" s="158">
        <f>IFERROR(VLOOKUP(A68,Schedule2!A:P,9,0),"")</f>
        <v>41487</v>
      </c>
      <c r="J68">
        <f>IFERROR(VLOOKUP(A68,Universe!B:L,11,0),"")</f>
        <v>6024.64</v>
      </c>
    </row>
    <row r="69" spans="1:10" x14ac:dyDescent="0.3">
      <c r="A69" s="156" t="s">
        <v>571</v>
      </c>
      <c r="B69" s="2" t="s">
        <v>9</v>
      </c>
      <c r="C69" s="2" t="str">
        <f>IFERROR(VLOOKUP(A69,Universe!B:G,6,0),"")</f>
        <v>금융</v>
      </c>
      <c r="D69" s="158">
        <f t="shared" si="2"/>
        <v>41500</v>
      </c>
      <c r="E69" s="157" t="str">
        <f>IFERROR(VLOOKUP(A69,Schedule!A:B,2,0),"")</f>
        <v/>
      </c>
      <c r="F69" s="2">
        <f t="shared" ca="1" si="3"/>
        <v>-1367</v>
      </c>
      <c r="G69" s="34" t="str">
        <f>IFERROR(VLOOKUP($A69,Schedule!$A:$D,4,0),"")</f>
        <v/>
      </c>
      <c r="H69" s="34" t="str">
        <f>IFERROR(VLOOKUP(A69,Universe!B:L,10,0),"")</f>
        <v>IC</v>
      </c>
      <c r="I69" s="158">
        <f>IFERROR(VLOOKUP(A69,Schedule2!A:P,9,0),"")</f>
        <v>41500</v>
      </c>
      <c r="J69">
        <f>IFERROR(VLOOKUP(A69,Universe!B:L,11,0),"")</f>
        <v>3523.66</v>
      </c>
    </row>
    <row r="70" spans="1:10" x14ac:dyDescent="0.3">
      <c r="A70" s="156" t="s">
        <v>3305</v>
      </c>
      <c r="B70" s="2" t="s">
        <v>3502</v>
      </c>
      <c r="C70" s="2" t="str">
        <f>IFERROR(VLOOKUP(A70,Universe!B:G,6,0),"")</f>
        <v>금융</v>
      </c>
      <c r="D70" s="158">
        <f t="shared" ref="D70:D73" si="4">IFERROR(IF(ISNUMBER(E70),E70,I70),"")</f>
        <v>41488</v>
      </c>
      <c r="E70" s="157">
        <f>IFERROR(VLOOKUP(A70,Schedule!A:B,2,0),"")</f>
        <v>41488</v>
      </c>
      <c r="F70" s="2">
        <f t="shared" ref="F70:F101" ca="1" si="5">IFERROR(D70-$G$2,"")</f>
        <v>-1379</v>
      </c>
      <c r="G70" s="34" t="str">
        <f>IFERROR(VLOOKUP($A70,Schedule!$A:$D,4,0),"")</f>
        <v/>
      </c>
      <c r="H70" s="34" t="str">
        <f>IFERROR(VLOOKUP(A70,Universe!B:L,10,0),"")</f>
        <v>IC</v>
      </c>
      <c r="I70" s="158">
        <f>IFERROR(VLOOKUP(A70,Schedule2!A:P,9,0),"")</f>
        <v>41500</v>
      </c>
      <c r="J70">
        <f>IFERROR(VLOOKUP(A70,Universe!B:L,11,0),"")</f>
        <v>2794.34</v>
      </c>
    </row>
    <row r="71" spans="1:10" x14ac:dyDescent="0.3">
      <c r="A71" s="156" t="s">
        <v>3307</v>
      </c>
      <c r="B71" s="2" t="s">
        <v>3504</v>
      </c>
      <c r="C71" s="2" t="str">
        <f>IFERROR(VLOOKUP(A71,Universe!B:G,6,0),"")</f>
        <v>금융</v>
      </c>
      <c r="D71" s="158">
        <f t="shared" si="4"/>
        <v>41488</v>
      </c>
      <c r="E71" s="157">
        <f>IFERROR(VLOOKUP(A71,Schedule!A:B,2,0),"")</f>
        <v>41488</v>
      </c>
      <c r="F71" s="2">
        <f t="shared" ca="1" si="5"/>
        <v>-1379</v>
      </c>
      <c r="G71" s="34" t="str">
        <f>IFERROR(VLOOKUP($A71,Schedule!$A:$D,4,0),"")</f>
        <v/>
      </c>
      <c r="H71" s="34" t="str">
        <f>IFERROR(VLOOKUP(A71,Universe!B:L,10,0),"")</f>
        <v>IC</v>
      </c>
      <c r="I71" s="158">
        <f>IFERROR(VLOOKUP(A71,Schedule2!A:P,9,0),"")</f>
        <v>41487</v>
      </c>
      <c r="J71">
        <f>IFERROR(VLOOKUP(A71,Universe!B:L,11,0),"")</f>
        <v>2091.23</v>
      </c>
    </row>
    <row r="72" spans="1:10" x14ac:dyDescent="0.3">
      <c r="A72" s="156" t="s">
        <v>438</v>
      </c>
      <c r="B72" s="2" t="s">
        <v>1902</v>
      </c>
      <c r="C72" s="2" t="str">
        <f>IFERROR(VLOOKUP(A72,Universe!B:G,6,0),"")</f>
        <v>산업재</v>
      </c>
      <c r="D72" s="158">
        <f t="shared" si="4"/>
        <v>41480</v>
      </c>
      <c r="E72" s="157">
        <f>IFERROR(VLOOKUP(A72,Schedule!A:B,2,0),"")</f>
        <v>41480</v>
      </c>
      <c r="F72" s="2">
        <f t="shared" ca="1" si="5"/>
        <v>-1387</v>
      </c>
      <c r="G72" s="34">
        <f>IFERROR(VLOOKUP($A72,Schedule!$A:$D,4,0),"")</f>
        <v>288.99</v>
      </c>
      <c r="H72" s="34" t="str">
        <f>IFERROR(VLOOKUP(A72,Universe!B:L,10,0),"")</f>
        <v>IC</v>
      </c>
      <c r="I72" s="158">
        <f>IFERROR(VLOOKUP(A72,Schedule2!A:P,9,0),"")</f>
        <v>41499</v>
      </c>
      <c r="J72">
        <f>IFERROR(VLOOKUP(A72,Universe!B:L,11,0),"")</f>
        <v>13946</v>
      </c>
    </row>
    <row r="73" spans="1:10" x14ac:dyDescent="0.3">
      <c r="A73" s="156" t="s">
        <v>225</v>
      </c>
      <c r="B73" s="2" t="s">
        <v>1699</v>
      </c>
      <c r="C73" s="2" t="str">
        <f>IFERROR(VLOOKUP(A73,Universe!B:G,6,0),"")</f>
        <v>산업재</v>
      </c>
      <c r="D73" s="158">
        <f t="shared" si="4"/>
        <v>41500</v>
      </c>
      <c r="E73" s="157" t="str">
        <f>IFERROR(VLOOKUP(A73,Schedule!A:B,2,0),"")</f>
        <v/>
      </c>
      <c r="F73" s="2">
        <f t="shared" ca="1" si="5"/>
        <v>-1367</v>
      </c>
      <c r="G73" s="34" t="str">
        <f>IFERROR(VLOOKUP($A73,Schedule!$A:$D,4,0),"")</f>
        <v/>
      </c>
      <c r="H73" s="34" t="str">
        <f>IFERROR(VLOOKUP(A73,Universe!B:L,10,0),"")</f>
        <v>IC</v>
      </c>
      <c r="I73" s="158">
        <f>IFERROR(VLOOKUP(A73,Schedule2!A:P,9,0),"")</f>
        <v>41500</v>
      </c>
      <c r="J73">
        <f>IFERROR(VLOOKUP(A73,Universe!B:L,11,0),"")</f>
        <v>10957.38</v>
      </c>
    </row>
    <row r="74" spans="1:10" x14ac:dyDescent="0.3">
      <c r="A74" s="156" t="s">
        <v>92</v>
      </c>
      <c r="B74" s="2" t="s">
        <v>1572</v>
      </c>
      <c r="C74" s="2" t="str">
        <f>IFERROR(VLOOKUP(A74,Universe!B:G,6,0),"")</f>
        <v>산업재</v>
      </c>
      <c r="D74" s="158">
        <v>41488</v>
      </c>
      <c r="E74" s="157">
        <f>IFERROR(VLOOKUP(A74,Schedule!A:B,2,0),"")</f>
        <v>41480</v>
      </c>
      <c r="F74" s="2">
        <f t="shared" ca="1" si="5"/>
        <v>-1379</v>
      </c>
      <c r="G74" s="34">
        <f>IFERROR(VLOOKUP($A74,Schedule!$A:$D,4,0),"")</f>
        <v>99.3</v>
      </c>
      <c r="H74" s="34" t="str">
        <f>IFERROR(VLOOKUP(A74,Universe!B:L,10,0),"")</f>
        <v>IC</v>
      </c>
      <c r="I74" s="158">
        <f>IFERROR(VLOOKUP(A74,Schedule2!A:P,9,0),"")</f>
        <v>41474</v>
      </c>
      <c r="J74">
        <f>IFERROR(VLOOKUP(A74,Universe!B:L,11,0),"")</f>
        <v>8420.14</v>
      </c>
    </row>
    <row r="75" spans="1:10" x14ac:dyDescent="0.3">
      <c r="A75" s="156" t="s">
        <v>454</v>
      </c>
      <c r="B75" s="2" t="s">
        <v>1918</v>
      </c>
      <c r="C75" s="2" t="str">
        <f>IFERROR(VLOOKUP(A75,Universe!B:G,6,0),"")</f>
        <v>산업재</v>
      </c>
      <c r="D75" s="158">
        <f t="shared" ref="D75:D106" si="6">IFERROR(IF(ISNUMBER(E75),E75,I75),"")</f>
        <v>41487</v>
      </c>
      <c r="E75" s="157">
        <f>IFERROR(VLOOKUP(A75,Schedule!A:B,2,0),"")</f>
        <v>41487</v>
      </c>
      <c r="F75" s="2">
        <f t="shared" ca="1" si="5"/>
        <v>-1380</v>
      </c>
      <c r="G75" s="34" t="str">
        <f>IFERROR(VLOOKUP($A75,Schedule!$A:$D,4,0),"")</f>
        <v/>
      </c>
      <c r="H75" s="34" t="str">
        <f>IFERROR(VLOOKUP(A75,Universe!B:L,10,0),"")</f>
        <v>IC</v>
      </c>
      <c r="I75" s="158">
        <f>IFERROR(VLOOKUP(A75,Schedule2!A:P,9,0),"")</f>
        <v>41499</v>
      </c>
      <c r="J75">
        <f>IFERROR(VLOOKUP(A75,Universe!B:L,11,0),"")</f>
        <v>8265.34</v>
      </c>
    </row>
    <row r="76" spans="1:10" x14ac:dyDescent="0.3">
      <c r="A76" s="156" t="s">
        <v>1376</v>
      </c>
      <c r="B76" s="2" t="s">
        <v>2805</v>
      </c>
      <c r="C76" s="2" t="str">
        <f>IFERROR(VLOOKUP(A76,Universe!B:G,6,0),"")</f>
        <v>산업재</v>
      </c>
      <c r="D76" s="158">
        <f t="shared" si="6"/>
        <v>41515</v>
      </c>
      <c r="E76" s="157" t="str">
        <f>IFERROR(VLOOKUP(A76,Schedule!A:B,2,0),"")</f>
        <v/>
      </c>
      <c r="F76" s="2">
        <f t="shared" ca="1" si="5"/>
        <v>-1352</v>
      </c>
      <c r="G76" s="34" t="str">
        <f>IFERROR(VLOOKUP($A76,Schedule!$A:$D,4,0),"")</f>
        <v/>
      </c>
      <c r="H76" s="34" t="str">
        <f>IFERROR(VLOOKUP(A76,Universe!B:L,10,0),"")</f>
        <v>IC</v>
      </c>
      <c r="I76" s="158">
        <f>IFERROR(VLOOKUP(A76,Schedule2!A:P,9,0),"")</f>
        <v>41515</v>
      </c>
      <c r="J76">
        <f>IFERROR(VLOOKUP(A76,Universe!B:L,11,0),"")</f>
        <v>7256.25</v>
      </c>
    </row>
    <row r="77" spans="1:10" x14ac:dyDescent="0.3">
      <c r="A77" s="156" t="s">
        <v>88</v>
      </c>
      <c r="B77" s="2" t="s">
        <v>1568</v>
      </c>
      <c r="C77" s="2" t="str">
        <f>IFERROR(VLOOKUP(A77,Universe!B:G,6,0),"")</f>
        <v>산업재</v>
      </c>
      <c r="D77" s="158">
        <f t="shared" si="6"/>
        <v>41481</v>
      </c>
      <c r="E77" s="157">
        <f>IFERROR(VLOOKUP(A77,Schedule!A:B,2,0),"")</f>
        <v>41481</v>
      </c>
      <c r="F77" s="2">
        <f t="shared" ca="1" si="5"/>
        <v>-1386</v>
      </c>
      <c r="G77" s="34">
        <f>IFERROR(VLOOKUP($A77,Schedule!$A:$D,4,0),"")</f>
        <v>200.65</v>
      </c>
      <c r="H77" s="34" t="str">
        <f>IFERROR(VLOOKUP(A77,Universe!B:L,10,0),"")</f>
        <v>IC</v>
      </c>
      <c r="I77" s="158">
        <f>IFERROR(VLOOKUP(A77,Schedule2!A:P,9,0),"")</f>
        <v>41481</v>
      </c>
      <c r="J77">
        <f>IFERROR(VLOOKUP(A77,Universe!B:L,11,0),"")</f>
        <v>6224.79</v>
      </c>
    </row>
    <row r="78" spans="1:10" x14ac:dyDescent="0.3">
      <c r="A78" s="156" t="s">
        <v>945</v>
      </c>
      <c r="B78" s="2" t="s">
        <v>2388</v>
      </c>
      <c r="C78" s="2" t="str">
        <f>IFERROR(VLOOKUP(A78,Universe!B:G,6,0),"")</f>
        <v>산업재</v>
      </c>
      <c r="D78" s="158">
        <f t="shared" si="6"/>
        <v>41500</v>
      </c>
      <c r="E78" s="157" t="str">
        <f>IFERROR(VLOOKUP(A78,Schedule!A:B,2,0),"")</f>
        <v/>
      </c>
      <c r="F78" s="2">
        <f t="shared" ca="1" si="5"/>
        <v>-1367</v>
      </c>
      <c r="G78" s="34" t="str">
        <f>IFERROR(VLOOKUP($A78,Schedule!$A:$D,4,0),"")</f>
        <v/>
      </c>
      <c r="H78" s="34" t="str">
        <f>IFERROR(VLOOKUP(A78,Universe!B:L,10,0),"")</f>
        <v>IC</v>
      </c>
      <c r="I78" s="158">
        <f>IFERROR(VLOOKUP(A78,Schedule2!A:P,9,0),"")</f>
        <v>41500</v>
      </c>
      <c r="J78">
        <f>IFERROR(VLOOKUP(A78,Universe!B:L,11,0),"")</f>
        <v>4832.62</v>
      </c>
    </row>
    <row r="79" spans="1:10" x14ac:dyDescent="0.3">
      <c r="A79" s="156" t="s">
        <v>799</v>
      </c>
      <c r="B79" s="2" t="s">
        <v>2249</v>
      </c>
      <c r="C79" s="2" t="str">
        <f>IFERROR(VLOOKUP(A79,Universe!B:G,6,0),"")</f>
        <v>산업재</v>
      </c>
      <c r="D79" s="158">
        <f t="shared" si="6"/>
        <v>41480</v>
      </c>
      <c r="E79" s="157">
        <f>IFERROR(VLOOKUP(A79,Schedule!A:B,2,0),"")</f>
        <v>41480</v>
      </c>
      <c r="F79" s="2">
        <f t="shared" ca="1" si="5"/>
        <v>-1387</v>
      </c>
      <c r="G79" s="34">
        <f>IFERROR(VLOOKUP($A79,Schedule!$A:$D,4,0),"")</f>
        <v>314.14999999999998</v>
      </c>
      <c r="H79" s="34" t="str">
        <f>IFERROR(VLOOKUP(A79,Universe!B:L,10,0),"")</f>
        <v>IC</v>
      </c>
      <c r="I79" s="158">
        <f>IFERROR(VLOOKUP(A79,Schedule2!A:P,9,0),"")</f>
        <v>41481</v>
      </c>
      <c r="J79">
        <f>IFERROR(VLOOKUP(A79,Universe!B:L,11,0),"")</f>
        <v>4498.95</v>
      </c>
    </row>
    <row r="80" spans="1:10" x14ac:dyDescent="0.3">
      <c r="A80" s="156" t="s">
        <v>995</v>
      </c>
      <c r="B80" s="2" t="s">
        <v>2437</v>
      </c>
      <c r="C80" s="2" t="str">
        <f>IFERROR(VLOOKUP(A80,Universe!B:G,6,0),"")</f>
        <v>산업재</v>
      </c>
      <c r="D80" s="158">
        <f t="shared" si="6"/>
        <v>41480</v>
      </c>
      <c r="E80" s="157">
        <f>IFERROR(VLOOKUP(A80,Schedule!A:B,2,0),"")</f>
        <v>41480</v>
      </c>
      <c r="F80" s="2">
        <f t="shared" ca="1" si="5"/>
        <v>-1387</v>
      </c>
      <c r="G80" s="34">
        <f>IFERROR(VLOOKUP($A80,Schedule!$A:$D,4,0),"")</f>
        <v>52.98</v>
      </c>
      <c r="H80" s="34" t="str">
        <f>IFERROR(VLOOKUP(A80,Universe!B:L,10,0),"")</f>
        <v>IC</v>
      </c>
      <c r="I80" s="158">
        <f>IFERROR(VLOOKUP(A80,Schedule2!A:P,9,0),"")</f>
        <v>41480</v>
      </c>
      <c r="J80">
        <f>IFERROR(VLOOKUP(A80,Universe!B:L,11,0),"")</f>
        <v>4025.53</v>
      </c>
    </row>
    <row r="81" spans="1:10" x14ac:dyDescent="0.3">
      <c r="A81" s="156" t="s">
        <v>61</v>
      </c>
      <c r="B81" s="2" t="s">
        <v>1542</v>
      </c>
      <c r="C81" s="2" t="str">
        <f>IFERROR(VLOOKUP(A81,Universe!B:G,6,0),"")</f>
        <v>산업재</v>
      </c>
      <c r="D81" s="158">
        <f t="shared" si="6"/>
        <v>41478</v>
      </c>
      <c r="E81" s="157">
        <f>IFERROR(VLOOKUP(A81,Schedule!A:B,2,0),"")</f>
        <v>41478</v>
      </c>
      <c r="F81" s="2">
        <f t="shared" ca="1" si="5"/>
        <v>-1389</v>
      </c>
      <c r="G81" s="34">
        <f>IFERROR(VLOOKUP($A81,Schedule!$A:$D,4,0),"")</f>
        <v>111.73</v>
      </c>
      <c r="H81" s="34" t="str">
        <f>IFERROR(VLOOKUP(A81,Universe!B:L,10,0),"")</f>
        <v>IC</v>
      </c>
      <c r="I81" s="158">
        <f>IFERROR(VLOOKUP(A81,Schedule2!A:P,9,0),"")</f>
        <v>41488</v>
      </c>
      <c r="J81">
        <f>IFERROR(VLOOKUP(A81,Universe!B:L,11,0),"")</f>
        <v>3020.64</v>
      </c>
    </row>
    <row r="82" spans="1:10" x14ac:dyDescent="0.3">
      <c r="A82" s="156" t="s">
        <v>720</v>
      </c>
      <c r="B82" s="2" t="s">
        <v>2173</v>
      </c>
      <c r="C82" s="2" t="str">
        <f>IFERROR(VLOOKUP(A82,Universe!B:G,6,0),"")</f>
        <v>산업재</v>
      </c>
      <c r="D82" s="158">
        <f t="shared" si="6"/>
        <v>41471</v>
      </c>
      <c r="E82" s="157">
        <f>IFERROR(VLOOKUP(A82,Schedule!A:B,2,0),"")</f>
        <v>41471</v>
      </c>
      <c r="F82" s="2">
        <f t="shared" ca="1" si="5"/>
        <v>-1396</v>
      </c>
      <c r="G82" s="34">
        <f>IFERROR(VLOOKUP($A82,Schedule!$A:$D,4,0),"")</f>
        <v>-88.72</v>
      </c>
      <c r="H82" s="34" t="str">
        <f>IFERROR(VLOOKUP(A82,Universe!B:L,10,0),"")</f>
        <v>IC</v>
      </c>
      <c r="I82" s="158">
        <f>IFERROR(VLOOKUP(A82,Schedule2!A:P,9,0),"")</f>
        <v>41471</v>
      </c>
      <c r="J82">
        <f>IFERROR(VLOOKUP(A82,Universe!B:L,11,0),"")</f>
        <v>2964</v>
      </c>
    </row>
    <row r="83" spans="1:10" x14ac:dyDescent="0.3">
      <c r="A83" s="156" t="s">
        <v>994</v>
      </c>
      <c r="B83" s="2" t="s">
        <v>2436</v>
      </c>
      <c r="C83" s="2" t="str">
        <f>IFERROR(VLOOKUP(A83,Universe!B:G,6,0),"")</f>
        <v>산업재</v>
      </c>
      <c r="D83" s="158">
        <f t="shared" si="6"/>
        <v>41480</v>
      </c>
      <c r="E83" s="157" t="str">
        <f>IFERROR(VLOOKUP(A83,Schedule!A:B,2,0),"")</f>
        <v/>
      </c>
      <c r="F83" s="2">
        <f t="shared" ca="1" si="5"/>
        <v>-1387</v>
      </c>
      <c r="G83" s="34" t="str">
        <f>IFERROR(VLOOKUP($A83,Schedule!$A:$D,4,0),"")</f>
        <v/>
      </c>
      <c r="H83" s="34" t="str">
        <f>IFERROR(VLOOKUP(A83,Universe!B:L,10,0),"")</f>
        <v>IC</v>
      </c>
      <c r="I83" s="158">
        <f>IFERROR(VLOOKUP(A83,Schedule2!A:P,9,0),"")</f>
        <v>41480</v>
      </c>
      <c r="J83">
        <f>IFERROR(VLOOKUP(A83,Universe!B:L,11,0),"")</f>
        <v>2946.76</v>
      </c>
    </row>
    <row r="84" spans="1:10" x14ac:dyDescent="0.3">
      <c r="A84" s="156" t="s">
        <v>59</v>
      </c>
      <c r="B84" s="2" t="s">
        <v>1540</v>
      </c>
      <c r="C84" s="2" t="str">
        <f>IFERROR(VLOOKUP(A84,Universe!B:G,6,0),"")</f>
        <v>산업재</v>
      </c>
      <c r="D84" s="158">
        <f t="shared" si="6"/>
        <v>41481</v>
      </c>
      <c r="E84" s="157">
        <f>IFERROR(VLOOKUP(A84,Schedule!A:B,2,0),"")</f>
        <v>41481</v>
      </c>
      <c r="F84" s="2">
        <f t="shared" ca="1" si="5"/>
        <v>-1386</v>
      </c>
      <c r="G84" s="34">
        <f>IFERROR(VLOOKUP($A84,Schedule!$A:$D,4,0),"")</f>
        <v>382</v>
      </c>
      <c r="H84" s="34" t="str">
        <f>IFERROR(VLOOKUP(A84,Universe!B:L,10,0),"")</f>
        <v>IC</v>
      </c>
      <c r="I84" s="158">
        <f>IFERROR(VLOOKUP(A84,Schedule2!A:P,9,0),"")</f>
        <v>41481</v>
      </c>
      <c r="J84">
        <f>IFERROR(VLOOKUP(A84,Universe!B:L,11,0),"")</f>
        <v>2683.12</v>
      </c>
    </row>
    <row r="85" spans="1:10" x14ac:dyDescent="0.3">
      <c r="A85" s="156" t="s">
        <v>464</v>
      </c>
      <c r="B85" s="2" t="s">
        <v>1928</v>
      </c>
      <c r="C85" s="2" t="str">
        <f>IFERROR(VLOOKUP(A85,Universe!B:G,6,0),"")</f>
        <v>산업재</v>
      </c>
      <c r="D85" s="158">
        <f t="shared" si="6"/>
        <v>41500</v>
      </c>
      <c r="E85" s="157" t="str">
        <f>IFERROR(VLOOKUP(A85,Schedule!A:B,2,0),"")</f>
        <v/>
      </c>
      <c r="F85" s="2">
        <f t="shared" ca="1" si="5"/>
        <v>-1367</v>
      </c>
      <c r="G85" s="34" t="str">
        <f>IFERROR(VLOOKUP($A85,Schedule!$A:$D,4,0),"")</f>
        <v/>
      </c>
      <c r="H85" s="34" t="str">
        <f>IFERROR(VLOOKUP(A85,Universe!B:L,10,0),"")</f>
        <v>IC</v>
      </c>
      <c r="I85" s="158">
        <f>IFERROR(VLOOKUP(A85,Schedule2!A:P,9,0),"")</f>
        <v>41500</v>
      </c>
      <c r="J85">
        <f>IFERROR(VLOOKUP(A85,Universe!B:L,11,0),"")</f>
        <v>2520</v>
      </c>
    </row>
    <row r="86" spans="1:10" x14ac:dyDescent="0.3">
      <c r="A86" s="156" t="s">
        <v>221</v>
      </c>
      <c r="B86" s="2" t="s">
        <v>1696</v>
      </c>
      <c r="C86" s="2" t="str">
        <f>IFERROR(VLOOKUP(A86,Universe!B:G,6,0),"")</f>
        <v>산업재</v>
      </c>
      <c r="D86" s="158">
        <f t="shared" si="6"/>
        <v>41487</v>
      </c>
      <c r="E86" s="157">
        <f>IFERROR(VLOOKUP(A86,Schedule!A:B,2,0),"")</f>
        <v>41487</v>
      </c>
      <c r="F86" s="2">
        <f t="shared" ca="1" si="5"/>
        <v>-1380</v>
      </c>
      <c r="G86" s="34" t="str">
        <f>IFERROR(VLOOKUP($A86,Schedule!$A:$D,4,0),"")</f>
        <v/>
      </c>
      <c r="H86" s="34" t="str">
        <f>IFERROR(VLOOKUP(A86,Universe!B:L,10,0),"")</f>
        <v>IC</v>
      </c>
      <c r="I86" s="158">
        <f>IFERROR(VLOOKUP(A86,Schedule2!A:P,9,0),"")</f>
        <v>41500</v>
      </c>
      <c r="J86">
        <f>IFERROR(VLOOKUP(A86,Universe!B:L,11,0),"")</f>
        <v>2240.21</v>
      </c>
    </row>
    <row r="87" spans="1:10" x14ac:dyDescent="0.3">
      <c r="A87" s="156" t="s">
        <v>344</v>
      </c>
      <c r="B87" s="2" t="s">
        <v>1814</v>
      </c>
      <c r="C87" s="2" t="str">
        <f>IFERROR(VLOOKUP(A87,Universe!B:G,6,0),"")</f>
        <v>산업재</v>
      </c>
      <c r="D87" s="158">
        <f t="shared" si="6"/>
        <v>41494</v>
      </c>
      <c r="E87" s="157">
        <f>IFERROR(VLOOKUP(A87,Schedule!A:B,2,0),"")</f>
        <v>41494</v>
      </c>
      <c r="F87" s="2">
        <f t="shared" ca="1" si="5"/>
        <v>-1373</v>
      </c>
      <c r="G87" s="34" t="str">
        <f>IFERROR(VLOOKUP($A87,Schedule!$A:$D,4,0),"")</f>
        <v/>
      </c>
      <c r="H87" s="34" t="str">
        <f>IFERROR(VLOOKUP(A87,Universe!B:L,10,0),"")</f>
        <v>IC</v>
      </c>
      <c r="I87" s="158">
        <f>IFERROR(VLOOKUP(A87,Schedule2!A:P,9,0),"")</f>
        <v>41495</v>
      </c>
      <c r="J87">
        <f>IFERROR(VLOOKUP(A87,Universe!B:L,11,0),"")</f>
        <v>2237.9</v>
      </c>
    </row>
    <row r="88" spans="1:10" x14ac:dyDescent="0.3">
      <c r="A88" s="156" t="s">
        <v>57</v>
      </c>
      <c r="B88" s="2" t="s">
        <v>1538</v>
      </c>
      <c r="C88" s="2" t="str">
        <f>IFERROR(VLOOKUP(A88,Universe!B:G,6,0),"")</f>
        <v>산업재</v>
      </c>
      <c r="D88" s="158">
        <f t="shared" si="6"/>
        <v>41487</v>
      </c>
      <c r="E88" s="157">
        <f>IFERROR(VLOOKUP(A88,Schedule!A:B,2,0),"")</f>
        <v>41487</v>
      </c>
      <c r="F88" s="2">
        <f t="shared" ca="1" si="5"/>
        <v>-1380</v>
      </c>
      <c r="G88" s="34" t="str">
        <f>IFERROR(VLOOKUP($A88,Schedule!$A:$D,4,0),"")</f>
        <v/>
      </c>
      <c r="H88" s="34" t="str">
        <f>IFERROR(VLOOKUP(A88,Universe!B:L,10,0),"")</f>
        <v>IC</v>
      </c>
      <c r="I88" s="158">
        <f>IFERROR(VLOOKUP(A88,Schedule2!A:P,9,0),"")</f>
        <v>41488</v>
      </c>
      <c r="J88">
        <f>IFERROR(VLOOKUP(A88,Universe!B:L,11,0),"")</f>
        <v>2176.3000000000002</v>
      </c>
    </row>
    <row r="89" spans="1:10" x14ac:dyDescent="0.3">
      <c r="A89" s="156" t="s">
        <v>513</v>
      </c>
      <c r="B89" s="2" t="s">
        <v>1976</v>
      </c>
      <c r="C89" s="2" t="str">
        <f>IFERROR(VLOOKUP(A89,Universe!B:G,6,0),"")</f>
        <v>산업재</v>
      </c>
      <c r="D89" s="158">
        <f t="shared" si="6"/>
        <v>41481</v>
      </c>
      <c r="E89" s="157">
        <f>IFERROR(VLOOKUP(A89,Schedule!A:B,2,0),"")</f>
        <v>41481</v>
      </c>
      <c r="F89" s="2">
        <f t="shared" ca="1" si="5"/>
        <v>-1386</v>
      </c>
      <c r="G89" s="34">
        <f>IFERROR(VLOOKUP($A89,Schedule!$A:$D,4,0),"")</f>
        <v>25.76</v>
      </c>
      <c r="H89" s="34" t="str">
        <f>IFERROR(VLOOKUP(A89,Universe!B:L,10,0),"")</f>
        <v>IC</v>
      </c>
      <c r="I89" s="158">
        <f>IFERROR(VLOOKUP(A89,Schedule2!A:P,9,0),"")</f>
        <v>41474</v>
      </c>
      <c r="J89">
        <f>IFERROR(VLOOKUP(A89,Universe!B:L,11,0),"")</f>
        <v>1884.6</v>
      </c>
    </row>
    <row r="90" spans="1:10" x14ac:dyDescent="0.3">
      <c r="A90" s="156" t="s">
        <v>946</v>
      </c>
      <c r="B90" s="2" t="s">
        <v>2389</v>
      </c>
      <c r="C90" s="2" t="str">
        <f>IFERROR(VLOOKUP(A90,Universe!B:G,6,0),"")</f>
        <v>산업재</v>
      </c>
      <c r="D90" s="158">
        <f t="shared" si="6"/>
        <v>41479</v>
      </c>
      <c r="E90" s="157">
        <f>IFERROR(VLOOKUP(A90,Schedule!A:B,2,0),"")</f>
        <v>41479</v>
      </c>
      <c r="F90" s="2">
        <f t="shared" ca="1" si="5"/>
        <v>-1388</v>
      </c>
      <c r="G90" s="34">
        <f>IFERROR(VLOOKUP($A90,Schedule!$A:$D,4,0),"")</f>
        <v>121.17</v>
      </c>
      <c r="H90" s="34" t="str">
        <f>IFERROR(VLOOKUP(A90,Universe!B:L,10,0),"")</f>
        <v>IC</v>
      </c>
      <c r="I90" s="158">
        <f>IFERROR(VLOOKUP(A90,Schedule2!A:P,9,0),"")</f>
        <v>41481</v>
      </c>
      <c r="J90">
        <f>IFERROR(VLOOKUP(A90,Universe!B:L,11,0),"")</f>
        <v>1804.64</v>
      </c>
    </row>
    <row r="91" spans="1:10" x14ac:dyDescent="0.3">
      <c r="A91" s="156" t="s">
        <v>452</v>
      </c>
      <c r="B91" s="2" t="s">
        <v>1916</v>
      </c>
      <c r="C91" s="2" t="str">
        <f>IFERROR(VLOOKUP(A91,Universe!B:G,6,0),"")</f>
        <v>산업재</v>
      </c>
      <c r="D91" s="158">
        <f t="shared" si="6"/>
        <v>41481</v>
      </c>
      <c r="E91" s="157">
        <f>IFERROR(VLOOKUP(A91,Schedule!A:B,2,0),"")</f>
        <v>41481</v>
      </c>
      <c r="F91" s="2">
        <f t="shared" ca="1" si="5"/>
        <v>-1386</v>
      </c>
      <c r="G91" s="34">
        <f>IFERROR(VLOOKUP($A91,Schedule!$A:$D,4,0),"")</f>
        <v>52.73</v>
      </c>
      <c r="H91" s="34" t="str">
        <f>IFERROR(VLOOKUP(A91,Universe!B:L,10,0),"")</f>
        <v>IC</v>
      </c>
      <c r="I91" s="158">
        <f>IFERROR(VLOOKUP(A91,Schedule2!A:P,9,0),"")</f>
        <v>41485</v>
      </c>
      <c r="J91">
        <f>IFERROR(VLOOKUP(A91,Universe!B:L,11,0),"")</f>
        <v>1719</v>
      </c>
    </row>
    <row r="92" spans="1:10" x14ac:dyDescent="0.3">
      <c r="A92" s="156" t="s">
        <v>140</v>
      </c>
      <c r="B92" s="2" t="s">
        <v>1618</v>
      </c>
      <c r="C92" s="2" t="str">
        <f>IFERROR(VLOOKUP(A92,Universe!B:G,6,0),"")</f>
        <v>산업재</v>
      </c>
      <c r="D92" s="158">
        <f t="shared" si="6"/>
        <v>41487</v>
      </c>
      <c r="E92" s="157" t="str">
        <f>IFERROR(VLOOKUP(A92,Schedule!A:B,2,0),"")</f>
        <v/>
      </c>
      <c r="F92" s="2">
        <f t="shared" ca="1" si="5"/>
        <v>-1380</v>
      </c>
      <c r="G92" s="34" t="str">
        <f>IFERROR(VLOOKUP($A92,Schedule!$A:$D,4,0),"")</f>
        <v/>
      </c>
      <c r="H92" s="34" t="str">
        <f>IFERROR(VLOOKUP(A92,Universe!B:L,10,0),"")</f>
        <v>IC</v>
      </c>
      <c r="I92" s="158">
        <f>IFERROR(VLOOKUP(A92,Schedule2!A:P,9,0),"")</f>
        <v>41487</v>
      </c>
      <c r="J92">
        <f>IFERROR(VLOOKUP(A92,Universe!B:L,11,0),"")</f>
        <v>1598.33</v>
      </c>
    </row>
    <row r="93" spans="1:10" x14ac:dyDescent="0.3">
      <c r="A93" s="4" t="s">
        <v>348</v>
      </c>
      <c r="B93" t="s">
        <v>1818</v>
      </c>
      <c r="C93" t="str">
        <f>IFERROR(VLOOKUP(A93,Universe!B:G,6,0),"")</f>
        <v>산업재</v>
      </c>
      <c r="D93" s="85">
        <f t="shared" si="6"/>
        <v>41480</v>
      </c>
      <c r="E93" s="1">
        <f>IFERROR(VLOOKUP(A93,Schedule!A:B,2,0),"")</f>
        <v>41480</v>
      </c>
      <c r="F93">
        <f t="shared" ca="1" si="5"/>
        <v>-1387</v>
      </c>
      <c r="G93" s="50">
        <f>IFERROR(VLOOKUP($A93,Schedule!$A:$D,4,0),"")</f>
        <v>-150.31</v>
      </c>
      <c r="H93" s="34" t="str">
        <f>IFERROR(VLOOKUP(A93,Universe!B:L,10,0),"")</f>
        <v>IC</v>
      </c>
      <c r="I93" s="158">
        <f>IFERROR(VLOOKUP(A93,Schedule2!A:P,9,0),"")</f>
        <v>41479</v>
      </c>
      <c r="J93">
        <f>IFERROR(VLOOKUP(A93,Universe!B:L,11,0),"")</f>
        <v>1430.55</v>
      </c>
    </row>
    <row r="94" spans="1:10" x14ac:dyDescent="0.3">
      <c r="A94" s="156" t="s">
        <v>107</v>
      </c>
      <c r="B94" s="2" t="s">
        <v>1587</v>
      </c>
      <c r="C94" s="2" t="str">
        <f>IFERROR(VLOOKUP(A94,Universe!B:G,6,0),"")</f>
        <v>산업재</v>
      </c>
      <c r="D94" s="158">
        <f t="shared" si="6"/>
        <v>41479</v>
      </c>
      <c r="E94" s="157">
        <f>IFERROR(VLOOKUP(A94,Schedule!A:B,2,0),"")</f>
        <v>41479</v>
      </c>
      <c r="F94" s="2">
        <f t="shared" ca="1" si="5"/>
        <v>-1388</v>
      </c>
      <c r="G94" s="34">
        <f>IFERROR(VLOOKUP($A94,Schedule!$A:$D,4,0),"")</f>
        <v>14.84</v>
      </c>
      <c r="H94" s="34" t="str">
        <f>IFERROR(VLOOKUP(A94,Universe!B:L,10,0),"")</f>
        <v>IC</v>
      </c>
      <c r="I94" s="158">
        <f>IFERROR(VLOOKUP(A94,Schedule2!A:P,9,0),"")</f>
        <v>41500</v>
      </c>
      <c r="J94">
        <f>IFERROR(VLOOKUP(A94,Universe!B:L,11,0),"")</f>
        <v>1234.51</v>
      </c>
    </row>
    <row r="95" spans="1:10" x14ac:dyDescent="0.3">
      <c r="A95" s="156" t="s">
        <v>630</v>
      </c>
      <c r="B95" s="2" t="s">
        <v>2088</v>
      </c>
      <c r="C95" s="2" t="str">
        <f>IFERROR(VLOOKUP(A95,Universe!B:G,6,0),"")</f>
        <v>산업재</v>
      </c>
      <c r="D95" s="158">
        <f t="shared" si="6"/>
        <v>41500</v>
      </c>
      <c r="E95" s="157" t="str">
        <f>IFERROR(VLOOKUP(A95,Schedule!A:B,2,0),"")</f>
        <v/>
      </c>
      <c r="F95" s="2">
        <f t="shared" ca="1" si="5"/>
        <v>-1367</v>
      </c>
      <c r="G95" s="34" t="str">
        <f>IFERROR(VLOOKUP($A95,Schedule!$A:$D,4,0),"")</f>
        <v/>
      </c>
      <c r="H95" s="34" t="str">
        <f>IFERROR(VLOOKUP(A95,Universe!B:L,10,0),"")</f>
        <v>IC</v>
      </c>
      <c r="I95" s="158">
        <f>IFERROR(VLOOKUP(A95,Schedule2!A:P,9,0),"")</f>
        <v>41500</v>
      </c>
      <c r="J95">
        <f>IFERROR(VLOOKUP(A95,Universe!B:L,11,0),"")</f>
        <v>1024.28</v>
      </c>
    </row>
    <row r="96" spans="1:10" x14ac:dyDescent="0.3">
      <c r="A96" s="156" t="s">
        <v>3235</v>
      </c>
      <c r="B96" s="2" t="s">
        <v>3432</v>
      </c>
      <c r="C96" s="2" t="str">
        <f>IFERROR(VLOOKUP(A96,Universe!B:G,6,0),"")</f>
        <v>산업재</v>
      </c>
      <c r="D96" s="158">
        <f t="shared" si="6"/>
        <v>41487</v>
      </c>
      <c r="E96" s="157" t="str">
        <f>IFERROR(VLOOKUP(A96,Schedule!A:B,2,0),"")</f>
        <v/>
      </c>
      <c r="F96" s="2">
        <f t="shared" ca="1" si="5"/>
        <v>-1380</v>
      </c>
      <c r="G96" s="34" t="str">
        <f>IFERROR(VLOOKUP($A96,Schedule!$A:$D,4,0),"")</f>
        <v/>
      </c>
      <c r="H96" s="34" t="str">
        <f>IFERROR(VLOOKUP(A96,Universe!B:L,10,0),"")</f>
        <v>IC</v>
      </c>
      <c r="I96" s="158">
        <f>IFERROR(VLOOKUP(A96,Schedule2!A:P,9,0),"")</f>
        <v>41487</v>
      </c>
      <c r="J96">
        <f>IFERROR(VLOOKUP(A96,Universe!B:L,11,0),"")</f>
        <v>896.25</v>
      </c>
    </row>
    <row r="97" spans="1:10" x14ac:dyDescent="0.3">
      <c r="A97" s="156" t="s">
        <v>546</v>
      </c>
      <c r="B97" s="2" t="s">
        <v>2008</v>
      </c>
      <c r="C97" s="2" t="str">
        <f>IFERROR(VLOOKUP(A97,Universe!B:G,6,0),"")</f>
        <v>산업재</v>
      </c>
      <c r="D97" s="158">
        <f t="shared" si="6"/>
        <v>41515</v>
      </c>
      <c r="E97" s="157" t="str">
        <f>IFERROR(VLOOKUP(A97,Schedule!A:B,2,0),"")</f>
        <v/>
      </c>
      <c r="F97" s="2">
        <f t="shared" ca="1" si="5"/>
        <v>-1352</v>
      </c>
      <c r="G97" s="34" t="str">
        <f>IFERROR(VLOOKUP($A97,Schedule!$A:$D,4,0),"")</f>
        <v/>
      </c>
      <c r="H97" s="34" t="str">
        <f>IFERROR(VLOOKUP(A97,Universe!B:L,10,0),"")</f>
        <v>IC</v>
      </c>
      <c r="I97" s="158">
        <f>IFERROR(VLOOKUP(A97,Schedule2!A:P,9,0),"")</f>
        <v>41515</v>
      </c>
      <c r="J97">
        <f>IFERROR(VLOOKUP(A97,Universe!B:L,11,0),"")</f>
        <v>752.18</v>
      </c>
    </row>
    <row r="98" spans="1:10" x14ac:dyDescent="0.3">
      <c r="A98" s="4" t="s">
        <v>645</v>
      </c>
      <c r="B98" t="s">
        <v>2102</v>
      </c>
      <c r="C98" t="str">
        <f>IFERROR(VLOOKUP(A98,Universe!B:G,6,0),"")</f>
        <v>산업재</v>
      </c>
      <c r="D98" s="85">
        <f t="shared" si="6"/>
        <v>41492</v>
      </c>
      <c r="E98" s="1" t="str">
        <f>IFERROR(VLOOKUP(A98,Schedule!A:B,2,0),"")</f>
        <v/>
      </c>
      <c r="F98">
        <f t="shared" ca="1" si="5"/>
        <v>-1375</v>
      </c>
      <c r="G98" s="50" t="str">
        <f>IFERROR(VLOOKUP($A98,Schedule!$A:$D,4,0),"")</f>
        <v/>
      </c>
      <c r="H98" s="34" t="str">
        <f>IFERROR(VLOOKUP(A98,Universe!B:L,10,0),"")</f>
        <v>IP</v>
      </c>
      <c r="I98" s="158">
        <f>IFERROR(VLOOKUP(A98,Schedule2!A:P,9,0),"")</f>
        <v>41492</v>
      </c>
      <c r="J98">
        <f>IFERROR(VLOOKUP(A98,Universe!B:L,11,0),"")</f>
        <v>568.75</v>
      </c>
    </row>
    <row r="99" spans="1:10" x14ac:dyDescent="0.3">
      <c r="A99" s="156" t="s">
        <v>308</v>
      </c>
      <c r="B99" s="2" t="s">
        <v>1779</v>
      </c>
      <c r="C99" s="2" t="str">
        <f>IFERROR(VLOOKUP(A99,Universe!B:G,6,0),"")</f>
        <v>소재</v>
      </c>
      <c r="D99" s="158">
        <f t="shared" si="6"/>
        <v>41480</v>
      </c>
      <c r="E99" s="157">
        <f>IFERROR(VLOOKUP(A99,Schedule!A:B,2,0),"")</f>
        <v>41480</v>
      </c>
      <c r="F99" s="2">
        <f t="shared" ca="1" si="5"/>
        <v>-1387</v>
      </c>
      <c r="G99" s="34">
        <f>IFERROR(VLOOKUP($A99,Schedule!$A:$D,4,0),"")</f>
        <v>902.59</v>
      </c>
      <c r="H99" s="34" t="str">
        <f>IFERROR(VLOOKUP(A99,Universe!B:L,10,0),"")</f>
        <v>IC</v>
      </c>
      <c r="I99" s="158">
        <f>IFERROR(VLOOKUP(A99,Schedule2!A:P,9,0),"")</f>
        <v>41479</v>
      </c>
      <c r="J99">
        <f>IFERROR(VLOOKUP(A99,Universe!B:L,11,0),"")</f>
        <v>26025.27</v>
      </c>
    </row>
    <row r="100" spans="1:10" x14ac:dyDescent="0.3">
      <c r="A100" s="156" t="s">
        <v>1048</v>
      </c>
      <c r="B100" s="2" t="s">
        <v>2488</v>
      </c>
      <c r="C100" s="2" t="str">
        <f>IFERROR(VLOOKUP(A100,Universe!B:G,6,0),"")</f>
        <v>소재</v>
      </c>
      <c r="D100" s="158">
        <f t="shared" si="6"/>
        <v>41477</v>
      </c>
      <c r="E100" s="157">
        <f>IFERROR(VLOOKUP(A100,Schedule!A:B,2,0),"")</f>
        <v>41477</v>
      </c>
      <c r="F100" s="2">
        <f t="shared" ca="1" si="5"/>
        <v>-1390</v>
      </c>
      <c r="G100" s="34">
        <f>IFERROR(VLOOKUP($A100,Schedule!$A:$D,4,0),"")</f>
        <v>501.52</v>
      </c>
      <c r="H100" s="34" t="str">
        <f>IFERROR(VLOOKUP(A100,Universe!B:L,10,0),"")</f>
        <v>IC</v>
      </c>
      <c r="I100" s="158">
        <f>IFERROR(VLOOKUP(A100,Schedule2!A:P,9,0),"")</f>
        <v>41477</v>
      </c>
      <c r="J100">
        <f>IFERROR(VLOOKUP(A100,Universe!B:L,11,0),"")</f>
        <v>16766.59</v>
      </c>
    </row>
    <row r="101" spans="1:10" x14ac:dyDescent="0.3">
      <c r="A101" s="156" t="s">
        <v>246</v>
      </c>
      <c r="B101" s="2" t="s">
        <v>1720</v>
      </c>
      <c r="C101" s="2" t="str">
        <f>IFERROR(VLOOKUP(A101,Universe!B:G,6,0),"")</f>
        <v>소재</v>
      </c>
      <c r="D101" s="158">
        <f t="shared" si="6"/>
        <v>41481</v>
      </c>
      <c r="E101" s="157">
        <f>IFERROR(VLOOKUP(A101,Schedule!A:B,2,0),"")</f>
        <v>41481</v>
      </c>
      <c r="F101" s="2">
        <f t="shared" ca="1" si="5"/>
        <v>-1386</v>
      </c>
      <c r="G101" s="34">
        <f>IFERROR(VLOOKUP($A101,Schedule!$A:$D,4,0),"")</f>
        <v>196.6</v>
      </c>
      <c r="H101" s="34" t="str">
        <f>IFERROR(VLOOKUP(A101,Universe!B:L,10,0),"")</f>
        <v>IC</v>
      </c>
      <c r="I101" s="158">
        <f>IFERROR(VLOOKUP(A101,Schedule2!A:P,9,0),"")</f>
        <v>41481</v>
      </c>
      <c r="J101">
        <f>IFERROR(VLOOKUP(A101,Universe!B:L,11,0),"")</f>
        <v>5477.19</v>
      </c>
    </row>
    <row r="102" spans="1:10" x14ac:dyDescent="0.3">
      <c r="A102" s="156" t="s">
        <v>453</v>
      </c>
      <c r="B102" s="2" t="s">
        <v>1917</v>
      </c>
      <c r="C102" s="2" t="str">
        <f>IFERROR(VLOOKUP(A102,Universe!B:G,6,0),"")</f>
        <v>소재</v>
      </c>
      <c r="D102" s="158">
        <f t="shared" si="6"/>
        <v>41480</v>
      </c>
      <c r="E102" s="157">
        <f>IFERROR(VLOOKUP(A102,Schedule!A:B,2,0),"")</f>
        <v>41480</v>
      </c>
      <c r="F102" s="2">
        <f t="shared" ref="F102:F131" ca="1" si="7">IFERROR(D102-$G$2,"")</f>
        <v>-1387</v>
      </c>
      <c r="G102" s="34">
        <f>IFERROR(VLOOKUP($A102,Schedule!$A:$D,4,0),"")</f>
        <v>138.9</v>
      </c>
      <c r="H102" s="34" t="str">
        <f>IFERROR(VLOOKUP(A102,Universe!B:L,10,0),"")</f>
        <v>IC</v>
      </c>
      <c r="I102" s="158">
        <f>IFERROR(VLOOKUP(A102,Schedule2!A:P,9,0),"")</f>
        <v>41485</v>
      </c>
      <c r="J102">
        <f>IFERROR(VLOOKUP(A102,Universe!B:L,11,0),"")</f>
        <v>5226.99</v>
      </c>
    </row>
    <row r="103" spans="1:10" x14ac:dyDescent="0.3">
      <c r="A103" s="156" t="s">
        <v>481</v>
      </c>
      <c r="B103" s="2" t="s">
        <v>3594</v>
      </c>
      <c r="C103" s="2" t="str">
        <f>IFERROR(VLOOKUP(A103,Universe!B:G,6,0),"")</f>
        <v>소재</v>
      </c>
      <c r="D103" s="158">
        <f t="shared" si="6"/>
        <v>41481</v>
      </c>
      <c r="E103" s="157">
        <f>IFERROR(VLOOKUP(A103,Schedule!A:B,2,0),"")</f>
        <v>41481</v>
      </c>
      <c r="F103" s="2">
        <f t="shared" ca="1" si="7"/>
        <v>-1386</v>
      </c>
      <c r="G103" s="34">
        <f>IFERROR(VLOOKUP($A103,Schedule!$A:$D,4,0),"")</f>
        <v>69.58</v>
      </c>
      <c r="H103" s="34" t="str">
        <f>IFERROR(VLOOKUP(A103,Universe!B:L,10,0),"")</f>
        <v>IC</v>
      </c>
      <c r="I103" s="158">
        <f>IFERROR(VLOOKUP(A103,Schedule2!A:P,9,0),"")</f>
        <v>41478</v>
      </c>
      <c r="J103">
        <f>IFERROR(VLOOKUP(A103,Universe!B:L,11,0),"")</f>
        <v>4901.38</v>
      </c>
    </row>
    <row r="104" spans="1:10" x14ac:dyDescent="0.3">
      <c r="A104" s="156" t="s">
        <v>117</v>
      </c>
      <c r="B104" s="2" t="s">
        <v>1597</v>
      </c>
      <c r="C104" s="2" t="str">
        <f>IFERROR(VLOOKUP(A104,Universe!B:G,6,0),"")</f>
        <v>소재</v>
      </c>
      <c r="D104" s="158">
        <f t="shared" si="6"/>
        <v>41485</v>
      </c>
      <c r="E104" s="157">
        <f>IFERROR(VLOOKUP(A104,Schedule!A:B,2,0),"")</f>
        <v>41485</v>
      </c>
      <c r="F104" s="2">
        <f t="shared" ca="1" si="7"/>
        <v>-1382</v>
      </c>
      <c r="G104" s="34">
        <f>IFERROR(VLOOKUP($A104,Schedule!$A:$D,4,0),"")</f>
        <v>72.73</v>
      </c>
      <c r="H104" s="34" t="str">
        <f>IFERROR(VLOOKUP(A104,Universe!B:L,10,0),"")</f>
        <v>IC</v>
      </c>
      <c r="I104" s="158">
        <f>IFERROR(VLOOKUP(A104,Schedule2!A:P,9,0),"")</f>
        <v>41486</v>
      </c>
      <c r="J104">
        <f>IFERROR(VLOOKUP(A104,Universe!B:L,11,0),"")</f>
        <v>4698.41</v>
      </c>
    </row>
    <row r="105" spans="1:10" x14ac:dyDescent="0.3">
      <c r="A105" s="156" t="s">
        <v>450</v>
      </c>
      <c r="B105" s="2" t="s">
        <v>1914</v>
      </c>
      <c r="C105" s="2" t="str">
        <f>IFERROR(VLOOKUP(A105,Universe!B:G,6,0),"")</f>
        <v>소재</v>
      </c>
      <c r="D105" s="158">
        <f t="shared" si="6"/>
        <v>41479</v>
      </c>
      <c r="E105" s="157">
        <f>IFERROR(VLOOKUP(A105,Schedule!A:B,2,0),"")</f>
        <v>41479</v>
      </c>
      <c r="F105" s="2">
        <f t="shared" ca="1" si="7"/>
        <v>-1388</v>
      </c>
      <c r="G105" s="34">
        <f>IFERROR(VLOOKUP($A105,Schedule!$A:$D,4,0),"")</f>
        <v>17.72</v>
      </c>
      <c r="H105" s="34" t="str">
        <f>IFERROR(VLOOKUP(A105,Universe!B:L,10,0),"")</f>
        <v>IC</v>
      </c>
      <c r="I105" s="158">
        <f>IFERROR(VLOOKUP(A105,Schedule2!A:P,9,0),"")</f>
        <v>41479</v>
      </c>
      <c r="J105">
        <f>IFERROR(VLOOKUP(A105,Universe!B:L,11,0),"")</f>
        <v>3195.82</v>
      </c>
    </row>
    <row r="106" spans="1:10" x14ac:dyDescent="0.3">
      <c r="A106" s="156" t="s">
        <v>461</v>
      </c>
      <c r="B106" s="2" t="s">
        <v>1925</v>
      </c>
      <c r="C106" s="2" t="str">
        <f>IFERROR(VLOOKUP(A106,Universe!B:G,6,0),"")</f>
        <v>소재</v>
      </c>
      <c r="D106" s="158">
        <f t="shared" si="6"/>
        <v>41479</v>
      </c>
      <c r="E106" s="157" t="str">
        <f>IFERROR(VLOOKUP(A106,Schedule!A:B,2,0),"")</f>
        <v/>
      </c>
      <c r="F106" s="2">
        <f t="shared" ca="1" si="7"/>
        <v>-1388</v>
      </c>
      <c r="G106" s="34" t="str">
        <f>IFERROR(VLOOKUP($A106,Schedule!$A:$D,4,0),"")</f>
        <v/>
      </c>
      <c r="H106" s="34" t="str">
        <f>IFERROR(VLOOKUP(A106,Universe!B:L,10,0),"")</f>
        <v>IC</v>
      </c>
      <c r="I106" s="158">
        <f>IFERROR(VLOOKUP(A106,Schedule2!A:P,9,0),"")</f>
        <v>41479</v>
      </c>
      <c r="J106">
        <f>IFERROR(VLOOKUP(A106,Universe!B:L,11,0),"")</f>
        <v>2746.85</v>
      </c>
    </row>
    <row r="107" spans="1:10" x14ac:dyDescent="0.3">
      <c r="A107" s="156" t="s">
        <v>497</v>
      </c>
      <c r="B107" s="2" t="s">
        <v>1959</v>
      </c>
      <c r="C107" s="2" t="str">
        <f>IFERROR(VLOOKUP(A107,Universe!B:G,6,0),"")</f>
        <v>소재</v>
      </c>
      <c r="D107" s="158">
        <f t="shared" ref="D107:D131" si="8">IFERROR(IF(ISNUMBER(E107),E107,I107),"")</f>
        <v>41473</v>
      </c>
      <c r="E107" s="157">
        <f>IFERROR(VLOOKUP(A107,Schedule!A:B,2,0),"")</f>
        <v>41473</v>
      </c>
      <c r="F107" s="2">
        <f t="shared" ca="1" si="7"/>
        <v>-1394</v>
      </c>
      <c r="G107" s="34">
        <f>IFERROR(VLOOKUP($A107,Schedule!$A:$D,4,0),"")</f>
        <v>76.72</v>
      </c>
      <c r="H107" s="34" t="str">
        <f>IFERROR(VLOOKUP(A107,Universe!B:L,10,0),"")</f>
        <v>IC</v>
      </c>
      <c r="I107" s="158">
        <f>IFERROR(VLOOKUP(A107,Schedule2!A:P,9,0),"")</f>
        <v>41473</v>
      </c>
      <c r="J107">
        <f>IFERROR(VLOOKUP(A107,Universe!B:L,11,0),"")</f>
        <v>2519.6799999999998</v>
      </c>
    </row>
    <row r="108" spans="1:10" x14ac:dyDescent="0.3">
      <c r="A108" s="156" t="s">
        <v>446</v>
      </c>
      <c r="B108" s="2" t="s">
        <v>1910</v>
      </c>
      <c r="C108" s="2" t="str">
        <f>IFERROR(VLOOKUP(A108,Universe!B:G,6,0),"")</f>
        <v>소재</v>
      </c>
      <c r="D108" s="158">
        <f t="shared" si="8"/>
        <v>41500</v>
      </c>
      <c r="E108" s="157" t="str">
        <f>IFERROR(VLOOKUP(A108,Schedule!A:B,2,0),"")</f>
        <v/>
      </c>
      <c r="F108" s="2">
        <f t="shared" ca="1" si="7"/>
        <v>-1367</v>
      </c>
      <c r="G108" s="34" t="str">
        <f>IFERROR(VLOOKUP($A108,Schedule!$A:$D,4,0),"")</f>
        <v/>
      </c>
      <c r="H108" s="34" t="str">
        <f>IFERROR(VLOOKUP(A108,Universe!B:L,10,0),"")</f>
        <v>IC</v>
      </c>
      <c r="I108" s="158">
        <f>IFERROR(VLOOKUP(A108,Schedule2!A:P,9,0),"")</f>
        <v>41500</v>
      </c>
      <c r="J108">
        <f>IFERROR(VLOOKUP(A108,Universe!B:L,11,0),"")</f>
        <v>2342.73</v>
      </c>
    </row>
    <row r="109" spans="1:10" x14ac:dyDescent="0.3">
      <c r="A109" s="156" t="s">
        <v>3243</v>
      </c>
      <c r="B109" s="2" t="s">
        <v>3440</v>
      </c>
      <c r="C109" s="2" t="str">
        <f>IFERROR(VLOOKUP(A109,Universe!B:G,6,0),"")</f>
        <v>소재</v>
      </c>
      <c r="D109" s="158">
        <f t="shared" si="8"/>
        <v>41500</v>
      </c>
      <c r="E109" s="157" t="str">
        <f>IFERROR(VLOOKUP(A109,Schedule!A:B,2,0),"")</f>
        <v/>
      </c>
      <c r="F109" s="2">
        <f t="shared" ca="1" si="7"/>
        <v>-1367</v>
      </c>
      <c r="G109" s="34" t="str">
        <f>IFERROR(VLOOKUP($A109,Schedule!$A:$D,4,0),"")</f>
        <v/>
      </c>
      <c r="H109" s="34" t="str">
        <f>IFERROR(VLOOKUP(A109,Universe!B:L,10,0),"")</f>
        <v>IC</v>
      </c>
      <c r="I109" s="158">
        <f>IFERROR(VLOOKUP(A109,Schedule2!A:P,9,0),"")</f>
        <v>41500</v>
      </c>
      <c r="J109">
        <f>IFERROR(VLOOKUP(A109,Universe!B:L,11,0),"")</f>
        <v>1212.7</v>
      </c>
    </row>
    <row r="110" spans="1:10" x14ac:dyDescent="0.3">
      <c r="A110" s="156" t="s">
        <v>123</v>
      </c>
      <c r="B110" s="2" t="s">
        <v>1603</v>
      </c>
      <c r="C110" s="2" t="str">
        <f>IFERROR(VLOOKUP(A110,Universe!B:G,6,0),"")</f>
        <v>소재</v>
      </c>
      <c r="D110" s="158">
        <f t="shared" si="8"/>
        <v>41481</v>
      </c>
      <c r="E110" s="157" t="str">
        <f>IFERROR(VLOOKUP(A110,Schedule!A:B,2,0),"")</f>
        <v/>
      </c>
      <c r="F110" s="2">
        <f t="shared" ca="1" si="7"/>
        <v>-1386</v>
      </c>
      <c r="G110" s="34" t="str">
        <f>IFERROR(VLOOKUP($A110,Schedule!$A:$D,4,0),"")</f>
        <v/>
      </c>
      <c r="H110" s="34" t="str">
        <f>IFERROR(VLOOKUP(A110,Universe!B:L,10,0),"")</f>
        <v>IP</v>
      </c>
      <c r="I110" s="158">
        <f>IFERROR(VLOOKUP(A110,Schedule2!A:P,9,0),"")</f>
        <v>41481</v>
      </c>
      <c r="J110">
        <f>IFERROR(VLOOKUP(A110,Universe!B:L,11,0),"")</f>
        <v>1115.31</v>
      </c>
    </row>
    <row r="111" spans="1:10" x14ac:dyDescent="0.3">
      <c r="A111" s="156" t="s">
        <v>498</v>
      </c>
      <c r="B111" s="2" t="s">
        <v>1960</v>
      </c>
      <c r="C111" s="2" t="str">
        <f>IFERROR(VLOOKUP(A111,Universe!B:G,6,0),"")</f>
        <v>소재</v>
      </c>
      <c r="D111" s="158">
        <f t="shared" si="8"/>
        <v>41494</v>
      </c>
      <c r="E111" s="157">
        <f>IFERROR(VLOOKUP(A111,Schedule!A:B,2,0),"")</f>
        <v>41494</v>
      </c>
      <c r="F111" s="2">
        <f t="shared" ca="1" si="7"/>
        <v>-1373</v>
      </c>
      <c r="G111" s="34" t="str">
        <f>IFERROR(VLOOKUP($A111,Schedule!$A:$D,4,0),"")</f>
        <v/>
      </c>
      <c r="H111" s="34" t="str">
        <f>IFERROR(VLOOKUP(A111,Universe!B:L,10,0),"")</f>
        <v>IC</v>
      </c>
      <c r="I111" s="158">
        <f>IFERROR(VLOOKUP(A111,Schedule2!A:P,9,0),"")</f>
        <v>41495</v>
      </c>
      <c r="J111">
        <f>IFERROR(VLOOKUP(A111,Universe!B:L,11,0),"")</f>
        <v>1010.4</v>
      </c>
    </row>
    <row r="112" spans="1:10" x14ac:dyDescent="0.3">
      <c r="A112" s="156" t="s">
        <v>112</v>
      </c>
      <c r="B112" s="2" t="s">
        <v>1592</v>
      </c>
      <c r="C112" s="2" t="str">
        <f>IFERROR(VLOOKUP(A112,Universe!B:G,6,0),"")</f>
        <v>소재</v>
      </c>
      <c r="D112" s="158">
        <f t="shared" si="8"/>
        <v>41500</v>
      </c>
      <c r="E112" s="157" t="str">
        <f>IFERROR(VLOOKUP(A112,Schedule!A:B,2,0),"")</f>
        <v/>
      </c>
      <c r="F112" s="2">
        <f t="shared" ca="1" si="7"/>
        <v>-1367</v>
      </c>
      <c r="G112" s="34" t="str">
        <f>IFERROR(VLOOKUP($A112,Schedule!$A:$D,4,0),"")</f>
        <v/>
      </c>
      <c r="H112" s="34" t="str">
        <f>IFERROR(VLOOKUP(A112,Universe!B:L,10,0),"")</f>
        <v>IC</v>
      </c>
      <c r="I112" s="158">
        <f>IFERROR(VLOOKUP(A112,Schedule2!A:P,9,0),"")</f>
        <v>41500</v>
      </c>
      <c r="J112">
        <f>IFERROR(VLOOKUP(A112,Universe!B:L,11,0),"")</f>
        <v>670.79</v>
      </c>
    </row>
    <row r="113" spans="1:10" x14ac:dyDescent="0.3">
      <c r="A113" s="156" t="s">
        <v>1503</v>
      </c>
      <c r="B113" s="2" t="s">
        <v>2928</v>
      </c>
      <c r="C113" s="2" t="str">
        <f>IFERROR(VLOOKUP(A113,Universe!B:G,6,0),"")</f>
        <v>소재</v>
      </c>
      <c r="D113" s="158">
        <f t="shared" si="8"/>
        <v>41485</v>
      </c>
      <c r="E113" s="157">
        <f>IFERROR(VLOOKUP(A113,Schedule!A:B,2,0),"")</f>
        <v>41485</v>
      </c>
      <c r="F113" s="2">
        <f t="shared" ca="1" si="7"/>
        <v>-1382</v>
      </c>
      <c r="G113" s="34">
        <f>IFERROR(VLOOKUP($A113,Schedule!$A:$D,4,0),"")</f>
        <v>21.86</v>
      </c>
      <c r="H113" s="34" t="str">
        <f>IFERROR(VLOOKUP(A113,Universe!B:L,10,0),"")</f>
        <v>IC</v>
      </c>
      <c r="I113" s="158">
        <f>IFERROR(VLOOKUP(A113,Schedule2!A:P,9,0),"")</f>
        <v>41485</v>
      </c>
      <c r="J113">
        <f>IFERROR(VLOOKUP(A113,Universe!B:L,11,0),"")</f>
        <v>643.16</v>
      </c>
    </row>
    <row r="114" spans="1:10" x14ac:dyDescent="0.3">
      <c r="A114" s="156" t="s">
        <v>1464</v>
      </c>
      <c r="B114" s="2" t="s">
        <v>2891</v>
      </c>
      <c r="C114" s="2" t="str">
        <f>IFERROR(VLOOKUP(A114,Universe!B:G,6,0),"")</f>
        <v>에너지</v>
      </c>
      <c r="D114" s="158">
        <f t="shared" si="8"/>
        <v>41481</v>
      </c>
      <c r="E114" s="157">
        <f>IFERROR(VLOOKUP(A114,Schedule!A:B,2,0),"")</f>
        <v>41481</v>
      </c>
      <c r="F114" s="2">
        <f t="shared" ca="1" si="7"/>
        <v>-1386</v>
      </c>
      <c r="G114" s="34">
        <f>IFERROR(VLOOKUP($A114,Schedule!$A:$D,4,0),"")</f>
        <v>395.46</v>
      </c>
      <c r="H114" s="34" t="str">
        <f>IFERROR(VLOOKUP(A114,Universe!B:L,10,0),"")</f>
        <v>IC</v>
      </c>
      <c r="I114" s="158">
        <f>IFERROR(VLOOKUP(A114,Schedule2!A:P,9,0),"")</f>
        <v>41481</v>
      </c>
      <c r="J114">
        <f>IFERROR(VLOOKUP(A114,Universe!B:L,11,0),"")</f>
        <v>12529.08</v>
      </c>
    </row>
    <row r="115" spans="1:10" x14ac:dyDescent="0.3">
      <c r="A115" s="156" t="s">
        <v>472</v>
      </c>
      <c r="B115" s="2" t="s">
        <v>1936</v>
      </c>
      <c r="C115" s="2" t="str">
        <f>IFERROR(VLOOKUP(A115,Universe!B:G,6,0),"")</f>
        <v>에너지</v>
      </c>
      <c r="D115" s="158">
        <f t="shared" si="8"/>
        <v>41480</v>
      </c>
      <c r="E115" s="157">
        <f>IFERROR(VLOOKUP(A115,Schedule!A:B,2,0),"")</f>
        <v>41480</v>
      </c>
      <c r="F115" s="2">
        <f t="shared" ca="1" si="7"/>
        <v>-1387</v>
      </c>
      <c r="G115" s="34">
        <f>IFERROR(VLOOKUP($A115,Schedule!$A:$D,4,0),"")</f>
        <v>99.58</v>
      </c>
      <c r="H115" s="34" t="str">
        <f>IFERROR(VLOOKUP(A115,Universe!B:L,10,0),"")</f>
        <v>IC</v>
      </c>
      <c r="I115" s="158">
        <f>IFERROR(VLOOKUP(A115,Schedule2!A:P,9,0),"")</f>
        <v>41481</v>
      </c>
      <c r="J115">
        <f>IFERROR(VLOOKUP(A115,Universe!B:L,11,0),"")</f>
        <v>8241.06</v>
      </c>
    </row>
    <row r="116" spans="1:10" x14ac:dyDescent="0.3">
      <c r="A116" s="156" t="s">
        <v>229</v>
      </c>
      <c r="B116" s="2" t="s">
        <v>1703</v>
      </c>
      <c r="C116" s="2" t="str">
        <f>IFERROR(VLOOKUP(A116,Universe!B:G,6,0),"")</f>
        <v>에너지</v>
      </c>
      <c r="D116" s="158">
        <f t="shared" si="8"/>
        <v>41481</v>
      </c>
      <c r="E116" s="157" t="str">
        <f>IFERROR(VLOOKUP(A116,Schedule!A:B,2,0),"")</f>
        <v/>
      </c>
      <c r="F116" s="2">
        <f t="shared" ca="1" si="7"/>
        <v>-1386</v>
      </c>
      <c r="G116" s="34" t="str">
        <f>IFERROR(VLOOKUP($A116,Schedule!$A:$D,4,0),"")</f>
        <v/>
      </c>
      <c r="H116" s="34" t="str">
        <f>IFERROR(VLOOKUP(A116,Universe!B:L,10,0),"")</f>
        <v>IC</v>
      </c>
      <c r="I116" s="158">
        <f>IFERROR(VLOOKUP(A116,Schedule2!A:P,9,0),"")</f>
        <v>41481</v>
      </c>
      <c r="J116">
        <f>IFERROR(VLOOKUP(A116,Universe!B:L,11,0),"")</f>
        <v>7960.03</v>
      </c>
    </row>
    <row r="117" spans="1:10" x14ac:dyDescent="0.3">
      <c r="A117" s="156" t="s">
        <v>1311</v>
      </c>
      <c r="B117" s="2" t="s">
        <v>2742</v>
      </c>
      <c r="C117" s="2" t="str">
        <f>IFERROR(VLOOKUP(A117,Universe!B:G,6,0),"")</f>
        <v>에너지</v>
      </c>
      <c r="D117" s="158">
        <f t="shared" si="8"/>
        <v>41500</v>
      </c>
      <c r="E117" s="157" t="str">
        <f>IFERROR(VLOOKUP(A117,Schedule!A:B,2,0),"")</f>
        <v/>
      </c>
      <c r="F117" s="2">
        <f t="shared" ca="1" si="7"/>
        <v>-1367</v>
      </c>
      <c r="G117" s="34" t="str">
        <f>IFERROR(VLOOKUP($A117,Schedule!$A:$D,4,0),"")</f>
        <v/>
      </c>
      <c r="H117" s="34" t="str">
        <f>IFERROR(VLOOKUP(A117,Universe!B:L,10,0),"")</f>
        <v>IC</v>
      </c>
      <c r="I117" s="158">
        <f>IFERROR(VLOOKUP(A117,Schedule2!A:P,9,0),"")</f>
        <v>41500</v>
      </c>
      <c r="J117">
        <f>IFERROR(VLOOKUP(A117,Universe!B:L,11,0),"")</f>
        <v>4775.8500000000004</v>
      </c>
    </row>
    <row r="118" spans="1:10" x14ac:dyDescent="0.3">
      <c r="A118" s="156" t="s">
        <v>564</v>
      </c>
      <c r="B118" s="2" t="s">
        <v>2025</v>
      </c>
      <c r="C118" s="2" t="str">
        <f>IFERROR(VLOOKUP(A118,Universe!B:G,6,0),"")</f>
        <v>유틸리티</v>
      </c>
      <c r="D118" s="158">
        <f t="shared" si="8"/>
        <v>41481</v>
      </c>
      <c r="E118" s="157" t="str">
        <f>IFERROR(VLOOKUP(A118,Schedule!A:B,2,0),"")</f>
        <v/>
      </c>
      <c r="F118" s="2">
        <f t="shared" ca="1" si="7"/>
        <v>-1386</v>
      </c>
      <c r="G118" s="34" t="str">
        <f>IFERROR(VLOOKUP($A118,Schedule!$A:$D,4,0),"")</f>
        <v/>
      </c>
      <c r="H118" s="34" t="str">
        <f>IFERROR(VLOOKUP(A118,Universe!B:L,10,0),"")</f>
        <v>IC</v>
      </c>
      <c r="I118" s="158">
        <f>IFERROR(VLOOKUP(A118,Schedule2!A:P,9,0),"")</f>
        <v>41481</v>
      </c>
      <c r="J118">
        <f>IFERROR(VLOOKUP(A118,Universe!B:L,11,0),"")</f>
        <v>17012.05</v>
      </c>
    </row>
    <row r="119" spans="1:10" x14ac:dyDescent="0.3">
      <c r="A119" s="156" t="s">
        <v>843</v>
      </c>
      <c r="B119" s="2" t="s">
        <v>2291</v>
      </c>
      <c r="C119" s="2" t="str">
        <f>IFERROR(VLOOKUP(A119,Universe!B:G,6,0),"")</f>
        <v>유틸리티</v>
      </c>
      <c r="D119" s="158">
        <f t="shared" si="8"/>
        <v>41500</v>
      </c>
      <c r="E119" s="157" t="str">
        <f>IFERROR(VLOOKUP(A119,Schedule!A:B,2,0),"")</f>
        <v/>
      </c>
      <c r="F119" s="2">
        <f t="shared" ca="1" si="7"/>
        <v>-1367</v>
      </c>
      <c r="G119" s="34" t="str">
        <f>IFERROR(VLOOKUP($A119,Schedule!$A:$D,4,0),"")</f>
        <v/>
      </c>
      <c r="H119" s="34" t="str">
        <f>IFERROR(VLOOKUP(A119,Universe!B:L,10,0),"")</f>
        <v>IC</v>
      </c>
      <c r="I119" s="158">
        <f>IFERROR(VLOOKUP(A119,Schedule2!A:P,9,0),"")</f>
        <v>41500</v>
      </c>
      <c r="J119">
        <f>IFERROR(VLOOKUP(A119,Universe!B:L,11,0),"")</f>
        <v>4080.62</v>
      </c>
    </row>
    <row r="120" spans="1:10" x14ac:dyDescent="0.3">
      <c r="A120" s="156" t="s">
        <v>3153</v>
      </c>
      <c r="B120" s="2" t="s">
        <v>3355</v>
      </c>
      <c r="C120" s="2" t="str">
        <f>IFERROR(VLOOKUP(A120,Universe!B:G,6,0),"")</f>
        <v>유틸리티</v>
      </c>
      <c r="D120" s="158">
        <f t="shared" si="8"/>
        <v>41479</v>
      </c>
      <c r="E120" s="157">
        <f>IFERROR(VLOOKUP(A120,Schedule!A:B,2,0),"")</f>
        <v>41479</v>
      </c>
      <c r="F120" s="2">
        <f t="shared" ca="1" si="7"/>
        <v>-1388</v>
      </c>
      <c r="G120" s="34">
        <f>IFERROR(VLOOKUP($A120,Schedule!$A:$D,4,0),"")</f>
        <v>14.6</v>
      </c>
      <c r="H120" s="34" t="str">
        <f>IFERROR(VLOOKUP(A120,Universe!B:L,10,0),"")</f>
        <v>IP</v>
      </c>
      <c r="I120" s="158">
        <f>IFERROR(VLOOKUP(A120,Schedule2!A:P,9,0),"")</f>
        <v>41480</v>
      </c>
      <c r="J120">
        <f>IFERROR(VLOOKUP(A120,Universe!B:L,11,0),"")</f>
        <v>2663.93</v>
      </c>
    </row>
    <row r="121" spans="1:10" x14ac:dyDescent="0.3">
      <c r="A121" s="156" t="s">
        <v>1044</v>
      </c>
      <c r="B121" s="2" t="s">
        <v>2484</v>
      </c>
      <c r="C121" s="2" t="str">
        <f>IFERROR(VLOOKUP(A121,Universe!B:G,6,0),"")</f>
        <v>유틸리티</v>
      </c>
      <c r="D121" s="158">
        <f t="shared" si="8"/>
        <v>41485</v>
      </c>
      <c r="E121" s="157" t="str">
        <f>IFERROR(VLOOKUP(A121,Schedule!A:B,2,0),"")</f>
        <v/>
      </c>
      <c r="F121" s="2">
        <f t="shared" ca="1" si="7"/>
        <v>-1382</v>
      </c>
      <c r="G121" s="34" t="str">
        <f>IFERROR(VLOOKUP($A121,Schedule!$A:$D,4,0),"")</f>
        <v/>
      </c>
      <c r="H121" s="34" t="str">
        <f>IFERROR(VLOOKUP(A121,Universe!B:L,10,0),"")</f>
        <v>IP</v>
      </c>
      <c r="I121" s="158">
        <f>IFERROR(VLOOKUP(A121,Schedule2!A:P,9,0),"")</f>
        <v>41485</v>
      </c>
      <c r="J121">
        <f>IFERROR(VLOOKUP(A121,Universe!B:L,11,0),"")</f>
        <v>2349</v>
      </c>
    </row>
    <row r="122" spans="1:10" x14ac:dyDescent="0.3">
      <c r="A122" s="156" t="s">
        <v>594</v>
      </c>
      <c r="B122" s="2" t="s">
        <v>2053</v>
      </c>
      <c r="C122" s="2" t="str">
        <f>IFERROR(VLOOKUP(A122,Universe!B:G,6,0),"")</f>
        <v>전기통신서비스</v>
      </c>
      <c r="D122" s="158">
        <f t="shared" si="8"/>
        <v>41485</v>
      </c>
      <c r="E122" s="157">
        <f>IFERROR(VLOOKUP(A122,Schedule!A:B,2,0),"")</f>
        <v>41485</v>
      </c>
      <c r="F122" s="2">
        <f t="shared" ca="1" si="7"/>
        <v>-1382</v>
      </c>
      <c r="G122" s="34">
        <f>IFERROR(VLOOKUP($A122,Schedule!$A:$D,4,0),"")</f>
        <v>553.45000000000005</v>
      </c>
      <c r="H122" s="34" t="str">
        <f>IFERROR(VLOOKUP(A122,Universe!B:L,10,0),"")</f>
        <v>IC</v>
      </c>
      <c r="I122" s="158">
        <f>IFERROR(VLOOKUP(A122,Schedule2!A:P,9,0),"")</f>
        <v>41488</v>
      </c>
      <c r="J122">
        <f>IFERROR(VLOOKUP(A122,Universe!B:L,11,0),"")</f>
        <v>16956.599999999999</v>
      </c>
    </row>
    <row r="123" spans="1:10" x14ac:dyDescent="0.3">
      <c r="A123" s="156" t="s">
        <v>733</v>
      </c>
      <c r="B123" s="2" t="s">
        <v>2186</v>
      </c>
      <c r="C123" s="2" t="str">
        <f>IFERROR(VLOOKUP(A123,Universe!B:G,6,0),"")</f>
        <v>전기통신서비스</v>
      </c>
      <c r="D123" s="158">
        <f t="shared" si="8"/>
        <v>41488</v>
      </c>
      <c r="E123" s="157">
        <f>IFERROR(VLOOKUP(A123,Schedule!A:B,2,0),"")</f>
        <v>41488</v>
      </c>
      <c r="F123" s="2">
        <f t="shared" ca="1" si="7"/>
        <v>-1379</v>
      </c>
      <c r="G123" s="34" t="str">
        <f>IFERROR(VLOOKUP($A123,Schedule!$A:$D,4,0),"")</f>
        <v/>
      </c>
      <c r="H123" s="34" t="str">
        <f>IFERROR(VLOOKUP(A123,Universe!B:L,10,0),"")</f>
        <v>IC</v>
      </c>
      <c r="I123" s="158">
        <f>IFERROR(VLOOKUP(A123,Schedule2!A:P,9,0),"")</f>
        <v>41488</v>
      </c>
      <c r="J123">
        <f>IFERROR(VLOOKUP(A123,Universe!B:L,11,0),"")</f>
        <v>9347.7999999999993</v>
      </c>
    </row>
    <row r="124" spans="1:10" x14ac:dyDescent="0.3">
      <c r="A124" s="156" t="s">
        <v>762</v>
      </c>
      <c r="B124" s="2" t="s">
        <v>2213</v>
      </c>
      <c r="C124" s="2" t="str">
        <f>IFERROR(VLOOKUP(A124,Universe!B:G,6,0),"")</f>
        <v>전기통신서비스</v>
      </c>
      <c r="D124" s="158">
        <f t="shared" si="8"/>
        <v>41484</v>
      </c>
      <c r="E124" s="157">
        <f>IFERROR(VLOOKUP(A124,Schedule!A:B,2,0),"")</f>
        <v>41484</v>
      </c>
      <c r="F124" s="2">
        <f t="shared" ca="1" si="7"/>
        <v>-1383</v>
      </c>
      <c r="G124" s="34">
        <f>IFERROR(VLOOKUP($A124,Schedule!$A:$D,4,0),"")</f>
        <v>144.82</v>
      </c>
      <c r="H124" s="34" t="str">
        <f>IFERROR(VLOOKUP(A124,Universe!B:L,10,0),"")</f>
        <v>IC</v>
      </c>
      <c r="I124" s="158">
        <f>IFERROR(VLOOKUP(A124,Schedule2!A:P,9,0),"")</f>
        <v>41486</v>
      </c>
      <c r="J124">
        <f>IFERROR(VLOOKUP(A124,Universe!B:L,11,0),"")</f>
        <v>5217.51</v>
      </c>
    </row>
    <row r="125" spans="1:10" x14ac:dyDescent="0.3">
      <c r="A125" s="156" t="s">
        <v>793</v>
      </c>
      <c r="B125" s="2" t="s">
        <v>2243</v>
      </c>
      <c r="C125" s="2" t="str">
        <f>IFERROR(VLOOKUP(A125,Universe!B:G,6,0),"")</f>
        <v>전기통신서비스</v>
      </c>
      <c r="D125" s="158">
        <f t="shared" si="8"/>
        <v>41492</v>
      </c>
      <c r="E125" s="157">
        <f>IFERROR(VLOOKUP(A125,Schedule!A:B,2,0),"")</f>
        <v>41492</v>
      </c>
      <c r="F125" s="2">
        <f t="shared" ca="1" si="7"/>
        <v>-1375</v>
      </c>
      <c r="G125" s="34" t="str">
        <f>IFERROR(VLOOKUP($A125,Schedule!$A:$D,4,0),"")</f>
        <v/>
      </c>
      <c r="H125" s="34" t="str">
        <f>IFERROR(VLOOKUP(A125,Universe!B:L,10,0),"")</f>
        <v>IP</v>
      </c>
      <c r="I125" s="158">
        <f>IFERROR(VLOOKUP(A125,Schedule2!A:P,9,0),"")</f>
        <v>41487</v>
      </c>
      <c r="J125">
        <f>IFERROR(VLOOKUP(A125,Universe!B:L,11,0),"")</f>
        <v>1503.47</v>
      </c>
    </row>
    <row r="126" spans="1:10" x14ac:dyDescent="0.3">
      <c r="A126" s="156" t="s">
        <v>796</v>
      </c>
      <c r="B126" s="2" t="s">
        <v>2246</v>
      </c>
      <c r="C126" s="2" t="str">
        <f>IFERROR(VLOOKUP(A126,Universe!B:G,6,0),"")</f>
        <v>필수소비재</v>
      </c>
      <c r="D126" s="158">
        <f t="shared" si="8"/>
        <v>41472</v>
      </c>
      <c r="E126" s="157">
        <f>IFERROR(VLOOKUP(A126,Schedule!A:B,2,0),"")</f>
        <v>41472</v>
      </c>
      <c r="F126" s="2">
        <f t="shared" ca="1" si="7"/>
        <v>-1395</v>
      </c>
      <c r="G126" s="34">
        <f>IFERROR(VLOOKUP($A126,Schedule!$A:$D,4,0),"")</f>
        <v>248.7</v>
      </c>
      <c r="H126" s="34" t="str">
        <f>IFERROR(VLOOKUP(A126,Universe!B:L,10,0),"")</f>
        <v>IC</v>
      </c>
      <c r="I126" s="158">
        <f>IFERROR(VLOOKUP(A126,Schedule2!A:P,9,0),"")</f>
        <v>41472</v>
      </c>
      <c r="J126">
        <f>IFERROR(VLOOKUP(A126,Universe!B:L,11,0),"")</f>
        <v>10187.1</v>
      </c>
    </row>
    <row r="127" spans="1:10" x14ac:dyDescent="0.3">
      <c r="A127" s="156" t="s">
        <v>1047</v>
      </c>
      <c r="B127" s="2" t="s">
        <v>2487</v>
      </c>
      <c r="C127" s="2" t="str">
        <f>IFERROR(VLOOKUP(A127,Universe!B:G,6,0),"")</f>
        <v>필수소비재</v>
      </c>
      <c r="D127" s="158">
        <f t="shared" si="8"/>
        <v>41478</v>
      </c>
      <c r="E127" s="157">
        <f>IFERROR(VLOOKUP(A127,Schedule!A:B,2,0),"")</f>
        <v>41478</v>
      </c>
      <c r="F127" s="2">
        <f t="shared" ca="1" si="7"/>
        <v>-1389</v>
      </c>
      <c r="G127" s="34">
        <f>IFERROR(VLOOKUP($A127,Schedule!$A:$D,4,0),"")</f>
        <v>120.16</v>
      </c>
      <c r="H127" s="34" t="str">
        <f>IFERROR(VLOOKUP(A127,Universe!B:L,10,0),"")</f>
        <v>IC</v>
      </c>
      <c r="I127" s="158">
        <f>IFERROR(VLOOKUP(A127,Schedule2!A:P,9,0),"")</f>
        <v>41480</v>
      </c>
      <c r="J127">
        <f>IFERROR(VLOOKUP(A127,Universe!B:L,11,0),"")</f>
        <v>8714.9500000000007</v>
      </c>
    </row>
    <row r="128" spans="1:10" x14ac:dyDescent="0.3">
      <c r="A128" s="156" t="s">
        <v>145</v>
      </c>
      <c r="B128" s="2" t="s">
        <v>1623</v>
      </c>
      <c r="C128" s="2" t="str">
        <f>IFERROR(VLOOKUP(A128,Universe!B:G,6,0),"")</f>
        <v>필수소비재</v>
      </c>
      <c r="D128" s="158">
        <f t="shared" si="8"/>
        <v>41500</v>
      </c>
      <c r="E128" s="157">
        <f>IFERROR(VLOOKUP(A128,Schedule!A:B,2,0),"")</f>
        <v>41500</v>
      </c>
      <c r="F128" s="2">
        <f t="shared" ca="1" si="7"/>
        <v>-1367</v>
      </c>
      <c r="G128" s="34" t="str">
        <f>IFERROR(VLOOKUP($A128,Schedule!$A:$D,4,0),"")</f>
        <v/>
      </c>
      <c r="H128" s="34" t="str">
        <f>IFERROR(VLOOKUP(A128,Universe!B:L,10,0),"")</f>
        <v>IC</v>
      </c>
      <c r="I128" s="158">
        <f>IFERROR(VLOOKUP(A128,Schedule2!A:P,9,0),"")</f>
        <v>41500</v>
      </c>
      <c r="J128">
        <f>IFERROR(VLOOKUP(A128,Universe!B:L,11,0),"")</f>
        <v>5688.76</v>
      </c>
    </row>
    <row r="129" spans="1:10" x14ac:dyDescent="0.3">
      <c r="A129" s="156" t="s">
        <v>1469</v>
      </c>
      <c r="B129" s="2" t="s">
        <v>2896</v>
      </c>
      <c r="C129" s="2" t="str">
        <f>IFERROR(VLOOKUP(A129,Universe!B:G,6,0),"")</f>
        <v>필수소비재</v>
      </c>
      <c r="D129" s="158">
        <f t="shared" si="8"/>
        <v>41487</v>
      </c>
      <c r="E129" s="157">
        <f>IFERROR(VLOOKUP(A129,Schedule!A:B,2,0),"")</f>
        <v>41487</v>
      </c>
      <c r="F129" s="2">
        <f t="shared" ca="1" si="7"/>
        <v>-1380</v>
      </c>
      <c r="G129" s="34" t="str">
        <f>IFERROR(VLOOKUP($A129,Schedule!$A:$D,4,0),"")</f>
        <v/>
      </c>
      <c r="H129" s="34" t="str">
        <f>IFERROR(VLOOKUP(A129,Universe!B:L,10,0),"")</f>
        <v>IC</v>
      </c>
      <c r="I129" s="158">
        <f>IFERROR(VLOOKUP(A129,Schedule2!A:P,9,0),"")</f>
        <v>41488</v>
      </c>
      <c r="J129">
        <f>IFERROR(VLOOKUP(A129,Universe!B:L,11,0),"")</f>
        <v>3399.07</v>
      </c>
    </row>
    <row r="130" spans="1:10" x14ac:dyDescent="0.3">
      <c r="A130" s="4" t="s">
        <v>103</v>
      </c>
      <c r="B130" t="s">
        <v>1583</v>
      </c>
      <c r="C130" t="str">
        <f>IFERROR(VLOOKUP(A130,Universe!B:G,6,0),"")</f>
        <v>필수소비재</v>
      </c>
      <c r="D130" s="85">
        <f t="shared" si="8"/>
        <v>41500</v>
      </c>
      <c r="E130" s="1" t="str">
        <f>IFERROR(VLOOKUP(A130,Schedule!A:B,2,0),"")</f>
        <v/>
      </c>
      <c r="F130">
        <f t="shared" ca="1" si="7"/>
        <v>-1367</v>
      </c>
      <c r="G130" s="50" t="str">
        <f>IFERROR(VLOOKUP($A130,Schedule!$A:$D,4,0),"")</f>
        <v/>
      </c>
      <c r="H130" s="34" t="str">
        <f>IFERROR(VLOOKUP(A130,Universe!B:L,10,0),"")</f>
        <v>IC</v>
      </c>
      <c r="I130" s="158">
        <f>IFERROR(VLOOKUP(A130,Schedule2!A:P,9,0),"")</f>
        <v>41500</v>
      </c>
      <c r="J130">
        <f>IFERROR(VLOOKUP(A130,Universe!B:L,11,0),"")</f>
        <v>3294.09</v>
      </c>
    </row>
    <row r="131" spans="1:10" x14ac:dyDescent="0.3">
      <c r="A131" s="156" t="s">
        <v>56</v>
      </c>
      <c r="B131" s="2" t="s">
        <v>1537</v>
      </c>
      <c r="C131" s="2" t="str">
        <f>IFERROR(VLOOKUP(A131,Universe!B:G,6,0),"")</f>
        <v>필수소비재</v>
      </c>
      <c r="D131" s="158">
        <f t="shared" si="8"/>
        <v>41500</v>
      </c>
      <c r="E131" s="157" t="str">
        <f>IFERROR(VLOOKUP(A131,Schedule!A:B,2,0),"")</f>
        <v/>
      </c>
      <c r="F131" s="2">
        <f t="shared" ca="1" si="7"/>
        <v>-1367</v>
      </c>
      <c r="G131" s="34" t="str">
        <f>IFERROR(VLOOKUP($A131,Schedule!$A:$D,4,0),"")</f>
        <v/>
      </c>
      <c r="H131" s="34" t="str">
        <f>IFERROR(VLOOKUP(A131,Universe!B:L,10,0),"")</f>
        <v>IC</v>
      </c>
      <c r="I131" s="158">
        <f>IFERROR(VLOOKUP(A131,Schedule2!A:P,9,0),"")</f>
        <v>41500</v>
      </c>
      <c r="J131">
        <f>IFERROR(VLOOKUP(A131,Universe!B:L,11,0),"")</f>
        <v>2167.6999999999998</v>
      </c>
    </row>
    <row r="132" spans="1:10" x14ac:dyDescent="0.3">
      <c r="A132" s="156"/>
      <c r="B132" s="2"/>
      <c r="C132" s="2"/>
      <c r="D132" s="158"/>
      <c r="E132" s="157"/>
      <c r="F132" s="2"/>
      <c r="G132" s="34"/>
      <c r="H132" s="34"/>
      <c r="I132" s="158"/>
      <c r="J132" t="str">
        <f>IFERROR(VLOOKUP(A132,Universe!B:L,11,0),"")</f>
        <v/>
      </c>
    </row>
    <row r="133" spans="1:10" x14ac:dyDescent="0.3">
      <c r="A133" s="156"/>
      <c r="B133" s="2"/>
      <c r="C133" s="2"/>
      <c r="D133" s="158"/>
      <c r="E133" s="157"/>
      <c r="F133" s="2"/>
      <c r="G133" s="34"/>
      <c r="H133" s="34"/>
      <c r="I133" s="158"/>
      <c r="J133" t="str">
        <f>IFERROR(VLOOKUP(A133,Universe!B:L,11,0),"")</f>
        <v/>
      </c>
    </row>
    <row r="134" spans="1:10" x14ac:dyDescent="0.3">
      <c r="A134" s="156"/>
      <c r="B134" s="2"/>
      <c r="C134" s="2"/>
      <c r="D134" s="158"/>
      <c r="E134" s="157"/>
      <c r="F134" s="2"/>
      <c r="G134" s="34"/>
      <c r="H134" s="34"/>
      <c r="I134" s="158"/>
      <c r="J134" t="str">
        <f>IFERROR(VLOOKUP(A134,Universe!B:L,11,0),"")</f>
        <v/>
      </c>
    </row>
    <row r="135" spans="1:10" x14ac:dyDescent="0.3">
      <c r="A135" s="156"/>
      <c r="B135" s="2"/>
      <c r="C135" s="2"/>
      <c r="D135" s="158"/>
      <c r="E135" s="157"/>
      <c r="F135" s="2"/>
      <c r="G135" s="34"/>
      <c r="H135" s="34"/>
      <c r="I135" s="158"/>
      <c r="J135" t="str">
        <f>IFERROR(VLOOKUP(A135,Universe!B:L,11,0),"")</f>
        <v/>
      </c>
    </row>
    <row r="136" spans="1:10" x14ac:dyDescent="0.3">
      <c r="A136" s="156"/>
      <c r="B136" s="2"/>
      <c r="C136" s="2"/>
      <c r="D136" s="158"/>
      <c r="E136" s="157"/>
      <c r="F136" s="2"/>
      <c r="G136" s="34"/>
      <c r="H136" s="34"/>
      <c r="I136" s="158"/>
      <c r="J136" t="str">
        <f>IFERROR(VLOOKUP(A136,Universe!B:L,11,0),"")</f>
        <v/>
      </c>
    </row>
    <row r="137" spans="1:10" x14ac:dyDescent="0.3">
      <c r="A137" s="156"/>
      <c r="B137" s="2"/>
      <c r="C137" s="2"/>
      <c r="D137" s="158"/>
      <c r="E137" s="157"/>
      <c r="F137" s="2"/>
      <c r="G137" s="34"/>
      <c r="H137" s="34"/>
      <c r="I137" s="158"/>
      <c r="J137" t="str">
        <f>IFERROR(VLOOKUP(A137,Universe!B:L,11,0),"")</f>
        <v/>
      </c>
    </row>
    <row r="138" spans="1:10" x14ac:dyDescent="0.3">
      <c r="A138" s="156"/>
      <c r="B138" s="2"/>
      <c r="C138" s="2"/>
      <c r="D138" s="158"/>
      <c r="E138" s="157"/>
      <c r="F138" s="2"/>
      <c r="G138" s="34"/>
      <c r="H138" s="34"/>
      <c r="I138" s="158"/>
      <c r="J138" t="str">
        <f>IFERROR(VLOOKUP(A138,Universe!B:L,11,0),"")</f>
        <v/>
      </c>
    </row>
    <row r="139" spans="1:10" x14ac:dyDescent="0.3">
      <c r="A139" s="156"/>
      <c r="B139" s="2"/>
      <c r="C139" s="2"/>
      <c r="D139" s="158"/>
      <c r="E139" s="157"/>
      <c r="F139" s="2"/>
      <c r="G139" s="34"/>
      <c r="H139" s="34"/>
      <c r="I139" s="158"/>
      <c r="J139" t="str">
        <f>IFERROR(VLOOKUP(A139,Universe!B:L,11,0),"")</f>
        <v/>
      </c>
    </row>
    <row r="140" spans="1:10" x14ac:dyDescent="0.3">
      <c r="A140" s="156"/>
      <c r="B140" s="2"/>
      <c r="C140" s="2"/>
      <c r="D140" s="158"/>
      <c r="E140" s="157"/>
      <c r="F140" s="2"/>
      <c r="G140" s="34"/>
      <c r="H140" s="34"/>
      <c r="I140" s="158"/>
      <c r="J140" t="str">
        <f>IFERROR(VLOOKUP(A140,Universe!B:L,11,0),"")</f>
        <v/>
      </c>
    </row>
    <row r="141" spans="1:10" x14ac:dyDescent="0.3">
      <c r="A141" s="156"/>
      <c r="B141" s="2"/>
      <c r="C141" s="2"/>
      <c r="D141" s="158"/>
      <c r="E141" s="157"/>
      <c r="F141" s="2"/>
      <c r="G141" s="34"/>
      <c r="H141" s="34"/>
      <c r="I141" s="158"/>
      <c r="J141" t="str">
        <f>IFERROR(VLOOKUP(A141,Universe!B:L,11,0),"")</f>
        <v/>
      </c>
    </row>
    <row r="142" spans="1:10" x14ac:dyDescent="0.3">
      <c r="A142" s="156"/>
      <c r="B142" s="2"/>
      <c r="C142" s="2"/>
      <c r="D142" s="158"/>
      <c r="E142" s="157"/>
      <c r="F142" s="2"/>
      <c r="G142" s="34"/>
      <c r="H142" s="34"/>
      <c r="I142" s="158"/>
      <c r="J142" t="str">
        <f>IFERROR(VLOOKUP(A142,Universe!B:L,11,0),"")</f>
        <v/>
      </c>
    </row>
    <row r="143" spans="1:10" x14ac:dyDescent="0.3">
      <c r="A143" s="156"/>
      <c r="B143" s="2"/>
      <c r="C143" s="2"/>
      <c r="D143" s="158"/>
      <c r="E143" s="157"/>
      <c r="F143" s="2"/>
      <c r="G143" s="34"/>
      <c r="H143" s="34"/>
      <c r="I143" s="158"/>
      <c r="J143" t="str">
        <f>IFERROR(VLOOKUP(A143,Universe!B:L,11,0),"")</f>
        <v/>
      </c>
    </row>
    <row r="144" spans="1:10" x14ac:dyDescent="0.3">
      <c r="A144" s="156"/>
      <c r="B144" s="2"/>
      <c r="C144" s="2"/>
      <c r="D144" s="158"/>
      <c r="E144" s="157"/>
      <c r="F144" s="2"/>
      <c r="G144" s="34"/>
      <c r="H144" s="34"/>
      <c r="I144" s="158"/>
      <c r="J144" t="str">
        <f>IFERROR(VLOOKUP(A144,Universe!B:L,11,0),"")</f>
        <v/>
      </c>
    </row>
    <row r="145" spans="1:10" x14ac:dyDescent="0.3">
      <c r="A145" s="156"/>
      <c r="B145" s="2"/>
      <c r="C145" s="2"/>
      <c r="D145" s="158"/>
      <c r="E145" s="157"/>
      <c r="F145" s="2"/>
      <c r="G145" s="34"/>
      <c r="H145" s="34"/>
      <c r="I145" s="158"/>
      <c r="J145" t="str">
        <f>IFERROR(VLOOKUP(A145,Universe!B:L,11,0),"")</f>
        <v/>
      </c>
    </row>
    <row r="146" spans="1:10" x14ac:dyDescent="0.3">
      <c r="A146" s="156"/>
      <c r="B146" s="2"/>
      <c r="C146" s="2"/>
      <c r="D146" s="158"/>
      <c r="E146" s="157"/>
      <c r="F146" s="2"/>
      <c r="G146" s="34"/>
      <c r="H146" s="34"/>
      <c r="I146" s="158"/>
      <c r="J146" t="str">
        <f>IFERROR(VLOOKUP(A146,Universe!B:L,11,0),"")</f>
        <v/>
      </c>
    </row>
    <row r="147" spans="1:10" x14ac:dyDescent="0.3">
      <c r="A147" s="156"/>
      <c r="B147" s="2"/>
      <c r="C147" s="2"/>
      <c r="D147" s="158"/>
      <c r="E147" s="157"/>
      <c r="F147" s="2"/>
      <c r="G147" s="34"/>
      <c r="H147" s="34"/>
      <c r="I147" s="158"/>
      <c r="J147" t="str">
        <f>IFERROR(VLOOKUP(A147,Universe!B:L,11,0),"")</f>
        <v/>
      </c>
    </row>
    <row r="148" spans="1:10" x14ac:dyDescent="0.3">
      <c r="A148" s="156"/>
      <c r="B148" s="2"/>
      <c r="C148" s="2"/>
      <c r="D148" s="158"/>
      <c r="E148" s="157"/>
      <c r="F148" s="2"/>
      <c r="G148" s="34"/>
      <c r="H148" s="34"/>
      <c r="I148" s="158"/>
      <c r="J148" t="str">
        <f>IFERROR(VLOOKUP(A148,Universe!B:L,11,0),"")</f>
        <v/>
      </c>
    </row>
    <row r="149" spans="1:10" x14ac:dyDescent="0.3">
      <c r="A149" s="156"/>
      <c r="B149" s="2"/>
      <c r="C149" s="2"/>
      <c r="D149" s="158"/>
      <c r="E149" s="157"/>
      <c r="F149" s="2"/>
      <c r="G149" s="34"/>
      <c r="H149" s="34"/>
      <c r="I149" s="158"/>
      <c r="J149" t="str">
        <f>IFERROR(VLOOKUP(A149,Universe!B:L,11,0),"")</f>
        <v/>
      </c>
    </row>
    <row r="150" spans="1:10" x14ac:dyDescent="0.3">
      <c r="A150" s="156"/>
      <c r="B150" s="2"/>
      <c r="C150" s="2"/>
      <c r="D150" s="158"/>
      <c r="E150" s="157"/>
      <c r="F150" s="2"/>
      <c r="G150" s="34"/>
      <c r="H150" s="34"/>
      <c r="I150" s="158"/>
      <c r="J150" t="str">
        <f>IFERROR(VLOOKUP(A150,Universe!B:L,11,0),"")</f>
        <v/>
      </c>
    </row>
    <row r="151" spans="1:10" x14ac:dyDescent="0.3">
      <c r="A151" s="156"/>
      <c r="B151" s="2"/>
      <c r="C151" s="2"/>
      <c r="D151" s="158"/>
      <c r="E151" s="157"/>
      <c r="F151" s="2"/>
      <c r="G151" s="34"/>
      <c r="H151" s="34"/>
      <c r="I151" s="158"/>
      <c r="J151" t="str">
        <f>IFERROR(VLOOKUP(A151,Universe!B:L,11,0),"")</f>
        <v/>
      </c>
    </row>
    <row r="152" spans="1:10" x14ac:dyDescent="0.3">
      <c r="A152" s="156"/>
      <c r="B152" s="2"/>
      <c r="C152" s="2"/>
      <c r="D152" s="158"/>
      <c r="E152" s="157"/>
      <c r="F152" s="2"/>
      <c r="G152" s="34"/>
      <c r="H152" s="34"/>
      <c r="I152" s="158"/>
      <c r="J152" t="str">
        <f>IFERROR(VLOOKUP(A152,Universe!B:L,11,0),"")</f>
        <v/>
      </c>
    </row>
    <row r="153" spans="1:10" x14ac:dyDescent="0.3">
      <c r="A153" s="156"/>
      <c r="B153" s="2"/>
      <c r="C153" s="2"/>
      <c r="D153" s="158"/>
      <c r="E153" s="157"/>
      <c r="F153" s="2"/>
      <c r="G153" s="34"/>
      <c r="H153" s="34"/>
      <c r="I153" s="158"/>
      <c r="J153" t="str">
        <f>IFERROR(VLOOKUP(A153,Universe!B:L,11,0),"")</f>
        <v/>
      </c>
    </row>
    <row r="154" spans="1:10" x14ac:dyDescent="0.3">
      <c r="A154" s="156"/>
      <c r="B154" s="2"/>
      <c r="C154" s="2"/>
      <c r="D154" s="158"/>
      <c r="E154" s="157"/>
      <c r="F154" s="2"/>
      <c r="G154" s="34"/>
      <c r="H154" s="34"/>
      <c r="I154" s="158"/>
      <c r="J154" t="str">
        <f>IFERROR(VLOOKUP(A154,Universe!B:L,11,0),"")</f>
        <v/>
      </c>
    </row>
    <row r="155" spans="1:10" x14ac:dyDescent="0.3">
      <c r="A155" s="156"/>
      <c r="B155" s="2"/>
      <c r="C155" s="2"/>
      <c r="D155" s="158"/>
      <c r="E155" s="157"/>
      <c r="F155" s="2"/>
      <c r="G155" s="34"/>
      <c r="H155" s="34"/>
      <c r="I155" s="158"/>
      <c r="J155" t="str">
        <f>IFERROR(VLOOKUP(A155,Universe!B:L,11,0),"")</f>
        <v/>
      </c>
    </row>
    <row r="156" spans="1:10" x14ac:dyDescent="0.3">
      <c r="A156" s="156"/>
      <c r="B156" s="2"/>
      <c r="C156" s="2"/>
      <c r="D156" s="158"/>
      <c r="E156" s="157"/>
      <c r="F156" s="2"/>
      <c r="G156" s="34"/>
      <c r="H156" s="34"/>
      <c r="I156" s="158"/>
      <c r="J156" t="str">
        <f>IFERROR(VLOOKUP(A156,Universe!B:L,11,0),"")</f>
        <v/>
      </c>
    </row>
    <row r="157" spans="1:10" x14ac:dyDescent="0.3">
      <c r="A157" s="156"/>
      <c r="B157" s="2"/>
      <c r="C157" s="2"/>
      <c r="D157" s="158"/>
      <c r="E157" s="157"/>
      <c r="F157" s="2"/>
      <c r="G157" s="34"/>
      <c r="H157" s="34"/>
      <c r="I157" s="158"/>
      <c r="J157" t="str">
        <f>IFERROR(VLOOKUP(A157,Universe!B:L,11,0),"")</f>
        <v/>
      </c>
    </row>
    <row r="158" spans="1:10" x14ac:dyDescent="0.3">
      <c r="A158" s="156"/>
      <c r="B158" s="2"/>
      <c r="C158" s="2"/>
      <c r="D158" s="158"/>
      <c r="E158" s="157"/>
      <c r="F158" s="2"/>
      <c r="G158" s="34"/>
      <c r="H158" s="34"/>
      <c r="I158" s="158"/>
      <c r="J158" t="str">
        <f>IFERROR(VLOOKUP(A158,Universe!B:L,11,0),"")</f>
        <v/>
      </c>
    </row>
    <row r="159" spans="1:10" x14ac:dyDescent="0.3">
      <c r="A159" s="156"/>
      <c r="B159" s="2"/>
      <c r="C159" s="2"/>
      <c r="D159" s="158"/>
      <c r="E159" s="157"/>
      <c r="F159" s="2"/>
      <c r="G159" s="34"/>
      <c r="H159" s="34"/>
      <c r="I159" s="158"/>
      <c r="J159" t="str">
        <f>IFERROR(VLOOKUP(A159,Universe!B:L,11,0),"")</f>
        <v/>
      </c>
    </row>
    <row r="160" spans="1:10" x14ac:dyDescent="0.3">
      <c r="A160" s="156"/>
      <c r="B160" s="2"/>
      <c r="C160" s="2"/>
      <c r="D160" s="158"/>
      <c r="E160" s="157"/>
      <c r="F160" s="2"/>
      <c r="G160" s="34"/>
      <c r="H160" s="34"/>
      <c r="I160" s="158"/>
      <c r="J160" t="str">
        <f>IFERROR(VLOOKUP(A160,Universe!B:L,11,0),"")</f>
        <v/>
      </c>
    </row>
    <row r="161" spans="1:10" x14ac:dyDescent="0.3">
      <c r="A161" s="156"/>
      <c r="B161" s="2"/>
      <c r="C161" s="2"/>
      <c r="D161" s="158"/>
      <c r="E161" s="157"/>
      <c r="F161" s="2"/>
      <c r="G161" s="34"/>
      <c r="H161" s="34"/>
      <c r="I161" s="158"/>
      <c r="J161" t="str">
        <f>IFERROR(VLOOKUP(A161,Universe!B:L,11,0),"")</f>
        <v/>
      </c>
    </row>
    <row r="162" spans="1:10" x14ac:dyDescent="0.3">
      <c r="A162" s="156"/>
      <c r="B162" s="2"/>
      <c r="C162" s="2"/>
      <c r="D162" s="157"/>
      <c r="E162" s="157"/>
      <c r="F162" s="2"/>
      <c r="G162" s="34"/>
      <c r="H162" s="34"/>
      <c r="I162" s="158"/>
      <c r="J162" t="str">
        <f>IFERROR(VLOOKUP(A162,Universe!B:L,11,0),"")</f>
        <v/>
      </c>
    </row>
    <row r="163" spans="1:10" x14ac:dyDescent="0.3">
      <c r="A163" s="156"/>
      <c r="B163" s="2"/>
      <c r="C163" s="2"/>
      <c r="D163" s="157"/>
      <c r="E163" s="157"/>
      <c r="F163" s="2"/>
      <c r="G163" s="34"/>
      <c r="H163" s="34"/>
      <c r="I163" s="158"/>
      <c r="J163" t="str">
        <f>IFERROR(VLOOKUP(A163,Universe!B:L,11,0),"")</f>
        <v/>
      </c>
    </row>
    <row r="164" spans="1:10" x14ac:dyDescent="0.3">
      <c r="A164" s="156"/>
      <c r="B164" s="2"/>
      <c r="C164" s="2"/>
      <c r="D164" s="157"/>
      <c r="E164" s="157"/>
      <c r="F164" s="2"/>
      <c r="G164" s="34"/>
      <c r="H164" s="34"/>
      <c r="I164" s="158"/>
      <c r="J164" t="str">
        <f>IFERROR(VLOOKUP(A164,Universe!B:L,11,0),"")</f>
        <v/>
      </c>
    </row>
    <row r="165" spans="1:10" x14ac:dyDescent="0.3">
      <c r="A165" s="156"/>
      <c r="B165" s="2"/>
      <c r="C165" s="2"/>
      <c r="D165" s="157"/>
      <c r="E165" s="157"/>
      <c r="F165" s="2"/>
      <c r="G165" s="34"/>
      <c r="H165" s="34"/>
      <c r="I165" s="158"/>
      <c r="J165" t="str">
        <f>IFERROR(VLOOKUP(A165,Universe!B:L,11,0),"")</f>
        <v/>
      </c>
    </row>
    <row r="166" spans="1:10" x14ac:dyDescent="0.3">
      <c r="A166" s="156"/>
      <c r="B166" s="2"/>
      <c r="C166" s="2"/>
      <c r="D166" s="157"/>
      <c r="E166" s="157"/>
      <c r="F166" s="2"/>
      <c r="G166" s="34"/>
      <c r="H166" s="34"/>
      <c r="I166" s="158"/>
      <c r="J166" t="str">
        <f>IFERROR(VLOOKUP(A166,Universe!B:L,11,0),"")</f>
        <v/>
      </c>
    </row>
    <row r="167" spans="1:10" x14ac:dyDescent="0.3">
      <c r="A167" s="156"/>
      <c r="B167" s="2"/>
      <c r="C167" s="2"/>
      <c r="D167" s="157"/>
      <c r="E167" s="157"/>
      <c r="F167" s="2"/>
      <c r="G167" s="34"/>
      <c r="H167" s="34"/>
      <c r="I167" s="158"/>
      <c r="J167" t="str">
        <f>IFERROR(VLOOKUP(A167,Universe!B:L,11,0),"")</f>
        <v/>
      </c>
    </row>
    <row r="168" spans="1:10" x14ac:dyDescent="0.3">
      <c r="A168" s="4"/>
      <c r="D168" s="157"/>
      <c r="E168" s="1"/>
      <c r="G168" s="50"/>
      <c r="H168" s="34"/>
      <c r="I168" s="158"/>
      <c r="J168" t="str">
        <f>IFERROR(VLOOKUP(A168,Universe!B:L,11,0),"")</f>
        <v/>
      </c>
    </row>
    <row r="169" spans="1:10" x14ac:dyDescent="0.3">
      <c r="A169" s="4"/>
      <c r="D169" s="157"/>
      <c r="E169" s="1"/>
      <c r="G169" s="50"/>
      <c r="H169" s="34"/>
      <c r="I169" s="158"/>
      <c r="J169" t="str">
        <f>IFERROR(VLOOKUP(A169,Universe!B:L,11,0),"")</f>
        <v/>
      </c>
    </row>
    <row r="170" spans="1:10" x14ac:dyDescent="0.3">
      <c r="A170" s="4"/>
      <c r="D170" s="157"/>
      <c r="E170" s="1"/>
      <c r="G170" s="50"/>
      <c r="H170" s="34"/>
      <c r="I170" s="158"/>
      <c r="J170" t="str">
        <f>IFERROR(VLOOKUP(A170,Universe!B:L,11,0),"")</f>
        <v/>
      </c>
    </row>
    <row r="171" spans="1:10" x14ac:dyDescent="0.3">
      <c r="A171" s="4"/>
      <c r="D171" s="157"/>
      <c r="E171" s="1"/>
      <c r="G171" s="50"/>
      <c r="H171" s="34"/>
      <c r="I171" s="158"/>
      <c r="J171" t="str">
        <f>IFERROR(VLOOKUP(A171,Universe!B:L,11,0),"")</f>
        <v/>
      </c>
    </row>
    <row r="172" spans="1:10" x14ac:dyDescent="0.3">
      <c r="A172" s="4"/>
      <c r="D172" s="157"/>
      <c r="E172" s="1"/>
      <c r="G172" s="50"/>
      <c r="H172" s="34"/>
      <c r="I172" s="158"/>
      <c r="J172" t="str">
        <f>IFERROR(VLOOKUP(A172,Universe!B:L,11,0),"")</f>
        <v/>
      </c>
    </row>
    <row r="173" spans="1:10" x14ac:dyDescent="0.3">
      <c r="A173" s="4"/>
      <c r="D173" s="157"/>
      <c r="E173" s="1"/>
      <c r="G173" s="50"/>
      <c r="H173" s="34"/>
      <c r="I173" s="158"/>
      <c r="J173" t="str">
        <f>IFERROR(VLOOKUP(A173,Universe!B:L,11,0),"")</f>
        <v/>
      </c>
    </row>
    <row r="174" spans="1:10" x14ac:dyDescent="0.3">
      <c r="A174" s="4"/>
      <c r="D174" s="157"/>
      <c r="E174" s="1"/>
      <c r="G174" s="50"/>
      <c r="H174" s="34"/>
      <c r="I174" s="158"/>
      <c r="J174" t="str">
        <f>IFERROR(VLOOKUP(A174,Universe!B:L,11,0),"")</f>
        <v/>
      </c>
    </row>
    <row r="175" spans="1:10" x14ac:dyDescent="0.3">
      <c r="A175" s="4"/>
      <c r="D175" s="157"/>
      <c r="E175" s="1"/>
      <c r="G175" s="50"/>
      <c r="H175" s="34"/>
      <c r="I175" s="158"/>
      <c r="J175" t="str">
        <f>IFERROR(VLOOKUP(A175,Universe!B:L,11,0),"")</f>
        <v/>
      </c>
    </row>
    <row r="176" spans="1:10" x14ac:dyDescent="0.3">
      <c r="A176" s="4"/>
      <c r="D176" s="157"/>
      <c r="E176" s="1"/>
      <c r="G176" s="50"/>
      <c r="H176" s="34"/>
      <c r="I176" s="158"/>
      <c r="J176" t="str">
        <f>IFERROR(VLOOKUP(A176,Universe!B:L,11,0),"")</f>
        <v/>
      </c>
    </row>
    <row r="177" spans="1:10" x14ac:dyDescent="0.3">
      <c r="A177" s="4"/>
      <c r="D177" s="157"/>
      <c r="E177" s="1"/>
      <c r="G177" s="50"/>
      <c r="H177" s="34"/>
      <c r="I177" s="158"/>
      <c r="J177" t="str">
        <f>IFERROR(VLOOKUP(A177,Universe!B:L,11,0),"")</f>
        <v/>
      </c>
    </row>
    <row r="178" spans="1:10" x14ac:dyDescent="0.3">
      <c r="A178" s="4"/>
      <c r="D178" s="157"/>
      <c r="E178" s="1"/>
      <c r="G178" s="50"/>
      <c r="H178" s="34"/>
      <c r="I178" s="158"/>
      <c r="J178" t="str">
        <f>IFERROR(VLOOKUP(A178,Universe!B:L,11,0),"")</f>
        <v/>
      </c>
    </row>
    <row r="179" spans="1:10" x14ac:dyDescent="0.3">
      <c r="A179" s="4"/>
      <c r="D179" s="157"/>
      <c r="E179" s="1"/>
      <c r="G179" s="50"/>
      <c r="H179" s="34"/>
      <c r="I179" s="158"/>
      <c r="J179" t="str">
        <f>IFERROR(VLOOKUP(A179,Universe!B:L,11,0),"")</f>
        <v/>
      </c>
    </row>
    <row r="180" spans="1:10" x14ac:dyDescent="0.3">
      <c r="A180" s="4"/>
      <c r="D180" s="157"/>
      <c r="E180" s="1"/>
      <c r="G180" s="50"/>
      <c r="H180" s="34"/>
      <c r="I180" s="158"/>
      <c r="J180" t="str">
        <f>IFERROR(VLOOKUP(A180,Universe!B:L,11,0),"")</f>
        <v/>
      </c>
    </row>
    <row r="181" spans="1:10" x14ac:dyDescent="0.3">
      <c r="A181" s="4"/>
      <c r="D181" s="157"/>
      <c r="E181" s="1"/>
      <c r="G181" s="50"/>
      <c r="H181" s="34"/>
      <c r="I181" s="158"/>
      <c r="J181" t="str">
        <f>IFERROR(VLOOKUP(A181,Universe!B:L,11,0),"")</f>
        <v/>
      </c>
    </row>
    <row r="182" spans="1:10" x14ac:dyDescent="0.3">
      <c r="A182" s="4"/>
      <c r="D182" s="157"/>
      <c r="E182" s="1"/>
      <c r="G182" s="50"/>
      <c r="H182" s="34"/>
      <c r="I182" s="158"/>
      <c r="J182" t="str">
        <f>IFERROR(VLOOKUP(A182,Universe!B:L,11,0),"")</f>
        <v/>
      </c>
    </row>
    <row r="183" spans="1:10" x14ac:dyDescent="0.3">
      <c r="A183" s="4"/>
      <c r="D183" s="157"/>
      <c r="E183" s="1"/>
      <c r="G183" s="50"/>
      <c r="H183" s="34"/>
      <c r="I183" s="158"/>
      <c r="J183" t="str">
        <f>IFERROR(VLOOKUP(A183,Universe!B:L,11,0),"")</f>
        <v/>
      </c>
    </row>
    <row r="184" spans="1:10" x14ac:dyDescent="0.3">
      <c r="A184" s="4"/>
      <c r="D184" s="157"/>
      <c r="E184" s="1"/>
      <c r="G184" s="50"/>
      <c r="H184" s="34"/>
      <c r="I184" s="158"/>
      <c r="J184" t="str">
        <f>IFERROR(VLOOKUP(A184,Universe!B:L,11,0),"")</f>
        <v/>
      </c>
    </row>
    <row r="185" spans="1:10" x14ac:dyDescent="0.3">
      <c r="A185" s="4"/>
      <c r="D185" s="157"/>
      <c r="E185" s="1"/>
      <c r="G185" s="50"/>
      <c r="H185" s="34"/>
      <c r="I185" s="158"/>
      <c r="J185" t="str">
        <f>IFERROR(VLOOKUP(A185,Universe!B:L,11,0),"")</f>
        <v/>
      </c>
    </row>
    <row r="186" spans="1:10" x14ac:dyDescent="0.3">
      <c r="A186" s="4"/>
      <c r="D186" s="157"/>
      <c r="E186" s="1"/>
      <c r="G186" s="50"/>
      <c r="H186" s="34"/>
      <c r="I186" s="158"/>
      <c r="J186" t="str">
        <f>IFERROR(VLOOKUP(A186,Universe!B:L,11,0),"")</f>
        <v/>
      </c>
    </row>
    <row r="187" spans="1:10" x14ac:dyDescent="0.3">
      <c r="A187" s="4"/>
      <c r="D187" s="157"/>
      <c r="E187" s="1"/>
      <c r="G187" s="50"/>
      <c r="H187" s="34"/>
      <c r="I187" s="158"/>
      <c r="J187" t="str">
        <f>IFERROR(VLOOKUP(A187,Universe!B:L,11,0),"")</f>
        <v/>
      </c>
    </row>
    <row r="188" spans="1:10" x14ac:dyDescent="0.3">
      <c r="A188" s="4"/>
      <c r="D188" s="157"/>
      <c r="E188" s="1"/>
      <c r="G188" s="50"/>
      <c r="H188" s="34"/>
      <c r="I188" s="158"/>
      <c r="J188" t="str">
        <f>IFERROR(VLOOKUP(A188,Universe!B:L,11,0),"")</f>
        <v/>
      </c>
    </row>
    <row r="189" spans="1:10" x14ac:dyDescent="0.3">
      <c r="A189" s="4"/>
      <c r="D189" s="157"/>
      <c r="E189" s="1"/>
      <c r="G189" s="50"/>
      <c r="H189" s="34"/>
      <c r="I189" s="158"/>
      <c r="J189" t="str">
        <f>IFERROR(VLOOKUP(A189,Universe!B:L,11,0),"")</f>
        <v/>
      </c>
    </row>
    <row r="190" spans="1:10" x14ac:dyDescent="0.3">
      <c r="A190" s="4"/>
      <c r="D190" s="157"/>
      <c r="E190" s="1"/>
      <c r="G190" s="50"/>
      <c r="H190" s="34"/>
      <c r="I190" s="158"/>
      <c r="J190" t="str">
        <f>IFERROR(VLOOKUP(A190,Universe!B:L,11,0),"")</f>
        <v/>
      </c>
    </row>
    <row r="191" spans="1:10" x14ac:dyDescent="0.3">
      <c r="A191" s="4"/>
      <c r="D191" s="157"/>
      <c r="E191" s="1"/>
      <c r="G191" s="50"/>
      <c r="H191" s="34"/>
      <c r="I191" s="158"/>
      <c r="J191" t="str">
        <f>IFERROR(VLOOKUP(A191,Universe!B:L,11,0),"")</f>
        <v/>
      </c>
    </row>
    <row r="192" spans="1:10" x14ac:dyDescent="0.3">
      <c r="A192" s="4"/>
      <c r="D192" s="157"/>
      <c r="E192" s="1"/>
      <c r="G192" s="50"/>
      <c r="H192" s="34"/>
      <c r="I192" s="158"/>
      <c r="J192" t="str">
        <f>IFERROR(VLOOKUP(A192,Universe!B:L,11,0),"")</f>
        <v/>
      </c>
    </row>
    <row r="193" spans="1:10" x14ac:dyDescent="0.3">
      <c r="A193" s="4"/>
      <c r="D193" s="157"/>
      <c r="E193" s="1"/>
      <c r="G193" s="50"/>
      <c r="H193" s="34"/>
      <c r="I193" s="158"/>
      <c r="J193" t="str">
        <f>IFERROR(VLOOKUP(A193,Universe!B:L,11,0),"")</f>
        <v/>
      </c>
    </row>
    <row r="194" spans="1:10" x14ac:dyDescent="0.3">
      <c r="A194" s="4"/>
      <c r="D194" s="157"/>
      <c r="E194" s="1"/>
      <c r="G194" s="50"/>
      <c r="H194" s="34"/>
      <c r="I194" s="158"/>
      <c r="J194" t="str">
        <f>IFERROR(VLOOKUP(A194,Universe!B:L,11,0),"")</f>
        <v/>
      </c>
    </row>
    <row r="195" spans="1:10" x14ac:dyDescent="0.3">
      <c r="A195" s="4"/>
      <c r="D195" s="157"/>
      <c r="E195" s="1"/>
      <c r="G195" s="50"/>
      <c r="H195" s="34"/>
      <c r="I195" s="158"/>
      <c r="J195" t="str">
        <f>IFERROR(VLOOKUP(A195,Universe!B:L,11,0),"")</f>
        <v/>
      </c>
    </row>
    <row r="196" spans="1:10" x14ac:dyDescent="0.3">
      <c r="A196" s="4"/>
      <c r="D196" s="157"/>
      <c r="E196" s="1"/>
      <c r="G196" s="50"/>
      <c r="H196" s="34"/>
      <c r="I196" s="158"/>
      <c r="J196" t="str">
        <f>IFERROR(VLOOKUP(A196,Universe!B:L,11,0),"")</f>
        <v/>
      </c>
    </row>
    <row r="197" spans="1:10" x14ac:dyDescent="0.3">
      <c r="A197" s="4"/>
      <c r="D197" s="157"/>
      <c r="E197" s="1"/>
      <c r="G197" s="50"/>
      <c r="H197" s="34"/>
      <c r="I197" s="158"/>
      <c r="J197" t="str">
        <f>IFERROR(VLOOKUP(A197,Universe!B:L,11,0),"")</f>
        <v/>
      </c>
    </row>
    <row r="198" spans="1:10" x14ac:dyDescent="0.3">
      <c r="A198" s="4"/>
      <c r="D198" s="157"/>
      <c r="E198" s="1"/>
      <c r="G198" s="50"/>
      <c r="H198" s="34"/>
      <c r="I198" s="158"/>
      <c r="J198" t="str">
        <f>IFERROR(VLOOKUP(A198,Universe!B:L,11,0),"")</f>
        <v/>
      </c>
    </row>
    <row r="199" spans="1:10" x14ac:dyDescent="0.3">
      <c r="A199" s="4"/>
      <c r="D199" s="157"/>
      <c r="E199" s="1"/>
      <c r="G199" s="50"/>
      <c r="H199" s="34"/>
      <c r="I199" s="158"/>
      <c r="J199" t="str">
        <f>IFERROR(VLOOKUP(A199,Universe!B:L,11,0),"")</f>
        <v/>
      </c>
    </row>
    <row r="200" spans="1:10" x14ac:dyDescent="0.3">
      <c r="A200" s="4"/>
      <c r="D200" s="157"/>
      <c r="E200" s="1"/>
      <c r="G200" s="50"/>
      <c r="H200" s="34"/>
      <c r="I200" s="158"/>
      <c r="J200" t="str">
        <f>IFERROR(VLOOKUP(A200,Universe!B:L,11,0),"")</f>
        <v/>
      </c>
    </row>
    <row r="201" spans="1:10" x14ac:dyDescent="0.3">
      <c r="A201" s="4"/>
      <c r="D201" s="157"/>
      <c r="E201" s="1"/>
      <c r="G201" s="50"/>
      <c r="H201" s="34"/>
      <c r="I201" s="158"/>
      <c r="J201" t="str">
        <f>IFERROR(VLOOKUP(A201,Universe!B:L,11,0),"")</f>
        <v/>
      </c>
    </row>
    <row r="202" spans="1:10" x14ac:dyDescent="0.3">
      <c r="A202" s="4"/>
      <c r="D202" s="157"/>
      <c r="E202" s="1"/>
      <c r="G202" s="50"/>
      <c r="H202" s="34"/>
      <c r="I202" s="158"/>
      <c r="J202" t="str">
        <f>IFERROR(VLOOKUP(A202,Universe!B:L,11,0),"")</f>
        <v/>
      </c>
    </row>
    <row r="203" spans="1:10" x14ac:dyDescent="0.3">
      <c r="A203" s="4"/>
      <c r="D203" s="157"/>
      <c r="E203" s="1"/>
      <c r="G203" s="50"/>
      <c r="H203" s="34"/>
      <c r="I203" s="158"/>
      <c r="J203" t="str">
        <f>IFERROR(VLOOKUP(A203,Universe!B:L,11,0),"")</f>
        <v/>
      </c>
    </row>
    <row r="204" spans="1:10" x14ac:dyDescent="0.3">
      <c r="A204" s="4"/>
      <c r="D204" s="157"/>
      <c r="E204" s="1"/>
      <c r="G204" s="50"/>
      <c r="H204" s="34"/>
      <c r="I204" s="158"/>
      <c r="J204" t="str">
        <f>IFERROR(VLOOKUP(A204,Universe!B:L,11,0),"")</f>
        <v/>
      </c>
    </row>
    <row r="205" spans="1:10" x14ac:dyDescent="0.3">
      <c r="A205" s="4"/>
      <c r="D205" s="157"/>
      <c r="E205" s="1"/>
      <c r="G205" s="50"/>
      <c r="H205" s="34"/>
      <c r="I205" s="158"/>
      <c r="J205" t="str">
        <f>IFERROR(VLOOKUP(A205,Universe!B:L,11,0),"")</f>
        <v/>
      </c>
    </row>
    <row r="206" spans="1:10" x14ac:dyDescent="0.3">
      <c r="A206" s="4"/>
      <c r="D206" s="157"/>
      <c r="E206" s="1"/>
      <c r="G206" s="50"/>
      <c r="H206" s="34"/>
      <c r="I206" s="158"/>
      <c r="J206" t="str">
        <f>IFERROR(VLOOKUP(A206,Universe!B:L,11,0),"")</f>
        <v/>
      </c>
    </row>
    <row r="207" spans="1:10" x14ac:dyDescent="0.3">
      <c r="A207" s="4"/>
      <c r="D207" s="157"/>
      <c r="E207" s="1"/>
      <c r="G207" s="50"/>
      <c r="H207" s="34"/>
      <c r="I207" s="158"/>
      <c r="J207" t="str">
        <f>IFERROR(VLOOKUP(A207,Universe!B:L,11,0),"")</f>
        <v/>
      </c>
    </row>
    <row r="208" spans="1:10" x14ac:dyDescent="0.3">
      <c r="A208" s="4"/>
      <c r="D208" s="157"/>
      <c r="E208" s="1"/>
      <c r="G208" s="50"/>
      <c r="H208" s="34"/>
      <c r="I208" s="158"/>
    </row>
    <row r="209" spans="1:9" x14ac:dyDescent="0.3">
      <c r="A209" s="4"/>
      <c r="D209" s="157"/>
      <c r="E209" s="1"/>
      <c r="G209" s="50"/>
      <c r="H209" s="34"/>
      <c r="I209" s="158"/>
    </row>
    <row r="210" spans="1:9" x14ac:dyDescent="0.3">
      <c r="A210" s="4"/>
      <c r="D210" s="157"/>
      <c r="E210" s="1"/>
      <c r="G210" s="50"/>
      <c r="H210" s="34"/>
      <c r="I210" s="158"/>
    </row>
    <row r="211" spans="1:9" x14ac:dyDescent="0.3">
      <c r="A211" s="4"/>
      <c r="D211" s="157"/>
      <c r="E211" s="1"/>
      <c r="G211" s="50"/>
      <c r="H211" s="34"/>
      <c r="I211" s="158"/>
    </row>
    <row r="212" spans="1:9" x14ac:dyDescent="0.3">
      <c r="A212" s="4"/>
      <c r="D212" s="157"/>
      <c r="E212" s="1"/>
      <c r="G212" s="50"/>
      <c r="H212" s="34"/>
      <c r="I212" s="158"/>
    </row>
    <row r="213" spans="1:9" x14ac:dyDescent="0.3">
      <c r="A213" s="4"/>
      <c r="D213" s="157"/>
      <c r="E213" s="1"/>
      <c r="G213" s="50"/>
      <c r="H213" s="50"/>
      <c r="I213" s="158"/>
    </row>
    <row r="214" spans="1:9" x14ac:dyDescent="0.3">
      <c r="A214" s="4"/>
      <c r="D214" s="157"/>
      <c r="E214" s="1"/>
      <c r="G214" s="50"/>
      <c r="H214" s="50"/>
      <c r="I214" s="158"/>
    </row>
    <row r="215" spans="1:9" x14ac:dyDescent="0.3">
      <c r="A215" s="4"/>
      <c r="D215" s="157"/>
      <c r="E215" s="1"/>
      <c r="G215" s="50"/>
      <c r="H215" s="50"/>
      <c r="I215" s="158"/>
    </row>
    <row r="216" spans="1:9" x14ac:dyDescent="0.3">
      <c r="A216" s="4"/>
      <c r="D216" s="157"/>
      <c r="E216" s="1"/>
      <c r="G216" s="50"/>
      <c r="H216" s="50"/>
      <c r="I216" s="158"/>
    </row>
    <row r="217" spans="1:9" x14ac:dyDescent="0.3">
      <c r="A217" s="4"/>
      <c r="D217" s="1"/>
      <c r="E217" s="1"/>
      <c r="G217" s="50"/>
      <c r="H217" s="50"/>
      <c r="I217" s="85"/>
    </row>
    <row r="218" spans="1:9" x14ac:dyDescent="0.3">
      <c r="A218" s="4"/>
      <c r="D218" s="1"/>
      <c r="E218" s="1"/>
      <c r="G218" s="50"/>
      <c r="H218" s="50"/>
      <c r="I218" s="85"/>
    </row>
    <row r="219" spans="1:9" x14ac:dyDescent="0.3">
      <c r="A219" s="4"/>
      <c r="D219" s="1"/>
      <c r="E219" s="1"/>
      <c r="G219" s="50"/>
      <c r="H219" s="50"/>
      <c r="I219" s="85"/>
    </row>
    <row r="220" spans="1:9" x14ac:dyDescent="0.3">
      <c r="A220" s="4"/>
      <c r="D220" s="1"/>
      <c r="E220" s="1"/>
      <c r="G220" s="50"/>
      <c r="H220" s="50"/>
      <c r="I220" s="85"/>
    </row>
    <row r="221" spans="1:9" x14ac:dyDescent="0.3">
      <c r="A221" s="4"/>
      <c r="D221" s="1"/>
      <c r="E221" s="1"/>
      <c r="G221" s="50"/>
      <c r="H221" s="50"/>
      <c r="I221" s="85"/>
    </row>
    <row r="222" spans="1:9" x14ac:dyDescent="0.3">
      <c r="A222" s="4"/>
      <c r="D222" s="1"/>
      <c r="E222" s="1"/>
      <c r="G222" s="50"/>
      <c r="H222" s="50"/>
      <c r="I222" s="85"/>
    </row>
    <row r="223" spans="1:9" x14ac:dyDescent="0.3">
      <c r="A223" s="4"/>
      <c r="D223" s="1"/>
      <c r="E223" s="1"/>
      <c r="G223" s="50"/>
      <c r="H223" s="50"/>
      <c r="I223" s="85"/>
    </row>
    <row r="224" spans="1:9" x14ac:dyDescent="0.3">
      <c r="A224" s="4"/>
      <c r="D224" s="1"/>
      <c r="E224" s="1"/>
      <c r="G224" s="50"/>
      <c r="H224" s="50"/>
      <c r="I224" s="85"/>
    </row>
    <row r="225" spans="1:9" x14ac:dyDescent="0.3">
      <c r="A225" s="4"/>
      <c r="D225" s="1"/>
      <c r="E225" s="1"/>
      <c r="G225" s="50"/>
      <c r="H225" s="50"/>
      <c r="I225" s="85"/>
    </row>
    <row r="226" spans="1:9" x14ac:dyDescent="0.3">
      <c r="A226" s="4"/>
      <c r="D226" s="1"/>
      <c r="E226" s="1"/>
      <c r="G226" s="50"/>
      <c r="H226" s="50"/>
      <c r="I226" s="85"/>
    </row>
    <row r="227" spans="1:9" x14ac:dyDescent="0.3">
      <c r="A227" s="4"/>
      <c r="D227" s="1"/>
      <c r="E227" s="1"/>
      <c r="G227" s="50"/>
      <c r="H227" s="50"/>
      <c r="I227" s="85"/>
    </row>
    <row r="228" spans="1:9" x14ac:dyDescent="0.3">
      <c r="A228" s="4"/>
      <c r="D228" s="1"/>
      <c r="E228" s="1"/>
      <c r="G228" s="50"/>
      <c r="H228" s="50"/>
      <c r="I228" s="85"/>
    </row>
    <row r="229" spans="1:9" x14ac:dyDescent="0.3">
      <c r="A229" s="4"/>
      <c r="D229" s="1"/>
      <c r="E229" s="1"/>
      <c r="G229" s="50"/>
      <c r="H229" s="50"/>
      <c r="I229" s="85"/>
    </row>
    <row r="230" spans="1:9" x14ac:dyDescent="0.3">
      <c r="A230" s="4"/>
      <c r="D230" s="1"/>
      <c r="E230" s="1"/>
      <c r="G230" s="50"/>
      <c r="H230" s="50"/>
      <c r="I230" s="85"/>
    </row>
    <row r="231" spans="1:9" x14ac:dyDescent="0.3">
      <c r="A231" s="4"/>
      <c r="D231" s="1"/>
      <c r="E231" s="1"/>
      <c r="G231" s="50"/>
      <c r="H231" s="50"/>
      <c r="I231" s="85"/>
    </row>
    <row r="232" spans="1:9" x14ac:dyDescent="0.3">
      <c r="A232" s="4"/>
      <c r="D232" s="1"/>
      <c r="E232" s="1"/>
      <c r="G232" s="50"/>
      <c r="H232" s="50"/>
      <c r="I232" s="85"/>
    </row>
    <row r="233" spans="1:9" x14ac:dyDescent="0.3">
      <c r="A233" s="4"/>
      <c r="D233" s="1"/>
      <c r="E233" s="1"/>
      <c r="G233" s="50"/>
      <c r="H233" s="50"/>
      <c r="I233" s="85"/>
    </row>
    <row r="234" spans="1:9" x14ac:dyDescent="0.3">
      <c r="A234" s="4"/>
      <c r="D234" s="1"/>
      <c r="E234" s="1"/>
      <c r="G234" s="50"/>
      <c r="H234" s="50"/>
      <c r="I234" s="85"/>
    </row>
    <row r="235" spans="1:9" x14ac:dyDescent="0.3">
      <c r="A235" s="4"/>
      <c r="D235" s="1"/>
      <c r="E235" s="1"/>
      <c r="G235" s="50"/>
      <c r="H235" s="50"/>
      <c r="I235" s="85"/>
    </row>
    <row r="236" spans="1:9" x14ac:dyDescent="0.3">
      <c r="A236" s="4"/>
      <c r="D236" s="1"/>
      <c r="E236" s="1"/>
      <c r="G236" s="50"/>
      <c r="H236" s="50"/>
      <c r="I236" s="85"/>
    </row>
    <row r="237" spans="1:9" x14ac:dyDescent="0.3">
      <c r="A237" s="4"/>
      <c r="D237" s="1"/>
      <c r="E237" s="1"/>
      <c r="G237" s="50"/>
      <c r="H237" s="50"/>
      <c r="I237" s="85"/>
    </row>
    <row r="238" spans="1:9" x14ac:dyDescent="0.3">
      <c r="A238" s="4"/>
      <c r="D238" s="1"/>
      <c r="E238" s="1"/>
      <c r="G238" s="50"/>
      <c r="H238" s="50"/>
      <c r="I238" s="85"/>
    </row>
    <row r="239" spans="1:9" x14ac:dyDescent="0.3">
      <c r="A239" s="4"/>
      <c r="D239" s="1"/>
      <c r="E239" s="1"/>
      <c r="G239" s="50"/>
      <c r="H239" s="50"/>
      <c r="I239" s="85"/>
    </row>
    <row r="240" spans="1:9" x14ac:dyDescent="0.3">
      <c r="A240" s="4"/>
      <c r="D240" s="1"/>
      <c r="E240" s="1"/>
      <c r="G240" s="50"/>
      <c r="H240" s="50"/>
      <c r="I240" s="85"/>
    </row>
    <row r="241" spans="1:9" x14ac:dyDescent="0.3">
      <c r="A241" s="4"/>
      <c r="D241" s="1"/>
      <c r="E241" s="1"/>
      <c r="G241" s="50"/>
      <c r="H241" s="50"/>
      <c r="I241" s="85"/>
    </row>
    <row r="242" spans="1:9" x14ac:dyDescent="0.3">
      <c r="A242" s="4"/>
      <c r="D242" s="1"/>
      <c r="E242" s="1"/>
      <c r="G242" s="50"/>
      <c r="H242" s="50"/>
      <c r="I242" s="85"/>
    </row>
    <row r="243" spans="1:9" x14ac:dyDescent="0.3">
      <c r="A243" s="4"/>
      <c r="D243" s="1"/>
      <c r="E243" s="1"/>
      <c r="G243" s="50"/>
      <c r="H243" s="50"/>
      <c r="I243" s="85"/>
    </row>
    <row r="244" spans="1:9" x14ac:dyDescent="0.3">
      <c r="A244" s="4"/>
      <c r="D244" s="1"/>
      <c r="E244" s="1"/>
      <c r="G244" s="50"/>
      <c r="H244" s="50"/>
      <c r="I244" s="85"/>
    </row>
    <row r="245" spans="1:9" x14ac:dyDescent="0.3">
      <c r="A245" s="4"/>
      <c r="D245" s="1"/>
      <c r="E245" s="1"/>
      <c r="G245" s="50"/>
      <c r="H245" s="50"/>
      <c r="I245" s="85"/>
    </row>
    <row r="246" spans="1:9" x14ac:dyDescent="0.3">
      <c r="A246" s="4"/>
      <c r="D246" s="1"/>
      <c r="E246" s="1"/>
      <c r="G246" s="50"/>
      <c r="H246" s="50"/>
      <c r="I246" s="85"/>
    </row>
    <row r="247" spans="1:9" x14ac:dyDescent="0.3">
      <c r="A247" s="4"/>
      <c r="D247" s="1"/>
      <c r="E247" s="1"/>
      <c r="G247" s="50"/>
      <c r="H247" s="50"/>
      <c r="I247" s="85"/>
    </row>
  </sheetData>
  <autoFilter ref="A5:I207">
    <sortState ref="A6:I207">
      <sortCondition ref="F5:F207"/>
    </sortState>
  </autoFilter>
  <sortState ref="A6:J131">
    <sortCondition ref="C6:C131"/>
    <sortCondition descending="1" ref="J6:J207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Main1">
                <anchor moveWithCells="1" sizeWithCells="1">
                  <from>
                    <xdr:col>10</xdr:col>
                    <xdr:colOff>19050</xdr:colOff>
                    <xdr:row>6</xdr:row>
                    <xdr:rowOff>9525</xdr:rowOff>
                  </from>
                  <to>
                    <xdr:col>13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Main2">
                <anchor moveWithCells="1" sizeWithCells="1">
                  <from>
                    <xdr:col>10</xdr:col>
                    <xdr:colOff>9525</xdr:colOff>
                    <xdr:row>9</xdr:row>
                    <xdr:rowOff>19050</xdr:rowOff>
                  </from>
                  <to>
                    <xdr:col>13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6" name="Button 5">
              <controlPr defaultSize="0" print="0" autoFill="0" autoPict="0" macro="[0]!Main3">
                <anchor moveWithCells="1" sizeWithCells="1">
                  <from>
                    <xdr:col>10</xdr:col>
                    <xdr:colOff>0</xdr:colOff>
                    <xdr:row>12</xdr:row>
                    <xdr:rowOff>19050</xdr:rowOff>
                  </from>
                  <to>
                    <xdr:col>13</xdr:col>
                    <xdr:colOff>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7" name="Button 6">
              <controlPr defaultSize="0" print="0" autoFill="0" autoPict="0" macro="[0]!Main6">
                <anchor moveWithCells="1" sizeWithCells="1">
                  <from>
                    <xdr:col>10</xdr:col>
                    <xdr:colOff>0</xdr:colOff>
                    <xdr:row>15</xdr:row>
                    <xdr:rowOff>19050</xdr:rowOff>
                  </from>
                  <to>
                    <xdr:col>13</xdr:col>
                    <xdr:colOff>0</xdr:colOff>
                    <xdr:row>16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M1943"/>
  <sheetViews>
    <sheetView showGridLines="0" workbookViewId="0">
      <pane xSplit="4" ySplit="13" topLeftCell="E14" activePane="bottomRight" state="frozen"/>
      <selection pane="topRight" activeCell="D1" sqref="D1"/>
      <selection pane="bottomLeft" activeCell="A14" sqref="A14"/>
      <selection pane="bottomRight" activeCell="C32" sqref="C32"/>
    </sheetView>
  </sheetViews>
  <sheetFormatPr defaultColWidth="9" defaultRowHeight="12" x14ac:dyDescent="0.3"/>
  <cols>
    <col min="1" max="13" width="14.625" style="95" customWidth="1"/>
    <col min="14" max="16384" width="9" style="95"/>
  </cols>
  <sheetData>
    <row r="1" spans="1:13" ht="15" customHeight="1" x14ac:dyDescent="0.3">
      <c r="A1" s="93"/>
      <c r="B1" s="93" t="s">
        <v>50</v>
      </c>
      <c r="C1" s="94" t="s">
        <v>3720</v>
      </c>
    </row>
    <row r="3" spans="1:13" x14ac:dyDescent="0.3">
      <c r="A3" s="3"/>
      <c r="B3" s="3" t="s">
        <v>3721</v>
      </c>
    </row>
    <row r="4" spans="1:13" x14ac:dyDescent="0.3">
      <c r="A4" s="96"/>
      <c r="B4" s="96" t="s">
        <v>3722</v>
      </c>
      <c r="C4" s="96" t="s">
        <v>37</v>
      </c>
      <c r="D4" s="96" t="s">
        <v>2</v>
      </c>
      <c r="E4" s="93"/>
    </row>
    <row r="5" spans="1:13" x14ac:dyDescent="0.3">
      <c r="A5" s="97"/>
      <c r="B5" s="98" t="s">
        <v>3723</v>
      </c>
      <c r="C5" s="98">
        <v>0</v>
      </c>
      <c r="D5" s="98" t="s">
        <v>38</v>
      </c>
    </row>
    <row r="6" spans="1:13" x14ac:dyDescent="0.3">
      <c r="A6" s="99"/>
      <c r="B6" s="98" t="s">
        <v>3724</v>
      </c>
      <c r="C6" s="100" t="str">
        <f ca="1">Main!C3</f>
        <v>20170411</v>
      </c>
      <c r="D6" s="98" t="s">
        <v>3577</v>
      </c>
    </row>
    <row r="7" spans="1:13" x14ac:dyDescent="0.3">
      <c r="B7" s="99"/>
      <c r="C7" s="99"/>
      <c r="D7" s="99">
        <v>0</v>
      </c>
    </row>
    <row r="9" spans="1:13" x14ac:dyDescent="0.3">
      <c r="B9" s="96"/>
      <c r="C9" s="96" t="s">
        <v>3725</v>
      </c>
      <c r="D9" s="96" t="s">
        <v>31</v>
      </c>
      <c r="E9" s="96" t="s">
        <v>39</v>
      </c>
      <c r="F9" s="96" t="s">
        <v>41</v>
      </c>
      <c r="G9" s="96" t="s">
        <v>42</v>
      </c>
      <c r="H9" s="96" t="s">
        <v>43</v>
      </c>
      <c r="I9" s="96" t="s">
        <v>44</v>
      </c>
      <c r="J9" s="96" t="s">
        <v>45</v>
      </c>
      <c r="K9" s="96" t="s">
        <v>46</v>
      </c>
      <c r="L9" s="96" t="s">
        <v>3578</v>
      </c>
      <c r="M9" s="96" t="s">
        <v>48</v>
      </c>
    </row>
    <row r="10" spans="1:13" x14ac:dyDescent="0.3">
      <c r="B10" s="98"/>
      <c r="C10" s="98" t="s">
        <v>3726</v>
      </c>
      <c r="D10" s="98"/>
      <c r="E10" s="98"/>
      <c r="F10" s="98"/>
      <c r="G10" s="98"/>
      <c r="H10" s="98"/>
      <c r="I10" s="98"/>
      <c r="J10" s="98"/>
      <c r="K10" s="98"/>
      <c r="L10" s="101" t="str">
        <f ca="1">C6</f>
        <v>20170411</v>
      </c>
      <c r="M10" s="98"/>
    </row>
    <row r="11" spans="1:13" x14ac:dyDescent="0.3">
      <c r="B11" s="98"/>
      <c r="C11" s="98" t="s">
        <v>3727</v>
      </c>
      <c r="D11" s="98" t="s">
        <v>35</v>
      </c>
      <c r="E11" s="98" t="s">
        <v>40</v>
      </c>
      <c r="F11" s="98" t="s">
        <v>40</v>
      </c>
      <c r="G11" s="98" t="s">
        <v>35</v>
      </c>
      <c r="H11" s="98" t="s">
        <v>35</v>
      </c>
      <c r="I11" s="98"/>
      <c r="J11" s="98"/>
      <c r="K11" s="98"/>
      <c r="L11" s="98" t="s">
        <v>3579</v>
      </c>
      <c r="M11" s="98" t="s">
        <v>49</v>
      </c>
    </row>
    <row r="12" spans="1:13" x14ac:dyDescent="0.3">
      <c r="B12" s="102"/>
      <c r="C12" s="102" t="s">
        <v>3730</v>
      </c>
      <c r="D12" s="98"/>
      <c r="E12" s="98"/>
      <c r="F12" s="98"/>
      <c r="G12" s="98"/>
      <c r="H12" s="98"/>
      <c r="I12" s="98"/>
      <c r="J12" s="98"/>
      <c r="K12" s="98"/>
      <c r="L12" s="98"/>
      <c r="M12" s="98" t="s">
        <v>1</v>
      </c>
    </row>
    <row r="13" spans="1:13" x14ac:dyDescent="0.3">
      <c r="A13" s="103" t="s">
        <v>3580</v>
      </c>
      <c r="B13" s="104" t="s">
        <v>3729</v>
      </c>
      <c r="C13" s="105" t="s">
        <v>3728</v>
      </c>
      <c r="D13" s="105" t="s">
        <v>3731</v>
      </c>
      <c r="E13" s="105" t="s">
        <v>3732</v>
      </c>
      <c r="F13" s="105" t="s">
        <v>3733</v>
      </c>
      <c r="G13" s="105" t="s">
        <v>3734</v>
      </c>
      <c r="H13" s="105" t="s">
        <v>3735</v>
      </c>
      <c r="I13" s="105" t="s">
        <v>3736</v>
      </c>
      <c r="J13" s="105" t="s">
        <v>3737</v>
      </c>
      <c r="K13" s="105" t="s">
        <v>3738</v>
      </c>
      <c r="L13" s="105" t="s">
        <v>3739</v>
      </c>
      <c r="M13" s="105" t="s">
        <v>3740</v>
      </c>
    </row>
    <row r="14" spans="1:13" x14ac:dyDescent="0.3">
      <c r="A14" s="95">
        <f>IF(AND(E14=1,J14=K14,M14&gt;6),1,0)</f>
        <v>0</v>
      </c>
      <c r="B14" s="106" t="s">
        <v>51</v>
      </c>
      <c r="C14" s="95" t="s">
        <v>1532</v>
      </c>
      <c r="D14" s="106">
        <v>12</v>
      </c>
      <c r="E14" s="107">
        <v>1</v>
      </c>
      <c r="F14" s="107" t="s">
        <v>2958</v>
      </c>
      <c r="G14" s="107" t="s">
        <v>2960</v>
      </c>
      <c r="H14" s="107" t="s">
        <v>2970</v>
      </c>
      <c r="I14" s="107" t="s">
        <v>2996</v>
      </c>
      <c r="J14" s="107" t="s">
        <v>2996</v>
      </c>
      <c r="K14" s="107" t="s">
        <v>2996</v>
      </c>
      <c r="L14" s="107">
        <v>185.46</v>
      </c>
      <c r="M14" s="107"/>
    </row>
    <row r="15" spans="1:13" x14ac:dyDescent="0.3">
      <c r="A15" s="95">
        <f t="shared" ref="A15:A78" si="0">IF(AND(E15=1,J15=K15,M15&gt;6),1,0)</f>
        <v>0</v>
      </c>
      <c r="B15" s="106" t="s">
        <v>52</v>
      </c>
      <c r="C15" s="95" t="s">
        <v>1533</v>
      </c>
      <c r="D15" s="106">
        <v>12</v>
      </c>
      <c r="E15" s="107">
        <v>1</v>
      </c>
      <c r="F15" s="107" t="s">
        <v>2958</v>
      </c>
      <c r="G15" s="107" t="s">
        <v>2961</v>
      </c>
      <c r="H15" s="107" t="s">
        <v>2971</v>
      </c>
      <c r="I15" s="107" t="s">
        <v>2997</v>
      </c>
      <c r="J15" s="107" t="s">
        <v>2997</v>
      </c>
      <c r="K15" s="107" t="s">
        <v>2996</v>
      </c>
      <c r="L15" s="107">
        <v>53.35</v>
      </c>
      <c r="M15" s="107"/>
    </row>
    <row r="16" spans="1:13" x14ac:dyDescent="0.3">
      <c r="A16" s="95">
        <f t="shared" si="0"/>
        <v>0</v>
      </c>
      <c r="B16" s="106" t="s">
        <v>53</v>
      </c>
      <c r="C16" s="95" t="s">
        <v>1534</v>
      </c>
      <c r="D16" s="106">
        <v>12</v>
      </c>
      <c r="E16" s="107">
        <v>1</v>
      </c>
      <c r="F16" s="107" t="s">
        <v>2958</v>
      </c>
      <c r="G16" s="107" t="s">
        <v>2961</v>
      </c>
      <c r="H16" s="107" t="s">
        <v>2972</v>
      </c>
      <c r="I16" s="107" t="s">
        <v>2997</v>
      </c>
      <c r="J16" s="107" t="s">
        <v>2997</v>
      </c>
      <c r="K16" s="107" t="s">
        <v>2996</v>
      </c>
      <c r="L16" s="107">
        <v>324</v>
      </c>
      <c r="M16" s="107"/>
    </row>
    <row r="17" spans="1:13" x14ac:dyDescent="0.3">
      <c r="A17" s="95">
        <f t="shared" si="0"/>
        <v>0</v>
      </c>
      <c r="B17" s="106" t="s">
        <v>54</v>
      </c>
      <c r="C17" s="95" t="s">
        <v>1535</v>
      </c>
      <c r="D17" s="106">
        <v>3</v>
      </c>
      <c r="E17" s="107">
        <v>1</v>
      </c>
      <c r="F17" s="107" t="s">
        <v>2958</v>
      </c>
      <c r="G17" s="107" t="s">
        <v>2962</v>
      </c>
      <c r="H17" s="107" t="s">
        <v>2973</v>
      </c>
      <c r="I17" s="107" t="s">
        <v>2997</v>
      </c>
      <c r="J17" s="107" t="s">
        <v>2997</v>
      </c>
      <c r="K17" s="107" t="s">
        <v>2996</v>
      </c>
      <c r="L17" s="107">
        <v>1286.8800000000001</v>
      </c>
      <c r="M17" s="107">
        <v>8</v>
      </c>
    </row>
    <row r="18" spans="1:13" x14ac:dyDescent="0.3">
      <c r="A18" s="95">
        <f t="shared" si="0"/>
        <v>0</v>
      </c>
      <c r="B18" s="106" t="s">
        <v>55</v>
      </c>
      <c r="C18" s="95" t="s">
        <v>1536</v>
      </c>
      <c r="D18" s="106">
        <v>12</v>
      </c>
      <c r="E18" s="107">
        <v>1</v>
      </c>
      <c r="F18" s="107" t="s">
        <v>2958</v>
      </c>
      <c r="G18" s="107" t="s">
        <v>2963</v>
      </c>
      <c r="H18" s="107" t="s">
        <v>2974</v>
      </c>
      <c r="I18" s="107" t="s">
        <v>2997</v>
      </c>
      <c r="J18" s="107" t="s">
        <v>2997</v>
      </c>
      <c r="K18" s="107" t="s">
        <v>2997</v>
      </c>
      <c r="L18" s="107">
        <v>708.38</v>
      </c>
      <c r="M18" s="107">
        <v>1</v>
      </c>
    </row>
    <row r="19" spans="1:13" x14ac:dyDescent="0.3">
      <c r="A19" s="95">
        <f t="shared" si="0"/>
        <v>1</v>
      </c>
      <c r="B19" s="106" t="s">
        <v>56</v>
      </c>
      <c r="C19" s="95" t="s">
        <v>1537</v>
      </c>
      <c r="D19" s="106">
        <v>12</v>
      </c>
      <c r="E19" s="107">
        <v>1</v>
      </c>
      <c r="F19" s="107" t="s">
        <v>2958</v>
      </c>
      <c r="G19" s="107" t="s">
        <v>2963</v>
      </c>
      <c r="H19" s="107" t="s">
        <v>2974</v>
      </c>
      <c r="I19" s="107" t="s">
        <v>2997</v>
      </c>
      <c r="J19" s="107" t="s">
        <v>2997</v>
      </c>
      <c r="K19" s="107" t="s">
        <v>2997</v>
      </c>
      <c r="L19" s="107">
        <v>2167.6999999999998</v>
      </c>
      <c r="M19" s="107">
        <v>12</v>
      </c>
    </row>
    <row r="20" spans="1:13" x14ac:dyDescent="0.3">
      <c r="A20" s="95">
        <f t="shared" si="0"/>
        <v>0</v>
      </c>
      <c r="B20" s="106" t="s">
        <v>0</v>
      </c>
      <c r="C20" s="95" t="s">
        <v>4</v>
      </c>
      <c r="D20" s="106">
        <v>12</v>
      </c>
      <c r="E20" s="107">
        <v>1</v>
      </c>
      <c r="F20" s="107" t="s">
        <v>2958</v>
      </c>
      <c r="G20" s="107" t="s">
        <v>2960</v>
      </c>
      <c r="H20" s="107" t="s">
        <v>2970</v>
      </c>
      <c r="I20" s="107" t="s">
        <v>2997</v>
      </c>
      <c r="J20" s="107" t="s">
        <v>2997</v>
      </c>
      <c r="K20" s="107" t="s">
        <v>2996</v>
      </c>
      <c r="L20" s="107">
        <v>2052.0700000000002</v>
      </c>
      <c r="M20" s="107">
        <v>15</v>
      </c>
    </row>
    <row r="21" spans="1:13" x14ac:dyDescent="0.3">
      <c r="A21" s="95">
        <f t="shared" si="0"/>
        <v>1</v>
      </c>
      <c r="B21" s="106" t="s">
        <v>57</v>
      </c>
      <c r="C21" s="95" t="s">
        <v>1538</v>
      </c>
      <c r="D21" s="106">
        <v>12</v>
      </c>
      <c r="E21" s="107">
        <v>1</v>
      </c>
      <c r="F21" s="107" t="s">
        <v>2958</v>
      </c>
      <c r="G21" s="107" t="s">
        <v>2964</v>
      </c>
      <c r="H21" s="107" t="s">
        <v>2975</v>
      </c>
      <c r="I21" s="107" t="s">
        <v>2997</v>
      </c>
      <c r="J21" s="107" t="s">
        <v>2997</v>
      </c>
      <c r="K21" s="107" t="s">
        <v>2997</v>
      </c>
      <c r="L21" s="107">
        <v>2176.3000000000002</v>
      </c>
      <c r="M21" s="107">
        <v>7</v>
      </c>
    </row>
    <row r="22" spans="1:13" x14ac:dyDescent="0.3">
      <c r="A22" s="95">
        <f t="shared" si="0"/>
        <v>0</v>
      </c>
      <c r="B22" s="106" t="s">
        <v>58</v>
      </c>
      <c r="C22" s="95" t="s">
        <v>1539</v>
      </c>
      <c r="D22" s="106">
        <v>12</v>
      </c>
      <c r="E22" s="107">
        <v>1</v>
      </c>
      <c r="F22" s="107" t="s">
        <v>2958</v>
      </c>
      <c r="G22" s="107" t="s">
        <v>2963</v>
      </c>
      <c r="H22" s="107" t="s">
        <v>2974</v>
      </c>
      <c r="I22" s="107" t="s">
        <v>2997</v>
      </c>
      <c r="J22" s="107" t="s">
        <v>2997</v>
      </c>
      <c r="K22" s="107" t="s">
        <v>2996</v>
      </c>
      <c r="L22" s="107">
        <v>302.85000000000002</v>
      </c>
      <c r="M22" s="107"/>
    </row>
    <row r="23" spans="1:13" x14ac:dyDescent="0.3">
      <c r="A23" s="95">
        <f t="shared" si="0"/>
        <v>1</v>
      </c>
      <c r="B23" s="106" t="s">
        <v>59</v>
      </c>
      <c r="C23" s="95" t="s">
        <v>1540</v>
      </c>
      <c r="D23" s="106">
        <v>12</v>
      </c>
      <c r="E23" s="107">
        <v>1</v>
      </c>
      <c r="F23" s="107" t="s">
        <v>2958</v>
      </c>
      <c r="G23" s="107" t="s">
        <v>2964</v>
      </c>
      <c r="H23" s="107" t="s">
        <v>2976</v>
      </c>
      <c r="I23" s="107" t="s">
        <v>2997</v>
      </c>
      <c r="J23" s="107" t="s">
        <v>2997</v>
      </c>
      <c r="K23" s="107" t="s">
        <v>2997</v>
      </c>
      <c r="L23" s="107">
        <v>2683.12</v>
      </c>
      <c r="M23" s="107">
        <v>12</v>
      </c>
    </row>
    <row r="24" spans="1:13" x14ac:dyDescent="0.3">
      <c r="A24" s="95">
        <f t="shared" si="0"/>
        <v>0</v>
      </c>
      <c r="B24" s="106" t="s">
        <v>60</v>
      </c>
      <c r="C24" s="95" t="s">
        <v>1541</v>
      </c>
      <c r="D24" s="106">
        <v>12</v>
      </c>
      <c r="E24" s="107">
        <v>1</v>
      </c>
      <c r="F24" s="107" t="s">
        <v>2958</v>
      </c>
      <c r="G24" s="107" t="s">
        <v>2965</v>
      </c>
      <c r="H24" s="107" t="s">
        <v>2965</v>
      </c>
      <c r="I24" s="107" t="s">
        <v>2997</v>
      </c>
      <c r="J24" s="107" t="s">
        <v>2997</v>
      </c>
      <c r="K24" s="107" t="s">
        <v>2997</v>
      </c>
      <c r="L24" s="107">
        <v>129.94</v>
      </c>
      <c r="M24" s="107"/>
    </row>
    <row r="25" spans="1:13" x14ac:dyDescent="0.3">
      <c r="A25" s="95">
        <f t="shared" si="0"/>
        <v>1</v>
      </c>
      <c r="B25" s="106" t="s">
        <v>61</v>
      </c>
      <c r="C25" s="95" t="s">
        <v>1542</v>
      </c>
      <c r="D25" s="106">
        <v>12</v>
      </c>
      <c r="E25" s="107">
        <v>1</v>
      </c>
      <c r="F25" s="107" t="s">
        <v>2958</v>
      </c>
      <c r="G25" s="107" t="s">
        <v>2964</v>
      </c>
      <c r="H25" s="107" t="s">
        <v>2976</v>
      </c>
      <c r="I25" s="107" t="s">
        <v>2997</v>
      </c>
      <c r="J25" s="107" t="s">
        <v>2997</v>
      </c>
      <c r="K25" s="107" t="s">
        <v>2997</v>
      </c>
      <c r="L25" s="107">
        <v>3020.64</v>
      </c>
      <c r="M25" s="107">
        <v>24</v>
      </c>
    </row>
    <row r="26" spans="1:13" x14ac:dyDescent="0.3">
      <c r="A26" s="95">
        <f t="shared" si="0"/>
        <v>0</v>
      </c>
      <c r="B26" s="106" t="s">
        <v>62</v>
      </c>
      <c r="C26" s="95" t="s">
        <v>1543</v>
      </c>
      <c r="D26" s="106">
        <v>3</v>
      </c>
      <c r="E26" s="107">
        <v>1</v>
      </c>
      <c r="F26" s="107" t="s">
        <v>2958</v>
      </c>
      <c r="G26" s="107" t="s">
        <v>2960</v>
      </c>
      <c r="H26" s="107" t="s">
        <v>2970</v>
      </c>
      <c r="I26" s="107" t="s">
        <v>2997</v>
      </c>
      <c r="J26" s="107" t="s">
        <v>2996</v>
      </c>
      <c r="K26" s="107" t="s">
        <v>2996</v>
      </c>
      <c r="L26" s="107">
        <v>40.76</v>
      </c>
      <c r="M26" s="107"/>
    </row>
    <row r="27" spans="1:13" x14ac:dyDescent="0.3">
      <c r="A27" s="95">
        <f t="shared" si="0"/>
        <v>0</v>
      </c>
      <c r="B27" s="106" t="s">
        <v>63</v>
      </c>
      <c r="C27" s="95" t="s">
        <v>1544</v>
      </c>
      <c r="D27" s="106">
        <v>12</v>
      </c>
      <c r="E27" s="107">
        <v>1</v>
      </c>
      <c r="F27" s="107" t="s">
        <v>2958</v>
      </c>
      <c r="G27" s="107" t="s">
        <v>2960</v>
      </c>
      <c r="H27" s="107" t="s">
        <v>2970</v>
      </c>
      <c r="I27" s="107" t="s">
        <v>2997</v>
      </c>
      <c r="J27" s="107" t="s">
        <v>2997</v>
      </c>
      <c r="K27" s="107" t="s">
        <v>2997</v>
      </c>
      <c r="L27" s="107">
        <v>256.95</v>
      </c>
      <c r="M27" s="107"/>
    </row>
    <row r="28" spans="1:13" x14ac:dyDescent="0.3">
      <c r="A28" s="95">
        <f t="shared" si="0"/>
        <v>0</v>
      </c>
      <c r="B28" s="106" t="s">
        <v>64</v>
      </c>
      <c r="C28" s="95" t="s">
        <v>1545</v>
      </c>
      <c r="D28" s="106">
        <v>12</v>
      </c>
      <c r="E28" s="107">
        <v>1</v>
      </c>
      <c r="F28" s="107" t="s">
        <v>2958</v>
      </c>
      <c r="G28" s="107" t="s">
        <v>2961</v>
      </c>
      <c r="H28" s="107" t="s">
        <v>2971</v>
      </c>
      <c r="I28" s="107" t="s">
        <v>2996</v>
      </c>
      <c r="J28" s="107" t="s">
        <v>2996</v>
      </c>
      <c r="K28" s="107" t="s">
        <v>2996</v>
      </c>
      <c r="L28" s="107">
        <v>603.11</v>
      </c>
      <c r="M28" s="107"/>
    </row>
    <row r="29" spans="1:13" x14ac:dyDescent="0.3">
      <c r="A29" s="95">
        <f t="shared" si="0"/>
        <v>0</v>
      </c>
      <c r="B29" s="106" t="s">
        <v>65</v>
      </c>
      <c r="C29" s="95" t="s">
        <v>1546</v>
      </c>
      <c r="D29" s="106">
        <v>12</v>
      </c>
      <c r="E29" s="107">
        <v>1</v>
      </c>
      <c r="F29" s="107" t="s">
        <v>2959</v>
      </c>
      <c r="G29" s="107" t="s">
        <v>2960</v>
      </c>
      <c r="H29" s="107" t="s">
        <v>2970</v>
      </c>
      <c r="I29" s="107" t="s">
        <v>2997</v>
      </c>
      <c r="J29" s="107" t="s">
        <v>2997</v>
      </c>
      <c r="K29" s="107" t="s">
        <v>2997</v>
      </c>
      <c r="L29" s="107">
        <v>85</v>
      </c>
      <c r="M29" s="107">
        <v>1</v>
      </c>
    </row>
    <row r="30" spans="1:13" x14ac:dyDescent="0.3">
      <c r="A30" s="95">
        <f t="shared" si="0"/>
        <v>1</v>
      </c>
      <c r="B30" s="106" t="s">
        <v>66</v>
      </c>
      <c r="C30" s="95" t="s">
        <v>1547</v>
      </c>
      <c r="D30" s="106">
        <v>12</v>
      </c>
      <c r="E30" s="107">
        <v>1</v>
      </c>
      <c r="F30" s="107" t="s">
        <v>2958</v>
      </c>
      <c r="G30" s="107" t="s">
        <v>2961</v>
      </c>
      <c r="H30" s="107" t="s">
        <v>2971</v>
      </c>
      <c r="I30" s="107" t="s">
        <v>2997</v>
      </c>
      <c r="J30" s="107" t="s">
        <v>2997</v>
      </c>
      <c r="K30" s="107" t="s">
        <v>2997</v>
      </c>
      <c r="L30" s="107">
        <v>25173.06</v>
      </c>
      <c r="M30" s="107">
        <v>28</v>
      </c>
    </row>
    <row r="31" spans="1:13" x14ac:dyDescent="0.3">
      <c r="A31" s="95">
        <f t="shared" si="0"/>
        <v>0</v>
      </c>
      <c r="B31" s="106" t="s">
        <v>67</v>
      </c>
      <c r="C31" s="95" t="s">
        <v>1548</v>
      </c>
      <c r="D31" s="106">
        <v>12</v>
      </c>
      <c r="E31" s="107">
        <v>1</v>
      </c>
      <c r="F31" s="107" t="s">
        <v>2958</v>
      </c>
      <c r="G31" s="107" t="s">
        <v>2961</v>
      </c>
      <c r="H31" s="107" t="s">
        <v>2971</v>
      </c>
      <c r="I31" s="107" t="s">
        <v>2997</v>
      </c>
      <c r="J31" s="107" t="s">
        <v>2997</v>
      </c>
      <c r="K31" s="107" t="s">
        <v>2996</v>
      </c>
      <c r="L31" s="107">
        <v>98.03</v>
      </c>
      <c r="M31" s="107"/>
    </row>
    <row r="32" spans="1:13" x14ac:dyDescent="0.3">
      <c r="A32" s="95">
        <f t="shared" si="0"/>
        <v>0</v>
      </c>
      <c r="B32" s="106" t="s">
        <v>68</v>
      </c>
      <c r="C32" s="95" t="s">
        <v>1549</v>
      </c>
      <c r="D32" s="106">
        <v>12</v>
      </c>
      <c r="E32" s="107">
        <v>1</v>
      </c>
      <c r="F32" s="107" t="s">
        <v>2958</v>
      </c>
      <c r="G32" s="107" t="s">
        <v>2964</v>
      </c>
      <c r="H32" s="107" t="s">
        <v>2976</v>
      </c>
      <c r="I32" s="107" t="s">
        <v>2997</v>
      </c>
      <c r="J32" s="107" t="s">
        <v>2997</v>
      </c>
      <c r="K32" s="107" t="s">
        <v>2996</v>
      </c>
      <c r="L32" s="107">
        <v>180.82</v>
      </c>
      <c r="M32" s="107"/>
    </row>
    <row r="33" spans="1:13" x14ac:dyDescent="0.3">
      <c r="A33" s="95">
        <f t="shared" si="0"/>
        <v>0</v>
      </c>
      <c r="B33" s="106" t="s">
        <v>69</v>
      </c>
      <c r="C33" s="95" t="s">
        <v>1550</v>
      </c>
      <c r="D33" s="106">
        <v>12</v>
      </c>
      <c r="E33" s="107">
        <v>1</v>
      </c>
      <c r="F33" s="107" t="s">
        <v>2958</v>
      </c>
      <c r="G33" s="107" t="s">
        <v>2964</v>
      </c>
      <c r="H33" s="107" t="s">
        <v>2976</v>
      </c>
      <c r="I33" s="107" t="s">
        <v>2997</v>
      </c>
      <c r="J33" s="107" t="s">
        <v>2997</v>
      </c>
      <c r="K33" s="107" t="s">
        <v>2996</v>
      </c>
      <c r="L33" s="107">
        <v>40.79</v>
      </c>
      <c r="M33" s="107"/>
    </row>
    <row r="34" spans="1:13" x14ac:dyDescent="0.3">
      <c r="A34" s="95">
        <f t="shared" si="0"/>
        <v>0</v>
      </c>
      <c r="B34" s="106" t="s">
        <v>70</v>
      </c>
      <c r="C34" s="95" t="s">
        <v>1551</v>
      </c>
      <c r="D34" s="106">
        <v>3</v>
      </c>
      <c r="E34" s="107">
        <v>1</v>
      </c>
      <c r="F34" s="107" t="s">
        <v>2958</v>
      </c>
      <c r="G34" s="107" t="s">
        <v>2962</v>
      </c>
      <c r="H34" s="107" t="s">
        <v>2973</v>
      </c>
      <c r="I34" s="107" t="s">
        <v>2997</v>
      </c>
      <c r="J34" s="107" t="s">
        <v>2997</v>
      </c>
      <c r="K34" s="107" t="s">
        <v>2996</v>
      </c>
      <c r="L34" s="107">
        <v>243.21</v>
      </c>
      <c r="M34" s="107">
        <v>2</v>
      </c>
    </row>
    <row r="35" spans="1:13" x14ac:dyDescent="0.3">
      <c r="A35" s="95">
        <f t="shared" si="0"/>
        <v>0</v>
      </c>
      <c r="B35" s="106" t="s">
        <v>71</v>
      </c>
      <c r="C35" s="95" t="s">
        <v>1552</v>
      </c>
      <c r="D35" s="106">
        <v>12</v>
      </c>
      <c r="E35" s="107">
        <v>1</v>
      </c>
      <c r="F35" s="107" t="s">
        <v>2958</v>
      </c>
      <c r="G35" s="107" t="s">
        <v>2964</v>
      </c>
      <c r="H35" s="107" t="s">
        <v>2976</v>
      </c>
      <c r="I35" s="107" t="s">
        <v>2997</v>
      </c>
      <c r="J35" s="107" t="s">
        <v>2997</v>
      </c>
      <c r="K35" s="107" t="s">
        <v>2997</v>
      </c>
      <c r="L35" s="107">
        <v>132.16</v>
      </c>
      <c r="M35" s="107">
        <v>1</v>
      </c>
    </row>
    <row r="36" spans="1:13" x14ac:dyDescent="0.3">
      <c r="A36" s="95">
        <f t="shared" si="0"/>
        <v>0</v>
      </c>
      <c r="B36" s="106" t="s">
        <v>72</v>
      </c>
      <c r="C36" s="95" t="s">
        <v>1553</v>
      </c>
      <c r="D36" s="106">
        <v>3</v>
      </c>
      <c r="E36" s="107">
        <v>1</v>
      </c>
      <c r="F36" s="107" t="s">
        <v>2958</v>
      </c>
      <c r="G36" s="107" t="s">
        <v>2962</v>
      </c>
      <c r="H36" s="107" t="s">
        <v>2973</v>
      </c>
      <c r="I36" s="107" t="s">
        <v>2996</v>
      </c>
      <c r="J36" s="107" t="s">
        <v>2996</v>
      </c>
      <c r="K36" s="107" t="s">
        <v>2996</v>
      </c>
      <c r="L36" s="107">
        <v>208.57</v>
      </c>
      <c r="M36" s="107"/>
    </row>
    <row r="37" spans="1:13" x14ac:dyDescent="0.3">
      <c r="A37" s="95">
        <f t="shared" si="0"/>
        <v>0</v>
      </c>
      <c r="B37" s="106" t="s">
        <v>73</v>
      </c>
      <c r="C37" s="95" t="s">
        <v>1554</v>
      </c>
      <c r="D37" s="106">
        <v>12</v>
      </c>
      <c r="E37" s="107">
        <v>1</v>
      </c>
      <c r="F37" s="107" t="s">
        <v>2958</v>
      </c>
      <c r="G37" s="107" t="s">
        <v>2966</v>
      </c>
      <c r="H37" s="107" t="s">
        <v>2977</v>
      </c>
      <c r="I37" s="107" t="s">
        <v>2997</v>
      </c>
      <c r="J37" s="107" t="s">
        <v>2997</v>
      </c>
      <c r="K37" s="107" t="s">
        <v>2997</v>
      </c>
      <c r="L37" s="107">
        <v>58.42</v>
      </c>
      <c r="M37" s="107"/>
    </row>
    <row r="38" spans="1:13" x14ac:dyDescent="0.3">
      <c r="A38" s="95">
        <f t="shared" si="0"/>
        <v>0</v>
      </c>
      <c r="B38" s="106" t="s">
        <v>74</v>
      </c>
      <c r="C38" s="95" t="s">
        <v>1555</v>
      </c>
      <c r="D38" s="106">
        <v>12</v>
      </c>
      <c r="E38" s="107">
        <v>1</v>
      </c>
      <c r="F38" s="107" t="s">
        <v>2958</v>
      </c>
      <c r="G38" s="107" t="s">
        <v>2961</v>
      </c>
      <c r="H38" s="107" t="s">
        <v>2971</v>
      </c>
      <c r="I38" s="107" t="s">
        <v>2997</v>
      </c>
      <c r="J38" s="107" t="s">
        <v>2997</v>
      </c>
      <c r="K38" s="107" t="s">
        <v>2997</v>
      </c>
      <c r="L38" s="107">
        <v>440.82</v>
      </c>
      <c r="M38" s="107"/>
    </row>
    <row r="39" spans="1:13" x14ac:dyDescent="0.3">
      <c r="A39" s="95">
        <f t="shared" si="0"/>
        <v>0</v>
      </c>
      <c r="B39" s="106" t="s">
        <v>75</v>
      </c>
      <c r="C39" s="95" t="s">
        <v>1556</v>
      </c>
      <c r="D39" s="106">
        <v>9</v>
      </c>
      <c r="E39" s="107">
        <v>1</v>
      </c>
      <c r="F39" s="107" t="s">
        <v>2959</v>
      </c>
      <c r="G39" s="107" t="s">
        <v>2967</v>
      </c>
      <c r="H39" s="107" t="s">
        <v>2967</v>
      </c>
      <c r="I39" s="107" t="s">
        <v>2996</v>
      </c>
      <c r="J39" s="107" t="s">
        <v>2996</v>
      </c>
      <c r="K39" s="107" t="s">
        <v>2996</v>
      </c>
      <c r="L39" s="107">
        <v>23.73</v>
      </c>
      <c r="M39" s="107"/>
    </row>
    <row r="40" spans="1:13" x14ac:dyDescent="0.3">
      <c r="A40" s="95">
        <f t="shared" si="0"/>
        <v>0</v>
      </c>
      <c r="B40" s="106" t="s">
        <v>76</v>
      </c>
      <c r="C40" s="95" t="s">
        <v>1557</v>
      </c>
      <c r="D40" s="106">
        <v>12</v>
      </c>
      <c r="E40" s="107">
        <v>1</v>
      </c>
      <c r="F40" s="107" t="s">
        <v>2958</v>
      </c>
      <c r="G40" s="107" t="s">
        <v>2965</v>
      </c>
      <c r="H40" s="107" t="s">
        <v>2965</v>
      </c>
      <c r="I40" s="107" t="s">
        <v>2997</v>
      </c>
      <c r="J40" s="107" t="s">
        <v>2997</v>
      </c>
      <c r="K40" s="107" t="s">
        <v>2996</v>
      </c>
      <c r="L40" s="107">
        <v>299.60000000000002</v>
      </c>
      <c r="M40" s="107"/>
    </row>
    <row r="41" spans="1:13" x14ac:dyDescent="0.3">
      <c r="A41" s="95">
        <f t="shared" si="0"/>
        <v>0</v>
      </c>
      <c r="B41" s="106" t="s">
        <v>77</v>
      </c>
      <c r="C41" s="95" t="s">
        <v>1558</v>
      </c>
      <c r="D41" s="106">
        <v>12</v>
      </c>
      <c r="E41" s="107">
        <v>1</v>
      </c>
      <c r="F41" s="107" t="s">
        <v>2958</v>
      </c>
      <c r="G41" s="107" t="s">
        <v>2964</v>
      </c>
      <c r="H41" s="107" t="s">
        <v>2976</v>
      </c>
      <c r="I41" s="107" t="s">
        <v>2997</v>
      </c>
      <c r="J41" s="107" t="s">
        <v>2997</v>
      </c>
      <c r="K41" s="107" t="s">
        <v>2996</v>
      </c>
      <c r="L41" s="107">
        <v>151.86000000000001</v>
      </c>
      <c r="M41" s="107"/>
    </row>
    <row r="42" spans="1:13" x14ac:dyDescent="0.3">
      <c r="A42" s="95">
        <f t="shared" si="0"/>
        <v>0</v>
      </c>
      <c r="B42" s="106" t="s">
        <v>78</v>
      </c>
      <c r="C42" s="95" t="s">
        <v>1559</v>
      </c>
      <c r="D42" s="106">
        <v>12</v>
      </c>
      <c r="E42" s="107">
        <v>1</v>
      </c>
      <c r="F42" s="107" t="s">
        <v>2958</v>
      </c>
      <c r="G42" s="107" t="s">
        <v>2964</v>
      </c>
      <c r="H42" s="107" t="s">
        <v>2976</v>
      </c>
      <c r="I42" s="107" t="s">
        <v>2997</v>
      </c>
      <c r="J42" s="107" t="s">
        <v>2997</v>
      </c>
      <c r="K42" s="107" t="s">
        <v>2996</v>
      </c>
      <c r="L42" s="107">
        <v>84.46</v>
      </c>
      <c r="M42" s="107"/>
    </row>
    <row r="43" spans="1:13" x14ac:dyDescent="0.3">
      <c r="A43" s="95">
        <f t="shared" si="0"/>
        <v>0</v>
      </c>
      <c r="B43" s="106" t="s">
        <v>79</v>
      </c>
      <c r="C43" s="95" t="s">
        <v>1560</v>
      </c>
      <c r="D43" s="106">
        <v>12</v>
      </c>
      <c r="E43" s="107">
        <v>1</v>
      </c>
      <c r="F43" s="107" t="s">
        <v>2958</v>
      </c>
      <c r="G43" s="107" t="s">
        <v>2960</v>
      </c>
      <c r="H43" s="107" t="s">
        <v>2970</v>
      </c>
      <c r="I43" s="107" t="s">
        <v>2997</v>
      </c>
      <c r="J43" s="107" t="s">
        <v>2997</v>
      </c>
      <c r="K43" s="107" t="s">
        <v>2996</v>
      </c>
      <c r="L43" s="107">
        <v>28.16</v>
      </c>
      <c r="M43" s="107"/>
    </row>
    <row r="44" spans="1:13" x14ac:dyDescent="0.3">
      <c r="A44" s="95">
        <f t="shared" si="0"/>
        <v>0</v>
      </c>
      <c r="B44" s="106" t="s">
        <v>80</v>
      </c>
      <c r="C44" s="95" t="s">
        <v>1561</v>
      </c>
      <c r="D44" s="106">
        <v>3</v>
      </c>
      <c r="E44" s="107">
        <v>1</v>
      </c>
      <c r="F44" s="107" t="s">
        <v>2958</v>
      </c>
      <c r="G44" s="107" t="s">
        <v>2962</v>
      </c>
      <c r="H44" s="107" t="s">
        <v>2973</v>
      </c>
      <c r="I44" s="107" t="s">
        <v>2997</v>
      </c>
      <c r="J44" s="107" t="s">
        <v>2997</v>
      </c>
      <c r="K44" s="107" t="s">
        <v>2996</v>
      </c>
      <c r="L44" s="107">
        <v>323.77999999999997</v>
      </c>
      <c r="M44" s="107"/>
    </row>
    <row r="45" spans="1:13" x14ac:dyDescent="0.3">
      <c r="A45" s="95">
        <f t="shared" si="0"/>
        <v>0</v>
      </c>
      <c r="B45" s="106" t="s">
        <v>81</v>
      </c>
      <c r="C45" s="95" t="s">
        <v>1562</v>
      </c>
      <c r="D45" s="106">
        <v>12</v>
      </c>
      <c r="E45" s="107">
        <v>1</v>
      </c>
      <c r="F45" s="107" t="s">
        <v>2958</v>
      </c>
      <c r="G45" s="107" t="s">
        <v>2965</v>
      </c>
      <c r="H45" s="107" t="s">
        <v>2965</v>
      </c>
      <c r="I45" s="107" t="s">
        <v>2997</v>
      </c>
      <c r="J45" s="107" t="s">
        <v>2997</v>
      </c>
      <c r="K45" s="107" t="s">
        <v>2996</v>
      </c>
      <c r="L45" s="107">
        <v>39.770000000000003</v>
      </c>
      <c r="M45" s="107"/>
    </row>
    <row r="46" spans="1:13" x14ac:dyDescent="0.3">
      <c r="A46" s="95">
        <f t="shared" si="0"/>
        <v>0</v>
      </c>
      <c r="B46" s="106" t="s">
        <v>82</v>
      </c>
      <c r="C46" s="95" t="s">
        <v>3628</v>
      </c>
      <c r="D46" s="106">
        <v>12</v>
      </c>
      <c r="E46" s="107">
        <v>1</v>
      </c>
      <c r="F46" s="107" t="s">
        <v>2958</v>
      </c>
      <c r="G46" s="107" t="s">
        <v>2960</v>
      </c>
      <c r="H46" s="107" t="s">
        <v>2970</v>
      </c>
      <c r="I46" s="107" t="s">
        <v>2997</v>
      </c>
      <c r="J46" s="107" t="s">
        <v>2997</v>
      </c>
      <c r="K46" s="107" t="s">
        <v>2996</v>
      </c>
      <c r="L46" s="107">
        <v>473.02</v>
      </c>
      <c r="M46" s="107">
        <v>1</v>
      </c>
    </row>
    <row r="47" spans="1:13" x14ac:dyDescent="0.3">
      <c r="A47" s="95">
        <f t="shared" si="0"/>
        <v>0</v>
      </c>
      <c r="B47" s="106" t="s">
        <v>83</v>
      </c>
      <c r="C47" s="95" t="s">
        <v>1563</v>
      </c>
      <c r="D47" s="106">
        <v>12</v>
      </c>
      <c r="E47" s="107">
        <v>1</v>
      </c>
      <c r="F47" s="107" t="s">
        <v>2958</v>
      </c>
      <c r="G47" s="107" t="s">
        <v>2964</v>
      </c>
      <c r="H47" s="107" t="s">
        <v>2975</v>
      </c>
      <c r="I47" s="107" t="s">
        <v>2996</v>
      </c>
      <c r="J47" s="107" t="s">
        <v>2996</v>
      </c>
      <c r="K47" s="107" t="s">
        <v>2996</v>
      </c>
      <c r="L47" s="107">
        <v>53.45</v>
      </c>
      <c r="M47" s="107"/>
    </row>
    <row r="48" spans="1:13" x14ac:dyDescent="0.3">
      <c r="A48" s="95">
        <f t="shared" si="0"/>
        <v>1</v>
      </c>
      <c r="B48" s="106" t="s">
        <v>84</v>
      </c>
      <c r="C48" s="95" t="s">
        <v>1564</v>
      </c>
      <c r="D48" s="106">
        <v>12</v>
      </c>
      <c r="E48" s="107">
        <v>1</v>
      </c>
      <c r="F48" s="107" t="s">
        <v>2958</v>
      </c>
      <c r="G48" s="107" t="s">
        <v>2966</v>
      </c>
      <c r="H48" s="107" t="s">
        <v>2978</v>
      </c>
      <c r="I48" s="107" t="s">
        <v>2997</v>
      </c>
      <c r="J48" s="107" t="s">
        <v>2997</v>
      </c>
      <c r="K48" s="107" t="s">
        <v>2997</v>
      </c>
      <c r="L48" s="107">
        <v>21667.54</v>
      </c>
      <c r="M48" s="107">
        <v>26</v>
      </c>
    </row>
    <row r="49" spans="1:13" x14ac:dyDescent="0.3">
      <c r="A49" s="95">
        <f t="shared" si="0"/>
        <v>0</v>
      </c>
      <c r="B49" s="106" t="s">
        <v>85</v>
      </c>
      <c r="C49" s="95" t="s">
        <v>1565</v>
      </c>
      <c r="D49" s="106">
        <v>12</v>
      </c>
      <c r="E49" s="107">
        <v>1</v>
      </c>
      <c r="F49" s="107" t="s">
        <v>2958</v>
      </c>
      <c r="G49" s="107" t="s">
        <v>2965</v>
      </c>
      <c r="H49" s="107" t="s">
        <v>2965</v>
      </c>
      <c r="I49" s="107" t="s">
        <v>2997</v>
      </c>
      <c r="J49" s="107" t="s">
        <v>2997</v>
      </c>
      <c r="K49" s="107" t="s">
        <v>2997</v>
      </c>
      <c r="L49" s="107">
        <v>2735.43</v>
      </c>
      <c r="M49" s="107">
        <v>1</v>
      </c>
    </row>
    <row r="50" spans="1:13" x14ac:dyDescent="0.3">
      <c r="A50" s="95">
        <f t="shared" si="0"/>
        <v>0</v>
      </c>
      <c r="B50" s="106" t="s">
        <v>86</v>
      </c>
      <c r="C50" s="95" t="s">
        <v>1566</v>
      </c>
      <c r="D50" s="106">
        <v>12</v>
      </c>
      <c r="E50" s="107">
        <v>1</v>
      </c>
      <c r="F50" s="107" t="s">
        <v>2958</v>
      </c>
      <c r="G50" s="107" t="s">
        <v>2961</v>
      </c>
      <c r="H50" s="107" t="s">
        <v>2972</v>
      </c>
      <c r="I50" s="107" t="s">
        <v>2997</v>
      </c>
      <c r="J50" s="107" t="s">
        <v>2997</v>
      </c>
      <c r="K50" s="107" t="s">
        <v>2996</v>
      </c>
      <c r="L50" s="107">
        <v>344.39</v>
      </c>
      <c r="M50" s="107"/>
    </row>
    <row r="51" spans="1:13" x14ac:dyDescent="0.3">
      <c r="A51" s="95">
        <f t="shared" si="0"/>
        <v>0</v>
      </c>
      <c r="B51" s="106" t="s">
        <v>87</v>
      </c>
      <c r="C51" s="95" t="s">
        <v>1567</v>
      </c>
      <c r="D51" s="106">
        <v>12</v>
      </c>
      <c r="E51" s="107">
        <v>1</v>
      </c>
      <c r="F51" s="107" t="s">
        <v>2958</v>
      </c>
      <c r="G51" s="107" t="s">
        <v>2964</v>
      </c>
      <c r="H51" s="107" t="s">
        <v>2975</v>
      </c>
      <c r="I51" s="107" t="s">
        <v>2996</v>
      </c>
      <c r="J51" s="107" t="s">
        <v>2997</v>
      </c>
      <c r="K51" s="107" t="s">
        <v>2996</v>
      </c>
      <c r="L51" s="107">
        <v>191.37</v>
      </c>
      <c r="M51" s="107"/>
    </row>
    <row r="52" spans="1:13" x14ac:dyDescent="0.3">
      <c r="A52" s="95">
        <f t="shared" si="0"/>
        <v>1</v>
      </c>
      <c r="B52" s="106" t="s">
        <v>88</v>
      </c>
      <c r="C52" s="95" t="s">
        <v>1568</v>
      </c>
      <c r="D52" s="106">
        <v>12</v>
      </c>
      <c r="E52" s="107">
        <v>1</v>
      </c>
      <c r="F52" s="107" t="s">
        <v>2958</v>
      </c>
      <c r="G52" s="107" t="s">
        <v>2964</v>
      </c>
      <c r="H52" s="107" t="s">
        <v>2976</v>
      </c>
      <c r="I52" s="107" t="s">
        <v>2997</v>
      </c>
      <c r="J52" s="107" t="s">
        <v>2997</v>
      </c>
      <c r="K52" s="107" t="s">
        <v>2997</v>
      </c>
      <c r="L52" s="107">
        <v>6224.79</v>
      </c>
      <c r="M52" s="107">
        <v>25</v>
      </c>
    </row>
    <row r="53" spans="1:13" x14ac:dyDescent="0.3">
      <c r="A53" s="95">
        <f t="shared" si="0"/>
        <v>0</v>
      </c>
      <c r="B53" s="106" t="s">
        <v>89</v>
      </c>
      <c r="C53" s="95" t="s">
        <v>1569</v>
      </c>
      <c r="D53" s="106">
        <v>3</v>
      </c>
      <c r="E53" s="107">
        <v>1</v>
      </c>
      <c r="F53" s="107" t="s">
        <v>2958</v>
      </c>
      <c r="G53" s="107" t="s">
        <v>2965</v>
      </c>
      <c r="H53" s="107" t="s">
        <v>2965</v>
      </c>
      <c r="I53" s="107" t="s">
        <v>2997</v>
      </c>
      <c r="J53" s="107" t="s">
        <v>2996</v>
      </c>
      <c r="K53" s="107" t="s">
        <v>2997</v>
      </c>
      <c r="L53" s="107">
        <v>22.34</v>
      </c>
      <c r="M53" s="107"/>
    </row>
    <row r="54" spans="1:13" x14ac:dyDescent="0.3">
      <c r="A54" s="95">
        <f t="shared" si="0"/>
        <v>0</v>
      </c>
      <c r="B54" s="106" t="s">
        <v>90</v>
      </c>
      <c r="C54" s="95" t="s">
        <v>1570</v>
      </c>
      <c r="D54" s="106">
        <v>12</v>
      </c>
      <c r="E54" s="107">
        <v>1</v>
      </c>
      <c r="F54" s="107" t="s">
        <v>2958</v>
      </c>
      <c r="G54" s="107" t="s">
        <v>2964</v>
      </c>
      <c r="H54" s="107" t="s">
        <v>2976</v>
      </c>
      <c r="I54" s="107" t="s">
        <v>2997</v>
      </c>
      <c r="J54" s="107" t="s">
        <v>2997</v>
      </c>
      <c r="K54" s="107" t="s">
        <v>2996</v>
      </c>
      <c r="L54" s="107">
        <v>84.07</v>
      </c>
      <c r="M54" s="107"/>
    </row>
    <row r="55" spans="1:13" x14ac:dyDescent="0.3">
      <c r="A55" s="95">
        <f t="shared" si="0"/>
        <v>0</v>
      </c>
      <c r="B55" s="106" t="s">
        <v>91</v>
      </c>
      <c r="C55" s="95" t="s">
        <v>1571</v>
      </c>
      <c r="D55" s="106">
        <v>3</v>
      </c>
      <c r="E55" s="107">
        <v>1</v>
      </c>
      <c r="F55" s="107" t="s">
        <v>2958</v>
      </c>
      <c r="G55" s="107" t="s">
        <v>2962</v>
      </c>
      <c r="H55" s="107" t="s">
        <v>2973</v>
      </c>
      <c r="I55" s="107" t="s">
        <v>2997</v>
      </c>
      <c r="J55" s="107" t="s">
        <v>2997</v>
      </c>
      <c r="K55" s="107" t="s">
        <v>2996</v>
      </c>
      <c r="L55" s="107">
        <v>11038.34</v>
      </c>
      <c r="M55" s="107">
        <v>8</v>
      </c>
    </row>
    <row r="56" spans="1:13" x14ac:dyDescent="0.3">
      <c r="A56" s="95">
        <f t="shared" si="0"/>
        <v>1</v>
      </c>
      <c r="B56" s="106" t="s">
        <v>92</v>
      </c>
      <c r="C56" s="95" t="s">
        <v>1572</v>
      </c>
      <c r="D56" s="106">
        <v>12</v>
      </c>
      <c r="E56" s="107">
        <v>1</v>
      </c>
      <c r="F56" s="107" t="s">
        <v>2958</v>
      </c>
      <c r="G56" s="107" t="s">
        <v>2964</v>
      </c>
      <c r="H56" s="107" t="s">
        <v>2976</v>
      </c>
      <c r="I56" s="107" t="s">
        <v>2997</v>
      </c>
      <c r="J56" s="107" t="s">
        <v>2997</v>
      </c>
      <c r="K56" s="107" t="s">
        <v>2997</v>
      </c>
      <c r="L56" s="107">
        <v>8420.14</v>
      </c>
      <c r="M56" s="107">
        <v>24</v>
      </c>
    </row>
    <row r="57" spans="1:13" x14ac:dyDescent="0.3">
      <c r="A57" s="95">
        <f t="shared" si="0"/>
        <v>0</v>
      </c>
      <c r="B57" s="106" t="s">
        <v>93</v>
      </c>
      <c r="C57" s="95" t="s">
        <v>1573</v>
      </c>
      <c r="D57" s="106">
        <v>12</v>
      </c>
      <c r="E57" s="107">
        <v>1</v>
      </c>
      <c r="F57" s="107" t="s">
        <v>2958</v>
      </c>
      <c r="G57" s="107" t="s">
        <v>2964</v>
      </c>
      <c r="H57" s="107" t="s">
        <v>2976</v>
      </c>
      <c r="I57" s="107" t="s">
        <v>2997</v>
      </c>
      <c r="J57" s="107" t="s">
        <v>2997</v>
      </c>
      <c r="K57" s="107" t="s">
        <v>2997</v>
      </c>
      <c r="L57" s="107">
        <v>108.35</v>
      </c>
      <c r="M57" s="107">
        <v>2</v>
      </c>
    </row>
    <row r="58" spans="1:13" x14ac:dyDescent="0.3">
      <c r="A58" s="95">
        <f t="shared" si="0"/>
        <v>0</v>
      </c>
      <c r="B58" s="106" t="s">
        <v>94</v>
      </c>
      <c r="C58" s="95" t="s">
        <v>1574</v>
      </c>
      <c r="D58" s="106">
        <v>12</v>
      </c>
      <c r="E58" s="107">
        <v>1</v>
      </c>
      <c r="F58" s="107" t="s">
        <v>2958</v>
      </c>
      <c r="G58" s="107" t="s">
        <v>2964</v>
      </c>
      <c r="H58" s="107" t="s">
        <v>2976</v>
      </c>
      <c r="I58" s="107" t="s">
        <v>2997</v>
      </c>
      <c r="J58" s="107" t="s">
        <v>2997</v>
      </c>
      <c r="K58" s="107" t="s">
        <v>2996</v>
      </c>
      <c r="L58" s="107">
        <v>165.75</v>
      </c>
      <c r="M58" s="107"/>
    </row>
    <row r="59" spans="1:13" x14ac:dyDescent="0.3">
      <c r="A59" s="95">
        <f t="shared" si="0"/>
        <v>0</v>
      </c>
      <c r="B59" s="106" t="s">
        <v>95</v>
      </c>
      <c r="C59" s="95" t="s">
        <v>1575</v>
      </c>
      <c r="D59" s="106">
        <v>12</v>
      </c>
      <c r="E59" s="107">
        <v>1</v>
      </c>
      <c r="F59" s="107" t="s">
        <v>2958</v>
      </c>
      <c r="G59" s="107" t="s">
        <v>2965</v>
      </c>
      <c r="H59" s="107" t="s">
        <v>2965</v>
      </c>
      <c r="I59" s="107" t="s">
        <v>2997</v>
      </c>
      <c r="J59" s="107" t="s">
        <v>2997</v>
      </c>
      <c r="K59" s="107" t="s">
        <v>2997</v>
      </c>
      <c r="L59" s="107">
        <v>2203.79</v>
      </c>
      <c r="M59" s="107">
        <v>3</v>
      </c>
    </row>
    <row r="60" spans="1:13" x14ac:dyDescent="0.3">
      <c r="A60" s="95">
        <f t="shared" si="0"/>
        <v>0</v>
      </c>
      <c r="B60" s="106" t="s">
        <v>96</v>
      </c>
      <c r="C60" s="95" t="s">
        <v>1576</v>
      </c>
      <c r="D60" s="106">
        <v>12</v>
      </c>
      <c r="E60" s="107">
        <v>1</v>
      </c>
      <c r="F60" s="107" t="s">
        <v>2958</v>
      </c>
      <c r="G60" s="107" t="s">
        <v>2963</v>
      </c>
      <c r="H60" s="107" t="s">
        <v>2974</v>
      </c>
      <c r="I60" s="107" t="s">
        <v>2997</v>
      </c>
      <c r="J60" s="107" t="s">
        <v>2997</v>
      </c>
      <c r="K60" s="107" t="s">
        <v>2996</v>
      </c>
      <c r="L60" s="107">
        <v>34.840000000000003</v>
      </c>
      <c r="M60" s="107"/>
    </row>
    <row r="61" spans="1:13" x14ac:dyDescent="0.3">
      <c r="A61" s="95">
        <f t="shared" si="0"/>
        <v>0</v>
      </c>
      <c r="B61" s="106" t="s">
        <v>97</v>
      </c>
      <c r="C61" s="95" t="s">
        <v>1577</v>
      </c>
      <c r="D61" s="106">
        <v>12</v>
      </c>
      <c r="E61" s="107">
        <v>1</v>
      </c>
      <c r="F61" s="107" t="s">
        <v>2958</v>
      </c>
      <c r="G61" s="107" t="s">
        <v>2964</v>
      </c>
      <c r="H61" s="107" t="s">
        <v>2976</v>
      </c>
      <c r="I61" s="107" t="s">
        <v>2997</v>
      </c>
      <c r="J61" s="107" t="s">
        <v>2997</v>
      </c>
      <c r="K61" s="107" t="s">
        <v>2996</v>
      </c>
      <c r="L61" s="107">
        <v>66.510000000000005</v>
      </c>
      <c r="M61" s="107"/>
    </row>
    <row r="62" spans="1:13" x14ac:dyDescent="0.3">
      <c r="A62" s="95">
        <f t="shared" si="0"/>
        <v>0</v>
      </c>
      <c r="B62" s="106" t="s">
        <v>98</v>
      </c>
      <c r="C62" s="95" t="s">
        <v>1578</v>
      </c>
      <c r="D62" s="106">
        <v>12</v>
      </c>
      <c r="E62" s="107">
        <v>1</v>
      </c>
      <c r="F62" s="107" t="s">
        <v>2958</v>
      </c>
      <c r="G62" s="107" t="s">
        <v>2961</v>
      </c>
      <c r="H62" s="107" t="s">
        <v>2972</v>
      </c>
      <c r="I62" s="107" t="s">
        <v>2997</v>
      </c>
      <c r="J62" s="107" t="s">
        <v>2997</v>
      </c>
      <c r="K62" s="107" t="s">
        <v>2996</v>
      </c>
      <c r="L62" s="107">
        <v>49.73</v>
      </c>
      <c r="M62" s="107"/>
    </row>
    <row r="63" spans="1:13" x14ac:dyDescent="0.3">
      <c r="A63" s="95">
        <f t="shared" si="0"/>
        <v>0</v>
      </c>
      <c r="B63" s="106" t="s">
        <v>99</v>
      </c>
      <c r="C63" s="95" t="s">
        <v>1579</v>
      </c>
      <c r="D63" s="106">
        <v>3</v>
      </c>
      <c r="E63" s="107">
        <v>1</v>
      </c>
      <c r="F63" s="107" t="s">
        <v>2958</v>
      </c>
      <c r="G63" s="107" t="s">
        <v>2965</v>
      </c>
      <c r="H63" s="107" t="s">
        <v>2965</v>
      </c>
      <c r="I63" s="107" t="s">
        <v>2997</v>
      </c>
      <c r="J63" s="107" t="s">
        <v>2996</v>
      </c>
      <c r="K63" s="107" t="s">
        <v>2996</v>
      </c>
      <c r="L63" s="107">
        <v>93.48</v>
      </c>
      <c r="M63" s="107"/>
    </row>
    <row r="64" spans="1:13" x14ac:dyDescent="0.3">
      <c r="A64" s="95">
        <f t="shared" si="0"/>
        <v>0</v>
      </c>
      <c r="B64" s="106" t="s">
        <v>100</v>
      </c>
      <c r="C64" s="95" t="s">
        <v>1580</v>
      </c>
      <c r="D64" s="106">
        <v>12</v>
      </c>
      <c r="E64" s="107">
        <v>1</v>
      </c>
      <c r="F64" s="107" t="s">
        <v>2958</v>
      </c>
      <c r="G64" s="107" t="s">
        <v>2966</v>
      </c>
      <c r="H64" s="107" t="s">
        <v>2978</v>
      </c>
      <c r="I64" s="107" t="s">
        <v>2997</v>
      </c>
      <c r="J64" s="107" t="s">
        <v>2997</v>
      </c>
      <c r="K64" s="107" t="s">
        <v>2996</v>
      </c>
      <c r="L64" s="107">
        <v>304.81</v>
      </c>
      <c r="M64" s="107"/>
    </row>
    <row r="65" spans="1:13" x14ac:dyDescent="0.3">
      <c r="A65" s="95">
        <f t="shared" si="0"/>
        <v>0</v>
      </c>
      <c r="B65" s="106" t="s">
        <v>101</v>
      </c>
      <c r="C65" s="95" t="s">
        <v>1581</v>
      </c>
      <c r="D65" s="106">
        <v>12</v>
      </c>
      <c r="E65" s="107">
        <v>1</v>
      </c>
      <c r="F65" s="107" t="s">
        <v>2959</v>
      </c>
      <c r="G65" s="107" t="s">
        <v>2961</v>
      </c>
      <c r="H65" s="107" t="s">
        <v>2972</v>
      </c>
      <c r="I65" s="107" t="s">
        <v>2996</v>
      </c>
      <c r="J65" s="107" t="s">
        <v>2996</v>
      </c>
      <c r="K65" s="107" t="s">
        <v>2996</v>
      </c>
      <c r="L65" s="107">
        <v>24.52</v>
      </c>
      <c r="M65" s="107"/>
    </row>
    <row r="66" spans="1:13" x14ac:dyDescent="0.3">
      <c r="A66" s="95">
        <f t="shared" si="0"/>
        <v>0</v>
      </c>
      <c r="B66" s="106" t="s">
        <v>102</v>
      </c>
      <c r="C66" s="95" t="s">
        <v>1582</v>
      </c>
      <c r="D66" s="106">
        <v>12</v>
      </c>
      <c r="E66" s="107">
        <v>1</v>
      </c>
      <c r="F66" s="107" t="s">
        <v>2958</v>
      </c>
      <c r="G66" s="107" t="s">
        <v>2965</v>
      </c>
      <c r="H66" s="107" t="s">
        <v>2965</v>
      </c>
      <c r="I66" s="107" t="s">
        <v>2997</v>
      </c>
      <c r="J66" s="107" t="s">
        <v>2997</v>
      </c>
      <c r="K66" s="107" t="s">
        <v>2997</v>
      </c>
      <c r="L66" s="107">
        <v>91.55</v>
      </c>
      <c r="M66" s="107"/>
    </row>
    <row r="67" spans="1:13" x14ac:dyDescent="0.3">
      <c r="A67" s="95">
        <f t="shared" si="0"/>
        <v>1</v>
      </c>
      <c r="B67" s="106" t="s">
        <v>103</v>
      </c>
      <c r="C67" s="95" t="s">
        <v>1583</v>
      </c>
      <c r="D67" s="106">
        <v>12</v>
      </c>
      <c r="E67" s="107">
        <v>1</v>
      </c>
      <c r="F67" s="107" t="s">
        <v>2958</v>
      </c>
      <c r="G67" s="107" t="s">
        <v>2963</v>
      </c>
      <c r="H67" s="107" t="s">
        <v>2974</v>
      </c>
      <c r="I67" s="107" t="s">
        <v>2997</v>
      </c>
      <c r="J67" s="107" t="s">
        <v>2997</v>
      </c>
      <c r="K67" s="107" t="s">
        <v>2997</v>
      </c>
      <c r="L67" s="107">
        <v>3294.09</v>
      </c>
      <c r="M67" s="107">
        <v>10</v>
      </c>
    </row>
    <row r="68" spans="1:13" x14ac:dyDescent="0.3">
      <c r="A68" s="95">
        <f t="shared" si="0"/>
        <v>0</v>
      </c>
      <c r="B68" s="106" t="s">
        <v>104</v>
      </c>
      <c r="C68" s="95" t="s">
        <v>1584</v>
      </c>
      <c r="D68" s="106">
        <v>12</v>
      </c>
      <c r="E68" s="107">
        <v>1</v>
      </c>
      <c r="F68" s="107" t="s">
        <v>2958</v>
      </c>
      <c r="G68" s="107" t="s">
        <v>2960</v>
      </c>
      <c r="H68" s="107" t="s">
        <v>2970</v>
      </c>
      <c r="I68" s="107" t="s">
        <v>2997</v>
      </c>
      <c r="J68" s="107" t="s">
        <v>2997</v>
      </c>
      <c r="K68" s="107" t="s">
        <v>2996</v>
      </c>
      <c r="L68" s="107">
        <v>198.2</v>
      </c>
      <c r="M68" s="107"/>
    </row>
    <row r="69" spans="1:13" x14ac:dyDescent="0.3">
      <c r="A69" s="95">
        <f t="shared" si="0"/>
        <v>0</v>
      </c>
      <c r="B69" s="106" t="s">
        <v>105</v>
      </c>
      <c r="C69" s="95" t="s">
        <v>1585</v>
      </c>
      <c r="D69" s="106">
        <v>12</v>
      </c>
      <c r="E69" s="107">
        <v>1</v>
      </c>
      <c r="F69" s="107" t="s">
        <v>2958</v>
      </c>
      <c r="G69" s="107" t="s">
        <v>2961</v>
      </c>
      <c r="H69" s="107" t="s">
        <v>2972</v>
      </c>
      <c r="I69" s="107" t="s">
        <v>2997</v>
      </c>
      <c r="J69" s="107" t="s">
        <v>2997</v>
      </c>
      <c r="K69" s="107" t="s">
        <v>2996</v>
      </c>
      <c r="L69" s="107">
        <v>20.88</v>
      </c>
      <c r="M69" s="107"/>
    </row>
    <row r="70" spans="1:13" x14ac:dyDescent="0.3">
      <c r="A70" s="95">
        <f t="shared" si="0"/>
        <v>0</v>
      </c>
      <c r="B70" s="106" t="s">
        <v>106</v>
      </c>
      <c r="C70" s="95" t="s">
        <v>1586</v>
      </c>
      <c r="D70" s="106">
        <v>6</v>
      </c>
      <c r="E70" s="107">
        <v>1</v>
      </c>
      <c r="F70" s="107" t="s">
        <v>2958</v>
      </c>
      <c r="G70" s="107" t="s">
        <v>2965</v>
      </c>
      <c r="H70" s="107" t="s">
        <v>2965</v>
      </c>
      <c r="I70" s="107" t="s">
        <v>2997</v>
      </c>
      <c r="J70" s="107" t="s">
        <v>2996</v>
      </c>
      <c r="K70" s="107" t="s">
        <v>2996</v>
      </c>
      <c r="L70" s="107">
        <v>62.67</v>
      </c>
      <c r="M70" s="107"/>
    </row>
    <row r="71" spans="1:13" x14ac:dyDescent="0.3">
      <c r="A71" s="95">
        <f t="shared" si="0"/>
        <v>1</v>
      </c>
      <c r="B71" s="106" t="s">
        <v>107</v>
      </c>
      <c r="C71" s="95" t="s">
        <v>1587</v>
      </c>
      <c r="D71" s="106">
        <v>12</v>
      </c>
      <c r="E71" s="107">
        <v>1</v>
      </c>
      <c r="F71" s="107" t="s">
        <v>2958</v>
      </c>
      <c r="G71" s="107" t="s">
        <v>2964</v>
      </c>
      <c r="H71" s="107" t="s">
        <v>2976</v>
      </c>
      <c r="I71" s="107" t="s">
        <v>2997</v>
      </c>
      <c r="J71" s="107" t="s">
        <v>2997</v>
      </c>
      <c r="K71" s="107" t="s">
        <v>2997</v>
      </c>
      <c r="L71" s="107">
        <v>1234.51</v>
      </c>
      <c r="M71" s="107">
        <v>15</v>
      </c>
    </row>
    <row r="72" spans="1:13" x14ac:dyDescent="0.3">
      <c r="A72" s="95">
        <f t="shared" si="0"/>
        <v>0</v>
      </c>
      <c r="B72" s="106" t="s">
        <v>108</v>
      </c>
      <c r="C72" s="95" t="s">
        <v>1588</v>
      </c>
      <c r="D72" s="106">
        <v>12</v>
      </c>
      <c r="E72" s="107">
        <v>1</v>
      </c>
      <c r="F72" s="107" t="s">
        <v>2958</v>
      </c>
      <c r="G72" s="107" t="s">
        <v>2963</v>
      </c>
      <c r="H72" s="107" t="s">
        <v>2974</v>
      </c>
      <c r="I72" s="107" t="s">
        <v>2997</v>
      </c>
      <c r="J72" s="107" t="s">
        <v>2997</v>
      </c>
      <c r="K72" s="107" t="s">
        <v>2997</v>
      </c>
      <c r="L72" s="107">
        <v>222.24</v>
      </c>
      <c r="M72" s="107">
        <v>1</v>
      </c>
    </row>
    <row r="73" spans="1:13" x14ac:dyDescent="0.3">
      <c r="A73" s="95">
        <f t="shared" si="0"/>
        <v>0</v>
      </c>
      <c r="B73" s="106" t="s">
        <v>109</v>
      </c>
      <c r="C73" s="95" t="s">
        <v>1589</v>
      </c>
      <c r="D73" s="106">
        <v>12</v>
      </c>
      <c r="E73" s="107">
        <v>1</v>
      </c>
      <c r="F73" s="107" t="s">
        <v>2958</v>
      </c>
      <c r="G73" s="107" t="s">
        <v>2964</v>
      </c>
      <c r="H73" s="107" t="s">
        <v>2975</v>
      </c>
      <c r="I73" s="107" t="s">
        <v>2997</v>
      </c>
      <c r="J73" s="107" t="s">
        <v>2997</v>
      </c>
      <c r="K73" s="107" t="s">
        <v>2997</v>
      </c>
      <c r="L73" s="107">
        <v>11.04</v>
      </c>
      <c r="M73" s="107"/>
    </row>
    <row r="74" spans="1:13" x14ac:dyDescent="0.3">
      <c r="A74" s="95">
        <f t="shared" si="0"/>
        <v>0</v>
      </c>
      <c r="B74" s="106" t="s">
        <v>110</v>
      </c>
      <c r="C74" s="95" t="s">
        <v>1590</v>
      </c>
      <c r="D74" s="106">
        <v>3</v>
      </c>
      <c r="E74" s="107">
        <v>1</v>
      </c>
      <c r="F74" s="107" t="s">
        <v>2958</v>
      </c>
      <c r="G74" s="107" t="s">
        <v>2962</v>
      </c>
      <c r="H74" s="107" t="s">
        <v>2979</v>
      </c>
      <c r="I74" s="107" t="s">
        <v>2997</v>
      </c>
      <c r="J74" s="107" t="s">
        <v>2997</v>
      </c>
      <c r="K74" s="107" t="s">
        <v>2996</v>
      </c>
      <c r="L74" s="107">
        <v>134.80000000000001</v>
      </c>
      <c r="M74" s="107"/>
    </row>
    <row r="75" spans="1:13" x14ac:dyDescent="0.3">
      <c r="A75" s="95">
        <f t="shared" si="0"/>
        <v>0</v>
      </c>
      <c r="B75" s="106" t="s">
        <v>111</v>
      </c>
      <c r="C75" s="95" t="s">
        <v>1591</v>
      </c>
      <c r="D75" s="106">
        <v>12</v>
      </c>
      <c r="E75" s="107">
        <v>1</v>
      </c>
      <c r="F75" s="107" t="s">
        <v>2958</v>
      </c>
      <c r="G75" s="107" t="s">
        <v>2966</v>
      </c>
      <c r="H75" s="107" t="s">
        <v>2980</v>
      </c>
      <c r="I75" s="107" t="s">
        <v>2997</v>
      </c>
      <c r="J75" s="107" t="s">
        <v>2997</v>
      </c>
      <c r="K75" s="107" t="s">
        <v>2997</v>
      </c>
      <c r="L75" s="107">
        <v>217.51</v>
      </c>
      <c r="M75" s="107">
        <v>1</v>
      </c>
    </row>
    <row r="76" spans="1:13" x14ac:dyDescent="0.3">
      <c r="A76" s="95">
        <f t="shared" si="0"/>
        <v>1</v>
      </c>
      <c r="B76" s="106" t="s">
        <v>112</v>
      </c>
      <c r="C76" s="95" t="s">
        <v>1592</v>
      </c>
      <c r="D76" s="106">
        <v>12</v>
      </c>
      <c r="E76" s="107">
        <v>1</v>
      </c>
      <c r="F76" s="107" t="s">
        <v>2958</v>
      </c>
      <c r="G76" s="107" t="s">
        <v>2965</v>
      </c>
      <c r="H76" s="107" t="s">
        <v>2965</v>
      </c>
      <c r="I76" s="107" t="s">
        <v>2997</v>
      </c>
      <c r="J76" s="107" t="s">
        <v>2997</v>
      </c>
      <c r="K76" s="107" t="s">
        <v>2997</v>
      </c>
      <c r="L76" s="107">
        <v>670.79</v>
      </c>
      <c r="M76" s="107">
        <v>10</v>
      </c>
    </row>
    <row r="77" spans="1:13" x14ac:dyDescent="0.3">
      <c r="A77" s="95">
        <f t="shared" si="0"/>
        <v>0</v>
      </c>
      <c r="B77" s="106" t="s">
        <v>113</v>
      </c>
      <c r="C77" s="95" t="s">
        <v>1593</v>
      </c>
      <c r="D77" s="106">
        <v>12</v>
      </c>
      <c r="E77" s="107">
        <v>1</v>
      </c>
      <c r="F77" s="107" t="s">
        <v>2958</v>
      </c>
      <c r="G77" s="107" t="s">
        <v>2964</v>
      </c>
      <c r="H77" s="107" t="s">
        <v>2976</v>
      </c>
      <c r="I77" s="107" t="s">
        <v>2997</v>
      </c>
      <c r="J77" s="107" t="s">
        <v>2997</v>
      </c>
      <c r="K77" s="107" t="s">
        <v>2997</v>
      </c>
      <c r="L77" s="107">
        <v>211.82</v>
      </c>
      <c r="M77" s="107">
        <v>1</v>
      </c>
    </row>
    <row r="78" spans="1:13" x14ac:dyDescent="0.3">
      <c r="A78" s="95">
        <f t="shared" si="0"/>
        <v>0</v>
      </c>
      <c r="B78" s="106" t="s">
        <v>114</v>
      </c>
      <c r="C78" s="95" t="s">
        <v>1594</v>
      </c>
      <c r="D78" s="106">
        <v>12</v>
      </c>
      <c r="E78" s="107">
        <v>1</v>
      </c>
      <c r="F78" s="107" t="s">
        <v>2958</v>
      </c>
      <c r="G78" s="107" t="s">
        <v>2964</v>
      </c>
      <c r="H78" s="107" t="s">
        <v>2976</v>
      </c>
      <c r="I78" s="107" t="s">
        <v>2997</v>
      </c>
      <c r="J78" s="107" t="s">
        <v>2997</v>
      </c>
      <c r="K78" s="107" t="s">
        <v>2996</v>
      </c>
      <c r="L78" s="107">
        <v>231.3</v>
      </c>
      <c r="M78" s="107"/>
    </row>
    <row r="79" spans="1:13" x14ac:dyDescent="0.3">
      <c r="A79" s="95">
        <f t="shared" ref="A79:A142" si="1">IF(AND(E79=1,J79=K79,M79&gt;6),1,0)</f>
        <v>0</v>
      </c>
      <c r="B79" s="106" t="s">
        <v>115</v>
      </c>
      <c r="C79" s="95" t="s">
        <v>1595</v>
      </c>
      <c r="D79" s="106">
        <v>3</v>
      </c>
      <c r="E79" s="107">
        <v>1</v>
      </c>
      <c r="F79" s="107" t="s">
        <v>2958</v>
      </c>
      <c r="G79" s="107" t="s">
        <v>2962</v>
      </c>
      <c r="H79" s="107" t="s">
        <v>2979</v>
      </c>
      <c r="I79" s="107" t="s">
        <v>2997</v>
      </c>
      <c r="J79" s="107" t="s">
        <v>2996</v>
      </c>
      <c r="K79" s="107" t="s">
        <v>2996</v>
      </c>
      <c r="L79" s="107">
        <v>162.81</v>
      </c>
      <c r="M79" s="107"/>
    </row>
    <row r="80" spans="1:13" x14ac:dyDescent="0.3">
      <c r="A80" s="95">
        <f t="shared" si="1"/>
        <v>0</v>
      </c>
      <c r="B80" s="106" t="s">
        <v>116</v>
      </c>
      <c r="C80" s="95" t="s">
        <v>1596</v>
      </c>
      <c r="D80" s="106">
        <v>3</v>
      </c>
      <c r="E80" s="107">
        <v>1</v>
      </c>
      <c r="F80" s="107" t="s">
        <v>2958</v>
      </c>
      <c r="G80" s="107" t="s">
        <v>2962</v>
      </c>
      <c r="H80" s="107" t="s">
        <v>2979</v>
      </c>
      <c r="I80" s="107" t="s">
        <v>2997</v>
      </c>
      <c r="J80" s="107" t="s">
        <v>2996</v>
      </c>
      <c r="K80" s="107" t="s">
        <v>2996</v>
      </c>
      <c r="L80" s="107">
        <v>79.58</v>
      </c>
      <c r="M80" s="107"/>
    </row>
    <row r="81" spans="1:13" x14ac:dyDescent="0.3">
      <c r="A81" s="95">
        <f t="shared" si="1"/>
        <v>1</v>
      </c>
      <c r="B81" s="106" t="s">
        <v>117</v>
      </c>
      <c r="C81" s="95" t="s">
        <v>1597</v>
      </c>
      <c r="D81" s="106">
        <v>12</v>
      </c>
      <c r="E81" s="107">
        <v>1</v>
      </c>
      <c r="F81" s="107" t="s">
        <v>2958</v>
      </c>
      <c r="G81" s="107" t="s">
        <v>2965</v>
      </c>
      <c r="H81" s="107" t="s">
        <v>2965</v>
      </c>
      <c r="I81" s="107" t="s">
        <v>2997</v>
      </c>
      <c r="J81" s="107" t="s">
        <v>2997</v>
      </c>
      <c r="K81" s="107" t="s">
        <v>2997</v>
      </c>
      <c r="L81" s="107">
        <v>4698.41</v>
      </c>
      <c r="M81" s="107">
        <v>18</v>
      </c>
    </row>
    <row r="82" spans="1:13" x14ac:dyDescent="0.3">
      <c r="A82" s="95">
        <f t="shared" si="1"/>
        <v>0</v>
      </c>
      <c r="B82" s="106" t="s">
        <v>118</v>
      </c>
      <c r="C82" s="95" t="s">
        <v>1598</v>
      </c>
      <c r="D82" s="106">
        <v>12</v>
      </c>
      <c r="E82" s="107">
        <v>1</v>
      </c>
      <c r="F82" s="107" t="s">
        <v>2958</v>
      </c>
      <c r="G82" s="107" t="s">
        <v>2965</v>
      </c>
      <c r="H82" s="107" t="s">
        <v>2965</v>
      </c>
      <c r="I82" s="107" t="s">
        <v>2996</v>
      </c>
      <c r="J82" s="107" t="s">
        <v>2996</v>
      </c>
      <c r="K82" s="107" t="s">
        <v>2996</v>
      </c>
      <c r="L82" s="107">
        <v>135.46</v>
      </c>
      <c r="M82" s="107"/>
    </row>
    <row r="83" spans="1:13" x14ac:dyDescent="0.3">
      <c r="A83" s="95">
        <f t="shared" si="1"/>
        <v>0</v>
      </c>
      <c r="B83" s="106" t="s">
        <v>119</v>
      </c>
      <c r="C83" s="95" t="s">
        <v>1599</v>
      </c>
      <c r="D83" s="106">
        <v>12</v>
      </c>
      <c r="E83" s="107">
        <v>1</v>
      </c>
      <c r="F83" s="107" t="s">
        <v>2958</v>
      </c>
      <c r="G83" s="107" t="s">
        <v>2960</v>
      </c>
      <c r="H83" s="107" t="s">
        <v>2970</v>
      </c>
      <c r="I83" s="107" t="s">
        <v>2996</v>
      </c>
      <c r="J83" s="107" t="s">
        <v>2996</v>
      </c>
      <c r="K83" s="107" t="s">
        <v>2996</v>
      </c>
      <c r="L83" s="107">
        <v>26.47</v>
      </c>
      <c r="M83" s="107"/>
    </row>
    <row r="84" spans="1:13" x14ac:dyDescent="0.3">
      <c r="A84" s="95">
        <f t="shared" si="1"/>
        <v>0</v>
      </c>
      <c r="B84" s="106" t="s">
        <v>120</v>
      </c>
      <c r="C84" s="95" t="s">
        <v>1600</v>
      </c>
      <c r="D84" s="106">
        <v>12</v>
      </c>
      <c r="E84" s="107">
        <v>1</v>
      </c>
      <c r="F84" s="107" t="s">
        <v>2958</v>
      </c>
      <c r="G84" s="107" t="s">
        <v>2961</v>
      </c>
      <c r="H84" s="107" t="s">
        <v>2972</v>
      </c>
      <c r="I84" s="107" t="s">
        <v>2997</v>
      </c>
      <c r="J84" s="107" t="s">
        <v>2997</v>
      </c>
      <c r="K84" s="107" t="s">
        <v>2997</v>
      </c>
      <c r="L84" s="107">
        <v>58.03</v>
      </c>
      <c r="M84" s="107"/>
    </row>
    <row r="85" spans="1:13" x14ac:dyDescent="0.3">
      <c r="A85" s="95">
        <f t="shared" si="1"/>
        <v>0</v>
      </c>
      <c r="B85" s="106" t="s">
        <v>121</v>
      </c>
      <c r="C85" s="95" t="s">
        <v>1601</v>
      </c>
      <c r="D85" s="106">
        <v>12</v>
      </c>
      <c r="E85" s="107">
        <v>1</v>
      </c>
      <c r="F85" s="107" t="s">
        <v>2958</v>
      </c>
      <c r="G85" s="107" t="s">
        <v>2965</v>
      </c>
      <c r="H85" s="107" t="s">
        <v>2965</v>
      </c>
      <c r="I85" s="107" t="s">
        <v>2997</v>
      </c>
      <c r="J85" s="107" t="s">
        <v>2997</v>
      </c>
      <c r="K85" s="107" t="s">
        <v>2996</v>
      </c>
      <c r="L85" s="107">
        <v>169.6</v>
      </c>
      <c r="M85" s="107"/>
    </row>
    <row r="86" spans="1:13" x14ac:dyDescent="0.3">
      <c r="A86" s="95">
        <f t="shared" si="1"/>
        <v>0</v>
      </c>
      <c r="B86" s="106" t="s">
        <v>122</v>
      </c>
      <c r="C86" s="95" t="s">
        <v>1602</v>
      </c>
      <c r="D86" s="106">
        <v>12</v>
      </c>
      <c r="E86" s="107">
        <v>1</v>
      </c>
      <c r="F86" s="107" t="s">
        <v>2958</v>
      </c>
      <c r="G86" s="107" t="s">
        <v>2961</v>
      </c>
      <c r="H86" s="107" t="s">
        <v>2971</v>
      </c>
      <c r="I86" s="107" t="s">
        <v>2996</v>
      </c>
      <c r="J86" s="107" t="s">
        <v>2996</v>
      </c>
      <c r="K86" s="107" t="s">
        <v>2996</v>
      </c>
      <c r="L86" s="107">
        <v>17.53</v>
      </c>
      <c r="M86" s="107"/>
    </row>
    <row r="87" spans="1:13" x14ac:dyDescent="0.3">
      <c r="A87" s="95">
        <f t="shared" si="1"/>
        <v>1</v>
      </c>
      <c r="B87" s="106" t="s">
        <v>123</v>
      </c>
      <c r="C87" s="95" t="s">
        <v>1603</v>
      </c>
      <c r="D87" s="106">
        <v>12</v>
      </c>
      <c r="E87" s="107">
        <v>1</v>
      </c>
      <c r="F87" s="107" t="s">
        <v>2958</v>
      </c>
      <c r="G87" s="107" t="s">
        <v>2965</v>
      </c>
      <c r="H87" s="107" t="s">
        <v>2965</v>
      </c>
      <c r="I87" s="107" t="s">
        <v>2996</v>
      </c>
      <c r="J87" s="107" t="s">
        <v>2996</v>
      </c>
      <c r="K87" s="107" t="s">
        <v>2996</v>
      </c>
      <c r="L87" s="107">
        <v>1115.31</v>
      </c>
      <c r="M87" s="107">
        <v>18</v>
      </c>
    </row>
    <row r="88" spans="1:13" x14ac:dyDescent="0.3">
      <c r="A88" s="95">
        <f t="shared" si="1"/>
        <v>0</v>
      </c>
      <c r="B88" s="106" t="s">
        <v>124</v>
      </c>
      <c r="C88" s="95" t="s">
        <v>1604</v>
      </c>
      <c r="D88" s="106">
        <v>12</v>
      </c>
      <c r="E88" s="107">
        <v>1</v>
      </c>
      <c r="F88" s="107" t="s">
        <v>2958</v>
      </c>
      <c r="G88" s="107" t="s">
        <v>2964</v>
      </c>
      <c r="H88" s="107" t="s">
        <v>2976</v>
      </c>
      <c r="I88" s="107" t="s">
        <v>2997</v>
      </c>
      <c r="J88" s="107" t="s">
        <v>2997</v>
      </c>
      <c r="K88" s="107" t="s">
        <v>2996</v>
      </c>
      <c r="L88" s="107">
        <v>262.83999999999997</v>
      </c>
      <c r="M88" s="107"/>
    </row>
    <row r="89" spans="1:13" x14ac:dyDescent="0.3">
      <c r="A89" s="95">
        <f t="shared" si="1"/>
        <v>0</v>
      </c>
      <c r="B89" s="106" t="s">
        <v>125</v>
      </c>
      <c r="C89" s="95" t="s">
        <v>1605</v>
      </c>
      <c r="D89" s="106">
        <v>3</v>
      </c>
      <c r="E89" s="107">
        <v>1</v>
      </c>
      <c r="F89" s="107" t="s">
        <v>2958</v>
      </c>
      <c r="G89" s="107" t="s">
        <v>2962</v>
      </c>
      <c r="H89" s="107" t="s">
        <v>2973</v>
      </c>
      <c r="I89" s="107" t="s">
        <v>2997</v>
      </c>
      <c r="J89" s="107" t="s">
        <v>2997</v>
      </c>
      <c r="K89" s="107" t="s">
        <v>2996</v>
      </c>
      <c r="L89" s="107">
        <v>2708.82</v>
      </c>
      <c r="M89" s="107">
        <v>9</v>
      </c>
    </row>
    <row r="90" spans="1:13" x14ac:dyDescent="0.3">
      <c r="A90" s="95">
        <f t="shared" si="1"/>
        <v>0</v>
      </c>
      <c r="B90" s="106" t="s">
        <v>126</v>
      </c>
      <c r="C90" s="95" t="s">
        <v>1606</v>
      </c>
      <c r="D90" s="106">
        <v>12</v>
      </c>
      <c r="E90" s="107">
        <v>1</v>
      </c>
      <c r="F90" s="107" t="s">
        <v>2958</v>
      </c>
      <c r="G90" s="107" t="s">
        <v>2961</v>
      </c>
      <c r="H90" s="107" t="s">
        <v>2972</v>
      </c>
      <c r="I90" s="107" t="s">
        <v>2997</v>
      </c>
      <c r="J90" s="107" t="s">
        <v>2997</v>
      </c>
      <c r="K90" s="107" t="s">
        <v>2996</v>
      </c>
      <c r="L90" s="107">
        <v>118.05</v>
      </c>
      <c r="M90" s="107"/>
    </row>
    <row r="91" spans="1:13" x14ac:dyDescent="0.3">
      <c r="A91" s="95">
        <f t="shared" si="1"/>
        <v>0</v>
      </c>
      <c r="B91" s="106" t="s">
        <v>127</v>
      </c>
      <c r="C91" s="95" t="s">
        <v>1607</v>
      </c>
      <c r="D91" s="106">
        <v>12</v>
      </c>
      <c r="E91" s="107">
        <v>1</v>
      </c>
      <c r="F91" s="107" t="s">
        <v>2958</v>
      </c>
      <c r="G91" s="107" t="s">
        <v>2964</v>
      </c>
      <c r="H91" s="107" t="s">
        <v>2976</v>
      </c>
      <c r="I91" s="107" t="s">
        <v>2997</v>
      </c>
      <c r="J91" s="107" t="s">
        <v>2997</v>
      </c>
      <c r="K91" s="107" t="s">
        <v>2996</v>
      </c>
      <c r="L91" s="107">
        <v>51.22</v>
      </c>
      <c r="M91" s="107"/>
    </row>
    <row r="92" spans="1:13" x14ac:dyDescent="0.3">
      <c r="A92" s="95">
        <f t="shared" si="1"/>
        <v>0</v>
      </c>
      <c r="B92" s="106" t="s">
        <v>128</v>
      </c>
      <c r="C92" s="95" t="s">
        <v>1608</v>
      </c>
      <c r="D92" s="106">
        <v>3</v>
      </c>
      <c r="E92" s="107">
        <v>1</v>
      </c>
      <c r="F92" s="107" t="s">
        <v>2958</v>
      </c>
      <c r="G92" s="107" t="s">
        <v>2962</v>
      </c>
      <c r="H92" s="107" t="s">
        <v>2979</v>
      </c>
      <c r="I92" s="107" t="s">
        <v>2996</v>
      </c>
      <c r="J92" s="107" t="s">
        <v>2996</v>
      </c>
      <c r="K92" s="107" t="s">
        <v>2996</v>
      </c>
      <c r="L92" s="107">
        <v>337.38</v>
      </c>
      <c r="M92" s="107"/>
    </row>
    <row r="93" spans="1:13" x14ac:dyDescent="0.3">
      <c r="A93" s="95">
        <f t="shared" si="1"/>
        <v>0</v>
      </c>
      <c r="B93" s="106" t="s">
        <v>129</v>
      </c>
      <c r="C93" s="95" t="s">
        <v>18</v>
      </c>
      <c r="D93" s="106">
        <v>3</v>
      </c>
      <c r="E93" s="107">
        <v>1</v>
      </c>
      <c r="F93" s="107" t="s">
        <v>2958</v>
      </c>
      <c r="G93" s="107" t="s">
        <v>2962</v>
      </c>
      <c r="H93" s="107" t="s">
        <v>2979</v>
      </c>
      <c r="I93" s="107" t="s">
        <v>2997</v>
      </c>
      <c r="J93" s="107" t="s">
        <v>2997</v>
      </c>
      <c r="K93" s="107" t="s">
        <v>2996</v>
      </c>
      <c r="L93" s="107">
        <v>297.70999999999998</v>
      </c>
      <c r="M93" s="107"/>
    </row>
    <row r="94" spans="1:13" x14ac:dyDescent="0.3">
      <c r="A94" s="95">
        <f t="shared" si="1"/>
        <v>0</v>
      </c>
      <c r="B94" s="106" t="s">
        <v>130</v>
      </c>
      <c r="C94" s="95" t="s">
        <v>1609</v>
      </c>
      <c r="D94" s="106">
        <v>12</v>
      </c>
      <c r="E94" s="107">
        <v>1</v>
      </c>
      <c r="F94" s="107" t="s">
        <v>2958</v>
      </c>
      <c r="G94" s="107" t="s">
        <v>2964</v>
      </c>
      <c r="H94" s="107" t="s">
        <v>2976</v>
      </c>
      <c r="I94" s="107" t="s">
        <v>2997</v>
      </c>
      <c r="J94" s="107" t="s">
        <v>2997</v>
      </c>
      <c r="K94" s="107" t="s">
        <v>2996</v>
      </c>
      <c r="L94" s="107">
        <v>253.52</v>
      </c>
      <c r="M94" s="107"/>
    </row>
    <row r="95" spans="1:13" x14ac:dyDescent="0.3">
      <c r="A95" s="95">
        <f t="shared" si="1"/>
        <v>0</v>
      </c>
      <c r="B95" s="106" t="s">
        <v>131</v>
      </c>
      <c r="C95" s="95" t="s">
        <v>1610</v>
      </c>
      <c r="D95" s="106">
        <v>12</v>
      </c>
      <c r="E95" s="107">
        <v>1</v>
      </c>
      <c r="F95" s="107" t="s">
        <v>2958</v>
      </c>
      <c r="G95" s="107" t="s">
        <v>2961</v>
      </c>
      <c r="H95" s="107" t="s">
        <v>2972</v>
      </c>
      <c r="I95" s="107" t="s">
        <v>2997</v>
      </c>
      <c r="J95" s="107" t="s">
        <v>2997</v>
      </c>
      <c r="K95" s="107" t="s">
        <v>2996</v>
      </c>
      <c r="L95" s="107">
        <v>110.69</v>
      </c>
      <c r="M95" s="107"/>
    </row>
    <row r="96" spans="1:13" x14ac:dyDescent="0.3">
      <c r="A96" s="95">
        <f t="shared" si="1"/>
        <v>0</v>
      </c>
      <c r="B96" s="106" t="s">
        <v>132</v>
      </c>
      <c r="C96" s="95" t="s">
        <v>1611</v>
      </c>
      <c r="D96" s="106">
        <v>12</v>
      </c>
      <c r="E96" s="107">
        <v>1</v>
      </c>
      <c r="F96" s="107" t="s">
        <v>2959</v>
      </c>
      <c r="G96" s="107" t="s">
        <v>2960</v>
      </c>
      <c r="H96" s="107" t="s">
        <v>2970</v>
      </c>
      <c r="I96" s="107" t="s">
        <v>2997</v>
      </c>
      <c r="J96" s="107" t="s">
        <v>2997</v>
      </c>
      <c r="K96" s="107" t="s">
        <v>2996</v>
      </c>
      <c r="L96" s="107">
        <v>115.71</v>
      </c>
      <c r="M96" s="107"/>
    </row>
    <row r="97" spans="1:13" x14ac:dyDescent="0.3">
      <c r="A97" s="95">
        <f t="shared" si="1"/>
        <v>0</v>
      </c>
      <c r="B97" s="106" t="s">
        <v>133</v>
      </c>
      <c r="C97" s="95" t="s">
        <v>1612</v>
      </c>
      <c r="D97" s="106">
        <v>12</v>
      </c>
      <c r="E97" s="107">
        <v>1</v>
      </c>
      <c r="F97" s="107" t="s">
        <v>2958</v>
      </c>
      <c r="G97" s="107" t="s">
        <v>2965</v>
      </c>
      <c r="H97" s="107" t="s">
        <v>2965</v>
      </c>
      <c r="I97" s="107" t="s">
        <v>2996</v>
      </c>
      <c r="J97" s="107" t="s">
        <v>2996</v>
      </c>
      <c r="K97" s="107" t="s">
        <v>2996</v>
      </c>
      <c r="L97" s="107">
        <v>58.51</v>
      </c>
      <c r="M97" s="107"/>
    </row>
    <row r="98" spans="1:13" x14ac:dyDescent="0.3">
      <c r="A98" s="95">
        <f t="shared" si="1"/>
        <v>0</v>
      </c>
      <c r="B98" s="106" t="s">
        <v>134</v>
      </c>
      <c r="C98" s="95" t="s">
        <v>1613</v>
      </c>
      <c r="D98" s="106">
        <v>12</v>
      </c>
      <c r="E98" s="107">
        <v>1</v>
      </c>
      <c r="F98" s="107" t="s">
        <v>2958</v>
      </c>
      <c r="G98" s="107" t="s">
        <v>2965</v>
      </c>
      <c r="H98" s="107" t="s">
        <v>2965</v>
      </c>
      <c r="I98" s="107" t="s">
        <v>2997</v>
      </c>
      <c r="J98" s="107" t="s">
        <v>2997</v>
      </c>
      <c r="K98" s="107" t="s">
        <v>2996</v>
      </c>
      <c r="L98" s="107">
        <v>64.2</v>
      </c>
      <c r="M98" s="107"/>
    </row>
    <row r="99" spans="1:13" x14ac:dyDescent="0.3">
      <c r="A99" s="95">
        <f t="shared" si="1"/>
        <v>0</v>
      </c>
      <c r="B99" s="106" t="s">
        <v>135</v>
      </c>
      <c r="C99" s="95" t="s">
        <v>1614</v>
      </c>
      <c r="D99" s="106">
        <v>12</v>
      </c>
      <c r="E99" s="107">
        <v>1</v>
      </c>
      <c r="F99" s="107" t="s">
        <v>2958</v>
      </c>
      <c r="G99" s="107" t="s">
        <v>2965</v>
      </c>
      <c r="H99" s="107" t="s">
        <v>2965</v>
      </c>
      <c r="I99" s="107" t="s">
        <v>2997</v>
      </c>
      <c r="J99" s="107" t="s">
        <v>2997</v>
      </c>
      <c r="K99" s="107" t="s">
        <v>2997</v>
      </c>
      <c r="L99" s="107">
        <v>39.24</v>
      </c>
      <c r="M99" s="107"/>
    </row>
    <row r="100" spans="1:13" x14ac:dyDescent="0.3">
      <c r="A100" s="95">
        <f t="shared" si="1"/>
        <v>0</v>
      </c>
      <c r="B100" s="106" t="s">
        <v>136</v>
      </c>
      <c r="C100" s="95" t="s">
        <v>1615</v>
      </c>
      <c r="D100" s="106">
        <v>12</v>
      </c>
      <c r="E100" s="107">
        <v>1</v>
      </c>
      <c r="F100" s="107" t="s">
        <v>2958</v>
      </c>
      <c r="G100" s="107" t="s">
        <v>2961</v>
      </c>
      <c r="H100" s="107" t="s">
        <v>2971</v>
      </c>
      <c r="I100" s="107" t="s">
        <v>2997</v>
      </c>
      <c r="J100" s="107" t="s">
        <v>2997</v>
      </c>
      <c r="K100" s="107" t="s">
        <v>2997</v>
      </c>
      <c r="L100" s="107">
        <v>87.3</v>
      </c>
      <c r="M100" s="107"/>
    </row>
    <row r="101" spans="1:13" x14ac:dyDescent="0.3">
      <c r="A101" s="95">
        <f t="shared" si="1"/>
        <v>0</v>
      </c>
      <c r="B101" s="106" t="s">
        <v>137</v>
      </c>
      <c r="C101" s="95" t="s">
        <v>1616</v>
      </c>
      <c r="D101" s="106">
        <v>12</v>
      </c>
      <c r="E101" s="107">
        <v>1</v>
      </c>
      <c r="F101" s="107" t="s">
        <v>2958</v>
      </c>
      <c r="G101" s="107" t="s">
        <v>2960</v>
      </c>
      <c r="H101" s="107" t="s">
        <v>2970</v>
      </c>
      <c r="I101" s="107" t="s">
        <v>2997</v>
      </c>
      <c r="J101" s="107" t="s">
        <v>2997</v>
      </c>
      <c r="K101" s="107" t="s">
        <v>2997</v>
      </c>
      <c r="L101" s="107">
        <v>722.97</v>
      </c>
      <c r="M101" s="107">
        <v>3</v>
      </c>
    </row>
    <row r="102" spans="1:13" x14ac:dyDescent="0.3">
      <c r="A102" s="95">
        <f t="shared" si="1"/>
        <v>0</v>
      </c>
      <c r="B102" s="106" t="s">
        <v>138</v>
      </c>
      <c r="C102" s="95" t="s">
        <v>1617</v>
      </c>
      <c r="D102" s="106">
        <v>12</v>
      </c>
      <c r="E102" s="107">
        <v>1</v>
      </c>
      <c r="F102" s="107" t="s">
        <v>2958</v>
      </c>
      <c r="G102" s="107" t="s">
        <v>2963</v>
      </c>
      <c r="H102" s="107" t="s">
        <v>2974</v>
      </c>
      <c r="I102" s="107" t="s">
        <v>2997</v>
      </c>
      <c r="J102" s="107" t="s">
        <v>2997</v>
      </c>
      <c r="K102" s="107" t="s">
        <v>2997</v>
      </c>
      <c r="L102" s="107">
        <v>1070.2</v>
      </c>
      <c r="M102" s="107">
        <v>6</v>
      </c>
    </row>
    <row r="103" spans="1:13" x14ac:dyDescent="0.3">
      <c r="A103" s="95">
        <f t="shared" si="1"/>
        <v>0</v>
      </c>
      <c r="B103" s="106" t="s">
        <v>139</v>
      </c>
      <c r="C103" s="95" t="s">
        <v>19</v>
      </c>
      <c r="D103" s="106">
        <v>3</v>
      </c>
      <c r="E103" s="107">
        <v>1</v>
      </c>
      <c r="F103" s="107" t="s">
        <v>2958</v>
      </c>
      <c r="G103" s="107" t="s">
        <v>2962</v>
      </c>
      <c r="H103" s="107" t="s">
        <v>2979</v>
      </c>
      <c r="I103" s="107" t="s">
        <v>2997</v>
      </c>
      <c r="J103" s="107" t="s">
        <v>2997</v>
      </c>
      <c r="K103" s="107" t="s">
        <v>2996</v>
      </c>
      <c r="L103" s="107">
        <v>355.27</v>
      </c>
      <c r="M103" s="107"/>
    </row>
    <row r="104" spans="1:13" x14ac:dyDescent="0.3">
      <c r="A104" s="95">
        <f t="shared" si="1"/>
        <v>1</v>
      </c>
      <c r="B104" s="106" t="s">
        <v>140</v>
      </c>
      <c r="C104" s="95" t="s">
        <v>1618</v>
      </c>
      <c r="D104" s="106">
        <v>12</v>
      </c>
      <c r="E104" s="107">
        <v>1</v>
      </c>
      <c r="F104" s="107" t="s">
        <v>2958</v>
      </c>
      <c r="G104" s="107" t="s">
        <v>2964</v>
      </c>
      <c r="H104" s="107" t="s">
        <v>2976</v>
      </c>
      <c r="I104" s="107" t="s">
        <v>2997</v>
      </c>
      <c r="J104" s="107" t="s">
        <v>2997</v>
      </c>
      <c r="K104" s="107" t="s">
        <v>2997</v>
      </c>
      <c r="L104" s="107">
        <v>1598.33</v>
      </c>
      <c r="M104" s="107">
        <v>9</v>
      </c>
    </row>
    <row r="105" spans="1:13" x14ac:dyDescent="0.3">
      <c r="A105" s="95">
        <f t="shared" si="1"/>
        <v>0</v>
      </c>
      <c r="B105" s="106" t="s">
        <v>141</v>
      </c>
      <c r="C105" s="95" t="s">
        <v>1619</v>
      </c>
      <c r="D105" s="106">
        <v>3</v>
      </c>
      <c r="E105" s="107">
        <v>1</v>
      </c>
      <c r="F105" s="107" t="s">
        <v>2958</v>
      </c>
      <c r="G105" s="107" t="s">
        <v>2962</v>
      </c>
      <c r="H105" s="107" t="s">
        <v>2979</v>
      </c>
      <c r="I105" s="107" t="s">
        <v>2996</v>
      </c>
      <c r="J105" s="107" t="s">
        <v>2996</v>
      </c>
      <c r="K105" s="107" t="s">
        <v>2996</v>
      </c>
      <c r="L105" s="107">
        <v>83.63</v>
      </c>
      <c r="M105" s="107"/>
    </row>
    <row r="106" spans="1:13" x14ac:dyDescent="0.3">
      <c r="A106" s="95">
        <f t="shared" si="1"/>
        <v>0</v>
      </c>
      <c r="B106" s="106" t="s">
        <v>142</v>
      </c>
      <c r="C106" s="95" t="s">
        <v>1620</v>
      </c>
      <c r="D106" s="106">
        <v>12</v>
      </c>
      <c r="E106" s="107">
        <v>1</v>
      </c>
      <c r="F106" s="107" t="s">
        <v>2958</v>
      </c>
      <c r="G106" s="107" t="s">
        <v>2965</v>
      </c>
      <c r="H106" s="107" t="s">
        <v>2965</v>
      </c>
      <c r="I106" s="107" t="s">
        <v>2996</v>
      </c>
      <c r="J106" s="107" t="s">
        <v>2996</v>
      </c>
      <c r="K106" s="107" t="s">
        <v>2996</v>
      </c>
      <c r="L106" s="107">
        <v>14.94</v>
      </c>
      <c r="M106" s="107"/>
    </row>
    <row r="107" spans="1:13" x14ac:dyDescent="0.3">
      <c r="A107" s="95">
        <f t="shared" si="1"/>
        <v>0</v>
      </c>
      <c r="B107" s="106" t="s">
        <v>143</v>
      </c>
      <c r="C107" s="95" t="s">
        <v>1621</v>
      </c>
      <c r="D107" s="106">
        <v>12</v>
      </c>
      <c r="E107" s="107">
        <v>1</v>
      </c>
      <c r="F107" s="107" t="s">
        <v>2958</v>
      </c>
      <c r="G107" s="107" t="s">
        <v>2965</v>
      </c>
      <c r="H107" s="107" t="s">
        <v>2965</v>
      </c>
      <c r="I107" s="107" t="s">
        <v>2997</v>
      </c>
      <c r="J107" s="107" t="s">
        <v>2997</v>
      </c>
      <c r="K107" s="107" t="s">
        <v>2997</v>
      </c>
      <c r="L107" s="107">
        <v>133.81</v>
      </c>
      <c r="M107" s="107">
        <v>1</v>
      </c>
    </row>
    <row r="108" spans="1:13" x14ac:dyDescent="0.3">
      <c r="A108" s="95">
        <f t="shared" si="1"/>
        <v>0</v>
      </c>
      <c r="B108" s="106" t="s">
        <v>144</v>
      </c>
      <c r="C108" s="95" t="s">
        <v>1622</v>
      </c>
      <c r="D108" s="106">
        <v>12</v>
      </c>
      <c r="E108" s="107">
        <v>1</v>
      </c>
      <c r="F108" s="107" t="s">
        <v>2958</v>
      </c>
      <c r="G108" s="107" t="s">
        <v>2963</v>
      </c>
      <c r="H108" s="107" t="s">
        <v>2974</v>
      </c>
      <c r="I108" s="107" t="s">
        <v>2997</v>
      </c>
      <c r="J108" s="107" t="s">
        <v>2997</v>
      </c>
      <c r="K108" s="107" t="s">
        <v>2996</v>
      </c>
      <c r="L108" s="107">
        <v>231.64</v>
      </c>
      <c r="M108" s="107">
        <v>1</v>
      </c>
    </row>
    <row r="109" spans="1:13" x14ac:dyDescent="0.3">
      <c r="A109" s="95">
        <f t="shared" si="1"/>
        <v>1</v>
      </c>
      <c r="B109" s="106" t="s">
        <v>145</v>
      </c>
      <c r="C109" s="95" t="s">
        <v>1623</v>
      </c>
      <c r="D109" s="106">
        <v>12</v>
      </c>
      <c r="E109" s="107">
        <v>1</v>
      </c>
      <c r="F109" s="107" t="s">
        <v>2958</v>
      </c>
      <c r="G109" s="107" t="s">
        <v>2963</v>
      </c>
      <c r="H109" s="107" t="s">
        <v>2974</v>
      </c>
      <c r="I109" s="107" t="s">
        <v>2997</v>
      </c>
      <c r="J109" s="107" t="s">
        <v>2997</v>
      </c>
      <c r="K109" s="107" t="s">
        <v>2997</v>
      </c>
      <c r="L109" s="107">
        <v>5688.76</v>
      </c>
      <c r="M109" s="107">
        <v>17</v>
      </c>
    </row>
    <row r="110" spans="1:13" x14ac:dyDescent="0.3">
      <c r="A110" s="95">
        <f t="shared" si="1"/>
        <v>0</v>
      </c>
      <c r="B110" s="106" t="s">
        <v>146</v>
      </c>
      <c r="C110" s="95" t="s">
        <v>1624</v>
      </c>
      <c r="D110" s="106">
        <v>12</v>
      </c>
      <c r="E110" s="107">
        <v>1</v>
      </c>
      <c r="F110" s="107" t="s">
        <v>2959</v>
      </c>
      <c r="G110" s="107" t="s">
        <v>2965</v>
      </c>
      <c r="H110" s="107" t="s">
        <v>2965</v>
      </c>
      <c r="I110" s="107" t="s">
        <v>2997</v>
      </c>
      <c r="J110" s="107" t="s">
        <v>2997</v>
      </c>
      <c r="K110" s="107" t="s">
        <v>2996</v>
      </c>
      <c r="L110" s="107">
        <v>54.13</v>
      </c>
      <c r="M110" s="107"/>
    </row>
    <row r="111" spans="1:13" x14ac:dyDescent="0.3">
      <c r="A111" s="95">
        <f t="shared" si="1"/>
        <v>0</v>
      </c>
      <c r="B111" s="106" t="s">
        <v>147</v>
      </c>
      <c r="C111" s="95" t="s">
        <v>1625</v>
      </c>
      <c r="D111" s="106">
        <v>12</v>
      </c>
      <c r="E111" s="107">
        <v>1</v>
      </c>
      <c r="F111" s="107" t="s">
        <v>2958</v>
      </c>
      <c r="G111" s="107" t="s">
        <v>2966</v>
      </c>
      <c r="H111" s="107" t="s">
        <v>2977</v>
      </c>
      <c r="I111" s="107" t="s">
        <v>2997</v>
      </c>
      <c r="J111" s="107" t="s">
        <v>2997</v>
      </c>
      <c r="K111" s="107" t="s">
        <v>2997</v>
      </c>
      <c r="L111" s="107">
        <v>60.39</v>
      </c>
      <c r="M111" s="107"/>
    </row>
    <row r="112" spans="1:13" x14ac:dyDescent="0.3">
      <c r="A112" s="95">
        <f t="shared" si="1"/>
        <v>0</v>
      </c>
      <c r="B112" s="106" t="s">
        <v>148</v>
      </c>
      <c r="C112" s="95" t="s">
        <v>1626</v>
      </c>
      <c r="D112" s="106">
        <v>12</v>
      </c>
      <c r="E112" s="107">
        <v>1</v>
      </c>
      <c r="F112" s="107" t="s">
        <v>2959</v>
      </c>
      <c r="G112" s="107" t="s">
        <v>2964</v>
      </c>
      <c r="H112" s="107" t="s">
        <v>2976</v>
      </c>
      <c r="I112" s="107" t="s">
        <v>2996</v>
      </c>
      <c r="J112" s="107" t="s">
        <v>2996</v>
      </c>
      <c r="K112" s="107" t="s">
        <v>2996</v>
      </c>
      <c r="L112" s="107">
        <v>37.6</v>
      </c>
      <c r="M112" s="107"/>
    </row>
    <row r="113" spans="1:13" x14ac:dyDescent="0.3">
      <c r="A113" s="95">
        <f t="shared" si="1"/>
        <v>0</v>
      </c>
      <c r="B113" s="106" t="s">
        <v>149</v>
      </c>
      <c r="C113" s="95" t="s">
        <v>1627</v>
      </c>
      <c r="D113" s="106">
        <v>12</v>
      </c>
      <c r="E113" s="107">
        <v>1</v>
      </c>
      <c r="F113" s="107" t="s">
        <v>2958</v>
      </c>
      <c r="G113" s="107" t="s">
        <v>2964</v>
      </c>
      <c r="H113" s="107" t="s">
        <v>2976</v>
      </c>
      <c r="I113" s="107" t="s">
        <v>2996</v>
      </c>
      <c r="J113" s="107" t="s">
        <v>2996</v>
      </c>
      <c r="K113" s="107" t="s">
        <v>2996</v>
      </c>
      <c r="L113" s="107">
        <v>27.36</v>
      </c>
      <c r="M113" s="107"/>
    </row>
    <row r="114" spans="1:13" x14ac:dyDescent="0.3">
      <c r="A114" s="95">
        <f t="shared" si="1"/>
        <v>0</v>
      </c>
      <c r="B114" s="106" t="s">
        <v>150</v>
      </c>
      <c r="C114" s="95" t="s">
        <v>1628</v>
      </c>
      <c r="D114" s="106">
        <v>12</v>
      </c>
      <c r="E114" s="107">
        <v>1</v>
      </c>
      <c r="F114" s="107" t="s">
        <v>2958</v>
      </c>
      <c r="G114" s="107" t="s">
        <v>2965</v>
      </c>
      <c r="H114" s="107" t="s">
        <v>2965</v>
      </c>
      <c r="I114" s="107" t="s">
        <v>2997</v>
      </c>
      <c r="J114" s="107" t="s">
        <v>2997</v>
      </c>
      <c r="K114" s="107" t="s">
        <v>2996</v>
      </c>
      <c r="L114" s="107">
        <v>159.44999999999999</v>
      </c>
      <c r="M114" s="107"/>
    </row>
    <row r="115" spans="1:13" x14ac:dyDescent="0.3">
      <c r="A115" s="95">
        <f t="shared" si="1"/>
        <v>0</v>
      </c>
      <c r="B115" s="106" t="s">
        <v>151</v>
      </c>
      <c r="C115" s="95" t="s">
        <v>1629</v>
      </c>
      <c r="D115" s="106">
        <v>12</v>
      </c>
      <c r="E115" s="107">
        <v>1</v>
      </c>
      <c r="F115" s="107" t="s">
        <v>2958</v>
      </c>
      <c r="G115" s="107" t="s">
        <v>2964</v>
      </c>
      <c r="H115" s="107" t="s">
        <v>2976</v>
      </c>
      <c r="I115" s="107" t="s">
        <v>2997</v>
      </c>
      <c r="J115" s="107" t="s">
        <v>2997</v>
      </c>
      <c r="K115" s="107" t="s">
        <v>2996</v>
      </c>
      <c r="L115" s="107">
        <v>165.31</v>
      </c>
      <c r="M115" s="107"/>
    </row>
    <row r="116" spans="1:13" x14ac:dyDescent="0.3">
      <c r="A116" s="95">
        <f t="shared" si="1"/>
        <v>0</v>
      </c>
      <c r="B116" s="106" t="s">
        <v>152</v>
      </c>
      <c r="C116" s="95" t="s">
        <v>1630</v>
      </c>
      <c r="D116" s="106">
        <v>12</v>
      </c>
      <c r="E116" s="107">
        <v>1</v>
      </c>
      <c r="F116" s="107" t="s">
        <v>2958</v>
      </c>
      <c r="G116" s="107" t="s">
        <v>2965</v>
      </c>
      <c r="H116" s="107" t="s">
        <v>2965</v>
      </c>
      <c r="I116" s="107" t="s">
        <v>2997</v>
      </c>
      <c r="J116" s="107" t="s">
        <v>2997</v>
      </c>
      <c r="K116" s="107" t="s">
        <v>2997</v>
      </c>
      <c r="L116" s="107">
        <v>256.89999999999998</v>
      </c>
      <c r="M116" s="107"/>
    </row>
    <row r="117" spans="1:13" x14ac:dyDescent="0.3">
      <c r="A117" s="95">
        <f t="shared" si="1"/>
        <v>0</v>
      </c>
      <c r="B117" s="106" t="s">
        <v>153</v>
      </c>
      <c r="C117" s="95" t="s">
        <v>1631</v>
      </c>
      <c r="D117" s="106">
        <v>12</v>
      </c>
      <c r="E117" s="107">
        <v>1</v>
      </c>
      <c r="F117" s="107" t="s">
        <v>2958</v>
      </c>
      <c r="G117" s="107" t="s">
        <v>2964</v>
      </c>
      <c r="H117" s="107" t="s">
        <v>2976</v>
      </c>
      <c r="I117" s="107" t="s">
        <v>2997</v>
      </c>
      <c r="J117" s="107" t="s">
        <v>2997</v>
      </c>
      <c r="K117" s="107" t="s">
        <v>2996</v>
      </c>
      <c r="L117" s="107">
        <v>359.68</v>
      </c>
      <c r="M117" s="107">
        <v>1</v>
      </c>
    </row>
    <row r="118" spans="1:13" x14ac:dyDescent="0.3">
      <c r="A118" s="95">
        <f t="shared" si="1"/>
        <v>0</v>
      </c>
      <c r="B118" s="106" t="s">
        <v>154</v>
      </c>
      <c r="C118" s="95" t="s">
        <v>1632</v>
      </c>
      <c r="D118" s="106">
        <v>12</v>
      </c>
      <c r="E118" s="107">
        <v>1</v>
      </c>
      <c r="F118" s="107" t="s">
        <v>2958</v>
      </c>
      <c r="G118" s="107" t="s">
        <v>2961</v>
      </c>
      <c r="H118" s="107" t="s">
        <v>2972</v>
      </c>
      <c r="I118" s="107" t="s">
        <v>2997</v>
      </c>
      <c r="J118" s="107" t="s">
        <v>2997</v>
      </c>
      <c r="K118" s="107" t="s">
        <v>2997</v>
      </c>
      <c r="L118" s="107">
        <v>44.57</v>
      </c>
      <c r="M118" s="107"/>
    </row>
    <row r="119" spans="1:13" x14ac:dyDescent="0.3">
      <c r="A119" s="95">
        <f t="shared" si="1"/>
        <v>0</v>
      </c>
      <c r="B119" s="106" t="s">
        <v>155</v>
      </c>
      <c r="C119" s="95" t="s">
        <v>1633</v>
      </c>
      <c r="D119" s="106">
        <v>12</v>
      </c>
      <c r="E119" s="107">
        <v>1</v>
      </c>
      <c r="F119" s="107" t="s">
        <v>2958</v>
      </c>
      <c r="G119" s="107" t="s">
        <v>2965</v>
      </c>
      <c r="H119" s="107" t="s">
        <v>2965</v>
      </c>
      <c r="I119" s="107" t="s">
        <v>2997</v>
      </c>
      <c r="J119" s="107" t="s">
        <v>2997</v>
      </c>
      <c r="K119" s="107" t="s">
        <v>2996</v>
      </c>
      <c r="L119" s="107">
        <v>79.17</v>
      </c>
      <c r="M119" s="107"/>
    </row>
    <row r="120" spans="1:13" x14ac:dyDescent="0.3">
      <c r="A120" s="95">
        <f t="shared" si="1"/>
        <v>0</v>
      </c>
      <c r="B120" s="106" t="s">
        <v>156</v>
      </c>
      <c r="C120" s="95" t="s">
        <v>1634</v>
      </c>
      <c r="D120" s="106">
        <v>12</v>
      </c>
      <c r="E120" s="107">
        <v>1</v>
      </c>
      <c r="F120" s="107" t="s">
        <v>2958</v>
      </c>
      <c r="G120" s="107" t="s">
        <v>2963</v>
      </c>
      <c r="H120" s="107" t="s">
        <v>2974</v>
      </c>
      <c r="I120" s="107" t="s">
        <v>2997</v>
      </c>
      <c r="J120" s="107" t="s">
        <v>2997</v>
      </c>
      <c r="K120" s="107" t="s">
        <v>2997</v>
      </c>
      <c r="L120" s="107">
        <v>28.68</v>
      </c>
      <c r="M120" s="107"/>
    </row>
    <row r="121" spans="1:13" x14ac:dyDescent="0.3">
      <c r="A121" s="95">
        <f t="shared" si="1"/>
        <v>0</v>
      </c>
      <c r="B121" s="106" t="s">
        <v>3129</v>
      </c>
      <c r="C121" s="95" t="s">
        <v>3332</v>
      </c>
      <c r="D121" s="106">
        <v>12</v>
      </c>
      <c r="E121" s="107">
        <v>1</v>
      </c>
      <c r="F121" s="107" t="s">
        <v>2958</v>
      </c>
      <c r="G121" s="107" t="s">
        <v>2964</v>
      </c>
      <c r="H121" s="107" t="s">
        <v>2976</v>
      </c>
      <c r="I121" s="107" t="s">
        <v>2996</v>
      </c>
      <c r="J121" s="107" t="s">
        <v>2996</v>
      </c>
      <c r="K121" s="107" t="s">
        <v>2996</v>
      </c>
      <c r="L121" s="107">
        <v>169.61</v>
      </c>
      <c r="M121" s="107"/>
    </row>
    <row r="122" spans="1:13" x14ac:dyDescent="0.3">
      <c r="A122" s="95">
        <f t="shared" si="1"/>
        <v>0</v>
      </c>
      <c r="B122" s="106" t="s">
        <v>157</v>
      </c>
      <c r="C122" s="95" t="s">
        <v>1635</v>
      </c>
      <c r="D122" s="106">
        <v>12</v>
      </c>
      <c r="E122" s="107">
        <v>1</v>
      </c>
      <c r="F122" s="107" t="s">
        <v>2958</v>
      </c>
      <c r="G122" s="107" t="s">
        <v>2961</v>
      </c>
      <c r="H122" s="107" t="s">
        <v>2972</v>
      </c>
      <c r="I122" s="107" t="s">
        <v>2997</v>
      </c>
      <c r="J122" s="107" t="s">
        <v>2997</v>
      </c>
      <c r="K122" s="107" t="s">
        <v>2996</v>
      </c>
      <c r="L122" s="107">
        <v>74.099999999999994</v>
      </c>
      <c r="M122" s="107"/>
    </row>
    <row r="123" spans="1:13" x14ac:dyDescent="0.3">
      <c r="A123" s="95">
        <f t="shared" si="1"/>
        <v>0</v>
      </c>
      <c r="B123" s="106" t="s">
        <v>158</v>
      </c>
      <c r="C123" s="95" t="s">
        <v>1636</v>
      </c>
      <c r="D123" s="106">
        <v>12</v>
      </c>
      <c r="E123" s="107">
        <v>1</v>
      </c>
      <c r="F123" s="107" t="s">
        <v>2958</v>
      </c>
      <c r="G123" s="107" t="s">
        <v>2965</v>
      </c>
      <c r="H123" s="107" t="s">
        <v>2965</v>
      </c>
      <c r="I123" s="107" t="s">
        <v>2997</v>
      </c>
      <c r="J123" s="107" t="s">
        <v>2997</v>
      </c>
      <c r="K123" s="107" t="s">
        <v>2996</v>
      </c>
      <c r="L123" s="107">
        <v>104.2</v>
      </c>
      <c r="M123" s="107"/>
    </row>
    <row r="124" spans="1:13" x14ac:dyDescent="0.3">
      <c r="A124" s="95">
        <f t="shared" si="1"/>
        <v>0</v>
      </c>
      <c r="B124" s="106" t="s">
        <v>159</v>
      </c>
      <c r="C124" s="95" t="s">
        <v>1637</v>
      </c>
      <c r="D124" s="106">
        <v>12</v>
      </c>
      <c r="E124" s="107">
        <v>1</v>
      </c>
      <c r="F124" s="107" t="s">
        <v>2958</v>
      </c>
      <c r="G124" s="107" t="s">
        <v>2960</v>
      </c>
      <c r="H124" s="107" t="s">
        <v>2970</v>
      </c>
      <c r="I124" s="107" t="s">
        <v>2996</v>
      </c>
      <c r="J124" s="107" t="s">
        <v>2996</v>
      </c>
      <c r="K124" s="107" t="s">
        <v>2996</v>
      </c>
      <c r="L124" s="107">
        <v>93.7</v>
      </c>
      <c r="M124" s="107">
        <v>1</v>
      </c>
    </row>
    <row r="125" spans="1:13" x14ac:dyDescent="0.3">
      <c r="A125" s="95">
        <f t="shared" si="1"/>
        <v>0</v>
      </c>
      <c r="B125" s="106" t="s">
        <v>160</v>
      </c>
      <c r="C125" s="95" t="s">
        <v>1638</v>
      </c>
      <c r="D125" s="106">
        <v>12</v>
      </c>
      <c r="E125" s="107">
        <v>1</v>
      </c>
      <c r="F125" s="107" t="s">
        <v>2958</v>
      </c>
      <c r="G125" s="107" t="s">
        <v>2965</v>
      </c>
      <c r="H125" s="107" t="s">
        <v>2965</v>
      </c>
      <c r="I125" s="107" t="s">
        <v>2997</v>
      </c>
      <c r="J125" s="107" t="s">
        <v>2997</v>
      </c>
      <c r="K125" s="107" t="s">
        <v>2996</v>
      </c>
      <c r="L125" s="107">
        <v>26.42</v>
      </c>
      <c r="M125" s="107"/>
    </row>
    <row r="126" spans="1:13" x14ac:dyDescent="0.3">
      <c r="A126" s="95">
        <f t="shared" si="1"/>
        <v>0</v>
      </c>
      <c r="B126" s="106" t="s">
        <v>161</v>
      </c>
      <c r="C126" s="95" t="s">
        <v>1639</v>
      </c>
      <c r="D126" s="106">
        <v>12</v>
      </c>
      <c r="E126" s="107">
        <v>1</v>
      </c>
      <c r="F126" s="107" t="s">
        <v>2959</v>
      </c>
      <c r="G126" s="107" t="s">
        <v>2966</v>
      </c>
      <c r="H126" s="107" t="s">
        <v>2977</v>
      </c>
      <c r="I126" s="107" t="s">
        <v>2997</v>
      </c>
      <c r="J126" s="107" t="s">
        <v>2997</v>
      </c>
      <c r="K126" s="107" t="s">
        <v>2997</v>
      </c>
      <c r="L126" s="107">
        <v>68.150000000000006</v>
      </c>
      <c r="M126" s="107">
        <v>2</v>
      </c>
    </row>
    <row r="127" spans="1:13" x14ac:dyDescent="0.3">
      <c r="A127" s="95">
        <f t="shared" si="1"/>
        <v>0</v>
      </c>
      <c r="B127" s="106" t="s">
        <v>162</v>
      </c>
      <c r="C127" s="95" t="s">
        <v>1640</v>
      </c>
      <c r="D127" s="106">
        <v>12</v>
      </c>
      <c r="E127" s="107">
        <v>1</v>
      </c>
      <c r="F127" s="107" t="s">
        <v>2958</v>
      </c>
      <c r="G127" s="107" t="s">
        <v>2965</v>
      </c>
      <c r="H127" s="107" t="s">
        <v>2965</v>
      </c>
      <c r="I127" s="107" t="s">
        <v>2997</v>
      </c>
      <c r="J127" s="107" t="s">
        <v>2997</v>
      </c>
      <c r="K127" s="107" t="s">
        <v>2996</v>
      </c>
      <c r="L127" s="107">
        <v>493.5</v>
      </c>
      <c r="M127" s="107"/>
    </row>
    <row r="128" spans="1:13" x14ac:dyDescent="0.3">
      <c r="A128" s="95">
        <f t="shared" si="1"/>
        <v>0</v>
      </c>
      <c r="B128" s="106" t="s">
        <v>163</v>
      </c>
      <c r="C128" s="95" t="s">
        <v>1641</v>
      </c>
      <c r="D128" s="106">
        <v>12</v>
      </c>
      <c r="E128" s="107">
        <v>1</v>
      </c>
      <c r="F128" s="107" t="s">
        <v>2958</v>
      </c>
      <c r="G128" s="107" t="s">
        <v>2960</v>
      </c>
      <c r="H128" s="107" t="s">
        <v>2970</v>
      </c>
      <c r="I128" s="107" t="s">
        <v>2996</v>
      </c>
      <c r="J128" s="107" t="s">
        <v>2996</v>
      </c>
      <c r="K128" s="107" t="s">
        <v>2996</v>
      </c>
      <c r="L128" s="107">
        <v>86.55</v>
      </c>
      <c r="M128" s="107"/>
    </row>
    <row r="129" spans="1:13" x14ac:dyDescent="0.3">
      <c r="A129" s="95">
        <f t="shared" si="1"/>
        <v>0</v>
      </c>
      <c r="B129" s="106" t="s">
        <v>164</v>
      </c>
      <c r="C129" s="95" t="s">
        <v>3629</v>
      </c>
      <c r="D129" s="106">
        <v>12</v>
      </c>
      <c r="E129" s="107">
        <v>1</v>
      </c>
      <c r="F129" s="107" t="s">
        <v>2958</v>
      </c>
      <c r="G129" s="107" t="s">
        <v>2963</v>
      </c>
      <c r="H129" s="107" t="s">
        <v>2974</v>
      </c>
      <c r="I129" s="107" t="s">
        <v>2996</v>
      </c>
      <c r="J129" s="107" t="s">
        <v>2996</v>
      </c>
      <c r="K129" s="107" t="s">
        <v>2996</v>
      </c>
      <c r="L129" s="107">
        <v>803.86</v>
      </c>
      <c r="M129" s="107">
        <v>5</v>
      </c>
    </row>
    <row r="130" spans="1:13" x14ac:dyDescent="0.3">
      <c r="A130" s="95">
        <f t="shared" si="1"/>
        <v>0</v>
      </c>
      <c r="B130" s="106" t="s">
        <v>165</v>
      </c>
      <c r="C130" s="95" t="s">
        <v>1642</v>
      </c>
      <c r="D130" s="106">
        <v>12</v>
      </c>
      <c r="E130" s="107">
        <v>1</v>
      </c>
      <c r="F130" s="107" t="s">
        <v>2959</v>
      </c>
      <c r="G130" s="107" t="s">
        <v>2964</v>
      </c>
      <c r="H130" s="107" t="s">
        <v>2976</v>
      </c>
      <c r="I130" s="107" t="s">
        <v>2996</v>
      </c>
      <c r="J130" s="107" t="s">
        <v>2996</v>
      </c>
      <c r="K130" s="107" t="s">
        <v>2996</v>
      </c>
      <c r="L130" s="107">
        <v>18.350000000000001</v>
      </c>
      <c r="M130" s="107"/>
    </row>
    <row r="131" spans="1:13" x14ac:dyDescent="0.3">
      <c r="A131" s="95">
        <f t="shared" si="1"/>
        <v>0</v>
      </c>
      <c r="B131" s="106" t="s">
        <v>166</v>
      </c>
      <c r="C131" s="95" t="s">
        <v>1643</v>
      </c>
      <c r="D131" s="106">
        <v>12</v>
      </c>
      <c r="E131" s="107">
        <v>1</v>
      </c>
      <c r="F131" s="107" t="s">
        <v>2958</v>
      </c>
      <c r="G131" s="107" t="s">
        <v>2965</v>
      </c>
      <c r="H131" s="107" t="s">
        <v>2965</v>
      </c>
      <c r="I131" s="107" t="s">
        <v>2996</v>
      </c>
      <c r="J131" s="107" t="s">
        <v>2997</v>
      </c>
      <c r="K131" s="107" t="s">
        <v>2996</v>
      </c>
      <c r="L131" s="107">
        <v>120.12</v>
      </c>
      <c r="M131" s="107"/>
    </row>
    <row r="132" spans="1:13" x14ac:dyDescent="0.3">
      <c r="A132" s="95">
        <f t="shared" si="1"/>
        <v>0</v>
      </c>
      <c r="B132" s="106" t="s">
        <v>167</v>
      </c>
      <c r="C132" s="95" t="s">
        <v>1644</v>
      </c>
      <c r="D132" s="106">
        <v>12</v>
      </c>
      <c r="E132" s="107">
        <v>1</v>
      </c>
      <c r="F132" s="107" t="s">
        <v>2958</v>
      </c>
      <c r="G132" s="107" t="s">
        <v>2965</v>
      </c>
      <c r="H132" s="107" t="s">
        <v>2965</v>
      </c>
      <c r="I132" s="107" t="s">
        <v>2997</v>
      </c>
      <c r="J132" s="107" t="s">
        <v>2997</v>
      </c>
      <c r="K132" s="107" t="s">
        <v>2997</v>
      </c>
      <c r="L132" s="107">
        <v>197.94</v>
      </c>
      <c r="M132" s="107">
        <v>1</v>
      </c>
    </row>
    <row r="133" spans="1:13" x14ac:dyDescent="0.3">
      <c r="A133" s="95">
        <f t="shared" si="1"/>
        <v>0</v>
      </c>
      <c r="B133" s="106" t="s">
        <v>168</v>
      </c>
      <c r="C133" s="95" t="s">
        <v>1645</v>
      </c>
      <c r="D133" s="106">
        <v>12</v>
      </c>
      <c r="E133" s="107">
        <v>1</v>
      </c>
      <c r="F133" s="107" t="s">
        <v>2958</v>
      </c>
      <c r="G133" s="107" t="s">
        <v>2964</v>
      </c>
      <c r="H133" s="107" t="s">
        <v>2975</v>
      </c>
      <c r="I133" s="107" t="s">
        <v>2997</v>
      </c>
      <c r="J133" s="107" t="s">
        <v>2997</v>
      </c>
      <c r="K133" s="107" t="s">
        <v>2997</v>
      </c>
      <c r="L133" s="107">
        <v>270.63</v>
      </c>
      <c r="M133" s="107"/>
    </row>
    <row r="134" spans="1:13" x14ac:dyDescent="0.3">
      <c r="A134" s="95">
        <f t="shared" si="1"/>
        <v>1</v>
      </c>
      <c r="B134" s="106" t="s">
        <v>169</v>
      </c>
      <c r="C134" s="95" t="s">
        <v>1646</v>
      </c>
      <c r="D134" s="106">
        <v>12</v>
      </c>
      <c r="E134" s="107">
        <v>1</v>
      </c>
      <c r="F134" s="107" t="s">
        <v>2958</v>
      </c>
      <c r="G134" s="107" t="s">
        <v>2961</v>
      </c>
      <c r="H134" s="107" t="s">
        <v>2971</v>
      </c>
      <c r="I134" s="107" t="s">
        <v>2997</v>
      </c>
      <c r="J134" s="107" t="s">
        <v>2997</v>
      </c>
      <c r="K134" s="107" t="s">
        <v>2997</v>
      </c>
      <c r="L134" s="107">
        <v>1551.95</v>
      </c>
      <c r="M134" s="107">
        <v>17</v>
      </c>
    </row>
    <row r="135" spans="1:13" x14ac:dyDescent="0.3">
      <c r="A135" s="95">
        <f t="shared" si="1"/>
        <v>0</v>
      </c>
      <c r="B135" s="106" t="s">
        <v>170</v>
      </c>
      <c r="C135" s="95" t="s">
        <v>1647</v>
      </c>
      <c r="D135" s="106">
        <v>12</v>
      </c>
      <c r="E135" s="107">
        <v>1</v>
      </c>
      <c r="F135" s="107" t="s">
        <v>2958</v>
      </c>
      <c r="G135" s="107" t="s">
        <v>2965</v>
      </c>
      <c r="H135" s="107" t="s">
        <v>2965</v>
      </c>
      <c r="I135" s="107" t="s">
        <v>2997</v>
      </c>
      <c r="J135" s="107" t="s">
        <v>2997</v>
      </c>
      <c r="K135" s="107" t="s">
        <v>2997</v>
      </c>
      <c r="L135" s="107">
        <v>108.91</v>
      </c>
      <c r="M135" s="107"/>
    </row>
    <row r="136" spans="1:13" x14ac:dyDescent="0.3">
      <c r="A136" s="95">
        <f t="shared" si="1"/>
        <v>0</v>
      </c>
      <c r="B136" s="106" t="s">
        <v>171</v>
      </c>
      <c r="C136" s="95" t="s">
        <v>1648</v>
      </c>
      <c r="D136" s="106">
        <v>12</v>
      </c>
      <c r="E136" s="107">
        <v>1</v>
      </c>
      <c r="F136" s="107" t="s">
        <v>2958</v>
      </c>
      <c r="G136" s="107" t="s">
        <v>2964</v>
      </c>
      <c r="H136" s="107" t="s">
        <v>2976</v>
      </c>
      <c r="I136" s="107" t="s">
        <v>2997</v>
      </c>
      <c r="J136" s="107" t="s">
        <v>2997</v>
      </c>
      <c r="K136" s="107" t="s">
        <v>2997</v>
      </c>
      <c r="L136" s="107">
        <v>3450.56</v>
      </c>
      <c r="M136" s="107">
        <v>5</v>
      </c>
    </row>
    <row r="137" spans="1:13" x14ac:dyDescent="0.3">
      <c r="A137" s="95">
        <f t="shared" si="1"/>
        <v>0</v>
      </c>
      <c r="B137" s="106" t="s">
        <v>172</v>
      </c>
      <c r="C137" s="95" t="s">
        <v>3741</v>
      </c>
      <c r="D137" s="106">
        <v>12</v>
      </c>
      <c r="E137" s="107">
        <v>1</v>
      </c>
      <c r="F137" s="107" t="s">
        <v>2958</v>
      </c>
      <c r="G137" s="107" t="s">
        <v>2960</v>
      </c>
      <c r="H137" s="107" t="s">
        <v>2970</v>
      </c>
      <c r="I137" s="107" t="s">
        <v>2997</v>
      </c>
      <c r="J137" s="107" t="s">
        <v>2997</v>
      </c>
      <c r="K137" s="107" t="s">
        <v>2996</v>
      </c>
      <c r="L137" s="107">
        <v>197.78</v>
      </c>
      <c r="M137" s="107"/>
    </row>
    <row r="138" spans="1:13" x14ac:dyDescent="0.3">
      <c r="A138" s="95">
        <f t="shared" si="1"/>
        <v>0</v>
      </c>
      <c r="B138" s="106" t="s">
        <v>173</v>
      </c>
      <c r="C138" s="95" t="s">
        <v>1650</v>
      </c>
      <c r="D138" s="106">
        <v>12</v>
      </c>
      <c r="E138" s="107">
        <v>1</v>
      </c>
      <c r="F138" s="107" t="s">
        <v>2958</v>
      </c>
      <c r="G138" s="107" t="s">
        <v>2964</v>
      </c>
      <c r="H138" s="107" t="s">
        <v>2976</v>
      </c>
      <c r="I138" s="107" t="s">
        <v>2997</v>
      </c>
      <c r="J138" s="107" t="s">
        <v>2997</v>
      </c>
      <c r="K138" s="107" t="s">
        <v>2997</v>
      </c>
      <c r="L138" s="107">
        <v>0.54</v>
      </c>
      <c r="M138" s="107"/>
    </row>
    <row r="139" spans="1:13" x14ac:dyDescent="0.3">
      <c r="A139" s="95">
        <f t="shared" si="1"/>
        <v>0</v>
      </c>
      <c r="B139" s="106" t="s">
        <v>174</v>
      </c>
      <c r="C139" s="95" t="s">
        <v>1651</v>
      </c>
      <c r="D139" s="106">
        <v>12</v>
      </c>
      <c r="E139" s="107">
        <v>1</v>
      </c>
      <c r="F139" s="107" t="s">
        <v>2958</v>
      </c>
      <c r="G139" s="107" t="s">
        <v>2961</v>
      </c>
      <c r="H139" s="107" t="s">
        <v>2981</v>
      </c>
      <c r="I139" s="107" t="s">
        <v>2997</v>
      </c>
      <c r="J139" s="107" t="s">
        <v>2997</v>
      </c>
      <c r="K139" s="107" t="s">
        <v>2997</v>
      </c>
      <c r="L139" s="107">
        <v>12.21</v>
      </c>
      <c r="M139" s="107"/>
    </row>
    <row r="140" spans="1:13" x14ac:dyDescent="0.3">
      <c r="A140" s="95">
        <f t="shared" si="1"/>
        <v>0</v>
      </c>
      <c r="B140" s="106" t="s">
        <v>175</v>
      </c>
      <c r="C140" s="95" t="s">
        <v>1652</v>
      </c>
      <c r="D140" s="106">
        <v>12</v>
      </c>
      <c r="E140" s="107">
        <v>1</v>
      </c>
      <c r="F140" s="107" t="s">
        <v>2958</v>
      </c>
      <c r="G140" s="107" t="s">
        <v>2961</v>
      </c>
      <c r="H140" s="107" t="s">
        <v>2972</v>
      </c>
      <c r="I140" s="107" t="s">
        <v>2997</v>
      </c>
      <c r="J140" s="107" t="s">
        <v>2997</v>
      </c>
      <c r="K140" s="107" t="s">
        <v>2997</v>
      </c>
      <c r="L140" s="107">
        <v>92.75</v>
      </c>
      <c r="M140" s="107"/>
    </row>
    <row r="141" spans="1:13" x14ac:dyDescent="0.3">
      <c r="A141" s="95">
        <f t="shared" si="1"/>
        <v>0</v>
      </c>
      <c r="B141" s="106" t="s">
        <v>176</v>
      </c>
      <c r="C141" s="95" t="s">
        <v>1653</v>
      </c>
      <c r="D141" s="106">
        <v>12</v>
      </c>
      <c r="E141" s="107">
        <v>1</v>
      </c>
      <c r="F141" s="107" t="s">
        <v>2958</v>
      </c>
      <c r="G141" s="107" t="s">
        <v>2964</v>
      </c>
      <c r="H141" s="107" t="s">
        <v>2976</v>
      </c>
      <c r="I141" s="107" t="s">
        <v>2997</v>
      </c>
      <c r="J141" s="107" t="s">
        <v>2996</v>
      </c>
      <c r="K141" s="107" t="s">
        <v>2996</v>
      </c>
      <c r="L141" s="107">
        <v>71.97</v>
      </c>
      <c r="M141" s="107"/>
    </row>
    <row r="142" spans="1:13" x14ac:dyDescent="0.3">
      <c r="A142" s="95">
        <f t="shared" si="1"/>
        <v>0</v>
      </c>
      <c r="B142" s="106" t="s">
        <v>177</v>
      </c>
      <c r="C142" s="95" t="s">
        <v>1654</v>
      </c>
      <c r="D142" s="106">
        <v>12</v>
      </c>
      <c r="E142" s="107">
        <v>1</v>
      </c>
      <c r="F142" s="107" t="s">
        <v>2958</v>
      </c>
      <c r="G142" s="107" t="s">
        <v>2964</v>
      </c>
      <c r="H142" s="107" t="s">
        <v>2976</v>
      </c>
      <c r="I142" s="107" t="s">
        <v>2997</v>
      </c>
      <c r="J142" s="107" t="s">
        <v>2997</v>
      </c>
      <c r="K142" s="107" t="s">
        <v>2996</v>
      </c>
      <c r="L142" s="107">
        <v>325.23</v>
      </c>
      <c r="M142" s="107"/>
    </row>
    <row r="143" spans="1:13" x14ac:dyDescent="0.3">
      <c r="A143" s="95">
        <f t="shared" ref="A143:A206" si="2">IF(AND(E143=1,J143=K143,M143&gt;6),1,0)</f>
        <v>0</v>
      </c>
      <c r="B143" s="106" t="s">
        <v>178</v>
      </c>
      <c r="C143" s="95" t="s">
        <v>1655</v>
      </c>
      <c r="D143" s="106">
        <v>3</v>
      </c>
      <c r="E143" s="107">
        <v>1</v>
      </c>
      <c r="F143" s="107" t="s">
        <v>2958</v>
      </c>
      <c r="G143" s="107" t="s">
        <v>2962</v>
      </c>
      <c r="H143" s="107" t="s">
        <v>2973</v>
      </c>
      <c r="I143" s="107" t="s">
        <v>2997</v>
      </c>
      <c r="J143" s="107" t="s">
        <v>2997</v>
      </c>
      <c r="K143" s="107" t="s">
        <v>2996</v>
      </c>
      <c r="L143" s="107">
        <v>1401</v>
      </c>
      <c r="M143" s="107">
        <v>10</v>
      </c>
    </row>
    <row r="144" spans="1:13" x14ac:dyDescent="0.3">
      <c r="A144" s="95">
        <f t="shared" si="2"/>
        <v>0</v>
      </c>
      <c r="B144" s="106" t="s">
        <v>179</v>
      </c>
      <c r="C144" s="95" t="s">
        <v>1656</v>
      </c>
      <c r="D144" s="106">
        <v>12</v>
      </c>
      <c r="E144" s="107">
        <v>1</v>
      </c>
      <c r="F144" s="107" t="s">
        <v>2958</v>
      </c>
      <c r="G144" s="107" t="s">
        <v>2963</v>
      </c>
      <c r="H144" s="107" t="s">
        <v>2974</v>
      </c>
      <c r="I144" s="107" t="s">
        <v>2996</v>
      </c>
      <c r="J144" s="107" t="s">
        <v>2996</v>
      </c>
      <c r="K144" s="107" t="s">
        <v>2996</v>
      </c>
      <c r="L144" s="107">
        <v>52.8</v>
      </c>
      <c r="M144" s="107"/>
    </row>
    <row r="145" spans="1:13" x14ac:dyDescent="0.3">
      <c r="A145" s="95">
        <f t="shared" si="2"/>
        <v>0</v>
      </c>
      <c r="B145" s="106" t="s">
        <v>180</v>
      </c>
      <c r="C145" s="95" t="s">
        <v>1657</v>
      </c>
      <c r="D145" s="106">
        <v>12</v>
      </c>
      <c r="E145" s="107">
        <v>1</v>
      </c>
      <c r="F145" s="107" t="s">
        <v>2958</v>
      </c>
      <c r="G145" s="107" t="s">
        <v>2960</v>
      </c>
      <c r="H145" s="107" t="s">
        <v>2970</v>
      </c>
      <c r="I145" s="107" t="s">
        <v>2996</v>
      </c>
      <c r="J145" s="107" t="s">
        <v>2996</v>
      </c>
      <c r="K145" s="107" t="s">
        <v>2996</v>
      </c>
      <c r="L145" s="107">
        <v>199.73</v>
      </c>
      <c r="M145" s="107"/>
    </row>
    <row r="146" spans="1:13" x14ac:dyDescent="0.3">
      <c r="A146" s="95">
        <f t="shared" si="2"/>
        <v>0</v>
      </c>
      <c r="B146" s="106" t="s">
        <v>181</v>
      </c>
      <c r="C146" s="95" t="s">
        <v>1658</v>
      </c>
      <c r="D146" s="106">
        <v>3</v>
      </c>
      <c r="E146" s="107">
        <v>1</v>
      </c>
      <c r="F146" s="107" t="s">
        <v>2958</v>
      </c>
      <c r="G146" s="107" t="s">
        <v>2960</v>
      </c>
      <c r="H146" s="107" t="s">
        <v>2970</v>
      </c>
      <c r="I146" s="107" t="s">
        <v>2997</v>
      </c>
      <c r="J146" s="107" t="s">
        <v>2996</v>
      </c>
      <c r="K146" s="107" t="s">
        <v>2996</v>
      </c>
      <c r="L146" s="107">
        <v>49.25</v>
      </c>
      <c r="M146" s="107"/>
    </row>
    <row r="147" spans="1:13" x14ac:dyDescent="0.3">
      <c r="A147" s="95">
        <f t="shared" si="2"/>
        <v>0</v>
      </c>
      <c r="B147" s="106" t="s">
        <v>182</v>
      </c>
      <c r="C147" s="95" t="s">
        <v>1659</v>
      </c>
      <c r="D147" s="106">
        <v>12</v>
      </c>
      <c r="E147" s="107">
        <v>1</v>
      </c>
      <c r="F147" s="107" t="s">
        <v>2959</v>
      </c>
      <c r="G147" s="107" t="s">
        <v>2963</v>
      </c>
      <c r="H147" s="107" t="s">
        <v>2974</v>
      </c>
      <c r="I147" s="107" t="s">
        <v>2997</v>
      </c>
      <c r="J147" s="107" t="s">
        <v>2997</v>
      </c>
      <c r="K147" s="107" t="s">
        <v>2996</v>
      </c>
      <c r="L147" s="107">
        <v>40.659999999999997</v>
      </c>
      <c r="M147" s="107"/>
    </row>
    <row r="148" spans="1:13" x14ac:dyDescent="0.3">
      <c r="A148" s="95">
        <f t="shared" si="2"/>
        <v>0</v>
      </c>
      <c r="B148" s="106" t="s">
        <v>183</v>
      </c>
      <c r="C148" s="95" t="s">
        <v>1660</v>
      </c>
      <c r="D148" s="106">
        <v>12</v>
      </c>
      <c r="E148" s="107">
        <v>1</v>
      </c>
      <c r="F148" s="107" t="s">
        <v>2958</v>
      </c>
      <c r="G148" s="107" t="s">
        <v>2961</v>
      </c>
      <c r="H148" s="107" t="s">
        <v>2972</v>
      </c>
      <c r="I148" s="107" t="s">
        <v>2997</v>
      </c>
      <c r="J148" s="107" t="s">
        <v>2997</v>
      </c>
      <c r="K148" s="107" t="s">
        <v>2997</v>
      </c>
      <c r="L148" s="107">
        <v>67.739999999999995</v>
      </c>
      <c r="M148" s="107"/>
    </row>
    <row r="149" spans="1:13" x14ac:dyDescent="0.3">
      <c r="A149" s="95">
        <f t="shared" si="2"/>
        <v>0</v>
      </c>
      <c r="B149" s="106" t="s">
        <v>184</v>
      </c>
      <c r="C149" s="95" t="s">
        <v>1661</v>
      </c>
      <c r="D149" s="106">
        <v>12</v>
      </c>
      <c r="E149" s="107">
        <v>1</v>
      </c>
      <c r="F149" s="107" t="s">
        <v>2958</v>
      </c>
      <c r="G149" s="107" t="s">
        <v>2965</v>
      </c>
      <c r="H149" s="107" t="s">
        <v>2965</v>
      </c>
      <c r="I149" s="107" t="s">
        <v>2997</v>
      </c>
      <c r="J149" s="107" t="s">
        <v>2997</v>
      </c>
      <c r="K149" s="107" t="s">
        <v>2996</v>
      </c>
      <c r="L149" s="107">
        <v>67.05</v>
      </c>
      <c r="M149" s="107"/>
    </row>
    <row r="150" spans="1:13" x14ac:dyDescent="0.3">
      <c r="A150" s="95">
        <f t="shared" si="2"/>
        <v>0</v>
      </c>
      <c r="B150" s="106" t="s">
        <v>185</v>
      </c>
      <c r="C150" s="95" t="s">
        <v>1662</v>
      </c>
      <c r="D150" s="106">
        <v>12</v>
      </c>
      <c r="E150" s="107">
        <v>1</v>
      </c>
      <c r="F150" s="107" t="s">
        <v>2958</v>
      </c>
      <c r="G150" s="107" t="s">
        <v>2960</v>
      </c>
      <c r="H150" s="107" t="s">
        <v>2970</v>
      </c>
      <c r="I150" s="107" t="s">
        <v>2997</v>
      </c>
      <c r="J150" s="107" t="s">
        <v>2997</v>
      </c>
      <c r="K150" s="107" t="s">
        <v>2996</v>
      </c>
      <c r="L150" s="107">
        <v>32.42</v>
      </c>
      <c r="M150" s="107"/>
    </row>
    <row r="151" spans="1:13" x14ac:dyDescent="0.3">
      <c r="A151" s="95">
        <f t="shared" si="2"/>
        <v>0</v>
      </c>
      <c r="B151" s="106" t="s">
        <v>186</v>
      </c>
      <c r="C151" s="95" t="s">
        <v>1663</v>
      </c>
      <c r="D151" s="106">
        <v>12</v>
      </c>
      <c r="E151" s="107">
        <v>1</v>
      </c>
      <c r="F151" s="107" t="s">
        <v>2958</v>
      </c>
      <c r="G151" s="107" t="s">
        <v>2963</v>
      </c>
      <c r="H151" s="107" t="s">
        <v>2974</v>
      </c>
      <c r="I151" s="107" t="s">
        <v>2996</v>
      </c>
      <c r="J151" s="107" t="s">
        <v>2996</v>
      </c>
      <c r="K151" s="107" t="s">
        <v>2996</v>
      </c>
      <c r="L151" s="107">
        <v>35.880000000000003</v>
      </c>
      <c r="M151" s="107"/>
    </row>
    <row r="152" spans="1:13" x14ac:dyDescent="0.3">
      <c r="A152" s="95">
        <f t="shared" si="2"/>
        <v>0</v>
      </c>
      <c r="B152" s="106" t="s">
        <v>187</v>
      </c>
      <c r="C152" s="95" t="s">
        <v>1664</v>
      </c>
      <c r="D152" s="106">
        <v>12</v>
      </c>
      <c r="E152" s="107">
        <v>1</v>
      </c>
      <c r="F152" s="107" t="s">
        <v>2958</v>
      </c>
      <c r="G152" s="107" t="s">
        <v>2964</v>
      </c>
      <c r="H152" s="107" t="s">
        <v>2976</v>
      </c>
      <c r="I152" s="107" t="s">
        <v>2997</v>
      </c>
      <c r="J152" s="107" t="s">
        <v>2997</v>
      </c>
      <c r="K152" s="107" t="s">
        <v>2997</v>
      </c>
      <c r="L152" s="107">
        <v>236.55</v>
      </c>
      <c r="M152" s="107"/>
    </row>
    <row r="153" spans="1:13" x14ac:dyDescent="0.3">
      <c r="A153" s="95">
        <f t="shared" si="2"/>
        <v>0</v>
      </c>
      <c r="B153" s="106" t="s">
        <v>188</v>
      </c>
      <c r="C153" s="95" t="s">
        <v>1665</v>
      </c>
      <c r="D153" s="106">
        <v>12</v>
      </c>
      <c r="E153" s="107">
        <v>1</v>
      </c>
      <c r="F153" s="107" t="s">
        <v>2958</v>
      </c>
      <c r="G153" s="107" t="s">
        <v>2961</v>
      </c>
      <c r="H153" s="107" t="s">
        <v>2972</v>
      </c>
      <c r="I153" s="107" t="s">
        <v>2997</v>
      </c>
      <c r="J153" s="107" t="s">
        <v>2997</v>
      </c>
      <c r="K153" s="107" t="s">
        <v>2997</v>
      </c>
      <c r="L153" s="107">
        <v>2776.73</v>
      </c>
      <c r="M153" s="107">
        <v>4</v>
      </c>
    </row>
    <row r="154" spans="1:13" x14ac:dyDescent="0.3">
      <c r="A154" s="95">
        <f t="shared" si="2"/>
        <v>0</v>
      </c>
      <c r="B154" s="106" t="s">
        <v>189</v>
      </c>
      <c r="C154" s="95" t="s">
        <v>1666</v>
      </c>
      <c r="D154" s="106">
        <v>12</v>
      </c>
      <c r="E154" s="107">
        <v>1</v>
      </c>
      <c r="F154" s="107" t="s">
        <v>2958</v>
      </c>
      <c r="G154" s="107" t="s">
        <v>2965</v>
      </c>
      <c r="H154" s="107" t="s">
        <v>2965</v>
      </c>
      <c r="I154" s="107" t="s">
        <v>2997</v>
      </c>
      <c r="J154" s="107" t="s">
        <v>2997</v>
      </c>
      <c r="K154" s="107" t="s">
        <v>2997</v>
      </c>
      <c r="L154" s="107">
        <v>286.52</v>
      </c>
      <c r="M154" s="107"/>
    </row>
    <row r="155" spans="1:13" x14ac:dyDescent="0.3">
      <c r="A155" s="95">
        <f t="shared" si="2"/>
        <v>0</v>
      </c>
      <c r="B155" s="106" t="s">
        <v>190</v>
      </c>
      <c r="C155" s="95" t="s">
        <v>1667</v>
      </c>
      <c r="D155" s="106">
        <v>12</v>
      </c>
      <c r="E155" s="107">
        <v>1</v>
      </c>
      <c r="F155" s="107" t="s">
        <v>2958</v>
      </c>
      <c r="G155" s="107" t="s">
        <v>2965</v>
      </c>
      <c r="H155" s="107" t="s">
        <v>2965</v>
      </c>
      <c r="I155" s="107" t="s">
        <v>2997</v>
      </c>
      <c r="J155" s="107" t="s">
        <v>2997</v>
      </c>
      <c r="K155" s="107" t="s">
        <v>2996</v>
      </c>
      <c r="L155" s="107">
        <v>65.239999999999995</v>
      </c>
      <c r="M155" s="107"/>
    </row>
    <row r="156" spans="1:13" x14ac:dyDescent="0.3">
      <c r="A156" s="95">
        <f t="shared" si="2"/>
        <v>0</v>
      </c>
      <c r="B156" s="106" t="s">
        <v>191</v>
      </c>
      <c r="C156" s="95" t="s">
        <v>1668</v>
      </c>
      <c r="D156" s="106">
        <v>12</v>
      </c>
      <c r="E156" s="107">
        <v>1</v>
      </c>
      <c r="F156" s="107" t="s">
        <v>2958</v>
      </c>
      <c r="G156" s="107" t="s">
        <v>2965</v>
      </c>
      <c r="H156" s="107" t="s">
        <v>2965</v>
      </c>
      <c r="I156" s="107" t="s">
        <v>2997</v>
      </c>
      <c r="J156" s="107" t="s">
        <v>2997</v>
      </c>
      <c r="K156" s="107" t="s">
        <v>2996</v>
      </c>
      <c r="L156" s="107">
        <v>172.4</v>
      </c>
      <c r="M156" s="107"/>
    </row>
    <row r="157" spans="1:13" x14ac:dyDescent="0.3">
      <c r="A157" s="95">
        <f t="shared" si="2"/>
        <v>0</v>
      </c>
      <c r="B157" s="106" t="s">
        <v>192</v>
      </c>
      <c r="C157" s="95" t="s">
        <v>1669</v>
      </c>
      <c r="D157" s="106">
        <v>12</v>
      </c>
      <c r="E157" s="107">
        <v>1</v>
      </c>
      <c r="F157" s="107" t="s">
        <v>2958</v>
      </c>
      <c r="G157" s="107" t="s">
        <v>2965</v>
      </c>
      <c r="H157" s="107" t="s">
        <v>2965</v>
      </c>
      <c r="I157" s="107" t="s">
        <v>2997</v>
      </c>
      <c r="J157" s="107" t="s">
        <v>2997</v>
      </c>
      <c r="K157" s="107" t="s">
        <v>2996</v>
      </c>
      <c r="L157" s="107">
        <v>26.99</v>
      </c>
      <c r="M157" s="107"/>
    </row>
    <row r="158" spans="1:13" x14ac:dyDescent="0.3">
      <c r="A158" s="95">
        <f t="shared" si="2"/>
        <v>0</v>
      </c>
      <c r="B158" s="106" t="s">
        <v>193</v>
      </c>
      <c r="C158" s="95" t="s">
        <v>1670</v>
      </c>
      <c r="D158" s="106">
        <v>12</v>
      </c>
      <c r="E158" s="107">
        <v>1</v>
      </c>
      <c r="F158" s="107" t="s">
        <v>2958</v>
      </c>
      <c r="G158" s="107" t="s">
        <v>2961</v>
      </c>
      <c r="H158" s="107" t="s">
        <v>2971</v>
      </c>
      <c r="I158" s="107" t="s">
        <v>2997</v>
      </c>
      <c r="J158" s="107" t="s">
        <v>2997</v>
      </c>
      <c r="K158" s="107" t="s">
        <v>2996</v>
      </c>
      <c r="L158" s="107">
        <v>94.14</v>
      </c>
      <c r="M158" s="107"/>
    </row>
    <row r="159" spans="1:13" x14ac:dyDescent="0.3">
      <c r="A159" s="95">
        <f t="shared" si="2"/>
        <v>0</v>
      </c>
      <c r="B159" s="106" t="s">
        <v>194</v>
      </c>
      <c r="C159" s="95" t="s">
        <v>1671</v>
      </c>
      <c r="D159" s="106">
        <v>12</v>
      </c>
      <c r="E159" s="107">
        <v>1</v>
      </c>
      <c r="F159" s="107" t="s">
        <v>2958</v>
      </c>
      <c r="G159" s="107" t="s">
        <v>2964</v>
      </c>
      <c r="H159" s="107" t="s">
        <v>2976</v>
      </c>
      <c r="I159" s="107" t="s">
        <v>2997</v>
      </c>
      <c r="J159" s="107" t="s">
        <v>2997</v>
      </c>
      <c r="K159" s="107" t="s">
        <v>2996</v>
      </c>
      <c r="L159" s="107">
        <v>67.02</v>
      </c>
      <c r="M159" s="107"/>
    </row>
    <row r="160" spans="1:13" x14ac:dyDescent="0.3">
      <c r="A160" s="95">
        <f t="shared" si="2"/>
        <v>0</v>
      </c>
      <c r="B160" s="106" t="s">
        <v>195</v>
      </c>
      <c r="C160" s="95" t="s">
        <v>1672</v>
      </c>
      <c r="D160" s="106">
        <v>12</v>
      </c>
      <c r="E160" s="107">
        <v>1</v>
      </c>
      <c r="F160" s="107" t="s">
        <v>2958</v>
      </c>
      <c r="G160" s="107" t="s">
        <v>2961</v>
      </c>
      <c r="H160" s="107" t="s">
        <v>2971</v>
      </c>
      <c r="I160" s="107" t="s">
        <v>2997</v>
      </c>
      <c r="J160" s="107" t="s">
        <v>2997</v>
      </c>
      <c r="K160" s="107" t="s">
        <v>2996</v>
      </c>
      <c r="L160" s="107">
        <v>113.52</v>
      </c>
      <c r="M160" s="107"/>
    </row>
    <row r="161" spans="1:13" x14ac:dyDescent="0.3">
      <c r="A161" s="95">
        <f t="shared" si="2"/>
        <v>0</v>
      </c>
      <c r="B161" s="106" t="s">
        <v>196</v>
      </c>
      <c r="C161" s="95" t="s">
        <v>1673</v>
      </c>
      <c r="D161" s="106">
        <v>12</v>
      </c>
      <c r="E161" s="107">
        <v>1</v>
      </c>
      <c r="F161" s="107" t="s">
        <v>2958</v>
      </c>
      <c r="G161" s="107" t="s">
        <v>2967</v>
      </c>
      <c r="H161" s="107" t="s">
        <v>2967</v>
      </c>
      <c r="I161" s="107" t="s">
        <v>2996</v>
      </c>
      <c r="J161" s="107" t="s">
        <v>2996</v>
      </c>
      <c r="K161" s="107" t="s">
        <v>2996</v>
      </c>
      <c r="L161" s="107">
        <v>486.2</v>
      </c>
      <c r="M161" s="107"/>
    </row>
    <row r="162" spans="1:13" x14ac:dyDescent="0.3">
      <c r="A162" s="95">
        <f t="shared" si="2"/>
        <v>0</v>
      </c>
      <c r="B162" s="106" t="s">
        <v>197</v>
      </c>
      <c r="C162" s="95" t="s">
        <v>1674</v>
      </c>
      <c r="D162" s="106">
        <v>12</v>
      </c>
      <c r="E162" s="107">
        <v>1</v>
      </c>
      <c r="F162" s="107" t="s">
        <v>2958</v>
      </c>
      <c r="G162" s="107" t="s">
        <v>2964</v>
      </c>
      <c r="H162" s="107" t="s">
        <v>2976</v>
      </c>
      <c r="I162" s="107" t="s">
        <v>2997</v>
      </c>
      <c r="J162" s="107" t="s">
        <v>2997</v>
      </c>
      <c r="K162" s="107" t="s">
        <v>2996</v>
      </c>
      <c r="L162" s="107">
        <v>331.24</v>
      </c>
      <c r="M162" s="107"/>
    </row>
    <row r="163" spans="1:13" x14ac:dyDescent="0.3">
      <c r="A163" s="95">
        <f t="shared" si="2"/>
        <v>0</v>
      </c>
      <c r="B163" s="106" t="s">
        <v>198</v>
      </c>
      <c r="C163" s="95" t="s">
        <v>1675</v>
      </c>
      <c r="D163" s="106">
        <v>12</v>
      </c>
      <c r="E163" s="107">
        <v>1</v>
      </c>
      <c r="F163" s="107" t="s">
        <v>2958</v>
      </c>
      <c r="G163" s="107" t="s">
        <v>2960</v>
      </c>
      <c r="H163" s="107" t="s">
        <v>2970</v>
      </c>
      <c r="I163" s="107" t="s">
        <v>2996</v>
      </c>
      <c r="J163" s="107" t="s">
        <v>2996</v>
      </c>
      <c r="K163" s="107" t="s">
        <v>2996</v>
      </c>
      <c r="L163" s="107">
        <v>400.78</v>
      </c>
      <c r="M163" s="107"/>
    </row>
    <row r="164" spans="1:13" x14ac:dyDescent="0.3">
      <c r="A164" s="95">
        <f t="shared" si="2"/>
        <v>0</v>
      </c>
      <c r="B164" s="106" t="s">
        <v>199</v>
      </c>
      <c r="C164" s="95" t="s">
        <v>1676</v>
      </c>
      <c r="D164" s="106">
        <v>12</v>
      </c>
      <c r="E164" s="107">
        <v>1</v>
      </c>
      <c r="F164" s="107" t="s">
        <v>2958</v>
      </c>
      <c r="G164" s="107" t="s">
        <v>2964</v>
      </c>
      <c r="H164" s="107" t="s">
        <v>2976</v>
      </c>
      <c r="I164" s="107" t="s">
        <v>2997</v>
      </c>
      <c r="J164" s="107" t="s">
        <v>2997</v>
      </c>
      <c r="K164" s="107" t="s">
        <v>2996</v>
      </c>
      <c r="L164" s="107">
        <v>50.34</v>
      </c>
      <c r="M164" s="107"/>
    </row>
    <row r="165" spans="1:13" x14ac:dyDescent="0.3">
      <c r="A165" s="95">
        <f t="shared" si="2"/>
        <v>0</v>
      </c>
      <c r="B165" s="106" t="s">
        <v>200</v>
      </c>
      <c r="C165" s="95" t="s">
        <v>1677</v>
      </c>
      <c r="D165" s="106">
        <v>12</v>
      </c>
      <c r="E165" s="107">
        <v>1</v>
      </c>
      <c r="F165" s="107" t="s">
        <v>2958</v>
      </c>
      <c r="G165" s="107" t="s">
        <v>2965</v>
      </c>
      <c r="H165" s="107" t="s">
        <v>2965</v>
      </c>
      <c r="I165" s="107" t="s">
        <v>2997</v>
      </c>
      <c r="J165" s="107" t="s">
        <v>2997</v>
      </c>
      <c r="K165" s="107" t="s">
        <v>2997</v>
      </c>
      <c r="L165" s="107">
        <v>639</v>
      </c>
      <c r="M165" s="107">
        <v>3</v>
      </c>
    </row>
    <row r="166" spans="1:13" x14ac:dyDescent="0.3">
      <c r="A166" s="95">
        <f t="shared" si="2"/>
        <v>0</v>
      </c>
      <c r="B166" s="106" t="s">
        <v>201</v>
      </c>
      <c r="C166" s="95" t="s">
        <v>1678</v>
      </c>
      <c r="D166" s="106">
        <v>12</v>
      </c>
      <c r="E166" s="107">
        <v>1</v>
      </c>
      <c r="F166" s="107" t="s">
        <v>2958</v>
      </c>
      <c r="G166" s="107" t="s">
        <v>2960</v>
      </c>
      <c r="H166" s="107" t="s">
        <v>2970</v>
      </c>
      <c r="I166" s="107" t="s">
        <v>2997</v>
      </c>
      <c r="J166" s="107" t="s">
        <v>2997</v>
      </c>
      <c r="K166" s="107" t="s">
        <v>2996</v>
      </c>
      <c r="L166" s="107">
        <v>51.84</v>
      </c>
      <c r="M166" s="107"/>
    </row>
    <row r="167" spans="1:13" x14ac:dyDescent="0.3">
      <c r="A167" s="95">
        <f t="shared" si="2"/>
        <v>0</v>
      </c>
      <c r="B167" s="106" t="s">
        <v>202</v>
      </c>
      <c r="C167" s="95" t="s">
        <v>1679</v>
      </c>
      <c r="D167" s="106">
        <v>12</v>
      </c>
      <c r="E167" s="107">
        <v>1</v>
      </c>
      <c r="F167" s="107" t="s">
        <v>2958</v>
      </c>
      <c r="G167" s="107" t="s">
        <v>2964</v>
      </c>
      <c r="H167" s="107" t="s">
        <v>2976</v>
      </c>
      <c r="I167" s="107" t="s">
        <v>2997</v>
      </c>
      <c r="J167" s="107" t="s">
        <v>2997</v>
      </c>
      <c r="K167" s="107" t="s">
        <v>2997</v>
      </c>
      <c r="L167" s="107">
        <v>370.65</v>
      </c>
      <c r="M167" s="107">
        <v>2</v>
      </c>
    </row>
    <row r="168" spans="1:13" x14ac:dyDescent="0.3">
      <c r="A168" s="95">
        <f t="shared" si="2"/>
        <v>0</v>
      </c>
      <c r="B168" s="106" t="s">
        <v>203</v>
      </c>
      <c r="C168" s="95" t="s">
        <v>1680</v>
      </c>
      <c r="D168" s="106">
        <v>12</v>
      </c>
      <c r="E168" s="107">
        <v>1</v>
      </c>
      <c r="F168" s="107" t="s">
        <v>2958</v>
      </c>
      <c r="G168" s="107" t="s">
        <v>2965</v>
      </c>
      <c r="H168" s="107" t="s">
        <v>2965</v>
      </c>
      <c r="I168" s="107" t="s">
        <v>2996</v>
      </c>
      <c r="J168" s="107" t="s">
        <v>2996</v>
      </c>
      <c r="K168" s="107" t="s">
        <v>2996</v>
      </c>
      <c r="L168" s="107">
        <v>59.06</v>
      </c>
      <c r="M168" s="107"/>
    </row>
    <row r="169" spans="1:13" x14ac:dyDescent="0.3">
      <c r="A169" s="95">
        <f t="shared" si="2"/>
        <v>0</v>
      </c>
      <c r="B169" s="106" t="s">
        <v>204</v>
      </c>
      <c r="C169" s="95" t="s">
        <v>1681</v>
      </c>
      <c r="D169" s="106">
        <v>12</v>
      </c>
      <c r="E169" s="107">
        <v>1</v>
      </c>
      <c r="F169" s="107" t="s">
        <v>2958</v>
      </c>
      <c r="G169" s="107" t="s">
        <v>2960</v>
      </c>
      <c r="H169" s="107" t="s">
        <v>2970</v>
      </c>
      <c r="I169" s="107" t="s">
        <v>2997</v>
      </c>
      <c r="J169" s="107" t="s">
        <v>2997</v>
      </c>
      <c r="K169" s="107" t="s">
        <v>2996</v>
      </c>
      <c r="L169" s="107">
        <v>321.52999999999997</v>
      </c>
      <c r="M169" s="107"/>
    </row>
    <row r="170" spans="1:13" x14ac:dyDescent="0.3">
      <c r="A170" s="95">
        <f t="shared" si="2"/>
        <v>0</v>
      </c>
      <c r="B170" s="106" t="s">
        <v>205</v>
      </c>
      <c r="C170" s="95" t="s">
        <v>1682</v>
      </c>
      <c r="D170" s="106">
        <v>12</v>
      </c>
      <c r="E170" s="107">
        <v>1</v>
      </c>
      <c r="F170" s="107" t="s">
        <v>2959</v>
      </c>
      <c r="G170" s="107" t="s">
        <v>2964</v>
      </c>
      <c r="H170" s="107" t="s">
        <v>2975</v>
      </c>
      <c r="I170" s="107" t="s">
        <v>2997</v>
      </c>
      <c r="J170" s="107" t="s">
        <v>2997</v>
      </c>
      <c r="K170" s="107" t="s">
        <v>2996</v>
      </c>
      <c r="L170" s="107">
        <v>124.41</v>
      </c>
      <c r="M170" s="107"/>
    </row>
    <row r="171" spans="1:13" x14ac:dyDescent="0.3">
      <c r="A171" s="95">
        <f t="shared" si="2"/>
        <v>0</v>
      </c>
      <c r="B171" s="106" t="s">
        <v>206</v>
      </c>
      <c r="C171" s="95" t="s">
        <v>1683</v>
      </c>
      <c r="D171" s="106">
        <v>12</v>
      </c>
      <c r="E171" s="107">
        <v>1</v>
      </c>
      <c r="F171" s="107" t="s">
        <v>2958</v>
      </c>
      <c r="G171" s="107" t="s">
        <v>2960</v>
      </c>
      <c r="H171" s="107" t="s">
        <v>2970</v>
      </c>
      <c r="I171" s="107" t="s">
        <v>2996</v>
      </c>
      <c r="J171" s="107" t="s">
        <v>2996</v>
      </c>
      <c r="K171" s="107" t="s">
        <v>2996</v>
      </c>
      <c r="L171" s="107">
        <v>217.59</v>
      </c>
      <c r="M171" s="107"/>
    </row>
    <row r="172" spans="1:13" x14ac:dyDescent="0.3">
      <c r="A172" s="95">
        <f t="shared" si="2"/>
        <v>0</v>
      </c>
      <c r="B172" s="106" t="s">
        <v>207</v>
      </c>
      <c r="C172" s="95" t="s">
        <v>1684</v>
      </c>
      <c r="D172" s="106">
        <v>12</v>
      </c>
      <c r="E172" s="107">
        <v>1</v>
      </c>
      <c r="F172" s="107" t="s">
        <v>2958</v>
      </c>
      <c r="G172" s="107" t="s">
        <v>2966</v>
      </c>
      <c r="H172" s="107" t="s">
        <v>2978</v>
      </c>
      <c r="I172" s="107" t="s">
        <v>2997</v>
      </c>
      <c r="J172" s="107" t="s">
        <v>2997</v>
      </c>
      <c r="K172" s="107" t="s">
        <v>2996</v>
      </c>
      <c r="L172" s="107">
        <v>225.2</v>
      </c>
      <c r="M172" s="107"/>
    </row>
    <row r="173" spans="1:13" x14ac:dyDescent="0.3">
      <c r="A173" s="95">
        <f t="shared" si="2"/>
        <v>0</v>
      </c>
      <c r="B173" s="106" t="s">
        <v>208</v>
      </c>
      <c r="C173" s="95" t="s">
        <v>1685</v>
      </c>
      <c r="D173" s="106">
        <v>12</v>
      </c>
      <c r="E173" s="107">
        <v>1</v>
      </c>
      <c r="F173" s="107" t="s">
        <v>2958</v>
      </c>
      <c r="G173" s="107" t="s">
        <v>2961</v>
      </c>
      <c r="H173" s="107" t="s">
        <v>2972</v>
      </c>
      <c r="I173" s="107" t="s">
        <v>2997</v>
      </c>
      <c r="J173" s="107" t="s">
        <v>2997</v>
      </c>
      <c r="K173" s="107" t="s">
        <v>2997</v>
      </c>
      <c r="L173" s="107">
        <v>268.8</v>
      </c>
      <c r="M173" s="107">
        <v>1</v>
      </c>
    </row>
    <row r="174" spans="1:13" x14ac:dyDescent="0.3">
      <c r="A174" s="95">
        <f t="shared" si="2"/>
        <v>0</v>
      </c>
      <c r="B174" s="106" t="s">
        <v>209</v>
      </c>
      <c r="C174" s="95" t="s">
        <v>1686</v>
      </c>
      <c r="D174" s="106">
        <v>12</v>
      </c>
      <c r="E174" s="107">
        <v>1</v>
      </c>
      <c r="F174" s="107" t="s">
        <v>2958</v>
      </c>
      <c r="G174" s="107" t="s">
        <v>2960</v>
      </c>
      <c r="H174" s="107" t="s">
        <v>2970</v>
      </c>
      <c r="I174" s="107" t="s">
        <v>2997</v>
      </c>
      <c r="J174" s="107" t="s">
        <v>2997</v>
      </c>
      <c r="K174" s="107" t="s">
        <v>2997</v>
      </c>
      <c r="L174" s="107">
        <v>167.58</v>
      </c>
      <c r="M174" s="107">
        <v>2</v>
      </c>
    </row>
    <row r="175" spans="1:13" x14ac:dyDescent="0.3">
      <c r="A175" s="95">
        <f t="shared" si="2"/>
        <v>0</v>
      </c>
      <c r="B175" s="106" t="s">
        <v>210</v>
      </c>
      <c r="C175" s="95" t="s">
        <v>1687</v>
      </c>
      <c r="D175" s="106">
        <v>12</v>
      </c>
      <c r="E175" s="107">
        <v>1</v>
      </c>
      <c r="F175" s="107" t="s">
        <v>2958</v>
      </c>
      <c r="G175" s="107" t="s">
        <v>2963</v>
      </c>
      <c r="H175" s="107" t="s">
        <v>2974</v>
      </c>
      <c r="I175" s="107" t="s">
        <v>2997</v>
      </c>
      <c r="J175" s="107" t="s">
        <v>2997</v>
      </c>
      <c r="K175" s="107" t="s">
        <v>2996</v>
      </c>
      <c r="L175" s="107">
        <v>166.48</v>
      </c>
      <c r="M175" s="107">
        <v>1</v>
      </c>
    </row>
    <row r="176" spans="1:13" x14ac:dyDescent="0.3">
      <c r="A176" s="95">
        <f t="shared" si="2"/>
        <v>0</v>
      </c>
      <c r="B176" s="106" t="s">
        <v>211</v>
      </c>
      <c r="C176" s="95" t="s">
        <v>1688</v>
      </c>
      <c r="D176" s="106">
        <v>12</v>
      </c>
      <c r="E176" s="107">
        <v>1</v>
      </c>
      <c r="F176" s="107" t="s">
        <v>2958</v>
      </c>
      <c r="G176" s="107" t="s">
        <v>2965</v>
      </c>
      <c r="H176" s="107" t="s">
        <v>2965</v>
      </c>
      <c r="I176" s="107" t="s">
        <v>2997</v>
      </c>
      <c r="J176" s="107" t="s">
        <v>2997</v>
      </c>
      <c r="K176" s="107" t="s">
        <v>2996</v>
      </c>
      <c r="L176" s="107">
        <v>1066.6400000000001</v>
      </c>
      <c r="M176" s="107"/>
    </row>
    <row r="177" spans="1:13" x14ac:dyDescent="0.3">
      <c r="A177" s="95">
        <f t="shared" si="2"/>
        <v>0</v>
      </c>
      <c r="B177" s="106" t="s">
        <v>212</v>
      </c>
      <c r="C177" s="95" t="s">
        <v>1689</v>
      </c>
      <c r="D177" s="106">
        <v>12</v>
      </c>
      <c r="E177" s="107">
        <v>1</v>
      </c>
      <c r="F177" s="107" t="s">
        <v>2958</v>
      </c>
      <c r="G177" s="107" t="s">
        <v>2964</v>
      </c>
      <c r="H177" s="107" t="s">
        <v>2975</v>
      </c>
      <c r="I177" s="107" t="s">
        <v>2997</v>
      </c>
      <c r="J177" s="107" t="s">
        <v>2997</v>
      </c>
      <c r="K177" s="107" t="s">
        <v>2997</v>
      </c>
      <c r="L177" s="107">
        <v>114.2</v>
      </c>
      <c r="M177" s="107"/>
    </row>
    <row r="178" spans="1:13" x14ac:dyDescent="0.3">
      <c r="A178" s="95">
        <f t="shared" si="2"/>
        <v>0</v>
      </c>
      <c r="B178" s="106" t="s">
        <v>213</v>
      </c>
      <c r="C178" s="95" t="s">
        <v>1690</v>
      </c>
      <c r="D178" s="106">
        <v>12</v>
      </c>
      <c r="E178" s="107">
        <v>1</v>
      </c>
      <c r="F178" s="107" t="s">
        <v>2958</v>
      </c>
      <c r="G178" s="107" t="s">
        <v>2964</v>
      </c>
      <c r="H178" s="107" t="s">
        <v>2976</v>
      </c>
      <c r="I178" s="107" t="s">
        <v>2997</v>
      </c>
      <c r="J178" s="107" t="s">
        <v>2997</v>
      </c>
      <c r="K178" s="107" t="s">
        <v>2997</v>
      </c>
      <c r="L178" s="107">
        <v>382.55</v>
      </c>
      <c r="M178" s="107">
        <v>1</v>
      </c>
    </row>
    <row r="179" spans="1:13" x14ac:dyDescent="0.3">
      <c r="A179" s="95">
        <f t="shared" si="2"/>
        <v>0</v>
      </c>
      <c r="B179" s="106" t="s">
        <v>214</v>
      </c>
      <c r="C179" s="95" t="s">
        <v>1691</v>
      </c>
      <c r="D179" s="106">
        <v>12</v>
      </c>
      <c r="E179" s="107">
        <v>1</v>
      </c>
      <c r="F179" s="107" t="s">
        <v>2959</v>
      </c>
      <c r="G179" s="107" t="s">
        <v>2963</v>
      </c>
      <c r="H179" s="107" t="s">
        <v>2974</v>
      </c>
      <c r="I179" s="107" t="s">
        <v>2997</v>
      </c>
      <c r="J179" s="107" t="s">
        <v>2997</v>
      </c>
      <c r="K179" s="107" t="s">
        <v>2997</v>
      </c>
      <c r="L179" s="107">
        <v>22.05</v>
      </c>
      <c r="M179" s="107"/>
    </row>
    <row r="180" spans="1:13" x14ac:dyDescent="0.3">
      <c r="A180" s="95">
        <f t="shared" si="2"/>
        <v>0</v>
      </c>
      <c r="B180" s="106" t="s">
        <v>215</v>
      </c>
      <c r="C180" s="95" t="s">
        <v>1692</v>
      </c>
      <c r="D180" s="106">
        <v>12</v>
      </c>
      <c r="E180" s="107">
        <v>1</v>
      </c>
      <c r="F180" s="107" t="s">
        <v>2958</v>
      </c>
      <c r="G180" s="107" t="s">
        <v>2961</v>
      </c>
      <c r="H180" s="107" t="s">
        <v>2972</v>
      </c>
      <c r="I180" s="107" t="s">
        <v>2996</v>
      </c>
      <c r="J180" s="107" t="s">
        <v>2996</v>
      </c>
      <c r="K180" s="107" t="s">
        <v>2996</v>
      </c>
      <c r="L180" s="107">
        <v>16.95</v>
      </c>
      <c r="M180" s="107"/>
    </row>
    <row r="181" spans="1:13" x14ac:dyDescent="0.3">
      <c r="A181" s="95">
        <f t="shared" si="2"/>
        <v>0</v>
      </c>
      <c r="B181" s="106" t="s">
        <v>216</v>
      </c>
      <c r="C181" s="95" t="s">
        <v>1693</v>
      </c>
      <c r="D181" s="106">
        <v>12</v>
      </c>
      <c r="E181" s="107">
        <v>1</v>
      </c>
      <c r="F181" s="107" t="s">
        <v>2958</v>
      </c>
      <c r="G181" s="107" t="s">
        <v>2964</v>
      </c>
      <c r="H181" s="107" t="s">
        <v>2976</v>
      </c>
      <c r="I181" s="107" t="s">
        <v>2997</v>
      </c>
      <c r="J181" s="107" t="s">
        <v>2997</v>
      </c>
      <c r="K181" s="107" t="s">
        <v>2996</v>
      </c>
      <c r="L181" s="107">
        <v>524.12</v>
      </c>
      <c r="M181" s="107"/>
    </row>
    <row r="182" spans="1:13" x14ac:dyDescent="0.3">
      <c r="A182" s="95">
        <f t="shared" si="2"/>
        <v>0</v>
      </c>
      <c r="B182" s="106" t="s">
        <v>217</v>
      </c>
      <c r="C182" s="95" t="s">
        <v>8</v>
      </c>
      <c r="D182" s="106">
        <v>3</v>
      </c>
      <c r="E182" s="107">
        <v>1</v>
      </c>
      <c r="F182" s="107" t="s">
        <v>2958</v>
      </c>
      <c r="G182" s="107" t="s">
        <v>2962</v>
      </c>
      <c r="H182" s="107" t="s">
        <v>2979</v>
      </c>
      <c r="I182" s="107" t="s">
        <v>2997</v>
      </c>
      <c r="J182" s="107" t="s">
        <v>2997</v>
      </c>
      <c r="K182" s="107" t="s">
        <v>2997</v>
      </c>
      <c r="L182" s="107">
        <v>1086.3</v>
      </c>
      <c r="M182" s="107">
        <v>1</v>
      </c>
    </row>
    <row r="183" spans="1:13" x14ac:dyDescent="0.3">
      <c r="A183" s="95">
        <f t="shared" si="2"/>
        <v>0</v>
      </c>
      <c r="B183" s="106" t="s">
        <v>218</v>
      </c>
      <c r="C183" s="95" t="s">
        <v>1694</v>
      </c>
      <c r="D183" s="106">
        <v>3</v>
      </c>
      <c r="E183" s="107">
        <v>1</v>
      </c>
      <c r="F183" s="107" t="s">
        <v>2958</v>
      </c>
      <c r="G183" s="107" t="s">
        <v>2962</v>
      </c>
      <c r="H183" s="107" t="s">
        <v>2979</v>
      </c>
      <c r="I183" s="107" t="s">
        <v>2996</v>
      </c>
      <c r="J183" s="107" t="s">
        <v>2996</v>
      </c>
      <c r="K183" s="107" t="s">
        <v>2996</v>
      </c>
      <c r="L183" s="107">
        <v>135.52000000000001</v>
      </c>
      <c r="M183" s="107"/>
    </row>
    <row r="184" spans="1:13" x14ac:dyDescent="0.3">
      <c r="A184" s="95">
        <f t="shared" si="2"/>
        <v>0</v>
      </c>
      <c r="B184" s="106" t="s">
        <v>219</v>
      </c>
      <c r="C184" s="95" t="s">
        <v>11</v>
      </c>
      <c r="D184" s="106">
        <v>3</v>
      </c>
      <c r="E184" s="107">
        <v>1</v>
      </c>
      <c r="F184" s="107" t="s">
        <v>2958</v>
      </c>
      <c r="G184" s="107" t="s">
        <v>2962</v>
      </c>
      <c r="H184" s="107" t="s">
        <v>2979</v>
      </c>
      <c r="I184" s="107" t="s">
        <v>2997</v>
      </c>
      <c r="J184" s="107" t="s">
        <v>2997</v>
      </c>
      <c r="K184" s="107" t="s">
        <v>2997</v>
      </c>
      <c r="L184" s="107">
        <v>452.35</v>
      </c>
      <c r="M184" s="107"/>
    </row>
    <row r="185" spans="1:13" x14ac:dyDescent="0.3">
      <c r="A185" s="95">
        <f t="shared" si="2"/>
        <v>0</v>
      </c>
      <c r="B185" s="106" t="s">
        <v>220</v>
      </c>
      <c r="C185" s="95" t="s">
        <v>1695</v>
      </c>
      <c r="D185" s="106">
        <v>12</v>
      </c>
      <c r="E185" s="107">
        <v>1</v>
      </c>
      <c r="F185" s="107" t="s">
        <v>2958</v>
      </c>
      <c r="G185" s="107" t="s">
        <v>2964</v>
      </c>
      <c r="H185" s="107" t="s">
        <v>2976</v>
      </c>
      <c r="I185" s="107" t="s">
        <v>2997</v>
      </c>
      <c r="J185" s="107" t="s">
        <v>2997</v>
      </c>
      <c r="K185" s="107" t="s">
        <v>2996</v>
      </c>
      <c r="L185" s="107">
        <v>209.96</v>
      </c>
      <c r="M185" s="107"/>
    </row>
    <row r="186" spans="1:13" x14ac:dyDescent="0.3">
      <c r="A186" s="95">
        <f t="shared" si="2"/>
        <v>1</v>
      </c>
      <c r="B186" s="106" t="s">
        <v>221</v>
      </c>
      <c r="C186" s="95" t="s">
        <v>1696</v>
      </c>
      <c r="D186" s="106">
        <v>12</v>
      </c>
      <c r="E186" s="107">
        <v>1</v>
      </c>
      <c r="F186" s="107" t="s">
        <v>2958</v>
      </c>
      <c r="G186" s="107" t="s">
        <v>2964</v>
      </c>
      <c r="H186" s="107" t="s">
        <v>2975</v>
      </c>
      <c r="I186" s="107" t="s">
        <v>2997</v>
      </c>
      <c r="J186" s="107" t="s">
        <v>2997</v>
      </c>
      <c r="K186" s="107" t="s">
        <v>2997</v>
      </c>
      <c r="L186" s="107">
        <v>2240.21</v>
      </c>
      <c r="M186" s="107">
        <v>18</v>
      </c>
    </row>
    <row r="187" spans="1:13" x14ac:dyDescent="0.3">
      <c r="A187" s="95">
        <f t="shared" si="2"/>
        <v>0</v>
      </c>
      <c r="B187" s="106" t="s">
        <v>222</v>
      </c>
      <c r="C187" s="95" t="s">
        <v>1697</v>
      </c>
      <c r="D187" s="106">
        <v>12</v>
      </c>
      <c r="E187" s="107">
        <v>1</v>
      </c>
      <c r="F187" s="107" t="s">
        <v>2958</v>
      </c>
      <c r="G187" s="107" t="s">
        <v>2960</v>
      </c>
      <c r="H187" s="107" t="s">
        <v>2970</v>
      </c>
      <c r="I187" s="107" t="s">
        <v>2996</v>
      </c>
      <c r="J187" s="107" t="s">
        <v>2996</v>
      </c>
      <c r="K187" s="107" t="s">
        <v>2996</v>
      </c>
      <c r="L187" s="107">
        <v>294.85000000000002</v>
      </c>
      <c r="M187" s="107"/>
    </row>
    <row r="188" spans="1:13" x14ac:dyDescent="0.3">
      <c r="A188" s="95">
        <f t="shared" si="2"/>
        <v>0</v>
      </c>
      <c r="B188" s="106" t="s">
        <v>223</v>
      </c>
      <c r="C188" s="95" t="s">
        <v>1698</v>
      </c>
      <c r="D188" s="106">
        <v>3</v>
      </c>
      <c r="E188" s="107">
        <v>1</v>
      </c>
      <c r="F188" s="107" t="s">
        <v>2958</v>
      </c>
      <c r="G188" s="107" t="s">
        <v>2962</v>
      </c>
      <c r="H188" s="107" t="s">
        <v>2979</v>
      </c>
      <c r="I188" s="107" t="s">
        <v>2997</v>
      </c>
      <c r="J188" s="107" t="s">
        <v>2997</v>
      </c>
      <c r="K188" s="107" t="s">
        <v>2996</v>
      </c>
      <c r="L188" s="107">
        <v>305.92</v>
      </c>
      <c r="M188" s="107"/>
    </row>
    <row r="189" spans="1:13" x14ac:dyDescent="0.3">
      <c r="A189" s="95">
        <f t="shared" si="2"/>
        <v>0</v>
      </c>
      <c r="B189" s="106" t="s">
        <v>224</v>
      </c>
      <c r="C189" s="95" t="s">
        <v>20</v>
      </c>
      <c r="D189" s="106">
        <v>3</v>
      </c>
      <c r="E189" s="107">
        <v>1</v>
      </c>
      <c r="F189" s="107" t="s">
        <v>2958</v>
      </c>
      <c r="G189" s="107" t="s">
        <v>2962</v>
      </c>
      <c r="H189" s="107" t="s">
        <v>2979</v>
      </c>
      <c r="I189" s="107" t="s">
        <v>2997</v>
      </c>
      <c r="J189" s="107" t="s">
        <v>2997</v>
      </c>
      <c r="K189" s="107" t="s">
        <v>2997</v>
      </c>
      <c r="L189" s="107">
        <v>454.42</v>
      </c>
      <c r="M189" s="107">
        <v>1</v>
      </c>
    </row>
    <row r="190" spans="1:13" x14ac:dyDescent="0.3">
      <c r="A190" s="95">
        <f t="shared" si="2"/>
        <v>1</v>
      </c>
      <c r="B190" s="106" t="s">
        <v>225</v>
      </c>
      <c r="C190" s="95" t="s">
        <v>1699</v>
      </c>
      <c r="D190" s="106">
        <v>12</v>
      </c>
      <c r="E190" s="107">
        <v>1</v>
      </c>
      <c r="F190" s="107" t="s">
        <v>2958</v>
      </c>
      <c r="G190" s="107" t="s">
        <v>2964</v>
      </c>
      <c r="H190" s="107" t="s">
        <v>2976</v>
      </c>
      <c r="I190" s="107" t="s">
        <v>2997</v>
      </c>
      <c r="J190" s="107" t="s">
        <v>2997</v>
      </c>
      <c r="K190" s="107" t="s">
        <v>2997</v>
      </c>
      <c r="L190" s="107">
        <v>10957.38</v>
      </c>
      <c r="M190" s="107">
        <v>12</v>
      </c>
    </row>
    <row r="191" spans="1:13" x14ac:dyDescent="0.3">
      <c r="A191" s="95">
        <f t="shared" si="2"/>
        <v>0</v>
      </c>
      <c r="B191" s="106" t="s">
        <v>226</v>
      </c>
      <c r="C191" s="95" t="s">
        <v>1700</v>
      </c>
      <c r="D191" s="106">
        <v>12</v>
      </c>
      <c r="E191" s="107">
        <v>1</v>
      </c>
      <c r="F191" s="107" t="s">
        <v>2958</v>
      </c>
      <c r="G191" s="107" t="s">
        <v>2961</v>
      </c>
      <c r="H191" s="107" t="s">
        <v>2981</v>
      </c>
      <c r="I191" s="107" t="s">
        <v>2997</v>
      </c>
      <c r="J191" s="107" t="s">
        <v>2997</v>
      </c>
      <c r="K191" s="107" t="s">
        <v>2997</v>
      </c>
      <c r="L191" s="107">
        <v>102.85</v>
      </c>
      <c r="M191" s="107"/>
    </row>
    <row r="192" spans="1:13" x14ac:dyDescent="0.3">
      <c r="A192" s="95">
        <f t="shared" si="2"/>
        <v>0</v>
      </c>
      <c r="B192" s="106" t="s">
        <v>227</v>
      </c>
      <c r="C192" s="95" t="s">
        <v>1701</v>
      </c>
      <c r="D192" s="106">
        <v>12</v>
      </c>
      <c r="E192" s="107">
        <v>1</v>
      </c>
      <c r="F192" s="107" t="s">
        <v>2958</v>
      </c>
      <c r="G192" s="107" t="s">
        <v>2961</v>
      </c>
      <c r="H192" s="107" t="s">
        <v>2971</v>
      </c>
      <c r="I192" s="107" t="s">
        <v>2997</v>
      </c>
      <c r="J192" s="107" t="s">
        <v>2997</v>
      </c>
      <c r="K192" s="107" t="s">
        <v>2997</v>
      </c>
      <c r="L192" s="107">
        <v>405.92</v>
      </c>
      <c r="M192" s="107">
        <v>2</v>
      </c>
    </row>
    <row r="193" spans="1:13" x14ac:dyDescent="0.3">
      <c r="A193" s="95">
        <f t="shared" si="2"/>
        <v>0</v>
      </c>
      <c r="B193" s="106" t="s">
        <v>228</v>
      </c>
      <c r="C193" s="95" t="s">
        <v>1702</v>
      </c>
      <c r="D193" s="106">
        <v>12</v>
      </c>
      <c r="E193" s="107">
        <v>1</v>
      </c>
      <c r="F193" s="107" t="s">
        <v>2958</v>
      </c>
      <c r="G193" s="107" t="s">
        <v>2964</v>
      </c>
      <c r="H193" s="107" t="s">
        <v>2976</v>
      </c>
      <c r="I193" s="107" t="s">
        <v>2997</v>
      </c>
      <c r="J193" s="107" t="s">
        <v>2997</v>
      </c>
      <c r="K193" s="107" t="s">
        <v>2996</v>
      </c>
      <c r="L193" s="107">
        <v>21.92</v>
      </c>
      <c r="M193" s="107"/>
    </row>
    <row r="194" spans="1:13" x14ac:dyDescent="0.3">
      <c r="A194" s="95">
        <f t="shared" si="2"/>
        <v>1</v>
      </c>
      <c r="B194" s="106" t="s">
        <v>229</v>
      </c>
      <c r="C194" s="95" t="s">
        <v>1703</v>
      </c>
      <c r="D194" s="106">
        <v>12</v>
      </c>
      <c r="E194" s="107">
        <v>1</v>
      </c>
      <c r="F194" s="107" t="s">
        <v>2958</v>
      </c>
      <c r="G194" s="107" t="s">
        <v>2967</v>
      </c>
      <c r="H194" s="107" t="s">
        <v>2967</v>
      </c>
      <c r="I194" s="107" t="s">
        <v>2997</v>
      </c>
      <c r="J194" s="107" t="s">
        <v>2997</v>
      </c>
      <c r="K194" s="107" t="s">
        <v>2997</v>
      </c>
      <c r="L194" s="107">
        <v>7960.03</v>
      </c>
      <c r="M194" s="107">
        <v>12</v>
      </c>
    </row>
    <row r="195" spans="1:13" x14ac:dyDescent="0.3">
      <c r="A195" s="95">
        <f t="shared" si="2"/>
        <v>0</v>
      </c>
      <c r="B195" s="106" t="s">
        <v>230</v>
      </c>
      <c r="C195" s="95" t="s">
        <v>1704</v>
      </c>
      <c r="D195" s="106">
        <v>9</v>
      </c>
      <c r="E195" s="107">
        <v>1</v>
      </c>
      <c r="F195" s="107" t="s">
        <v>2958</v>
      </c>
      <c r="G195" s="107" t="s">
        <v>2961</v>
      </c>
      <c r="H195" s="107" t="s">
        <v>2972</v>
      </c>
      <c r="I195" s="107" t="s">
        <v>2997</v>
      </c>
      <c r="J195" s="107" t="s">
        <v>2996</v>
      </c>
      <c r="K195" s="107" t="s">
        <v>2996</v>
      </c>
      <c r="L195" s="107">
        <v>46.97</v>
      </c>
      <c r="M195" s="107"/>
    </row>
    <row r="196" spans="1:13" x14ac:dyDescent="0.3">
      <c r="A196" s="95">
        <f t="shared" si="2"/>
        <v>0</v>
      </c>
      <c r="B196" s="106" t="s">
        <v>231</v>
      </c>
      <c r="C196" s="95" t="s">
        <v>1705</v>
      </c>
      <c r="D196" s="106">
        <v>12</v>
      </c>
      <c r="E196" s="107">
        <v>1</v>
      </c>
      <c r="F196" s="107" t="s">
        <v>2958</v>
      </c>
      <c r="G196" s="107" t="s">
        <v>2961</v>
      </c>
      <c r="H196" s="107" t="s">
        <v>2971</v>
      </c>
      <c r="I196" s="107" t="s">
        <v>2997</v>
      </c>
      <c r="J196" s="107" t="s">
        <v>2997</v>
      </c>
      <c r="K196" s="107" t="s">
        <v>2996</v>
      </c>
      <c r="L196" s="107">
        <v>1225.3800000000001</v>
      </c>
      <c r="M196" s="107">
        <v>1</v>
      </c>
    </row>
    <row r="197" spans="1:13" x14ac:dyDescent="0.3">
      <c r="A197" s="95">
        <f t="shared" si="2"/>
        <v>0</v>
      </c>
      <c r="B197" s="106" t="s">
        <v>232</v>
      </c>
      <c r="C197" s="95" t="s">
        <v>1706</v>
      </c>
      <c r="D197" s="106">
        <v>12</v>
      </c>
      <c r="E197" s="107">
        <v>1</v>
      </c>
      <c r="F197" s="107" t="s">
        <v>2958</v>
      </c>
      <c r="G197" s="107" t="s">
        <v>2965</v>
      </c>
      <c r="H197" s="107" t="s">
        <v>2965</v>
      </c>
      <c r="I197" s="107" t="s">
        <v>2997</v>
      </c>
      <c r="J197" s="107" t="s">
        <v>2997</v>
      </c>
      <c r="K197" s="107" t="s">
        <v>2996</v>
      </c>
      <c r="L197" s="107">
        <v>121.58</v>
      </c>
      <c r="M197" s="107"/>
    </row>
    <row r="198" spans="1:13" x14ac:dyDescent="0.3">
      <c r="A198" s="95">
        <f t="shared" si="2"/>
        <v>0</v>
      </c>
      <c r="B198" s="106" t="s">
        <v>233</v>
      </c>
      <c r="C198" s="95" t="s">
        <v>1707</v>
      </c>
      <c r="D198" s="106">
        <v>12</v>
      </c>
      <c r="E198" s="107">
        <v>1</v>
      </c>
      <c r="F198" s="107" t="s">
        <v>2958</v>
      </c>
      <c r="G198" s="107" t="s">
        <v>2967</v>
      </c>
      <c r="H198" s="107" t="s">
        <v>2967</v>
      </c>
      <c r="I198" s="107" t="s">
        <v>2996</v>
      </c>
      <c r="J198" s="107" t="s">
        <v>2996</v>
      </c>
      <c r="K198" s="107" t="s">
        <v>2996</v>
      </c>
      <c r="L198" s="107">
        <v>142.65</v>
      </c>
      <c r="M198" s="107">
        <v>1</v>
      </c>
    </row>
    <row r="199" spans="1:13" x14ac:dyDescent="0.3">
      <c r="A199" s="95">
        <f t="shared" si="2"/>
        <v>0</v>
      </c>
      <c r="B199" s="106" t="s">
        <v>234</v>
      </c>
      <c r="C199" s="95" t="s">
        <v>1708</v>
      </c>
      <c r="D199" s="106">
        <v>12</v>
      </c>
      <c r="E199" s="107">
        <v>1</v>
      </c>
      <c r="F199" s="107" t="s">
        <v>2959</v>
      </c>
      <c r="G199" s="107" t="s">
        <v>2965</v>
      </c>
      <c r="H199" s="107" t="s">
        <v>2965</v>
      </c>
      <c r="I199" s="107" t="s">
        <v>2997</v>
      </c>
      <c r="J199" s="107" t="s">
        <v>2997</v>
      </c>
      <c r="K199" s="107" t="s">
        <v>2997</v>
      </c>
      <c r="L199" s="107">
        <v>694.66</v>
      </c>
      <c r="M199" s="107">
        <v>4</v>
      </c>
    </row>
    <row r="200" spans="1:13" x14ac:dyDescent="0.3">
      <c r="A200" s="95">
        <f t="shared" si="2"/>
        <v>0</v>
      </c>
      <c r="B200" s="106" t="s">
        <v>235</v>
      </c>
      <c r="C200" s="95" t="s">
        <v>1709</v>
      </c>
      <c r="D200" s="106">
        <v>12</v>
      </c>
      <c r="E200" s="107">
        <v>1</v>
      </c>
      <c r="F200" s="107" t="s">
        <v>2958</v>
      </c>
      <c r="G200" s="107" t="s">
        <v>2963</v>
      </c>
      <c r="H200" s="107" t="s">
        <v>2974</v>
      </c>
      <c r="I200" s="107" t="s">
        <v>2997</v>
      </c>
      <c r="J200" s="107" t="s">
        <v>2997</v>
      </c>
      <c r="K200" s="107" t="s">
        <v>2997</v>
      </c>
      <c r="L200" s="107">
        <v>39.44</v>
      </c>
      <c r="M200" s="107"/>
    </row>
    <row r="201" spans="1:13" x14ac:dyDescent="0.3">
      <c r="A201" s="95">
        <f t="shared" si="2"/>
        <v>0</v>
      </c>
      <c r="B201" s="106" t="s">
        <v>236</v>
      </c>
      <c r="C201" s="95" t="s">
        <v>1710</v>
      </c>
      <c r="D201" s="106">
        <v>3</v>
      </c>
      <c r="E201" s="107">
        <v>1</v>
      </c>
      <c r="F201" s="107" t="s">
        <v>2958</v>
      </c>
      <c r="G201" s="107" t="s">
        <v>2962</v>
      </c>
      <c r="H201" s="107" t="s">
        <v>2973</v>
      </c>
      <c r="I201" s="107" t="s">
        <v>2997</v>
      </c>
      <c r="J201" s="107" t="s">
        <v>2997</v>
      </c>
      <c r="K201" s="107" t="s">
        <v>2996</v>
      </c>
      <c r="L201" s="107">
        <v>1240.23</v>
      </c>
      <c r="M201" s="107">
        <v>4</v>
      </c>
    </row>
    <row r="202" spans="1:13" x14ac:dyDescent="0.3">
      <c r="A202" s="95">
        <f t="shared" si="2"/>
        <v>0</v>
      </c>
      <c r="B202" s="106" t="s">
        <v>237</v>
      </c>
      <c r="C202" s="95" t="s">
        <v>1711</v>
      </c>
      <c r="D202" s="106">
        <v>12</v>
      </c>
      <c r="E202" s="107">
        <v>1</v>
      </c>
      <c r="F202" s="107" t="s">
        <v>2958</v>
      </c>
      <c r="G202" s="107" t="s">
        <v>2965</v>
      </c>
      <c r="H202" s="107" t="s">
        <v>2965</v>
      </c>
      <c r="I202" s="107" t="s">
        <v>2997</v>
      </c>
      <c r="J202" s="107" t="s">
        <v>2997</v>
      </c>
      <c r="K202" s="107" t="s">
        <v>2997</v>
      </c>
      <c r="L202" s="107">
        <v>87.89</v>
      </c>
      <c r="M202" s="107"/>
    </row>
    <row r="203" spans="1:13" x14ac:dyDescent="0.3">
      <c r="A203" s="95">
        <f t="shared" si="2"/>
        <v>0</v>
      </c>
      <c r="B203" s="106" t="s">
        <v>238</v>
      </c>
      <c r="C203" s="95" t="s">
        <v>1712</v>
      </c>
      <c r="D203" s="106">
        <v>12</v>
      </c>
      <c r="E203" s="107">
        <v>1</v>
      </c>
      <c r="F203" s="107" t="s">
        <v>2958</v>
      </c>
      <c r="G203" s="107" t="s">
        <v>2965</v>
      </c>
      <c r="H203" s="107" t="s">
        <v>2965</v>
      </c>
      <c r="I203" s="107" t="s">
        <v>2997</v>
      </c>
      <c r="J203" s="107" t="s">
        <v>2997</v>
      </c>
      <c r="K203" s="107" t="s">
        <v>2996</v>
      </c>
      <c r="L203" s="107">
        <v>30.55</v>
      </c>
      <c r="M203" s="107"/>
    </row>
    <row r="204" spans="1:13" x14ac:dyDescent="0.3">
      <c r="A204" s="95">
        <f t="shared" si="2"/>
        <v>0</v>
      </c>
      <c r="B204" s="106" t="s">
        <v>239</v>
      </c>
      <c r="C204" s="95" t="s">
        <v>1713</v>
      </c>
      <c r="D204" s="106">
        <v>12</v>
      </c>
      <c r="E204" s="107">
        <v>1</v>
      </c>
      <c r="F204" s="107" t="s">
        <v>2959</v>
      </c>
      <c r="G204" s="107" t="s">
        <v>2964</v>
      </c>
      <c r="H204" s="107" t="s">
        <v>2976</v>
      </c>
      <c r="I204" s="107" t="s">
        <v>2997</v>
      </c>
      <c r="J204" s="107" t="s">
        <v>2997</v>
      </c>
      <c r="K204" s="107" t="s">
        <v>2996</v>
      </c>
      <c r="L204" s="107">
        <v>199.4</v>
      </c>
      <c r="M204" s="107"/>
    </row>
    <row r="205" spans="1:13" x14ac:dyDescent="0.3">
      <c r="A205" s="95">
        <f t="shared" si="2"/>
        <v>0</v>
      </c>
      <c r="B205" s="106" t="s">
        <v>240</v>
      </c>
      <c r="C205" s="95" t="s">
        <v>1714</v>
      </c>
      <c r="D205" s="106">
        <v>12</v>
      </c>
      <c r="E205" s="107">
        <v>1</v>
      </c>
      <c r="F205" s="107" t="s">
        <v>2958</v>
      </c>
      <c r="G205" s="107" t="s">
        <v>2965</v>
      </c>
      <c r="H205" s="107" t="s">
        <v>2965</v>
      </c>
      <c r="I205" s="107" t="s">
        <v>2996</v>
      </c>
      <c r="J205" s="107" t="s">
        <v>2996</v>
      </c>
      <c r="K205" s="107" t="s">
        <v>2996</v>
      </c>
      <c r="L205" s="107">
        <v>79.81</v>
      </c>
      <c r="M205" s="107"/>
    </row>
    <row r="206" spans="1:13" x14ac:dyDescent="0.3">
      <c r="A206" s="95">
        <f t="shared" si="2"/>
        <v>0</v>
      </c>
      <c r="B206" s="106" t="s">
        <v>241</v>
      </c>
      <c r="C206" s="95" t="s">
        <v>1715</v>
      </c>
      <c r="D206" s="106">
        <v>12</v>
      </c>
      <c r="E206" s="107">
        <v>1</v>
      </c>
      <c r="F206" s="107" t="s">
        <v>2958</v>
      </c>
      <c r="G206" s="107" t="s">
        <v>2960</v>
      </c>
      <c r="H206" s="107" t="s">
        <v>2970</v>
      </c>
      <c r="I206" s="107" t="s">
        <v>2996</v>
      </c>
      <c r="J206" s="107" t="s">
        <v>2996</v>
      </c>
      <c r="K206" s="107" t="s">
        <v>2996</v>
      </c>
      <c r="L206" s="107">
        <v>200.01</v>
      </c>
      <c r="M206" s="107"/>
    </row>
    <row r="207" spans="1:13" x14ac:dyDescent="0.3">
      <c r="A207" s="95">
        <f t="shared" ref="A207:A270" si="3">IF(AND(E207=1,J207=K207,M207&gt;6),1,0)</f>
        <v>0</v>
      </c>
      <c r="B207" s="106" t="s">
        <v>242</v>
      </c>
      <c r="C207" s="95" t="s">
        <v>1716</v>
      </c>
      <c r="D207" s="106">
        <v>12</v>
      </c>
      <c r="E207" s="107">
        <v>1</v>
      </c>
      <c r="F207" s="107" t="s">
        <v>2958</v>
      </c>
      <c r="G207" s="107" t="s">
        <v>2963</v>
      </c>
      <c r="H207" s="107" t="s">
        <v>2974</v>
      </c>
      <c r="I207" s="107" t="s">
        <v>2997</v>
      </c>
      <c r="J207" s="107" t="s">
        <v>2997</v>
      </c>
      <c r="K207" s="107" t="s">
        <v>2996</v>
      </c>
      <c r="L207" s="107">
        <v>639.36</v>
      </c>
      <c r="M207" s="107"/>
    </row>
    <row r="208" spans="1:13" x14ac:dyDescent="0.3">
      <c r="A208" s="95">
        <f t="shared" si="3"/>
        <v>0</v>
      </c>
      <c r="B208" s="106" t="s">
        <v>243</v>
      </c>
      <c r="C208" s="95" t="s">
        <v>1717</v>
      </c>
      <c r="D208" s="106">
        <v>12</v>
      </c>
      <c r="E208" s="107">
        <v>1</v>
      </c>
      <c r="F208" s="107" t="s">
        <v>2958</v>
      </c>
      <c r="G208" s="107" t="s">
        <v>2963</v>
      </c>
      <c r="H208" s="107" t="s">
        <v>2974</v>
      </c>
      <c r="I208" s="107" t="s">
        <v>2997</v>
      </c>
      <c r="J208" s="107" t="s">
        <v>2997</v>
      </c>
      <c r="K208" s="107" t="s">
        <v>2996</v>
      </c>
      <c r="L208" s="107">
        <v>153.81</v>
      </c>
      <c r="M208" s="107"/>
    </row>
    <row r="209" spans="1:13" x14ac:dyDescent="0.3">
      <c r="A209" s="95">
        <f t="shared" si="3"/>
        <v>0</v>
      </c>
      <c r="B209" s="106" t="s">
        <v>244</v>
      </c>
      <c r="C209" s="95" t="s">
        <v>1718</v>
      </c>
      <c r="D209" s="106">
        <v>12</v>
      </c>
      <c r="E209" s="107">
        <v>1</v>
      </c>
      <c r="F209" s="107" t="s">
        <v>2958</v>
      </c>
      <c r="G209" s="107" t="s">
        <v>2963</v>
      </c>
      <c r="H209" s="107" t="s">
        <v>2974</v>
      </c>
      <c r="I209" s="107" t="s">
        <v>2997</v>
      </c>
      <c r="J209" s="107" t="s">
        <v>2997</v>
      </c>
      <c r="K209" s="107" t="s">
        <v>2996</v>
      </c>
      <c r="L209" s="107">
        <v>72.12</v>
      </c>
      <c r="M209" s="107"/>
    </row>
    <row r="210" spans="1:13" x14ac:dyDescent="0.3">
      <c r="A210" s="95">
        <f t="shared" si="3"/>
        <v>0</v>
      </c>
      <c r="B210" s="106" t="s">
        <v>245</v>
      </c>
      <c r="C210" s="95" t="s">
        <v>1719</v>
      </c>
      <c r="D210" s="106">
        <v>12</v>
      </c>
      <c r="E210" s="107">
        <v>1</v>
      </c>
      <c r="F210" s="107" t="s">
        <v>2958</v>
      </c>
      <c r="G210" s="107" t="s">
        <v>2965</v>
      </c>
      <c r="H210" s="107" t="s">
        <v>2965</v>
      </c>
      <c r="I210" s="107" t="s">
        <v>2997</v>
      </c>
      <c r="J210" s="107" t="s">
        <v>2997</v>
      </c>
      <c r="K210" s="107" t="s">
        <v>2997</v>
      </c>
      <c r="L210" s="107">
        <v>1093.92</v>
      </c>
      <c r="M210" s="107">
        <v>4</v>
      </c>
    </row>
    <row r="211" spans="1:13" x14ac:dyDescent="0.3">
      <c r="A211" s="95">
        <f t="shared" si="3"/>
        <v>1</v>
      </c>
      <c r="B211" s="106" t="s">
        <v>246</v>
      </c>
      <c r="C211" s="95" t="s">
        <v>1720</v>
      </c>
      <c r="D211" s="106">
        <v>12</v>
      </c>
      <c r="E211" s="107">
        <v>1</v>
      </c>
      <c r="F211" s="107" t="s">
        <v>2958</v>
      </c>
      <c r="G211" s="107" t="s">
        <v>2965</v>
      </c>
      <c r="H211" s="107" t="s">
        <v>2965</v>
      </c>
      <c r="I211" s="107" t="s">
        <v>2997</v>
      </c>
      <c r="J211" s="107" t="s">
        <v>2997</v>
      </c>
      <c r="K211" s="107" t="s">
        <v>2997</v>
      </c>
      <c r="L211" s="107">
        <v>5477.19</v>
      </c>
      <c r="M211" s="107">
        <v>23</v>
      </c>
    </row>
    <row r="212" spans="1:13" x14ac:dyDescent="0.3">
      <c r="A212" s="95">
        <f t="shared" si="3"/>
        <v>0</v>
      </c>
      <c r="B212" s="106" t="s">
        <v>247</v>
      </c>
      <c r="C212" s="95" t="s">
        <v>1721</v>
      </c>
      <c r="D212" s="106">
        <v>12</v>
      </c>
      <c r="E212" s="107">
        <v>1</v>
      </c>
      <c r="F212" s="107" t="s">
        <v>2958</v>
      </c>
      <c r="G212" s="107" t="s">
        <v>2961</v>
      </c>
      <c r="H212" s="107" t="s">
        <v>2972</v>
      </c>
      <c r="I212" s="107" t="s">
        <v>2997</v>
      </c>
      <c r="J212" s="107" t="s">
        <v>2997</v>
      </c>
      <c r="K212" s="107" t="s">
        <v>2997</v>
      </c>
      <c r="L212" s="107">
        <v>135.62</v>
      </c>
      <c r="M212" s="107"/>
    </row>
    <row r="213" spans="1:13" x14ac:dyDescent="0.3">
      <c r="A213" s="95">
        <f t="shared" si="3"/>
        <v>0</v>
      </c>
      <c r="B213" s="106" t="s">
        <v>248</v>
      </c>
      <c r="C213" s="95" t="s">
        <v>1722</v>
      </c>
      <c r="D213" s="106">
        <v>12</v>
      </c>
      <c r="E213" s="107">
        <v>1</v>
      </c>
      <c r="F213" s="107" t="s">
        <v>2958</v>
      </c>
      <c r="G213" s="107" t="s">
        <v>2960</v>
      </c>
      <c r="H213" s="107" t="s">
        <v>2983</v>
      </c>
      <c r="I213" s="107" t="s">
        <v>2997</v>
      </c>
      <c r="J213" s="107" t="s">
        <v>2997</v>
      </c>
      <c r="K213" s="107" t="s">
        <v>2996</v>
      </c>
      <c r="L213" s="107">
        <v>67.680000000000007</v>
      </c>
      <c r="M213" s="107"/>
    </row>
    <row r="214" spans="1:13" x14ac:dyDescent="0.3">
      <c r="A214" s="95">
        <f t="shared" si="3"/>
        <v>0</v>
      </c>
      <c r="B214" s="106" t="s">
        <v>249</v>
      </c>
      <c r="C214" s="95" t="s">
        <v>1723</v>
      </c>
      <c r="D214" s="106">
        <v>12</v>
      </c>
      <c r="E214" s="107">
        <v>1</v>
      </c>
      <c r="F214" s="107" t="s">
        <v>2958</v>
      </c>
      <c r="G214" s="107" t="s">
        <v>2965</v>
      </c>
      <c r="H214" s="107" t="s">
        <v>2965</v>
      </c>
      <c r="I214" s="107" t="s">
        <v>2997</v>
      </c>
      <c r="J214" s="107" t="s">
        <v>2997</v>
      </c>
      <c r="K214" s="107" t="s">
        <v>2997</v>
      </c>
      <c r="L214" s="107">
        <v>27.09</v>
      </c>
      <c r="M214" s="107"/>
    </row>
    <row r="215" spans="1:13" x14ac:dyDescent="0.3">
      <c r="A215" s="95">
        <f t="shared" si="3"/>
        <v>0</v>
      </c>
      <c r="B215" s="106" t="s">
        <v>250</v>
      </c>
      <c r="C215" s="95" t="s">
        <v>1724</v>
      </c>
      <c r="D215" s="106">
        <v>12</v>
      </c>
      <c r="E215" s="107">
        <v>1</v>
      </c>
      <c r="F215" s="107" t="s">
        <v>2958</v>
      </c>
      <c r="G215" s="107" t="s">
        <v>2961</v>
      </c>
      <c r="H215" s="107" t="s">
        <v>2971</v>
      </c>
      <c r="I215" s="107" t="s">
        <v>2997</v>
      </c>
      <c r="J215" s="107" t="s">
        <v>2997</v>
      </c>
      <c r="K215" s="107" t="s">
        <v>2996</v>
      </c>
      <c r="L215" s="107">
        <v>32.74</v>
      </c>
      <c r="M215" s="107"/>
    </row>
    <row r="216" spans="1:13" x14ac:dyDescent="0.3">
      <c r="A216" s="95">
        <f t="shared" si="3"/>
        <v>0</v>
      </c>
      <c r="B216" s="106" t="s">
        <v>251</v>
      </c>
      <c r="C216" s="95" t="s">
        <v>1725</v>
      </c>
      <c r="D216" s="106">
        <v>12</v>
      </c>
      <c r="E216" s="107">
        <v>1</v>
      </c>
      <c r="F216" s="107" t="s">
        <v>2958</v>
      </c>
      <c r="G216" s="107" t="s">
        <v>2966</v>
      </c>
      <c r="H216" s="107" t="s">
        <v>2984</v>
      </c>
      <c r="I216" s="107" t="s">
        <v>2997</v>
      </c>
      <c r="J216" s="107" t="s">
        <v>2997</v>
      </c>
      <c r="K216" s="107" t="s">
        <v>2997</v>
      </c>
      <c r="L216" s="107">
        <v>417.68</v>
      </c>
      <c r="M216" s="107">
        <v>4</v>
      </c>
    </row>
    <row r="217" spans="1:13" x14ac:dyDescent="0.3">
      <c r="A217" s="95">
        <f t="shared" si="3"/>
        <v>0</v>
      </c>
      <c r="B217" s="106" t="s">
        <v>252</v>
      </c>
      <c r="C217" s="95" t="s">
        <v>1726</v>
      </c>
      <c r="D217" s="106">
        <v>12</v>
      </c>
      <c r="E217" s="107">
        <v>1</v>
      </c>
      <c r="F217" s="107" t="s">
        <v>2958</v>
      </c>
      <c r="G217" s="107" t="s">
        <v>2964</v>
      </c>
      <c r="H217" s="107" t="s">
        <v>2975</v>
      </c>
      <c r="I217" s="107" t="s">
        <v>2997</v>
      </c>
      <c r="J217" s="107" t="s">
        <v>2997</v>
      </c>
      <c r="K217" s="107" t="s">
        <v>2996</v>
      </c>
      <c r="L217" s="107">
        <v>59.94</v>
      </c>
      <c r="M217" s="107"/>
    </row>
    <row r="218" spans="1:13" x14ac:dyDescent="0.3">
      <c r="A218" s="95">
        <f t="shared" si="3"/>
        <v>0</v>
      </c>
      <c r="B218" s="106" t="s">
        <v>253</v>
      </c>
      <c r="C218" s="95" t="s">
        <v>1727</v>
      </c>
      <c r="D218" s="106">
        <v>12</v>
      </c>
      <c r="E218" s="107">
        <v>1</v>
      </c>
      <c r="F218" s="107" t="s">
        <v>2958</v>
      </c>
      <c r="G218" s="107" t="s">
        <v>2965</v>
      </c>
      <c r="H218" s="107" t="s">
        <v>2965</v>
      </c>
      <c r="I218" s="107" t="s">
        <v>2997</v>
      </c>
      <c r="J218" s="107" t="s">
        <v>2997</v>
      </c>
      <c r="K218" s="107" t="s">
        <v>2996</v>
      </c>
      <c r="L218" s="107">
        <v>547.49</v>
      </c>
      <c r="M218" s="107">
        <v>4</v>
      </c>
    </row>
    <row r="219" spans="1:13" x14ac:dyDescent="0.3">
      <c r="A219" s="95">
        <f t="shared" si="3"/>
        <v>1</v>
      </c>
      <c r="B219" s="106" t="s">
        <v>254</v>
      </c>
      <c r="C219" s="95" t="s">
        <v>1728</v>
      </c>
      <c r="D219" s="106">
        <v>12</v>
      </c>
      <c r="E219" s="107">
        <v>1</v>
      </c>
      <c r="F219" s="107" t="s">
        <v>2958</v>
      </c>
      <c r="G219" s="107" t="s">
        <v>2961</v>
      </c>
      <c r="H219" s="107" t="s">
        <v>2982</v>
      </c>
      <c r="I219" s="107" t="s">
        <v>2997</v>
      </c>
      <c r="J219" s="107" t="s">
        <v>2997</v>
      </c>
      <c r="K219" s="107" t="s">
        <v>2997</v>
      </c>
      <c r="L219" s="107">
        <v>2077.33</v>
      </c>
      <c r="M219" s="107">
        <v>19</v>
      </c>
    </row>
    <row r="220" spans="1:13" x14ac:dyDescent="0.3">
      <c r="A220" s="95">
        <f t="shared" si="3"/>
        <v>0</v>
      </c>
      <c r="B220" s="106" t="s">
        <v>255</v>
      </c>
      <c r="C220" s="95" t="s">
        <v>1729</v>
      </c>
      <c r="D220" s="106">
        <v>12</v>
      </c>
      <c r="E220" s="107">
        <v>1</v>
      </c>
      <c r="F220" s="107" t="s">
        <v>2958</v>
      </c>
      <c r="G220" s="107" t="s">
        <v>2964</v>
      </c>
      <c r="H220" s="107" t="s">
        <v>2976</v>
      </c>
      <c r="I220" s="107" t="s">
        <v>2996</v>
      </c>
      <c r="J220" s="107" t="s">
        <v>2996</v>
      </c>
      <c r="K220" s="107" t="s">
        <v>2996</v>
      </c>
      <c r="L220" s="107">
        <v>38.4</v>
      </c>
      <c r="M220" s="107"/>
    </row>
    <row r="221" spans="1:13" x14ac:dyDescent="0.3">
      <c r="A221" s="95">
        <f t="shared" si="3"/>
        <v>0</v>
      </c>
      <c r="B221" s="106" t="s">
        <v>256</v>
      </c>
      <c r="C221" s="95" t="s">
        <v>1730</v>
      </c>
      <c r="D221" s="106">
        <v>12</v>
      </c>
      <c r="E221" s="107">
        <v>1</v>
      </c>
      <c r="F221" s="107" t="s">
        <v>2958</v>
      </c>
      <c r="G221" s="107" t="s">
        <v>2965</v>
      </c>
      <c r="H221" s="107" t="s">
        <v>2965</v>
      </c>
      <c r="I221" s="107" t="s">
        <v>2997</v>
      </c>
      <c r="J221" s="107" t="s">
        <v>2997</v>
      </c>
      <c r="K221" s="107" t="s">
        <v>2996</v>
      </c>
      <c r="L221" s="107">
        <v>161.19999999999999</v>
      </c>
      <c r="M221" s="107"/>
    </row>
    <row r="222" spans="1:13" x14ac:dyDescent="0.3">
      <c r="A222" s="95">
        <f t="shared" si="3"/>
        <v>0</v>
      </c>
      <c r="B222" s="106" t="s">
        <v>257</v>
      </c>
      <c r="C222" s="95" t="s">
        <v>1731</v>
      </c>
      <c r="D222" s="106">
        <v>12</v>
      </c>
      <c r="E222" s="107">
        <v>1</v>
      </c>
      <c r="F222" s="107" t="s">
        <v>2958</v>
      </c>
      <c r="G222" s="107" t="s">
        <v>2966</v>
      </c>
      <c r="H222" s="107" t="s">
        <v>2984</v>
      </c>
      <c r="I222" s="107" t="s">
        <v>2997</v>
      </c>
      <c r="J222" s="107" t="s">
        <v>2997</v>
      </c>
      <c r="K222" s="107" t="s">
        <v>2996</v>
      </c>
      <c r="L222" s="107">
        <v>30.56</v>
      </c>
      <c r="M222" s="107"/>
    </row>
    <row r="223" spans="1:13" x14ac:dyDescent="0.3">
      <c r="A223" s="95">
        <f t="shared" si="3"/>
        <v>0</v>
      </c>
      <c r="B223" s="106" t="s">
        <v>258</v>
      </c>
      <c r="C223" s="95" t="s">
        <v>1732</v>
      </c>
      <c r="D223" s="106">
        <v>11</v>
      </c>
      <c r="E223" s="107">
        <v>1</v>
      </c>
      <c r="F223" s="107" t="s">
        <v>2958</v>
      </c>
      <c r="G223" s="107" t="s">
        <v>2960</v>
      </c>
      <c r="H223" s="107" t="s">
        <v>2970</v>
      </c>
      <c r="I223" s="107" t="s">
        <v>2997</v>
      </c>
      <c r="J223" s="107" t="s">
        <v>2997</v>
      </c>
      <c r="K223" s="107" t="s">
        <v>2996</v>
      </c>
      <c r="L223" s="107">
        <v>46.48</v>
      </c>
      <c r="M223" s="107"/>
    </row>
    <row r="224" spans="1:13" x14ac:dyDescent="0.3">
      <c r="A224" s="95">
        <f t="shared" si="3"/>
        <v>0</v>
      </c>
      <c r="B224" s="106" t="s">
        <v>259</v>
      </c>
      <c r="C224" s="95" t="s">
        <v>1733</v>
      </c>
      <c r="D224" s="106">
        <v>12</v>
      </c>
      <c r="E224" s="107">
        <v>1</v>
      </c>
      <c r="F224" s="107" t="s">
        <v>2959</v>
      </c>
      <c r="G224" s="107" t="s">
        <v>2964</v>
      </c>
      <c r="H224" s="107" t="s">
        <v>2976</v>
      </c>
      <c r="I224" s="107" t="s">
        <v>2997</v>
      </c>
      <c r="J224" s="107" t="s">
        <v>2997</v>
      </c>
      <c r="K224" s="107" t="s">
        <v>2996</v>
      </c>
      <c r="L224" s="107">
        <v>37.880000000000003</v>
      </c>
      <c r="M224" s="107"/>
    </row>
    <row r="225" spans="1:13" x14ac:dyDescent="0.3">
      <c r="A225" s="95">
        <f t="shared" si="3"/>
        <v>0</v>
      </c>
      <c r="B225" s="106" t="s">
        <v>260</v>
      </c>
      <c r="C225" s="95" t="s">
        <v>1734</v>
      </c>
      <c r="D225" s="106">
        <v>12</v>
      </c>
      <c r="E225" s="107">
        <v>1</v>
      </c>
      <c r="F225" s="107" t="s">
        <v>2958</v>
      </c>
      <c r="G225" s="107" t="s">
        <v>2964</v>
      </c>
      <c r="H225" s="107" t="s">
        <v>2975</v>
      </c>
      <c r="I225" s="107" t="s">
        <v>2997</v>
      </c>
      <c r="J225" s="107" t="s">
        <v>2997</v>
      </c>
      <c r="K225" s="107" t="s">
        <v>2997</v>
      </c>
      <c r="L225" s="107">
        <v>309.95999999999998</v>
      </c>
      <c r="M225" s="107"/>
    </row>
    <row r="226" spans="1:13" x14ac:dyDescent="0.3">
      <c r="A226" s="95">
        <f t="shared" si="3"/>
        <v>0</v>
      </c>
      <c r="B226" s="106" t="s">
        <v>261</v>
      </c>
      <c r="C226" s="95" t="s">
        <v>1735</v>
      </c>
      <c r="D226" s="106">
        <v>12</v>
      </c>
      <c r="E226" s="107">
        <v>1</v>
      </c>
      <c r="F226" s="107" t="s">
        <v>2958</v>
      </c>
      <c r="G226" s="107" t="s">
        <v>2963</v>
      </c>
      <c r="H226" s="107" t="s">
        <v>2974</v>
      </c>
      <c r="I226" s="107" t="s">
        <v>2997</v>
      </c>
      <c r="J226" s="107" t="s">
        <v>2997</v>
      </c>
      <c r="K226" s="107" t="s">
        <v>2997</v>
      </c>
      <c r="L226" s="107">
        <v>1614.94</v>
      </c>
      <c r="M226" s="107">
        <v>4</v>
      </c>
    </row>
    <row r="227" spans="1:13" x14ac:dyDescent="0.3">
      <c r="A227" s="95">
        <f t="shared" si="3"/>
        <v>0</v>
      </c>
      <c r="B227" s="106" t="s">
        <v>262</v>
      </c>
      <c r="C227" s="95" t="s">
        <v>1736</v>
      </c>
      <c r="D227" s="106">
        <v>12</v>
      </c>
      <c r="E227" s="107">
        <v>1</v>
      </c>
      <c r="F227" s="107" t="s">
        <v>2958</v>
      </c>
      <c r="G227" s="107" t="s">
        <v>2964</v>
      </c>
      <c r="H227" s="107" t="s">
        <v>2976</v>
      </c>
      <c r="I227" s="107" t="s">
        <v>2996</v>
      </c>
      <c r="J227" s="107" t="s">
        <v>2996</v>
      </c>
      <c r="K227" s="107" t="s">
        <v>2996</v>
      </c>
      <c r="L227" s="107">
        <v>140.07</v>
      </c>
      <c r="M227" s="107">
        <v>2</v>
      </c>
    </row>
    <row r="228" spans="1:13" x14ac:dyDescent="0.3">
      <c r="A228" s="95">
        <f t="shared" si="3"/>
        <v>0</v>
      </c>
      <c r="B228" s="106" t="s">
        <v>263</v>
      </c>
      <c r="C228" s="95" t="s">
        <v>1737</v>
      </c>
      <c r="D228" s="106">
        <v>12</v>
      </c>
      <c r="E228" s="107">
        <v>1</v>
      </c>
      <c r="F228" s="107" t="s">
        <v>2958</v>
      </c>
      <c r="G228" s="107" t="s">
        <v>2963</v>
      </c>
      <c r="H228" s="107" t="s">
        <v>2974</v>
      </c>
      <c r="I228" s="107" t="s">
        <v>2997</v>
      </c>
      <c r="J228" s="107" t="s">
        <v>2997</v>
      </c>
      <c r="K228" s="107" t="s">
        <v>2997</v>
      </c>
      <c r="L228" s="107">
        <v>37.14</v>
      </c>
      <c r="M228" s="107">
        <v>1</v>
      </c>
    </row>
    <row r="229" spans="1:13" x14ac:dyDescent="0.3">
      <c r="A229" s="95">
        <f t="shared" si="3"/>
        <v>0</v>
      </c>
      <c r="B229" s="106" t="s">
        <v>264</v>
      </c>
      <c r="C229" s="95" t="s">
        <v>1738</v>
      </c>
      <c r="D229" s="106">
        <v>12</v>
      </c>
      <c r="E229" s="107">
        <v>1</v>
      </c>
      <c r="F229" s="107" t="s">
        <v>2958</v>
      </c>
      <c r="G229" s="107" t="s">
        <v>2965</v>
      </c>
      <c r="H229" s="107" t="s">
        <v>2965</v>
      </c>
      <c r="I229" s="107" t="s">
        <v>2997</v>
      </c>
      <c r="J229" s="107" t="s">
        <v>2997</v>
      </c>
      <c r="K229" s="107" t="s">
        <v>2997</v>
      </c>
      <c r="L229" s="107">
        <v>298.8</v>
      </c>
      <c r="M229" s="107">
        <v>2</v>
      </c>
    </row>
    <row r="230" spans="1:13" x14ac:dyDescent="0.3">
      <c r="A230" s="95">
        <f t="shared" si="3"/>
        <v>0</v>
      </c>
      <c r="B230" s="106" t="s">
        <v>265</v>
      </c>
      <c r="C230" s="95" t="s">
        <v>1739</v>
      </c>
      <c r="D230" s="106">
        <v>12</v>
      </c>
      <c r="E230" s="107">
        <v>1</v>
      </c>
      <c r="F230" s="107" t="s">
        <v>2958</v>
      </c>
      <c r="G230" s="107" t="s">
        <v>2965</v>
      </c>
      <c r="H230" s="107" t="s">
        <v>2965</v>
      </c>
      <c r="I230" s="107" t="s">
        <v>2996</v>
      </c>
      <c r="J230" s="107" t="s">
        <v>2996</v>
      </c>
      <c r="K230" s="107" t="s">
        <v>2996</v>
      </c>
      <c r="L230" s="107">
        <v>55.91</v>
      </c>
      <c r="M230" s="107"/>
    </row>
    <row r="231" spans="1:13" x14ac:dyDescent="0.3">
      <c r="A231" s="95">
        <f t="shared" si="3"/>
        <v>0</v>
      </c>
      <c r="B231" s="106" t="s">
        <v>266</v>
      </c>
      <c r="C231" s="95" t="s">
        <v>1740</v>
      </c>
      <c r="D231" s="106">
        <v>12</v>
      </c>
      <c r="E231" s="107">
        <v>1</v>
      </c>
      <c r="F231" s="107" t="s">
        <v>2958</v>
      </c>
      <c r="G231" s="107" t="s">
        <v>2961</v>
      </c>
      <c r="H231" s="107" t="s">
        <v>2971</v>
      </c>
      <c r="I231" s="107" t="s">
        <v>2996</v>
      </c>
      <c r="J231" s="107" t="s">
        <v>2996</v>
      </c>
      <c r="K231" s="107" t="s">
        <v>2996</v>
      </c>
      <c r="L231" s="107">
        <v>830.2</v>
      </c>
      <c r="M231" s="107">
        <v>1</v>
      </c>
    </row>
    <row r="232" spans="1:13" x14ac:dyDescent="0.3">
      <c r="A232" s="95">
        <f t="shared" si="3"/>
        <v>0</v>
      </c>
      <c r="B232" s="106" t="s">
        <v>267</v>
      </c>
      <c r="C232" s="95" t="s">
        <v>1741</v>
      </c>
      <c r="D232" s="106">
        <v>12</v>
      </c>
      <c r="E232" s="107">
        <v>1</v>
      </c>
      <c r="F232" s="107" t="s">
        <v>2958</v>
      </c>
      <c r="G232" s="107" t="s">
        <v>2965</v>
      </c>
      <c r="H232" s="107" t="s">
        <v>2965</v>
      </c>
      <c r="I232" s="107" t="s">
        <v>2997</v>
      </c>
      <c r="J232" s="107" t="s">
        <v>2997</v>
      </c>
      <c r="K232" s="107" t="s">
        <v>2997</v>
      </c>
      <c r="L232" s="107">
        <v>129.41</v>
      </c>
      <c r="M232" s="107"/>
    </row>
    <row r="233" spans="1:13" x14ac:dyDescent="0.3">
      <c r="A233" s="95">
        <f t="shared" si="3"/>
        <v>0</v>
      </c>
      <c r="B233" s="106" t="s">
        <v>268</v>
      </c>
      <c r="C233" s="95" t="s">
        <v>1742</v>
      </c>
      <c r="D233" s="106">
        <v>12</v>
      </c>
      <c r="E233" s="107">
        <v>1</v>
      </c>
      <c r="F233" s="107" t="s">
        <v>2958</v>
      </c>
      <c r="G233" s="107" t="s">
        <v>2965</v>
      </c>
      <c r="H233" s="107" t="s">
        <v>2965</v>
      </c>
      <c r="I233" s="107" t="s">
        <v>2997</v>
      </c>
      <c r="J233" s="107" t="s">
        <v>2997</v>
      </c>
      <c r="K233" s="107" t="s">
        <v>2996</v>
      </c>
      <c r="L233" s="107">
        <v>209.6</v>
      </c>
      <c r="M233" s="107"/>
    </row>
    <row r="234" spans="1:13" x14ac:dyDescent="0.3">
      <c r="A234" s="95">
        <f t="shared" si="3"/>
        <v>0</v>
      </c>
      <c r="B234" s="106" t="s">
        <v>269</v>
      </c>
      <c r="C234" s="95" t="s">
        <v>1743</v>
      </c>
      <c r="D234" s="106">
        <v>12</v>
      </c>
      <c r="E234" s="107">
        <v>1</v>
      </c>
      <c r="F234" s="107" t="s">
        <v>2959</v>
      </c>
      <c r="G234" s="107" t="s">
        <v>2964</v>
      </c>
      <c r="H234" s="107" t="s">
        <v>2976</v>
      </c>
      <c r="I234" s="107" t="s">
        <v>2997</v>
      </c>
      <c r="J234" s="107" t="s">
        <v>2997</v>
      </c>
      <c r="K234" s="107" t="s">
        <v>2997</v>
      </c>
      <c r="L234" s="107">
        <v>20.85</v>
      </c>
      <c r="M234" s="107"/>
    </row>
    <row r="235" spans="1:13" x14ac:dyDescent="0.3">
      <c r="A235" s="95">
        <f t="shared" si="3"/>
        <v>0</v>
      </c>
      <c r="B235" s="106" t="s">
        <v>270</v>
      </c>
      <c r="C235" s="95" t="s">
        <v>1744</v>
      </c>
      <c r="D235" s="106">
        <v>12</v>
      </c>
      <c r="E235" s="107">
        <v>1</v>
      </c>
      <c r="F235" s="107" t="s">
        <v>2958</v>
      </c>
      <c r="G235" s="107" t="s">
        <v>2968</v>
      </c>
      <c r="H235" s="107" t="s">
        <v>2968</v>
      </c>
      <c r="I235" s="107" t="s">
        <v>2997</v>
      </c>
      <c r="J235" s="107" t="s">
        <v>2997</v>
      </c>
      <c r="K235" s="107" t="s">
        <v>2997</v>
      </c>
      <c r="L235" s="107">
        <v>508.91</v>
      </c>
      <c r="M235" s="107"/>
    </row>
    <row r="236" spans="1:13" x14ac:dyDescent="0.3">
      <c r="A236" s="95">
        <f t="shared" si="3"/>
        <v>0</v>
      </c>
      <c r="B236" s="106" t="s">
        <v>271</v>
      </c>
      <c r="C236" s="95" t="s">
        <v>1745</v>
      </c>
      <c r="D236" s="106">
        <v>12</v>
      </c>
      <c r="E236" s="107">
        <v>1</v>
      </c>
      <c r="F236" s="107" t="s">
        <v>2958</v>
      </c>
      <c r="G236" s="107" t="s">
        <v>2961</v>
      </c>
      <c r="H236" s="107" t="s">
        <v>2972</v>
      </c>
      <c r="I236" s="107" t="s">
        <v>2997</v>
      </c>
      <c r="J236" s="107" t="s">
        <v>2997</v>
      </c>
      <c r="K236" s="107" t="s">
        <v>2996</v>
      </c>
      <c r="L236" s="107">
        <v>212.77</v>
      </c>
      <c r="M236" s="107"/>
    </row>
    <row r="237" spans="1:13" x14ac:dyDescent="0.3">
      <c r="A237" s="95">
        <f t="shared" si="3"/>
        <v>0</v>
      </c>
      <c r="B237" s="106" t="s">
        <v>272</v>
      </c>
      <c r="C237" s="95" t="s">
        <v>1746</v>
      </c>
      <c r="D237" s="106">
        <v>12</v>
      </c>
      <c r="E237" s="107">
        <v>1</v>
      </c>
      <c r="F237" s="107" t="s">
        <v>2958</v>
      </c>
      <c r="G237" s="107" t="s">
        <v>2966</v>
      </c>
      <c r="H237" s="107" t="s">
        <v>2980</v>
      </c>
      <c r="I237" s="107" t="s">
        <v>2997</v>
      </c>
      <c r="J237" s="107" t="s">
        <v>2997</v>
      </c>
      <c r="K237" s="107" t="s">
        <v>2997</v>
      </c>
      <c r="L237" s="107">
        <v>382.22</v>
      </c>
      <c r="M237" s="107">
        <v>2</v>
      </c>
    </row>
    <row r="238" spans="1:13" x14ac:dyDescent="0.3">
      <c r="A238" s="95">
        <f t="shared" si="3"/>
        <v>0</v>
      </c>
      <c r="B238" s="106" t="s">
        <v>273</v>
      </c>
      <c r="C238" s="95" t="s">
        <v>1747</v>
      </c>
      <c r="D238" s="106">
        <v>12</v>
      </c>
      <c r="E238" s="107">
        <v>1</v>
      </c>
      <c r="F238" s="107" t="s">
        <v>2958</v>
      </c>
      <c r="G238" s="107" t="s">
        <v>2960</v>
      </c>
      <c r="H238" s="107" t="s">
        <v>2970</v>
      </c>
      <c r="I238" s="107" t="s">
        <v>2997</v>
      </c>
      <c r="J238" s="107" t="s">
        <v>2997</v>
      </c>
      <c r="K238" s="107" t="s">
        <v>2997</v>
      </c>
      <c r="L238" s="107">
        <v>38.15</v>
      </c>
      <c r="M238" s="107"/>
    </row>
    <row r="239" spans="1:13" x14ac:dyDescent="0.3">
      <c r="A239" s="95">
        <f t="shared" si="3"/>
        <v>0</v>
      </c>
      <c r="B239" s="106" t="s">
        <v>274</v>
      </c>
      <c r="C239" s="95" t="s">
        <v>1748</v>
      </c>
      <c r="D239" s="106">
        <v>12</v>
      </c>
      <c r="E239" s="107">
        <v>1</v>
      </c>
      <c r="F239" s="107" t="s">
        <v>2958</v>
      </c>
      <c r="G239" s="107" t="s">
        <v>2964</v>
      </c>
      <c r="H239" s="107" t="s">
        <v>2976</v>
      </c>
      <c r="I239" s="107" t="s">
        <v>2997</v>
      </c>
      <c r="J239" s="107" t="s">
        <v>2997</v>
      </c>
      <c r="K239" s="107" t="s">
        <v>2997</v>
      </c>
      <c r="L239" s="107">
        <v>18.12</v>
      </c>
      <c r="M239" s="107"/>
    </row>
    <row r="240" spans="1:13" x14ac:dyDescent="0.3">
      <c r="A240" s="95">
        <f t="shared" si="3"/>
        <v>0</v>
      </c>
      <c r="B240" s="106" t="s">
        <v>275</v>
      </c>
      <c r="C240" s="95" t="s">
        <v>1749</v>
      </c>
      <c r="D240" s="106">
        <v>12</v>
      </c>
      <c r="E240" s="107">
        <v>1</v>
      </c>
      <c r="F240" s="107" t="s">
        <v>2958</v>
      </c>
      <c r="G240" s="107" t="s">
        <v>2966</v>
      </c>
      <c r="H240" s="107" t="s">
        <v>2984</v>
      </c>
      <c r="I240" s="107" t="s">
        <v>2997</v>
      </c>
      <c r="J240" s="107" t="s">
        <v>2997</v>
      </c>
      <c r="K240" s="107" t="s">
        <v>2997</v>
      </c>
      <c r="L240" s="107">
        <v>64.900000000000006</v>
      </c>
      <c r="M240" s="107"/>
    </row>
    <row r="241" spans="1:13" x14ac:dyDescent="0.3">
      <c r="A241" s="95">
        <f t="shared" si="3"/>
        <v>0</v>
      </c>
      <c r="B241" s="106" t="s">
        <v>276</v>
      </c>
      <c r="C241" s="95" t="s">
        <v>1750</v>
      </c>
      <c r="D241" s="106">
        <v>12</v>
      </c>
      <c r="E241" s="107">
        <v>1</v>
      </c>
      <c r="F241" s="107" t="s">
        <v>2959</v>
      </c>
      <c r="G241" s="107" t="s">
        <v>2965</v>
      </c>
      <c r="H241" s="107" t="s">
        <v>2965</v>
      </c>
      <c r="I241" s="107" t="s">
        <v>2996</v>
      </c>
      <c r="J241" s="107" t="s">
        <v>2996</v>
      </c>
      <c r="K241" s="107" t="s">
        <v>2996</v>
      </c>
      <c r="L241" s="107">
        <v>70.13</v>
      </c>
      <c r="M241" s="107">
        <v>2</v>
      </c>
    </row>
    <row r="242" spans="1:13" x14ac:dyDescent="0.3">
      <c r="A242" s="95">
        <f t="shared" si="3"/>
        <v>0</v>
      </c>
      <c r="B242" s="106" t="s">
        <v>277</v>
      </c>
      <c r="C242" s="95" t="s">
        <v>1751</v>
      </c>
      <c r="D242" s="106">
        <v>12</v>
      </c>
      <c r="E242" s="107">
        <v>1</v>
      </c>
      <c r="F242" s="107" t="s">
        <v>2959</v>
      </c>
      <c r="G242" s="107" t="s">
        <v>2966</v>
      </c>
      <c r="H242" s="107" t="s">
        <v>2977</v>
      </c>
      <c r="I242" s="107" t="s">
        <v>2997</v>
      </c>
      <c r="J242" s="107" t="s">
        <v>2997</v>
      </c>
      <c r="K242" s="107" t="s">
        <v>2996</v>
      </c>
      <c r="L242" s="107">
        <v>2.56</v>
      </c>
      <c r="M242" s="107"/>
    </row>
    <row r="243" spans="1:13" x14ac:dyDescent="0.3">
      <c r="A243" s="95">
        <f t="shared" si="3"/>
        <v>0</v>
      </c>
      <c r="B243" s="106" t="s">
        <v>278</v>
      </c>
      <c r="C243" s="95" t="s">
        <v>1752</v>
      </c>
      <c r="D243" s="106">
        <v>12</v>
      </c>
      <c r="E243" s="107">
        <v>1</v>
      </c>
      <c r="F243" s="107" t="s">
        <v>2958</v>
      </c>
      <c r="G243" s="107" t="s">
        <v>2965</v>
      </c>
      <c r="H243" s="107" t="s">
        <v>2965</v>
      </c>
      <c r="I243" s="107" t="s">
        <v>2997</v>
      </c>
      <c r="J243" s="107" t="s">
        <v>2997</v>
      </c>
      <c r="K243" s="107" t="s">
        <v>2997</v>
      </c>
      <c r="L243" s="107">
        <v>2071.9299999999998</v>
      </c>
      <c r="M243" s="107">
        <v>5</v>
      </c>
    </row>
    <row r="244" spans="1:13" x14ac:dyDescent="0.3">
      <c r="A244" s="95">
        <f t="shared" si="3"/>
        <v>0</v>
      </c>
      <c r="B244" s="106" t="s">
        <v>279</v>
      </c>
      <c r="C244" s="95" t="s">
        <v>1753</v>
      </c>
      <c r="D244" s="106">
        <v>12</v>
      </c>
      <c r="E244" s="107">
        <v>1</v>
      </c>
      <c r="F244" s="107" t="s">
        <v>2958</v>
      </c>
      <c r="G244" s="107" t="s">
        <v>2961</v>
      </c>
      <c r="H244" s="107" t="s">
        <v>2972</v>
      </c>
      <c r="I244" s="107" t="s">
        <v>2997</v>
      </c>
      <c r="J244" s="107" t="s">
        <v>2997</v>
      </c>
      <c r="K244" s="107" t="s">
        <v>2996</v>
      </c>
      <c r="L244" s="107">
        <v>71.89</v>
      </c>
      <c r="M244" s="107"/>
    </row>
    <row r="245" spans="1:13" x14ac:dyDescent="0.3">
      <c r="A245" s="95">
        <f t="shared" si="3"/>
        <v>0</v>
      </c>
      <c r="B245" s="106" t="s">
        <v>280</v>
      </c>
      <c r="C245" s="95" t="s">
        <v>3093</v>
      </c>
      <c r="D245" s="106">
        <v>12</v>
      </c>
      <c r="E245" s="107">
        <v>1</v>
      </c>
      <c r="F245" s="107" t="s">
        <v>2958</v>
      </c>
      <c r="G245" s="107" t="s">
        <v>2961</v>
      </c>
      <c r="H245" s="107" t="s">
        <v>2971</v>
      </c>
      <c r="I245" s="107" t="s">
        <v>2997</v>
      </c>
      <c r="J245" s="107" t="s">
        <v>2997</v>
      </c>
      <c r="K245" s="107" t="s">
        <v>2996</v>
      </c>
      <c r="L245" s="107">
        <v>95.63</v>
      </c>
      <c r="M245" s="107"/>
    </row>
    <row r="246" spans="1:13" x14ac:dyDescent="0.3">
      <c r="A246" s="95">
        <f t="shared" si="3"/>
        <v>0</v>
      </c>
      <c r="B246" s="106" t="s">
        <v>281</v>
      </c>
      <c r="C246" s="95" t="s">
        <v>3630</v>
      </c>
      <c r="D246" s="106">
        <v>12</v>
      </c>
      <c r="E246" s="107">
        <v>1</v>
      </c>
      <c r="F246" s="107" t="s">
        <v>2958</v>
      </c>
      <c r="G246" s="107" t="s">
        <v>2964</v>
      </c>
      <c r="H246" s="107" t="s">
        <v>2976</v>
      </c>
      <c r="I246" s="107" t="s">
        <v>2996</v>
      </c>
      <c r="J246" s="107" t="s">
        <v>2997</v>
      </c>
      <c r="K246" s="107" t="s">
        <v>2997</v>
      </c>
      <c r="L246" s="107">
        <v>19.62</v>
      </c>
      <c r="M246" s="107"/>
    </row>
    <row r="247" spans="1:13" x14ac:dyDescent="0.3">
      <c r="A247" s="95">
        <f t="shared" si="3"/>
        <v>0</v>
      </c>
      <c r="B247" s="106" t="s">
        <v>282</v>
      </c>
      <c r="C247" s="95" t="s">
        <v>1754</v>
      </c>
      <c r="D247" s="106">
        <v>12</v>
      </c>
      <c r="E247" s="107">
        <v>1</v>
      </c>
      <c r="F247" s="107" t="s">
        <v>2958</v>
      </c>
      <c r="G247" s="107" t="s">
        <v>2965</v>
      </c>
      <c r="H247" s="107" t="s">
        <v>2965</v>
      </c>
      <c r="I247" s="107" t="s">
        <v>2996</v>
      </c>
      <c r="J247" s="107" t="s">
        <v>2996</v>
      </c>
      <c r="K247" s="107" t="s">
        <v>2996</v>
      </c>
      <c r="L247" s="107">
        <v>128.05000000000001</v>
      </c>
      <c r="M247" s="107"/>
    </row>
    <row r="248" spans="1:13" x14ac:dyDescent="0.3">
      <c r="A248" s="95">
        <f t="shared" si="3"/>
        <v>0</v>
      </c>
      <c r="B248" s="106" t="s">
        <v>283</v>
      </c>
      <c r="C248" s="95" t="s">
        <v>1755</v>
      </c>
      <c r="D248" s="106">
        <v>12</v>
      </c>
      <c r="E248" s="107">
        <v>1</v>
      </c>
      <c r="F248" s="107" t="s">
        <v>2958</v>
      </c>
      <c r="G248" s="107" t="s">
        <v>2964</v>
      </c>
      <c r="H248" s="107" t="s">
        <v>2976</v>
      </c>
      <c r="I248" s="107" t="s">
        <v>2997</v>
      </c>
      <c r="J248" s="107" t="s">
        <v>2997</v>
      </c>
      <c r="K248" s="107" t="s">
        <v>2996</v>
      </c>
      <c r="L248" s="107">
        <v>59.46</v>
      </c>
      <c r="M248" s="107"/>
    </row>
    <row r="249" spans="1:13" x14ac:dyDescent="0.3">
      <c r="A249" s="95">
        <f t="shared" si="3"/>
        <v>0</v>
      </c>
      <c r="B249" s="106" t="s">
        <v>284</v>
      </c>
      <c r="C249" s="95" t="s">
        <v>1756</v>
      </c>
      <c r="D249" s="106">
        <v>12</v>
      </c>
      <c r="E249" s="107">
        <v>1</v>
      </c>
      <c r="F249" s="107" t="s">
        <v>2958</v>
      </c>
      <c r="G249" s="107" t="s">
        <v>2966</v>
      </c>
      <c r="H249" s="107" t="s">
        <v>2985</v>
      </c>
      <c r="I249" s="107" t="s">
        <v>2996</v>
      </c>
      <c r="J249" s="107" t="s">
        <v>2996</v>
      </c>
      <c r="K249" s="107" t="s">
        <v>2996</v>
      </c>
      <c r="L249" s="107">
        <v>19.829999999999998</v>
      </c>
      <c r="M249" s="107"/>
    </row>
    <row r="250" spans="1:13" x14ac:dyDescent="0.3">
      <c r="A250" s="95">
        <f t="shared" si="3"/>
        <v>0</v>
      </c>
      <c r="B250" s="106" t="s">
        <v>285</v>
      </c>
      <c r="C250" s="95" t="s">
        <v>1757</v>
      </c>
      <c r="D250" s="106">
        <v>12</v>
      </c>
      <c r="E250" s="107">
        <v>1</v>
      </c>
      <c r="F250" s="107" t="s">
        <v>2958</v>
      </c>
      <c r="G250" s="107" t="s">
        <v>2964</v>
      </c>
      <c r="H250" s="107" t="s">
        <v>2976</v>
      </c>
      <c r="I250" s="107" t="s">
        <v>2997</v>
      </c>
      <c r="J250" s="107" t="s">
        <v>2997</v>
      </c>
      <c r="K250" s="107" t="s">
        <v>2996</v>
      </c>
      <c r="L250" s="107">
        <v>125.84</v>
      </c>
      <c r="M250" s="107">
        <v>1</v>
      </c>
    </row>
    <row r="251" spans="1:13" x14ac:dyDescent="0.3">
      <c r="A251" s="95">
        <f t="shared" si="3"/>
        <v>0</v>
      </c>
      <c r="B251" s="106" t="s">
        <v>286</v>
      </c>
      <c r="C251" s="95" t="s">
        <v>1758</v>
      </c>
      <c r="D251" s="106">
        <v>12</v>
      </c>
      <c r="E251" s="107">
        <v>1</v>
      </c>
      <c r="F251" s="107" t="s">
        <v>2958</v>
      </c>
      <c r="G251" s="107" t="s">
        <v>2963</v>
      </c>
      <c r="H251" s="107" t="s">
        <v>2974</v>
      </c>
      <c r="I251" s="107" t="s">
        <v>2997</v>
      </c>
      <c r="J251" s="107" t="s">
        <v>2997</v>
      </c>
      <c r="K251" s="107" t="s">
        <v>2997</v>
      </c>
      <c r="L251" s="107">
        <v>464.8</v>
      </c>
      <c r="M251" s="107"/>
    </row>
    <row r="252" spans="1:13" x14ac:dyDescent="0.3">
      <c r="A252" s="95">
        <f t="shared" si="3"/>
        <v>0</v>
      </c>
      <c r="B252" s="106" t="s">
        <v>287</v>
      </c>
      <c r="C252" s="95" t="s">
        <v>1759</v>
      </c>
      <c r="D252" s="106">
        <v>12</v>
      </c>
      <c r="E252" s="107">
        <v>1</v>
      </c>
      <c r="F252" s="107" t="s">
        <v>2958</v>
      </c>
      <c r="G252" s="107" t="s">
        <v>2964</v>
      </c>
      <c r="H252" s="107" t="s">
        <v>2976</v>
      </c>
      <c r="I252" s="107" t="s">
        <v>2997</v>
      </c>
      <c r="J252" s="107" t="s">
        <v>2997</v>
      </c>
      <c r="K252" s="107" t="s">
        <v>2997</v>
      </c>
      <c r="L252" s="107">
        <v>105.75</v>
      </c>
      <c r="M252" s="107">
        <v>1</v>
      </c>
    </row>
    <row r="253" spans="1:13" x14ac:dyDescent="0.3">
      <c r="A253" s="95">
        <f t="shared" si="3"/>
        <v>0</v>
      </c>
      <c r="B253" s="106" t="s">
        <v>288</v>
      </c>
      <c r="C253" s="95" t="s">
        <v>1760</v>
      </c>
      <c r="D253" s="106">
        <v>12</v>
      </c>
      <c r="E253" s="107">
        <v>1</v>
      </c>
      <c r="F253" s="107" t="s">
        <v>2958</v>
      </c>
      <c r="G253" s="107" t="s">
        <v>2963</v>
      </c>
      <c r="H253" s="107" t="s">
        <v>2974</v>
      </c>
      <c r="I253" s="107" t="s">
        <v>2997</v>
      </c>
      <c r="J253" s="107" t="s">
        <v>2997</v>
      </c>
      <c r="K253" s="107" t="s">
        <v>2997</v>
      </c>
      <c r="L253" s="107">
        <v>2284.19</v>
      </c>
      <c r="M253" s="107">
        <v>4</v>
      </c>
    </row>
    <row r="254" spans="1:13" x14ac:dyDescent="0.3">
      <c r="A254" s="95">
        <f t="shared" si="3"/>
        <v>0</v>
      </c>
      <c r="B254" s="106" t="s">
        <v>289</v>
      </c>
      <c r="C254" s="95" t="s">
        <v>1761</v>
      </c>
      <c r="D254" s="106">
        <v>12</v>
      </c>
      <c r="E254" s="107">
        <v>1</v>
      </c>
      <c r="F254" s="107" t="s">
        <v>2958</v>
      </c>
      <c r="G254" s="107" t="s">
        <v>2965</v>
      </c>
      <c r="H254" s="107" t="s">
        <v>2965</v>
      </c>
      <c r="I254" s="107" t="s">
        <v>2997</v>
      </c>
      <c r="J254" s="107" t="s">
        <v>2997</v>
      </c>
      <c r="K254" s="107" t="s">
        <v>2996</v>
      </c>
      <c r="L254" s="107">
        <v>167.43</v>
      </c>
      <c r="M254" s="107">
        <v>1</v>
      </c>
    </row>
    <row r="255" spans="1:13" x14ac:dyDescent="0.3">
      <c r="A255" s="95">
        <f t="shared" si="3"/>
        <v>0</v>
      </c>
      <c r="B255" s="106" t="s">
        <v>290</v>
      </c>
      <c r="C255" s="95" t="s">
        <v>1762</v>
      </c>
      <c r="D255" s="106">
        <v>12</v>
      </c>
      <c r="E255" s="107">
        <v>1</v>
      </c>
      <c r="F255" s="107" t="s">
        <v>2958</v>
      </c>
      <c r="G255" s="107" t="s">
        <v>2961</v>
      </c>
      <c r="H255" s="107" t="s">
        <v>2971</v>
      </c>
      <c r="I255" s="107" t="s">
        <v>2996</v>
      </c>
      <c r="J255" s="107" t="s">
        <v>2996</v>
      </c>
      <c r="K255" s="107" t="s">
        <v>2996</v>
      </c>
      <c r="L255" s="107">
        <v>19.16</v>
      </c>
      <c r="M255" s="107"/>
    </row>
    <row r="256" spans="1:13" x14ac:dyDescent="0.3">
      <c r="A256" s="95">
        <f t="shared" si="3"/>
        <v>0</v>
      </c>
      <c r="B256" s="106" t="s">
        <v>291</v>
      </c>
      <c r="C256" s="95" t="s">
        <v>1763</v>
      </c>
      <c r="D256" s="106">
        <v>12</v>
      </c>
      <c r="E256" s="107">
        <v>1</v>
      </c>
      <c r="F256" s="107" t="s">
        <v>2958</v>
      </c>
      <c r="G256" s="107" t="s">
        <v>2965</v>
      </c>
      <c r="H256" s="107" t="s">
        <v>2965</v>
      </c>
      <c r="I256" s="107" t="s">
        <v>2996</v>
      </c>
      <c r="J256" s="107" t="s">
        <v>2996</v>
      </c>
      <c r="K256" s="107" t="s">
        <v>2996</v>
      </c>
      <c r="L256" s="107">
        <v>81.27</v>
      </c>
      <c r="M256" s="107">
        <v>1</v>
      </c>
    </row>
    <row r="257" spans="1:13" x14ac:dyDescent="0.3">
      <c r="A257" s="95">
        <f t="shared" si="3"/>
        <v>0</v>
      </c>
      <c r="B257" s="106" t="s">
        <v>292</v>
      </c>
      <c r="C257" s="95" t="s">
        <v>3610</v>
      </c>
      <c r="D257" s="106">
        <v>12</v>
      </c>
      <c r="E257" s="107">
        <v>1</v>
      </c>
      <c r="F257" s="107" t="s">
        <v>2958</v>
      </c>
      <c r="G257" s="107" t="s">
        <v>2965</v>
      </c>
      <c r="H257" s="107" t="s">
        <v>2965</v>
      </c>
      <c r="I257" s="107" t="s">
        <v>2996</v>
      </c>
      <c r="J257" s="107" t="s">
        <v>2997</v>
      </c>
      <c r="K257" s="107" t="s">
        <v>2996</v>
      </c>
      <c r="L257" s="107">
        <v>292.72000000000003</v>
      </c>
      <c r="M257" s="107">
        <v>2</v>
      </c>
    </row>
    <row r="258" spans="1:13" x14ac:dyDescent="0.3">
      <c r="A258" s="95">
        <f t="shared" si="3"/>
        <v>0</v>
      </c>
      <c r="B258" s="106" t="s">
        <v>293</v>
      </c>
      <c r="C258" s="95" t="s">
        <v>1764</v>
      </c>
      <c r="D258" s="106">
        <v>12</v>
      </c>
      <c r="E258" s="107">
        <v>1</v>
      </c>
      <c r="F258" s="107" t="s">
        <v>2958</v>
      </c>
      <c r="G258" s="107" t="s">
        <v>2966</v>
      </c>
      <c r="H258" s="107" t="s">
        <v>2984</v>
      </c>
      <c r="I258" s="107" t="s">
        <v>2997</v>
      </c>
      <c r="J258" s="107" t="s">
        <v>2997</v>
      </c>
      <c r="K258" s="107" t="s">
        <v>2996</v>
      </c>
      <c r="L258" s="107">
        <v>19.809999999999999</v>
      </c>
      <c r="M258" s="107"/>
    </row>
    <row r="259" spans="1:13" x14ac:dyDescent="0.3">
      <c r="A259" s="95">
        <f t="shared" si="3"/>
        <v>0</v>
      </c>
      <c r="B259" s="106" t="s">
        <v>294</v>
      </c>
      <c r="C259" s="95" t="s">
        <v>1765</v>
      </c>
      <c r="D259" s="106">
        <v>12</v>
      </c>
      <c r="E259" s="107">
        <v>1</v>
      </c>
      <c r="F259" s="107" t="s">
        <v>2959</v>
      </c>
      <c r="G259" s="107" t="s">
        <v>2965</v>
      </c>
      <c r="H259" s="107" t="s">
        <v>2965</v>
      </c>
      <c r="I259" s="107" t="s">
        <v>2997</v>
      </c>
      <c r="J259" s="107" t="s">
        <v>2997</v>
      </c>
      <c r="K259" s="107" t="s">
        <v>2996</v>
      </c>
      <c r="L259" s="107">
        <v>175</v>
      </c>
      <c r="M259" s="107"/>
    </row>
    <row r="260" spans="1:13" x14ac:dyDescent="0.3">
      <c r="A260" s="95">
        <f t="shared" si="3"/>
        <v>0</v>
      </c>
      <c r="B260" s="106" t="s">
        <v>295</v>
      </c>
      <c r="C260" s="95" t="s">
        <v>1766</v>
      </c>
      <c r="D260" s="106">
        <v>12</v>
      </c>
      <c r="E260" s="107">
        <v>1</v>
      </c>
      <c r="F260" s="107" t="s">
        <v>2958</v>
      </c>
      <c r="G260" s="107" t="s">
        <v>2963</v>
      </c>
      <c r="H260" s="107" t="s">
        <v>2974</v>
      </c>
      <c r="I260" s="107" t="s">
        <v>2997</v>
      </c>
      <c r="J260" s="107" t="s">
        <v>2997</v>
      </c>
      <c r="K260" s="107" t="s">
        <v>2996</v>
      </c>
      <c r="L260" s="107">
        <v>1063.93</v>
      </c>
      <c r="M260" s="107">
        <v>12</v>
      </c>
    </row>
    <row r="261" spans="1:13" x14ac:dyDescent="0.3">
      <c r="A261" s="95">
        <f t="shared" si="3"/>
        <v>0</v>
      </c>
      <c r="B261" s="106" t="s">
        <v>296</v>
      </c>
      <c r="C261" s="95" t="s">
        <v>1767</v>
      </c>
      <c r="D261" s="106">
        <v>12</v>
      </c>
      <c r="E261" s="107">
        <v>1</v>
      </c>
      <c r="F261" s="107" t="s">
        <v>2958</v>
      </c>
      <c r="G261" s="107" t="s">
        <v>2965</v>
      </c>
      <c r="H261" s="107" t="s">
        <v>2965</v>
      </c>
      <c r="I261" s="107" t="s">
        <v>2996</v>
      </c>
      <c r="J261" s="107" t="s">
        <v>2996</v>
      </c>
      <c r="K261" s="107" t="s">
        <v>2996</v>
      </c>
      <c r="L261" s="107">
        <v>138.75</v>
      </c>
      <c r="M261" s="107">
        <v>1</v>
      </c>
    </row>
    <row r="262" spans="1:13" x14ac:dyDescent="0.3">
      <c r="A262" s="95">
        <f t="shared" si="3"/>
        <v>0</v>
      </c>
      <c r="B262" s="106" t="s">
        <v>297</v>
      </c>
      <c r="C262" s="95" t="s">
        <v>1768</v>
      </c>
      <c r="D262" s="106">
        <v>12</v>
      </c>
      <c r="E262" s="107">
        <v>1</v>
      </c>
      <c r="F262" s="107" t="s">
        <v>2958</v>
      </c>
      <c r="G262" s="107" t="s">
        <v>2960</v>
      </c>
      <c r="H262" s="107" t="s">
        <v>2970</v>
      </c>
      <c r="I262" s="107" t="s">
        <v>2997</v>
      </c>
      <c r="J262" s="107" t="s">
        <v>2997</v>
      </c>
      <c r="K262" s="107" t="s">
        <v>2996</v>
      </c>
      <c r="L262" s="107">
        <v>726.59</v>
      </c>
      <c r="M262" s="107"/>
    </row>
    <row r="263" spans="1:13" x14ac:dyDescent="0.3">
      <c r="A263" s="95">
        <f t="shared" si="3"/>
        <v>0</v>
      </c>
      <c r="B263" s="106" t="s">
        <v>298</v>
      </c>
      <c r="C263" s="95" t="s">
        <v>1769</v>
      </c>
      <c r="D263" s="106">
        <v>12</v>
      </c>
      <c r="E263" s="107">
        <v>1</v>
      </c>
      <c r="F263" s="107" t="s">
        <v>2959</v>
      </c>
      <c r="G263" s="107" t="s">
        <v>2966</v>
      </c>
      <c r="H263" s="107" t="s">
        <v>2978</v>
      </c>
      <c r="I263" s="107" t="s">
        <v>2997</v>
      </c>
      <c r="J263" s="107" t="s">
        <v>2997</v>
      </c>
      <c r="K263" s="107" t="s">
        <v>2996</v>
      </c>
      <c r="L263" s="107">
        <v>155.33000000000001</v>
      </c>
      <c r="M263" s="107"/>
    </row>
    <row r="264" spans="1:13" x14ac:dyDescent="0.3">
      <c r="A264" s="95">
        <f t="shared" si="3"/>
        <v>0</v>
      </c>
      <c r="B264" s="106" t="s">
        <v>299</v>
      </c>
      <c r="C264" s="95" t="s">
        <v>1770</v>
      </c>
      <c r="D264" s="106">
        <v>12</v>
      </c>
      <c r="E264" s="107">
        <v>1</v>
      </c>
      <c r="F264" s="107" t="s">
        <v>2958</v>
      </c>
      <c r="G264" s="107" t="s">
        <v>2963</v>
      </c>
      <c r="H264" s="107" t="s">
        <v>2974</v>
      </c>
      <c r="I264" s="107" t="s">
        <v>2997</v>
      </c>
      <c r="J264" s="107" t="s">
        <v>2997</v>
      </c>
      <c r="K264" s="107" t="s">
        <v>2997</v>
      </c>
      <c r="L264" s="107">
        <v>1707.34</v>
      </c>
      <c r="M264" s="107">
        <v>6</v>
      </c>
    </row>
    <row r="265" spans="1:13" x14ac:dyDescent="0.3">
      <c r="A265" s="95">
        <f t="shared" si="3"/>
        <v>0</v>
      </c>
      <c r="B265" s="106" t="s">
        <v>300</v>
      </c>
      <c r="C265" s="95" t="s">
        <v>1771</v>
      </c>
      <c r="D265" s="106">
        <v>12</v>
      </c>
      <c r="E265" s="107">
        <v>1</v>
      </c>
      <c r="F265" s="107" t="s">
        <v>2958</v>
      </c>
      <c r="G265" s="107" t="s">
        <v>2961</v>
      </c>
      <c r="H265" s="107" t="s">
        <v>2972</v>
      </c>
      <c r="I265" s="107" t="s">
        <v>2997</v>
      </c>
      <c r="J265" s="107" t="s">
        <v>2997</v>
      </c>
      <c r="K265" s="107" t="s">
        <v>2997</v>
      </c>
      <c r="L265" s="107">
        <v>8.7899999999999991</v>
      </c>
      <c r="M265" s="107"/>
    </row>
    <row r="266" spans="1:13" x14ac:dyDescent="0.3">
      <c r="A266" s="95">
        <f t="shared" si="3"/>
        <v>0</v>
      </c>
      <c r="B266" s="106" t="s">
        <v>301</v>
      </c>
      <c r="C266" s="95" t="s">
        <v>1772</v>
      </c>
      <c r="D266" s="106">
        <v>12</v>
      </c>
      <c r="E266" s="107">
        <v>1</v>
      </c>
      <c r="F266" s="107" t="s">
        <v>2958</v>
      </c>
      <c r="G266" s="107" t="s">
        <v>2964</v>
      </c>
      <c r="H266" s="107" t="s">
        <v>2987</v>
      </c>
      <c r="I266" s="107" t="s">
        <v>2997</v>
      </c>
      <c r="J266" s="107" t="s">
        <v>2997</v>
      </c>
      <c r="K266" s="107" t="s">
        <v>2996</v>
      </c>
      <c r="L266" s="107">
        <v>35.65</v>
      </c>
      <c r="M266" s="107"/>
    </row>
    <row r="267" spans="1:13" x14ac:dyDescent="0.3">
      <c r="A267" s="95">
        <f t="shared" si="3"/>
        <v>1</v>
      </c>
      <c r="B267" s="106" t="s">
        <v>302</v>
      </c>
      <c r="C267" s="95" t="s">
        <v>1773</v>
      </c>
      <c r="D267" s="106">
        <v>12</v>
      </c>
      <c r="E267" s="107">
        <v>1</v>
      </c>
      <c r="F267" s="107" t="s">
        <v>2958</v>
      </c>
      <c r="G267" s="107" t="s">
        <v>2961</v>
      </c>
      <c r="H267" s="107" t="s">
        <v>2971</v>
      </c>
      <c r="I267" s="107" t="s">
        <v>2997</v>
      </c>
      <c r="J267" s="107" t="s">
        <v>2997</v>
      </c>
      <c r="K267" s="107" t="s">
        <v>2997</v>
      </c>
      <c r="L267" s="107">
        <v>49672.35</v>
      </c>
      <c r="M267" s="107">
        <v>29</v>
      </c>
    </row>
    <row r="268" spans="1:13" x14ac:dyDescent="0.3">
      <c r="A268" s="95">
        <f t="shared" si="3"/>
        <v>0</v>
      </c>
      <c r="B268" s="106" t="s">
        <v>303</v>
      </c>
      <c r="C268" s="95" t="s">
        <v>1774</v>
      </c>
      <c r="D268" s="106">
        <v>6</v>
      </c>
      <c r="E268" s="107">
        <v>1</v>
      </c>
      <c r="F268" s="107" t="s">
        <v>2958</v>
      </c>
      <c r="G268" s="107" t="s">
        <v>2961</v>
      </c>
      <c r="H268" s="107" t="s">
        <v>2972</v>
      </c>
      <c r="I268" s="107" t="s">
        <v>2997</v>
      </c>
      <c r="J268" s="107" t="s">
        <v>2996</v>
      </c>
      <c r="K268" s="107" t="s">
        <v>2996</v>
      </c>
      <c r="L268" s="107">
        <v>189.7</v>
      </c>
      <c r="M268" s="107">
        <v>1</v>
      </c>
    </row>
    <row r="269" spans="1:13" x14ac:dyDescent="0.3">
      <c r="A269" s="95">
        <f t="shared" si="3"/>
        <v>0</v>
      </c>
      <c r="B269" s="106" t="s">
        <v>304</v>
      </c>
      <c r="C269" s="95" t="s">
        <v>1775</v>
      </c>
      <c r="D269" s="106">
        <v>12</v>
      </c>
      <c r="E269" s="107">
        <v>1</v>
      </c>
      <c r="F269" s="107" t="s">
        <v>2958</v>
      </c>
      <c r="G269" s="107" t="s">
        <v>2965</v>
      </c>
      <c r="H269" s="107" t="s">
        <v>2965</v>
      </c>
      <c r="I269" s="107" t="s">
        <v>2996</v>
      </c>
      <c r="J269" s="107" t="s">
        <v>2997</v>
      </c>
      <c r="K269" s="107" t="s">
        <v>2996</v>
      </c>
      <c r="L269" s="107">
        <v>125.52</v>
      </c>
      <c r="M269" s="107">
        <v>3</v>
      </c>
    </row>
    <row r="270" spans="1:13" x14ac:dyDescent="0.3">
      <c r="A270" s="95">
        <f t="shared" si="3"/>
        <v>0</v>
      </c>
      <c r="B270" s="106" t="s">
        <v>305</v>
      </c>
      <c r="C270" s="95" t="s">
        <v>1776</v>
      </c>
      <c r="D270" s="106">
        <v>12</v>
      </c>
      <c r="E270" s="107">
        <v>1</v>
      </c>
      <c r="F270" s="107" t="s">
        <v>2958</v>
      </c>
      <c r="G270" s="107" t="s">
        <v>2964</v>
      </c>
      <c r="H270" s="107" t="s">
        <v>2975</v>
      </c>
      <c r="I270" s="107" t="s">
        <v>2996</v>
      </c>
      <c r="J270" s="107" t="s">
        <v>2996</v>
      </c>
      <c r="K270" s="107" t="s">
        <v>2996</v>
      </c>
      <c r="L270" s="107">
        <v>65.23</v>
      </c>
      <c r="M270" s="107"/>
    </row>
    <row r="271" spans="1:13" x14ac:dyDescent="0.3">
      <c r="A271" s="95">
        <f t="shared" ref="A271:A334" si="4">IF(AND(E271=1,J271=K271,M271&gt;6),1,0)</f>
        <v>0</v>
      </c>
      <c r="B271" s="106" t="s">
        <v>306</v>
      </c>
      <c r="C271" s="95" t="s">
        <v>1777</v>
      </c>
      <c r="D271" s="106">
        <v>12</v>
      </c>
      <c r="E271" s="107">
        <v>1</v>
      </c>
      <c r="F271" s="107" t="s">
        <v>2958</v>
      </c>
      <c r="G271" s="107" t="s">
        <v>2963</v>
      </c>
      <c r="H271" s="107" t="s">
        <v>2988</v>
      </c>
      <c r="I271" s="107" t="s">
        <v>2997</v>
      </c>
      <c r="J271" s="107" t="s">
        <v>2997</v>
      </c>
      <c r="K271" s="107" t="s">
        <v>2997</v>
      </c>
      <c r="L271" s="107">
        <v>1758.68</v>
      </c>
      <c r="M271" s="107">
        <v>5</v>
      </c>
    </row>
    <row r="272" spans="1:13" x14ac:dyDescent="0.3">
      <c r="A272" s="95">
        <f t="shared" si="4"/>
        <v>0</v>
      </c>
      <c r="B272" s="106" t="s">
        <v>307</v>
      </c>
      <c r="C272" s="95" t="s">
        <v>1778</v>
      </c>
      <c r="D272" s="106">
        <v>12</v>
      </c>
      <c r="E272" s="107">
        <v>1</v>
      </c>
      <c r="F272" s="107" t="s">
        <v>2958</v>
      </c>
      <c r="G272" s="107" t="s">
        <v>2964</v>
      </c>
      <c r="H272" s="107" t="s">
        <v>2976</v>
      </c>
      <c r="I272" s="107" t="s">
        <v>2997</v>
      </c>
      <c r="J272" s="107" t="s">
        <v>2997</v>
      </c>
      <c r="K272" s="107" t="s">
        <v>2997</v>
      </c>
      <c r="L272" s="107">
        <v>22.54</v>
      </c>
      <c r="M272" s="107"/>
    </row>
    <row r="273" spans="1:13" x14ac:dyDescent="0.3">
      <c r="A273" s="95">
        <f t="shared" si="4"/>
        <v>1</v>
      </c>
      <c r="B273" s="106" t="s">
        <v>308</v>
      </c>
      <c r="C273" s="95" t="s">
        <v>1779</v>
      </c>
      <c r="D273" s="106">
        <v>12</v>
      </c>
      <c r="E273" s="107">
        <v>1</v>
      </c>
      <c r="F273" s="107" t="s">
        <v>2958</v>
      </c>
      <c r="G273" s="107" t="s">
        <v>2965</v>
      </c>
      <c r="H273" s="107" t="s">
        <v>2965</v>
      </c>
      <c r="I273" s="107" t="s">
        <v>2997</v>
      </c>
      <c r="J273" s="107" t="s">
        <v>2997</v>
      </c>
      <c r="K273" s="107" t="s">
        <v>2997</v>
      </c>
      <c r="L273" s="107">
        <v>26025.27</v>
      </c>
      <c r="M273" s="107">
        <v>20</v>
      </c>
    </row>
    <row r="274" spans="1:13" x14ac:dyDescent="0.3">
      <c r="A274" s="95">
        <f t="shared" si="4"/>
        <v>0</v>
      </c>
      <c r="B274" s="106" t="s">
        <v>309</v>
      </c>
      <c r="C274" s="95" t="s">
        <v>1780</v>
      </c>
      <c r="D274" s="106">
        <v>12</v>
      </c>
      <c r="E274" s="107">
        <v>1</v>
      </c>
      <c r="F274" s="107" t="s">
        <v>2958</v>
      </c>
      <c r="G274" s="107" t="s">
        <v>2960</v>
      </c>
      <c r="H274" s="107" t="s">
        <v>2970</v>
      </c>
      <c r="I274" s="107" t="s">
        <v>2996</v>
      </c>
      <c r="J274" s="107" t="s">
        <v>2996</v>
      </c>
      <c r="K274" s="107" t="s">
        <v>2996</v>
      </c>
      <c r="L274" s="107">
        <v>198.77</v>
      </c>
      <c r="M274" s="107"/>
    </row>
    <row r="275" spans="1:13" x14ac:dyDescent="0.3">
      <c r="A275" s="95">
        <f t="shared" si="4"/>
        <v>0</v>
      </c>
      <c r="B275" s="106" t="s">
        <v>310</v>
      </c>
      <c r="C275" s="95" t="s">
        <v>1781</v>
      </c>
      <c r="D275" s="106">
        <v>12</v>
      </c>
      <c r="E275" s="107">
        <v>1</v>
      </c>
      <c r="F275" s="107" t="s">
        <v>2958</v>
      </c>
      <c r="G275" s="107" t="s">
        <v>2964</v>
      </c>
      <c r="H275" s="107" t="s">
        <v>2976</v>
      </c>
      <c r="I275" s="107" t="s">
        <v>2997</v>
      </c>
      <c r="J275" s="107" t="s">
        <v>2997</v>
      </c>
      <c r="K275" s="107" t="s">
        <v>2996</v>
      </c>
      <c r="L275" s="107">
        <v>70.09</v>
      </c>
      <c r="M275" s="107"/>
    </row>
    <row r="276" spans="1:13" x14ac:dyDescent="0.3">
      <c r="A276" s="95">
        <f t="shared" si="4"/>
        <v>0</v>
      </c>
      <c r="B276" s="106" t="s">
        <v>311</v>
      </c>
      <c r="C276" s="95" t="s">
        <v>1782</v>
      </c>
      <c r="D276" s="106">
        <v>12</v>
      </c>
      <c r="E276" s="107">
        <v>1</v>
      </c>
      <c r="F276" s="107" t="s">
        <v>2958</v>
      </c>
      <c r="G276" s="107" t="s">
        <v>2963</v>
      </c>
      <c r="H276" s="107" t="s">
        <v>2974</v>
      </c>
      <c r="I276" s="107" t="s">
        <v>2997</v>
      </c>
      <c r="J276" s="107" t="s">
        <v>2997</v>
      </c>
      <c r="K276" s="107" t="s">
        <v>2997</v>
      </c>
      <c r="L276" s="107">
        <v>314.95999999999998</v>
      </c>
      <c r="M276" s="107"/>
    </row>
    <row r="277" spans="1:13" x14ac:dyDescent="0.3">
      <c r="A277" s="95">
        <f t="shared" si="4"/>
        <v>0</v>
      </c>
      <c r="B277" s="106" t="s">
        <v>312</v>
      </c>
      <c r="C277" s="95" t="s">
        <v>1783</v>
      </c>
      <c r="D277" s="106">
        <v>12</v>
      </c>
      <c r="E277" s="107">
        <v>1</v>
      </c>
      <c r="F277" s="107" t="s">
        <v>2958</v>
      </c>
      <c r="G277" s="107" t="s">
        <v>2967</v>
      </c>
      <c r="H277" s="107" t="s">
        <v>2967</v>
      </c>
      <c r="I277" s="107" t="s">
        <v>2997</v>
      </c>
      <c r="J277" s="107" t="s">
        <v>2997</v>
      </c>
      <c r="K277" s="107" t="s">
        <v>2996</v>
      </c>
      <c r="L277" s="107">
        <v>54.15</v>
      </c>
      <c r="M277" s="107"/>
    </row>
    <row r="278" spans="1:13" x14ac:dyDescent="0.3">
      <c r="A278" s="95">
        <f t="shared" si="4"/>
        <v>0</v>
      </c>
      <c r="B278" s="106" t="s">
        <v>313</v>
      </c>
      <c r="C278" s="95" t="s">
        <v>1784</v>
      </c>
      <c r="D278" s="106">
        <v>12</v>
      </c>
      <c r="E278" s="107">
        <v>1</v>
      </c>
      <c r="F278" s="107" t="s">
        <v>2959</v>
      </c>
      <c r="G278" s="107" t="s">
        <v>2963</v>
      </c>
      <c r="H278" s="107" t="s">
        <v>2974</v>
      </c>
      <c r="I278" s="107" t="s">
        <v>2997</v>
      </c>
      <c r="J278" s="107" t="s">
        <v>2997</v>
      </c>
      <c r="K278" s="107" t="s">
        <v>2997</v>
      </c>
      <c r="L278" s="107">
        <v>17.600000000000001</v>
      </c>
      <c r="M278" s="107"/>
    </row>
    <row r="279" spans="1:13" x14ac:dyDescent="0.3">
      <c r="A279" s="95">
        <f t="shared" si="4"/>
        <v>0</v>
      </c>
      <c r="B279" s="106" t="s">
        <v>314</v>
      </c>
      <c r="C279" s="95" t="s">
        <v>1785</v>
      </c>
      <c r="D279" s="106">
        <v>12</v>
      </c>
      <c r="E279" s="107">
        <v>1</v>
      </c>
      <c r="F279" s="107" t="s">
        <v>2958</v>
      </c>
      <c r="G279" s="107" t="s">
        <v>2966</v>
      </c>
      <c r="H279" s="107" t="s">
        <v>2977</v>
      </c>
      <c r="I279" s="107" t="s">
        <v>2997</v>
      </c>
      <c r="J279" s="107" t="s">
        <v>2997</v>
      </c>
      <c r="K279" s="107" t="s">
        <v>2996</v>
      </c>
      <c r="L279" s="107">
        <v>175</v>
      </c>
      <c r="M279" s="107"/>
    </row>
    <row r="280" spans="1:13" x14ac:dyDescent="0.3">
      <c r="A280" s="95">
        <f t="shared" si="4"/>
        <v>0</v>
      </c>
      <c r="B280" s="106" t="s">
        <v>315</v>
      </c>
      <c r="C280" s="95" t="s">
        <v>1786</v>
      </c>
      <c r="D280" s="106">
        <v>12</v>
      </c>
      <c r="E280" s="107">
        <v>1</v>
      </c>
      <c r="F280" s="107" t="s">
        <v>2958</v>
      </c>
      <c r="G280" s="107" t="s">
        <v>2960</v>
      </c>
      <c r="H280" s="107" t="s">
        <v>2970</v>
      </c>
      <c r="I280" s="107" t="s">
        <v>2997</v>
      </c>
      <c r="J280" s="107" t="s">
        <v>2997</v>
      </c>
      <c r="K280" s="107" t="s">
        <v>2996</v>
      </c>
      <c r="L280" s="107">
        <v>167.5</v>
      </c>
      <c r="M280" s="107"/>
    </row>
    <row r="281" spans="1:13" x14ac:dyDescent="0.3">
      <c r="A281" s="95">
        <f t="shared" si="4"/>
        <v>0</v>
      </c>
      <c r="B281" s="106" t="s">
        <v>316</v>
      </c>
      <c r="C281" s="95" t="s">
        <v>1787</v>
      </c>
      <c r="D281" s="106">
        <v>12</v>
      </c>
      <c r="E281" s="107">
        <v>1</v>
      </c>
      <c r="F281" s="107" t="s">
        <v>2959</v>
      </c>
      <c r="G281" s="107" t="s">
        <v>2961</v>
      </c>
      <c r="H281" s="107" t="s">
        <v>2971</v>
      </c>
      <c r="I281" s="107" t="s">
        <v>2997</v>
      </c>
      <c r="J281" s="107" t="s">
        <v>2997</v>
      </c>
      <c r="K281" s="107" t="s">
        <v>2996</v>
      </c>
      <c r="L281" s="107">
        <v>128.34</v>
      </c>
      <c r="M281" s="107"/>
    </row>
    <row r="282" spans="1:13" x14ac:dyDescent="0.3">
      <c r="A282" s="95">
        <f t="shared" si="4"/>
        <v>0</v>
      </c>
      <c r="B282" s="106" t="s">
        <v>317</v>
      </c>
      <c r="C282" s="95" t="s">
        <v>1788</v>
      </c>
      <c r="D282" s="106">
        <v>12</v>
      </c>
      <c r="E282" s="107">
        <v>1</v>
      </c>
      <c r="F282" s="107" t="s">
        <v>2958</v>
      </c>
      <c r="G282" s="107" t="s">
        <v>2961</v>
      </c>
      <c r="H282" s="107" t="s">
        <v>2971</v>
      </c>
      <c r="I282" s="107" t="s">
        <v>2997</v>
      </c>
      <c r="J282" s="107" t="s">
        <v>2997</v>
      </c>
      <c r="K282" s="107" t="s">
        <v>2996</v>
      </c>
      <c r="L282" s="107">
        <v>435.53</v>
      </c>
      <c r="M282" s="107"/>
    </row>
    <row r="283" spans="1:13" x14ac:dyDescent="0.3">
      <c r="A283" s="95">
        <f t="shared" si="4"/>
        <v>0</v>
      </c>
      <c r="B283" s="106" t="s">
        <v>318</v>
      </c>
      <c r="C283" s="95" t="s">
        <v>1789</v>
      </c>
      <c r="D283" s="106">
        <v>12</v>
      </c>
      <c r="E283" s="107">
        <v>1</v>
      </c>
      <c r="F283" s="107" t="s">
        <v>2958</v>
      </c>
      <c r="G283" s="107" t="s">
        <v>2963</v>
      </c>
      <c r="H283" s="107" t="s">
        <v>2974</v>
      </c>
      <c r="I283" s="107" t="s">
        <v>2997</v>
      </c>
      <c r="J283" s="107" t="s">
        <v>2997</v>
      </c>
      <c r="K283" s="107" t="s">
        <v>2997</v>
      </c>
      <c r="L283" s="107">
        <v>365.43</v>
      </c>
      <c r="M283" s="107">
        <v>2</v>
      </c>
    </row>
    <row r="284" spans="1:13" x14ac:dyDescent="0.3">
      <c r="A284" s="95">
        <f t="shared" si="4"/>
        <v>0</v>
      </c>
      <c r="B284" s="106" t="s">
        <v>319</v>
      </c>
      <c r="C284" s="95" t="s">
        <v>1790</v>
      </c>
      <c r="D284" s="106">
        <v>12</v>
      </c>
      <c r="E284" s="107">
        <v>1</v>
      </c>
      <c r="F284" s="107" t="s">
        <v>2958</v>
      </c>
      <c r="G284" s="107" t="s">
        <v>2964</v>
      </c>
      <c r="H284" s="107" t="s">
        <v>2976</v>
      </c>
      <c r="I284" s="107" t="s">
        <v>2997</v>
      </c>
      <c r="J284" s="107" t="s">
        <v>2997</v>
      </c>
      <c r="K284" s="107" t="s">
        <v>2996</v>
      </c>
      <c r="L284" s="107">
        <v>25.8</v>
      </c>
      <c r="M284" s="107"/>
    </row>
    <row r="285" spans="1:13" x14ac:dyDescent="0.3">
      <c r="A285" s="95">
        <f t="shared" si="4"/>
        <v>0</v>
      </c>
      <c r="B285" s="106" t="s">
        <v>320</v>
      </c>
      <c r="C285" s="95" t="s">
        <v>1791</v>
      </c>
      <c r="D285" s="106">
        <v>9</v>
      </c>
      <c r="E285" s="107">
        <v>1</v>
      </c>
      <c r="F285" s="107" t="s">
        <v>2958</v>
      </c>
      <c r="G285" s="107" t="s">
        <v>2961</v>
      </c>
      <c r="H285" s="107" t="s">
        <v>2972</v>
      </c>
      <c r="I285" s="107" t="s">
        <v>2997</v>
      </c>
      <c r="J285" s="107" t="s">
        <v>2996</v>
      </c>
      <c r="K285" s="107" t="s">
        <v>2996</v>
      </c>
      <c r="L285" s="107">
        <v>87.66</v>
      </c>
      <c r="M285" s="107"/>
    </row>
    <row r="286" spans="1:13" x14ac:dyDescent="0.3">
      <c r="A286" s="95">
        <f t="shared" si="4"/>
        <v>0</v>
      </c>
      <c r="B286" s="106" t="s">
        <v>321</v>
      </c>
      <c r="C286" s="95" t="s">
        <v>1792</v>
      </c>
      <c r="D286" s="106">
        <v>12</v>
      </c>
      <c r="E286" s="107">
        <v>1</v>
      </c>
      <c r="F286" s="107" t="s">
        <v>2958</v>
      </c>
      <c r="G286" s="107" t="s">
        <v>2965</v>
      </c>
      <c r="H286" s="107" t="s">
        <v>2965</v>
      </c>
      <c r="I286" s="107" t="s">
        <v>2997</v>
      </c>
      <c r="J286" s="107" t="s">
        <v>2997</v>
      </c>
      <c r="K286" s="107" t="s">
        <v>2996</v>
      </c>
      <c r="L286" s="107">
        <v>203.32</v>
      </c>
      <c r="M286" s="107"/>
    </row>
    <row r="287" spans="1:13" x14ac:dyDescent="0.3">
      <c r="A287" s="95">
        <f t="shared" si="4"/>
        <v>0</v>
      </c>
      <c r="B287" s="106" t="s">
        <v>322</v>
      </c>
      <c r="C287" s="95" t="s">
        <v>1793</v>
      </c>
      <c r="D287" s="106">
        <v>12</v>
      </c>
      <c r="E287" s="107">
        <v>1</v>
      </c>
      <c r="F287" s="107" t="s">
        <v>2958</v>
      </c>
      <c r="G287" s="107" t="s">
        <v>2965</v>
      </c>
      <c r="H287" s="107" t="s">
        <v>2965</v>
      </c>
      <c r="I287" s="107" t="s">
        <v>2996</v>
      </c>
      <c r="J287" s="107" t="s">
        <v>2997</v>
      </c>
      <c r="K287" s="107" t="s">
        <v>2996</v>
      </c>
      <c r="L287" s="107">
        <v>28.38</v>
      </c>
      <c r="M287" s="107"/>
    </row>
    <row r="288" spans="1:13" x14ac:dyDescent="0.3">
      <c r="A288" s="95">
        <f t="shared" si="4"/>
        <v>0</v>
      </c>
      <c r="B288" s="106" t="s">
        <v>323</v>
      </c>
      <c r="C288" s="95" t="s">
        <v>1794</v>
      </c>
      <c r="D288" s="106">
        <v>3</v>
      </c>
      <c r="E288" s="107">
        <v>1</v>
      </c>
      <c r="F288" s="107" t="s">
        <v>2958</v>
      </c>
      <c r="G288" s="107" t="s">
        <v>2962</v>
      </c>
      <c r="H288" s="107" t="s">
        <v>2973</v>
      </c>
      <c r="I288" s="107" t="s">
        <v>2997</v>
      </c>
      <c r="J288" s="107" t="s">
        <v>2997</v>
      </c>
      <c r="K288" s="107" t="s">
        <v>2996</v>
      </c>
      <c r="L288" s="107">
        <v>3419.64</v>
      </c>
      <c r="M288" s="107">
        <v>8</v>
      </c>
    </row>
    <row r="289" spans="1:13" x14ac:dyDescent="0.3">
      <c r="A289" s="95">
        <f t="shared" si="4"/>
        <v>0</v>
      </c>
      <c r="B289" s="106" t="s">
        <v>324</v>
      </c>
      <c r="C289" s="95" t="s">
        <v>1795</v>
      </c>
      <c r="D289" s="106">
        <v>12</v>
      </c>
      <c r="E289" s="107">
        <v>1</v>
      </c>
      <c r="F289" s="107" t="s">
        <v>2958</v>
      </c>
      <c r="G289" s="107" t="s">
        <v>2961</v>
      </c>
      <c r="H289" s="107" t="s">
        <v>2971</v>
      </c>
      <c r="I289" s="107" t="s">
        <v>2997</v>
      </c>
      <c r="J289" s="107" t="s">
        <v>2997</v>
      </c>
      <c r="K289" s="107" t="s">
        <v>2997</v>
      </c>
      <c r="L289" s="107">
        <v>555.39</v>
      </c>
      <c r="M289" s="107">
        <v>4</v>
      </c>
    </row>
    <row r="290" spans="1:13" x14ac:dyDescent="0.3">
      <c r="A290" s="95">
        <f t="shared" si="4"/>
        <v>0</v>
      </c>
      <c r="B290" s="106" t="s">
        <v>325</v>
      </c>
      <c r="C290" s="95" t="s">
        <v>1796</v>
      </c>
      <c r="D290" s="106">
        <v>12</v>
      </c>
      <c r="E290" s="107">
        <v>1</v>
      </c>
      <c r="F290" s="107" t="s">
        <v>2959</v>
      </c>
      <c r="G290" s="107" t="s">
        <v>2963</v>
      </c>
      <c r="H290" s="107" t="s">
        <v>2974</v>
      </c>
      <c r="I290" s="107" t="s">
        <v>2997</v>
      </c>
      <c r="J290" s="107" t="s">
        <v>2997</v>
      </c>
      <c r="K290" s="107" t="s">
        <v>2997</v>
      </c>
      <c r="L290" s="107">
        <v>38.32</v>
      </c>
      <c r="M290" s="107"/>
    </row>
    <row r="291" spans="1:13" x14ac:dyDescent="0.3">
      <c r="A291" s="95">
        <f t="shared" si="4"/>
        <v>0</v>
      </c>
      <c r="B291" s="106" t="s">
        <v>326</v>
      </c>
      <c r="C291" s="95" t="s">
        <v>1797</v>
      </c>
      <c r="D291" s="106">
        <v>12</v>
      </c>
      <c r="E291" s="107">
        <v>1</v>
      </c>
      <c r="F291" s="107" t="s">
        <v>2958</v>
      </c>
      <c r="G291" s="107" t="s">
        <v>2966</v>
      </c>
      <c r="H291" s="107" t="s">
        <v>2984</v>
      </c>
      <c r="I291" s="107" t="s">
        <v>2996</v>
      </c>
      <c r="J291" s="107" t="s">
        <v>2996</v>
      </c>
      <c r="K291" s="107" t="s">
        <v>2996</v>
      </c>
      <c r="L291" s="107">
        <v>33.89</v>
      </c>
      <c r="M291" s="107"/>
    </row>
    <row r="292" spans="1:13" x14ac:dyDescent="0.3">
      <c r="A292" s="95">
        <f t="shared" si="4"/>
        <v>0</v>
      </c>
      <c r="B292" s="106" t="s">
        <v>327</v>
      </c>
      <c r="C292" s="95" t="s">
        <v>1798</v>
      </c>
      <c r="D292" s="106">
        <v>12</v>
      </c>
      <c r="E292" s="107">
        <v>1</v>
      </c>
      <c r="F292" s="107" t="s">
        <v>2958</v>
      </c>
      <c r="G292" s="107" t="s">
        <v>2964</v>
      </c>
      <c r="H292" s="107" t="s">
        <v>2975</v>
      </c>
      <c r="I292" s="107" t="s">
        <v>2996</v>
      </c>
      <c r="J292" s="107" t="s">
        <v>2996</v>
      </c>
      <c r="K292" s="107" t="s">
        <v>2996</v>
      </c>
      <c r="L292" s="107">
        <v>709.7</v>
      </c>
      <c r="M292" s="107"/>
    </row>
    <row r="293" spans="1:13" x14ac:dyDescent="0.3">
      <c r="A293" s="95">
        <f t="shared" si="4"/>
        <v>0</v>
      </c>
      <c r="B293" s="106" t="s">
        <v>328</v>
      </c>
      <c r="C293" s="95" t="s">
        <v>1799</v>
      </c>
      <c r="D293" s="106">
        <v>12</v>
      </c>
      <c r="E293" s="107">
        <v>1</v>
      </c>
      <c r="F293" s="107" t="s">
        <v>2958</v>
      </c>
      <c r="G293" s="107" t="s">
        <v>2964</v>
      </c>
      <c r="H293" s="107" t="s">
        <v>2976</v>
      </c>
      <c r="I293" s="107" t="s">
        <v>2997</v>
      </c>
      <c r="J293" s="107" t="s">
        <v>2997</v>
      </c>
      <c r="K293" s="107" t="s">
        <v>2996</v>
      </c>
      <c r="L293" s="107">
        <v>61.57</v>
      </c>
      <c r="M293" s="107"/>
    </row>
    <row r="294" spans="1:13" x14ac:dyDescent="0.3">
      <c r="A294" s="95">
        <f t="shared" si="4"/>
        <v>1</v>
      </c>
      <c r="B294" s="106" t="s">
        <v>329</v>
      </c>
      <c r="C294" s="95" t="s">
        <v>1800</v>
      </c>
      <c r="D294" s="106">
        <v>12</v>
      </c>
      <c r="E294" s="107">
        <v>1</v>
      </c>
      <c r="F294" s="107" t="s">
        <v>2958</v>
      </c>
      <c r="G294" s="107" t="s">
        <v>2966</v>
      </c>
      <c r="H294" s="107" t="s">
        <v>2978</v>
      </c>
      <c r="I294" s="107" t="s">
        <v>2997</v>
      </c>
      <c r="J294" s="107" t="s">
        <v>2997</v>
      </c>
      <c r="K294" s="107" t="s">
        <v>2997</v>
      </c>
      <c r="L294" s="107">
        <v>197675.71</v>
      </c>
      <c r="M294" s="107">
        <v>27</v>
      </c>
    </row>
    <row r="295" spans="1:13" x14ac:dyDescent="0.3">
      <c r="A295" s="95">
        <f t="shared" si="4"/>
        <v>0</v>
      </c>
      <c r="B295" s="106" t="s">
        <v>330</v>
      </c>
      <c r="C295" s="95" t="s">
        <v>5</v>
      </c>
      <c r="D295" s="106">
        <v>3</v>
      </c>
      <c r="E295" s="107">
        <v>1</v>
      </c>
      <c r="F295" s="107" t="s">
        <v>2958</v>
      </c>
      <c r="G295" s="107" t="s">
        <v>2962</v>
      </c>
      <c r="H295" s="107" t="s">
        <v>2979</v>
      </c>
      <c r="I295" s="107" t="s">
        <v>2997</v>
      </c>
      <c r="J295" s="107" t="s">
        <v>2997</v>
      </c>
      <c r="K295" s="107" t="s">
        <v>2997</v>
      </c>
      <c r="L295" s="107">
        <v>2241.61</v>
      </c>
      <c r="M295" s="107">
        <v>5</v>
      </c>
    </row>
    <row r="296" spans="1:13" x14ac:dyDescent="0.3">
      <c r="A296" s="95">
        <f t="shared" si="4"/>
        <v>0</v>
      </c>
      <c r="B296" s="106" t="s">
        <v>331</v>
      </c>
      <c r="C296" s="95" t="s">
        <v>1801</v>
      </c>
      <c r="D296" s="106">
        <v>12</v>
      </c>
      <c r="E296" s="107">
        <v>1</v>
      </c>
      <c r="F296" s="107" t="s">
        <v>2958</v>
      </c>
      <c r="G296" s="107" t="s">
        <v>2965</v>
      </c>
      <c r="H296" s="107" t="s">
        <v>2965</v>
      </c>
      <c r="I296" s="107" t="s">
        <v>2997</v>
      </c>
      <c r="J296" s="107" t="s">
        <v>2997</v>
      </c>
      <c r="K296" s="107" t="s">
        <v>2997</v>
      </c>
      <c r="L296" s="107">
        <v>239.1</v>
      </c>
      <c r="M296" s="107">
        <v>1</v>
      </c>
    </row>
    <row r="297" spans="1:13" x14ac:dyDescent="0.3">
      <c r="A297" s="95">
        <f t="shared" si="4"/>
        <v>0</v>
      </c>
      <c r="B297" s="106" t="s">
        <v>332</v>
      </c>
      <c r="C297" s="95" t="s">
        <v>1802</v>
      </c>
      <c r="D297" s="106">
        <v>12</v>
      </c>
      <c r="E297" s="107">
        <v>1</v>
      </c>
      <c r="F297" s="107" t="s">
        <v>2958</v>
      </c>
      <c r="G297" s="107" t="s">
        <v>2964</v>
      </c>
      <c r="H297" s="107" t="s">
        <v>2976</v>
      </c>
      <c r="I297" s="107" t="s">
        <v>2997</v>
      </c>
      <c r="J297" s="107" t="s">
        <v>2997</v>
      </c>
      <c r="K297" s="107" t="s">
        <v>2997</v>
      </c>
      <c r="L297" s="107">
        <v>135.24</v>
      </c>
      <c r="M297" s="107"/>
    </row>
    <row r="298" spans="1:13" x14ac:dyDescent="0.3">
      <c r="A298" s="95">
        <f t="shared" si="4"/>
        <v>0</v>
      </c>
      <c r="B298" s="106" t="s">
        <v>333</v>
      </c>
      <c r="C298" s="95" t="s">
        <v>1803</v>
      </c>
      <c r="D298" s="106">
        <v>12</v>
      </c>
      <c r="E298" s="107">
        <v>1</v>
      </c>
      <c r="F298" s="107" t="s">
        <v>2958</v>
      </c>
      <c r="G298" s="107" t="s">
        <v>2964</v>
      </c>
      <c r="H298" s="107" t="s">
        <v>2976</v>
      </c>
      <c r="I298" s="107" t="s">
        <v>2996</v>
      </c>
      <c r="J298" s="107" t="s">
        <v>2996</v>
      </c>
      <c r="K298" s="107" t="s">
        <v>2996</v>
      </c>
      <c r="L298" s="107">
        <v>92.64</v>
      </c>
      <c r="M298" s="107"/>
    </row>
    <row r="299" spans="1:13" x14ac:dyDescent="0.3">
      <c r="A299" s="95">
        <f t="shared" si="4"/>
        <v>0</v>
      </c>
      <c r="B299" s="106" t="s">
        <v>334</v>
      </c>
      <c r="C299" s="95" t="s">
        <v>1804</v>
      </c>
      <c r="D299" s="106">
        <v>12</v>
      </c>
      <c r="E299" s="107">
        <v>1</v>
      </c>
      <c r="F299" s="107" t="s">
        <v>2959</v>
      </c>
      <c r="G299" s="107" t="s">
        <v>2963</v>
      </c>
      <c r="H299" s="107" t="s">
        <v>2974</v>
      </c>
      <c r="I299" s="107" t="s">
        <v>2997</v>
      </c>
      <c r="J299" s="107" t="s">
        <v>2997</v>
      </c>
      <c r="K299" s="107" t="s">
        <v>2997</v>
      </c>
      <c r="L299" s="107">
        <v>601.66</v>
      </c>
      <c r="M299" s="107">
        <v>4</v>
      </c>
    </row>
    <row r="300" spans="1:13" x14ac:dyDescent="0.3">
      <c r="A300" s="95">
        <f t="shared" si="4"/>
        <v>0</v>
      </c>
      <c r="B300" s="106" t="s">
        <v>335</v>
      </c>
      <c r="C300" s="95" t="s">
        <v>1805</v>
      </c>
      <c r="D300" s="106">
        <v>12</v>
      </c>
      <c r="E300" s="107">
        <v>1</v>
      </c>
      <c r="F300" s="107" t="s">
        <v>2958</v>
      </c>
      <c r="G300" s="107" t="s">
        <v>2963</v>
      </c>
      <c r="H300" s="107" t="s">
        <v>2974</v>
      </c>
      <c r="I300" s="107" t="s">
        <v>2997</v>
      </c>
      <c r="J300" s="107" t="s">
        <v>2997</v>
      </c>
      <c r="K300" s="107" t="s">
        <v>2997</v>
      </c>
      <c r="L300" s="107">
        <v>1261.2</v>
      </c>
      <c r="M300" s="107">
        <v>3</v>
      </c>
    </row>
    <row r="301" spans="1:13" x14ac:dyDescent="0.3">
      <c r="A301" s="95">
        <f t="shared" si="4"/>
        <v>0</v>
      </c>
      <c r="B301" s="106" t="s">
        <v>336</v>
      </c>
      <c r="C301" s="95" t="s">
        <v>1806</v>
      </c>
      <c r="D301" s="106">
        <v>12</v>
      </c>
      <c r="E301" s="107">
        <v>1</v>
      </c>
      <c r="F301" s="107" t="s">
        <v>2959</v>
      </c>
      <c r="G301" s="107" t="s">
        <v>2964</v>
      </c>
      <c r="H301" s="107" t="s">
        <v>2976</v>
      </c>
      <c r="I301" s="107" t="s">
        <v>2996</v>
      </c>
      <c r="J301" s="107" t="s">
        <v>2996</v>
      </c>
      <c r="K301" s="107" t="s">
        <v>2996</v>
      </c>
      <c r="L301" s="107">
        <v>36.909999999999997</v>
      </c>
      <c r="M301" s="107"/>
    </row>
    <row r="302" spans="1:13" x14ac:dyDescent="0.3">
      <c r="A302" s="95">
        <f t="shared" si="4"/>
        <v>0</v>
      </c>
      <c r="B302" s="106" t="s">
        <v>337</v>
      </c>
      <c r="C302" s="95" t="s">
        <v>1807</v>
      </c>
      <c r="D302" s="106">
        <v>12</v>
      </c>
      <c r="E302" s="107">
        <v>1</v>
      </c>
      <c r="F302" s="107" t="s">
        <v>2958</v>
      </c>
      <c r="G302" s="107" t="s">
        <v>2965</v>
      </c>
      <c r="H302" s="107" t="s">
        <v>2965</v>
      </c>
      <c r="I302" s="107" t="s">
        <v>2997</v>
      </c>
      <c r="J302" s="107" t="s">
        <v>2997</v>
      </c>
      <c r="K302" s="107" t="s">
        <v>2996</v>
      </c>
      <c r="L302" s="107">
        <v>45.09</v>
      </c>
      <c r="M302" s="107"/>
    </row>
    <row r="303" spans="1:13" x14ac:dyDescent="0.3">
      <c r="A303" s="95">
        <f t="shared" si="4"/>
        <v>0</v>
      </c>
      <c r="B303" s="106" t="s">
        <v>338</v>
      </c>
      <c r="C303" s="95" t="s">
        <v>1808</v>
      </c>
      <c r="D303" s="106">
        <v>12</v>
      </c>
      <c r="E303" s="107">
        <v>1</v>
      </c>
      <c r="F303" s="107" t="s">
        <v>2958</v>
      </c>
      <c r="G303" s="107" t="s">
        <v>2963</v>
      </c>
      <c r="H303" s="107" t="s">
        <v>2974</v>
      </c>
      <c r="I303" s="107" t="s">
        <v>2996</v>
      </c>
      <c r="J303" s="107" t="s">
        <v>2996</v>
      </c>
      <c r="K303" s="107" t="s">
        <v>2996</v>
      </c>
      <c r="L303" s="107">
        <v>37.32</v>
      </c>
      <c r="M303" s="107"/>
    </row>
    <row r="304" spans="1:13" x14ac:dyDescent="0.3">
      <c r="A304" s="95">
        <f t="shared" si="4"/>
        <v>0</v>
      </c>
      <c r="B304" s="106" t="s">
        <v>339</v>
      </c>
      <c r="C304" s="95" t="s">
        <v>1809</v>
      </c>
      <c r="D304" s="106">
        <v>12</v>
      </c>
      <c r="E304" s="107">
        <v>1</v>
      </c>
      <c r="F304" s="107" t="s">
        <v>2958</v>
      </c>
      <c r="G304" s="107" t="s">
        <v>2965</v>
      </c>
      <c r="H304" s="107" t="s">
        <v>2965</v>
      </c>
      <c r="I304" s="107" t="s">
        <v>2996</v>
      </c>
      <c r="J304" s="107" t="s">
        <v>2996</v>
      </c>
      <c r="K304" s="107" t="s">
        <v>2996</v>
      </c>
      <c r="L304" s="107">
        <v>31.02</v>
      </c>
      <c r="M304" s="107"/>
    </row>
    <row r="305" spans="1:13" x14ac:dyDescent="0.3">
      <c r="A305" s="95">
        <f t="shared" si="4"/>
        <v>0</v>
      </c>
      <c r="B305" s="106" t="s">
        <v>340</v>
      </c>
      <c r="C305" s="95" t="s">
        <v>1810</v>
      </c>
      <c r="D305" s="106">
        <v>12</v>
      </c>
      <c r="E305" s="107">
        <v>1</v>
      </c>
      <c r="F305" s="107" t="s">
        <v>2958</v>
      </c>
      <c r="G305" s="107" t="s">
        <v>2965</v>
      </c>
      <c r="H305" s="107" t="s">
        <v>2965</v>
      </c>
      <c r="I305" s="107" t="s">
        <v>2997</v>
      </c>
      <c r="J305" s="107" t="s">
        <v>2997</v>
      </c>
      <c r="K305" s="107" t="s">
        <v>2997</v>
      </c>
      <c r="L305" s="107">
        <v>850.4</v>
      </c>
      <c r="M305" s="107">
        <v>1</v>
      </c>
    </row>
    <row r="306" spans="1:13" x14ac:dyDescent="0.3">
      <c r="A306" s="95">
        <f t="shared" si="4"/>
        <v>0</v>
      </c>
      <c r="B306" s="106" t="s">
        <v>341</v>
      </c>
      <c r="C306" s="95" t="s">
        <v>1811</v>
      </c>
      <c r="D306" s="106">
        <v>12</v>
      </c>
      <c r="E306" s="107">
        <v>1</v>
      </c>
      <c r="F306" s="107" t="s">
        <v>2959</v>
      </c>
      <c r="G306" s="107" t="s">
        <v>2960</v>
      </c>
      <c r="H306" s="107" t="s">
        <v>2983</v>
      </c>
      <c r="I306" s="107" t="s">
        <v>2996</v>
      </c>
      <c r="J306" s="107" t="s">
        <v>2996</v>
      </c>
      <c r="K306" s="107" t="s">
        <v>2996</v>
      </c>
      <c r="L306" s="107">
        <v>107</v>
      </c>
      <c r="M306" s="107">
        <v>1</v>
      </c>
    </row>
    <row r="307" spans="1:13" x14ac:dyDescent="0.3">
      <c r="A307" s="95">
        <f t="shared" si="4"/>
        <v>0</v>
      </c>
      <c r="B307" s="106" t="s">
        <v>342</v>
      </c>
      <c r="C307" s="95" t="s">
        <v>1812</v>
      </c>
      <c r="D307" s="106">
        <v>12</v>
      </c>
      <c r="E307" s="107">
        <v>1</v>
      </c>
      <c r="F307" s="107" t="s">
        <v>2958</v>
      </c>
      <c r="G307" s="107" t="s">
        <v>2966</v>
      </c>
      <c r="H307" s="107" t="s">
        <v>2978</v>
      </c>
      <c r="I307" s="107" t="s">
        <v>2997</v>
      </c>
      <c r="J307" s="107" t="s">
        <v>2997</v>
      </c>
      <c r="K307" s="107" t="s">
        <v>2996</v>
      </c>
      <c r="L307" s="107">
        <v>24.22</v>
      </c>
      <c r="M307" s="107"/>
    </row>
    <row r="308" spans="1:13" x14ac:dyDescent="0.3">
      <c r="A308" s="95">
        <f t="shared" si="4"/>
        <v>0</v>
      </c>
      <c r="B308" s="106" t="s">
        <v>343</v>
      </c>
      <c r="C308" s="95" t="s">
        <v>1813</v>
      </c>
      <c r="D308" s="106">
        <v>12</v>
      </c>
      <c r="E308" s="107">
        <v>1</v>
      </c>
      <c r="F308" s="107" t="s">
        <v>2958</v>
      </c>
      <c r="G308" s="107" t="s">
        <v>2962</v>
      </c>
      <c r="H308" s="107" t="s">
        <v>2986</v>
      </c>
      <c r="I308" s="107" t="s">
        <v>2997</v>
      </c>
      <c r="J308" s="107" t="s">
        <v>2997</v>
      </c>
      <c r="K308" s="107" t="s">
        <v>2996</v>
      </c>
      <c r="L308" s="107">
        <v>112.86</v>
      </c>
      <c r="M308" s="107"/>
    </row>
    <row r="309" spans="1:13" x14ac:dyDescent="0.3">
      <c r="A309" s="95">
        <f t="shared" si="4"/>
        <v>1</v>
      </c>
      <c r="B309" s="106" t="s">
        <v>344</v>
      </c>
      <c r="C309" s="95" t="s">
        <v>1814</v>
      </c>
      <c r="D309" s="106">
        <v>12</v>
      </c>
      <c r="E309" s="107">
        <v>1</v>
      </c>
      <c r="F309" s="107" t="s">
        <v>2958</v>
      </c>
      <c r="G309" s="107" t="s">
        <v>2964</v>
      </c>
      <c r="H309" s="107" t="s">
        <v>2976</v>
      </c>
      <c r="I309" s="107" t="s">
        <v>2997</v>
      </c>
      <c r="J309" s="107" t="s">
        <v>2997</v>
      </c>
      <c r="K309" s="107" t="s">
        <v>2997</v>
      </c>
      <c r="L309" s="107">
        <v>2237.9</v>
      </c>
      <c r="M309" s="107">
        <v>9</v>
      </c>
    </row>
    <row r="310" spans="1:13" x14ac:dyDescent="0.3">
      <c r="A310" s="95">
        <f t="shared" si="4"/>
        <v>1</v>
      </c>
      <c r="B310" s="106" t="s">
        <v>345</v>
      </c>
      <c r="C310" s="95" t="s">
        <v>1815</v>
      </c>
      <c r="D310" s="106">
        <v>12</v>
      </c>
      <c r="E310" s="107">
        <v>1</v>
      </c>
      <c r="F310" s="107" t="s">
        <v>2958</v>
      </c>
      <c r="G310" s="107" t="s">
        <v>2960</v>
      </c>
      <c r="H310" s="107" t="s">
        <v>2970</v>
      </c>
      <c r="I310" s="107" t="s">
        <v>2997</v>
      </c>
      <c r="J310" s="107" t="s">
        <v>2997</v>
      </c>
      <c r="K310" s="107" t="s">
        <v>2997</v>
      </c>
      <c r="L310" s="107">
        <v>1431.6</v>
      </c>
      <c r="M310" s="107">
        <v>11</v>
      </c>
    </row>
    <row r="311" spans="1:13" x14ac:dyDescent="0.3">
      <c r="A311" s="95">
        <f t="shared" si="4"/>
        <v>0</v>
      </c>
      <c r="B311" s="106" t="s">
        <v>346</v>
      </c>
      <c r="C311" s="95" t="s">
        <v>1816</v>
      </c>
      <c r="D311" s="106">
        <v>12</v>
      </c>
      <c r="E311" s="107">
        <v>1</v>
      </c>
      <c r="F311" s="107" t="s">
        <v>2958</v>
      </c>
      <c r="G311" s="107" t="s">
        <v>2964</v>
      </c>
      <c r="H311" s="107" t="s">
        <v>2976</v>
      </c>
      <c r="I311" s="107" t="s">
        <v>2997</v>
      </c>
      <c r="J311" s="107" t="s">
        <v>2997</v>
      </c>
      <c r="K311" s="107" t="s">
        <v>2996</v>
      </c>
      <c r="L311" s="107">
        <v>55.71</v>
      </c>
      <c r="M311" s="107"/>
    </row>
    <row r="312" spans="1:13" x14ac:dyDescent="0.3">
      <c r="A312" s="95">
        <f t="shared" si="4"/>
        <v>0</v>
      </c>
      <c r="B312" s="106" t="s">
        <v>347</v>
      </c>
      <c r="C312" s="95" t="s">
        <v>1817</v>
      </c>
      <c r="D312" s="106">
        <v>12</v>
      </c>
      <c r="E312" s="107">
        <v>1</v>
      </c>
      <c r="F312" s="107" t="s">
        <v>2958</v>
      </c>
      <c r="G312" s="107"/>
      <c r="H312" s="107"/>
      <c r="I312" s="107" t="s">
        <v>2997</v>
      </c>
      <c r="J312" s="107" t="s">
        <v>2997</v>
      </c>
      <c r="K312" s="107" t="s">
        <v>2997</v>
      </c>
      <c r="L312" s="107">
        <v>412.31</v>
      </c>
      <c r="M312" s="107">
        <v>6</v>
      </c>
    </row>
    <row r="313" spans="1:13" x14ac:dyDescent="0.3">
      <c r="A313" s="95">
        <f t="shared" si="4"/>
        <v>1</v>
      </c>
      <c r="B313" s="106" t="s">
        <v>348</v>
      </c>
      <c r="C313" s="95" t="s">
        <v>1818</v>
      </c>
      <c r="D313" s="106">
        <v>12</v>
      </c>
      <c r="E313" s="107">
        <v>1</v>
      </c>
      <c r="F313" s="107" t="s">
        <v>2958</v>
      </c>
      <c r="G313" s="107" t="s">
        <v>2964</v>
      </c>
      <c r="H313" s="107" t="s">
        <v>2976</v>
      </c>
      <c r="I313" s="107" t="s">
        <v>2997</v>
      </c>
      <c r="J313" s="107" t="s">
        <v>2997</v>
      </c>
      <c r="K313" s="107" t="s">
        <v>2997</v>
      </c>
      <c r="L313" s="107">
        <v>1430.55</v>
      </c>
      <c r="M313" s="107">
        <v>22</v>
      </c>
    </row>
    <row r="314" spans="1:13" x14ac:dyDescent="0.3">
      <c r="A314" s="95">
        <f t="shared" si="4"/>
        <v>0</v>
      </c>
      <c r="B314" s="106" t="s">
        <v>349</v>
      </c>
      <c r="C314" s="95" t="s">
        <v>1819</v>
      </c>
      <c r="D314" s="106">
        <v>3</v>
      </c>
      <c r="E314" s="107">
        <v>1</v>
      </c>
      <c r="F314" s="107" t="s">
        <v>2958</v>
      </c>
      <c r="G314" s="107" t="s">
        <v>2961</v>
      </c>
      <c r="H314" s="107" t="s">
        <v>2982</v>
      </c>
      <c r="I314" s="107" t="s">
        <v>2996</v>
      </c>
      <c r="J314" s="107" t="s">
        <v>2996</v>
      </c>
      <c r="K314" s="107" t="s">
        <v>2996</v>
      </c>
      <c r="L314" s="107">
        <v>161.78</v>
      </c>
      <c r="M314" s="107"/>
    </row>
    <row r="315" spans="1:13" x14ac:dyDescent="0.3">
      <c r="A315" s="95">
        <f t="shared" si="4"/>
        <v>0</v>
      </c>
      <c r="B315" s="106" t="s">
        <v>350</v>
      </c>
      <c r="C315" s="95" t="s">
        <v>1820</v>
      </c>
      <c r="D315" s="106">
        <v>12</v>
      </c>
      <c r="E315" s="107">
        <v>1</v>
      </c>
      <c r="F315" s="107" t="s">
        <v>2958</v>
      </c>
      <c r="G315" s="107" t="s">
        <v>2965</v>
      </c>
      <c r="H315" s="107" t="s">
        <v>2965</v>
      </c>
      <c r="I315" s="107" t="s">
        <v>2996</v>
      </c>
      <c r="J315" s="107" t="s">
        <v>2996</v>
      </c>
      <c r="K315" s="107" t="s">
        <v>2996</v>
      </c>
      <c r="L315" s="107">
        <v>266</v>
      </c>
      <c r="M315" s="107">
        <v>1</v>
      </c>
    </row>
    <row r="316" spans="1:13" x14ac:dyDescent="0.3">
      <c r="A316" s="95">
        <f t="shared" si="4"/>
        <v>0</v>
      </c>
      <c r="B316" s="106" t="s">
        <v>351</v>
      </c>
      <c r="C316" s="95" t="s">
        <v>1821</v>
      </c>
      <c r="D316" s="106">
        <v>12</v>
      </c>
      <c r="E316" s="107">
        <v>1</v>
      </c>
      <c r="F316" s="107" t="s">
        <v>2958</v>
      </c>
      <c r="G316" s="107" t="s">
        <v>2964</v>
      </c>
      <c r="H316" s="107" t="s">
        <v>2976</v>
      </c>
      <c r="I316" s="107" t="s">
        <v>2997</v>
      </c>
      <c r="J316" s="107" t="s">
        <v>2997</v>
      </c>
      <c r="K316" s="107" t="s">
        <v>2996</v>
      </c>
      <c r="L316" s="107">
        <v>37.82</v>
      </c>
      <c r="M316" s="107"/>
    </row>
    <row r="317" spans="1:13" x14ac:dyDescent="0.3">
      <c r="A317" s="95">
        <f t="shared" si="4"/>
        <v>1</v>
      </c>
      <c r="B317" s="106" t="s">
        <v>352</v>
      </c>
      <c r="C317" s="95" t="s">
        <v>1822</v>
      </c>
      <c r="D317" s="106">
        <v>12</v>
      </c>
      <c r="E317" s="107">
        <v>1</v>
      </c>
      <c r="F317" s="107" t="s">
        <v>2958</v>
      </c>
      <c r="G317" s="107" t="s">
        <v>2966</v>
      </c>
      <c r="H317" s="107" t="s">
        <v>2980</v>
      </c>
      <c r="I317" s="107" t="s">
        <v>2997</v>
      </c>
      <c r="J317" s="107" t="s">
        <v>2997</v>
      </c>
      <c r="K317" s="107" t="s">
        <v>2997</v>
      </c>
      <c r="L317" s="107">
        <v>6218.71</v>
      </c>
      <c r="M317" s="107">
        <v>24</v>
      </c>
    </row>
    <row r="318" spans="1:13" x14ac:dyDescent="0.3">
      <c r="A318" s="95">
        <f t="shared" si="4"/>
        <v>0</v>
      </c>
      <c r="B318" s="106" t="s">
        <v>353</v>
      </c>
      <c r="C318" s="95" t="s">
        <v>1823</v>
      </c>
      <c r="D318" s="106">
        <v>12</v>
      </c>
      <c r="E318" s="107">
        <v>1</v>
      </c>
      <c r="F318" s="107" t="s">
        <v>2958</v>
      </c>
      <c r="G318" s="107" t="s">
        <v>2967</v>
      </c>
      <c r="H318" s="107" t="s">
        <v>2967</v>
      </c>
      <c r="I318" s="107" t="s">
        <v>2996</v>
      </c>
      <c r="J318" s="107" t="s">
        <v>2996</v>
      </c>
      <c r="K318" s="107" t="s">
        <v>2996</v>
      </c>
      <c r="L318" s="107">
        <v>100.88</v>
      </c>
      <c r="M318" s="107"/>
    </row>
    <row r="319" spans="1:13" x14ac:dyDescent="0.3">
      <c r="A319" s="95">
        <f t="shared" si="4"/>
        <v>0</v>
      </c>
      <c r="B319" s="106" t="s">
        <v>354</v>
      </c>
      <c r="C319" s="95" t="s">
        <v>1824</v>
      </c>
      <c r="D319" s="106">
        <v>12</v>
      </c>
      <c r="E319" s="107">
        <v>1</v>
      </c>
      <c r="F319" s="107" t="s">
        <v>2958</v>
      </c>
      <c r="G319" s="107" t="s">
        <v>2964</v>
      </c>
      <c r="H319" s="107" t="s">
        <v>2976</v>
      </c>
      <c r="I319" s="107" t="s">
        <v>2997</v>
      </c>
      <c r="J319" s="107" t="s">
        <v>2997</v>
      </c>
      <c r="K319" s="107" t="s">
        <v>2996</v>
      </c>
      <c r="L319" s="107">
        <v>61.51</v>
      </c>
      <c r="M319" s="107"/>
    </row>
    <row r="320" spans="1:13" x14ac:dyDescent="0.3">
      <c r="A320" s="95">
        <f t="shared" si="4"/>
        <v>0</v>
      </c>
      <c r="B320" s="106" t="s">
        <v>355</v>
      </c>
      <c r="C320" s="95" t="s">
        <v>1825</v>
      </c>
      <c r="D320" s="106">
        <v>12</v>
      </c>
      <c r="E320" s="107">
        <v>1</v>
      </c>
      <c r="F320" s="107" t="s">
        <v>2959</v>
      </c>
      <c r="G320" s="107" t="s">
        <v>2965</v>
      </c>
      <c r="H320" s="107" t="s">
        <v>2965</v>
      </c>
      <c r="I320" s="107" t="s">
        <v>2997</v>
      </c>
      <c r="J320" s="107" t="s">
        <v>2997</v>
      </c>
      <c r="K320" s="107" t="s">
        <v>2997</v>
      </c>
      <c r="L320" s="107">
        <v>30.88</v>
      </c>
      <c r="M320" s="107"/>
    </row>
    <row r="321" spans="1:13" x14ac:dyDescent="0.3">
      <c r="A321" s="95">
        <f t="shared" si="4"/>
        <v>0</v>
      </c>
      <c r="B321" s="106" t="s">
        <v>356</v>
      </c>
      <c r="C321" s="95" t="s">
        <v>1826</v>
      </c>
      <c r="D321" s="106">
        <v>12</v>
      </c>
      <c r="E321" s="107">
        <v>1</v>
      </c>
      <c r="F321" s="107" t="s">
        <v>2958</v>
      </c>
      <c r="G321" s="107" t="s">
        <v>2965</v>
      </c>
      <c r="H321" s="107" t="s">
        <v>2965</v>
      </c>
      <c r="I321" s="107" t="s">
        <v>2997</v>
      </c>
      <c r="J321" s="107" t="s">
        <v>2997</v>
      </c>
      <c r="K321" s="107" t="s">
        <v>2997</v>
      </c>
      <c r="L321" s="107">
        <v>283.73</v>
      </c>
      <c r="M321" s="107">
        <v>2</v>
      </c>
    </row>
    <row r="322" spans="1:13" x14ac:dyDescent="0.3">
      <c r="A322" s="95">
        <f t="shared" si="4"/>
        <v>0</v>
      </c>
      <c r="B322" s="106" t="s">
        <v>357</v>
      </c>
      <c r="C322" s="95" t="s">
        <v>1827</v>
      </c>
      <c r="D322" s="106">
        <v>12</v>
      </c>
      <c r="E322" s="107">
        <v>1</v>
      </c>
      <c r="F322" s="107" t="s">
        <v>2958</v>
      </c>
      <c r="G322" s="107" t="s">
        <v>2961</v>
      </c>
      <c r="H322" s="107" t="s">
        <v>2971</v>
      </c>
      <c r="I322" s="107" t="s">
        <v>2997</v>
      </c>
      <c r="J322" s="107" t="s">
        <v>2997</v>
      </c>
      <c r="K322" s="107" t="s">
        <v>2996</v>
      </c>
      <c r="L322" s="107">
        <v>63.95</v>
      </c>
      <c r="M322" s="107"/>
    </row>
    <row r="323" spans="1:13" x14ac:dyDescent="0.3">
      <c r="A323" s="95">
        <f t="shared" si="4"/>
        <v>0</v>
      </c>
      <c r="B323" s="106" t="s">
        <v>358</v>
      </c>
      <c r="C323" s="95" t="s">
        <v>3528</v>
      </c>
      <c r="D323" s="106">
        <v>12</v>
      </c>
      <c r="E323" s="107">
        <v>1</v>
      </c>
      <c r="F323" s="107" t="s">
        <v>2959</v>
      </c>
      <c r="G323" s="107" t="s">
        <v>2964</v>
      </c>
      <c r="H323" s="107" t="s">
        <v>2975</v>
      </c>
      <c r="I323" s="107" t="s">
        <v>2997</v>
      </c>
      <c r="J323" s="107" t="s">
        <v>2997</v>
      </c>
      <c r="K323" s="107" t="s">
        <v>2997</v>
      </c>
      <c r="L323" s="107">
        <v>552.12</v>
      </c>
      <c r="M323" s="107">
        <v>1</v>
      </c>
    </row>
    <row r="324" spans="1:13" x14ac:dyDescent="0.3">
      <c r="A324" s="95">
        <f t="shared" si="4"/>
        <v>0</v>
      </c>
      <c r="B324" s="106" t="s">
        <v>359</v>
      </c>
      <c r="C324" s="95" t="s">
        <v>1828</v>
      </c>
      <c r="D324" s="106">
        <v>12</v>
      </c>
      <c r="E324" s="107">
        <v>1</v>
      </c>
      <c r="F324" s="107" t="s">
        <v>2958</v>
      </c>
      <c r="G324" s="107" t="s">
        <v>2965</v>
      </c>
      <c r="H324" s="107" t="s">
        <v>2965</v>
      </c>
      <c r="I324" s="107" t="s">
        <v>2996</v>
      </c>
      <c r="J324" s="107" t="s">
        <v>2996</v>
      </c>
      <c r="K324" s="107" t="s">
        <v>2996</v>
      </c>
      <c r="L324" s="107">
        <v>52.5</v>
      </c>
      <c r="M324" s="107"/>
    </row>
    <row r="325" spans="1:13" x14ac:dyDescent="0.3">
      <c r="A325" s="95">
        <f t="shared" si="4"/>
        <v>0</v>
      </c>
      <c r="B325" s="106" t="s">
        <v>360</v>
      </c>
      <c r="C325" s="95" t="s">
        <v>17</v>
      </c>
      <c r="D325" s="106">
        <v>3</v>
      </c>
      <c r="E325" s="107">
        <v>1</v>
      </c>
      <c r="F325" s="107" t="s">
        <v>2958</v>
      </c>
      <c r="G325" s="107" t="s">
        <v>2962</v>
      </c>
      <c r="H325" s="107" t="s">
        <v>2979</v>
      </c>
      <c r="I325" s="107" t="s">
        <v>2997</v>
      </c>
      <c r="J325" s="107" t="s">
        <v>2997</v>
      </c>
      <c r="K325" s="107" t="s">
        <v>2997</v>
      </c>
      <c r="L325" s="107">
        <v>3283.34</v>
      </c>
      <c r="M325" s="107">
        <v>6</v>
      </c>
    </row>
    <row r="326" spans="1:13" x14ac:dyDescent="0.3">
      <c r="A326" s="95">
        <f t="shared" si="4"/>
        <v>0</v>
      </c>
      <c r="B326" s="106" t="s">
        <v>361</v>
      </c>
      <c r="C326" s="95" t="s">
        <v>1829</v>
      </c>
      <c r="D326" s="106">
        <v>12</v>
      </c>
      <c r="E326" s="107">
        <v>1</v>
      </c>
      <c r="F326" s="107" t="s">
        <v>2958</v>
      </c>
      <c r="G326" s="107" t="s">
        <v>2965</v>
      </c>
      <c r="H326" s="107" t="s">
        <v>2965</v>
      </c>
      <c r="I326" s="107" t="s">
        <v>2997</v>
      </c>
      <c r="J326" s="107" t="s">
        <v>2997</v>
      </c>
      <c r="K326" s="107" t="s">
        <v>2997</v>
      </c>
      <c r="L326" s="107">
        <v>306.24</v>
      </c>
      <c r="M326" s="107">
        <v>2</v>
      </c>
    </row>
    <row r="327" spans="1:13" x14ac:dyDescent="0.3">
      <c r="A327" s="95">
        <f t="shared" si="4"/>
        <v>0</v>
      </c>
      <c r="B327" s="106" t="s">
        <v>362</v>
      </c>
      <c r="C327" s="95" t="s">
        <v>1830</v>
      </c>
      <c r="D327" s="106">
        <v>12</v>
      </c>
      <c r="E327" s="107">
        <v>1</v>
      </c>
      <c r="F327" s="107" t="s">
        <v>2958</v>
      </c>
      <c r="G327" s="107" t="s">
        <v>2965</v>
      </c>
      <c r="H327" s="107" t="s">
        <v>2965</v>
      </c>
      <c r="I327" s="107" t="s">
        <v>2997</v>
      </c>
      <c r="J327" s="107" t="s">
        <v>2997</v>
      </c>
      <c r="K327" s="107" t="s">
        <v>2996</v>
      </c>
      <c r="L327" s="107">
        <v>58.58</v>
      </c>
      <c r="M327" s="107"/>
    </row>
    <row r="328" spans="1:13" x14ac:dyDescent="0.3">
      <c r="A328" s="95">
        <f t="shared" si="4"/>
        <v>0</v>
      </c>
      <c r="B328" s="106" t="s">
        <v>363</v>
      </c>
      <c r="C328" s="95" t="s">
        <v>1831</v>
      </c>
      <c r="D328" s="106">
        <v>12</v>
      </c>
      <c r="E328" s="107">
        <v>1</v>
      </c>
      <c r="F328" s="107" t="s">
        <v>2959</v>
      </c>
      <c r="G328" s="107" t="s">
        <v>2964</v>
      </c>
      <c r="H328" s="107" t="s">
        <v>2976</v>
      </c>
      <c r="I328" s="107" t="s">
        <v>2997</v>
      </c>
      <c r="J328" s="107" t="s">
        <v>2997</v>
      </c>
      <c r="K328" s="107" t="s">
        <v>2996</v>
      </c>
      <c r="L328" s="107">
        <v>53.8</v>
      </c>
      <c r="M328" s="107"/>
    </row>
    <row r="329" spans="1:13" x14ac:dyDescent="0.3">
      <c r="A329" s="95">
        <f t="shared" si="4"/>
        <v>0</v>
      </c>
      <c r="B329" s="106" t="s">
        <v>364</v>
      </c>
      <c r="C329" s="95" t="s">
        <v>1832</v>
      </c>
      <c r="D329" s="106">
        <v>12</v>
      </c>
      <c r="E329" s="107">
        <v>1</v>
      </c>
      <c r="F329" s="107" t="s">
        <v>2959</v>
      </c>
      <c r="G329" s="107" t="s">
        <v>2964</v>
      </c>
      <c r="H329" s="107" t="s">
        <v>2976</v>
      </c>
      <c r="I329" s="107" t="s">
        <v>2997</v>
      </c>
      <c r="J329" s="107" t="s">
        <v>2997</v>
      </c>
      <c r="K329" s="107" t="s">
        <v>2997</v>
      </c>
      <c r="L329" s="107">
        <v>29.59</v>
      </c>
      <c r="M329" s="107"/>
    </row>
    <row r="330" spans="1:13" x14ac:dyDescent="0.3">
      <c r="A330" s="95">
        <f t="shared" si="4"/>
        <v>0</v>
      </c>
      <c r="B330" s="106" t="s">
        <v>365</v>
      </c>
      <c r="C330" s="95" t="s">
        <v>1833</v>
      </c>
      <c r="D330" s="106">
        <v>12</v>
      </c>
      <c r="E330" s="107">
        <v>1</v>
      </c>
      <c r="F330" s="107" t="s">
        <v>2958</v>
      </c>
      <c r="G330" s="107" t="s">
        <v>2963</v>
      </c>
      <c r="H330" s="107" t="s">
        <v>2974</v>
      </c>
      <c r="I330" s="107" t="s">
        <v>2997</v>
      </c>
      <c r="J330" s="107" t="s">
        <v>2997</v>
      </c>
      <c r="K330" s="107" t="s">
        <v>2996</v>
      </c>
      <c r="L330" s="107">
        <v>85.59</v>
      </c>
      <c r="M330" s="107"/>
    </row>
    <row r="331" spans="1:13" x14ac:dyDescent="0.3">
      <c r="A331" s="95">
        <f t="shared" si="4"/>
        <v>1</v>
      </c>
      <c r="B331" s="106" t="s">
        <v>3130</v>
      </c>
      <c r="C331" s="95" t="s">
        <v>3333</v>
      </c>
      <c r="D331" s="106">
        <v>12</v>
      </c>
      <c r="E331" s="107">
        <v>1</v>
      </c>
      <c r="F331" s="107" t="s">
        <v>2958</v>
      </c>
      <c r="G331" s="107" t="s">
        <v>2961</v>
      </c>
      <c r="H331" s="107" t="s">
        <v>2982</v>
      </c>
      <c r="I331" s="107" t="s">
        <v>2997</v>
      </c>
      <c r="J331" s="107" t="s">
        <v>2997</v>
      </c>
      <c r="K331" s="107" t="s">
        <v>2997</v>
      </c>
      <c r="L331" s="107">
        <v>2256.1</v>
      </c>
      <c r="M331" s="107">
        <v>14</v>
      </c>
    </row>
    <row r="332" spans="1:13" x14ac:dyDescent="0.3">
      <c r="A332" s="95">
        <f t="shared" si="4"/>
        <v>0</v>
      </c>
      <c r="B332" s="106" t="s">
        <v>366</v>
      </c>
      <c r="C332" s="95" t="s">
        <v>1834</v>
      </c>
      <c r="D332" s="106">
        <v>12</v>
      </c>
      <c r="E332" s="107">
        <v>1</v>
      </c>
      <c r="F332" s="107" t="s">
        <v>2958</v>
      </c>
      <c r="G332" s="107" t="s">
        <v>2964</v>
      </c>
      <c r="H332" s="107" t="s">
        <v>2976</v>
      </c>
      <c r="I332" s="107" t="s">
        <v>2996</v>
      </c>
      <c r="J332" s="107" t="s">
        <v>2996</v>
      </c>
      <c r="K332" s="107" t="s">
        <v>2996</v>
      </c>
      <c r="L332" s="107">
        <v>67.77</v>
      </c>
      <c r="M332" s="107"/>
    </row>
    <row r="333" spans="1:13" x14ac:dyDescent="0.3">
      <c r="A333" s="95">
        <f t="shared" si="4"/>
        <v>0</v>
      </c>
      <c r="B333" s="106" t="s">
        <v>367</v>
      </c>
      <c r="C333" s="95" t="s">
        <v>3603</v>
      </c>
      <c r="D333" s="106">
        <v>12</v>
      </c>
      <c r="E333" s="107">
        <v>1</v>
      </c>
      <c r="F333" s="107" t="s">
        <v>2958</v>
      </c>
      <c r="G333" s="107" t="s">
        <v>2966</v>
      </c>
      <c r="H333" s="107" t="s">
        <v>2985</v>
      </c>
      <c r="I333" s="107" t="s">
        <v>2997</v>
      </c>
      <c r="J333" s="107" t="s">
        <v>2997</v>
      </c>
      <c r="K333" s="107" t="s">
        <v>2996</v>
      </c>
      <c r="L333" s="107">
        <v>77.53</v>
      </c>
      <c r="M333" s="107"/>
    </row>
    <row r="334" spans="1:13" x14ac:dyDescent="0.3">
      <c r="A334" s="95">
        <f t="shared" si="4"/>
        <v>0</v>
      </c>
      <c r="B334" s="106" t="s">
        <v>368</v>
      </c>
      <c r="C334" s="95" t="s">
        <v>1835</v>
      </c>
      <c r="D334" s="106">
        <v>12</v>
      </c>
      <c r="E334" s="107">
        <v>1</v>
      </c>
      <c r="F334" s="107" t="s">
        <v>2958</v>
      </c>
      <c r="G334" s="107" t="s">
        <v>2963</v>
      </c>
      <c r="H334" s="107" t="s">
        <v>2974</v>
      </c>
      <c r="I334" s="107" t="s">
        <v>2997</v>
      </c>
      <c r="J334" s="107" t="s">
        <v>2997</v>
      </c>
      <c r="K334" s="107" t="s">
        <v>2997</v>
      </c>
      <c r="L334" s="107">
        <v>208.5</v>
      </c>
      <c r="M334" s="107"/>
    </row>
    <row r="335" spans="1:13" x14ac:dyDescent="0.3">
      <c r="A335" s="95">
        <f t="shared" ref="A335:A398" si="5">IF(AND(E335=1,J335=K335,M335&gt;6),1,0)</f>
        <v>0</v>
      </c>
      <c r="B335" s="106" t="s">
        <v>369</v>
      </c>
      <c r="C335" s="95" t="s">
        <v>3663</v>
      </c>
      <c r="D335" s="106">
        <v>12</v>
      </c>
      <c r="E335" s="107">
        <v>1</v>
      </c>
      <c r="F335" s="107" t="s">
        <v>2958</v>
      </c>
      <c r="G335" s="107" t="s">
        <v>2965</v>
      </c>
      <c r="H335" s="107" t="s">
        <v>2965</v>
      </c>
      <c r="I335" s="107" t="s">
        <v>2996</v>
      </c>
      <c r="J335" s="107" t="s">
        <v>2996</v>
      </c>
      <c r="K335" s="107" t="s">
        <v>2996</v>
      </c>
      <c r="L335" s="107">
        <v>43.62</v>
      </c>
      <c r="M335" s="107"/>
    </row>
    <row r="336" spans="1:13" x14ac:dyDescent="0.3">
      <c r="A336" s="95">
        <f t="shared" si="5"/>
        <v>0</v>
      </c>
      <c r="B336" s="106" t="s">
        <v>370</v>
      </c>
      <c r="C336" s="95" t="s">
        <v>1836</v>
      </c>
      <c r="D336" s="106">
        <v>12</v>
      </c>
      <c r="E336" s="107">
        <v>1</v>
      </c>
      <c r="F336" s="107" t="s">
        <v>2958</v>
      </c>
      <c r="G336" s="107" t="s">
        <v>2964</v>
      </c>
      <c r="H336" s="107" t="s">
        <v>2976</v>
      </c>
      <c r="I336" s="107" t="s">
        <v>2997</v>
      </c>
      <c r="J336" s="107" t="s">
        <v>2997</v>
      </c>
      <c r="K336" s="107" t="s">
        <v>2997</v>
      </c>
      <c r="L336" s="107">
        <v>127.52</v>
      </c>
      <c r="M336" s="107"/>
    </row>
    <row r="337" spans="1:13" x14ac:dyDescent="0.3">
      <c r="A337" s="95">
        <f t="shared" si="5"/>
        <v>0</v>
      </c>
      <c r="B337" s="106" t="s">
        <v>371</v>
      </c>
      <c r="C337" s="95" t="s">
        <v>1837</v>
      </c>
      <c r="D337" s="106">
        <v>12</v>
      </c>
      <c r="E337" s="107">
        <v>1</v>
      </c>
      <c r="F337" s="107" t="s">
        <v>2958</v>
      </c>
      <c r="G337" s="107" t="s">
        <v>2965</v>
      </c>
      <c r="H337" s="107" t="s">
        <v>2965</v>
      </c>
      <c r="I337" s="107" t="s">
        <v>2996</v>
      </c>
      <c r="J337" s="107" t="s">
        <v>2996</v>
      </c>
      <c r="K337" s="107" t="s">
        <v>2996</v>
      </c>
      <c r="L337" s="107">
        <v>35.450000000000003</v>
      </c>
      <c r="M337" s="107"/>
    </row>
    <row r="338" spans="1:13" x14ac:dyDescent="0.3">
      <c r="A338" s="95">
        <f t="shared" si="5"/>
        <v>0</v>
      </c>
      <c r="B338" s="106" t="s">
        <v>372</v>
      </c>
      <c r="C338" s="95" t="s">
        <v>1838</v>
      </c>
      <c r="D338" s="106">
        <v>12</v>
      </c>
      <c r="E338" s="107">
        <v>1</v>
      </c>
      <c r="F338" s="107" t="s">
        <v>2958</v>
      </c>
      <c r="G338" s="107" t="s">
        <v>2963</v>
      </c>
      <c r="H338" s="107" t="s">
        <v>2974</v>
      </c>
      <c r="I338" s="107" t="s">
        <v>2997</v>
      </c>
      <c r="J338" s="107" t="s">
        <v>2997</v>
      </c>
      <c r="K338" s="107" t="s">
        <v>2997</v>
      </c>
      <c r="L338" s="107">
        <v>1224.6400000000001</v>
      </c>
      <c r="M338" s="107">
        <v>1</v>
      </c>
    </row>
    <row r="339" spans="1:13" x14ac:dyDescent="0.3">
      <c r="A339" s="95">
        <f t="shared" si="5"/>
        <v>0</v>
      </c>
      <c r="B339" s="106" t="s">
        <v>373</v>
      </c>
      <c r="C339" s="95" t="s">
        <v>1839</v>
      </c>
      <c r="D339" s="106">
        <v>6</v>
      </c>
      <c r="E339" s="107">
        <v>1</v>
      </c>
      <c r="F339" s="107" t="s">
        <v>2959</v>
      </c>
      <c r="G339" s="107" t="s">
        <v>2962</v>
      </c>
      <c r="H339" s="107" t="s">
        <v>2989</v>
      </c>
      <c r="I339" s="107" t="s">
        <v>2998</v>
      </c>
      <c r="J339" s="107" t="s">
        <v>2998</v>
      </c>
      <c r="K339" s="107" t="s">
        <v>2998</v>
      </c>
      <c r="L339" s="107">
        <v>49.7</v>
      </c>
      <c r="M339" s="107"/>
    </row>
    <row r="340" spans="1:13" x14ac:dyDescent="0.3">
      <c r="A340" s="95">
        <f t="shared" si="5"/>
        <v>0</v>
      </c>
      <c r="B340" s="106" t="s">
        <v>374</v>
      </c>
      <c r="C340" s="95" t="s">
        <v>1840</v>
      </c>
      <c r="D340" s="106">
        <v>12</v>
      </c>
      <c r="E340" s="107">
        <v>1</v>
      </c>
      <c r="F340" s="107" t="s">
        <v>2958</v>
      </c>
      <c r="G340" s="107" t="s">
        <v>2961</v>
      </c>
      <c r="H340" s="107" t="s">
        <v>2971</v>
      </c>
      <c r="I340" s="107" t="s">
        <v>2997</v>
      </c>
      <c r="J340" s="107" t="s">
        <v>2997</v>
      </c>
      <c r="K340" s="107" t="s">
        <v>2996</v>
      </c>
      <c r="L340" s="107">
        <v>434.2</v>
      </c>
      <c r="M340" s="107"/>
    </row>
    <row r="341" spans="1:13" x14ac:dyDescent="0.3">
      <c r="A341" s="95">
        <f t="shared" si="5"/>
        <v>0</v>
      </c>
      <c r="B341" s="106" t="s">
        <v>375</v>
      </c>
      <c r="C341" s="95" t="s">
        <v>1841</v>
      </c>
      <c r="D341" s="106">
        <v>12</v>
      </c>
      <c r="E341" s="107">
        <v>1</v>
      </c>
      <c r="F341" s="107" t="s">
        <v>2959</v>
      </c>
      <c r="G341" s="107" t="s">
        <v>2960</v>
      </c>
      <c r="H341" s="107" t="s">
        <v>2970</v>
      </c>
      <c r="I341" s="107" t="s">
        <v>2996</v>
      </c>
      <c r="J341" s="107" t="s">
        <v>2996</v>
      </c>
      <c r="K341" s="107" t="s">
        <v>2996</v>
      </c>
      <c r="L341" s="107">
        <v>43.44</v>
      </c>
      <c r="M341" s="107"/>
    </row>
    <row r="342" spans="1:13" x14ac:dyDescent="0.3">
      <c r="A342" s="95">
        <f t="shared" si="5"/>
        <v>0</v>
      </c>
      <c r="B342" s="106" t="s">
        <v>376</v>
      </c>
      <c r="C342" s="95" t="s">
        <v>3631</v>
      </c>
      <c r="D342" s="106">
        <v>12</v>
      </c>
      <c r="E342" s="107">
        <v>1</v>
      </c>
      <c r="F342" s="107" t="s">
        <v>2959</v>
      </c>
      <c r="G342" s="107" t="s">
        <v>2963</v>
      </c>
      <c r="H342" s="107" t="s">
        <v>2974</v>
      </c>
      <c r="I342" s="107" t="s">
        <v>2996</v>
      </c>
      <c r="J342" s="107" t="s">
        <v>2996</v>
      </c>
      <c r="K342" s="107" t="s">
        <v>2996</v>
      </c>
      <c r="L342" s="107">
        <v>20.95</v>
      </c>
      <c r="M342" s="107"/>
    </row>
    <row r="343" spans="1:13" x14ac:dyDescent="0.3">
      <c r="A343" s="95">
        <f t="shared" si="5"/>
        <v>0</v>
      </c>
      <c r="B343" s="106" t="s">
        <v>377</v>
      </c>
      <c r="C343" s="95" t="s">
        <v>3632</v>
      </c>
      <c r="D343" s="106">
        <v>12</v>
      </c>
      <c r="E343" s="107">
        <v>1</v>
      </c>
      <c r="F343" s="107" t="s">
        <v>2958</v>
      </c>
      <c r="G343" s="107" t="s">
        <v>2964</v>
      </c>
      <c r="H343" s="107" t="s">
        <v>2976</v>
      </c>
      <c r="I343" s="107" t="s">
        <v>2997</v>
      </c>
      <c r="J343" s="107" t="s">
        <v>2997</v>
      </c>
      <c r="K343" s="107" t="s">
        <v>2996</v>
      </c>
      <c r="L343" s="107">
        <v>21.68</v>
      </c>
      <c r="M343" s="107"/>
    </row>
    <row r="344" spans="1:13" x14ac:dyDescent="0.3">
      <c r="A344" s="95">
        <f t="shared" si="5"/>
        <v>0</v>
      </c>
      <c r="B344" s="106" t="s">
        <v>378</v>
      </c>
      <c r="C344" s="95" t="s">
        <v>1842</v>
      </c>
      <c r="D344" s="106">
        <v>12</v>
      </c>
      <c r="E344" s="107">
        <v>1</v>
      </c>
      <c r="F344" s="107" t="s">
        <v>2959</v>
      </c>
      <c r="G344" s="107" t="s">
        <v>2961</v>
      </c>
      <c r="H344" s="107" t="s">
        <v>2971</v>
      </c>
      <c r="I344" s="107" t="s">
        <v>2996</v>
      </c>
      <c r="J344" s="107" t="s">
        <v>2997</v>
      </c>
      <c r="K344" s="107" t="s">
        <v>2997</v>
      </c>
      <c r="L344" s="107">
        <v>12.77</v>
      </c>
      <c r="M344" s="107"/>
    </row>
    <row r="345" spans="1:13" x14ac:dyDescent="0.3">
      <c r="A345" s="95">
        <f t="shared" si="5"/>
        <v>0</v>
      </c>
      <c r="B345" s="106" t="s">
        <v>379</v>
      </c>
      <c r="C345" s="95" t="s">
        <v>1843</v>
      </c>
      <c r="D345" s="106">
        <v>12</v>
      </c>
      <c r="E345" s="107">
        <v>1</v>
      </c>
      <c r="F345" s="107" t="s">
        <v>2958</v>
      </c>
      <c r="G345" s="107" t="s">
        <v>2963</v>
      </c>
      <c r="H345" s="107" t="s">
        <v>2974</v>
      </c>
      <c r="I345" s="107" t="s">
        <v>2997</v>
      </c>
      <c r="J345" s="107" t="s">
        <v>2997</v>
      </c>
      <c r="K345" s="107" t="s">
        <v>2996</v>
      </c>
      <c r="L345" s="107">
        <v>113.1</v>
      </c>
      <c r="M345" s="107"/>
    </row>
    <row r="346" spans="1:13" x14ac:dyDescent="0.3">
      <c r="A346" s="95">
        <f t="shared" si="5"/>
        <v>0</v>
      </c>
      <c r="B346" s="106" t="s">
        <v>380</v>
      </c>
      <c r="C346" s="95" t="s">
        <v>1844</v>
      </c>
      <c r="D346" s="106">
        <v>3</v>
      </c>
      <c r="E346" s="107">
        <v>1</v>
      </c>
      <c r="F346" s="107" t="s">
        <v>2958</v>
      </c>
      <c r="G346" s="107" t="s">
        <v>2960</v>
      </c>
      <c r="H346" s="107" t="s">
        <v>2970</v>
      </c>
      <c r="I346" s="107" t="s">
        <v>2996</v>
      </c>
      <c r="J346" s="107" t="s">
        <v>2996</v>
      </c>
      <c r="K346" s="107" t="s">
        <v>2996</v>
      </c>
      <c r="L346" s="107">
        <v>513.59</v>
      </c>
      <c r="M346" s="107">
        <v>1</v>
      </c>
    </row>
    <row r="347" spans="1:13" x14ac:dyDescent="0.3">
      <c r="A347" s="95">
        <f t="shared" si="5"/>
        <v>0</v>
      </c>
      <c r="B347" s="106" t="s">
        <v>381</v>
      </c>
      <c r="C347" s="95" t="s">
        <v>1845</v>
      </c>
      <c r="D347" s="106">
        <v>12</v>
      </c>
      <c r="E347" s="107">
        <v>1</v>
      </c>
      <c r="F347" s="107" t="s">
        <v>2958</v>
      </c>
      <c r="G347" s="107" t="s">
        <v>2965</v>
      </c>
      <c r="H347" s="107" t="s">
        <v>2965</v>
      </c>
      <c r="I347" s="107" t="s">
        <v>2997</v>
      </c>
      <c r="J347" s="107" t="s">
        <v>2997</v>
      </c>
      <c r="K347" s="107" t="s">
        <v>2996</v>
      </c>
      <c r="L347" s="107">
        <v>89.6</v>
      </c>
      <c r="M347" s="107"/>
    </row>
    <row r="348" spans="1:13" x14ac:dyDescent="0.3">
      <c r="A348" s="95">
        <f t="shared" si="5"/>
        <v>0</v>
      </c>
      <c r="B348" s="106" t="s">
        <v>382</v>
      </c>
      <c r="C348" s="95" t="s">
        <v>1846</v>
      </c>
      <c r="D348" s="106">
        <v>12</v>
      </c>
      <c r="E348" s="107">
        <v>1</v>
      </c>
      <c r="F348" s="107" t="s">
        <v>2958</v>
      </c>
      <c r="G348" s="107" t="s">
        <v>2964</v>
      </c>
      <c r="H348" s="107" t="s">
        <v>2976</v>
      </c>
      <c r="I348" s="107" t="s">
        <v>2997</v>
      </c>
      <c r="J348" s="107" t="s">
        <v>2997</v>
      </c>
      <c r="K348" s="107" t="s">
        <v>2997</v>
      </c>
      <c r="L348" s="107">
        <v>50.22</v>
      </c>
      <c r="M348" s="107"/>
    </row>
    <row r="349" spans="1:13" x14ac:dyDescent="0.3">
      <c r="A349" s="95">
        <f t="shared" si="5"/>
        <v>0</v>
      </c>
      <c r="B349" s="106" t="s">
        <v>383</v>
      </c>
      <c r="C349" s="95" t="s">
        <v>1847</v>
      </c>
      <c r="D349" s="106">
        <v>12</v>
      </c>
      <c r="E349" s="107">
        <v>1</v>
      </c>
      <c r="F349" s="107" t="s">
        <v>2958</v>
      </c>
      <c r="G349" s="107" t="s">
        <v>2966</v>
      </c>
      <c r="H349" s="107" t="s">
        <v>2984</v>
      </c>
      <c r="I349" s="107" t="s">
        <v>2996</v>
      </c>
      <c r="J349" s="107" t="s">
        <v>2996</v>
      </c>
      <c r="K349" s="107" t="s">
        <v>2996</v>
      </c>
      <c r="L349" s="107">
        <v>26.93</v>
      </c>
      <c r="M349" s="107"/>
    </row>
    <row r="350" spans="1:13" x14ac:dyDescent="0.3">
      <c r="A350" s="95">
        <f t="shared" si="5"/>
        <v>0</v>
      </c>
      <c r="B350" s="106" t="s">
        <v>384</v>
      </c>
      <c r="C350" s="95" t="s">
        <v>1848</v>
      </c>
      <c r="D350" s="106">
        <v>12</v>
      </c>
      <c r="E350" s="107">
        <v>1</v>
      </c>
      <c r="F350" s="107" t="s">
        <v>2958</v>
      </c>
      <c r="G350" s="107" t="s">
        <v>2966</v>
      </c>
      <c r="H350" s="107" t="s">
        <v>2984</v>
      </c>
      <c r="I350" s="107" t="s">
        <v>2997</v>
      </c>
      <c r="J350" s="107" t="s">
        <v>2997</v>
      </c>
      <c r="K350" s="107" t="s">
        <v>2997</v>
      </c>
      <c r="L350" s="107">
        <v>246.79</v>
      </c>
      <c r="M350" s="107">
        <v>6</v>
      </c>
    </row>
    <row r="351" spans="1:13" x14ac:dyDescent="0.3">
      <c r="A351" s="95">
        <f t="shared" si="5"/>
        <v>0</v>
      </c>
      <c r="B351" s="106" t="s">
        <v>385</v>
      </c>
      <c r="C351" s="95" t="s">
        <v>1849</v>
      </c>
      <c r="D351" s="106">
        <v>12</v>
      </c>
      <c r="E351" s="107">
        <v>1</v>
      </c>
      <c r="F351" s="107" t="s">
        <v>2958</v>
      </c>
      <c r="G351" s="107" t="s">
        <v>2965</v>
      </c>
      <c r="H351" s="107" t="s">
        <v>2965</v>
      </c>
      <c r="I351" s="107" t="s">
        <v>2997</v>
      </c>
      <c r="J351" s="107" t="s">
        <v>2997</v>
      </c>
      <c r="K351" s="107" t="s">
        <v>2997</v>
      </c>
      <c r="L351" s="107">
        <v>260.02999999999997</v>
      </c>
      <c r="M351" s="107">
        <v>1</v>
      </c>
    </row>
    <row r="352" spans="1:13" x14ac:dyDescent="0.3">
      <c r="A352" s="95">
        <f t="shared" si="5"/>
        <v>0</v>
      </c>
      <c r="B352" s="106" t="s">
        <v>386</v>
      </c>
      <c r="C352" s="95" t="s">
        <v>1850</v>
      </c>
      <c r="D352" s="106">
        <v>12</v>
      </c>
      <c r="E352" s="107">
        <v>1</v>
      </c>
      <c r="F352" s="107" t="s">
        <v>2958</v>
      </c>
      <c r="G352" s="107" t="s">
        <v>2961</v>
      </c>
      <c r="H352" s="107" t="s">
        <v>2972</v>
      </c>
      <c r="I352" s="107" t="s">
        <v>2997</v>
      </c>
      <c r="J352" s="107" t="s">
        <v>2997</v>
      </c>
      <c r="K352" s="107" t="s">
        <v>2997</v>
      </c>
      <c r="L352" s="107">
        <v>104.72</v>
      </c>
      <c r="M352" s="107"/>
    </row>
    <row r="353" spans="1:13" x14ac:dyDescent="0.3">
      <c r="A353" s="95">
        <f t="shared" si="5"/>
        <v>0</v>
      </c>
      <c r="B353" s="106" t="s">
        <v>387</v>
      </c>
      <c r="C353" s="95" t="s">
        <v>1851</v>
      </c>
      <c r="D353" s="106">
        <v>12</v>
      </c>
      <c r="E353" s="107">
        <v>1</v>
      </c>
      <c r="F353" s="107" t="s">
        <v>2959</v>
      </c>
      <c r="G353" s="107" t="s">
        <v>2966</v>
      </c>
      <c r="H353" s="107" t="s">
        <v>2984</v>
      </c>
      <c r="I353" s="107" t="s">
        <v>2997</v>
      </c>
      <c r="J353" s="107" t="s">
        <v>2997</v>
      </c>
      <c r="K353" s="107" t="s">
        <v>2997</v>
      </c>
      <c r="L353" s="107">
        <v>64.11</v>
      </c>
      <c r="M353" s="107"/>
    </row>
    <row r="354" spans="1:13" x14ac:dyDescent="0.3">
      <c r="A354" s="95">
        <f t="shared" si="5"/>
        <v>0</v>
      </c>
      <c r="B354" s="106" t="s">
        <v>388</v>
      </c>
      <c r="C354" s="95" t="s">
        <v>1852</v>
      </c>
      <c r="D354" s="106">
        <v>12</v>
      </c>
      <c r="E354" s="107">
        <v>1</v>
      </c>
      <c r="F354" s="107" t="s">
        <v>2959</v>
      </c>
      <c r="G354" s="107" t="s">
        <v>2965</v>
      </c>
      <c r="H354" s="107" t="s">
        <v>2965</v>
      </c>
      <c r="I354" s="107" t="s">
        <v>2997</v>
      </c>
      <c r="J354" s="107" t="s">
        <v>2997</v>
      </c>
      <c r="K354" s="107" t="s">
        <v>2996</v>
      </c>
      <c r="L354" s="107">
        <v>29.31</v>
      </c>
      <c r="M354" s="107"/>
    </row>
    <row r="355" spans="1:13" x14ac:dyDescent="0.3">
      <c r="A355" s="95">
        <f t="shared" si="5"/>
        <v>0</v>
      </c>
      <c r="B355" s="106" t="s">
        <v>389</v>
      </c>
      <c r="C355" s="95" t="s">
        <v>1853</v>
      </c>
      <c r="D355" s="106">
        <v>12</v>
      </c>
      <c r="E355" s="107">
        <v>1</v>
      </c>
      <c r="F355" s="107" t="s">
        <v>2958</v>
      </c>
      <c r="G355" s="107" t="s">
        <v>2966</v>
      </c>
      <c r="H355" s="107" t="s">
        <v>2984</v>
      </c>
      <c r="I355" s="107" t="s">
        <v>2997</v>
      </c>
      <c r="J355" s="107" t="s">
        <v>2997</v>
      </c>
      <c r="K355" s="107" t="s">
        <v>2997</v>
      </c>
      <c r="L355" s="107">
        <v>375.57</v>
      </c>
      <c r="M355" s="107">
        <v>2</v>
      </c>
    </row>
    <row r="356" spans="1:13" x14ac:dyDescent="0.3">
      <c r="A356" s="95">
        <f t="shared" si="5"/>
        <v>0</v>
      </c>
      <c r="B356" s="106" t="s">
        <v>3131</v>
      </c>
      <c r="C356" s="95" t="s">
        <v>3334</v>
      </c>
      <c r="D356" s="106">
        <v>12</v>
      </c>
      <c r="E356" s="107">
        <v>1</v>
      </c>
      <c r="F356" s="107" t="s">
        <v>2959</v>
      </c>
      <c r="G356" s="107" t="s">
        <v>2964</v>
      </c>
      <c r="H356" s="107" t="s">
        <v>2976</v>
      </c>
      <c r="I356" s="107" t="s">
        <v>2997</v>
      </c>
      <c r="J356" s="107" t="s">
        <v>2997</v>
      </c>
      <c r="K356" s="107" t="s">
        <v>2997</v>
      </c>
      <c r="L356" s="107">
        <v>87.8</v>
      </c>
      <c r="M356" s="107">
        <v>3</v>
      </c>
    </row>
    <row r="357" spans="1:13" x14ac:dyDescent="0.3">
      <c r="A357" s="95">
        <f t="shared" si="5"/>
        <v>0</v>
      </c>
      <c r="B357" s="106" t="s">
        <v>390</v>
      </c>
      <c r="C357" s="95" t="s">
        <v>1854</v>
      </c>
      <c r="D357" s="106">
        <v>12</v>
      </c>
      <c r="E357" s="107">
        <v>1</v>
      </c>
      <c r="F357" s="107" t="s">
        <v>2958</v>
      </c>
      <c r="G357" s="107" t="s">
        <v>2961</v>
      </c>
      <c r="H357" s="107" t="s">
        <v>2971</v>
      </c>
      <c r="I357" s="107" t="s">
        <v>2997</v>
      </c>
      <c r="J357" s="107" t="s">
        <v>2997</v>
      </c>
      <c r="K357" s="107" t="s">
        <v>2997</v>
      </c>
      <c r="L357" s="107">
        <v>526.20000000000005</v>
      </c>
      <c r="M357" s="107">
        <v>1</v>
      </c>
    </row>
    <row r="358" spans="1:13" x14ac:dyDescent="0.3">
      <c r="A358" s="95">
        <f t="shared" si="5"/>
        <v>0</v>
      </c>
      <c r="B358" s="106" t="s">
        <v>391</v>
      </c>
      <c r="C358" s="95" t="s">
        <v>1855</v>
      </c>
      <c r="D358" s="106">
        <v>12</v>
      </c>
      <c r="E358" s="107">
        <v>1</v>
      </c>
      <c r="F358" s="107" t="s">
        <v>2958</v>
      </c>
      <c r="G358" s="107" t="s">
        <v>2961</v>
      </c>
      <c r="H358" s="107" t="s">
        <v>2972</v>
      </c>
      <c r="I358" s="107" t="s">
        <v>2997</v>
      </c>
      <c r="J358" s="107" t="s">
        <v>2997</v>
      </c>
      <c r="K358" s="107" t="s">
        <v>2997</v>
      </c>
      <c r="L358" s="107">
        <v>109.54</v>
      </c>
      <c r="M358" s="107">
        <v>2</v>
      </c>
    </row>
    <row r="359" spans="1:13" x14ac:dyDescent="0.3">
      <c r="A359" s="95">
        <f t="shared" si="5"/>
        <v>0</v>
      </c>
      <c r="B359" s="106" t="s">
        <v>392</v>
      </c>
      <c r="C359" s="95" t="s">
        <v>1856</v>
      </c>
      <c r="D359" s="106">
        <v>12</v>
      </c>
      <c r="E359" s="107">
        <v>1</v>
      </c>
      <c r="F359" s="107" t="s">
        <v>2958</v>
      </c>
      <c r="G359" s="107" t="s">
        <v>2965</v>
      </c>
      <c r="H359" s="107" t="s">
        <v>2965</v>
      </c>
      <c r="I359" s="107" t="s">
        <v>2997</v>
      </c>
      <c r="J359" s="107" t="s">
        <v>2997</v>
      </c>
      <c r="K359" s="107" t="s">
        <v>2997</v>
      </c>
      <c r="L359" s="107">
        <v>482.18</v>
      </c>
      <c r="M359" s="107"/>
    </row>
    <row r="360" spans="1:13" x14ac:dyDescent="0.3">
      <c r="A360" s="95">
        <f t="shared" si="5"/>
        <v>0</v>
      </c>
      <c r="B360" s="106" t="s">
        <v>393</v>
      </c>
      <c r="C360" s="95" t="s">
        <v>1857</v>
      </c>
      <c r="D360" s="106">
        <v>12</v>
      </c>
      <c r="E360" s="107">
        <v>1</v>
      </c>
      <c r="F360" s="107" t="s">
        <v>2958</v>
      </c>
      <c r="G360" s="107" t="s">
        <v>2968</v>
      </c>
      <c r="H360" s="107" t="s">
        <v>2968</v>
      </c>
      <c r="I360" s="107" t="s">
        <v>2997</v>
      </c>
      <c r="J360" s="107" t="s">
        <v>2997</v>
      </c>
      <c r="K360" s="107" t="s">
        <v>2997</v>
      </c>
      <c r="L360" s="107">
        <v>165.97</v>
      </c>
      <c r="M360" s="107">
        <v>1</v>
      </c>
    </row>
    <row r="361" spans="1:13" x14ac:dyDescent="0.3">
      <c r="A361" s="95">
        <f t="shared" si="5"/>
        <v>0</v>
      </c>
      <c r="B361" s="106" t="s">
        <v>394</v>
      </c>
      <c r="C361" s="95" t="s">
        <v>1858</v>
      </c>
      <c r="D361" s="106">
        <v>12</v>
      </c>
      <c r="E361" s="107">
        <v>1</v>
      </c>
      <c r="F361" s="107" t="s">
        <v>2958</v>
      </c>
      <c r="G361" s="107" t="s">
        <v>2963</v>
      </c>
      <c r="H361" s="107" t="s">
        <v>2974</v>
      </c>
      <c r="I361" s="107" t="s">
        <v>2997</v>
      </c>
      <c r="J361" s="107" t="s">
        <v>2997</v>
      </c>
      <c r="K361" s="107" t="s">
        <v>2996</v>
      </c>
      <c r="L361" s="107">
        <v>196.84</v>
      </c>
      <c r="M361" s="107">
        <v>2</v>
      </c>
    </row>
    <row r="362" spans="1:13" x14ac:dyDescent="0.3">
      <c r="A362" s="95">
        <f t="shared" si="5"/>
        <v>1</v>
      </c>
      <c r="B362" s="106" t="s">
        <v>395</v>
      </c>
      <c r="C362" s="95" t="s">
        <v>1859</v>
      </c>
      <c r="D362" s="106">
        <v>12</v>
      </c>
      <c r="E362" s="107">
        <v>1</v>
      </c>
      <c r="F362" s="107" t="s">
        <v>2958</v>
      </c>
      <c r="G362" s="107" t="s">
        <v>2966</v>
      </c>
      <c r="H362" s="107" t="s">
        <v>2984</v>
      </c>
      <c r="I362" s="107" t="s">
        <v>2997</v>
      </c>
      <c r="J362" s="107" t="s">
        <v>2997</v>
      </c>
      <c r="K362" s="107" t="s">
        <v>2997</v>
      </c>
      <c r="L362" s="107">
        <v>463.56</v>
      </c>
      <c r="M362" s="107">
        <v>7</v>
      </c>
    </row>
    <row r="363" spans="1:13" x14ac:dyDescent="0.3">
      <c r="A363" s="95">
        <f t="shared" si="5"/>
        <v>0</v>
      </c>
      <c r="B363" s="106" t="s">
        <v>396</v>
      </c>
      <c r="C363" s="95" t="s">
        <v>1860</v>
      </c>
      <c r="D363" s="106">
        <v>12</v>
      </c>
      <c r="E363" s="107">
        <v>1</v>
      </c>
      <c r="F363" s="107" t="s">
        <v>2958</v>
      </c>
      <c r="G363" s="107" t="s">
        <v>2966</v>
      </c>
      <c r="H363" s="107" t="s">
        <v>2984</v>
      </c>
      <c r="I363" s="107" t="s">
        <v>2997</v>
      </c>
      <c r="J363" s="107" t="s">
        <v>2997</v>
      </c>
      <c r="K363" s="107" t="s">
        <v>2996</v>
      </c>
      <c r="L363" s="107">
        <v>49.64</v>
      </c>
      <c r="M363" s="107"/>
    </row>
    <row r="364" spans="1:13" x14ac:dyDescent="0.3">
      <c r="A364" s="95">
        <f t="shared" si="5"/>
        <v>0</v>
      </c>
      <c r="B364" s="106" t="s">
        <v>397</v>
      </c>
      <c r="C364" s="95" t="s">
        <v>1861</v>
      </c>
      <c r="D364" s="106">
        <v>3</v>
      </c>
      <c r="E364" s="107">
        <v>1</v>
      </c>
      <c r="F364" s="107" t="s">
        <v>2958</v>
      </c>
      <c r="G364" s="107" t="s">
        <v>2966</v>
      </c>
      <c r="H364" s="107" t="s">
        <v>2984</v>
      </c>
      <c r="I364" s="107" t="s">
        <v>2997</v>
      </c>
      <c r="J364" s="107" t="s">
        <v>2996</v>
      </c>
      <c r="K364" s="107" t="s">
        <v>2997</v>
      </c>
      <c r="L364" s="107">
        <v>43.17</v>
      </c>
      <c r="M364" s="107"/>
    </row>
    <row r="365" spans="1:13" x14ac:dyDescent="0.3">
      <c r="A365" s="95">
        <f t="shared" si="5"/>
        <v>0</v>
      </c>
      <c r="B365" s="106" t="s">
        <v>398</v>
      </c>
      <c r="C365" s="95" t="s">
        <v>1862</v>
      </c>
      <c r="D365" s="106">
        <v>12</v>
      </c>
      <c r="E365" s="107">
        <v>1</v>
      </c>
      <c r="F365" s="107" t="s">
        <v>2958</v>
      </c>
      <c r="G365" s="107" t="s">
        <v>2964</v>
      </c>
      <c r="H365" s="107" t="s">
        <v>2976</v>
      </c>
      <c r="I365" s="107" t="s">
        <v>2997</v>
      </c>
      <c r="J365" s="107" t="s">
        <v>2997</v>
      </c>
      <c r="K365" s="107" t="s">
        <v>2997</v>
      </c>
      <c r="L365" s="107">
        <v>90.72</v>
      </c>
      <c r="M365" s="107"/>
    </row>
    <row r="366" spans="1:13" x14ac:dyDescent="0.3">
      <c r="A366" s="95">
        <f t="shared" si="5"/>
        <v>0</v>
      </c>
      <c r="B366" s="106" t="s">
        <v>399</v>
      </c>
      <c r="C366" s="95" t="s">
        <v>1863</v>
      </c>
      <c r="D366" s="106">
        <v>12</v>
      </c>
      <c r="E366" s="107">
        <v>1</v>
      </c>
      <c r="F366" s="107" t="s">
        <v>2958</v>
      </c>
      <c r="G366" s="107" t="s">
        <v>2965</v>
      </c>
      <c r="H366" s="107" t="s">
        <v>2965</v>
      </c>
      <c r="I366" s="107" t="s">
        <v>2996</v>
      </c>
      <c r="J366" s="107" t="s">
        <v>2996</v>
      </c>
      <c r="K366" s="107" t="s">
        <v>2996</v>
      </c>
      <c r="L366" s="107">
        <v>49.32</v>
      </c>
      <c r="M366" s="107"/>
    </row>
    <row r="367" spans="1:13" x14ac:dyDescent="0.3">
      <c r="A367" s="95">
        <f t="shared" si="5"/>
        <v>0</v>
      </c>
      <c r="B367" s="106" t="s">
        <v>400</v>
      </c>
      <c r="C367" s="95" t="s">
        <v>1864</v>
      </c>
      <c r="D367" s="106">
        <v>12</v>
      </c>
      <c r="E367" s="107">
        <v>1</v>
      </c>
      <c r="F367" s="107" t="s">
        <v>2959</v>
      </c>
      <c r="G367" s="107" t="s">
        <v>2961</v>
      </c>
      <c r="H367" s="107" t="s">
        <v>2972</v>
      </c>
      <c r="I367" s="107" t="s">
        <v>2996</v>
      </c>
      <c r="J367" s="107" t="s">
        <v>2996</v>
      </c>
      <c r="K367" s="107" t="s">
        <v>2996</v>
      </c>
      <c r="L367" s="107">
        <v>34.19</v>
      </c>
      <c r="M367" s="107"/>
    </row>
    <row r="368" spans="1:13" x14ac:dyDescent="0.3">
      <c r="A368" s="95">
        <f t="shared" si="5"/>
        <v>0</v>
      </c>
      <c r="B368" s="106" t="s">
        <v>401</v>
      </c>
      <c r="C368" s="95" t="s">
        <v>1865</v>
      </c>
      <c r="D368" s="106">
        <v>12</v>
      </c>
      <c r="E368" s="107">
        <v>1</v>
      </c>
      <c r="F368" s="107" t="s">
        <v>2958</v>
      </c>
      <c r="G368" s="107" t="s">
        <v>2964</v>
      </c>
      <c r="H368" s="107" t="s">
        <v>2976</v>
      </c>
      <c r="I368" s="107" t="s">
        <v>2996</v>
      </c>
      <c r="J368" s="107" t="s">
        <v>2996</v>
      </c>
      <c r="K368" s="107" t="s">
        <v>2996</v>
      </c>
      <c r="L368" s="107">
        <v>49.8</v>
      </c>
      <c r="M368" s="107"/>
    </row>
    <row r="369" spans="1:13" x14ac:dyDescent="0.3">
      <c r="A369" s="95">
        <f t="shared" si="5"/>
        <v>0</v>
      </c>
      <c r="B369" s="106" t="s">
        <v>402</v>
      </c>
      <c r="C369" s="95" t="s">
        <v>1866</v>
      </c>
      <c r="D369" s="106">
        <v>12</v>
      </c>
      <c r="E369" s="107">
        <v>1</v>
      </c>
      <c r="F369" s="107" t="s">
        <v>2959</v>
      </c>
      <c r="G369" s="107" t="s">
        <v>2965</v>
      </c>
      <c r="H369" s="107" t="s">
        <v>2965</v>
      </c>
      <c r="I369" s="107" t="s">
        <v>2997</v>
      </c>
      <c r="J369" s="107" t="s">
        <v>2997</v>
      </c>
      <c r="K369" s="107" t="s">
        <v>2996</v>
      </c>
      <c r="L369" s="107">
        <v>34.32</v>
      </c>
      <c r="M369" s="107"/>
    </row>
    <row r="370" spans="1:13" x14ac:dyDescent="0.3">
      <c r="A370" s="95">
        <f t="shared" si="5"/>
        <v>0</v>
      </c>
      <c r="B370" s="106" t="s">
        <v>403</v>
      </c>
      <c r="C370" s="95" t="s">
        <v>1867</v>
      </c>
      <c r="D370" s="106">
        <v>12</v>
      </c>
      <c r="E370" s="107">
        <v>1</v>
      </c>
      <c r="F370" s="107" t="s">
        <v>2958</v>
      </c>
      <c r="G370" s="107" t="s">
        <v>2965</v>
      </c>
      <c r="H370" s="107" t="s">
        <v>2965</v>
      </c>
      <c r="I370" s="107" t="s">
        <v>2996</v>
      </c>
      <c r="J370" s="107" t="s">
        <v>2996</v>
      </c>
      <c r="K370" s="107" t="s">
        <v>2996</v>
      </c>
      <c r="L370" s="107">
        <v>34.96</v>
      </c>
      <c r="M370" s="107"/>
    </row>
    <row r="371" spans="1:13" x14ac:dyDescent="0.3">
      <c r="A371" s="95">
        <f t="shared" si="5"/>
        <v>0</v>
      </c>
      <c r="B371" s="106" t="s">
        <v>3132</v>
      </c>
      <c r="C371" s="95" t="s">
        <v>3335</v>
      </c>
      <c r="D371" s="106">
        <v>12</v>
      </c>
      <c r="E371" s="107">
        <v>1</v>
      </c>
      <c r="F371" s="107" t="s">
        <v>2959</v>
      </c>
      <c r="G371" s="107" t="s">
        <v>2964</v>
      </c>
      <c r="H371" s="107" t="s">
        <v>2976</v>
      </c>
      <c r="I371" s="107" t="s">
        <v>2996</v>
      </c>
      <c r="J371" s="107" t="s">
        <v>2996</v>
      </c>
      <c r="K371" s="107" t="s">
        <v>2996</v>
      </c>
      <c r="L371" s="107">
        <v>35.33</v>
      </c>
      <c r="M371" s="107"/>
    </row>
    <row r="372" spans="1:13" x14ac:dyDescent="0.3">
      <c r="A372" s="95">
        <f t="shared" si="5"/>
        <v>0</v>
      </c>
      <c r="B372" s="106" t="s">
        <v>404</v>
      </c>
      <c r="C372" s="95" t="s">
        <v>1868</v>
      </c>
      <c r="D372" s="106">
        <v>12</v>
      </c>
      <c r="E372" s="107">
        <v>1</v>
      </c>
      <c r="F372" s="107" t="s">
        <v>2958</v>
      </c>
      <c r="G372" s="107" t="s">
        <v>2960</v>
      </c>
      <c r="H372" s="107" t="s">
        <v>2970</v>
      </c>
      <c r="I372" s="107" t="s">
        <v>2997</v>
      </c>
      <c r="J372" s="107" t="s">
        <v>2997</v>
      </c>
      <c r="K372" s="107" t="s">
        <v>2997</v>
      </c>
      <c r="L372" s="107">
        <v>306</v>
      </c>
      <c r="M372" s="107">
        <v>3</v>
      </c>
    </row>
    <row r="373" spans="1:13" x14ac:dyDescent="0.3">
      <c r="A373" s="95">
        <f t="shared" si="5"/>
        <v>0</v>
      </c>
      <c r="B373" s="106" t="s">
        <v>405</v>
      </c>
      <c r="C373" s="95" t="s">
        <v>1869</v>
      </c>
      <c r="D373" s="106">
        <v>12</v>
      </c>
      <c r="E373" s="107">
        <v>1</v>
      </c>
      <c r="F373" s="107" t="s">
        <v>2958</v>
      </c>
      <c r="G373" s="107" t="s">
        <v>2961</v>
      </c>
      <c r="H373" s="107" t="s">
        <v>2971</v>
      </c>
      <c r="I373" s="107" t="s">
        <v>2997</v>
      </c>
      <c r="J373" s="107" t="s">
        <v>2997</v>
      </c>
      <c r="K373" s="107" t="s">
        <v>2996</v>
      </c>
      <c r="L373" s="107">
        <v>23.64</v>
      </c>
      <c r="M373" s="107"/>
    </row>
    <row r="374" spans="1:13" x14ac:dyDescent="0.3">
      <c r="A374" s="95">
        <f t="shared" si="5"/>
        <v>0</v>
      </c>
      <c r="B374" s="106" t="s">
        <v>406</v>
      </c>
      <c r="C374" s="95" t="s">
        <v>1870</v>
      </c>
      <c r="D374" s="106">
        <v>3</v>
      </c>
      <c r="E374" s="107">
        <v>1</v>
      </c>
      <c r="F374" s="107" t="s">
        <v>2958</v>
      </c>
      <c r="G374" s="107" t="s">
        <v>2962</v>
      </c>
      <c r="H374" s="107" t="s">
        <v>2979</v>
      </c>
      <c r="I374" s="107" t="s">
        <v>2997</v>
      </c>
      <c r="J374" s="107" t="s">
        <v>2997</v>
      </c>
      <c r="K374" s="107" t="s">
        <v>2996</v>
      </c>
      <c r="L374" s="107">
        <v>470.03</v>
      </c>
      <c r="M374" s="107"/>
    </row>
    <row r="375" spans="1:13" x14ac:dyDescent="0.3">
      <c r="A375" s="95">
        <f t="shared" si="5"/>
        <v>0</v>
      </c>
      <c r="B375" s="106" t="s">
        <v>407</v>
      </c>
      <c r="C375" s="95" t="s">
        <v>1871</v>
      </c>
      <c r="D375" s="106">
        <v>12</v>
      </c>
      <c r="E375" s="107">
        <v>1</v>
      </c>
      <c r="F375" s="107" t="s">
        <v>2958</v>
      </c>
      <c r="G375" s="107" t="s">
        <v>2961</v>
      </c>
      <c r="H375" s="107" t="s">
        <v>2972</v>
      </c>
      <c r="I375" s="107" t="s">
        <v>2997</v>
      </c>
      <c r="J375" s="107" t="s">
        <v>2997</v>
      </c>
      <c r="K375" s="107" t="s">
        <v>2996</v>
      </c>
      <c r="L375" s="107">
        <v>64.67</v>
      </c>
      <c r="M375" s="107"/>
    </row>
    <row r="376" spans="1:13" x14ac:dyDescent="0.3">
      <c r="A376" s="95">
        <f t="shared" si="5"/>
        <v>0</v>
      </c>
      <c r="B376" s="106" t="s">
        <v>408</v>
      </c>
      <c r="C376" s="95" t="s">
        <v>1872</v>
      </c>
      <c r="D376" s="106">
        <v>12</v>
      </c>
      <c r="E376" s="107">
        <v>1</v>
      </c>
      <c r="F376" s="107" t="s">
        <v>2958</v>
      </c>
      <c r="G376" s="107" t="s">
        <v>2966</v>
      </c>
      <c r="H376" s="107" t="s">
        <v>2977</v>
      </c>
      <c r="I376" s="107" t="s">
        <v>2997</v>
      </c>
      <c r="J376" s="107" t="s">
        <v>2997</v>
      </c>
      <c r="K376" s="107" t="s">
        <v>2996</v>
      </c>
      <c r="L376" s="107">
        <v>42.57</v>
      </c>
      <c r="M376" s="107"/>
    </row>
    <row r="377" spans="1:13" x14ac:dyDescent="0.3">
      <c r="A377" s="95">
        <f t="shared" si="5"/>
        <v>0</v>
      </c>
      <c r="B377" s="106" t="s">
        <v>409</v>
      </c>
      <c r="C377" s="95" t="s">
        <v>1873</v>
      </c>
      <c r="D377" s="106">
        <v>12</v>
      </c>
      <c r="E377" s="107">
        <v>1</v>
      </c>
      <c r="F377" s="107" t="s">
        <v>2958</v>
      </c>
      <c r="G377" s="107" t="s">
        <v>2964</v>
      </c>
      <c r="H377" s="107" t="s">
        <v>2976</v>
      </c>
      <c r="I377" s="107" t="s">
        <v>2996</v>
      </c>
      <c r="J377" s="107" t="s">
        <v>2996</v>
      </c>
      <c r="K377" s="107" t="s">
        <v>2996</v>
      </c>
      <c r="L377" s="107">
        <v>24.71</v>
      </c>
      <c r="M377" s="107"/>
    </row>
    <row r="378" spans="1:13" x14ac:dyDescent="0.3">
      <c r="A378" s="95">
        <f t="shared" si="5"/>
        <v>0</v>
      </c>
      <c r="B378" s="106" t="s">
        <v>410</v>
      </c>
      <c r="C378" s="95" t="s">
        <v>1874</v>
      </c>
      <c r="D378" s="106">
        <v>12</v>
      </c>
      <c r="E378" s="107">
        <v>1</v>
      </c>
      <c r="F378" s="107" t="s">
        <v>2958</v>
      </c>
      <c r="G378" s="107" t="s">
        <v>2965</v>
      </c>
      <c r="H378" s="107" t="s">
        <v>2965</v>
      </c>
      <c r="I378" s="107" t="s">
        <v>2996</v>
      </c>
      <c r="J378" s="107" t="s">
        <v>2996</v>
      </c>
      <c r="K378" s="107" t="s">
        <v>2996</v>
      </c>
      <c r="L378" s="107">
        <v>290.16000000000003</v>
      </c>
      <c r="M378" s="107">
        <v>1</v>
      </c>
    </row>
    <row r="379" spans="1:13" x14ac:dyDescent="0.3">
      <c r="A379" s="95">
        <f t="shared" si="5"/>
        <v>0</v>
      </c>
      <c r="B379" s="106" t="s">
        <v>411</v>
      </c>
      <c r="C379" s="95" t="s">
        <v>1875</v>
      </c>
      <c r="D379" s="106">
        <v>12</v>
      </c>
      <c r="E379" s="107">
        <v>1</v>
      </c>
      <c r="F379" s="107" t="s">
        <v>2958</v>
      </c>
      <c r="G379" s="107" t="s">
        <v>2961</v>
      </c>
      <c r="H379" s="107" t="s">
        <v>2990</v>
      </c>
      <c r="I379" s="107" t="s">
        <v>2997</v>
      </c>
      <c r="J379" s="107" t="s">
        <v>2997</v>
      </c>
      <c r="K379" s="107" t="s">
        <v>2996</v>
      </c>
      <c r="L379" s="107">
        <v>2394.14</v>
      </c>
      <c r="M379" s="107">
        <v>14</v>
      </c>
    </row>
    <row r="380" spans="1:13" x14ac:dyDescent="0.3">
      <c r="A380" s="95">
        <f t="shared" si="5"/>
        <v>0</v>
      </c>
      <c r="B380" s="106" t="s">
        <v>412</v>
      </c>
      <c r="C380" s="95" t="s">
        <v>1876</v>
      </c>
      <c r="D380" s="106">
        <v>12</v>
      </c>
      <c r="E380" s="107">
        <v>1</v>
      </c>
      <c r="F380" s="107" t="s">
        <v>2959</v>
      </c>
      <c r="G380" s="107" t="s">
        <v>2961</v>
      </c>
      <c r="H380" s="107" t="s">
        <v>2972</v>
      </c>
      <c r="I380" s="107" t="s">
        <v>2997</v>
      </c>
      <c r="J380" s="107" t="s">
        <v>2997</v>
      </c>
      <c r="K380" s="107" t="s">
        <v>2997</v>
      </c>
      <c r="L380" s="107">
        <v>21.74</v>
      </c>
      <c r="M380" s="107"/>
    </row>
    <row r="381" spans="1:13" x14ac:dyDescent="0.3">
      <c r="A381" s="95">
        <f t="shared" si="5"/>
        <v>0</v>
      </c>
      <c r="B381" s="106" t="s">
        <v>413</v>
      </c>
      <c r="C381" s="95" t="s">
        <v>1877</v>
      </c>
      <c r="D381" s="106">
        <v>12</v>
      </c>
      <c r="E381" s="107">
        <v>1</v>
      </c>
      <c r="F381" s="107" t="s">
        <v>2959</v>
      </c>
      <c r="G381" s="107" t="s">
        <v>2964</v>
      </c>
      <c r="H381" s="107" t="s">
        <v>2976</v>
      </c>
      <c r="I381" s="107" t="s">
        <v>2996</v>
      </c>
      <c r="J381" s="107" t="s">
        <v>2996</v>
      </c>
      <c r="K381" s="107" t="s">
        <v>2996</v>
      </c>
      <c r="L381" s="107">
        <v>17.84</v>
      </c>
      <c r="M381" s="107"/>
    </row>
    <row r="382" spans="1:13" x14ac:dyDescent="0.3">
      <c r="A382" s="95">
        <f t="shared" si="5"/>
        <v>0</v>
      </c>
      <c r="B382" s="106" t="s">
        <v>414</v>
      </c>
      <c r="C382" s="95" t="s">
        <v>1878</v>
      </c>
      <c r="D382" s="106">
        <v>9</v>
      </c>
      <c r="E382" s="107">
        <v>1</v>
      </c>
      <c r="F382" s="107" t="s">
        <v>2958</v>
      </c>
      <c r="G382" s="107" t="s">
        <v>2965</v>
      </c>
      <c r="H382" s="107" t="s">
        <v>2965</v>
      </c>
      <c r="I382" s="107" t="s">
        <v>2997</v>
      </c>
      <c r="J382" s="107" t="s">
        <v>2996</v>
      </c>
      <c r="K382" s="107" t="s">
        <v>2996</v>
      </c>
      <c r="L382" s="107">
        <v>31.6</v>
      </c>
      <c r="M382" s="107"/>
    </row>
    <row r="383" spans="1:13" x14ac:dyDescent="0.3">
      <c r="A383" s="95">
        <f t="shared" si="5"/>
        <v>0</v>
      </c>
      <c r="B383" s="106" t="s">
        <v>415</v>
      </c>
      <c r="C383" s="95" t="s">
        <v>1879</v>
      </c>
      <c r="D383" s="106">
        <v>12</v>
      </c>
      <c r="E383" s="107">
        <v>1</v>
      </c>
      <c r="F383" s="107" t="s">
        <v>2958</v>
      </c>
      <c r="G383" s="107" t="s">
        <v>2964</v>
      </c>
      <c r="H383" s="107" t="s">
        <v>2976</v>
      </c>
      <c r="I383" s="107" t="s">
        <v>2997</v>
      </c>
      <c r="J383" s="107" t="s">
        <v>2997</v>
      </c>
      <c r="K383" s="107" t="s">
        <v>2996</v>
      </c>
      <c r="L383" s="107">
        <v>22.63</v>
      </c>
      <c r="M383" s="107"/>
    </row>
    <row r="384" spans="1:13" x14ac:dyDescent="0.3">
      <c r="A384" s="95">
        <f t="shared" si="5"/>
        <v>0</v>
      </c>
      <c r="B384" s="106" t="s">
        <v>416</v>
      </c>
      <c r="C384" s="95" t="s">
        <v>1880</v>
      </c>
      <c r="D384" s="106">
        <v>12</v>
      </c>
      <c r="E384" s="107">
        <v>1</v>
      </c>
      <c r="F384" s="107" t="s">
        <v>2958</v>
      </c>
      <c r="G384" s="107" t="s">
        <v>2960</v>
      </c>
      <c r="H384" s="107" t="s">
        <v>2970</v>
      </c>
      <c r="I384" s="107" t="s">
        <v>2997</v>
      </c>
      <c r="J384" s="107" t="s">
        <v>2997</v>
      </c>
      <c r="K384" s="107" t="s">
        <v>2996</v>
      </c>
      <c r="L384" s="107">
        <v>754.72</v>
      </c>
      <c r="M384" s="107"/>
    </row>
    <row r="385" spans="1:13" x14ac:dyDescent="0.3">
      <c r="A385" s="95">
        <f t="shared" si="5"/>
        <v>0</v>
      </c>
      <c r="B385" s="106" t="s">
        <v>417</v>
      </c>
      <c r="C385" s="95" t="s">
        <v>1881</v>
      </c>
      <c r="D385" s="106">
        <v>12</v>
      </c>
      <c r="E385" s="107">
        <v>1</v>
      </c>
      <c r="F385" s="107" t="s">
        <v>2958</v>
      </c>
      <c r="G385" s="107" t="s">
        <v>2965</v>
      </c>
      <c r="H385" s="107" t="s">
        <v>2965</v>
      </c>
      <c r="I385" s="107" t="s">
        <v>2997</v>
      </c>
      <c r="J385" s="107" t="s">
        <v>2997</v>
      </c>
      <c r="K385" s="107" t="s">
        <v>2996</v>
      </c>
      <c r="L385" s="107">
        <v>129.51</v>
      </c>
      <c r="M385" s="107"/>
    </row>
    <row r="386" spans="1:13" x14ac:dyDescent="0.3">
      <c r="A386" s="95">
        <f t="shared" si="5"/>
        <v>0</v>
      </c>
      <c r="B386" s="106" t="s">
        <v>418</v>
      </c>
      <c r="C386" s="95" t="s">
        <v>1882</v>
      </c>
      <c r="D386" s="106">
        <v>12</v>
      </c>
      <c r="E386" s="107">
        <v>1</v>
      </c>
      <c r="F386" s="107" t="s">
        <v>2958</v>
      </c>
      <c r="G386" s="107" t="s">
        <v>2964</v>
      </c>
      <c r="H386" s="107" t="s">
        <v>2975</v>
      </c>
      <c r="I386" s="107" t="s">
        <v>2997</v>
      </c>
      <c r="J386" s="107" t="s">
        <v>2997</v>
      </c>
      <c r="K386" s="107" t="s">
        <v>2997</v>
      </c>
      <c r="L386" s="107">
        <v>56.1</v>
      </c>
      <c r="M386" s="107"/>
    </row>
    <row r="387" spans="1:13" x14ac:dyDescent="0.3">
      <c r="A387" s="95">
        <f t="shared" si="5"/>
        <v>0</v>
      </c>
      <c r="B387" s="106" t="s">
        <v>419</v>
      </c>
      <c r="C387" s="95" t="s">
        <v>1883</v>
      </c>
      <c r="D387" s="106">
        <v>12</v>
      </c>
      <c r="E387" s="107">
        <v>1</v>
      </c>
      <c r="F387" s="107" t="s">
        <v>2958</v>
      </c>
      <c r="G387" s="107" t="s">
        <v>2966</v>
      </c>
      <c r="H387" s="107" t="s">
        <v>2977</v>
      </c>
      <c r="I387" s="107" t="s">
        <v>2997</v>
      </c>
      <c r="J387" s="107" t="s">
        <v>2997</v>
      </c>
      <c r="K387" s="107" t="s">
        <v>2997</v>
      </c>
      <c r="L387" s="107">
        <v>26.31</v>
      </c>
      <c r="M387" s="107"/>
    </row>
    <row r="388" spans="1:13" x14ac:dyDescent="0.3">
      <c r="A388" s="95">
        <f t="shared" si="5"/>
        <v>1</v>
      </c>
      <c r="B388" s="106" t="s">
        <v>420</v>
      </c>
      <c r="C388" s="95" t="s">
        <v>1884</v>
      </c>
      <c r="D388" s="106">
        <v>12</v>
      </c>
      <c r="E388" s="107">
        <v>1</v>
      </c>
      <c r="F388" s="107" t="s">
        <v>2958</v>
      </c>
      <c r="G388" s="107" t="s">
        <v>2966</v>
      </c>
      <c r="H388" s="107" t="s">
        <v>2984</v>
      </c>
      <c r="I388" s="107" t="s">
        <v>2997</v>
      </c>
      <c r="J388" s="107" t="s">
        <v>2997</v>
      </c>
      <c r="K388" s="107" t="s">
        <v>2997</v>
      </c>
      <c r="L388" s="107">
        <v>6505.82</v>
      </c>
      <c r="M388" s="107">
        <v>22</v>
      </c>
    </row>
    <row r="389" spans="1:13" x14ac:dyDescent="0.3">
      <c r="A389" s="95">
        <f t="shared" si="5"/>
        <v>0</v>
      </c>
      <c r="B389" s="106" t="s">
        <v>421</v>
      </c>
      <c r="C389" s="95" t="s">
        <v>1885</v>
      </c>
      <c r="D389" s="106">
        <v>12</v>
      </c>
      <c r="E389" s="107">
        <v>1</v>
      </c>
      <c r="F389" s="107" t="s">
        <v>2958</v>
      </c>
      <c r="G389" s="107" t="s">
        <v>2964</v>
      </c>
      <c r="H389" s="107" t="s">
        <v>2976</v>
      </c>
      <c r="I389" s="107" t="s">
        <v>2997</v>
      </c>
      <c r="J389" s="107" t="s">
        <v>2997</v>
      </c>
      <c r="K389" s="107" t="s">
        <v>2997</v>
      </c>
      <c r="L389" s="107">
        <v>212.9</v>
      </c>
      <c r="M389" s="107"/>
    </row>
    <row r="390" spans="1:13" x14ac:dyDescent="0.3">
      <c r="A390" s="95">
        <f t="shared" si="5"/>
        <v>0</v>
      </c>
      <c r="B390" s="106" t="s">
        <v>422</v>
      </c>
      <c r="C390" s="95" t="s">
        <v>1886</v>
      </c>
      <c r="D390" s="106">
        <v>12</v>
      </c>
      <c r="E390" s="107">
        <v>1</v>
      </c>
      <c r="F390" s="107" t="s">
        <v>2958</v>
      </c>
      <c r="G390" s="107" t="s">
        <v>2964</v>
      </c>
      <c r="H390" s="107" t="s">
        <v>2975</v>
      </c>
      <c r="I390" s="107" t="s">
        <v>2997</v>
      </c>
      <c r="J390" s="107" t="s">
        <v>2997</v>
      </c>
      <c r="K390" s="107" t="s">
        <v>2997</v>
      </c>
      <c r="L390" s="107">
        <v>190.02</v>
      </c>
      <c r="M390" s="107"/>
    </row>
    <row r="391" spans="1:13" x14ac:dyDescent="0.3">
      <c r="A391" s="95">
        <f t="shared" si="5"/>
        <v>0</v>
      </c>
      <c r="B391" s="106" t="s">
        <v>423</v>
      </c>
      <c r="C391" s="95" t="s">
        <v>1887</v>
      </c>
      <c r="D391" s="106">
        <v>12</v>
      </c>
      <c r="E391" s="107">
        <v>1</v>
      </c>
      <c r="F391" s="107" t="s">
        <v>2958</v>
      </c>
      <c r="G391" s="107" t="s">
        <v>2965</v>
      </c>
      <c r="H391" s="107" t="s">
        <v>2965</v>
      </c>
      <c r="I391" s="107" t="s">
        <v>2997</v>
      </c>
      <c r="J391" s="107" t="s">
        <v>2997</v>
      </c>
      <c r="K391" s="107" t="s">
        <v>2996</v>
      </c>
      <c r="L391" s="107">
        <v>39.04</v>
      </c>
      <c r="M391" s="107"/>
    </row>
    <row r="392" spans="1:13" x14ac:dyDescent="0.3">
      <c r="A392" s="95">
        <f t="shared" si="5"/>
        <v>0</v>
      </c>
      <c r="B392" s="106" t="s">
        <v>424</v>
      </c>
      <c r="C392" s="95" t="s">
        <v>1888</v>
      </c>
      <c r="D392" s="106">
        <v>12</v>
      </c>
      <c r="E392" s="107">
        <v>1</v>
      </c>
      <c r="F392" s="107" t="s">
        <v>2958</v>
      </c>
      <c r="G392" s="107" t="s">
        <v>2965</v>
      </c>
      <c r="H392" s="107" t="s">
        <v>2965</v>
      </c>
      <c r="I392" s="107" t="s">
        <v>2997</v>
      </c>
      <c r="J392" s="107" t="s">
        <v>2997</v>
      </c>
      <c r="K392" s="107" t="s">
        <v>2996</v>
      </c>
      <c r="L392" s="107">
        <v>95.91</v>
      </c>
      <c r="M392" s="107"/>
    </row>
    <row r="393" spans="1:13" x14ac:dyDescent="0.3">
      <c r="A393" s="95">
        <f t="shared" si="5"/>
        <v>0</v>
      </c>
      <c r="B393" s="106" t="s">
        <v>425</v>
      </c>
      <c r="C393" s="95" t="s">
        <v>1889</v>
      </c>
      <c r="D393" s="106">
        <v>12</v>
      </c>
      <c r="E393" s="107">
        <v>1</v>
      </c>
      <c r="F393" s="107" t="s">
        <v>2958</v>
      </c>
      <c r="G393" s="107" t="s">
        <v>2964</v>
      </c>
      <c r="H393" s="107" t="s">
        <v>2976</v>
      </c>
      <c r="I393" s="107" t="s">
        <v>2997</v>
      </c>
      <c r="J393" s="107" t="s">
        <v>2997</v>
      </c>
      <c r="K393" s="107" t="s">
        <v>2997</v>
      </c>
      <c r="L393" s="107">
        <v>721.31</v>
      </c>
      <c r="M393" s="107">
        <v>4</v>
      </c>
    </row>
    <row r="394" spans="1:13" x14ac:dyDescent="0.3">
      <c r="A394" s="95">
        <f t="shared" si="5"/>
        <v>0</v>
      </c>
      <c r="B394" s="106" t="s">
        <v>426</v>
      </c>
      <c r="C394" s="95" t="s">
        <v>1890</v>
      </c>
      <c r="D394" s="106">
        <v>12</v>
      </c>
      <c r="E394" s="107">
        <v>1</v>
      </c>
      <c r="F394" s="107" t="s">
        <v>2958</v>
      </c>
      <c r="G394" s="107" t="s">
        <v>2961</v>
      </c>
      <c r="H394" s="107" t="s">
        <v>2972</v>
      </c>
      <c r="I394" s="107" t="s">
        <v>2997</v>
      </c>
      <c r="J394" s="107" t="s">
        <v>2997</v>
      </c>
      <c r="K394" s="107" t="s">
        <v>2996</v>
      </c>
      <c r="L394" s="107">
        <v>77.23</v>
      </c>
      <c r="M394" s="107">
        <v>1</v>
      </c>
    </row>
    <row r="395" spans="1:13" x14ac:dyDescent="0.3">
      <c r="A395" s="95">
        <f t="shared" si="5"/>
        <v>0</v>
      </c>
      <c r="B395" s="106" t="s">
        <v>427</v>
      </c>
      <c r="C395" s="95" t="s">
        <v>1891</v>
      </c>
      <c r="D395" s="106">
        <v>12</v>
      </c>
      <c r="E395" s="107">
        <v>1</v>
      </c>
      <c r="F395" s="107" t="s">
        <v>2958</v>
      </c>
      <c r="G395" s="107" t="s">
        <v>2960</v>
      </c>
      <c r="H395" s="107" t="s">
        <v>2970</v>
      </c>
      <c r="I395" s="107" t="s">
        <v>2997</v>
      </c>
      <c r="J395" s="107" t="s">
        <v>2997</v>
      </c>
      <c r="K395" s="107" t="s">
        <v>2996</v>
      </c>
      <c r="L395" s="107">
        <v>350.17</v>
      </c>
      <c r="M395" s="107">
        <v>1</v>
      </c>
    </row>
    <row r="396" spans="1:13" x14ac:dyDescent="0.3">
      <c r="A396" s="95">
        <f t="shared" si="5"/>
        <v>0</v>
      </c>
      <c r="B396" s="106" t="s">
        <v>428</v>
      </c>
      <c r="C396" s="95" t="s">
        <v>1892</v>
      </c>
      <c r="D396" s="106">
        <v>12</v>
      </c>
      <c r="E396" s="107">
        <v>1</v>
      </c>
      <c r="F396" s="107" t="s">
        <v>2959</v>
      </c>
      <c r="G396" s="107" t="s">
        <v>2960</v>
      </c>
      <c r="H396" s="107" t="s">
        <v>2970</v>
      </c>
      <c r="I396" s="107" t="s">
        <v>2996</v>
      </c>
      <c r="J396" s="107" t="s">
        <v>2996</v>
      </c>
      <c r="K396" s="107" t="s">
        <v>2996</v>
      </c>
      <c r="L396" s="107">
        <v>73.89</v>
      </c>
      <c r="M396" s="107"/>
    </row>
    <row r="397" spans="1:13" x14ac:dyDescent="0.3">
      <c r="A397" s="95">
        <f t="shared" si="5"/>
        <v>0</v>
      </c>
      <c r="B397" s="106" t="s">
        <v>429</v>
      </c>
      <c r="C397" s="95" t="s">
        <v>1893</v>
      </c>
      <c r="D397" s="106">
        <v>12</v>
      </c>
      <c r="E397" s="107">
        <v>1</v>
      </c>
      <c r="F397" s="107" t="s">
        <v>2958</v>
      </c>
      <c r="G397" s="107" t="s">
        <v>2966</v>
      </c>
      <c r="H397" s="107" t="s">
        <v>2980</v>
      </c>
      <c r="I397" s="107" t="s">
        <v>2997</v>
      </c>
      <c r="J397" s="107" t="s">
        <v>2997</v>
      </c>
      <c r="K397" s="107" t="s">
        <v>2997</v>
      </c>
      <c r="L397" s="107">
        <v>89.27</v>
      </c>
      <c r="M397" s="107"/>
    </row>
    <row r="398" spans="1:13" x14ac:dyDescent="0.3">
      <c r="A398" s="95">
        <f t="shared" si="5"/>
        <v>0</v>
      </c>
      <c r="B398" s="106" t="s">
        <v>430</v>
      </c>
      <c r="C398" s="95" t="s">
        <v>1894</v>
      </c>
      <c r="D398" s="106">
        <v>12</v>
      </c>
      <c r="E398" s="107">
        <v>1</v>
      </c>
      <c r="F398" s="107" t="s">
        <v>2958</v>
      </c>
      <c r="G398" s="107" t="s">
        <v>2961</v>
      </c>
      <c r="H398" s="107" t="s">
        <v>2971</v>
      </c>
      <c r="I398" s="107" t="s">
        <v>2997</v>
      </c>
      <c r="J398" s="107" t="s">
        <v>2997</v>
      </c>
      <c r="K398" s="107" t="s">
        <v>2997</v>
      </c>
      <c r="L398" s="107">
        <v>28.24</v>
      </c>
      <c r="M398" s="107"/>
    </row>
    <row r="399" spans="1:13" x14ac:dyDescent="0.3">
      <c r="A399" s="95">
        <f t="shared" ref="A399:A462" si="6">IF(AND(E399=1,J399=K399,M399&gt;6),1,0)</f>
        <v>0</v>
      </c>
      <c r="B399" s="106" t="s">
        <v>431</v>
      </c>
      <c r="C399" s="95" t="s">
        <v>1895</v>
      </c>
      <c r="D399" s="106">
        <v>12</v>
      </c>
      <c r="E399" s="107">
        <v>1</v>
      </c>
      <c r="F399" s="107" t="s">
        <v>2958</v>
      </c>
      <c r="G399" s="107" t="s">
        <v>2964</v>
      </c>
      <c r="H399" s="107" t="s">
        <v>2976</v>
      </c>
      <c r="I399" s="107" t="s">
        <v>2997</v>
      </c>
      <c r="J399" s="107" t="s">
        <v>2997</v>
      </c>
      <c r="K399" s="107" t="s">
        <v>2997</v>
      </c>
      <c r="L399" s="107">
        <v>511.12</v>
      </c>
      <c r="M399" s="107"/>
    </row>
    <row r="400" spans="1:13" x14ac:dyDescent="0.3">
      <c r="A400" s="95">
        <f t="shared" si="6"/>
        <v>0</v>
      </c>
      <c r="B400" s="106" t="s">
        <v>432</v>
      </c>
      <c r="C400" s="95" t="s">
        <v>1896</v>
      </c>
      <c r="D400" s="106">
        <v>12</v>
      </c>
      <c r="E400" s="107">
        <v>1</v>
      </c>
      <c r="F400" s="107" t="s">
        <v>2958</v>
      </c>
      <c r="G400" s="107" t="s">
        <v>2960</v>
      </c>
      <c r="H400" s="107" t="s">
        <v>2970</v>
      </c>
      <c r="I400" s="107" t="s">
        <v>2997</v>
      </c>
      <c r="J400" s="107" t="s">
        <v>2997</v>
      </c>
      <c r="K400" s="107" t="s">
        <v>2996</v>
      </c>
      <c r="L400" s="107">
        <v>236.19</v>
      </c>
      <c r="M400" s="107"/>
    </row>
    <row r="401" spans="1:13" x14ac:dyDescent="0.3">
      <c r="A401" s="95">
        <f t="shared" si="6"/>
        <v>0</v>
      </c>
      <c r="B401" s="106" t="s">
        <v>433</v>
      </c>
      <c r="C401" s="95" t="s">
        <v>1897</v>
      </c>
      <c r="D401" s="106">
        <v>12</v>
      </c>
      <c r="E401" s="107">
        <v>1</v>
      </c>
      <c r="F401" s="107" t="s">
        <v>2958</v>
      </c>
      <c r="G401" s="107" t="s">
        <v>2964</v>
      </c>
      <c r="H401" s="107" t="s">
        <v>2976</v>
      </c>
      <c r="I401" s="107" t="s">
        <v>2997</v>
      </c>
      <c r="J401" s="107" t="s">
        <v>2997</v>
      </c>
      <c r="K401" s="107" t="s">
        <v>2997</v>
      </c>
      <c r="L401" s="107">
        <v>191.82</v>
      </c>
      <c r="M401" s="107">
        <v>1</v>
      </c>
    </row>
    <row r="402" spans="1:13" x14ac:dyDescent="0.3">
      <c r="A402" s="95">
        <f t="shared" si="6"/>
        <v>0</v>
      </c>
      <c r="B402" s="106" t="s">
        <v>434</v>
      </c>
      <c r="C402" s="95" t="s">
        <v>1898</v>
      </c>
      <c r="D402" s="106">
        <v>12</v>
      </c>
      <c r="E402" s="107">
        <v>1</v>
      </c>
      <c r="F402" s="107" t="s">
        <v>2958</v>
      </c>
      <c r="G402" s="107" t="s">
        <v>2961</v>
      </c>
      <c r="H402" s="107" t="s">
        <v>2972</v>
      </c>
      <c r="I402" s="107" t="s">
        <v>2997</v>
      </c>
      <c r="J402" s="107" t="s">
        <v>2997</v>
      </c>
      <c r="K402" s="107" t="s">
        <v>2996</v>
      </c>
      <c r="L402" s="107">
        <v>207.02</v>
      </c>
      <c r="M402" s="107"/>
    </row>
    <row r="403" spans="1:13" x14ac:dyDescent="0.3">
      <c r="A403" s="95">
        <f t="shared" si="6"/>
        <v>0</v>
      </c>
      <c r="B403" s="106" t="s">
        <v>435</v>
      </c>
      <c r="C403" s="95" t="s">
        <v>1899</v>
      </c>
      <c r="D403" s="106">
        <v>12</v>
      </c>
      <c r="E403" s="107">
        <v>1</v>
      </c>
      <c r="F403" s="107" t="s">
        <v>2958</v>
      </c>
      <c r="G403" s="107" t="s">
        <v>2965</v>
      </c>
      <c r="H403" s="107" t="s">
        <v>2965</v>
      </c>
      <c r="I403" s="107" t="s">
        <v>2996</v>
      </c>
      <c r="J403" s="107" t="s">
        <v>2996</v>
      </c>
      <c r="K403" s="107" t="s">
        <v>2996</v>
      </c>
      <c r="L403" s="107">
        <v>35.1</v>
      </c>
      <c r="M403" s="107"/>
    </row>
    <row r="404" spans="1:13" x14ac:dyDescent="0.3">
      <c r="A404" s="95">
        <f t="shared" si="6"/>
        <v>0</v>
      </c>
      <c r="B404" s="106" t="s">
        <v>436</v>
      </c>
      <c r="C404" s="95" t="s">
        <v>1900</v>
      </c>
      <c r="D404" s="106">
        <v>12</v>
      </c>
      <c r="E404" s="107">
        <v>1</v>
      </c>
      <c r="F404" s="107" t="s">
        <v>2958</v>
      </c>
      <c r="G404" s="107" t="s">
        <v>2966</v>
      </c>
      <c r="H404" s="107" t="s">
        <v>2977</v>
      </c>
      <c r="I404" s="107" t="s">
        <v>2997</v>
      </c>
      <c r="J404" s="107" t="s">
        <v>2997</v>
      </c>
      <c r="K404" s="107" t="s">
        <v>2996</v>
      </c>
      <c r="L404" s="107">
        <v>41.01</v>
      </c>
      <c r="M404" s="107"/>
    </row>
    <row r="405" spans="1:13" x14ac:dyDescent="0.3">
      <c r="A405" s="95">
        <f t="shared" si="6"/>
        <v>0</v>
      </c>
      <c r="B405" s="106" t="s">
        <v>437</v>
      </c>
      <c r="C405" s="95" t="s">
        <v>1901</v>
      </c>
      <c r="D405" s="106">
        <v>12</v>
      </c>
      <c r="E405" s="107">
        <v>1</v>
      </c>
      <c r="F405" s="107" t="s">
        <v>2959</v>
      </c>
      <c r="G405" s="107" t="s">
        <v>2965</v>
      </c>
      <c r="H405" s="107" t="s">
        <v>2965</v>
      </c>
      <c r="I405" s="107" t="s">
        <v>2997</v>
      </c>
      <c r="J405" s="107" t="s">
        <v>2997</v>
      </c>
      <c r="K405" s="107" t="s">
        <v>2997</v>
      </c>
      <c r="L405" s="107">
        <v>351.88</v>
      </c>
      <c r="M405" s="107">
        <v>5</v>
      </c>
    </row>
    <row r="406" spans="1:13" x14ac:dyDescent="0.3">
      <c r="A406" s="95">
        <f t="shared" si="6"/>
        <v>1</v>
      </c>
      <c r="B406" s="106" t="s">
        <v>438</v>
      </c>
      <c r="C406" s="95" t="s">
        <v>1902</v>
      </c>
      <c r="D406" s="106">
        <v>12</v>
      </c>
      <c r="E406" s="107">
        <v>1</v>
      </c>
      <c r="F406" s="107" t="s">
        <v>2958</v>
      </c>
      <c r="G406" s="107" t="s">
        <v>2964</v>
      </c>
      <c r="H406" s="107" t="s">
        <v>2976</v>
      </c>
      <c r="I406" s="107" t="s">
        <v>2997</v>
      </c>
      <c r="J406" s="107" t="s">
        <v>2997</v>
      </c>
      <c r="K406" s="107" t="s">
        <v>2997</v>
      </c>
      <c r="L406" s="107">
        <v>13946</v>
      </c>
      <c r="M406" s="107">
        <v>22</v>
      </c>
    </row>
    <row r="407" spans="1:13" x14ac:dyDescent="0.3">
      <c r="A407" s="95">
        <f t="shared" si="6"/>
        <v>0</v>
      </c>
      <c r="B407" s="106" t="s">
        <v>439</v>
      </c>
      <c r="C407" s="95" t="s">
        <v>1903</v>
      </c>
      <c r="D407" s="106">
        <v>12</v>
      </c>
      <c r="E407" s="107">
        <v>1</v>
      </c>
      <c r="F407" s="107" t="s">
        <v>2958</v>
      </c>
      <c r="G407" s="107" t="s">
        <v>2965</v>
      </c>
      <c r="H407" s="107" t="s">
        <v>2965</v>
      </c>
      <c r="I407" s="107" t="s">
        <v>2997</v>
      </c>
      <c r="J407" s="107" t="s">
        <v>2997</v>
      </c>
      <c r="K407" s="107" t="s">
        <v>2996</v>
      </c>
      <c r="L407" s="107">
        <v>374.83</v>
      </c>
      <c r="M407" s="107">
        <v>2</v>
      </c>
    </row>
    <row r="408" spans="1:13" x14ac:dyDescent="0.3">
      <c r="A408" s="95">
        <f t="shared" si="6"/>
        <v>0</v>
      </c>
      <c r="B408" s="106" t="s">
        <v>440</v>
      </c>
      <c r="C408" s="95" t="s">
        <v>1904</v>
      </c>
      <c r="D408" s="106">
        <v>12</v>
      </c>
      <c r="E408" s="107">
        <v>1</v>
      </c>
      <c r="F408" s="107" t="s">
        <v>2959</v>
      </c>
      <c r="G408" s="107" t="s">
        <v>2961</v>
      </c>
      <c r="H408" s="107" t="s">
        <v>2971</v>
      </c>
      <c r="I408" s="107" t="s">
        <v>2996</v>
      </c>
      <c r="J408" s="107" t="s">
        <v>2997</v>
      </c>
      <c r="K408" s="107" t="s">
        <v>2997</v>
      </c>
      <c r="L408" s="107">
        <v>23.8</v>
      </c>
      <c r="M408" s="107"/>
    </row>
    <row r="409" spans="1:13" x14ac:dyDescent="0.3">
      <c r="A409" s="95">
        <f t="shared" si="6"/>
        <v>0</v>
      </c>
      <c r="B409" s="106" t="s">
        <v>441</v>
      </c>
      <c r="C409" s="95" t="s">
        <v>1905</v>
      </c>
      <c r="D409" s="106">
        <v>12</v>
      </c>
      <c r="E409" s="107">
        <v>1</v>
      </c>
      <c r="F409" s="107" t="s">
        <v>2958</v>
      </c>
      <c r="G409" s="107" t="s">
        <v>2961</v>
      </c>
      <c r="H409" s="107" t="s">
        <v>2971</v>
      </c>
      <c r="I409" s="107" t="s">
        <v>2997</v>
      </c>
      <c r="J409" s="107" t="s">
        <v>2997</v>
      </c>
      <c r="K409" s="107" t="s">
        <v>2996</v>
      </c>
      <c r="L409" s="107">
        <v>367.95</v>
      </c>
      <c r="M409" s="107"/>
    </row>
    <row r="410" spans="1:13" x14ac:dyDescent="0.3">
      <c r="A410" s="95">
        <f t="shared" si="6"/>
        <v>0</v>
      </c>
      <c r="B410" s="106" t="s">
        <v>442</v>
      </c>
      <c r="C410" s="95" t="s">
        <v>1906</v>
      </c>
      <c r="D410" s="106">
        <v>12</v>
      </c>
      <c r="E410" s="107">
        <v>1</v>
      </c>
      <c r="F410" s="107" t="s">
        <v>2959</v>
      </c>
      <c r="G410" s="107" t="s">
        <v>2965</v>
      </c>
      <c r="H410" s="107" t="s">
        <v>2965</v>
      </c>
      <c r="I410" s="107" t="s">
        <v>2996</v>
      </c>
      <c r="J410" s="107" t="s">
        <v>2996</v>
      </c>
      <c r="K410" s="107" t="s">
        <v>2996</v>
      </c>
      <c r="L410" s="107">
        <v>37.36</v>
      </c>
      <c r="M410" s="107"/>
    </row>
    <row r="411" spans="1:13" x14ac:dyDescent="0.3">
      <c r="A411" s="95">
        <f t="shared" si="6"/>
        <v>0</v>
      </c>
      <c r="B411" s="106" t="s">
        <v>443</v>
      </c>
      <c r="C411" s="95" t="s">
        <v>1907</v>
      </c>
      <c r="D411" s="106">
        <v>12</v>
      </c>
      <c r="E411" s="107">
        <v>1</v>
      </c>
      <c r="F411" s="107" t="s">
        <v>2958</v>
      </c>
      <c r="G411" s="107" t="s">
        <v>2965</v>
      </c>
      <c r="H411" s="107" t="s">
        <v>2965</v>
      </c>
      <c r="I411" s="107" t="s">
        <v>2996</v>
      </c>
      <c r="J411" s="107" t="s">
        <v>2996</v>
      </c>
      <c r="K411" s="107" t="s">
        <v>2996</v>
      </c>
      <c r="L411" s="107">
        <v>107.2</v>
      </c>
      <c r="M411" s="107">
        <v>1</v>
      </c>
    </row>
    <row r="412" spans="1:13" x14ac:dyDescent="0.3">
      <c r="A412" s="95">
        <f t="shared" si="6"/>
        <v>0</v>
      </c>
      <c r="B412" s="106" t="s">
        <v>444</v>
      </c>
      <c r="C412" s="95" t="s">
        <v>1908</v>
      </c>
      <c r="D412" s="106">
        <v>12</v>
      </c>
      <c r="E412" s="107">
        <v>1</v>
      </c>
      <c r="F412" s="107" t="s">
        <v>2959</v>
      </c>
      <c r="G412" s="107" t="s">
        <v>2963</v>
      </c>
      <c r="H412" s="107" t="s">
        <v>2974</v>
      </c>
      <c r="I412" s="107" t="s">
        <v>2997</v>
      </c>
      <c r="J412" s="107" t="s">
        <v>2997</v>
      </c>
      <c r="K412" s="107" t="s">
        <v>2997</v>
      </c>
      <c r="L412" s="107">
        <v>22.79</v>
      </c>
      <c r="M412" s="107"/>
    </row>
    <row r="413" spans="1:13" x14ac:dyDescent="0.3">
      <c r="A413" s="95">
        <f t="shared" si="6"/>
        <v>0</v>
      </c>
      <c r="B413" s="106" t="s">
        <v>445</v>
      </c>
      <c r="C413" s="95" t="s">
        <v>1909</v>
      </c>
      <c r="D413" s="106">
        <v>12</v>
      </c>
      <c r="E413" s="107">
        <v>1</v>
      </c>
      <c r="F413" s="107" t="s">
        <v>2958</v>
      </c>
      <c r="G413" s="107" t="s">
        <v>2965</v>
      </c>
      <c r="H413" s="107" t="s">
        <v>2965</v>
      </c>
      <c r="I413" s="107" t="s">
        <v>2997</v>
      </c>
      <c r="J413" s="107" t="s">
        <v>2997</v>
      </c>
      <c r="K413" s="107" t="s">
        <v>2996</v>
      </c>
      <c r="L413" s="107">
        <v>17.71</v>
      </c>
      <c r="M413" s="107"/>
    </row>
    <row r="414" spans="1:13" x14ac:dyDescent="0.3">
      <c r="A414" s="95">
        <f t="shared" si="6"/>
        <v>1</v>
      </c>
      <c r="B414" s="106" t="s">
        <v>446</v>
      </c>
      <c r="C414" s="95" t="s">
        <v>1910</v>
      </c>
      <c r="D414" s="106">
        <v>12</v>
      </c>
      <c r="E414" s="107">
        <v>1</v>
      </c>
      <c r="F414" s="107" t="s">
        <v>2958</v>
      </c>
      <c r="G414" s="107" t="s">
        <v>2965</v>
      </c>
      <c r="H414" s="107" t="s">
        <v>2965</v>
      </c>
      <c r="I414" s="107" t="s">
        <v>2997</v>
      </c>
      <c r="J414" s="107" t="s">
        <v>2997</v>
      </c>
      <c r="K414" s="107" t="s">
        <v>2997</v>
      </c>
      <c r="L414" s="107">
        <v>2342.73</v>
      </c>
      <c r="M414" s="107">
        <v>17</v>
      </c>
    </row>
    <row r="415" spans="1:13" x14ac:dyDescent="0.3">
      <c r="A415" s="95">
        <f t="shared" si="6"/>
        <v>0</v>
      </c>
      <c r="B415" s="106" t="s">
        <v>447</v>
      </c>
      <c r="C415" s="95" t="s">
        <v>1911</v>
      </c>
      <c r="D415" s="106">
        <v>12</v>
      </c>
      <c r="E415" s="107">
        <v>1</v>
      </c>
      <c r="F415" s="107" t="s">
        <v>2958</v>
      </c>
      <c r="G415" s="107" t="s">
        <v>2961</v>
      </c>
      <c r="H415" s="107" t="s">
        <v>2972</v>
      </c>
      <c r="I415" s="107" t="s">
        <v>2997</v>
      </c>
      <c r="J415" s="107" t="s">
        <v>2997</v>
      </c>
      <c r="K415" s="107" t="s">
        <v>2997</v>
      </c>
      <c r="L415" s="107">
        <v>936.77</v>
      </c>
      <c r="M415" s="107">
        <v>2</v>
      </c>
    </row>
    <row r="416" spans="1:13" x14ac:dyDescent="0.3">
      <c r="A416" s="95">
        <f t="shared" si="6"/>
        <v>0</v>
      </c>
      <c r="B416" s="106" t="s">
        <v>448</v>
      </c>
      <c r="C416" s="95" t="s">
        <v>1912</v>
      </c>
      <c r="D416" s="106">
        <v>12</v>
      </c>
      <c r="E416" s="107">
        <v>1</v>
      </c>
      <c r="F416" s="107" t="s">
        <v>2958</v>
      </c>
      <c r="G416" s="107" t="s">
        <v>2965</v>
      </c>
      <c r="H416" s="107" t="s">
        <v>2965</v>
      </c>
      <c r="I416" s="107" t="s">
        <v>2996</v>
      </c>
      <c r="J416" s="107" t="s">
        <v>2996</v>
      </c>
      <c r="K416" s="107" t="s">
        <v>2996</v>
      </c>
      <c r="L416" s="107">
        <v>84.37</v>
      </c>
      <c r="M416" s="107">
        <v>1</v>
      </c>
    </row>
    <row r="417" spans="1:13" x14ac:dyDescent="0.3">
      <c r="A417" s="95">
        <f t="shared" si="6"/>
        <v>0</v>
      </c>
      <c r="B417" s="106" t="s">
        <v>449</v>
      </c>
      <c r="C417" s="95" t="s">
        <v>1913</v>
      </c>
      <c r="D417" s="106">
        <v>3</v>
      </c>
      <c r="E417" s="107">
        <v>1</v>
      </c>
      <c r="F417" s="107" t="s">
        <v>2958</v>
      </c>
      <c r="G417" s="107" t="s">
        <v>2962</v>
      </c>
      <c r="H417" s="107" t="s">
        <v>2989</v>
      </c>
      <c r="I417" s="107" t="s">
        <v>2997</v>
      </c>
      <c r="J417" s="107" t="s">
        <v>2996</v>
      </c>
      <c r="K417" s="107" t="s">
        <v>2996</v>
      </c>
      <c r="L417" s="107">
        <v>50.15</v>
      </c>
      <c r="M417" s="107"/>
    </row>
    <row r="418" spans="1:13" x14ac:dyDescent="0.3">
      <c r="A418" s="95">
        <f t="shared" si="6"/>
        <v>1</v>
      </c>
      <c r="B418" s="106" t="s">
        <v>450</v>
      </c>
      <c r="C418" s="95" t="s">
        <v>1914</v>
      </c>
      <c r="D418" s="106">
        <v>12</v>
      </c>
      <c r="E418" s="107">
        <v>1</v>
      </c>
      <c r="F418" s="107" t="s">
        <v>2958</v>
      </c>
      <c r="G418" s="107" t="s">
        <v>2965</v>
      </c>
      <c r="H418" s="107" t="s">
        <v>2965</v>
      </c>
      <c r="I418" s="107" t="s">
        <v>2997</v>
      </c>
      <c r="J418" s="107" t="s">
        <v>2997</v>
      </c>
      <c r="K418" s="107" t="s">
        <v>2997</v>
      </c>
      <c r="L418" s="107">
        <v>3195.82</v>
      </c>
      <c r="M418" s="107">
        <v>15</v>
      </c>
    </row>
    <row r="419" spans="1:13" x14ac:dyDescent="0.3">
      <c r="A419" s="95">
        <f t="shared" si="6"/>
        <v>0</v>
      </c>
      <c r="B419" s="106" t="s">
        <v>451</v>
      </c>
      <c r="C419" s="95" t="s">
        <v>1915</v>
      </c>
      <c r="D419" s="106">
        <v>12</v>
      </c>
      <c r="E419" s="107">
        <v>1</v>
      </c>
      <c r="F419" s="107" t="s">
        <v>2958</v>
      </c>
      <c r="G419" s="107" t="s">
        <v>2961</v>
      </c>
      <c r="H419" s="107" t="s">
        <v>2971</v>
      </c>
      <c r="I419" s="107" t="s">
        <v>2997</v>
      </c>
      <c r="J419" s="107" t="s">
        <v>2997</v>
      </c>
      <c r="K419" s="107" t="s">
        <v>2996</v>
      </c>
      <c r="L419" s="107">
        <v>88</v>
      </c>
      <c r="M419" s="107"/>
    </row>
    <row r="420" spans="1:13" x14ac:dyDescent="0.3">
      <c r="A420" s="95">
        <f t="shared" si="6"/>
        <v>1</v>
      </c>
      <c r="B420" s="106" t="s">
        <v>452</v>
      </c>
      <c r="C420" s="95" t="s">
        <v>1916</v>
      </c>
      <c r="D420" s="106">
        <v>12</v>
      </c>
      <c r="E420" s="107">
        <v>1</v>
      </c>
      <c r="F420" s="107" t="s">
        <v>2958</v>
      </c>
      <c r="G420" s="107" t="s">
        <v>2964</v>
      </c>
      <c r="H420" s="107" t="s">
        <v>2976</v>
      </c>
      <c r="I420" s="107" t="s">
        <v>2997</v>
      </c>
      <c r="J420" s="107" t="s">
        <v>2997</v>
      </c>
      <c r="K420" s="107" t="s">
        <v>2997</v>
      </c>
      <c r="L420" s="107">
        <v>1719</v>
      </c>
      <c r="M420" s="107">
        <v>8</v>
      </c>
    </row>
    <row r="421" spans="1:13" x14ac:dyDescent="0.3">
      <c r="A421" s="95">
        <f t="shared" si="6"/>
        <v>1</v>
      </c>
      <c r="B421" s="106" t="s">
        <v>453</v>
      </c>
      <c r="C421" s="95" t="s">
        <v>1917</v>
      </c>
      <c r="D421" s="106">
        <v>12</v>
      </c>
      <c r="E421" s="107">
        <v>1</v>
      </c>
      <c r="F421" s="107" t="s">
        <v>2958</v>
      </c>
      <c r="G421" s="107" t="s">
        <v>2965</v>
      </c>
      <c r="H421" s="107" t="s">
        <v>2965</v>
      </c>
      <c r="I421" s="107" t="s">
        <v>2997</v>
      </c>
      <c r="J421" s="107" t="s">
        <v>2997</v>
      </c>
      <c r="K421" s="107" t="s">
        <v>2997</v>
      </c>
      <c r="L421" s="107">
        <v>5226.99</v>
      </c>
      <c r="M421" s="107">
        <v>20</v>
      </c>
    </row>
    <row r="422" spans="1:13" x14ac:dyDescent="0.3">
      <c r="A422" s="95">
        <f t="shared" si="6"/>
        <v>1</v>
      </c>
      <c r="B422" s="106" t="s">
        <v>454</v>
      </c>
      <c r="C422" s="95" t="s">
        <v>1918</v>
      </c>
      <c r="D422" s="106">
        <v>12</v>
      </c>
      <c r="E422" s="107">
        <v>1</v>
      </c>
      <c r="F422" s="107" t="s">
        <v>2958</v>
      </c>
      <c r="G422" s="107" t="s">
        <v>2964</v>
      </c>
      <c r="H422" s="107" t="s">
        <v>2976</v>
      </c>
      <c r="I422" s="107" t="s">
        <v>2997</v>
      </c>
      <c r="J422" s="107" t="s">
        <v>2997</v>
      </c>
      <c r="K422" s="107" t="s">
        <v>2997</v>
      </c>
      <c r="L422" s="107">
        <v>8265.34</v>
      </c>
      <c r="M422" s="107">
        <v>23</v>
      </c>
    </row>
    <row r="423" spans="1:13" x14ac:dyDescent="0.3">
      <c r="A423" s="95">
        <f t="shared" si="6"/>
        <v>0</v>
      </c>
      <c r="B423" s="106" t="s">
        <v>455</v>
      </c>
      <c r="C423" s="95" t="s">
        <v>1919</v>
      </c>
      <c r="D423" s="106">
        <v>12</v>
      </c>
      <c r="E423" s="107">
        <v>1</v>
      </c>
      <c r="F423" s="107" t="s">
        <v>2959</v>
      </c>
      <c r="G423" s="107" t="s">
        <v>2964</v>
      </c>
      <c r="H423" s="107" t="s">
        <v>2976</v>
      </c>
      <c r="I423" s="107" t="s">
        <v>2996</v>
      </c>
      <c r="J423" s="107" t="s">
        <v>2996</v>
      </c>
      <c r="K423" s="107" t="s">
        <v>2996</v>
      </c>
      <c r="L423" s="107">
        <v>61.76</v>
      </c>
      <c r="M423" s="107"/>
    </row>
    <row r="424" spans="1:13" x14ac:dyDescent="0.3">
      <c r="A424" s="95">
        <f t="shared" si="6"/>
        <v>0</v>
      </c>
      <c r="B424" s="106" t="s">
        <v>456</v>
      </c>
      <c r="C424" s="95" t="s">
        <v>1920</v>
      </c>
      <c r="D424" s="106">
        <v>12</v>
      </c>
      <c r="E424" s="107">
        <v>1</v>
      </c>
      <c r="F424" s="107" t="s">
        <v>2959</v>
      </c>
      <c r="G424" s="107" t="s">
        <v>2964</v>
      </c>
      <c r="H424" s="107" t="s">
        <v>2976</v>
      </c>
      <c r="I424" s="107" t="s">
        <v>2997</v>
      </c>
      <c r="J424" s="107" t="s">
        <v>2997</v>
      </c>
      <c r="K424" s="107" t="s">
        <v>2997</v>
      </c>
      <c r="L424" s="107">
        <v>24.65</v>
      </c>
      <c r="M424" s="107"/>
    </row>
    <row r="425" spans="1:13" x14ac:dyDescent="0.3">
      <c r="A425" s="95">
        <f t="shared" si="6"/>
        <v>0</v>
      </c>
      <c r="B425" s="106" t="s">
        <v>457</v>
      </c>
      <c r="C425" s="95" t="s">
        <v>1921</v>
      </c>
      <c r="D425" s="106">
        <v>12</v>
      </c>
      <c r="E425" s="107">
        <v>1</v>
      </c>
      <c r="F425" s="107" t="s">
        <v>2959</v>
      </c>
      <c r="G425" s="107" t="s">
        <v>2966</v>
      </c>
      <c r="H425" s="107" t="s">
        <v>2985</v>
      </c>
      <c r="I425" s="107" t="s">
        <v>2997</v>
      </c>
      <c r="J425" s="107" t="s">
        <v>2997</v>
      </c>
      <c r="K425" s="107" t="s">
        <v>2996</v>
      </c>
      <c r="L425" s="107">
        <v>63.73</v>
      </c>
      <c r="M425" s="107"/>
    </row>
    <row r="426" spans="1:13" x14ac:dyDescent="0.3">
      <c r="A426" s="95">
        <f t="shared" si="6"/>
        <v>0</v>
      </c>
      <c r="B426" s="106" t="s">
        <v>458</v>
      </c>
      <c r="C426" s="95" t="s">
        <v>1922</v>
      </c>
      <c r="D426" s="106">
        <v>12</v>
      </c>
      <c r="E426" s="107">
        <v>1</v>
      </c>
      <c r="F426" s="107" t="s">
        <v>2958</v>
      </c>
      <c r="G426" s="107" t="s">
        <v>2961</v>
      </c>
      <c r="H426" s="107" t="s">
        <v>2982</v>
      </c>
      <c r="I426" s="107" t="s">
        <v>2996</v>
      </c>
      <c r="J426" s="107" t="s">
        <v>2996</v>
      </c>
      <c r="K426" s="107" t="s">
        <v>2996</v>
      </c>
      <c r="L426" s="107">
        <v>37.770000000000003</v>
      </c>
      <c r="M426" s="107"/>
    </row>
    <row r="427" spans="1:13" x14ac:dyDescent="0.3">
      <c r="A427" s="95">
        <f t="shared" si="6"/>
        <v>0</v>
      </c>
      <c r="B427" s="106" t="s">
        <v>459</v>
      </c>
      <c r="C427" s="95" t="s">
        <v>1923</v>
      </c>
      <c r="D427" s="106">
        <v>12</v>
      </c>
      <c r="E427" s="107">
        <v>1</v>
      </c>
      <c r="F427" s="107" t="s">
        <v>2958</v>
      </c>
      <c r="G427" s="107" t="s">
        <v>2962</v>
      </c>
      <c r="H427" s="107" t="s">
        <v>2989</v>
      </c>
      <c r="I427" s="107" t="s">
        <v>2997</v>
      </c>
      <c r="J427" s="107" t="s">
        <v>2997</v>
      </c>
      <c r="K427" s="107" t="s">
        <v>2996</v>
      </c>
      <c r="L427" s="107">
        <v>233.32</v>
      </c>
      <c r="M427" s="107"/>
    </row>
    <row r="428" spans="1:13" x14ac:dyDescent="0.3">
      <c r="A428" s="95">
        <f t="shared" si="6"/>
        <v>0</v>
      </c>
      <c r="B428" s="106" t="s">
        <v>460</v>
      </c>
      <c r="C428" s="95" t="s">
        <v>1924</v>
      </c>
      <c r="D428" s="106">
        <v>12</v>
      </c>
      <c r="E428" s="107">
        <v>1</v>
      </c>
      <c r="F428" s="107" t="s">
        <v>2959</v>
      </c>
      <c r="G428" s="107" t="s">
        <v>2961</v>
      </c>
      <c r="H428" s="107" t="s">
        <v>2981</v>
      </c>
      <c r="I428" s="107" t="s">
        <v>2997</v>
      </c>
      <c r="J428" s="107" t="s">
        <v>2997</v>
      </c>
      <c r="K428" s="107" t="s">
        <v>2996</v>
      </c>
      <c r="L428" s="107">
        <v>30.93</v>
      </c>
      <c r="M428" s="107"/>
    </row>
    <row r="429" spans="1:13" x14ac:dyDescent="0.3">
      <c r="A429" s="95">
        <f t="shared" si="6"/>
        <v>1</v>
      </c>
      <c r="B429" s="106" t="s">
        <v>461</v>
      </c>
      <c r="C429" s="95" t="s">
        <v>1925</v>
      </c>
      <c r="D429" s="106">
        <v>12</v>
      </c>
      <c r="E429" s="107">
        <v>1</v>
      </c>
      <c r="F429" s="107" t="s">
        <v>2958</v>
      </c>
      <c r="G429" s="107" t="s">
        <v>2965</v>
      </c>
      <c r="H429" s="107" t="s">
        <v>2965</v>
      </c>
      <c r="I429" s="107" t="s">
        <v>2997</v>
      </c>
      <c r="J429" s="107" t="s">
        <v>2997</v>
      </c>
      <c r="K429" s="107" t="s">
        <v>2997</v>
      </c>
      <c r="L429" s="107">
        <v>2746.85</v>
      </c>
      <c r="M429" s="107">
        <v>25</v>
      </c>
    </row>
    <row r="430" spans="1:13" x14ac:dyDescent="0.3">
      <c r="A430" s="95">
        <f t="shared" si="6"/>
        <v>0</v>
      </c>
      <c r="B430" s="106" t="s">
        <v>462</v>
      </c>
      <c r="C430" s="95" t="s">
        <v>1926</v>
      </c>
      <c r="D430" s="106">
        <v>12</v>
      </c>
      <c r="E430" s="107">
        <v>1</v>
      </c>
      <c r="F430" s="107" t="s">
        <v>2958</v>
      </c>
      <c r="G430" s="107" t="s">
        <v>2961</v>
      </c>
      <c r="H430" s="107" t="s">
        <v>2971</v>
      </c>
      <c r="I430" s="107" t="s">
        <v>2996</v>
      </c>
      <c r="J430" s="107" t="s">
        <v>2996</v>
      </c>
      <c r="K430" s="107" t="s">
        <v>2996</v>
      </c>
      <c r="L430" s="107">
        <v>14.08</v>
      </c>
      <c r="M430" s="107"/>
    </row>
    <row r="431" spans="1:13" x14ac:dyDescent="0.3">
      <c r="A431" s="95">
        <f t="shared" si="6"/>
        <v>0</v>
      </c>
      <c r="B431" s="106" t="s">
        <v>463</v>
      </c>
      <c r="C431" s="95" t="s">
        <v>1927</v>
      </c>
      <c r="D431" s="106">
        <v>12</v>
      </c>
      <c r="E431" s="107">
        <v>1</v>
      </c>
      <c r="F431" s="107" t="s">
        <v>2958</v>
      </c>
      <c r="G431" s="107" t="s">
        <v>2961</v>
      </c>
      <c r="H431" s="107" t="s">
        <v>2972</v>
      </c>
      <c r="I431" s="107" t="s">
        <v>2997</v>
      </c>
      <c r="J431" s="107" t="s">
        <v>2997</v>
      </c>
      <c r="K431" s="107" t="s">
        <v>2996</v>
      </c>
      <c r="L431" s="107">
        <v>14.76</v>
      </c>
      <c r="M431" s="107"/>
    </row>
    <row r="432" spans="1:13" x14ac:dyDescent="0.3">
      <c r="A432" s="95">
        <f t="shared" si="6"/>
        <v>1</v>
      </c>
      <c r="B432" s="106" t="s">
        <v>464</v>
      </c>
      <c r="C432" s="95" t="s">
        <v>1928</v>
      </c>
      <c r="D432" s="106">
        <v>12</v>
      </c>
      <c r="E432" s="107">
        <v>1</v>
      </c>
      <c r="F432" s="107" t="s">
        <v>2958</v>
      </c>
      <c r="G432" s="107" t="s">
        <v>2964</v>
      </c>
      <c r="H432" s="107" t="s">
        <v>2976</v>
      </c>
      <c r="I432" s="107" t="s">
        <v>2997</v>
      </c>
      <c r="J432" s="107" t="s">
        <v>2997</v>
      </c>
      <c r="K432" s="107" t="s">
        <v>2997</v>
      </c>
      <c r="L432" s="107">
        <v>2520</v>
      </c>
      <c r="M432" s="107">
        <v>21</v>
      </c>
    </row>
    <row r="433" spans="1:13" x14ac:dyDescent="0.3">
      <c r="A433" s="95">
        <f t="shared" si="6"/>
        <v>0</v>
      </c>
      <c r="B433" s="106" t="s">
        <v>465</v>
      </c>
      <c r="C433" s="95" t="s">
        <v>1929</v>
      </c>
      <c r="D433" s="106">
        <v>12</v>
      </c>
      <c r="E433" s="107">
        <v>1</v>
      </c>
      <c r="F433" s="107" t="s">
        <v>2958</v>
      </c>
      <c r="G433" s="107" t="s">
        <v>2965</v>
      </c>
      <c r="H433" s="107" t="s">
        <v>2965</v>
      </c>
      <c r="I433" s="107" t="s">
        <v>2996</v>
      </c>
      <c r="J433" s="107" t="s">
        <v>2996</v>
      </c>
      <c r="K433" s="107" t="s">
        <v>2996</v>
      </c>
      <c r="L433" s="107">
        <v>19.25</v>
      </c>
      <c r="M433" s="107"/>
    </row>
    <row r="434" spans="1:13" x14ac:dyDescent="0.3">
      <c r="A434" s="95">
        <f t="shared" si="6"/>
        <v>0</v>
      </c>
      <c r="B434" s="106" t="s">
        <v>466</v>
      </c>
      <c r="C434" s="95" t="s">
        <v>1930</v>
      </c>
      <c r="D434" s="106">
        <v>12</v>
      </c>
      <c r="E434" s="107">
        <v>1</v>
      </c>
      <c r="F434" s="107" t="s">
        <v>2958</v>
      </c>
      <c r="G434" s="107" t="s">
        <v>2964</v>
      </c>
      <c r="H434" s="107" t="s">
        <v>2976</v>
      </c>
      <c r="I434" s="107" t="s">
        <v>2996</v>
      </c>
      <c r="J434" s="107" t="s">
        <v>2996</v>
      </c>
      <c r="K434" s="107" t="s">
        <v>2996</v>
      </c>
      <c r="L434" s="107">
        <v>63.36</v>
      </c>
      <c r="M434" s="107">
        <v>1</v>
      </c>
    </row>
    <row r="435" spans="1:13" x14ac:dyDescent="0.3">
      <c r="A435" s="95">
        <f t="shared" si="6"/>
        <v>0</v>
      </c>
      <c r="B435" s="106" t="s">
        <v>467</v>
      </c>
      <c r="C435" s="95" t="s">
        <v>1931</v>
      </c>
      <c r="D435" s="106">
        <v>12</v>
      </c>
      <c r="E435" s="107">
        <v>1</v>
      </c>
      <c r="F435" s="107" t="s">
        <v>2959</v>
      </c>
      <c r="G435" s="107" t="s">
        <v>2966</v>
      </c>
      <c r="H435" s="107" t="s">
        <v>2984</v>
      </c>
      <c r="I435" s="107" t="s">
        <v>2997</v>
      </c>
      <c r="J435" s="107" t="s">
        <v>2997</v>
      </c>
      <c r="K435" s="107" t="s">
        <v>2996</v>
      </c>
      <c r="L435" s="107">
        <v>35.659999999999997</v>
      </c>
      <c r="M435" s="107"/>
    </row>
    <row r="436" spans="1:13" x14ac:dyDescent="0.3">
      <c r="A436" s="95">
        <f t="shared" si="6"/>
        <v>0</v>
      </c>
      <c r="B436" s="106" t="s">
        <v>468</v>
      </c>
      <c r="C436" s="95" t="s">
        <v>1932</v>
      </c>
      <c r="D436" s="106">
        <v>12</v>
      </c>
      <c r="E436" s="107">
        <v>1</v>
      </c>
      <c r="F436" s="107" t="s">
        <v>2958</v>
      </c>
      <c r="G436" s="107" t="s">
        <v>2961</v>
      </c>
      <c r="H436" s="107" t="s">
        <v>2971</v>
      </c>
      <c r="I436" s="107" t="s">
        <v>2997</v>
      </c>
      <c r="J436" s="107" t="s">
        <v>2997</v>
      </c>
      <c r="K436" s="107" t="s">
        <v>2997</v>
      </c>
      <c r="L436" s="107">
        <v>487.14</v>
      </c>
      <c r="M436" s="107">
        <v>3</v>
      </c>
    </row>
    <row r="437" spans="1:13" x14ac:dyDescent="0.3">
      <c r="A437" s="95">
        <f t="shared" si="6"/>
        <v>0</v>
      </c>
      <c r="B437" s="106" t="s">
        <v>469</v>
      </c>
      <c r="C437" s="95" t="s">
        <v>1933</v>
      </c>
      <c r="D437" s="106">
        <v>12</v>
      </c>
      <c r="E437" s="107">
        <v>1</v>
      </c>
      <c r="F437" s="107" t="s">
        <v>2958</v>
      </c>
      <c r="G437" s="107" t="s">
        <v>2961</v>
      </c>
      <c r="H437" s="107" t="s">
        <v>2971</v>
      </c>
      <c r="I437" s="107" t="s">
        <v>2997</v>
      </c>
      <c r="J437" s="107" t="s">
        <v>2997</v>
      </c>
      <c r="K437" s="107" t="s">
        <v>2996</v>
      </c>
      <c r="L437" s="107">
        <v>40.51</v>
      </c>
      <c r="M437" s="107"/>
    </row>
    <row r="438" spans="1:13" x14ac:dyDescent="0.3">
      <c r="A438" s="95">
        <f t="shared" si="6"/>
        <v>0</v>
      </c>
      <c r="B438" s="106" t="s">
        <v>470</v>
      </c>
      <c r="C438" s="95" t="s">
        <v>1934</v>
      </c>
      <c r="D438" s="106">
        <v>12</v>
      </c>
      <c r="E438" s="107">
        <v>1</v>
      </c>
      <c r="F438" s="107" t="s">
        <v>2958</v>
      </c>
      <c r="G438" s="107" t="s">
        <v>2964</v>
      </c>
      <c r="H438" s="107" t="s">
        <v>2976</v>
      </c>
      <c r="I438" s="107" t="s">
        <v>2997</v>
      </c>
      <c r="J438" s="107" t="s">
        <v>2997</v>
      </c>
      <c r="K438" s="107" t="s">
        <v>2997</v>
      </c>
      <c r="L438" s="107">
        <v>357.47</v>
      </c>
      <c r="M438" s="107"/>
    </row>
    <row r="439" spans="1:13" x14ac:dyDescent="0.3">
      <c r="A439" s="95">
        <f t="shared" si="6"/>
        <v>0</v>
      </c>
      <c r="B439" s="106" t="s">
        <v>471</v>
      </c>
      <c r="C439" s="95" t="s">
        <v>1935</v>
      </c>
      <c r="D439" s="106">
        <v>12</v>
      </c>
      <c r="E439" s="107">
        <v>1</v>
      </c>
      <c r="F439" s="107" t="s">
        <v>2958</v>
      </c>
      <c r="G439" s="107" t="s">
        <v>2964</v>
      </c>
      <c r="H439" s="107" t="s">
        <v>2976</v>
      </c>
      <c r="I439" s="107" t="s">
        <v>2997</v>
      </c>
      <c r="J439" s="107" t="s">
        <v>2997</v>
      </c>
      <c r="K439" s="107" t="s">
        <v>2996</v>
      </c>
      <c r="L439" s="107">
        <v>84.18</v>
      </c>
      <c r="M439" s="107"/>
    </row>
    <row r="440" spans="1:13" x14ac:dyDescent="0.3">
      <c r="A440" s="95">
        <f t="shared" si="6"/>
        <v>1</v>
      </c>
      <c r="B440" s="106" t="s">
        <v>472</v>
      </c>
      <c r="C440" s="95" t="s">
        <v>1936</v>
      </c>
      <c r="D440" s="106">
        <v>12</v>
      </c>
      <c r="E440" s="107">
        <v>1</v>
      </c>
      <c r="F440" s="107" t="s">
        <v>2958</v>
      </c>
      <c r="G440" s="107" t="s">
        <v>2967</v>
      </c>
      <c r="H440" s="107" t="s">
        <v>2967</v>
      </c>
      <c r="I440" s="107" t="s">
        <v>2997</v>
      </c>
      <c r="J440" s="107" t="s">
        <v>2997</v>
      </c>
      <c r="K440" s="107" t="s">
        <v>2997</v>
      </c>
      <c r="L440" s="107">
        <v>8241.06</v>
      </c>
      <c r="M440" s="107">
        <v>24</v>
      </c>
    </row>
    <row r="441" spans="1:13" x14ac:dyDescent="0.3">
      <c r="A441" s="95">
        <f t="shared" si="6"/>
        <v>0</v>
      </c>
      <c r="B441" s="106" t="s">
        <v>473</v>
      </c>
      <c r="C441" s="95" t="s">
        <v>1937</v>
      </c>
      <c r="D441" s="106">
        <v>12</v>
      </c>
      <c r="E441" s="107">
        <v>1</v>
      </c>
      <c r="F441" s="107" t="s">
        <v>2958</v>
      </c>
      <c r="G441" s="107" t="s">
        <v>2964</v>
      </c>
      <c r="H441" s="107" t="s">
        <v>2976</v>
      </c>
      <c r="I441" s="107" t="s">
        <v>2997</v>
      </c>
      <c r="J441" s="107" t="s">
        <v>2997</v>
      </c>
      <c r="K441" s="107" t="s">
        <v>2997</v>
      </c>
      <c r="L441" s="107">
        <v>60.5</v>
      </c>
      <c r="M441" s="107">
        <v>1</v>
      </c>
    </row>
    <row r="442" spans="1:13" x14ac:dyDescent="0.3">
      <c r="A442" s="95">
        <f t="shared" si="6"/>
        <v>0</v>
      </c>
      <c r="B442" s="106" t="s">
        <v>474</v>
      </c>
      <c r="C442" s="95" t="s">
        <v>1938</v>
      </c>
      <c r="D442" s="106">
        <v>12</v>
      </c>
      <c r="E442" s="107">
        <v>1</v>
      </c>
      <c r="F442" s="107" t="s">
        <v>2958</v>
      </c>
      <c r="G442" s="107" t="s">
        <v>2961</v>
      </c>
      <c r="H442" s="107" t="s">
        <v>2972</v>
      </c>
      <c r="I442" s="107" t="s">
        <v>2997</v>
      </c>
      <c r="J442" s="107" t="s">
        <v>2997</v>
      </c>
      <c r="K442" s="107" t="s">
        <v>2996</v>
      </c>
      <c r="L442" s="107">
        <v>60.12</v>
      </c>
      <c r="M442" s="107"/>
    </row>
    <row r="443" spans="1:13" x14ac:dyDescent="0.3">
      <c r="A443" s="95">
        <f t="shared" si="6"/>
        <v>0</v>
      </c>
      <c r="B443" s="106" t="s">
        <v>475</v>
      </c>
      <c r="C443" s="95" t="s">
        <v>1939</v>
      </c>
      <c r="D443" s="106">
        <v>12</v>
      </c>
      <c r="E443" s="107">
        <v>1</v>
      </c>
      <c r="F443" s="107" t="s">
        <v>2959</v>
      </c>
      <c r="G443" s="107" t="s">
        <v>2960</v>
      </c>
      <c r="H443" s="107" t="s">
        <v>2970</v>
      </c>
      <c r="I443" s="107" t="s">
        <v>2997</v>
      </c>
      <c r="J443" s="107" t="s">
        <v>2997</v>
      </c>
      <c r="K443" s="107" t="s">
        <v>2996</v>
      </c>
      <c r="L443" s="107">
        <v>188.51</v>
      </c>
      <c r="M443" s="107"/>
    </row>
    <row r="444" spans="1:13" x14ac:dyDescent="0.3">
      <c r="A444" s="95">
        <f t="shared" si="6"/>
        <v>1</v>
      </c>
      <c r="B444" s="106" t="s">
        <v>476</v>
      </c>
      <c r="C444" s="95" t="s">
        <v>1940</v>
      </c>
      <c r="D444" s="106">
        <v>12</v>
      </c>
      <c r="E444" s="107">
        <v>1</v>
      </c>
      <c r="F444" s="107" t="s">
        <v>2958</v>
      </c>
      <c r="G444" s="107" t="s">
        <v>2966</v>
      </c>
      <c r="H444" s="107" t="s">
        <v>2980</v>
      </c>
      <c r="I444" s="107" t="s">
        <v>2997</v>
      </c>
      <c r="J444" s="107" t="s">
        <v>2997</v>
      </c>
      <c r="K444" s="107" t="s">
        <v>2997</v>
      </c>
      <c r="L444" s="107">
        <v>1839.57</v>
      </c>
      <c r="M444" s="107">
        <v>21</v>
      </c>
    </row>
    <row r="445" spans="1:13" x14ac:dyDescent="0.3">
      <c r="A445" s="95">
        <f t="shared" si="6"/>
        <v>0</v>
      </c>
      <c r="B445" s="106" t="s">
        <v>477</v>
      </c>
      <c r="C445" s="95" t="s">
        <v>1941</v>
      </c>
      <c r="D445" s="106">
        <v>12</v>
      </c>
      <c r="E445" s="107">
        <v>1</v>
      </c>
      <c r="F445" s="107" t="s">
        <v>2959</v>
      </c>
      <c r="G445" s="107" t="s">
        <v>2961</v>
      </c>
      <c r="H445" s="107" t="s">
        <v>2972</v>
      </c>
      <c r="I445" s="107" t="s">
        <v>2996</v>
      </c>
      <c r="J445" s="107" t="s">
        <v>2996</v>
      </c>
      <c r="K445" s="107" t="s">
        <v>2996</v>
      </c>
      <c r="L445" s="107">
        <v>20.94</v>
      </c>
      <c r="M445" s="107">
        <v>1</v>
      </c>
    </row>
    <row r="446" spans="1:13" x14ac:dyDescent="0.3">
      <c r="A446" s="95">
        <f t="shared" si="6"/>
        <v>0</v>
      </c>
      <c r="B446" s="106" t="s">
        <v>478</v>
      </c>
      <c r="C446" s="95" t="s">
        <v>1942</v>
      </c>
      <c r="D446" s="106">
        <v>12</v>
      </c>
      <c r="E446" s="107">
        <v>1</v>
      </c>
      <c r="F446" s="107" t="s">
        <v>2958</v>
      </c>
      <c r="G446" s="107" t="s">
        <v>2964</v>
      </c>
      <c r="H446" s="107" t="s">
        <v>2976</v>
      </c>
      <c r="I446" s="107" t="s">
        <v>2997</v>
      </c>
      <c r="J446" s="107" t="s">
        <v>2997</v>
      </c>
      <c r="K446" s="107" t="s">
        <v>2996</v>
      </c>
      <c r="L446" s="107">
        <v>34.74</v>
      </c>
      <c r="M446" s="107"/>
    </row>
    <row r="447" spans="1:13" x14ac:dyDescent="0.3">
      <c r="A447" s="95">
        <f t="shared" si="6"/>
        <v>0</v>
      </c>
      <c r="B447" s="106" t="s">
        <v>479</v>
      </c>
      <c r="C447" s="95" t="s">
        <v>1943</v>
      </c>
      <c r="D447" s="106">
        <v>12</v>
      </c>
      <c r="E447" s="107">
        <v>1</v>
      </c>
      <c r="F447" s="107" t="s">
        <v>2958</v>
      </c>
      <c r="G447" s="107" t="s">
        <v>2963</v>
      </c>
      <c r="H447" s="107" t="s">
        <v>2974</v>
      </c>
      <c r="I447" s="107" t="s">
        <v>2996</v>
      </c>
      <c r="J447" s="107" t="s">
        <v>2996</v>
      </c>
      <c r="K447" s="107" t="s">
        <v>2996</v>
      </c>
      <c r="L447" s="107">
        <v>94.68</v>
      </c>
      <c r="M447" s="107"/>
    </row>
    <row r="448" spans="1:13" x14ac:dyDescent="0.3">
      <c r="A448" s="95">
        <f t="shared" si="6"/>
        <v>0</v>
      </c>
      <c r="B448" s="106" t="s">
        <v>480</v>
      </c>
      <c r="C448" s="95" t="s">
        <v>1944</v>
      </c>
      <c r="D448" s="106">
        <v>12</v>
      </c>
      <c r="E448" s="107">
        <v>1</v>
      </c>
      <c r="F448" s="107" t="s">
        <v>2958</v>
      </c>
      <c r="G448" s="107" t="s">
        <v>2964</v>
      </c>
      <c r="H448" s="107" t="s">
        <v>2976</v>
      </c>
      <c r="I448" s="107" t="s">
        <v>2997</v>
      </c>
      <c r="J448" s="107" t="s">
        <v>2997</v>
      </c>
      <c r="K448" s="107" t="s">
        <v>2997</v>
      </c>
      <c r="L448" s="107">
        <v>1415.48</v>
      </c>
      <c r="M448" s="107">
        <v>2</v>
      </c>
    </row>
    <row r="449" spans="1:13" x14ac:dyDescent="0.3">
      <c r="A449" s="95">
        <f t="shared" si="6"/>
        <v>1</v>
      </c>
      <c r="B449" s="106" t="s">
        <v>481</v>
      </c>
      <c r="C449" s="95" t="s">
        <v>3594</v>
      </c>
      <c r="D449" s="106">
        <v>12</v>
      </c>
      <c r="E449" s="107">
        <v>1</v>
      </c>
      <c r="F449" s="107" t="s">
        <v>2958</v>
      </c>
      <c r="G449" s="107" t="s">
        <v>2965</v>
      </c>
      <c r="H449" s="107" t="s">
        <v>2965</v>
      </c>
      <c r="I449" s="107" t="s">
        <v>2997</v>
      </c>
      <c r="J449" s="107" t="s">
        <v>2997</v>
      </c>
      <c r="K449" s="107" t="s">
        <v>2997</v>
      </c>
      <c r="L449" s="107">
        <v>4901.38</v>
      </c>
      <c r="M449" s="107">
        <v>25</v>
      </c>
    </row>
    <row r="450" spans="1:13" x14ac:dyDescent="0.3">
      <c r="A450" s="95">
        <f t="shared" si="6"/>
        <v>0</v>
      </c>
      <c r="B450" s="106" t="s">
        <v>482</v>
      </c>
      <c r="C450" s="95" t="s">
        <v>1945</v>
      </c>
      <c r="D450" s="106">
        <v>12</v>
      </c>
      <c r="E450" s="107">
        <v>1</v>
      </c>
      <c r="F450" s="107" t="s">
        <v>2958</v>
      </c>
      <c r="G450" s="107" t="s">
        <v>2964</v>
      </c>
      <c r="H450" s="107" t="s">
        <v>2975</v>
      </c>
      <c r="I450" s="107" t="s">
        <v>2997</v>
      </c>
      <c r="J450" s="107" t="s">
        <v>2997</v>
      </c>
      <c r="K450" s="107" t="s">
        <v>2997</v>
      </c>
      <c r="L450" s="107">
        <v>2221.5300000000002</v>
      </c>
      <c r="M450" s="107">
        <v>5</v>
      </c>
    </row>
    <row r="451" spans="1:13" x14ac:dyDescent="0.3">
      <c r="A451" s="95">
        <f t="shared" si="6"/>
        <v>1</v>
      </c>
      <c r="B451" s="106" t="s">
        <v>3133</v>
      </c>
      <c r="C451" s="95" t="s">
        <v>3336</v>
      </c>
      <c r="D451" s="106">
        <v>12</v>
      </c>
      <c r="E451" s="107">
        <v>1</v>
      </c>
      <c r="F451" s="107" t="s">
        <v>2958</v>
      </c>
      <c r="G451" s="107" t="s">
        <v>2961</v>
      </c>
      <c r="H451" s="107" t="s">
        <v>2971</v>
      </c>
      <c r="I451" s="107" t="s">
        <v>2997</v>
      </c>
      <c r="J451" s="107" t="s">
        <v>2997</v>
      </c>
      <c r="K451" s="107" t="s">
        <v>2997</v>
      </c>
      <c r="L451" s="107">
        <v>4374.12</v>
      </c>
      <c r="M451" s="107">
        <v>21</v>
      </c>
    </row>
    <row r="452" spans="1:13" x14ac:dyDescent="0.3">
      <c r="A452" s="95">
        <f t="shared" si="6"/>
        <v>0</v>
      </c>
      <c r="B452" s="106" t="s">
        <v>483</v>
      </c>
      <c r="C452" s="95" t="s">
        <v>1946</v>
      </c>
      <c r="D452" s="106">
        <v>12</v>
      </c>
      <c r="E452" s="107">
        <v>1</v>
      </c>
      <c r="F452" s="107" t="s">
        <v>2958</v>
      </c>
      <c r="G452" s="107" t="s">
        <v>2966</v>
      </c>
      <c r="H452" s="107" t="s">
        <v>2984</v>
      </c>
      <c r="I452" s="107" t="s">
        <v>2997</v>
      </c>
      <c r="J452" s="107" t="s">
        <v>2997</v>
      </c>
      <c r="K452" s="107" t="s">
        <v>2996</v>
      </c>
      <c r="L452" s="107">
        <v>21.84</v>
      </c>
      <c r="M452" s="107"/>
    </row>
    <row r="453" spans="1:13" x14ac:dyDescent="0.3">
      <c r="A453" s="95">
        <f t="shared" si="6"/>
        <v>0</v>
      </c>
      <c r="B453" s="106" t="s">
        <v>484</v>
      </c>
      <c r="C453" s="95" t="s">
        <v>1947</v>
      </c>
      <c r="D453" s="106">
        <v>12</v>
      </c>
      <c r="E453" s="107">
        <v>1</v>
      </c>
      <c r="F453" s="107" t="s">
        <v>2958</v>
      </c>
      <c r="G453" s="107" t="s">
        <v>2965</v>
      </c>
      <c r="H453" s="107" t="s">
        <v>2965</v>
      </c>
      <c r="I453" s="107" t="s">
        <v>2996</v>
      </c>
      <c r="J453" s="107" t="s">
        <v>2996</v>
      </c>
      <c r="K453" s="107" t="s">
        <v>2996</v>
      </c>
      <c r="L453" s="107">
        <v>204.98</v>
      </c>
      <c r="M453" s="107"/>
    </row>
    <row r="454" spans="1:13" x14ac:dyDescent="0.3">
      <c r="A454" s="95">
        <f t="shared" si="6"/>
        <v>0</v>
      </c>
      <c r="B454" s="106" t="s">
        <v>485</v>
      </c>
      <c r="C454" s="95" t="s">
        <v>1948</v>
      </c>
      <c r="D454" s="106">
        <v>12</v>
      </c>
      <c r="E454" s="107">
        <v>1</v>
      </c>
      <c r="F454" s="107" t="s">
        <v>2958</v>
      </c>
      <c r="G454" s="107" t="s">
        <v>2961</v>
      </c>
      <c r="H454" s="107" t="s">
        <v>2972</v>
      </c>
      <c r="I454" s="107" t="s">
        <v>2997</v>
      </c>
      <c r="J454" s="107" t="s">
        <v>2997</v>
      </c>
      <c r="K454" s="107" t="s">
        <v>2996</v>
      </c>
      <c r="L454" s="107">
        <v>46.05</v>
      </c>
      <c r="M454" s="107"/>
    </row>
    <row r="455" spans="1:13" x14ac:dyDescent="0.3">
      <c r="A455" s="95">
        <f t="shared" si="6"/>
        <v>0</v>
      </c>
      <c r="B455" s="106" t="s">
        <v>486</v>
      </c>
      <c r="C455" s="95" t="s">
        <v>1949</v>
      </c>
      <c r="D455" s="106">
        <v>12</v>
      </c>
      <c r="E455" s="107">
        <v>1</v>
      </c>
      <c r="F455" s="107" t="s">
        <v>2959</v>
      </c>
      <c r="G455" s="107" t="s">
        <v>2961</v>
      </c>
      <c r="H455" s="107" t="s">
        <v>2971</v>
      </c>
      <c r="I455" s="107" t="s">
        <v>2997</v>
      </c>
      <c r="J455" s="107" t="s">
        <v>2997</v>
      </c>
      <c r="K455" s="107" t="s">
        <v>2996</v>
      </c>
      <c r="L455" s="107">
        <v>53.33</v>
      </c>
      <c r="M455" s="107"/>
    </row>
    <row r="456" spans="1:13" x14ac:dyDescent="0.3">
      <c r="A456" s="95">
        <f t="shared" si="6"/>
        <v>0</v>
      </c>
      <c r="B456" s="106" t="s">
        <v>487</v>
      </c>
      <c r="C456" s="95" t="s">
        <v>1950</v>
      </c>
      <c r="D456" s="106">
        <v>12</v>
      </c>
      <c r="E456" s="107">
        <v>1</v>
      </c>
      <c r="F456" s="107" t="s">
        <v>2958</v>
      </c>
      <c r="G456" s="107" t="s">
        <v>2961</v>
      </c>
      <c r="H456" s="107" t="s">
        <v>2972</v>
      </c>
      <c r="I456" s="107" t="s">
        <v>2996</v>
      </c>
      <c r="J456" s="107" t="s">
        <v>2996</v>
      </c>
      <c r="K456" s="107" t="s">
        <v>2996</v>
      </c>
      <c r="L456" s="107">
        <v>29.75</v>
      </c>
      <c r="M456" s="107"/>
    </row>
    <row r="457" spans="1:13" x14ac:dyDescent="0.3">
      <c r="A457" s="95">
        <f t="shared" si="6"/>
        <v>0</v>
      </c>
      <c r="B457" s="106" t="s">
        <v>488</v>
      </c>
      <c r="C457" s="95" t="s">
        <v>1951</v>
      </c>
      <c r="D457" s="106">
        <v>12</v>
      </c>
      <c r="E457" s="107">
        <v>1</v>
      </c>
      <c r="F457" s="107" t="s">
        <v>2959</v>
      </c>
      <c r="G457" s="107" t="s">
        <v>2964</v>
      </c>
      <c r="H457" s="107" t="s">
        <v>2976</v>
      </c>
      <c r="I457" s="107" t="s">
        <v>2996</v>
      </c>
      <c r="J457" s="107" t="s">
        <v>2996</v>
      </c>
      <c r="K457" s="107" t="s">
        <v>2996</v>
      </c>
      <c r="L457" s="107">
        <v>104.93</v>
      </c>
      <c r="M457" s="107"/>
    </row>
    <row r="458" spans="1:13" x14ac:dyDescent="0.3">
      <c r="A458" s="95">
        <f t="shared" si="6"/>
        <v>0</v>
      </c>
      <c r="B458" s="106" t="s">
        <v>489</v>
      </c>
      <c r="C458" s="95" t="s">
        <v>1952</v>
      </c>
      <c r="D458" s="106">
        <v>12</v>
      </c>
      <c r="E458" s="107">
        <v>1</v>
      </c>
      <c r="F458" s="107" t="s">
        <v>2958</v>
      </c>
      <c r="G458" s="107" t="s">
        <v>2964</v>
      </c>
      <c r="H458" s="107" t="s">
        <v>2976</v>
      </c>
      <c r="I458" s="107" t="s">
        <v>2997</v>
      </c>
      <c r="J458" s="107" t="s">
        <v>2997</v>
      </c>
      <c r="K458" s="107" t="s">
        <v>2997</v>
      </c>
      <c r="L458" s="107">
        <v>15.52</v>
      </c>
      <c r="M458" s="107"/>
    </row>
    <row r="459" spans="1:13" x14ac:dyDescent="0.3">
      <c r="A459" s="95">
        <f t="shared" si="6"/>
        <v>0</v>
      </c>
      <c r="B459" s="106" t="s">
        <v>490</v>
      </c>
      <c r="C459" s="95" t="s">
        <v>3633</v>
      </c>
      <c r="D459" s="106">
        <v>12</v>
      </c>
      <c r="E459" s="107">
        <v>1</v>
      </c>
      <c r="F459" s="107" t="s">
        <v>2958</v>
      </c>
      <c r="G459" s="107" t="s">
        <v>2961</v>
      </c>
      <c r="H459" s="107" t="s">
        <v>2981</v>
      </c>
      <c r="I459" s="107" t="s">
        <v>2997</v>
      </c>
      <c r="J459" s="107" t="s">
        <v>2997</v>
      </c>
      <c r="K459" s="107" t="s">
        <v>2996</v>
      </c>
      <c r="L459" s="107">
        <v>33.46</v>
      </c>
      <c r="M459" s="107"/>
    </row>
    <row r="460" spans="1:13" x14ac:dyDescent="0.3">
      <c r="A460" s="95">
        <f t="shared" si="6"/>
        <v>0</v>
      </c>
      <c r="B460" s="106" t="s">
        <v>491</v>
      </c>
      <c r="C460" s="95" t="s">
        <v>1953</v>
      </c>
      <c r="D460" s="106">
        <v>12</v>
      </c>
      <c r="E460" s="107">
        <v>1</v>
      </c>
      <c r="F460" s="107" t="s">
        <v>2958</v>
      </c>
      <c r="G460" s="107" t="s">
        <v>2965</v>
      </c>
      <c r="H460" s="107" t="s">
        <v>2965</v>
      </c>
      <c r="I460" s="107" t="s">
        <v>2996</v>
      </c>
      <c r="J460" s="107" t="s">
        <v>2996</v>
      </c>
      <c r="K460" s="107" t="s">
        <v>2996</v>
      </c>
      <c r="L460" s="107">
        <v>78.11</v>
      </c>
      <c r="M460" s="107"/>
    </row>
    <row r="461" spans="1:13" x14ac:dyDescent="0.3">
      <c r="A461" s="95">
        <f t="shared" si="6"/>
        <v>0</v>
      </c>
      <c r="B461" s="106" t="s">
        <v>492</v>
      </c>
      <c r="C461" s="95" t="s">
        <v>1954</v>
      </c>
      <c r="D461" s="106">
        <v>12</v>
      </c>
      <c r="E461" s="107">
        <v>1</v>
      </c>
      <c r="F461" s="107" t="s">
        <v>2959</v>
      </c>
      <c r="G461" s="107" t="s">
        <v>2964</v>
      </c>
      <c r="H461" s="107" t="s">
        <v>2976</v>
      </c>
      <c r="I461" s="107" t="s">
        <v>2997</v>
      </c>
      <c r="J461" s="107" t="s">
        <v>2997</v>
      </c>
      <c r="K461" s="107" t="s">
        <v>2997</v>
      </c>
      <c r="L461" s="107">
        <v>47.33</v>
      </c>
      <c r="M461" s="107">
        <v>1</v>
      </c>
    </row>
    <row r="462" spans="1:13" x14ac:dyDescent="0.3">
      <c r="A462" s="95">
        <f t="shared" si="6"/>
        <v>0</v>
      </c>
      <c r="B462" s="106" t="s">
        <v>493</v>
      </c>
      <c r="C462" s="95" t="s">
        <v>1955</v>
      </c>
      <c r="D462" s="106">
        <v>12</v>
      </c>
      <c r="E462" s="107">
        <v>1</v>
      </c>
      <c r="F462" s="107" t="s">
        <v>2958</v>
      </c>
      <c r="G462" s="107" t="s">
        <v>2966</v>
      </c>
      <c r="H462" s="107" t="s">
        <v>2980</v>
      </c>
      <c r="I462" s="107" t="s">
        <v>2997</v>
      </c>
      <c r="J462" s="107" t="s">
        <v>2997</v>
      </c>
      <c r="K462" s="107" t="s">
        <v>2996</v>
      </c>
      <c r="L462" s="107">
        <v>27.21</v>
      </c>
      <c r="M462" s="107"/>
    </row>
    <row r="463" spans="1:13" x14ac:dyDescent="0.3">
      <c r="A463" s="95">
        <f t="shared" ref="A463:A526" si="7">IF(AND(E463=1,J463=K463,M463&gt;6),1,0)</f>
        <v>0</v>
      </c>
      <c r="B463" s="106" t="s">
        <v>494</v>
      </c>
      <c r="C463" s="95" t="s">
        <v>1956</v>
      </c>
      <c r="D463" s="106">
        <v>12</v>
      </c>
      <c r="E463" s="107">
        <v>1</v>
      </c>
      <c r="F463" s="107" t="s">
        <v>2958</v>
      </c>
      <c r="G463" s="107" t="s">
        <v>2964</v>
      </c>
      <c r="H463" s="107" t="s">
        <v>2976</v>
      </c>
      <c r="I463" s="107" t="s">
        <v>2997</v>
      </c>
      <c r="J463" s="107" t="s">
        <v>2997</v>
      </c>
      <c r="K463" s="107" t="s">
        <v>2996</v>
      </c>
      <c r="L463" s="107">
        <v>39.42</v>
      </c>
      <c r="M463" s="107"/>
    </row>
    <row r="464" spans="1:13" x14ac:dyDescent="0.3">
      <c r="A464" s="95">
        <f t="shared" si="7"/>
        <v>0</v>
      </c>
      <c r="B464" s="106" t="s">
        <v>495</v>
      </c>
      <c r="C464" s="95" t="s">
        <v>1957</v>
      </c>
      <c r="D464" s="106">
        <v>12</v>
      </c>
      <c r="E464" s="107">
        <v>1</v>
      </c>
      <c r="F464" s="107" t="s">
        <v>2958</v>
      </c>
      <c r="G464" s="107" t="s">
        <v>2965</v>
      </c>
      <c r="H464" s="107" t="s">
        <v>2965</v>
      </c>
      <c r="I464" s="107" t="s">
        <v>2996</v>
      </c>
      <c r="J464" s="107" t="s">
        <v>2996</v>
      </c>
      <c r="K464" s="107" t="s">
        <v>2996</v>
      </c>
      <c r="L464" s="107">
        <v>9.24</v>
      </c>
      <c r="M464" s="107"/>
    </row>
    <row r="465" spans="1:13" x14ac:dyDescent="0.3">
      <c r="A465" s="95">
        <f t="shared" si="7"/>
        <v>0</v>
      </c>
      <c r="B465" s="106" t="s">
        <v>496</v>
      </c>
      <c r="C465" s="95" t="s">
        <v>1958</v>
      </c>
      <c r="D465" s="106">
        <v>12</v>
      </c>
      <c r="E465" s="107">
        <v>1</v>
      </c>
      <c r="F465" s="107" t="s">
        <v>2958</v>
      </c>
      <c r="G465" s="107" t="s">
        <v>2964</v>
      </c>
      <c r="H465" s="107" t="s">
        <v>2976</v>
      </c>
      <c r="I465" s="107" t="s">
        <v>2997</v>
      </c>
      <c r="J465" s="107" t="s">
        <v>2997</v>
      </c>
      <c r="K465" s="107" t="s">
        <v>2997</v>
      </c>
      <c r="L465" s="107">
        <v>493.49</v>
      </c>
      <c r="M465" s="107">
        <v>3</v>
      </c>
    </row>
    <row r="466" spans="1:13" x14ac:dyDescent="0.3">
      <c r="A466" s="95">
        <f t="shared" si="7"/>
        <v>1</v>
      </c>
      <c r="B466" s="106" t="s">
        <v>497</v>
      </c>
      <c r="C466" s="95" t="s">
        <v>1959</v>
      </c>
      <c r="D466" s="106">
        <v>12</v>
      </c>
      <c r="E466" s="107">
        <v>1</v>
      </c>
      <c r="F466" s="107" t="s">
        <v>2958</v>
      </c>
      <c r="G466" s="107" t="s">
        <v>2965</v>
      </c>
      <c r="H466" s="107" t="s">
        <v>2965</v>
      </c>
      <c r="I466" s="107" t="s">
        <v>2997</v>
      </c>
      <c r="J466" s="107" t="s">
        <v>2997</v>
      </c>
      <c r="K466" s="107" t="s">
        <v>2997</v>
      </c>
      <c r="L466" s="107">
        <v>2519.6799999999998</v>
      </c>
      <c r="M466" s="107">
        <v>19</v>
      </c>
    </row>
    <row r="467" spans="1:13" x14ac:dyDescent="0.3">
      <c r="A467" s="95">
        <f t="shared" si="7"/>
        <v>1</v>
      </c>
      <c r="B467" s="106" t="s">
        <v>498</v>
      </c>
      <c r="C467" s="95" t="s">
        <v>1960</v>
      </c>
      <c r="D467" s="106">
        <v>12</v>
      </c>
      <c r="E467" s="107">
        <v>1</v>
      </c>
      <c r="F467" s="107" t="s">
        <v>2958</v>
      </c>
      <c r="G467" s="107" t="s">
        <v>2965</v>
      </c>
      <c r="H467" s="107" t="s">
        <v>2965</v>
      </c>
      <c r="I467" s="107" t="s">
        <v>2997</v>
      </c>
      <c r="J467" s="107" t="s">
        <v>2997</v>
      </c>
      <c r="K467" s="107" t="s">
        <v>2997</v>
      </c>
      <c r="L467" s="107">
        <v>1010.4</v>
      </c>
      <c r="M467" s="107">
        <v>13</v>
      </c>
    </row>
    <row r="468" spans="1:13" x14ac:dyDescent="0.3">
      <c r="A468" s="95">
        <f t="shared" si="7"/>
        <v>0</v>
      </c>
      <c r="B468" s="106" t="s">
        <v>499</v>
      </c>
      <c r="C468" s="95" t="s">
        <v>1961</v>
      </c>
      <c r="D468" s="106">
        <v>12</v>
      </c>
      <c r="E468" s="107">
        <v>1</v>
      </c>
      <c r="F468" s="107" t="s">
        <v>2958</v>
      </c>
      <c r="G468" s="107" t="s">
        <v>2964</v>
      </c>
      <c r="H468" s="107" t="s">
        <v>2976</v>
      </c>
      <c r="I468" s="107" t="s">
        <v>2997</v>
      </c>
      <c r="J468" s="107" t="s">
        <v>2997</v>
      </c>
      <c r="K468" s="107" t="s">
        <v>2996</v>
      </c>
      <c r="L468" s="107">
        <v>94.73</v>
      </c>
      <c r="M468" s="107"/>
    </row>
    <row r="469" spans="1:13" x14ac:dyDescent="0.3">
      <c r="A469" s="95">
        <f t="shared" si="7"/>
        <v>0</v>
      </c>
      <c r="B469" s="106" t="s">
        <v>500</v>
      </c>
      <c r="C469" s="95" t="s">
        <v>1962</v>
      </c>
      <c r="D469" s="106">
        <v>12</v>
      </c>
      <c r="E469" s="107">
        <v>1</v>
      </c>
      <c r="F469" s="107" t="s">
        <v>2958</v>
      </c>
      <c r="G469" s="107" t="s">
        <v>2967</v>
      </c>
      <c r="H469" s="107" t="s">
        <v>2967</v>
      </c>
      <c r="I469" s="107" t="s">
        <v>2996</v>
      </c>
      <c r="J469" s="107" t="s">
        <v>2996</v>
      </c>
      <c r="K469" s="107" t="s">
        <v>2996</v>
      </c>
      <c r="L469" s="107">
        <v>63.24</v>
      </c>
      <c r="M469" s="107"/>
    </row>
    <row r="470" spans="1:13" x14ac:dyDescent="0.3">
      <c r="A470" s="95">
        <f t="shared" si="7"/>
        <v>0</v>
      </c>
      <c r="B470" s="106" t="s">
        <v>501</v>
      </c>
      <c r="C470" s="95" t="s">
        <v>1963</v>
      </c>
      <c r="D470" s="106">
        <v>12</v>
      </c>
      <c r="E470" s="107">
        <v>1</v>
      </c>
      <c r="F470" s="107" t="s">
        <v>2958</v>
      </c>
      <c r="G470" s="107" t="s">
        <v>2966</v>
      </c>
      <c r="H470" s="107" t="s">
        <v>2985</v>
      </c>
      <c r="I470" s="107" t="s">
        <v>2997</v>
      </c>
      <c r="J470" s="107" t="s">
        <v>2997</v>
      </c>
      <c r="K470" s="107" t="s">
        <v>2996</v>
      </c>
      <c r="L470" s="107">
        <v>99.62</v>
      </c>
      <c r="M470" s="107"/>
    </row>
    <row r="471" spans="1:13" x14ac:dyDescent="0.3">
      <c r="A471" s="95">
        <f t="shared" si="7"/>
        <v>0</v>
      </c>
      <c r="B471" s="106" t="s">
        <v>3134</v>
      </c>
      <c r="C471" s="95" t="s">
        <v>3337</v>
      </c>
      <c r="D471" s="106">
        <v>12</v>
      </c>
      <c r="E471" s="107">
        <v>1</v>
      </c>
      <c r="F471" s="107" t="s">
        <v>2958</v>
      </c>
      <c r="G471" s="107" t="s">
        <v>2965</v>
      </c>
      <c r="H471" s="107" t="s">
        <v>2965</v>
      </c>
      <c r="I471" s="107" t="s">
        <v>2997</v>
      </c>
      <c r="J471" s="107" t="s">
        <v>2997</v>
      </c>
      <c r="K471" s="107" t="s">
        <v>2997</v>
      </c>
      <c r="L471" s="107">
        <v>118.62</v>
      </c>
      <c r="M471" s="107">
        <v>1</v>
      </c>
    </row>
    <row r="472" spans="1:13" x14ac:dyDescent="0.3">
      <c r="A472" s="95">
        <f t="shared" si="7"/>
        <v>0</v>
      </c>
      <c r="B472" s="106" t="s">
        <v>502</v>
      </c>
      <c r="C472" s="95" t="s">
        <v>1964</v>
      </c>
      <c r="D472" s="106">
        <v>12</v>
      </c>
      <c r="E472" s="107">
        <v>1</v>
      </c>
      <c r="F472" s="107" t="s">
        <v>2958</v>
      </c>
      <c r="G472" s="107" t="s">
        <v>2967</v>
      </c>
      <c r="H472" s="107" t="s">
        <v>2967</v>
      </c>
      <c r="I472" s="107" t="s">
        <v>2997</v>
      </c>
      <c r="J472" s="107" t="s">
        <v>2997</v>
      </c>
      <c r="K472" s="107" t="s">
        <v>2996</v>
      </c>
      <c r="L472" s="107">
        <v>40.19</v>
      </c>
      <c r="M472" s="107"/>
    </row>
    <row r="473" spans="1:13" x14ac:dyDescent="0.3">
      <c r="A473" s="95">
        <f t="shared" si="7"/>
        <v>0</v>
      </c>
      <c r="B473" s="106" t="s">
        <v>503</v>
      </c>
      <c r="C473" s="95" t="s">
        <v>1965</v>
      </c>
      <c r="D473" s="106">
        <v>12</v>
      </c>
      <c r="E473" s="107">
        <v>1</v>
      </c>
      <c r="F473" s="107" t="s">
        <v>2958</v>
      </c>
      <c r="G473" s="107" t="s">
        <v>2964</v>
      </c>
      <c r="H473" s="107" t="s">
        <v>2976</v>
      </c>
      <c r="I473" s="107" t="s">
        <v>2997</v>
      </c>
      <c r="J473" s="107" t="s">
        <v>2997</v>
      </c>
      <c r="K473" s="107" t="s">
        <v>2997</v>
      </c>
      <c r="L473" s="107">
        <v>86.72</v>
      </c>
      <c r="M473" s="107">
        <v>1</v>
      </c>
    </row>
    <row r="474" spans="1:13" x14ac:dyDescent="0.3">
      <c r="A474" s="95">
        <f t="shared" si="7"/>
        <v>0</v>
      </c>
      <c r="B474" s="106" t="s">
        <v>504</v>
      </c>
      <c r="C474" s="95" t="s">
        <v>1966</v>
      </c>
      <c r="D474" s="106">
        <v>12</v>
      </c>
      <c r="E474" s="107">
        <v>1</v>
      </c>
      <c r="F474" s="107" t="s">
        <v>2958</v>
      </c>
      <c r="G474" s="107" t="s">
        <v>2961</v>
      </c>
      <c r="H474" s="107" t="s">
        <v>2971</v>
      </c>
      <c r="I474" s="107" t="s">
        <v>2997</v>
      </c>
      <c r="J474" s="107" t="s">
        <v>2997</v>
      </c>
      <c r="K474" s="107" t="s">
        <v>2996</v>
      </c>
      <c r="L474" s="107">
        <v>46.35</v>
      </c>
      <c r="M474" s="107"/>
    </row>
    <row r="475" spans="1:13" x14ac:dyDescent="0.3">
      <c r="A475" s="95">
        <f t="shared" si="7"/>
        <v>0</v>
      </c>
      <c r="B475" s="106" t="s">
        <v>505</v>
      </c>
      <c r="C475" s="95" t="s">
        <v>1967</v>
      </c>
      <c r="D475" s="106">
        <v>12</v>
      </c>
      <c r="E475" s="107">
        <v>1</v>
      </c>
      <c r="F475" s="107" t="s">
        <v>2958</v>
      </c>
      <c r="G475" s="107" t="s">
        <v>2968</v>
      </c>
      <c r="H475" s="107" t="s">
        <v>2968</v>
      </c>
      <c r="I475" s="107" t="s">
        <v>2997</v>
      </c>
      <c r="J475" s="107" t="s">
        <v>2997</v>
      </c>
      <c r="K475" s="107" t="s">
        <v>2997</v>
      </c>
      <c r="L475" s="107">
        <v>296.56</v>
      </c>
      <c r="M475" s="107">
        <v>1</v>
      </c>
    </row>
    <row r="476" spans="1:13" x14ac:dyDescent="0.3">
      <c r="A476" s="95">
        <f t="shared" si="7"/>
        <v>1</v>
      </c>
      <c r="B476" s="106" t="s">
        <v>506</v>
      </c>
      <c r="C476" s="95" t="s">
        <v>1968</v>
      </c>
      <c r="D476" s="106">
        <v>12</v>
      </c>
      <c r="E476" s="107">
        <v>1</v>
      </c>
      <c r="F476" s="107" t="s">
        <v>2958</v>
      </c>
      <c r="G476" s="107" t="s">
        <v>2961</v>
      </c>
      <c r="H476" s="107" t="s">
        <v>2971</v>
      </c>
      <c r="I476" s="107" t="s">
        <v>2997</v>
      </c>
      <c r="J476" s="107" t="s">
        <v>2997</v>
      </c>
      <c r="K476" s="107" t="s">
        <v>2997</v>
      </c>
      <c r="L476" s="107">
        <v>26574.87</v>
      </c>
      <c r="M476" s="107">
        <v>25</v>
      </c>
    </row>
    <row r="477" spans="1:13" x14ac:dyDescent="0.3">
      <c r="A477" s="95">
        <f t="shared" si="7"/>
        <v>0</v>
      </c>
      <c r="B477" s="106" t="s">
        <v>507</v>
      </c>
      <c r="C477" s="95" t="s">
        <v>1969</v>
      </c>
      <c r="D477" s="106">
        <v>12</v>
      </c>
      <c r="E477" s="107">
        <v>1</v>
      </c>
      <c r="F477" s="107" t="s">
        <v>2959</v>
      </c>
      <c r="G477" s="107" t="s">
        <v>2966</v>
      </c>
      <c r="H477" s="107" t="s">
        <v>2977</v>
      </c>
      <c r="I477" s="107" t="s">
        <v>2997</v>
      </c>
      <c r="J477" s="107" t="s">
        <v>2997</v>
      </c>
      <c r="K477" s="107" t="s">
        <v>2996</v>
      </c>
      <c r="L477" s="107">
        <v>46.17</v>
      </c>
      <c r="M477" s="107"/>
    </row>
    <row r="478" spans="1:13" x14ac:dyDescent="0.3">
      <c r="A478" s="95">
        <f t="shared" si="7"/>
        <v>1</v>
      </c>
      <c r="B478" s="106" t="s">
        <v>508</v>
      </c>
      <c r="C478" s="95" t="s">
        <v>1971</v>
      </c>
      <c r="D478" s="106">
        <v>12</v>
      </c>
      <c r="E478" s="107">
        <v>1</v>
      </c>
      <c r="F478" s="107" t="s">
        <v>2958</v>
      </c>
      <c r="G478" s="107" t="s">
        <v>2966</v>
      </c>
      <c r="H478" s="107" t="s">
        <v>2984</v>
      </c>
      <c r="I478" s="107" t="s">
        <v>2997</v>
      </c>
      <c r="J478" s="107" t="s">
        <v>2997</v>
      </c>
      <c r="K478" s="107" t="s">
        <v>2997</v>
      </c>
      <c r="L478" s="107">
        <v>3464.08</v>
      </c>
      <c r="M478" s="107">
        <v>13</v>
      </c>
    </row>
    <row r="479" spans="1:13" x14ac:dyDescent="0.3">
      <c r="A479" s="95">
        <f t="shared" si="7"/>
        <v>0</v>
      </c>
      <c r="B479" s="106" t="s">
        <v>509</v>
      </c>
      <c r="C479" s="95" t="s">
        <v>1972</v>
      </c>
      <c r="D479" s="106">
        <v>12</v>
      </c>
      <c r="E479" s="107">
        <v>1</v>
      </c>
      <c r="F479" s="107" t="s">
        <v>2958</v>
      </c>
      <c r="G479" s="107" t="s">
        <v>2966</v>
      </c>
      <c r="H479" s="107" t="s">
        <v>2985</v>
      </c>
      <c r="I479" s="107" t="s">
        <v>2997</v>
      </c>
      <c r="J479" s="107" t="s">
        <v>2997</v>
      </c>
      <c r="K479" s="107" t="s">
        <v>2997</v>
      </c>
      <c r="L479" s="107">
        <v>363.49</v>
      </c>
      <c r="M479" s="107"/>
    </row>
    <row r="480" spans="1:13" x14ac:dyDescent="0.3">
      <c r="A480" s="95">
        <f t="shared" si="7"/>
        <v>0</v>
      </c>
      <c r="B480" s="106" t="s">
        <v>510</v>
      </c>
      <c r="C480" s="95" t="s">
        <v>1973</v>
      </c>
      <c r="D480" s="106">
        <v>12</v>
      </c>
      <c r="E480" s="107">
        <v>1</v>
      </c>
      <c r="F480" s="107" t="s">
        <v>2958</v>
      </c>
      <c r="G480" s="107" t="s">
        <v>2966</v>
      </c>
      <c r="H480" s="107" t="s">
        <v>2984</v>
      </c>
      <c r="I480" s="107" t="s">
        <v>2997</v>
      </c>
      <c r="J480" s="107" t="s">
        <v>2997</v>
      </c>
      <c r="K480" s="107" t="s">
        <v>2996</v>
      </c>
      <c r="L480" s="107">
        <v>33.58</v>
      </c>
      <c r="M480" s="107"/>
    </row>
    <row r="481" spans="1:13" x14ac:dyDescent="0.3">
      <c r="A481" s="95">
        <f t="shared" si="7"/>
        <v>0</v>
      </c>
      <c r="B481" s="106" t="s">
        <v>511</v>
      </c>
      <c r="C481" s="95" t="s">
        <v>1974</v>
      </c>
      <c r="D481" s="106">
        <v>12</v>
      </c>
      <c r="E481" s="107">
        <v>1</v>
      </c>
      <c r="F481" s="107" t="s">
        <v>2958</v>
      </c>
      <c r="G481" s="107" t="s">
        <v>2965</v>
      </c>
      <c r="H481" s="107" t="s">
        <v>2965</v>
      </c>
      <c r="I481" s="107" t="s">
        <v>2997</v>
      </c>
      <c r="J481" s="107" t="s">
        <v>2997</v>
      </c>
      <c r="K481" s="107" t="s">
        <v>2996</v>
      </c>
      <c r="L481" s="107">
        <v>152.09</v>
      </c>
      <c r="M481" s="107"/>
    </row>
    <row r="482" spans="1:13" x14ac:dyDescent="0.3">
      <c r="A482" s="95">
        <f t="shared" si="7"/>
        <v>0</v>
      </c>
      <c r="B482" s="106" t="s">
        <v>512</v>
      </c>
      <c r="C482" s="95" t="s">
        <v>1975</v>
      </c>
      <c r="D482" s="106">
        <v>12</v>
      </c>
      <c r="E482" s="107">
        <v>1</v>
      </c>
      <c r="F482" s="107" t="s">
        <v>2959</v>
      </c>
      <c r="G482" s="107" t="s">
        <v>2964</v>
      </c>
      <c r="H482" s="107" t="s">
        <v>2976</v>
      </c>
      <c r="I482" s="107" t="s">
        <v>2997</v>
      </c>
      <c r="J482" s="107" t="s">
        <v>2997</v>
      </c>
      <c r="K482" s="107" t="s">
        <v>2996</v>
      </c>
      <c r="L482" s="107">
        <v>30.62</v>
      </c>
      <c r="M482" s="107"/>
    </row>
    <row r="483" spans="1:13" x14ac:dyDescent="0.3">
      <c r="A483" s="95">
        <f t="shared" si="7"/>
        <v>1</v>
      </c>
      <c r="B483" s="106" t="s">
        <v>513</v>
      </c>
      <c r="C483" s="95" t="s">
        <v>1976</v>
      </c>
      <c r="D483" s="106">
        <v>12</v>
      </c>
      <c r="E483" s="107">
        <v>1</v>
      </c>
      <c r="F483" s="107" t="s">
        <v>2958</v>
      </c>
      <c r="G483" s="107" t="s">
        <v>2964</v>
      </c>
      <c r="H483" s="107" t="s">
        <v>2976</v>
      </c>
      <c r="I483" s="107" t="s">
        <v>2997</v>
      </c>
      <c r="J483" s="107" t="s">
        <v>2997</v>
      </c>
      <c r="K483" s="107" t="s">
        <v>2997</v>
      </c>
      <c r="L483" s="107">
        <v>1884.6</v>
      </c>
      <c r="M483" s="107">
        <v>10</v>
      </c>
    </row>
    <row r="484" spans="1:13" x14ac:dyDescent="0.3">
      <c r="A484" s="95">
        <f t="shared" si="7"/>
        <v>0</v>
      </c>
      <c r="B484" s="106" t="s">
        <v>514</v>
      </c>
      <c r="C484" s="95" t="s">
        <v>1977</v>
      </c>
      <c r="D484" s="106">
        <v>12</v>
      </c>
      <c r="E484" s="107">
        <v>1</v>
      </c>
      <c r="F484" s="107" t="s">
        <v>2959</v>
      </c>
      <c r="G484" s="107" t="s">
        <v>2964</v>
      </c>
      <c r="H484" s="107" t="s">
        <v>2976</v>
      </c>
      <c r="I484" s="107" t="s">
        <v>2997</v>
      </c>
      <c r="J484" s="107" t="s">
        <v>2997</v>
      </c>
      <c r="K484" s="107" t="s">
        <v>2996</v>
      </c>
      <c r="L484" s="107">
        <v>81.42</v>
      </c>
      <c r="M484" s="107"/>
    </row>
    <row r="485" spans="1:13" x14ac:dyDescent="0.3">
      <c r="A485" s="95">
        <f t="shared" si="7"/>
        <v>0</v>
      </c>
      <c r="B485" s="106" t="s">
        <v>515</v>
      </c>
      <c r="C485" s="95" t="s">
        <v>1978</v>
      </c>
      <c r="D485" s="106">
        <v>12</v>
      </c>
      <c r="E485" s="107">
        <v>1</v>
      </c>
      <c r="F485" s="107" t="s">
        <v>2958</v>
      </c>
      <c r="G485" s="107" t="s">
        <v>2965</v>
      </c>
      <c r="H485" s="107" t="s">
        <v>2965</v>
      </c>
      <c r="I485" s="107" t="s">
        <v>2996</v>
      </c>
      <c r="J485" s="107" t="s">
        <v>2996</v>
      </c>
      <c r="K485" s="107" t="s">
        <v>2996</v>
      </c>
      <c r="L485" s="107">
        <v>103.5</v>
      </c>
      <c r="M485" s="107"/>
    </row>
    <row r="486" spans="1:13" x14ac:dyDescent="0.3">
      <c r="A486" s="95">
        <f t="shared" si="7"/>
        <v>0</v>
      </c>
      <c r="B486" s="106" t="s">
        <v>516</v>
      </c>
      <c r="C486" s="95" t="s">
        <v>1979</v>
      </c>
      <c r="D486" s="106">
        <v>12</v>
      </c>
      <c r="E486" s="107">
        <v>1</v>
      </c>
      <c r="F486" s="107" t="s">
        <v>2959</v>
      </c>
      <c r="G486" s="107" t="s">
        <v>2962</v>
      </c>
      <c r="H486" s="107" t="s">
        <v>2989</v>
      </c>
      <c r="I486" s="107" t="s">
        <v>2997</v>
      </c>
      <c r="J486" s="107" t="s">
        <v>2997</v>
      </c>
      <c r="K486" s="107" t="s">
        <v>2996</v>
      </c>
      <c r="L486" s="107">
        <v>163.16999999999999</v>
      </c>
      <c r="M486" s="107"/>
    </row>
    <row r="487" spans="1:13" x14ac:dyDescent="0.3">
      <c r="A487" s="95">
        <f t="shared" si="7"/>
        <v>0</v>
      </c>
      <c r="B487" s="106" t="s">
        <v>517</v>
      </c>
      <c r="C487" s="95" t="s">
        <v>1980</v>
      </c>
      <c r="D487" s="106">
        <v>12</v>
      </c>
      <c r="E487" s="107">
        <v>1</v>
      </c>
      <c r="F487" s="107" t="s">
        <v>2958</v>
      </c>
      <c r="G487" s="107" t="s">
        <v>2964</v>
      </c>
      <c r="H487" s="107" t="s">
        <v>2987</v>
      </c>
      <c r="I487" s="107" t="s">
        <v>2997</v>
      </c>
      <c r="J487" s="107" t="s">
        <v>2997</v>
      </c>
      <c r="K487" s="107" t="s">
        <v>2997</v>
      </c>
      <c r="L487" s="107">
        <v>2386.35</v>
      </c>
      <c r="M487" s="107">
        <v>6</v>
      </c>
    </row>
    <row r="488" spans="1:13" x14ac:dyDescent="0.3">
      <c r="A488" s="95">
        <f t="shared" si="7"/>
        <v>0</v>
      </c>
      <c r="B488" s="106" t="s">
        <v>518</v>
      </c>
      <c r="C488" s="95" t="s">
        <v>1981</v>
      </c>
      <c r="D488" s="106">
        <v>12</v>
      </c>
      <c r="E488" s="107">
        <v>1</v>
      </c>
      <c r="F488" s="107" t="s">
        <v>2959</v>
      </c>
      <c r="G488" s="107" t="s">
        <v>2960</v>
      </c>
      <c r="H488" s="107" t="s">
        <v>2970</v>
      </c>
      <c r="I488" s="107" t="s">
        <v>2996</v>
      </c>
      <c r="J488" s="107" t="s">
        <v>2996</v>
      </c>
      <c r="K488" s="107" t="s">
        <v>2996</v>
      </c>
      <c r="L488" s="107">
        <v>42.98</v>
      </c>
      <c r="M488" s="107"/>
    </row>
    <row r="489" spans="1:13" x14ac:dyDescent="0.3">
      <c r="A489" s="95">
        <f t="shared" si="7"/>
        <v>0</v>
      </c>
      <c r="B489" s="106" t="s">
        <v>519</v>
      </c>
      <c r="C489" s="95" t="s">
        <v>1982</v>
      </c>
      <c r="D489" s="106">
        <v>12</v>
      </c>
      <c r="E489" s="107">
        <v>1</v>
      </c>
      <c r="F489" s="107" t="s">
        <v>2958</v>
      </c>
      <c r="G489" s="107" t="s">
        <v>2965</v>
      </c>
      <c r="H489" s="107" t="s">
        <v>2965</v>
      </c>
      <c r="I489" s="107" t="s">
        <v>2997</v>
      </c>
      <c r="J489" s="107" t="s">
        <v>2997</v>
      </c>
      <c r="K489" s="107" t="s">
        <v>2996</v>
      </c>
      <c r="L489" s="107">
        <v>102.99</v>
      </c>
      <c r="M489" s="107"/>
    </row>
    <row r="490" spans="1:13" x14ac:dyDescent="0.3">
      <c r="A490" s="95">
        <f t="shared" si="7"/>
        <v>0</v>
      </c>
      <c r="B490" s="106" t="s">
        <v>520</v>
      </c>
      <c r="C490" s="95" t="s">
        <v>1983</v>
      </c>
      <c r="D490" s="106">
        <v>12</v>
      </c>
      <c r="E490" s="107">
        <v>1</v>
      </c>
      <c r="F490" s="107" t="s">
        <v>2959</v>
      </c>
      <c r="G490" s="107" t="s">
        <v>2961</v>
      </c>
      <c r="H490" s="107" t="s">
        <v>2971</v>
      </c>
      <c r="I490" s="107" t="s">
        <v>2997</v>
      </c>
      <c r="J490" s="107" t="s">
        <v>2997</v>
      </c>
      <c r="K490" s="107" t="s">
        <v>2996</v>
      </c>
      <c r="L490" s="107">
        <v>77.900000000000006</v>
      </c>
      <c r="M490" s="107"/>
    </row>
    <row r="491" spans="1:13" x14ac:dyDescent="0.3">
      <c r="A491" s="95">
        <f t="shared" si="7"/>
        <v>0</v>
      </c>
      <c r="B491" s="106" t="s">
        <v>521</v>
      </c>
      <c r="C491" s="95" t="s">
        <v>1984</v>
      </c>
      <c r="D491" s="106">
        <v>12</v>
      </c>
      <c r="E491" s="107">
        <v>1</v>
      </c>
      <c r="F491" s="107" t="s">
        <v>2958</v>
      </c>
      <c r="G491" s="107" t="s">
        <v>2961</v>
      </c>
      <c r="H491" s="107" t="s">
        <v>2982</v>
      </c>
      <c r="I491" s="107" t="s">
        <v>2997</v>
      </c>
      <c r="J491" s="107" t="s">
        <v>2997</v>
      </c>
      <c r="K491" s="107" t="s">
        <v>2996</v>
      </c>
      <c r="L491" s="107">
        <v>29.73</v>
      </c>
      <c r="M491" s="107"/>
    </row>
    <row r="492" spans="1:13" x14ac:dyDescent="0.3">
      <c r="A492" s="95">
        <f t="shared" si="7"/>
        <v>0</v>
      </c>
      <c r="B492" s="106" t="s">
        <v>522</v>
      </c>
      <c r="C492" s="95" t="s">
        <v>1985</v>
      </c>
      <c r="D492" s="106">
        <v>12</v>
      </c>
      <c r="E492" s="107">
        <v>1</v>
      </c>
      <c r="F492" s="107" t="s">
        <v>2959</v>
      </c>
      <c r="G492" s="107" t="s">
        <v>2964</v>
      </c>
      <c r="H492" s="107" t="s">
        <v>2976</v>
      </c>
      <c r="I492" s="107" t="s">
        <v>2997</v>
      </c>
      <c r="J492" s="107" t="s">
        <v>2997</v>
      </c>
      <c r="K492" s="107" t="s">
        <v>2997</v>
      </c>
      <c r="L492" s="107">
        <v>304.94</v>
      </c>
      <c r="M492" s="107">
        <v>4</v>
      </c>
    </row>
    <row r="493" spans="1:13" x14ac:dyDescent="0.3">
      <c r="A493" s="95">
        <f t="shared" si="7"/>
        <v>0</v>
      </c>
      <c r="B493" s="106" t="s">
        <v>523</v>
      </c>
      <c r="C493" s="95" t="s">
        <v>1986</v>
      </c>
      <c r="D493" s="106">
        <v>12</v>
      </c>
      <c r="E493" s="107">
        <v>1</v>
      </c>
      <c r="F493" s="107" t="s">
        <v>2959</v>
      </c>
      <c r="G493" s="107" t="s">
        <v>2964</v>
      </c>
      <c r="H493" s="107" t="s">
        <v>2976</v>
      </c>
      <c r="I493" s="107" t="s">
        <v>2996</v>
      </c>
      <c r="J493" s="107" t="s">
        <v>2996</v>
      </c>
      <c r="K493" s="107" t="s">
        <v>2996</v>
      </c>
      <c r="L493" s="107">
        <v>148.47</v>
      </c>
      <c r="M493" s="107">
        <v>1</v>
      </c>
    </row>
    <row r="494" spans="1:13" x14ac:dyDescent="0.3">
      <c r="A494" s="95">
        <f t="shared" si="7"/>
        <v>0</v>
      </c>
      <c r="B494" s="106" t="s">
        <v>524</v>
      </c>
      <c r="C494" s="95" t="s">
        <v>1987</v>
      </c>
      <c r="D494" s="106">
        <v>12</v>
      </c>
      <c r="E494" s="107">
        <v>1</v>
      </c>
      <c r="F494" s="107" t="s">
        <v>2959</v>
      </c>
      <c r="G494" s="107" t="s">
        <v>2964</v>
      </c>
      <c r="H494" s="107" t="s">
        <v>2976</v>
      </c>
      <c r="I494" s="107" t="s">
        <v>2996</v>
      </c>
      <c r="J494" s="107" t="s">
        <v>2996</v>
      </c>
      <c r="K494" s="107" t="s">
        <v>2996</v>
      </c>
      <c r="L494" s="107">
        <v>27.88</v>
      </c>
      <c r="M494" s="107"/>
    </row>
    <row r="495" spans="1:13" x14ac:dyDescent="0.3">
      <c r="A495" s="95">
        <f t="shared" si="7"/>
        <v>0</v>
      </c>
      <c r="B495" s="106" t="s">
        <v>525</v>
      </c>
      <c r="C495" s="95" t="s">
        <v>1988</v>
      </c>
      <c r="D495" s="106">
        <v>12</v>
      </c>
      <c r="E495" s="107">
        <v>1</v>
      </c>
      <c r="F495" s="107" t="s">
        <v>2958</v>
      </c>
      <c r="G495" s="107" t="s">
        <v>2964</v>
      </c>
      <c r="H495" s="107" t="s">
        <v>2976</v>
      </c>
      <c r="I495" s="107" t="s">
        <v>2997</v>
      </c>
      <c r="J495" s="107" t="s">
        <v>2997</v>
      </c>
      <c r="K495" s="107" t="s">
        <v>2997</v>
      </c>
      <c r="L495" s="107">
        <v>28.41</v>
      </c>
      <c r="M495" s="107"/>
    </row>
    <row r="496" spans="1:13" x14ac:dyDescent="0.3">
      <c r="A496" s="95">
        <f t="shared" si="7"/>
        <v>0</v>
      </c>
      <c r="B496" s="106" t="s">
        <v>526</v>
      </c>
      <c r="C496" s="95" t="s">
        <v>1989</v>
      </c>
      <c r="D496" s="106">
        <v>12</v>
      </c>
      <c r="E496" s="107">
        <v>1</v>
      </c>
      <c r="F496" s="107" t="s">
        <v>2959</v>
      </c>
      <c r="G496" s="107" t="s">
        <v>2965</v>
      </c>
      <c r="H496" s="107" t="s">
        <v>2965</v>
      </c>
      <c r="I496" s="107" t="s">
        <v>2996</v>
      </c>
      <c r="J496" s="107" t="s">
        <v>2996</v>
      </c>
      <c r="K496" s="107" t="s">
        <v>2996</v>
      </c>
      <c r="L496" s="107">
        <v>80.099999999999994</v>
      </c>
      <c r="M496" s="107">
        <v>1</v>
      </c>
    </row>
    <row r="497" spans="1:13" x14ac:dyDescent="0.3">
      <c r="A497" s="95">
        <f t="shared" si="7"/>
        <v>0</v>
      </c>
      <c r="B497" s="106" t="s">
        <v>527</v>
      </c>
      <c r="C497" s="95" t="s">
        <v>1990</v>
      </c>
      <c r="D497" s="106">
        <v>12</v>
      </c>
      <c r="E497" s="107">
        <v>1</v>
      </c>
      <c r="F497" s="107" t="s">
        <v>2958</v>
      </c>
      <c r="G497" s="107" t="s">
        <v>2961</v>
      </c>
      <c r="H497" s="107" t="s">
        <v>2971</v>
      </c>
      <c r="I497" s="107" t="s">
        <v>2997</v>
      </c>
      <c r="J497" s="107" t="s">
        <v>2997</v>
      </c>
      <c r="K497" s="107" t="s">
        <v>2997</v>
      </c>
      <c r="L497" s="107">
        <v>82.64</v>
      </c>
      <c r="M497" s="107"/>
    </row>
    <row r="498" spans="1:13" x14ac:dyDescent="0.3">
      <c r="A498" s="95">
        <f t="shared" si="7"/>
        <v>0</v>
      </c>
      <c r="B498" s="106" t="s">
        <v>528</v>
      </c>
      <c r="C498" s="95" t="s">
        <v>1991</v>
      </c>
      <c r="D498" s="106">
        <v>12</v>
      </c>
      <c r="E498" s="107">
        <v>1</v>
      </c>
      <c r="F498" s="107" t="s">
        <v>2958</v>
      </c>
      <c r="G498" s="107" t="s">
        <v>2964</v>
      </c>
      <c r="H498" s="107" t="s">
        <v>2976</v>
      </c>
      <c r="I498" s="107" t="s">
        <v>2997</v>
      </c>
      <c r="J498" s="107" t="s">
        <v>2997</v>
      </c>
      <c r="K498" s="107" t="s">
        <v>2997</v>
      </c>
      <c r="L498" s="107">
        <v>327.74</v>
      </c>
      <c r="M498" s="107">
        <v>5</v>
      </c>
    </row>
    <row r="499" spans="1:13" x14ac:dyDescent="0.3">
      <c r="A499" s="95">
        <f t="shared" si="7"/>
        <v>0</v>
      </c>
      <c r="B499" s="106" t="s">
        <v>529</v>
      </c>
      <c r="C499" s="95" t="s">
        <v>1992</v>
      </c>
      <c r="D499" s="106">
        <v>12</v>
      </c>
      <c r="E499" s="107">
        <v>1</v>
      </c>
      <c r="F499" s="107" t="s">
        <v>2958</v>
      </c>
      <c r="G499" s="107" t="s">
        <v>2964</v>
      </c>
      <c r="H499" s="107" t="s">
        <v>2976</v>
      </c>
      <c r="I499" s="107" t="s">
        <v>2997</v>
      </c>
      <c r="J499" s="107" t="s">
        <v>2997</v>
      </c>
      <c r="K499" s="107" t="s">
        <v>2996</v>
      </c>
      <c r="L499" s="107">
        <v>80.819999999999993</v>
      </c>
      <c r="M499" s="107">
        <v>2</v>
      </c>
    </row>
    <row r="500" spans="1:13" x14ac:dyDescent="0.3">
      <c r="A500" s="95">
        <f t="shared" si="7"/>
        <v>0</v>
      </c>
      <c r="B500" s="106" t="s">
        <v>530</v>
      </c>
      <c r="C500" s="95" t="s">
        <v>1993</v>
      </c>
      <c r="D500" s="106">
        <v>12</v>
      </c>
      <c r="E500" s="107">
        <v>1</v>
      </c>
      <c r="F500" s="107" t="s">
        <v>2958</v>
      </c>
      <c r="G500" s="107" t="s">
        <v>2964</v>
      </c>
      <c r="H500" s="107" t="s">
        <v>2976</v>
      </c>
      <c r="I500" s="107" t="s">
        <v>2996</v>
      </c>
      <c r="J500" s="107" t="s">
        <v>2996</v>
      </c>
      <c r="K500" s="107" t="s">
        <v>2996</v>
      </c>
      <c r="L500" s="107">
        <v>11.13</v>
      </c>
      <c r="M500" s="107"/>
    </row>
    <row r="501" spans="1:13" x14ac:dyDescent="0.3">
      <c r="A501" s="95">
        <f t="shared" si="7"/>
        <v>0</v>
      </c>
      <c r="B501" s="106" t="s">
        <v>531</v>
      </c>
      <c r="C501" s="95" t="s">
        <v>1994</v>
      </c>
      <c r="D501" s="106">
        <v>12</v>
      </c>
      <c r="E501" s="107">
        <v>1</v>
      </c>
      <c r="F501" s="107" t="s">
        <v>2959</v>
      </c>
      <c r="G501" s="107" t="s">
        <v>2961</v>
      </c>
      <c r="H501" s="107" t="s">
        <v>2971</v>
      </c>
      <c r="I501" s="107" t="s">
        <v>2996</v>
      </c>
      <c r="J501" s="107" t="s">
        <v>2996</v>
      </c>
      <c r="K501" s="107" t="s">
        <v>2996</v>
      </c>
      <c r="L501" s="107">
        <v>15.77</v>
      </c>
      <c r="M501" s="107"/>
    </row>
    <row r="502" spans="1:13" x14ac:dyDescent="0.3">
      <c r="A502" s="95">
        <f t="shared" si="7"/>
        <v>0</v>
      </c>
      <c r="B502" s="106" t="s">
        <v>532</v>
      </c>
      <c r="C502" s="95" t="s">
        <v>1995</v>
      </c>
      <c r="D502" s="106">
        <v>12</v>
      </c>
      <c r="E502" s="107">
        <v>1</v>
      </c>
      <c r="F502" s="107" t="s">
        <v>2959</v>
      </c>
      <c r="G502" s="107" t="s">
        <v>2964</v>
      </c>
      <c r="H502" s="107" t="s">
        <v>2976</v>
      </c>
      <c r="I502" s="107" t="s">
        <v>2997</v>
      </c>
      <c r="J502" s="107" t="s">
        <v>2997</v>
      </c>
      <c r="K502" s="107" t="s">
        <v>2996</v>
      </c>
      <c r="L502" s="107">
        <v>38.56</v>
      </c>
      <c r="M502" s="107"/>
    </row>
    <row r="503" spans="1:13" x14ac:dyDescent="0.3">
      <c r="A503" s="95">
        <f t="shared" si="7"/>
        <v>0</v>
      </c>
      <c r="B503" s="106" t="s">
        <v>3540</v>
      </c>
      <c r="C503" s="95" t="s">
        <v>3550</v>
      </c>
      <c r="D503" s="106">
        <v>12</v>
      </c>
      <c r="E503" s="107">
        <v>1</v>
      </c>
      <c r="F503" s="107" t="s">
        <v>2958</v>
      </c>
      <c r="G503" s="107" t="s">
        <v>2961</v>
      </c>
      <c r="H503" s="107" t="s">
        <v>2971</v>
      </c>
      <c r="I503" s="107" t="s">
        <v>2997</v>
      </c>
      <c r="J503" s="107" t="s">
        <v>2997</v>
      </c>
      <c r="K503" s="107" t="s">
        <v>2997</v>
      </c>
      <c r="L503" s="107">
        <v>113.1</v>
      </c>
      <c r="M503" s="107">
        <v>1</v>
      </c>
    </row>
    <row r="504" spans="1:13" x14ac:dyDescent="0.3">
      <c r="A504" s="95">
        <f t="shared" si="7"/>
        <v>0</v>
      </c>
      <c r="B504" s="106" t="s">
        <v>533</v>
      </c>
      <c r="C504" s="95" t="s">
        <v>1996</v>
      </c>
      <c r="D504" s="106">
        <v>12</v>
      </c>
      <c r="E504" s="107">
        <v>1</v>
      </c>
      <c r="F504" s="107" t="s">
        <v>2959</v>
      </c>
      <c r="G504" s="107" t="s">
        <v>2961</v>
      </c>
      <c r="H504" s="107" t="s">
        <v>2972</v>
      </c>
      <c r="I504" s="107" t="s">
        <v>2997</v>
      </c>
      <c r="J504" s="107" t="s">
        <v>2997</v>
      </c>
      <c r="K504" s="107" t="s">
        <v>2996</v>
      </c>
      <c r="L504" s="107">
        <v>146.16</v>
      </c>
      <c r="M504" s="107"/>
    </row>
    <row r="505" spans="1:13" x14ac:dyDescent="0.3">
      <c r="A505" s="95">
        <f t="shared" si="7"/>
        <v>0</v>
      </c>
      <c r="B505" s="106" t="s">
        <v>534</v>
      </c>
      <c r="C505" s="95" t="s">
        <v>1997</v>
      </c>
      <c r="D505" s="106">
        <v>12</v>
      </c>
      <c r="E505" s="107">
        <v>1</v>
      </c>
      <c r="F505" s="107" t="s">
        <v>2959</v>
      </c>
      <c r="G505" s="107" t="s">
        <v>2963</v>
      </c>
      <c r="H505" s="107" t="s">
        <v>2992</v>
      </c>
      <c r="I505" s="107" t="s">
        <v>2996</v>
      </c>
      <c r="J505" s="107" t="s">
        <v>2996</v>
      </c>
      <c r="K505" s="107" t="s">
        <v>2996</v>
      </c>
      <c r="L505" s="107">
        <v>75.3</v>
      </c>
      <c r="M505" s="107"/>
    </row>
    <row r="506" spans="1:13" x14ac:dyDescent="0.3">
      <c r="A506" s="95">
        <f t="shared" si="7"/>
        <v>0</v>
      </c>
      <c r="B506" s="106" t="s">
        <v>535</v>
      </c>
      <c r="C506" s="95" t="s">
        <v>1998</v>
      </c>
      <c r="D506" s="106">
        <v>12</v>
      </c>
      <c r="E506" s="107">
        <v>1</v>
      </c>
      <c r="F506" s="107" t="s">
        <v>2958</v>
      </c>
      <c r="G506" s="107" t="s">
        <v>2964</v>
      </c>
      <c r="H506" s="107" t="s">
        <v>2975</v>
      </c>
      <c r="I506" s="107" t="s">
        <v>2997</v>
      </c>
      <c r="J506" s="107" t="s">
        <v>2997</v>
      </c>
      <c r="K506" s="107" t="s">
        <v>2996</v>
      </c>
      <c r="L506" s="107">
        <v>24</v>
      </c>
      <c r="M506" s="107"/>
    </row>
    <row r="507" spans="1:13" x14ac:dyDescent="0.3">
      <c r="A507" s="95">
        <f t="shared" si="7"/>
        <v>0</v>
      </c>
      <c r="B507" s="106" t="s">
        <v>536</v>
      </c>
      <c r="C507" s="95" t="s">
        <v>1999</v>
      </c>
      <c r="D507" s="106">
        <v>12</v>
      </c>
      <c r="E507" s="107">
        <v>1</v>
      </c>
      <c r="F507" s="107" t="s">
        <v>2958</v>
      </c>
      <c r="G507" s="107" t="s">
        <v>2965</v>
      </c>
      <c r="H507" s="107" t="s">
        <v>2965</v>
      </c>
      <c r="I507" s="107" t="s">
        <v>2996</v>
      </c>
      <c r="J507" s="107" t="s">
        <v>2996</v>
      </c>
      <c r="K507" s="107" t="s">
        <v>2996</v>
      </c>
      <c r="L507" s="107">
        <v>95.46</v>
      </c>
      <c r="M507" s="107"/>
    </row>
    <row r="508" spans="1:13" x14ac:dyDescent="0.3">
      <c r="A508" s="95">
        <f t="shared" si="7"/>
        <v>0</v>
      </c>
      <c r="B508" s="106" t="s">
        <v>537</v>
      </c>
      <c r="C508" s="95" t="s">
        <v>2000</v>
      </c>
      <c r="D508" s="106">
        <v>12</v>
      </c>
      <c r="E508" s="107">
        <v>1</v>
      </c>
      <c r="F508" s="107" t="s">
        <v>2959</v>
      </c>
      <c r="G508" s="107" t="s">
        <v>2965</v>
      </c>
      <c r="H508" s="107" t="s">
        <v>2965</v>
      </c>
      <c r="I508" s="107" t="s">
        <v>2996</v>
      </c>
      <c r="J508" s="107" t="s">
        <v>2996</v>
      </c>
      <c r="K508" s="107" t="s">
        <v>2996</v>
      </c>
      <c r="L508" s="107">
        <v>85.76</v>
      </c>
      <c r="M508" s="107"/>
    </row>
    <row r="509" spans="1:13" x14ac:dyDescent="0.3">
      <c r="A509" s="95">
        <f t="shared" si="7"/>
        <v>0</v>
      </c>
      <c r="B509" s="106" t="s">
        <v>538</v>
      </c>
      <c r="C509" s="95" t="s">
        <v>2001</v>
      </c>
      <c r="D509" s="106">
        <v>12</v>
      </c>
      <c r="E509" s="107">
        <v>1</v>
      </c>
      <c r="F509" s="107" t="s">
        <v>2959</v>
      </c>
      <c r="G509" s="107" t="s">
        <v>2961</v>
      </c>
      <c r="H509" s="107" t="s">
        <v>2971</v>
      </c>
      <c r="I509" s="107" t="s">
        <v>2996</v>
      </c>
      <c r="J509" s="107" t="s">
        <v>2996</v>
      </c>
      <c r="K509" s="107" t="s">
        <v>2996</v>
      </c>
      <c r="L509" s="107">
        <v>39.29</v>
      </c>
      <c r="M509" s="107"/>
    </row>
    <row r="510" spans="1:13" x14ac:dyDescent="0.3">
      <c r="A510" s="95">
        <f t="shared" si="7"/>
        <v>0</v>
      </c>
      <c r="B510" s="106" t="s">
        <v>539</v>
      </c>
      <c r="C510" s="95" t="s">
        <v>2002</v>
      </c>
      <c r="D510" s="106">
        <v>12</v>
      </c>
      <c r="E510" s="107">
        <v>1</v>
      </c>
      <c r="F510" s="107" t="s">
        <v>2958</v>
      </c>
      <c r="G510" s="107" t="s">
        <v>2965</v>
      </c>
      <c r="H510" s="107" t="s">
        <v>2965</v>
      </c>
      <c r="I510" s="107" t="s">
        <v>2997</v>
      </c>
      <c r="J510" s="107" t="s">
        <v>2997</v>
      </c>
      <c r="K510" s="107" t="s">
        <v>2996</v>
      </c>
      <c r="L510" s="107">
        <v>73.33</v>
      </c>
      <c r="M510" s="107"/>
    </row>
    <row r="511" spans="1:13" x14ac:dyDescent="0.3">
      <c r="A511" s="95">
        <f t="shared" si="7"/>
        <v>0</v>
      </c>
      <c r="B511" s="106" t="s">
        <v>540</v>
      </c>
      <c r="C511" s="95" t="s">
        <v>2003</v>
      </c>
      <c r="D511" s="106">
        <v>12</v>
      </c>
      <c r="E511" s="107">
        <v>1</v>
      </c>
      <c r="F511" s="107" t="s">
        <v>2958</v>
      </c>
      <c r="G511" s="107" t="s">
        <v>2964</v>
      </c>
      <c r="H511" s="107" t="s">
        <v>2976</v>
      </c>
      <c r="I511" s="107" t="s">
        <v>2997</v>
      </c>
      <c r="J511" s="107" t="s">
        <v>2997</v>
      </c>
      <c r="K511" s="107" t="s">
        <v>2996</v>
      </c>
      <c r="L511" s="107">
        <v>2.14</v>
      </c>
      <c r="M511" s="107"/>
    </row>
    <row r="512" spans="1:13" x14ac:dyDescent="0.3">
      <c r="A512" s="95">
        <f t="shared" si="7"/>
        <v>0</v>
      </c>
      <c r="B512" s="106" t="s">
        <v>541</v>
      </c>
      <c r="C512" s="95" t="s">
        <v>2004</v>
      </c>
      <c r="D512" s="106">
        <v>12</v>
      </c>
      <c r="E512" s="107">
        <v>1</v>
      </c>
      <c r="F512" s="107" t="s">
        <v>2958</v>
      </c>
      <c r="G512" s="107" t="s">
        <v>2965</v>
      </c>
      <c r="H512" s="107" t="s">
        <v>2965</v>
      </c>
      <c r="I512" s="107" t="s">
        <v>2997</v>
      </c>
      <c r="J512" s="107" t="s">
        <v>2997</v>
      </c>
      <c r="K512" s="107" t="s">
        <v>2996</v>
      </c>
      <c r="L512" s="107">
        <v>60.7</v>
      </c>
      <c r="M512" s="107"/>
    </row>
    <row r="513" spans="1:13" x14ac:dyDescent="0.3">
      <c r="A513" s="95">
        <f t="shared" si="7"/>
        <v>0</v>
      </c>
      <c r="B513" s="106" t="s">
        <v>542</v>
      </c>
      <c r="C513" s="95" t="s">
        <v>3634</v>
      </c>
      <c r="D513" s="106">
        <v>12</v>
      </c>
      <c r="E513" s="107">
        <v>1</v>
      </c>
      <c r="F513" s="107" t="s">
        <v>2959</v>
      </c>
      <c r="G513" s="107" t="s">
        <v>2961</v>
      </c>
      <c r="H513" s="107" t="s">
        <v>2982</v>
      </c>
      <c r="I513" s="107" t="s">
        <v>2997</v>
      </c>
      <c r="J513" s="107" t="s">
        <v>2997</v>
      </c>
      <c r="K513" s="107" t="s">
        <v>2996</v>
      </c>
      <c r="L513" s="107">
        <v>155.91999999999999</v>
      </c>
      <c r="M513" s="107"/>
    </row>
    <row r="514" spans="1:13" x14ac:dyDescent="0.3">
      <c r="A514" s="95">
        <f t="shared" si="7"/>
        <v>0</v>
      </c>
      <c r="B514" s="106" t="s">
        <v>543</v>
      </c>
      <c r="C514" s="95" t="s">
        <v>2005</v>
      </c>
      <c r="D514" s="106">
        <v>12</v>
      </c>
      <c r="E514" s="107">
        <v>1</v>
      </c>
      <c r="F514" s="107" t="s">
        <v>2958</v>
      </c>
      <c r="G514" s="107" t="s">
        <v>2967</v>
      </c>
      <c r="H514" s="107" t="s">
        <v>2967</v>
      </c>
      <c r="I514" s="107" t="s">
        <v>2996</v>
      </c>
      <c r="J514" s="107" t="s">
        <v>2996</v>
      </c>
      <c r="K514" s="107" t="s">
        <v>2996</v>
      </c>
      <c r="L514" s="107">
        <v>79.849999999999994</v>
      </c>
      <c r="M514" s="107"/>
    </row>
    <row r="515" spans="1:13" x14ac:dyDescent="0.3">
      <c r="A515" s="95">
        <f t="shared" si="7"/>
        <v>0</v>
      </c>
      <c r="B515" s="106" t="s">
        <v>544</v>
      </c>
      <c r="C515" s="95" t="s">
        <v>2006</v>
      </c>
      <c r="D515" s="106">
        <v>12</v>
      </c>
      <c r="E515" s="107">
        <v>1</v>
      </c>
      <c r="F515" s="107" t="s">
        <v>2959</v>
      </c>
      <c r="G515" s="107" t="s">
        <v>2960</v>
      </c>
      <c r="H515" s="107" t="s">
        <v>2970</v>
      </c>
      <c r="I515" s="107" t="s">
        <v>2996</v>
      </c>
      <c r="J515" s="107" t="s">
        <v>2996</v>
      </c>
      <c r="K515" s="107" t="s">
        <v>2996</v>
      </c>
      <c r="L515" s="107">
        <v>29.65</v>
      </c>
      <c r="M515" s="107"/>
    </row>
    <row r="516" spans="1:13" x14ac:dyDescent="0.3">
      <c r="A516" s="95">
        <f t="shared" si="7"/>
        <v>0</v>
      </c>
      <c r="B516" s="106" t="s">
        <v>545</v>
      </c>
      <c r="C516" s="95" t="s">
        <v>2007</v>
      </c>
      <c r="D516" s="106">
        <v>12</v>
      </c>
      <c r="E516" s="107">
        <v>1</v>
      </c>
      <c r="F516" s="107" t="s">
        <v>2958</v>
      </c>
      <c r="G516" s="107" t="s">
        <v>2965</v>
      </c>
      <c r="H516" s="107" t="s">
        <v>2965</v>
      </c>
      <c r="I516" s="107" t="s">
        <v>2996</v>
      </c>
      <c r="J516" s="107" t="s">
        <v>2996</v>
      </c>
      <c r="K516" s="107" t="s">
        <v>2996</v>
      </c>
      <c r="L516" s="107">
        <v>58.48</v>
      </c>
      <c r="M516" s="107"/>
    </row>
    <row r="517" spans="1:13" x14ac:dyDescent="0.3">
      <c r="A517" s="95">
        <f t="shared" si="7"/>
        <v>1</v>
      </c>
      <c r="B517" s="106" t="s">
        <v>546</v>
      </c>
      <c r="C517" s="95" t="s">
        <v>2008</v>
      </c>
      <c r="D517" s="106">
        <v>12</v>
      </c>
      <c r="E517" s="107">
        <v>1</v>
      </c>
      <c r="F517" s="107" t="s">
        <v>2959</v>
      </c>
      <c r="G517" s="107" t="s">
        <v>2964</v>
      </c>
      <c r="H517" s="107" t="s">
        <v>2976</v>
      </c>
      <c r="I517" s="107" t="s">
        <v>2997</v>
      </c>
      <c r="J517" s="107" t="s">
        <v>2997</v>
      </c>
      <c r="K517" s="107" t="s">
        <v>2997</v>
      </c>
      <c r="L517" s="107">
        <v>752.18</v>
      </c>
      <c r="M517" s="107">
        <v>8</v>
      </c>
    </row>
    <row r="518" spans="1:13" x14ac:dyDescent="0.3">
      <c r="A518" s="95">
        <f t="shared" si="7"/>
        <v>0</v>
      </c>
      <c r="B518" s="106" t="s">
        <v>547</v>
      </c>
      <c r="C518" s="95" t="s">
        <v>2009</v>
      </c>
      <c r="D518" s="106">
        <v>12</v>
      </c>
      <c r="E518" s="107">
        <v>1</v>
      </c>
      <c r="F518" s="107" t="s">
        <v>2958</v>
      </c>
      <c r="G518" s="107" t="s">
        <v>2965</v>
      </c>
      <c r="H518" s="107" t="s">
        <v>2965</v>
      </c>
      <c r="I518" s="107" t="s">
        <v>2997</v>
      </c>
      <c r="J518" s="107" t="s">
        <v>2997</v>
      </c>
      <c r="K518" s="107" t="s">
        <v>2997</v>
      </c>
      <c r="L518" s="107">
        <v>291.98</v>
      </c>
      <c r="M518" s="107">
        <v>3</v>
      </c>
    </row>
    <row r="519" spans="1:13" x14ac:dyDescent="0.3">
      <c r="A519" s="95">
        <f t="shared" si="7"/>
        <v>0</v>
      </c>
      <c r="B519" s="106" t="s">
        <v>3135</v>
      </c>
      <c r="C519" s="95" t="s">
        <v>3338</v>
      </c>
      <c r="D519" s="106">
        <v>12</v>
      </c>
      <c r="E519" s="107">
        <v>1</v>
      </c>
      <c r="F519" s="107" t="s">
        <v>2958</v>
      </c>
      <c r="G519" s="107" t="s">
        <v>2963</v>
      </c>
      <c r="H519" s="107" t="s">
        <v>2974</v>
      </c>
      <c r="I519" s="107" t="s">
        <v>2997</v>
      </c>
      <c r="J519" s="107" t="s">
        <v>2997</v>
      </c>
      <c r="K519" s="107" t="s">
        <v>2997</v>
      </c>
      <c r="L519" s="107">
        <v>98.32</v>
      </c>
      <c r="M519" s="107">
        <v>1</v>
      </c>
    </row>
    <row r="520" spans="1:13" x14ac:dyDescent="0.3">
      <c r="A520" s="95">
        <f t="shared" si="7"/>
        <v>0</v>
      </c>
      <c r="B520" s="106" t="s">
        <v>548</v>
      </c>
      <c r="C520" s="95" t="s">
        <v>2010</v>
      </c>
      <c r="D520" s="106">
        <v>12</v>
      </c>
      <c r="E520" s="107">
        <v>1</v>
      </c>
      <c r="F520" s="107" t="s">
        <v>2958</v>
      </c>
      <c r="G520" s="107" t="s">
        <v>2964</v>
      </c>
      <c r="H520" s="107" t="s">
        <v>2976</v>
      </c>
      <c r="I520" s="107" t="s">
        <v>2997</v>
      </c>
      <c r="J520" s="107" t="s">
        <v>2997</v>
      </c>
      <c r="K520" s="107" t="s">
        <v>2997</v>
      </c>
      <c r="L520" s="107">
        <v>164.56</v>
      </c>
      <c r="M520" s="107"/>
    </row>
    <row r="521" spans="1:13" x14ac:dyDescent="0.3">
      <c r="A521" s="95">
        <f t="shared" si="7"/>
        <v>0</v>
      </c>
      <c r="B521" s="106" t="s">
        <v>549</v>
      </c>
      <c r="C521" s="95" t="s">
        <v>2011</v>
      </c>
      <c r="D521" s="106">
        <v>12</v>
      </c>
      <c r="E521" s="107">
        <v>1</v>
      </c>
      <c r="F521" s="107" t="s">
        <v>2958</v>
      </c>
      <c r="G521" s="107" t="s">
        <v>2965</v>
      </c>
      <c r="H521" s="107" t="s">
        <v>2965</v>
      </c>
      <c r="I521" s="107" t="s">
        <v>2997</v>
      </c>
      <c r="J521" s="107" t="s">
        <v>2997</v>
      </c>
      <c r="K521" s="107" t="s">
        <v>2996</v>
      </c>
      <c r="L521" s="107">
        <v>193.12</v>
      </c>
      <c r="M521" s="107"/>
    </row>
    <row r="522" spans="1:13" x14ac:dyDescent="0.3">
      <c r="A522" s="95">
        <f t="shared" si="7"/>
        <v>0</v>
      </c>
      <c r="B522" s="106" t="s">
        <v>550</v>
      </c>
      <c r="C522" s="95" t="s">
        <v>2012</v>
      </c>
      <c r="D522" s="106">
        <v>12</v>
      </c>
      <c r="E522" s="107">
        <v>1</v>
      </c>
      <c r="F522" s="107" t="s">
        <v>2958</v>
      </c>
      <c r="G522" s="107" t="s">
        <v>2965</v>
      </c>
      <c r="H522" s="107" t="s">
        <v>2965</v>
      </c>
      <c r="I522" s="107" t="s">
        <v>2997</v>
      </c>
      <c r="J522" s="107" t="s">
        <v>2997</v>
      </c>
      <c r="K522" s="107" t="s">
        <v>2997</v>
      </c>
      <c r="L522" s="107">
        <v>283.16000000000003</v>
      </c>
      <c r="M522" s="107">
        <v>1</v>
      </c>
    </row>
    <row r="523" spans="1:13" x14ac:dyDescent="0.3">
      <c r="A523" s="95">
        <f t="shared" si="7"/>
        <v>0</v>
      </c>
      <c r="B523" s="106" t="s">
        <v>551</v>
      </c>
      <c r="C523" s="95" t="s">
        <v>2013</v>
      </c>
      <c r="D523" s="106">
        <v>12</v>
      </c>
      <c r="E523" s="107">
        <v>1</v>
      </c>
      <c r="F523" s="107" t="s">
        <v>2958</v>
      </c>
      <c r="G523" s="107" t="s">
        <v>2966</v>
      </c>
      <c r="H523" s="107" t="s">
        <v>2977</v>
      </c>
      <c r="I523" s="107" t="s">
        <v>2997</v>
      </c>
      <c r="J523" s="107" t="s">
        <v>2997</v>
      </c>
      <c r="K523" s="107" t="s">
        <v>2997</v>
      </c>
      <c r="L523" s="107">
        <v>23.77</v>
      </c>
      <c r="M523" s="107"/>
    </row>
    <row r="524" spans="1:13" x14ac:dyDescent="0.3">
      <c r="A524" s="95">
        <f t="shared" si="7"/>
        <v>0</v>
      </c>
      <c r="B524" s="106" t="s">
        <v>552</v>
      </c>
      <c r="C524" s="95" t="s">
        <v>2014</v>
      </c>
      <c r="D524" s="106">
        <v>12</v>
      </c>
      <c r="E524" s="107">
        <v>1</v>
      </c>
      <c r="F524" s="107" t="s">
        <v>2959</v>
      </c>
      <c r="G524" s="107" t="s">
        <v>2964</v>
      </c>
      <c r="H524" s="107" t="s">
        <v>2976</v>
      </c>
      <c r="I524" s="107" t="s">
        <v>2997</v>
      </c>
      <c r="J524" s="107" t="s">
        <v>2997</v>
      </c>
      <c r="K524" s="107" t="s">
        <v>2996</v>
      </c>
      <c r="L524" s="107">
        <v>326.45999999999998</v>
      </c>
      <c r="M524" s="107"/>
    </row>
    <row r="525" spans="1:13" x14ac:dyDescent="0.3">
      <c r="A525" s="95">
        <f t="shared" si="7"/>
        <v>0</v>
      </c>
      <c r="B525" s="106" t="s">
        <v>553</v>
      </c>
      <c r="C525" s="95" t="s">
        <v>2015</v>
      </c>
      <c r="D525" s="106">
        <v>12</v>
      </c>
      <c r="E525" s="107">
        <v>1</v>
      </c>
      <c r="F525" s="107" t="s">
        <v>2959</v>
      </c>
      <c r="G525" s="107" t="s">
        <v>2965</v>
      </c>
      <c r="H525" s="107" t="s">
        <v>2965</v>
      </c>
      <c r="I525" s="107" t="s">
        <v>2997</v>
      </c>
      <c r="J525" s="107" t="s">
        <v>2997</v>
      </c>
      <c r="K525" s="107" t="s">
        <v>2997</v>
      </c>
      <c r="L525" s="107">
        <v>35.47</v>
      </c>
      <c r="M525" s="107"/>
    </row>
    <row r="526" spans="1:13" x14ac:dyDescent="0.3">
      <c r="A526" s="95">
        <f t="shared" si="7"/>
        <v>0</v>
      </c>
      <c r="B526" s="106" t="s">
        <v>554</v>
      </c>
      <c r="C526" s="95" t="s">
        <v>2016</v>
      </c>
      <c r="D526" s="106">
        <v>12</v>
      </c>
      <c r="E526" s="107">
        <v>1</v>
      </c>
      <c r="F526" s="107" t="s">
        <v>2958</v>
      </c>
      <c r="G526" s="107" t="s">
        <v>2961</v>
      </c>
      <c r="H526" s="107" t="s">
        <v>2972</v>
      </c>
      <c r="I526" s="107" t="s">
        <v>2997</v>
      </c>
      <c r="J526" s="107" t="s">
        <v>2997</v>
      </c>
      <c r="K526" s="107" t="s">
        <v>2996</v>
      </c>
      <c r="L526" s="107">
        <v>67.48</v>
      </c>
      <c r="M526" s="107"/>
    </row>
    <row r="527" spans="1:13" x14ac:dyDescent="0.3">
      <c r="A527" s="95">
        <f t="shared" ref="A527:A590" si="8">IF(AND(E527=1,J527=K527,M527&gt;6),1,0)</f>
        <v>0</v>
      </c>
      <c r="B527" s="106" t="s">
        <v>555</v>
      </c>
      <c r="C527" s="95" t="s">
        <v>2017</v>
      </c>
      <c r="D527" s="106">
        <v>12</v>
      </c>
      <c r="E527" s="107">
        <v>1</v>
      </c>
      <c r="F527" s="107" t="s">
        <v>2958</v>
      </c>
      <c r="G527" s="107" t="s">
        <v>2962</v>
      </c>
      <c r="H527" s="107" t="s">
        <v>2993</v>
      </c>
      <c r="I527" s="107" t="s">
        <v>2997</v>
      </c>
      <c r="J527" s="107" t="s">
        <v>2997</v>
      </c>
      <c r="K527" s="107" t="s">
        <v>2997</v>
      </c>
      <c r="L527" s="107">
        <v>39.72</v>
      </c>
      <c r="M527" s="107"/>
    </row>
    <row r="528" spans="1:13" x14ac:dyDescent="0.3">
      <c r="A528" s="95">
        <f t="shared" si="8"/>
        <v>0</v>
      </c>
      <c r="B528" s="106" t="s">
        <v>556</v>
      </c>
      <c r="C528" s="95" t="s">
        <v>2018</v>
      </c>
      <c r="D528" s="106">
        <v>12</v>
      </c>
      <c r="E528" s="107">
        <v>1</v>
      </c>
      <c r="F528" s="107" t="s">
        <v>2958</v>
      </c>
      <c r="G528" s="107" t="s">
        <v>2964</v>
      </c>
      <c r="H528" s="107" t="s">
        <v>2976</v>
      </c>
      <c r="I528" s="107" t="s">
        <v>2997</v>
      </c>
      <c r="J528" s="107" t="s">
        <v>2997</v>
      </c>
      <c r="K528" s="107" t="s">
        <v>2997</v>
      </c>
      <c r="L528" s="107">
        <v>98.6</v>
      </c>
      <c r="M528" s="107">
        <v>1</v>
      </c>
    </row>
    <row r="529" spans="1:13" x14ac:dyDescent="0.3">
      <c r="A529" s="95">
        <f t="shared" si="8"/>
        <v>0</v>
      </c>
      <c r="B529" s="106" t="s">
        <v>557</v>
      </c>
      <c r="C529" s="95" t="s">
        <v>2019</v>
      </c>
      <c r="D529" s="106">
        <v>12</v>
      </c>
      <c r="E529" s="107">
        <v>1</v>
      </c>
      <c r="F529" s="107" t="s">
        <v>2958</v>
      </c>
      <c r="G529" s="107" t="s">
        <v>2961</v>
      </c>
      <c r="H529" s="107" t="s">
        <v>2971</v>
      </c>
      <c r="I529" s="107" t="s">
        <v>2997</v>
      </c>
      <c r="J529" s="107" t="s">
        <v>2997</v>
      </c>
      <c r="K529" s="107" t="s">
        <v>2996</v>
      </c>
      <c r="L529" s="107">
        <v>51.86</v>
      </c>
      <c r="M529" s="107"/>
    </row>
    <row r="530" spans="1:13" x14ac:dyDescent="0.3">
      <c r="A530" s="95">
        <f t="shared" si="8"/>
        <v>0</v>
      </c>
      <c r="B530" s="106" t="s">
        <v>558</v>
      </c>
      <c r="C530" s="95" t="s">
        <v>2020</v>
      </c>
      <c r="D530" s="106">
        <v>12</v>
      </c>
      <c r="E530" s="107">
        <v>1</v>
      </c>
      <c r="F530" s="107" t="s">
        <v>2958</v>
      </c>
      <c r="G530" s="107" t="s">
        <v>2968</v>
      </c>
      <c r="H530" s="107" t="s">
        <v>2968</v>
      </c>
      <c r="I530" s="107" t="s">
        <v>2996</v>
      </c>
      <c r="J530" s="107" t="s">
        <v>2996</v>
      </c>
      <c r="K530" s="107" t="s">
        <v>2996</v>
      </c>
      <c r="L530" s="107">
        <v>300.85000000000002</v>
      </c>
      <c r="M530" s="107">
        <v>1</v>
      </c>
    </row>
    <row r="531" spans="1:13" x14ac:dyDescent="0.3">
      <c r="A531" s="95">
        <f t="shared" si="8"/>
        <v>0</v>
      </c>
      <c r="B531" s="106" t="s">
        <v>559</v>
      </c>
      <c r="C531" s="95" t="s">
        <v>2021</v>
      </c>
      <c r="D531" s="106">
        <v>12</v>
      </c>
      <c r="E531" s="107">
        <v>1</v>
      </c>
      <c r="F531" s="107" t="s">
        <v>2958</v>
      </c>
      <c r="G531" s="107" t="s">
        <v>2968</v>
      </c>
      <c r="H531" s="107" t="s">
        <v>2968</v>
      </c>
      <c r="I531" s="107" t="s">
        <v>2997</v>
      </c>
      <c r="J531" s="107" t="s">
        <v>2997</v>
      </c>
      <c r="K531" s="107" t="s">
        <v>2996</v>
      </c>
      <c r="L531" s="107">
        <v>214.8</v>
      </c>
      <c r="M531" s="107"/>
    </row>
    <row r="532" spans="1:13" x14ac:dyDescent="0.3">
      <c r="A532" s="95">
        <f t="shared" si="8"/>
        <v>0</v>
      </c>
      <c r="B532" s="106" t="s">
        <v>560</v>
      </c>
      <c r="C532" s="95" t="s">
        <v>3635</v>
      </c>
      <c r="D532" s="106">
        <v>12</v>
      </c>
      <c r="E532" s="107">
        <v>1</v>
      </c>
      <c r="F532" s="107" t="s">
        <v>2958</v>
      </c>
      <c r="G532" s="107" t="s">
        <v>2961</v>
      </c>
      <c r="H532" s="107" t="s">
        <v>2982</v>
      </c>
      <c r="I532" s="107" t="s">
        <v>2997</v>
      </c>
      <c r="J532" s="107" t="s">
        <v>2997</v>
      </c>
      <c r="K532" s="107" t="s">
        <v>2996</v>
      </c>
      <c r="L532" s="107">
        <v>35.99</v>
      </c>
      <c r="M532" s="107"/>
    </row>
    <row r="533" spans="1:13" x14ac:dyDescent="0.3">
      <c r="A533" s="95">
        <f t="shared" si="8"/>
        <v>0</v>
      </c>
      <c r="B533" s="106" t="s">
        <v>561</v>
      </c>
      <c r="C533" s="95" t="s">
        <v>2022</v>
      </c>
      <c r="D533" s="106">
        <v>12</v>
      </c>
      <c r="E533" s="107">
        <v>1</v>
      </c>
      <c r="F533" s="107" t="s">
        <v>2958</v>
      </c>
      <c r="G533" s="107" t="s">
        <v>2964</v>
      </c>
      <c r="H533" s="107" t="s">
        <v>2976</v>
      </c>
      <c r="I533" s="107" t="s">
        <v>2997</v>
      </c>
      <c r="J533" s="107" t="s">
        <v>2997</v>
      </c>
      <c r="K533" s="107" t="s">
        <v>2996</v>
      </c>
      <c r="L533" s="107">
        <v>96.89</v>
      </c>
      <c r="M533" s="107"/>
    </row>
    <row r="534" spans="1:13" x14ac:dyDescent="0.3">
      <c r="A534" s="95">
        <f t="shared" si="8"/>
        <v>0</v>
      </c>
      <c r="B534" s="106" t="s">
        <v>562</v>
      </c>
      <c r="C534" s="95" t="s">
        <v>2023</v>
      </c>
      <c r="D534" s="106">
        <v>12</v>
      </c>
      <c r="E534" s="107">
        <v>1</v>
      </c>
      <c r="F534" s="107" t="s">
        <v>2959</v>
      </c>
      <c r="G534" s="107" t="s">
        <v>2966</v>
      </c>
      <c r="H534" s="107" t="s">
        <v>2984</v>
      </c>
      <c r="I534" s="107" t="s">
        <v>2997</v>
      </c>
      <c r="J534" s="107" t="s">
        <v>2997</v>
      </c>
      <c r="K534" s="107" t="s">
        <v>2996</v>
      </c>
      <c r="L534" s="107">
        <v>49.52</v>
      </c>
      <c r="M534" s="107"/>
    </row>
    <row r="535" spans="1:13" x14ac:dyDescent="0.3">
      <c r="A535" s="95">
        <f t="shared" si="8"/>
        <v>0</v>
      </c>
      <c r="B535" s="106" t="s">
        <v>563</v>
      </c>
      <c r="C535" s="95" t="s">
        <v>2024</v>
      </c>
      <c r="D535" s="106">
        <v>12</v>
      </c>
      <c r="E535" s="107">
        <v>1</v>
      </c>
      <c r="F535" s="107" t="s">
        <v>2959</v>
      </c>
      <c r="G535" s="107" t="s">
        <v>2961</v>
      </c>
      <c r="H535" s="107" t="s">
        <v>2971</v>
      </c>
      <c r="I535" s="107" t="s">
        <v>2997</v>
      </c>
      <c r="J535" s="107" t="s">
        <v>2997</v>
      </c>
      <c r="K535" s="107" t="s">
        <v>2997</v>
      </c>
      <c r="L535" s="107">
        <v>717.5</v>
      </c>
      <c r="M535" s="107">
        <v>2</v>
      </c>
    </row>
    <row r="536" spans="1:13" x14ac:dyDescent="0.3">
      <c r="A536" s="95">
        <f t="shared" si="8"/>
        <v>1</v>
      </c>
      <c r="B536" s="106" t="s">
        <v>564</v>
      </c>
      <c r="C536" s="95" t="s">
        <v>2025</v>
      </c>
      <c r="D536" s="106">
        <v>12</v>
      </c>
      <c r="E536" s="107">
        <v>1</v>
      </c>
      <c r="F536" s="107" t="s">
        <v>2958</v>
      </c>
      <c r="G536" s="107" t="s">
        <v>2968</v>
      </c>
      <c r="H536" s="107" t="s">
        <v>2968</v>
      </c>
      <c r="I536" s="107" t="s">
        <v>2997</v>
      </c>
      <c r="J536" s="107" t="s">
        <v>2997</v>
      </c>
      <c r="K536" s="107" t="s">
        <v>2997</v>
      </c>
      <c r="L536" s="107">
        <v>17012.05</v>
      </c>
      <c r="M536" s="107">
        <v>16</v>
      </c>
    </row>
    <row r="537" spans="1:13" x14ac:dyDescent="0.3">
      <c r="A537" s="95">
        <f t="shared" si="8"/>
        <v>0</v>
      </c>
      <c r="B537" s="106" t="s">
        <v>565</v>
      </c>
      <c r="C537" s="95" t="s">
        <v>2026</v>
      </c>
      <c r="D537" s="106">
        <v>12</v>
      </c>
      <c r="E537" s="107">
        <v>1</v>
      </c>
      <c r="F537" s="107" t="s">
        <v>2958</v>
      </c>
      <c r="G537" s="107" t="s">
        <v>2964</v>
      </c>
      <c r="H537" s="107" t="s">
        <v>2976</v>
      </c>
      <c r="I537" s="107" t="s">
        <v>2997</v>
      </c>
      <c r="J537" s="107" t="s">
        <v>2997</v>
      </c>
      <c r="K537" s="107" t="s">
        <v>2996</v>
      </c>
      <c r="L537" s="107">
        <v>84.88</v>
      </c>
      <c r="M537" s="107"/>
    </row>
    <row r="538" spans="1:13" x14ac:dyDescent="0.3">
      <c r="A538" s="95">
        <f t="shared" si="8"/>
        <v>0</v>
      </c>
      <c r="B538" s="106" t="s">
        <v>566</v>
      </c>
      <c r="C538" s="95" t="s">
        <v>2027</v>
      </c>
      <c r="D538" s="106">
        <v>12</v>
      </c>
      <c r="E538" s="107">
        <v>1</v>
      </c>
      <c r="F538" s="107" t="s">
        <v>2958</v>
      </c>
      <c r="G538" s="107" t="s">
        <v>2965</v>
      </c>
      <c r="H538" s="107" t="s">
        <v>2965</v>
      </c>
      <c r="I538" s="107" t="s">
        <v>2997</v>
      </c>
      <c r="J538" s="107" t="s">
        <v>2997</v>
      </c>
      <c r="K538" s="107" t="s">
        <v>2997</v>
      </c>
      <c r="L538" s="107">
        <v>127.58</v>
      </c>
      <c r="M538" s="107"/>
    </row>
    <row r="539" spans="1:13" x14ac:dyDescent="0.3">
      <c r="A539" s="95">
        <f t="shared" si="8"/>
        <v>0</v>
      </c>
      <c r="B539" s="106" t="s">
        <v>567</v>
      </c>
      <c r="C539" s="95" t="s">
        <v>2028</v>
      </c>
      <c r="D539" s="106">
        <v>12</v>
      </c>
      <c r="E539" s="107">
        <v>1</v>
      </c>
      <c r="F539" s="107" t="s">
        <v>2958</v>
      </c>
      <c r="G539" s="107" t="s">
        <v>2961</v>
      </c>
      <c r="H539" s="107" t="s">
        <v>2972</v>
      </c>
      <c r="I539" s="107" t="s">
        <v>2996</v>
      </c>
      <c r="J539" s="107" t="s">
        <v>2996</v>
      </c>
      <c r="K539" s="107" t="s">
        <v>2996</v>
      </c>
      <c r="L539" s="107">
        <v>102.34</v>
      </c>
      <c r="M539" s="107">
        <v>3</v>
      </c>
    </row>
    <row r="540" spans="1:13" x14ac:dyDescent="0.3">
      <c r="A540" s="95">
        <f t="shared" si="8"/>
        <v>0</v>
      </c>
      <c r="B540" s="106" t="s">
        <v>568</v>
      </c>
      <c r="C540" s="95" t="s">
        <v>2029</v>
      </c>
      <c r="D540" s="106">
        <v>12</v>
      </c>
      <c r="E540" s="107">
        <v>1</v>
      </c>
      <c r="F540" s="107" t="s">
        <v>2959</v>
      </c>
      <c r="G540" s="107" t="s">
        <v>2965</v>
      </c>
      <c r="H540" s="107" t="s">
        <v>2965</v>
      </c>
      <c r="I540" s="107" t="s">
        <v>2996</v>
      </c>
      <c r="J540" s="107" t="s">
        <v>2997</v>
      </c>
      <c r="K540" s="107" t="s">
        <v>2996</v>
      </c>
      <c r="L540" s="107">
        <v>66.56</v>
      </c>
      <c r="M540" s="107"/>
    </row>
    <row r="541" spans="1:13" x14ac:dyDescent="0.3">
      <c r="A541" s="95">
        <f t="shared" si="8"/>
        <v>0</v>
      </c>
      <c r="B541" s="106" t="s">
        <v>569</v>
      </c>
      <c r="C541" s="95" t="s">
        <v>2030</v>
      </c>
      <c r="D541" s="106">
        <v>12</v>
      </c>
      <c r="E541" s="107">
        <v>1</v>
      </c>
      <c r="F541" s="107" t="s">
        <v>2959</v>
      </c>
      <c r="G541" s="107" t="s">
        <v>2961</v>
      </c>
      <c r="H541" s="107" t="s">
        <v>2981</v>
      </c>
      <c r="I541" s="107" t="s">
        <v>2996</v>
      </c>
      <c r="J541" s="107" t="s">
        <v>2996</v>
      </c>
      <c r="K541" s="107" t="s">
        <v>2996</v>
      </c>
      <c r="L541" s="107">
        <v>371.79</v>
      </c>
      <c r="M541" s="107"/>
    </row>
    <row r="542" spans="1:13" x14ac:dyDescent="0.3">
      <c r="A542" s="95">
        <f t="shared" si="8"/>
        <v>0</v>
      </c>
      <c r="B542" s="106" t="s">
        <v>570</v>
      </c>
      <c r="C542" s="95" t="s">
        <v>2031</v>
      </c>
      <c r="D542" s="106">
        <v>12</v>
      </c>
      <c r="E542" s="107">
        <v>1</v>
      </c>
      <c r="F542" s="107" t="s">
        <v>2959</v>
      </c>
      <c r="G542" s="107" t="s">
        <v>2964</v>
      </c>
      <c r="H542" s="107" t="s">
        <v>2976</v>
      </c>
      <c r="I542" s="107" t="s">
        <v>2997</v>
      </c>
      <c r="J542" s="107" t="s">
        <v>2997</v>
      </c>
      <c r="K542" s="107" t="s">
        <v>2997</v>
      </c>
      <c r="L542" s="107">
        <v>122.78</v>
      </c>
      <c r="M542" s="107"/>
    </row>
    <row r="543" spans="1:13" x14ac:dyDescent="0.3">
      <c r="A543" s="95">
        <f t="shared" si="8"/>
        <v>1</v>
      </c>
      <c r="B543" s="106" t="s">
        <v>571</v>
      </c>
      <c r="C543" s="95" t="s">
        <v>9</v>
      </c>
      <c r="D543" s="106">
        <v>3</v>
      </c>
      <c r="E543" s="107">
        <v>1</v>
      </c>
      <c r="F543" s="107" t="s">
        <v>2958</v>
      </c>
      <c r="G543" s="107" t="s">
        <v>2962</v>
      </c>
      <c r="H543" s="107" t="s">
        <v>2979</v>
      </c>
      <c r="I543" s="107" t="s">
        <v>2997</v>
      </c>
      <c r="J543" s="107" t="s">
        <v>2997</v>
      </c>
      <c r="K543" s="107" t="s">
        <v>2997</v>
      </c>
      <c r="L543" s="107">
        <v>3523.66</v>
      </c>
      <c r="M543" s="107">
        <v>7</v>
      </c>
    </row>
    <row r="544" spans="1:13" x14ac:dyDescent="0.3">
      <c r="A544" s="95">
        <f t="shared" si="8"/>
        <v>0</v>
      </c>
      <c r="B544" s="106" t="s">
        <v>572</v>
      </c>
      <c r="C544" s="95" t="s">
        <v>2032</v>
      </c>
      <c r="D544" s="106">
        <v>12</v>
      </c>
      <c r="E544" s="107">
        <v>1</v>
      </c>
      <c r="F544" s="107" t="s">
        <v>2958</v>
      </c>
      <c r="G544" s="107" t="s">
        <v>2965</v>
      </c>
      <c r="H544" s="107" t="s">
        <v>2965</v>
      </c>
      <c r="I544" s="107" t="s">
        <v>2997</v>
      </c>
      <c r="J544" s="107" t="s">
        <v>2997</v>
      </c>
      <c r="K544" s="107" t="s">
        <v>2996</v>
      </c>
      <c r="L544" s="107">
        <v>131.69</v>
      </c>
      <c r="M544" s="107"/>
    </row>
    <row r="545" spans="1:13" x14ac:dyDescent="0.3">
      <c r="A545" s="95">
        <f t="shared" si="8"/>
        <v>0</v>
      </c>
      <c r="B545" s="106" t="s">
        <v>573</v>
      </c>
      <c r="C545" s="95" t="s">
        <v>2033</v>
      </c>
      <c r="D545" s="106">
        <v>3</v>
      </c>
      <c r="E545" s="107">
        <v>1</v>
      </c>
      <c r="F545" s="107" t="s">
        <v>2958</v>
      </c>
      <c r="G545" s="107" t="s">
        <v>2962</v>
      </c>
      <c r="H545" s="107" t="s">
        <v>2979</v>
      </c>
      <c r="I545" s="107" t="s">
        <v>2997</v>
      </c>
      <c r="J545" s="107" t="s">
        <v>2997</v>
      </c>
      <c r="K545" s="107" t="s">
        <v>2996</v>
      </c>
      <c r="L545" s="107">
        <v>435.75</v>
      </c>
      <c r="M545" s="107"/>
    </row>
    <row r="546" spans="1:13" x14ac:dyDescent="0.3">
      <c r="A546" s="95">
        <f t="shared" si="8"/>
        <v>0</v>
      </c>
      <c r="B546" s="106" t="s">
        <v>574</v>
      </c>
      <c r="C546" s="95" t="s">
        <v>2034</v>
      </c>
      <c r="D546" s="106">
        <v>12</v>
      </c>
      <c r="E546" s="107">
        <v>1</v>
      </c>
      <c r="F546" s="107" t="s">
        <v>2958</v>
      </c>
      <c r="G546" s="107" t="s">
        <v>2961</v>
      </c>
      <c r="H546" s="107" t="s">
        <v>2972</v>
      </c>
      <c r="I546" s="107" t="s">
        <v>2997</v>
      </c>
      <c r="J546" s="107" t="s">
        <v>2997</v>
      </c>
      <c r="K546" s="107" t="s">
        <v>2997</v>
      </c>
      <c r="L546" s="107">
        <v>200</v>
      </c>
      <c r="M546" s="107"/>
    </row>
    <row r="547" spans="1:13" x14ac:dyDescent="0.3">
      <c r="A547" s="95">
        <f t="shared" si="8"/>
        <v>0</v>
      </c>
      <c r="B547" s="106" t="s">
        <v>575</v>
      </c>
      <c r="C547" s="95" t="s">
        <v>2035</v>
      </c>
      <c r="D547" s="106">
        <v>12</v>
      </c>
      <c r="E547" s="107">
        <v>1</v>
      </c>
      <c r="F547" s="107" t="s">
        <v>2958</v>
      </c>
      <c r="G547" s="107" t="s">
        <v>2960</v>
      </c>
      <c r="H547" s="107" t="s">
        <v>2970</v>
      </c>
      <c r="I547" s="107" t="s">
        <v>2996</v>
      </c>
      <c r="J547" s="107" t="s">
        <v>2996</v>
      </c>
      <c r="K547" s="107" t="s">
        <v>2996</v>
      </c>
      <c r="L547" s="107">
        <v>212.97</v>
      </c>
      <c r="M547" s="107">
        <v>1</v>
      </c>
    </row>
    <row r="548" spans="1:13" x14ac:dyDescent="0.3">
      <c r="A548" s="95">
        <f t="shared" si="8"/>
        <v>0</v>
      </c>
      <c r="B548" s="106" t="s">
        <v>576</v>
      </c>
      <c r="C548" s="95" t="s">
        <v>2036</v>
      </c>
      <c r="D548" s="106">
        <v>12</v>
      </c>
      <c r="E548" s="107">
        <v>1</v>
      </c>
      <c r="F548" s="107" t="s">
        <v>2958</v>
      </c>
      <c r="G548" s="107" t="s">
        <v>2965</v>
      </c>
      <c r="H548" s="107" t="s">
        <v>2965</v>
      </c>
      <c r="I548" s="107" t="s">
        <v>2997</v>
      </c>
      <c r="J548" s="107" t="s">
        <v>2997</v>
      </c>
      <c r="K548" s="107" t="s">
        <v>2997</v>
      </c>
      <c r="L548" s="107">
        <v>89.23</v>
      </c>
      <c r="M548" s="107">
        <v>1</v>
      </c>
    </row>
    <row r="549" spans="1:13" x14ac:dyDescent="0.3">
      <c r="A549" s="95">
        <f t="shared" si="8"/>
        <v>0</v>
      </c>
      <c r="B549" s="106" t="s">
        <v>577</v>
      </c>
      <c r="C549" s="95" t="s">
        <v>2037</v>
      </c>
      <c r="D549" s="106">
        <v>12</v>
      </c>
      <c r="E549" s="107">
        <v>1</v>
      </c>
      <c r="F549" s="107" t="s">
        <v>2959</v>
      </c>
      <c r="G549" s="107" t="s">
        <v>2962</v>
      </c>
      <c r="H549" s="107" t="s">
        <v>2989</v>
      </c>
      <c r="I549" s="107" t="s">
        <v>2996</v>
      </c>
      <c r="J549" s="107" t="s">
        <v>2996</v>
      </c>
      <c r="K549" s="107" t="s">
        <v>2996</v>
      </c>
      <c r="L549" s="107">
        <v>47.98</v>
      </c>
      <c r="M549" s="107"/>
    </row>
    <row r="550" spans="1:13" x14ac:dyDescent="0.3">
      <c r="A550" s="95">
        <f t="shared" si="8"/>
        <v>0</v>
      </c>
      <c r="B550" s="106" t="s">
        <v>578</v>
      </c>
      <c r="C550" s="95" t="s">
        <v>10</v>
      </c>
      <c r="D550" s="106">
        <v>3</v>
      </c>
      <c r="E550" s="107">
        <v>1</v>
      </c>
      <c r="F550" s="107" t="s">
        <v>2958</v>
      </c>
      <c r="G550" s="107" t="s">
        <v>2962</v>
      </c>
      <c r="H550" s="107" t="s">
        <v>2979</v>
      </c>
      <c r="I550" s="107" t="s">
        <v>2997</v>
      </c>
      <c r="J550" s="107" t="s">
        <v>2997</v>
      </c>
      <c r="K550" s="107" t="s">
        <v>2997</v>
      </c>
      <c r="L550" s="107">
        <v>169.36</v>
      </c>
      <c r="M550" s="107"/>
    </row>
    <row r="551" spans="1:13" x14ac:dyDescent="0.3">
      <c r="A551" s="95">
        <f t="shared" si="8"/>
        <v>0</v>
      </c>
      <c r="B551" s="106" t="s">
        <v>579</v>
      </c>
      <c r="C551" s="95" t="s">
        <v>2038</v>
      </c>
      <c r="D551" s="106">
        <v>12</v>
      </c>
      <c r="E551" s="107">
        <v>1</v>
      </c>
      <c r="F551" s="107" t="s">
        <v>2959</v>
      </c>
      <c r="G551" s="107" t="s">
        <v>2966</v>
      </c>
      <c r="H551" s="107" t="s">
        <v>2985</v>
      </c>
      <c r="I551" s="107" t="s">
        <v>2997</v>
      </c>
      <c r="J551" s="107" t="s">
        <v>2997</v>
      </c>
      <c r="K551" s="107" t="s">
        <v>2997</v>
      </c>
      <c r="L551" s="107">
        <v>51.82</v>
      </c>
      <c r="M551" s="107">
        <v>2</v>
      </c>
    </row>
    <row r="552" spans="1:13" x14ac:dyDescent="0.3">
      <c r="A552" s="95">
        <f t="shared" si="8"/>
        <v>0</v>
      </c>
      <c r="B552" s="106" t="s">
        <v>580</v>
      </c>
      <c r="C552" s="95" t="s">
        <v>2039</v>
      </c>
      <c r="D552" s="106">
        <v>12</v>
      </c>
      <c r="E552" s="107">
        <v>1</v>
      </c>
      <c r="F552" s="107" t="s">
        <v>2958</v>
      </c>
      <c r="G552" s="107" t="s">
        <v>2968</v>
      </c>
      <c r="H552" s="107" t="s">
        <v>2968</v>
      </c>
      <c r="I552" s="107" t="s">
        <v>2997</v>
      </c>
      <c r="J552" s="107" t="s">
        <v>2997</v>
      </c>
      <c r="K552" s="107" t="s">
        <v>2997</v>
      </c>
      <c r="L552" s="107">
        <v>133.54</v>
      </c>
      <c r="M552" s="107">
        <v>1</v>
      </c>
    </row>
    <row r="553" spans="1:13" x14ac:dyDescent="0.3">
      <c r="A553" s="95">
        <f t="shared" si="8"/>
        <v>0</v>
      </c>
      <c r="B553" s="106" t="s">
        <v>581</v>
      </c>
      <c r="C553" s="95" t="s">
        <v>2040</v>
      </c>
      <c r="D553" s="106">
        <v>12</v>
      </c>
      <c r="E553" s="107">
        <v>1</v>
      </c>
      <c r="F553" s="107" t="s">
        <v>2958</v>
      </c>
      <c r="G553" s="107" t="s">
        <v>2964</v>
      </c>
      <c r="H553" s="107" t="s">
        <v>2976</v>
      </c>
      <c r="I553" s="107" t="s">
        <v>2996</v>
      </c>
      <c r="J553" s="107" t="s">
        <v>2996</v>
      </c>
      <c r="K553" s="107" t="s">
        <v>2996</v>
      </c>
      <c r="L553" s="107">
        <v>327.18</v>
      </c>
      <c r="M553" s="107"/>
    </row>
    <row r="554" spans="1:13" x14ac:dyDescent="0.3">
      <c r="A554" s="95">
        <f t="shared" si="8"/>
        <v>0</v>
      </c>
      <c r="B554" s="106" t="s">
        <v>582</v>
      </c>
      <c r="C554" s="95" t="s">
        <v>2041</v>
      </c>
      <c r="D554" s="106">
        <v>12</v>
      </c>
      <c r="E554" s="107">
        <v>1</v>
      </c>
      <c r="F554" s="107" t="s">
        <v>2958</v>
      </c>
      <c r="G554" s="107" t="s">
        <v>2964</v>
      </c>
      <c r="H554" s="107" t="s">
        <v>2976</v>
      </c>
      <c r="I554" s="107" t="s">
        <v>2997</v>
      </c>
      <c r="J554" s="107" t="s">
        <v>2997</v>
      </c>
      <c r="K554" s="107" t="s">
        <v>2997</v>
      </c>
      <c r="L554" s="107">
        <v>138.13999999999999</v>
      </c>
      <c r="M554" s="107"/>
    </row>
    <row r="555" spans="1:13" x14ac:dyDescent="0.3">
      <c r="A555" s="95">
        <f t="shared" si="8"/>
        <v>0</v>
      </c>
      <c r="B555" s="106" t="s">
        <v>583</v>
      </c>
      <c r="C555" s="95" t="s">
        <v>2042</v>
      </c>
      <c r="D555" s="106">
        <v>12</v>
      </c>
      <c r="E555" s="107">
        <v>1</v>
      </c>
      <c r="F555" s="107" t="s">
        <v>2959</v>
      </c>
      <c r="G555" s="107" t="s">
        <v>2966</v>
      </c>
      <c r="H555" s="107" t="s">
        <v>2984</v>
      </c>
      <c r="I555" s="107" t="s">
        <v>2997</v>
      </c>
      <c r="J555" s="107" t="s">
        <v>2997</v>
      </c>
      <c r="K555" s="107" t="s">
        <v>2996</v>
      </c>
      <c r="L555" s="107">
        <v>36.15</v>
      </c>
      <c r="M555" s="107"/>
    </row>
    <row r="556" spans="1:13" x14ac:dyDescent="0.3">
      <c r="A556" s="95">
        <f t="shared" si="8"/>
        <v>0</v>
      </c>
      <c r="B556" s="106" t="s">
        <v>584</v>
      </c>
      <c r="C556" s="95" t="s">
        <v>2043</v>
      </c>
      <c r="D556" s="106">
        <v>12</v>
      </c>
      <c r="E556" s="107">
        <v>1</v>
      </c>
      <c r="F556" s="107" t="s">
        <v>2959</v>
      </c>
      <c r="G556" s="107" t="s">
        <v>2964</v>
      </c>
      <c r="H556" s="107" t="s">
        <v>2976</v>
      </c>
      <c r="I556" s="107" t="s">
        <v>2996</v>
      </c>
      <c r="J556" s="107" t="s">
        <v>2996</v>
      </c>
      <c r="K556" s="107" t="s">
        <v>2996</v>
      </c>
      <c r="L556" s="107">
        <v>34.729999999999997</v>
      </c>
      <c r="M556" s="107"/>
    </row>
    <row r="557" spans="1:13" x14ac:dyDescent="0.3">
      <c r="A557" s="95">
        <f t="shared" si="8"/>
        <v>0</v>
      </c>
      <c r="B557" s="106" t="s">
        <v>585</v>
      </c>
      <c r="C557" s="95" t="s">
        <v>2044</v>
      </c>
      <c r="D557" s="106">
        <v>12</v>
      </c>
      <c r="E557" s="107">
        <v>1</v>
      </c>
      <c r="F557" s="107" t="s">
        <v>2958</v>
      </c>
      <c r="G557" s="107" t="s">
        <v>2964</v>
      </c>
      <c r="H557" s="107" t="s">
        <v>2976</v>
      </c>
      <c r="I557" s="107" t="s">
        <v>2997</v>
      </c>
      <c r="J557" s="107" t="s">
        <v>2997</v>
      </c>
      <c r="K557" s="107" t="s">
        <v>2997</v>
      </c>
      <c r="L557" s="107">
        <v>126.11</v>
      </c>
      <c r="M557" s="107"/>
    </row>
    <row r="558" spans="1:13" x14ac:dyDescent="0.3">
      <c r="A558" s="95">
        <f t="shared" si="8"/>
        <v>0</v>
      </c>
      <c r="B558" s="106" t="s">
        <v>586</v>
      </c>
      <c r="C558" s="95" t="s">
        <v>2045</v>
      </c>
      <c r="D558" s="106">
        <v>12</v>
      </c>
      <c r="E558" s="107">
        <v>1</v>
      </c>
      <c r="F558" s="107" t="s">
        <v>2958</v>
      </c>
      <c r="G558" s="107" t="s">
        <v>2960</v>
      </c>
      <c r="H558" s="107" t="s">
        <v>2970</v>
      </c>
      <c r="I558" s="107" t="s">
        <v>2997</v>
      </c>
      <c r="J558" s="107" t="s">
        <v>2997</v>
      </c>
      <c r="K558" s="107" t="s">
        <v>2996</v>
      </c>
      <c r="L558" s="107">
        <v>42.16</v>
      </c>
      <c r="M558" s="107"/>
    </row>
    <row r="559" spans="1:13" x14ac:dyDescent="0.3">
      <c r="A559" s="95">
        <f t="shared" si="8"/>
        <v>0</v>
      </c>
      <c r="B559" s="106" t="s">
        <v>587</v>
      </c>
      <c r="C559" s="95" t="s">
        <v>2046</v>
      </c>
      <c r="D559" s="106">
        <v>9</v>
      </c>
      <c r="E559" s="107">
        <v>1</v>
      </c>
      <c r="F559" s="107" t="s">
        <v>2959</v>
      </c>
      <c r="G559" s="107" t="s">
        <v>2966</v>
      </c>
      <c r="H559" s="107" t="s">
        <v>2984</v>
      </c>
      <c r="I559" s="107" t="s">
        <v>2997</v>
      </c>
      <c r="J559" s="107" t="s">
        <v>2997</v>
      </c>
      <c r="K559" s="107" t="s">
        <v>2996</v>
      </c>
      <c r="L559" s="107">
        <v>52.55</v>
      </c>
      <c r="M559" s="107"/>
    </row>
    <row r="560" spans="1:13" x14ac:dyDescent="0.3">
      <c r="A560" s="95">
        <f t="shared" si="8"/>
        <v>0</v>
      </c>
      <c r="B560" s="106" t="s">
        <v>588</v>
      </c>
      <c r="C560" s="95" t="s">
        <v>2047</v>
      </c>
      <c r="D560" s="106">
        <v>12</v>
      </c>
      <c r="E560" s="107">
        <v>1</v>
      </c>
      <c r="F560" s="107" t="s">
        <v>2958</v>
      </c>
      <c r="G560" s="107" t="s">
        <v>2961</v>
      </c>
      <c r="H560" s="107" t="s">
        <v>2971</v>
      </c>
      <c r="I560" s="107" t="s">
        <v>2997</v>
      </c>
      <c r="J560" s="107" t="s">
        <v>2997</v>
      </c>
      <c r="K560" s="107" t="s">
        <v>2996</v>
      </c>
      <c r="L560" s="107">
        <v>38.71</v>
      </c>
      <c r="M560" s="107"/>
    </row>
    <row r="561" spans="1:13" x14ac:dyDescent="0.3">
      <c r="A561" s="95">
        <f t="shared" si="8"/>
        <v>0</v>
      </c>
      <c r="B561" s="106" t="s">
        <v>589</v>
      </c>
      <c r="C561" s="95" t="s">
        <v>2048</v>
      </c>
      <c r="D561" s="106">
        <v>12</v>
      </c>
      <c r="E561" s="107">
        <v>1</v>
      </c>
      <c r="F561" s="107" t="s">
        <v>2958</v>
      </c>
      <c r="G561" s="107" t="s">
        <v>2968</v>
      </c>
      <c r="H561" s="107" t="s">
        <v>2968</v>
      </c>
      <c r="I561" s="107" t="s">
        <v>2997</v>
      </c>
      <c r="J561" s="107" t="s">
        <v>2997</v>
      </c>
      <c r="K561" s="107" t="s">
        <v>2996</v>
      </c>
      <c r="L561" s="107">
        <v>502.5</v>
      </c>
      <c r="M561" s="107"/>
    </row>
    <row r="562" spans="1:13" x14ac:dyDescent="0.3">
      <c r="A562" s="95">
        <f t="shared" si="8"/>
        <v>0</v>
      </c>
      <c r="B562" s="106" t="s">
        <v>590</v>
      </c>
      <c r="C562" s="95" t="s">
        <v>2049</v>
      </c>
      <c r="D562" s="106">
        <v>12</v>
      </c>
      <c r="E562" s="107">
        <v>1</v>
      </c>
      <c r="F562" s="107" t="s">
        <v>2959</v>
      </c>
      <c r="G562" s="107" t="s">
        <v>2965</v>
      </c>
      <c r="H562" s="107" t="s">
        <v>2965</v>
      </c>
      <c r="I562" s="107" t="s">
        <v>2996</v>
      </c>
      <c r="J562" s="107" t="s">
        <v>2996</v>
      </c>
      <c r="K562" s="107" t="s">
        <v>2996</v>
      </c>
      <c r="L562" s="107">
        <v>57.32</v>
      </c>
      <c r="M562" s="107"/>
    </row>
    <row r="563" spans="1:13" x14ac:dyDescent="0.3">
      <c r="A563" s="95">
        <f t="shared" si="8"/>
        <v>0</v>
      </c>
      <c r="B563" s="106" t="s">
        <v>591</v>
      </c>
      <c r="C563" s="95" t="s">
        <v>2050</v>
      </c>
      <c r="D563" s="106">
        <v>12</v>
      </c>
      <c r="E563" s="107">
        <v>1</v>
      </c>
      <c r="F563" s="107" t="s">
        <v>2959</v>
      </c>
      <c r="G563" s="107" t="s">
        <v>2964</v>
      </c>
      <c r="H563" s="107" t="s">
        <v>2976</v>
      </c>
      <c r="I563" s="107" t="s">
        <v>2996</v>
      </c>
      <c r="J563" s="107" t="s">
        <v>2996</v>
      </c>
      <c r="K563" s="107" t="s">
        <v>2996</v>
      </c>
      <c r="L563" s="107">
        <v>62.2</v>
      </c>
      <c r="M563" s="107"/>
    </row>
    <row r="564" spans="1:13" x14ac:dyDescent="0.3">
      <c r="A564" s="95">
        <f t="shared" si="8"/>
        <v>0</v>
      </c>
      <c r="B564" s="106" t="s">
        <v>592</v>
      </c>
      <c r="C564" s="95" t="s">
        <v>2051</v>
      </c>
      <c r="D564" s="106">
        <v>12</v>
      </c>
      <c r="E564" s="107">
        <v>1</v>
      </c>
      <c r="F564" s="107" t="s">
        <v>2958</v>
      </c>
      <c r="G564" s="107" t="s">
        <v>2964</v>
      </c>
      <c r="H564" s="107" t="s">
        <v>2976</v>
      </c>
      <c r="I564" s="107" t="s">
        <v>2997</v>
      </c>
      <c r="J564" s="107" t="s">
        <v>2997</v>
      </c>
      <c r="K564" s="107" t="s">
        <v>2997</v>
      </c>
      <c r="L564" s="107">
        <v>67.349999999999994</v>
      </c>
      <c r="M564" s="107">
        <v>1</v>
      </c>
    </row>
    <row r="565" spans="1:13" x14ac:dyDescent="0.3">
      <c r="A565" s="95">
        <f t="shared" si="8"/>
        <v>0</v>
      </c>
      <c r="B565" s="106" t="s">
        <v>593</v>
      </c>
      <c r="C565" s="95" t="s">
        <v>2052</v>
      </c>
      <c r="D565" s="106">
        <v>12</v>
      </c>
      <c r="E565" s="107">
        <v>1</v>
      </c>
      <c r="F565" s="107" t="s">
        <v>2959</v>
      </c>
      <c r="G565" s="107" t="s">
        <v>2965</v>
      </c>
      <c r="H565" s="107" t="s">
        <v>2965</v>
      </c>
      <c r="I565" s="107" t="s">
        <v>2996</v>
      </c>
      <c r="J565" s="107" t="s">
        <v>2996</v>
      </c>
      <c r="K565" s="107" t="s">
        <v>2996</v>
      </c>
      <c r="L565" s="107">
        <v>30.11</v>
      </c>
      <c r="M565" s="107"/>
    </row>
    <row r="566" spans="1:13" x14ac:dyDescent="0.3">
      <c r="A566" s="95">
        <f t="shared" si="8"/>
        <v>1</v>
      </c>
      <c r="B566" s="106" t="s">
        <v>594</v>
      </c>
      <c r="C566" s="95" t="s">
        <v>2053</v>
      </c>
      <c r="D566" s="106">
        <v>12</v>
      </c>
      <c r="E566" s="107">
        <v>1</v>
      </c>
      <c r="F566" s="107" t="s">
        <v>2958</v>
      </c>
      <c r="G566" s="107" t="s">
        <v>2969</v>
      </c>
      <c r="H566" s="107" t="s">
        <v>2994</v>
      </c>
      <c r="I566" s="107" t="s">
        <v>2997</v>
      </c>
      <c r="J566" s="107" t="s">
        <v>2997</v>
      </c>
      <c r="K566" s="107" t="s">
        <v>2997</v>
      </c>
      <c r="L566" s="107">
        <v>16956.599999999999</v>
      </c>
      <c r="M566" s="107">
        <v>17</v>
      </c>
    </row>
    <row r="567" spans="1:13" x14ac:dyDescent="0.3">
      <c r="A567" s="95">
        <f t="shared" si="8"/>
        <v>0</v>
      </c>
      <c r="B567" s="106" t="s">
        <v>595</v>
      </c>
      <c r="C567" s="95" t="s">
        <v>2054</v>
      </c>
      <c r="D567" s="106">
        <v>12</v>
      </c>
      <c r="E567" s="107">
        <v>1</v>
      </c>
      <c r="F567" s="107" t="s">
        <v>2959</v>
      </c>
      <c r="G567" s="107" t="s">
        <v>2961</v>
      </c>
      <c r="H567" s="107" t="s">
        <v>2972</v>
      </c>
      <c r="I567" s="107" t="s">
        <v>2997</v>
      </c>
      <c r="J567" s="107" t="s">
        <v>2997</v>
      </c>
      <c r="K567" s="107" t="s">
        <v>2996</v>
      </c>
      <c r="L567" s="107">
        <v>32.58</v>
      </c>
      <c r="M567" s="107"/>
    </row>
    <row r="568" spans="1:13" x14ac:dyDescent="0.3">
      <c r="A568" s="95">
        <f t="shared" si="8"/>
        <v>0</v>
      </c>
      <c r="B568" s="106" t="s">
        <v>596</v>
      </c>
      <c r="C568" s="95" t="s">
        <v>2055</v>
      </c>
      <c r="D568" s="106">
        <v>12</v>
      </c>
      <c r="E568" s="107">
        <v>1</v>
      </c>
      <c r="F568" s="107" t="s">
        <v>2958</v>
      </c>
      <c r="G568" s="107" t="s">
        <v>2964</v>
      </c>
      <c r="H568" s="107" t="s">
        <v>2976</v>
      </c>
      <c r="I568" s="107" t="s">
        <v>2997</v>
      </c>
      <c r="J568" s="107" t="s">
        <v>2997</v>
      </c>
      <c r="K568" s="107" t="s">
        <v>2996</v>
      </c>
      <c r="L568" s="107">
        <v>804.32</v>
      </c>
      <c r="M568" s="107"/>
    </row>
    <row r="569" spans="1:13" x14ac:dyDescent="0.3">
      <c r="A569" s="95">
        <f t="shared" si="8"/>
        <v>0</v>
      </c>
      <c r="B569" s="106" t="s">
        <v>597</v>
      </c>
      <c r="C569" s="95" t="s">
        <v>2056</v>
      </c>
      <c r="D569" s="106">
        <v>12</v>
      </c>
      <c r="E569" s="107">
        <v>1</v>
      </c>
      <c r="F569" s="107" t="s">
        <v>2958</v>
      </c>
      <c r="G569" s="107" t="s">
        <v>2963</v>
      </c>
      <c r="H569" s="107" t="s">
        <v>2974</v>
      </c>
      <c r="I569" s="107" t="s">
        <v>2997</v>
      </c>
      <c r="J569" s="107" t="s">
        <v>2997</v>
      </c>
      <c r="K569" s="107" t="s">
        <v>2996</v>
      </c>
      <c r="L569" s="107">
        <v>198.07</v>
      </c>
      <c r="M569" s="107"/>
    </row>
    <row r="570" spans="1:13" x14ac:dyDescent="0.3">
      <c r="A570" s="95">
        <f t="shared" si="8"/>
        <v>0</v>
      </c>
      <c r="B570" s="106" t="s">
        <v>598</v>
      </c>
      <c r="C570" s="95" t="s">
        <v>2057</v>
      </c>
      <c r="D570" s="106">
        <v>12</v>
      </c>
      <c r="E570" s="107">
        <v>1</v>
      </c>
      <c r="F570" s="107" t="s">
        <v>2959</v>
      </c>
      <c r="G570" s="107" t="s">
        <v>2965</v>
      </c>
      <c r="H570" s="107" t="s">
        <v>2965</v>
      </c>
      <c r="I570" s="107" t="s">
        <v>2997</v>
      </c>
      <c r="J570" s="107" t="s">
        <v>2997</v>
      </c>
      <c r="K570" s="107" t="s">
        <v>2996</v>
      </c>
      <c r="L570" s="107">
        <v>86.42</v>
      </c>
      <c r="M570" s="107"/>
    </row>
    <row r="571" spans="1:13" x14ac:dyDescent="0.3">
      <c r="A571" s="95">
        <f t="shared" si="8"/>
        <v>0</v>
      </c>
      <c r="B571" s="106" t="s">
        <v>599</v>
      </c>
      <c r="C571" s="95" t="s">
        <v>2058</v>
      </c>
      <c r="D571" s="106">
        <v>12</v>
      </c>
      <c r="E571" s="107">
        <v>1</v>
      </c>
      <c r="F571" s="107" t="s">
        <v>2958</v>
      </c>
      <c r="G571" s="107" t="s">
        <v>2966</v>
      </c>
      <c r="H571" s="107" t="s">
        <v>2984</v>
      </c>
      <c r="I571" s="107" t="s">
        <v>2997</v>
      </c>
      <c r="J571" s="107" t="s">
        <v>2997</v>
      </c>
      <c r="K571" s="107" t="s">
        <v>2996</v>
      </c>
      <c r="L571" s="107">
        <v>133.27000000000001</v>
      </c>
      <c r="M571" s="107">
        <v>1</v>
      </c>
    </row>
    <row r="572" spans="1:13" x14ac:dyDescent="0.3">
      <c r="A572" s="95">
        <f t="shared" si="8"/>
        <v>0</v>
      </c>
      <c r="B572" s="106" t="s">
        <v>600</v>
      </c>
      <c r="C572" s="95" t="s">
        <v>2059</v>
      </c>
      <c r="D572" s="106">
        <v>12</v>
      </c>
      <c r="E572" s="107">
        <v>1</v>
      </c>
      <c r="F572" s="107" t="s">
        <v>2958</v>
      </c>
      <c r="G572" s="107" t="s">
        <v>2968</v>
      </c>
      <c r="H572" s="107" t="s">
        <v>2968</v>
      </c>
      <c r="I572" s="107" t="s">
        <v>2997</v>
      </c>
      <c r="J572" s="107" t="s">
        <v>2997</v>
      </c>
      <c r="K572" s="107" t="s">
        <v>2997</v>
      </c>
      <c r="L572" s="107">
        <v>496.66</v>
      </c>
      <c r="M572" s="107"/>
    </row>
    <row r="573" spans="1:13" x14ac:dyDescent="0.3">
      <c r="A573" s="95">
        <f t="shared" si="8"/>
        <v>0</v>
      </c>
      <c r="B573" s="106" t="s">
        <v>601</v>
      </c>
      <c r="C573" s="95" t="s">
        <v>2060</v>
      </c>
      <c r="D573" s="106">
        <v>12</v>
      </c>
      <c r="E573" s="107">
        <v>1</v>
      </c>
      <c r="F573" s="107" t="s">
        <v>2958</v>
      </c>
      <c r="G573" s="107" t="s">
        <v>2964</v>
      </c>
      <c r="H573" s="107" t="s">
        <v>2976</v>
      </c>
      <c r="I573" s="107" t="s">
        <v>2997</v>
      </c>
      <c r="J573" s="107" t="s">
        <v>2997</v>
      </c>
      <c r="K573" s="107" t="s">
        <v>2997</v>
      </c>
      <c r="L573" s="107">
        <v>252.25</v>
      </c>
      <c r="M573" s="107">
        <v>2</v>
      </c>
    </row>
    <row r="574" spans="1:13" x14ac:dyDescent="0.3">
      <c r="A574" s="95">
        <f t="shared" si="8"/>
        <v>0</v>
      </c>
      <c r="B574" s="106" t="s">
        <v>602</v>
      </c>
      <c r="C574" s="95" t="s">
        <v>2061</v>
      </c>
      <c r="D574" s="106">
        <v>12</v>
      </c>
      <c r="E574" s="107">
        <v>1</v>
      </c>
      <c r="F574" s="107" t="s">
        <v>2959</v>
      </c>
      <c r="G574" s="107" t="s">
        <v>2964</v>
      </c>
      <c r="H574" s="107" t="s">
        <v>2976</v>
      </c>
      <c r="I574" s="107" t="s">
        <v>2997</v>
      </c>
      <c r="J574" s="107" t="s">
        <v>2997</v>
      </c>
      <c r="K574" s="107" t="s">
        <v>2996</v>
      </c>
      <c r="L574" s="107">
        <v>193.16</v>
      </c>
      <c r="M574" s="107"/>
    </row>
    <row r="575" spans="1:13" x14ac:dyDescent="0.3">
      <c r="A575" s="95">
        <f t="shared" si="8"/>
        <v>0</v>
      </c>
      <c r="B575" s="106" t="s">
        <v>603</v>
      </c>
      <c r="C575" s="95" t="s">
        <v>2062</v>
      </c>
      <c r="D575" s="106">
        <v>12</v>
      </c>
      <c r="E575" s="107">
        <v>1</v>
      </c>
      <c r="F575" s="107" t="s">
        <v>2959</v>
      </c>
      <c r="G575" s="107" t="s">
        <v>2963</v>
      </c>
      <c r="H575" s="107" t="s">
        <v>2974</v>
      </c>
      <c r="I575" s="107" t="s">
        <v>2996</v>
      </c>
      <c r="J575" s="107" t="s">
        <v>2996</v>
      </c>
      <c r="K575" s="107" t="s">
        <v>2996</v>
      </c>
      <c r="L575" s="107">
        <v>140.69999999999999</v>
      </c>
      <c r="M575" s="107"/>
    </row>
    <row r="576" spans="1:13" x14ac:dyDescent="0.3">
      <c r="A576" s="95">
        <f t="shared" si="8"/>
        <v>0</v>
      </c>
      <c r="B576" s="106" t="s">
        <v>604</v>
      </c>
      <c r="C576" s="95" t="s">
        <v>2063</v>
      </c>
      <c r="D576" s="106">
        <v>12</v>
      </c>
      <c r="E576" s="107">
        <v>1</v>
      </c>
      <c r="F576" s="107" t="s">
        <v>2959</v>
      </c>
      <c r="G576" s="107" t="s">
        <v>2966</v>
      </c>
      <c r="H576" s="107" t="s">
        <v>2984</v>
      </c>
      <c r="I576" s="107" t="s">
        <v>2996</v>
      </c>
      <c r="J576" s="107" t="s">
        <v>2996</v>
      </c>
      <c r="K576" s="107" t="s">
        <v>2996</v>
      </c>
      <c r="L576" s="107">
        <v>28.86</v>
      </c>
      <c r="M576" s="107"/>
    </row>
    <row r="577" spans="1:13" x14ac:dyDescent="0.3">
      <c r="A577" s="95">
        <f t="shared" si="8"/>
        <v>0</v>
      </c>
      <c r="B577" s="106" t="s">
        <v>605</v>
      </c>
      <c r="C577" s="95" t="s">
        <v>2064</v>
      </c>
      <c r="D577" s="106">
        <v>12</v>
      </c>
      <c r="E577" s="107">
        <v>1</v>
      </c>
      <c r="F577" s="107" t="s">
        <v>2959</v>
      </c>
      <c r="G577" s="107" t="s">
        <v>2964</v>
      </c>
      <c r="H577" s="107" t="s">
        <v>2976</v>
      </c>
      <c r="I577" s="107" t="s">
        <v>2996</v>
      </c>
      <c r="J577" s="107" t="s">
        <v>2996</v>
      </c>
      <c r="K577" s="107" t="s">
        <v>2996</v>
      </c>
      <c r="L577" s="107">
        <v>49.98</v>
      </c>
      <c r="M577" s="107"/>
    </row>
    <row r="578" spans="1:13" x14ac:dyDescent="0.3">
      <c r="A578" s="95">
        <f t="shared" si="8"/>
        <v>0</v>
      </c>
      <c r="B578" s="106" t="s">
        <v>606</v>
      </c>
      <c r="C578" s="95" t="s">
        <v>2065</v>
      </c>
      <c r="D578" s="106">
        <v>12</v>
      </c>
      <c r="E578" s="107">
        <v>1</v>
      </c>
      <c r="F578" s="107" t="s">
        <v>2958</v>
      </c>
      <c r="G578" s="107" t="s">
        <v>2965</v>
      </c>
      <c r="H578" s="107" t="s">
        <v>2965</v>
      </c>
      <c r="I578" s="107" t="s">
        <v>2996</v>
      </c>
      <c r="J578" s="107" t="s">
        <v>2996</v>
      </c>
      <c r="K578" s="107" t="s">
        <v>2996</v>
      </c>
      <c r="L578" s="107">
        <v>80.040000000000006</v>
      </c>
      <c r="M578" s="107"/>
    </row>
    <row r="579" spans="1:13" x14ac:dyDescent="0.3">
      <c r="A579" s="95">
        <f t="shared" si="8"/>
        <v>0</v>
      </c>
      <c r="B579" s="106" t="s">
        <v>607</v>
      </c>
      <c r="C579" s="95" t="s">
        <v>2066</v>
      </c>
      <c r="D579" s="106">
        <v>3</v>
      </c>
      <c r="E579" s="107">
        <v>1</v>
      </c>
      <c r="F579" s="107" t="s">
        <v>2958</v>
      </c>
      <c r="G579" s="107" t="s">
        <v>2961</v>
      </c>
      <c r="H579" s="107" t="s">
        <v>2971</v>
      </c>
      <c r="I579" s="107" t="s">
        <v>2997</v>
      </c>
      <c r="J579" s="107" t="s">
        <v>2997</v>
      </c>
      <c r="K579" s="107" t="s">
        <v>2996</v>
      </c>
      <c r="L579" s="107">
        <v>44.22</v>
      </c>
      <c r="M579" s="107"/>
    </row>
    <row r="580" spans="1:13" x14ac:dyDescent="0.3">
      <c r="A580" s="95">
        <f t="shared" si="8"/>
        <v>0</v>
      </c>
      <c r="B580" s="106" t="s">
        <v>608</v>
      </c>
      <c r="C580" s="95" t="s">
        <v>2067</v>
      </c>
      <c r="D580" s="106">
        <v>12</v>
      </c>
      <c r="E580" s="107">
        <v>1</v>
      </c>
      <c r="F580" s="107" t="s">
        <v>2959</v>
      </c>
      <c r="G580" s="107" t="s">
        <v>2960</v>
      </c>
      <c r="H580" s="107" t="s">
        <v>2970</v>
      </c>
      <c r="I580" s="107" t="s">
        <v>2996</v>
      </c>
      <c r="J580" s="107" t="s">
        <v>2996</v>
      </c>
      <c r="K580" s="107" t="s">
        <v>2996</v>
      </c>
      <c r="L580" s="107">
        <v>17.95</v>
      </c>
      <c r="M580" s="107"/>
    </row>
    <row r="581" spans="1:13" x14ac:dyDescent="0.3">
      <c r="A581" s="95">
        <f t="shared" si="8"/>
        <v>0</v>
      </c>
      <c r="B581" s="106" t="s">
        <v>609</v>
      </c>
      <c r="C581" s="95" t="s">
        <v>2068</v>
      </c>
      <c r="D581" s="106">
        <v>12</v>
      </c>
      <c r="E581" s="107">
        <v>1</v>
      </c>
      <c r="F581" s="107" t="s">
        <v>2958</v>
      </c>
      <c r="G581" s="107" t="s">
        <v>2968</v>
      </c>
      <c r="H581" s="107" t="s">
        <v>2968</v>
      </c>
      <c r="I581" s="107" t="s">
        <v>2997</v>
      </c>
      <c r="J581" s="107" t="s">
        <v>2997</v>
      </c>
      <c r="K581" s="107" t="s">
        <v>2997</v>
      </c>
      <c r="L581" s="107">
        <v>685.12</v>
      </c>
      <c r="M581" s="107"/>
    </row>
    <row r="582" spans="1:13" x14ac:dyDescent="0.3">
      <c r="A582" s="95">
        <f t="shared" si="8"/>
        <v>0</v>
      </c>
      <c r="B582" s="106" t="s">
        <v>610</v>
      </c>
      <c r="C582" s="95" t="s">
        <v>2069</v>
      </c>
      <c r="D582" s="106">
        <v>12</v>
      </c>
      <c r="E582" s="107">
        <v>1</v>
      </c>
      <c r="F582" s="107" t="s">
        <v>2959</v>
      </c>
      <c r="G582" s="107" t="s">
        <v>2960</v>
      </c>
      <c r="H582" s="107" t="s">
        <v>2970</v>
      </c>
      <c r="I582" s="107" t="s">
        <v>2996</v>
      </c>
      <c r="J582" s="107" t="s">
        <v>2996</v>
      </c>
      <c r="K582" s="107" t="s">
        <v>2996</v>
      </c>
      <c r="L582" s="107">
        <v>98.41</v>
      </c>
      <c r="M582" s="107"/>
    </row>
    <row r="583" spans="1:13" x14ac:dyDescent="0.3">
      <c r="A583" s="95">
        <f t="shared" si="8"/>
        <v>0</v>
      </c>
      <c r="B583" s="106" t="s">
        <v>611</v>
      </c>
      <c r="C583" s="95" t="s">
        <v>2070</v>
      </c>
      <c r="D583" s="106">
        <v>3</v>
      </c>
      <c r="E583" s="107">
        <v>1</v>
      </c>
      <c r="F583" s="107" t="s">
        <v>2959</v>
      </c>
      <c r="G583" s="107" t="s">
        <v>2961</v>
      </c>
      <c r="H583" s="107" t="s">
        <v>2990</v>
      </c>
      <c r="I583" s="107" t="s">
        <v>2997</v>
      </c>
      <c r="J583" s="107" t="s">
        <v>2996</v>
      </c>
      <c r="K583" s="107" t="s">
        <v>2996</v>
      </c>
      <c r="L583" s="107">
        <v>36.19</v>
      </c>
      <c r="M583" s="107"/>
    </row>
    <row r="584" spans="1:13" x14ac:dyDescent="0.3">
      <c r="A584" s="95">
        <f t="shared" si="8"/>
        <v>1</v>
      </c>
      <c r="B584" s="106" t="s">
        <v>612</v>
      </c>
      <c r="C584" s="95" t="s">
        <v>3636</v>
      </c>
      <c r="D584" s="106">
        <v>12</v>
      </c>
      <c r="E584" s="107">
        <v>1</v>
      </c>
      <c r="F584" s="107" t="s">
        <v>2958</v>
      </c>
      <c r="G584" s="107" t="s">
        <v>2961</v>
      </c>
      <c r="H584" s="107" t="s">
        <v>2971</v>
      </c>
      <c r="I584" s="107" t="s">
        <v>2997</v>
      </c>
      <c r="J584" s="107" t="s">
        <v>2997</v>
      </c>
      <c r="K584" s="107" t="s">
        <v>2997</v>
      </c>
      <c r="L584" s="107">
        <v>3870.05</v>
      </c>
      <c r="M584" s="107">
        <v>11</v>
      </c>
    </row>
    <row r="585" spans="1:13" x14ac:dyDescent="0.3">
      <c r="A585" s="95">
        <f t="shared" si="8"/>
        <v>0</v>
      </c>
      <c r="B585" s="106" t="s">
        <v>613</v>
      </c>
      <c r="C585" s="95" t="s">
        <v>2071</v>
      </c>
      <c r="D585" s="106">
        <v>12</v>
      </c>
      <c r="E585" s="107">
        <v>1</v>
      </c>
      <c r="F585" s="107" t="s">
        <v>2959</v>
      </c>
      <c r="G585" s="107" t="s">
        <v>2961</v>
      </c>
      <c r="H585" s="107" t="s">
        <v>2982</v>
      </c>
      <c r="I585" s="107" t="s">
        <v>2997</v>
      </c>
      <c r="J585" s="107" t="s">
        <v>2997</v>
      </c>
      <c r="K585" s="107" t="s">
        <v>2996</v>
      </c>
      <c r="L585" s="107">
        <v>25.35</v>
      </c>
      <c r="M585" s="107"/>
    </row>
    <row r="586" spans="1:13" x14ac:dyDescent="0.3">
      <c r="A586" s="95">
        <f t="shared" si="8"/>
        <v>0</v>
      </c>
      <c r="B586" s="106" t="s">
        <v>614</v>
      </c>
      <c r="C586" s="95" t="s">
        <v>2072</v>
      </c>
      <c r="D586" s="106">
        <v>12</v>
      </c>
      <c r="E586" s="107">
        <v>1</v>
      </c>
      <c r="F586" s="107" t="s">
        <v>2958</v>
      </c>
      <c r="G586" s="107" t="s">
        <v>2960</v>
      </c>
      <c r="H586" s="107" t="s">
        <v>2970</v>
      </c>
      <c r="I586" s="107" t="s">
        <v>2997</v>
      </c>
      <c r="J586" s="107" t="s">
        <v>2997</v>
      </c>
      <c r="K586" s="107" t="s">
        <v>2997</v>
      </c>
      <c r="L586" s="107">
        <v>193.56</v>
      </c>
      <c r="M586" s="107">
        <v>1</v>
      </c>
    </row>
    <row r="587" spans="1:13" x14ac:dyDescent="0.3">
      <c r="A587" s="95">
        <f t="shared" si="8"/>
        <v>0</v>
      </c>
      <c r="B587" s="106" t="s">
        <v>615</v>
      </c>
      <c r="C587" s="95" t="s">
        <v>2073</v>
      </c>
      <c r="D587" s="106">
        <v>12</v>
      </c>
      <c r="E587" s="107">
        <v>1</v>
      </c>
      <c r="F587" s="107" t="s">
        <v>2958</v>
      </c>
      <c r="G587" s="107" t="s">
        <v>2961</v>
      </c>
      <c r="H587" s="107" t="s">
        <v>2971</v>
      </c>
      <c r="I587" s="107" t="s">
        <v>2997</v>
      </c>
      <c r="J587" s="107" t="s">
        <v>2997</v>
      </c>
      <c r="K587" s="107" t="s">
        <v>2996</v>
      </c>
      <c r="L587" s="107">
        <v>29.79</v>
      </c>
      <c r="M587" s="107"/>
    </row>
    <row r="588" spans="1:13" x14ac:dyDescent="0.3">
      <c r="A588" s="95">
        <f t="shared" si="8"/>
        <v>0</v>
      </c>
      <c r="B588" s="106" t="s">
        <v>616</v>
      </c>
      <c r="C588" s="95" t="s">
        <v>2074</v>
      </c>
      <c r="D588" s="106">
        <v>12</v>
      </c>
      <c r="E588" s="107">
        <v>1</v>
      </c>
      <c r="F588" s="107" t="s">
        <v>2959</v>
      </c>
      <c r="G588" s="107" t="s">
        <v>2964</v>
      </c>
      <c r="H588" s="107" t="s">
        <v>2976</v>
      </c>
      <c r="I588" s="107" t="s">
        <v>2997</v>
      </c>
      <c r="J588" s="107" t="s">
        <v>2997</v>
      </c>
      <c r="K588" s="107" t="s">
        <v>2997</v>
      </c>
      <c r="L588" s="107">
        <v>286.95999999999998</v>
      </c>
      <c r="M588" s="107">
        <v>3</v>
      </c>
    </row>
    <row r="589" spans="1:13" x14ac:dyDescent="0.3">
      <c r="A589" s="95">
        <f t="shared" si="8"/>
        <v>0</v>
      </c>
      <c r="B589" s="106" t="s">
        <v>617</v>
      </c>
      <c r="C589" s="95" t="s">
        <v>2075</v>
      </c>
      <c r="D589" s="106">
        <v>12</v>
      </c>
      <c r="E589" s="107">
        <v>1</v>
      </c>
      <c r="F589" s="107" t="s">
        <v>2958</v>
      </c>
      <c r="G589" s="107" t="s">
        <v>2965</v>
      </c>
      <c r="H589" s="107" t="s">
        <v>2965</v>
      </c>
      <c r="I589" s="107" t="s">
        <v>2997</v>
      </c>
      <c r="J589" s="107" t="s">
        <v>2997</v>
      </c>
      <c r="K589" s="107" t="s">
        <v>2997</v>
      </c>
      <c r="L589" s="107">
        <v>91.29</v>
      </c>
      <c r="M589" s="107">
        <v>1</v>
      </c>
    </row>
    <row r="590" spans="1:13" x14ac:dyDescent="0.3">
      <c r="A590" s="95">
        <f t="shared" si="8"/>
        <v>0</v>
      </c>
      <c r="B590" s="106" t="s">
        <v>3136</v>
      </c>
      <c r="C590" s="95" t="s">
        <v>3339</v>
      </c>
      <c r="D590" s="106">
        <v>12</v>
      </c>
      <c r="E590" s="107">
        <v>1</v>
      </c>
      <c r="F590" s="107" t="s">
        <v>2958</v>
      </c>
      <c r="G590" s="107" t="s">
        <v>2965</v>
      </c>
      <c r="H590" s="107" t="s">
        <v>2965</v>
      </c>
      <c r="I590" s="107" t="s">
        <v>2997</v>
      </c>
      <c r="J590" s="107" t="s">
        <v>2997</v>
      </c>
      <c r="K590" s="107" t="s">
        <v>2997</v>
      </c>
      <c r="L590" s="107">
        <v>202.25</v>
      </c>
      <c r="M590" s="107">
        <v>3</v>
      </c>
    </row>
    <row r="591" spans="1:13" x14ac:dyDescent="0.3">
      <c r="A591" s="95">
        <f t="shared" ref="A591:A654" si="9">IF(AND(E591=1,J591=K591,M591&gt;6),1,0)</f>
        <v>0</v>
      </c>
      <c r="B591" s="106" t="s">
        <v>618</v>
      </c>
      <c r="C591" s="95" t="s">
        <v>2076</v>
      </c>
      <c r="D591" s="106">
        <v>12</v>
      </c>
      <c r="E591" s="107">
        <v>1</v>
      </c>
      <c r="F591" s="107" t="s">
        <v>2958</v>
      </c>
      <c r="G591" s="107" t="s">
        <v>2966</v>
      </c>
      <c r="H591" s="107" t="s">
        <v>2984</v>
      </c>
      <c r="I591" s="107" t="s">
        <v>2997</v>
      </c>
      <c r="J591" s="107" t="s">
        <v>2997</v>
      </c>
      <c r="K591" s="107" t="s">
        <v>2996</v>
      </c>
      <c r="L591" s="107">
        <v>41.98</v>
      </c>
      <c r="M591" s="107"/>
    </row>
    <row r="592" spans="1:13" x14ac:dyDescent="0.3">
      <c r="A592" s="95">
        <f t="shared" si="9"/>
        <v>0</v>
      </c>
      <c r="B592" s="106" t="s">
        <v>619</v>
      </c>
      <c r="C592" s="95" t="s">
        <v>2077</v>
      </c>
      <c r="D592" s="106">
        <v>12</v>
      </c>
      <c r="E592" s="107">
        <v>1</v>
      </c>
      <c r="F592" s="107" t="s">
        <v>2959</v>
      </c>
      <c r="G592" s="107" t="s">
        <v>2961</v>
      </c>
      <c r="H592" s="107" t="s">
        <v>2971</v>
      </c>
      <c r="I592" s="107" t="s">
        <v>2997</v>
      </c>
      <c r="J592" s="107" t="s">
        <v>2997</v>
      </c>
      <c r="K592" s="107" t="s">
        <v>2997</v>
      </c>
      <c r="L592" s="107">
        <v>79.05</v>
      </c>
      <c r="M592" s="107">
        <v>2</v>
      </c>
    </row>
    <row r="593" spans="1:13" x14ac:dyDescent="0.3">
      <c r="A593" s="95">
        <f t="shared" si="9"/>
        <v>0</v>
      </c>
      <c r="B593" s="106" t="s">
        <v>620</v>
      </c>
      <c r="C593" s="95" t="s">
        <v>2078</v>
      </c>
      <c r="D593" s="106">
        <v>12</v>
      </c>
      <c r="E593" s="107">
        <v>1</v>
      </c>
      <c r="F593" s="107" t="s">
        <v>2959</v>
      </c>
      <c r="G593" s="107" t="s">
        <v>2962</v>
      </c>
      <c r="H593" s="107" t="s">
        <v>2989</v>
      </c>
      <c r="I593" s="107" t="s">
        <v>2997</v>
      </c>
      <c r="J593" s="107" t="s">
        <v>2997</v>
      </c>
      <c r="K593" s="107" t="s">
        <v>2996</v>
      </c>
      <c r="L593" s="107">
        <v>73.42</v>
      </c>
      <c r="M593" s="107"/>
    </row>
    <row r="594" spans="1:13" x14ac:dyDescent="0.3">
      <c r="A594" s="95">
        <f t="shared" si="9"/>
        <v>0</v>
      </c>
      <c r="B594" s="106" t="s">
        <v>621</v>
      </c>
      <c r="C594" s="95" t="s">
        <v>2079</v>
      </c>
      <c r="D594" s="106">
        <v>3</v>
      </c>
      <c r="E594" s="107">
        <v>1</v>
      </c>
      <c r="F594" s="107" t="s">
        <v>2959</v>
      </c>
      <c r="G594" s="107" t="s">
        <v>2962</v>
      </c>
      <c r="H594" s="107" t="s">
        <v>2989</v>
      </c>
      <c r="I594" s="107" t="s">
        <v>2996</v>
      </c>
      <c r="J594" s="107" t="s">
        <v>2996</v>
      </c>
      <c r="K594" s="107" t="s">
        <v>2996</v>
      </c>
      <c r="L594" s="107">
        <v>12.96</v>
      </c>
      <c r="M594" s="107"/>
    </row>
    <row r="595" spans="1:13" x14ac:dyDescent="0.3">
      <c r="A595" s="95">
        <f t="shared" si="9"/>
        <v>0</v>
      </c>
      <c r="B595" s="106" t="s">
        <v>622</v>
      </c>
      <c r="C595" s="95" t="s">
        <v>2080</v>
      </c>
      <c r="D595" s="106">
        <v>12</v>
      </c>
      <c r="E595" s="107">
        <v>1</v>
      </c>
      <c r="F595" s="107" t="s">
        <v>2959</v>
      </c>
      <c r="G595" s="107" t="s">
        <v>2962</v>
      </c>
      <c r="H595" s="107" t="s">
        <v>2989</v>
      </c>
      <c r="I595" s="107" t="s">
        <v>2997</v>
      </c>
      <c r="J595" s="107" t="s">
        <v>2997</v>
      </c>
      <c r="K595" s="107" t="s">
        <v>2997</v>
      </c>
      <c r="L595" s="107">
        <v>26.94</v>
      </c>
      <c r="M595" s="107"/>
    </row>
    <row r="596" spans="1:13" x14ac:dyDescent="0.3">
      <c r="A596" s="95">
        <f t="shared" si="9"/>
        <v>0</v>
      </c>
      <c r="B596" s="106" t="s">
        <v>623</v>
      </c>
      <c r="C596" s="95" t="s">
        <v>2081</v>
      </c>
      <c r="D596" s="106">
        <v>3</v>
      </c>
      <c r="E596" s="107">
        <v>1</v>
      </c>
      <c r="F596" s="107" t="s">
        <v>2959</v>
      </c>
      <c r="G596" s="107" t="s">
        <v>2962</v>
      </c>
      <c r="H596" s="107" t="s">
        <v>2989</v>
      </c>
      <c r="I596" s="107" t="s">
        <v>2997</v>
      </c>
      <c r="J596" s="107" t="s">
        <v>2996</v>
      </c>
      <c r="K596" s="107" t="s">
        <v>2997</v>
      </c>
      <c r="L596" s="107">
        <v>8.44</v>
      </c>
      <c r="M596" s="107"/>
    </row>
    <row r="597" spans="1:13" x14ac:dyDescent="0.3">
      <c r="A597" s="95">
        <f t="shared" si="9"/>
        <v>0</v>
      </c>
      <c r="B597" s="106" t="s">
        <v>624</v>
      </c>
      <c r="C597" s="95" t="s">
        <v>2082</v>
      </c>
      <c r="D597" s="106">
        <v>12</v>
      </c>
      <c r="E597" s="107">
        <v>1</v>
      </c>
      <c r="F597" s="107" t="s">
        <v>2958</v>
      </c>
      <c r="G597" s="107" t="s">
        <v>2961</v>
      </c>
      <c r="H597" s="107" t="s">
        <v>2991</v>
      </c>
      <c r="I597" s="107" t="s">
        <v>2997</v>
      </c>
      <c r="J597" s="107" t="s">
        <v>2997</v>
      </c>
      <c r="K597" s="107" t="s">
        <v>2997</v>
      </c>
      <c r="L597" s="107">
        <v>613.25</v>
      </c>
      <c r="M597" s="107">
        <v>1</v>
      </c>
    </row>
    <row r="598" spans="1:13" x14ac:dyDescent="0.3">
      <c r="A598" s="95">
        <f t="shared" si="9"/>
        <v>0</v>
      </c>
      <c r="B598" s="106" t="s">
        <v>3137</v>
      </c>
      <c r="C598" s="95" t="s">
        <v>3340</v>
      </c>
      <c r="D598" s="106">
        <v>12</v>
      </c>
      <c r="E598" s="107">
        <v>1</v>
      </c>
      <c r="F598" s="107" t="s">
        <v>2959</v>
      </c>
      <c r="G598" s="107" t="s">
        <v>2964</v>
      </c>
      <c r="H598" s="107" t="s">
        <v>2976</v>
      </c>
      <c r="I598" s="107" t="s">
        <v>2997</v>
      </c>
      <c r="J598" s="107" t="s">
        <v>2997</v>
      </c>
      <c r="K598" s="107" t="s">
        <v>2996</v>
      </c>
      <c r="L598" s="107">
        <v>53.01</v>
      </c>
      <c r="M598" s="107"/>
    </row>
    <row r="599" spans="1:13" x14ac:dyDescent="0.3">
      <c r="A599" s="95">
        <f t="shared" si="9"/>
        <v>0</v>
      </c>
      <c r="B599" s="106" t="s">
        <v>625</v>
      </c>
      <c r="C599" s="95" t="s">
        <v>2083</v>
      </c>
      <c r="D599" s="106">
        <v>12</v>
      </c>
      <c r="E599" s="107">
        <v>1</v>
      </c>
      <c r="F599" s="107" t="s">
        <v>2959</v>
      </c>
      <c r="G599" s="107" t="s">
        <v>2964</v>
      </c>
      <c r="H599" s="107" t="s">
        <v>2976</v>
      </c>
      <c r="I599" s="107" t="s">
        <v>2996</v>
      </c>
      <c r="J599" s="107" t="s">
        <v>2996</v>
      </c>
      <c r="K599" s="107" t="s">
        <v>2996</v>
      </c>
      <c r="L599" s="107">
        <v>37.93</v>
      </c>
      <c r="M599" s="107"/>
    </row>
    <row r="600" spans="1:13" x14ac:dyDescent="0.3">
      <c r="A600" s="95">
        <f t="shared" si="9"/>
        <v>0</v>
      </c>
      <c r="B600" s="106" t="s">
        <v>626</v>
      </c>
      <c r="C600" s="95" t="s">
        <v>2084</v>
      </c>
      <c r="D600" s="106">
        <v>12</v>
      </c>
      <c r="E600" s="107">
        <v>1</v>
      </c>
      <c r="F600" s="107" t="s">
        <v>2958</v>
      </c>
      <c r="G600" s="107" t="s">
        <v>2961</v>
      </c>
      <c r="H600" s="107" t="s">
        <v>2972</v>
      </c>
      <c r="I600" s="107" t="s">
        <v>2997</v>
      </c>
      <c r="J600" s="107" t="s">
        <v>2997</v>
      </c>
      <c r="K600" s="107" t="s">
        <v>2997</v>
      </c>
      <c r="L600" s="107">
        <v>715.5</v>
      </c>
      <c r="M600" s="107">
        <v>6</v>
      </c>
    </row>
    <row r="601" spans="1:13" x14ac:dyDescent="0.3">
      <c r="A601" s="95">
        <f t="shared" si="9"/>
        <v>0</v>
      </c>
      <c r="B601" s="106" t="s">
        <v>627</v>
      </c>
      <c r="C601" s="95" t="s">
        <v>2085</v>
      </c>
      <c r="D601" s="106">
        <v>12</v>
      </c>
      <c r="E601" s="107">
        <v>1</v>
      </c>
      <c r="F601" s="107" t="s">
        <v>2958</v>
      </c>
      <c r="G601" s="107" t="s">
        <v>2966</v>
      </c>
      <c r="H601" s="107" t="s">
        <v>2985</v>
      </c>
      <c r="I601" s="107" t="s">
        <v>2996</v>
      </c>
      <c r="J601" s="107" t="s">
        <v>2996</v>
      </c>
      <c r="K601" s="107" t="s">
        <v>2996</v>
      </c>
      <c r="L601" s="107">
        <v>54.62</v>
      </c>
      <c r="M601" s="107"/>
    </row>
    <row r="602" spans="1:13" x14ac:dyDescent="0.3">
      <c r="A602" s="95">
        <f t="shared" si="9"/>
        <v>0</v>
      </c>
      <c r="B602" s="106" t="s">
        <v>3138</v>
      </c>
      <c r="C602" s="95" t="s">
        <v>3341</v>
      </c>
      <c r="D602" s="106">
        <v>12</v>
      </c>
      <c r="E602" s="107">
        <v>1</v>
      </c>
      <c r="F602" s="107" t="s">
        <v>2958</v>
      </c>
      <c r="G602" s="107" t="s">
        <v>2966</v>
      </c>
      <c r="H602" s="107" t="s">
        <v>2984</v>
      </c>
      <c r="I602" s="107" t="s">
        <v>2997</v>
      </c>
      <c r="J602" s="107" t="s">
        <v>2997</v>
      </c>
      <c r="K602" s="107" t="s">
        <v>2997</v>
      </c>
      <c r="L602" s="107">
        <v>403.76</v>
      </c>
      <c r="M602" s="107">
        <v>1</v>
      </c>
    </row>
    <row r="603" spans="1:13" x14ac:dyDescent="0.3">
      <c r="A603" s="95">
        <f t="shared" si="9"/>
        <v>0</v>
      </c>
      <c r="B603" s="106" t="s">
        <v>628</v>
      </c>
      <c r="C603" s="95" t="s">
        <v>2086</v>
      </c>
      <c r="D603" s="106">
        <v>3</v>
      </c>
      <c r="E603" s="107">
        <v>1</v>
      </c>
      <c r="F603" s="107" t="s">
        <v>2959</v>
      </c>
      <c r="G603" s="107" t="s">
        <v>2966</v>
      </c>
      <c r="H603" s="107" t="s">
        <v>2985</v>
      </c>
      <c r="I603" s="107" t="s">
        <v>2996</v>
      </c>
      <c r="J603" s="107" t="s">
        <v>2996</v>
      </c>
      <c r="K603" s="107" t="s">
        <v>2996</v>
      </c>
      <c r="L603" s="107">
        <v>26.98</v>
      </c>
      <c r="M603" s="107"/>
    </row>
    <row r="604" spans="1:13" x14ac:dyDescent="0.3">
      <c r="A604" s="95">
        <f t="shared" si="9"/>
        <v>0</v>
      </c>
      <c r="B604" s="106" t="s">
        <v>629</v>
      </c>
      <c r="C604" s="95" t="s">
        <v>2087</v>
      </c>
      <c r="D604" s="106">
        <v>12</v>
      </c>
      <c r="E604" s="107">
        <v>1</v>
      </c>
      <c r="F604" s="107" t="s">
        <v>2959</v>
      </c>
      <c r="G604" s="107" t="s">
        <v>2961</v>
      </c>
      <c r="H604" s="107" t="s">
        <v>2971</v>
      </c>
      <c r="I604" s="107" t="s">
        <v>2996</v>
      </c>
      <c r="J604" s="107" t="s">
        <v>2996</v>
      </c>
      <c r="K604" s="107" t="s">
        <v>2996</v>
      </c>
      <c r="L604" s="107">
        <v>12.12</v>
      </c>
      <c r="M604" s="107"/>
    </row>
    <row r="605" spans="1:13" x14ac:dyDescent="0.3">
      <c r="A605" s="95">
        <f t="shared" si="9"/>
        <v>1</v>
      </c>
      <c r="B605" s="106" t="s">
        <v>630</v>
      </c>
      <c r="C605" s="95" t="s">
        <v>2088</v>
      </c>
      <c r="D605" s="106">
        <v>12</v>
      </c>
      <c r="E605" s="107">
        <v>1</v>
      </c>
      <c r="F605" s="107" t="s">
        <v>2958</v>
      </c>
      <c r="G605" s="107" t="s">
        <v>2964</v>
      </c>
      <c r="H605" s="107" t="s">
        <v>2975</v>
      </c>
      <c r="I605" s="107" t="s">
        <v>2997</v>
      </c>
      <c r="J605" s="107" t="s">
        <v>2997</v>
      </c>
      <c r="K605" s="107" t="s">
        <v>2997</v>
      </c>
      <c r="L605" s="107">
        <v>1024.28</v>
      </c>
      <c r="M605" s="107">
        <v>17</v>
      </c>
    </row>
    <row r="606" spans="1:13" x14ac:dyDescent="0.3">
      <c r="A606" s="95">
        <f t="shared" si="9"/>
        <v>0</v>
      </c>
      <c r="B606" s="106" t="s">
        <v>631</v>
      </c>
      <c r="C606" s="95" t="s">
        <v>2089</v>
      </c>
      <c r="D606" s="106">
        <v>12</v>
      </c>
      <c r="E606" s="107">
        <v>1</v>
      </c>
      <c r="F606" s="107" t="s">
        <v>2959</v>
      </c>
      <c r="G606" s="107" t="s">
        <v>2964</v>
      </c>
      <c r="H606" s="107" t="s">
        <v>2987</v>
      </c>
      <c r="I606" s="107" t="s">
        <v>2997</v>
      </c>
      <c r="J606" s="107" t="s">
        <v>2997</v>
      </c>
      <c r="K606" s="107" t="s">
        <v>2996</v>
      </c>
      <c r="L606" s="107">
        <v>65.86</v>
      </c>
      <c r="M606" s="107"/>
    </row>
    <row r="607" spans="1:13" x14ac:dyDescent="0.3">
      <c r="A607" s="95">
        <f t="shared" si="9"/>
        <v>1</v>
      </c>
      <c r="B607" s="106" t="s">
        <v>632</v>
      </c>
      <c r="C607" s="95" t="s">
        <v>2090</v>
      </c>
      <c r="D607" s="106">
        <v>12</v>
      </c>
      <c r="E607" s="107">
        <v>1</v>
      </c>
      <c r="F607" s="107" t="s">
        <v>2958</v>
      </c>
      <c r="G607" s="107" t="s">
        <v>2966</v>
      </c>
      <c r="H607" s="107" t="s">
        <v>2980</v>
      </c>
      <c r="I607" s="107" t="s">
        <v>2996</v>
      </c>
      <c r="J607" s="107" t="s">
        <v>2996</v>
      </c>
      <c r="K607" s="107" t="s">
        <v>2996</v>
      </c>
      <c r="L607" s="107">
        <v>461.53</v>
      </c>
      <c r="M607" s="107">
        <v>9</v>
      </c>
    </row>
    <row r="608" spans="1:13" x14ac:dyDescent="0.3">
      <c r="A608" s="95">
        <f t="shared" si="9"/>
        <v>0</v>
      </c>
      <c r="B608" s="106" t="s">
        <v>633</v>
      </c>
      <c r="C608" s="95" t="s">
        <v>2091</v>
      </c>
      <c r="D608" s="106">
        <v>12</v>
      </c>
      <c r="E608" s="107">
        <v>1</v>
      </c>
      <c r="F608" s="107" t="s">
        <v>2959</v>
      </c>
      <c r="G608" s="107" t="s">
        <v>2964</v>
      </c>
      <c r="H608" s="107" t="s">
        <v>2976</v>
      </c>
      <c r="I608" s="107" t="s">
        <v>2996</v>
      </c>
      <c r="J608" s="107" t="s">
        <v>2996</v>
      </c>
      <c r="K608" s="107" t="s">
        <v>2996</v>
      </c>
      <c r="L608" s="107">
        <v>50.11</v>
      </c>
      <c r="M608" s="107"/>
    </row>
    <row r="609" spans="1:13" x14ac:dyDescent="0.3">
      <c r="A609" s="95">
        <f t="shared" si="9"/>
        <v>0</v>
      </c>
      <c r="B609" s="106" t="s">
        <v>634</v>
      </c>
      <c r="C609" s="95" t="s">
        <v>2092</v>
      </c>
      <c r="D609" s="106">
        <v>12</v>
      </c>
      <c r="E609" s="107">
        <v>1</v>
      </c>
      <c r="F609" s="107" t="s">
        <v>2958</v>
      </c>
      <c r="G609" s="107" t="s">
        <v>2965</v>
      </c>
      <c r="H609" s="107" t="s">
        <v>2965</v>
      </c>
      <c r="I609" s="107" t="s">
        <v>2997</v>
      </c>
      <c r="J609" s="107" t="s">
        <v>2997</v>
      </c>
      <c r="K609" s="107" t="s">
        <v>2997</v>
      </c>
      <c r="L609" s="107">
        <v>58.47</v>
      </c>
      <c r="M609" s="107"/>
    </row>
    <row r="610" spans="1:13" x14ac:dyDescent="0.3">
      <c r="A610" s="95">
        <f t="shared" si="9"/>
        <v>0</v>
      </c>
      <c r="B610" s="106" t="s">
        <v>635</v>
      </c>
      <c r="C610" s="95" t="s">
        <v>2093</v>
      </c>
      <c r="D610" s="106">
        <v>12</v>
      </c>
      <c r="E610" s="107">
        <v>1</v>
      </c>
      <c r="F610" s="107" t="s">
        <v>2959</v>
      </c>
      <c r="G610" s="107" t="s">
        <v>2962</v>
      </c>
      <c r="H610" s="107" t="s">
        <v>2989</v>
      </c>
      <c r="I610" s="107" t="s">
        <v>2996</v>
      </c>
      <c r="J610" s="107" t="s">
        <v>2996</v>
      </c>
      <c r="K610" s="107" t="s">
        <v>2996</v>
      </c>
      <c r="L610" s="107">
        <v>59.22</v>
      </c>
      <c r="M610" s="107"/>
    </row>
    <row r="611" spans="1:13" x14ac:dyDescent="0.3">
      <c r="A611" s="95">
        <f t="shared" si="9"/>
        <v>0</v>
      </c>
      <c r="B611" s="106" t="s">
        <v>636</v>
      </c>
      <c r="C611" s="95" t="s">
        <v>3551</v>
      </c>
      <c r="D611" s="106">
        <v>12</v>
      </c>
      <c r="E611" s="107">
        <v>1</v>
      </c>
      <c r="F611" s="107" t="s">
        <v>2958</v>
      </c>
      <c r="G611" s="107" t="s">
        <v>2961</v>
      </c>
      <c r="H611" s="107" t="s">
        <v>2972</v>
      </c>
      <c r="I611" s="107" t="s">
        <v>2997</v>
      </c>
      <c r="J611" s="107" t="s">
        <v>2997</v>
      </c>
      <c r="K611" s="107" t="s">
        <v>2997</v>
      </c>
      <c r="L611" s="107">
        <v>4303.5600000000004</v>
      </c>
      <c r="M611" s="107">
        <v>2</v>
      </c>
    </row>
    <row r="612" spans="1:13" x14ac:dyDescent="0.3">
      <c r="A612" s="95">
        <f t="shared" si="9"/>
        <v>0</v>
      </c>
      <c r="B612" s="106" t="s">
        <v>637</v>
      </c>
      <c r="C612" s="95" t="s">
        <v>2094</v>
      </c>
      <c r="D612" s="106">
        <v>12</v>
      </c>
      <c r="E612" s="107">
        <v>1</v>
      </c>
      <c r="F612" s="107" t="s">
        <v>2959</v>
      </c>
      <c r="G612" s="107" t="s">
        <v>2964</v>
      </c>
      <c r="H612" s="107" t="s">
        <v>2976</v>
      </c>
      <c r="I612" s="107" t="s">
        <v>2997</v>
      </c>
      <c r="J612" s="107" t="s">
        <v>2997</v>
      </c>
      <c r="K612" s="107" t="s">
        <v>2996</v>
      </c>
      <c r="L612" s="107">
        <v>133.97999999999999</v>
      </c>
      <c r="M612" s="107"/>
    </row>
    <row r="613" spans="1:13" x14ac:dyDescent="0.3">
      <c r="A613" s="95">
        <f t="shared" si="9"/>
        <v>0</v>
      </c>
      <c r="B613" s="106" t="s">
        <v>638</v>
      </c>
      <c r="C613" s="95" t="s">
        <v>2095</v>
      </c>
      <c r="D613" s="106">
        <v>12</v>
      </c>
      <c r="E613" s="107">
        <v>1</v>
      </c>
      <c r="F613" s="107" t="s">
        <v>2959</v>
      </c>
      <c r="G613" s="107" t="s">
        <v>2961</v>
      </c>
      <c r="H613" s="107" t="s">
        <v>2971</v>
      </c>
      <c r="I613" s="107" t="s">
        <v>2997</v>
      </c>
      <c r="J613" s="107" t="s">
        <v>2997</v>
      </c>
      <c r="K613" s="107" t="s">
        <v>2996</v>
      </c>
      <c r="L613" s="107">
        <v>26.51</v>
      </c>
      <c r="M613" s="107"/>
    </row>
    <row r="614" spans="1:13" x14ac:dyDescent="0.3">
      <c r="A614" s="95">
        <f t="shared" si="9"/>
        <v>0</v>
      </c>
      <c r="B614" s="106" t="s">
        <v>639</v>
      </c>
      <c r="C614" s="95" t="s">
        <v>2096</v>
      </c>
      <c r="D614" s="106">
        <v>6</v>
      </c>
      <c r="E614" s="107">
        <v>1</v>
      </c>
      <c r="F614" s="107" t="s">
        <v>2958</v>
      </c>
      <c r="G614" s="107" t="s">
        <v>2961</v>
      </c>
      <c r="H614" s="107" t="s">
        <v>2971</v>
      </c>
      <c r="I614" s="107" t="s">
        <v>2997</v>
      </c>
      <c r="J614" s="107" t="s">
        <v>2996</v>
      </c>
      <c r="K614" s="107" t="s">
        <v>2996</v>
      </c>
      <c r="L614" s="107">
        <v>248</v>
      </c>
      <c r="M614" s="107"/>
    </row>
    <row r="615" spans="1:13" x14ac:dyDescent="0.3">
      <c r="A615" s="95">
        <f t="shared" si="9"/>
        <v>0</v>
      </c>
      <c r="B615" s="106" t="s">
        <v>640</v>
      </c>
      <c r="C615" s="95" t="s">
        <v>3742</v>
      </c>
      <c r="D615" s="106">
        <v>3</v>
      </c>
      <c r="E615" s="107">
        <v>1</v>
      </c>
      <c r="F615" s="107" t="s">
        <v>2959</v>
      </c>
      <c r="G615" s="107" t="s">
        <v>2962</v>
      </c>
      <c r="H615" s="107" t="s">
        <v>2989</v>
      </c>
      <c r="I615" s="107" t="s">
        <v>2997</v>
      </c>
      <c r="J615" s="107" t="s">
        <v>2996</v>
      </c>
      <c r="K615" s="107" t="s">
        <v>2997</v>
      </c>
      <c r="L615" s="107">
        <v>18.690000000000001</v>
      </c>
      <c r="M615" s="107"/>
    </row>
    <row r="616" spans="1:13" x14ac:dyDescent="0.3">
      <c r="A616" s="95">
        <f t="shared" si="9"/>
        <v>0</v>
      </c>
      <c r="B616" s="106" t="s">
        <v>641</v>
      </c>
      <c r="C616" s="95" t="s">
        <v>2098</v>
      </c>
      <c r="D616" s="106">
        <v>12</v>
      </c>
      <c r="E616" s="107">
        <v>1</v>
      </c>
      <c r="F616" s="107" t="s">
        <v>2958</v>
      </c>
      <c r="G616" s="107" t="s">
        <v>2962</v>
      </c>
      <c r="H616" s="107" t="s">
        <v>2989</v>
      </c>
      <c r="I616" s="107" t="s">
        <v>2996</v>
      </c>
      <c r="J616" s="107" t="s">
        <v>2996</v>
      </c>
      <c r="K616" s="107" t="s">
        <v>2996</v>
      </c>
      <c r="L616" s="107">
        <v>461.01</v>
      </c>
      <c r="M616" s="107"/>
    </row>
    <row r="617" spans="1:13" x14ac:dyDescent="0.3">
      <c r="A617" s="95">
        <f t="shared" si="9"/>
        <v>0</v>
      </c>
      <c r="B617" s="106" t="s">
        <v>642</v>
      </c>
      <c r="C617" s="95" t="s">
        <v>2099</v>
      </c>
      <c r="D617" s="106">
        <v>12</v>
      </c>
      <c r="E617" s="107">
        <v>1</v>
      </c>
      <c r="F617" s="107" t="s">
        <v>2959</v>
      </c>
      <c r="G617" s="107" t="s">
        <v>2964</v>
      </c>
      <c r="H617" s="107" t="s">
        <v>2976</v>
      </c>
      <c r="I617" s="107" t="s">
        <v>2997</v>
      </c>
      <c r="J617" s="107" t="s">
        <v>2997</v>
      </c>
      <c r="K617" s="107" t="s">
        <v>2997</v>
      </c>
      <c r="L617" s="107">
        <v>1093.54</v>
      </c>
      <c r="M617" s="107">
        <v>3</v>
      </c>
    </row>
    <row r="618" spans="1:13" x14ac:dyDescent="0.3">
      <c r="A618" s="95">
        <f t="shared" si="9"/>
        <v>0</v>
      </c>
      <c r="B618" s="106" t="s">
        <v>643</v>
      </c>
      <c r="C618" s="95" t="s">
        <v>2100</v>
      </c>
      <c r="D618" s="106">
        <v>12</v>
      </c>
      <c r="E618" s="107">
        <v>1</v>
      </c>
      <c r="F618" s="107" t="s">
        <v>2959</v>
      </c>
      <c r="G618" s="107" t="s">
        <v>2964</v>
      </c>
      <c r="H618" s="107" t="s">
        <v>2976</v>
      </c>
      <c r="I618" s="107" t="s">
        <v>2997</v>
      </c>
      <c r="J618" s="107" t="s">
        <v>2997</v>
      </c>
      <c r="K618" s="107" t="s">
        <v>2996</v>
      </c>
      <c r="L618" s="107">
        <v>41.8</v>
      </c>
      <c r="M618" s="107"/>
    </row>
    <row r="619" spans="1:13" x14ac:dyDescent="0.3">
      <c r="A619" s="95">
        <f t="shared" si="9"/>
        <v>0</v>
      </c>
      <c r="B619" s="106" t="s">
        <v>3139</v>
      </c>
      <c r="C619" s="95" t="s">
        <v>3342</v>
      </c>
      <c r="D619" s="106">
        <v>12</v>
      </c>
      <c r="E619" s="107">
        <v>1</v>
      </c>
      <c r="F619" s="107" t="s">
        <v>2958</v>
      </c>
      <c r="G619" s="107" t="s">
        <v>2961</v>
      </c>
      <c r="H619" s="107" t="s">
        <v>2971</v>
      </c>
      <c r="I619" s="107" t="s">
        <v>2996</v>
      </c>
      <c r="J619" s="107" t="s">
        <v>2996</v>
      </c>
      <c r="K619" s="107" t="s">
        <v>2996</v>
      </c>
      <c r="L619" s="107">
        <v>155.6</v>
      </c>
      <c r="M619" s="107"/>
    </row>
    <row r="620" spans="1:13" x14ac:dyDescent="0.3">
      <c r="A620" s="95">
        <f t="shared" si="9"/>
        <v>0</v>
      </c>
      <c r="B620" s="106" t="s">
        <v>644</v>
      </c>
      <c r="C620" s="95" t="s">
        <v>2101</v>
      </c>
      <c r="D620" s="106">
        <v>12</v>
      </c>
      <c r="E620" s="107">
        <v>1</v>
      </c>
      <c r="F620" s="107" t="s">
        <v>2958</v>
      </c>
      <c r="G620" s="107" t="s">
        <v>2963</v>
      </c>
      <c r="H620" s="107" t="s">
        <v>2974</v>
      </c>
      <c r="I620" s="107" t="s">
        <v>2997</v>
      </c>
      <c r="J620" s="107" t="s">
        <v>2997</v>
      </c>
      <c r="K620" s="107" t="s">
        <v>2996</v>
      </c>
      <c r="L620" s="107">
        <v>23.73</v>
      </c>
      <c r="M620" s="107"/>
    </row>
    <row r="621" spans="1:13" x14ac:dyDescent="0.3">
      <c r="A621" s="95">
        <f t="shared" si="9"/>
        <v>1</v>
      </c>
      <c r="B621" s="106" t="s">
        <v>645</v>
      </c>
      <c r="C621" s="95" t="s">
        <v>2102</v>
      </c>
      <c r="D621" s="106">
        <v>12</v>
      </c>
      <c r="E621" s="107">
        <v>1</v>
      </c>
      <c r="F621" s="107" t="s">
        <v>2959</v>
      </c>
      <c r="G621" s="107" t="s">
        <v>2964</v>
      </c>
      <c r="H621" s="107" t="s">
        <v>2976</v>
      </c>
      <c r="I621" s="107" t="s">
        <v>2996</v>
      </c>
      <c r="J621" s="107" t="s">
        <v>2996</v>
      </c>
      <c r="K621" s="107" t="s">
        <v>2996</v>
      </c>
      <c r="L621" s="107">
        <v>568.75</v>
      </c>
      <c r="M621" s="107">
        <v>16</v>
      </c>
    </row>
    <row r="622" spans="1:13" x14ac:dyDescent="0.3">
      <c r="A622" s="95">
        <f t="shared" si="9"/>
        <v>0</v>
      </c>
      <c r="B622" s="106" t="s">
        <v>3140</v>
      </c>
      <c r="C622" s="95" t="s">
        <v>3343</v>
      </c>
      <c r="D622" s="106">
        <v>12</v>
      </c>
      <c r="E622" s="107">
        <v>1</v>
      </c>
      <c r="F622" s="107" t="s">
        <v>2958</v>
      </c>
      <c r="G622" s="107" t="s">
        <v>2964</v>
      </c>
      <c r="H622" s="107" t="s">
        <v>2976</v>
      </c>
      <c r="I622" s="107" t="s">
        <v>2996</v>
      </c>
      <c r="J622" s="107" t="s">
        <v>2996</v>
      </c>
      <c r="K622" s="107" t="s">
        <v>2996</v>
      </c>
      <c r="L622" s="107">
        <v>60.77</v>
      </c>
      <c r="M622" s="107"/>
    </row>
    <row r="623" spans="1:13" x14ac:dyDescent="0.3">
      <c r="A623" s="95">
        <f t="shared" si="9"/>
        <v>0</v>
      </c>
      <c r="B623" s="106" t="s">
        <v>646</v>
      </c>
      <c r="C623" s="95" t="s">
        <v>2103</v>
      </c>
      <c r="D623" s="106">
        <v>12</v>
      </c>
      <c r="E623" s="107">
        <v>1</v>
      </c>
      <c r="F623" s="107" t="s">
        <v>2959</v>
      </c>
      <c r="G623" s="107" t="s">
        <v>2964</v>
      </c>
      <c r="H623" s="107" t="s">
        <v>2976</v>
      </c>
      <c r="I623" s="107" t="s">
        <v>2997</v>
      </c>
      <c r="J623" s="107" t="s">
        <v>2997</v>
      </c>
      <c r="K623" s="107" t="s">
        <v>2996</v>
      </c>
      <c r="L623" s="107">
        <v>227.63</v>
      </c>
      <c r="M623" s="107"/>
    </row>
    <row r="624" spans="1:13" x14ac:dyDescent="0.3">
      <c r="A624" s="95">
        <f t="shared" si="9"/>
        <v>0</v>
      </c>
      <c r="B624" s="106" t="s">
        <v>647</v>
      </c>
      <c r="C624" s="95" t="s">
        <v>3637</v>
      </c>
      <c r="D624" s="106">
        <v>12</v>
      </c>
      <c r="E624" s="107">
        <v>1</v>
      </c>
      <c r="F624" s="107" t="s">
        <v>2959</v>
      </c>
      <c r="G624" s="107" t="s">
        <v>2961</v>
      </c>
      <c r="H624" s="107" t="s">
        <v>2972</v>
      </c>
      <c r="I624" s="107" t="s">
        <v>2997</v>
      </c>
      <c r="J624" s="107" t="s">
        <v>2997</v>
      </c>
      <c r="K624" s="107" t="s">
        <v>2997</v>
      </c>
      <c r="L624" s="107">
        <v>47.44</v>
      </c>
      <c r="M624" s="107"/>
    </row>
    <row r="625" spans="1:13" x14ac:dyDescent="0.3">
      <c r="A625" s="95">
        <f t="shared" si="9"/>
        <v>0</v>
      </c>
      <c r="B625" s="106" t="s">
        <v>648</v>
      </c>
      <c r="C625" s="95" t="s">
        <v>2104</v>
      </c>
      <c r="D625" s="106">
        <v>12</v>
      </c>
      <c r="E625" s="107">
        <v>1</v>
      </c>
      <c r="F625" s="107" t="s">
        <v>2959</v>
      </c>
      <c r="G625" s="107" t="s">
        <v>2965</v>
      </c>
      <c r="H625" s="107" t="s">
        <v>2965</v>
      </c>
      <c r="I625" s="107" t="s">
        <v>2996</v>
      </c>
      <c r="J625" s="107" t="s">
        <v>2996</v>
      </c>
      <c r="K625" s="107" t="s">
        <v>2996</v>
      </c>
      <c r="L625" s="107">
        <v>40.700000000000003</v>
      </c>
      <c r="M625" s="107"/>
    </row>
    <row r="626" spans="1:13" x14ac:dyDescent="0.3">
      <c r="A626" s="95">
        <f t="shared" si="9"/>
        <v>0</v>
      </c>
      <c r="B626" s="106" t="s">
        <v>649</v>
      </c>
      <c r="C626" s="95" t="s">
        <v>2105</v>
      </c>
      <c r="D626" s="106">
        <v>12</v>
      </c>
      <c r="E626" s="107">
        <v>1</v>
      </c>
      <c r="F626" s="107" t="s">
        <v>2958</v>
      </c>
      <c r="G626" s="107" t="s">
        <v>2965</v>
      </c>
      <c r="H626" s="107" t="s">
        <v>2965</v>
      </c>
      <c r="I626" s="107" t="s">
        <v>2996</v>
      </c>
      <c r="J626" s="107" t="s">
        <v>2996</v>
      </c>
      <c r="K626" s="107" t="s">
        <v>2996</v>
      </c>
      <c r="L626" s="107">
        <v>48.58</v>
      </c>
      <c r="M626" s="107"/>
    </row>
    <row r="627" spans="1:13" x14ac:dyDescent="0.3">
      <c r="A627" s="95">
        <f t="shared" si="9"/>
        <v>0</v>
      </c>
      <c r="B627" s="106" t="s">
        <v>650</v>
      </c>
      <c r="C627" s="95" t="s">
        <v>2106</v>
      </c>
      <c r="D627" s="106">
        <v>12</v>
      </c>
      <c r="E627" s="107">
        <v>1</v>
      </c>
      <c r="F627" s="107" t="s">
        <v>2959</v>
      </c>
      <c r="G627" s="107" t="s">
        <v>2962</v>
      </c>
      <c r="H627" s="107" t="s">
        <v>2989</v>
      </c>
      <c r="I627" s="107" t="s">
        <v>2997</v>
      </c>
      <c r="J627" s="107" t="s">
        <v>2997</v>
      </c>
      <c r="K627" s="107" t="s">
        <v>2996</v>
      </c>
      <c r="L627" s="107">
        <v>48.17</v>
      </c>
      <c r="M627" s="107"/>
    </row>
    <row r="628" spans="1:13" x14ac:dyDescent="0.3">
      <c r="A628" s="95">
        <f t="shared" si="9"/>
        <v>1</v>
      </c>
      <c r="B628" s="106" t="s">
        <v>651</v>
      </c>
      <c r="C628" s="95" t="s">
        <v>2107</v>
      </c>
      <c r="D628" s="106">
        <v>12</v>
      </c>
      <c r="E628" s="107">
        <v>1</v>
      </c>
      <c r="F628" s="107" t="s">
        <v>2958</v>
      </c>
      <c r="G628" s="107" t="s">
        <v>2961</v>
      </c>
      <c r="H628" s="107" t="s">
        <v>2982</v>
      </c>
      <c r="I628" s="107" t="s">
        <v>2997</v>
      </c>
      <c r="J628" s="107" t="s">
        <v>2997</v>
      </c>
      <c r="K628" s="107" t="s">
        <v>2997</v>
      </c>
      <c r="L628" s="107">
        <v>11179.27</v>
      </c>
      <c r="M628" s="107">
        <v>24</v>
      </c>
    </row>
    <row r="629" spans="1:13" x14ac:dyDescent="0.3">
      <c r="A629" s="95">
        <f t="shared" si="9"/>
        <v>0</v>
      </c>
      <c r="B629" s="106" t="s">
        <v>652</v>
      </c>
      <c r="C629" s="95" t="s">
        <v>2108</v>
      </c>
      <c r="D629" s="106">
        <v>12</v>
      </c>
      <c r="E629" s="107">
        <v>1</v>
      </c>
      <c r="F629" s="107" t="s">
        <v>2958</v>
      </c>
      <c r="G629" s="107" t="s">
        <v>2966</v>
      </c>
      <c r="H629" s="107" t="s">
        <v>2985</v>
      </c>
      <c r="I629" s="107" t="s">
        <v>2997</v>
      </c>
      <c r="J629" s="107" t="s">
        <v>2997</v>
      </c>
      <c r="K629" s="107" t="s">
        <v>2996</v>
      </c>
      <c r="L629" s="107">
        <v>738.06</v>
      </c>
      <c r="M629" s="107">
        <v>1</v>
      </c>
    </row>
    <row r="630" spans="1:13" x14ac:dyDescent="0.3">
      <c r="A630" s="95">
        <f t="shared" si="9"/>
        <v>0</v>
      </c>
      <c r="B630" s="106" t="s">
        <v>653</v>
      </c>
      <c r="C630" s="95" t="s">
        <v>2109</v>
      </c>
      <c r="D630" s="106">
        <v>12</v>
      </c>
      <c r="E630" s="107">
        <v>1</v>
      </c>
      <c r="F630" s="107" t="s">
        <v>2959</v>
      </c>
      <c r="G630" s="107" t="s">
        <v>2965</v>
      </c>
      <c r="H630" s="107" t="s">
        <v>2965</v>
      </c>
      <c r="I630" s="107" t="s">
        <v>2997</v>
      </c>
      <c r="J630" s="107" t="s">
        <v>2997</v>
      </c>
      <c r="K630" s="107" t="s">
        <v>2997</v>
      </c>
      <c r="L630" s="107">
        <v>61.53</v>
      </c>
      <c r="M630" s="107"/>
    </row>
    <row r="631" spans="1:13" x14ac:dyDescent="0.3">
      <c r="A631" s="95">
        <f t="shared" si="9"/>
        <v>0</v>
      </c>
      <c r="B631" s="106" t="s">
        <v>654</v>
      </c>
      <c r="C631" s="95" t="s">
        <v>2110</v>
      </c>
      <c r="D631" s="106">
        <v>3</v>
      </c>
      <c r="E631" s="107">
        <v>1</v>
      </c>
      <c r="F631" s="107" t="s">
        <v>2959</v>
      </c>
      <c r="G631" s="107" t="s">
        <v>2962</v>
      </c>
      <c r="H631" s="107" t="s">
        <v>2989</v>
      </c>
      <c r="I631" s="107" t="s">
        <v>2996</v>
      </c>
      <c r="J631" s="107" t="s">
        <v>2996</v>
      </c>
      <c r="K631" s="107" t="s">
        <v>2996</v>
      </c>
      <c r="L631" s="107">
        <v>77.47</v>
      </c>
      <c r="M631" s="107"/>
    </row>
    <row r="632" spans="1:13" x14ac:dyDescent="0.3">
      <c r="A632" s="95">
        <f t="shared" si="9"/>
        <v>0</v>
      </c>
      <c r="B632" s="106" t="s">
        <v>655</v>
      </c>
      <c r="C632" s="95" t="s">
        <v>3638</v>
      </c>
      <c r="D632" s="106">
        <v>12</v>
      </c>
      <c r="E632" s="107">
        <v>1</v>
      </c>
      <c r="F632" s="107" t="s">
        <v>2959</v>
      </c>
      <c r="G632" s="107" t="s">
        <v>2966</v>
      </c>
      <c r="H632" s="107" t="s">
        <v>2985</v>
      </c>
      <c r="I632" s="107" t="s">
        <v>2997</v>
      </c>
      <c r="J632" s="107" t="s">
        <v>2997</v>
      </c>
      <c r="K632" s="107" t="s">
        <v>2996</v>
      </c>
      <c r="L632" s="107">
        <v>11.63</v>
      </c>
      <c r="M632" s="107"/>
    </row>
    <row r="633" spans="1:13" x14ac:dyDescent="0.3">
      <c r="A633" s="95">
        <f t="shared" si="9"/>
        <v>0</v>
      </c>
      <c r="B633" s="106" t="s">
        <v>656</v>
      </c>
      <c r="C633" s="95" t="s">
        <v>2111</v>
      </c>
      <c r="D633" s="106">
        <v>12</v>
      </c>
      <c r="E633" s="107">
        <v>1</v>
      </c>
      <c r="F633" s="107" t="s">
        <v>2959</v>
      </c>
      <c r="G633" s="107" t="s">
        <v>2965</v>
      </c>
      <c r="H633" s="107" t="s">
        <v>2965</v>
      </c>
      <c r="I633" s="107" t="s">
        <v>2996</v>
      </c>
      <c r="J633" s="107" t="s">
        <v>2996</v>
      </c>
      <c r="K633" s="107" t="s">
        <v>2996</v>
      </c>
      <c r="L633" s="107">
        <v>29.09</v>
      </c>
      <c r="M633" s="107"/>
    </row>
    <row r="634" spans="1:13" x14ac:dyDescent="0.3">
      <c r="A634" s="95">
        <f t="shared" si="9"/>
        <v>0</v>
      </c>
      <c r="B634" s="106" t="s">
        <v>657</v>
      </c>
      <c r="C634" s="95" t="s">
        <v>2112</v>
      </c>
      <c r="D634" s="106">
        <v>12</v>
      </c>
      <c r="E634" s="107">
        <v>1</v>
      </c>
      <c r="F634" s="107" t="s">
        <v>2958</v>
      </c>
      <c r="G634" s="107" t="s">
        <v>2961</v>
      </c>
      <c r="H634" s="107" t="s">
        <v>2971</v>
      </c>
      <c r="I634" s="107" t="s">
        <v>2997</v>
      </c>
      <c r="J634" s="107" t="s">
        <v>2997</v>
      </c>
      <c r="K634" s="107" t="s">
        <v>2997</v>
      </c>
      <c r="L634" s="107">
        <v>81.41</v>
      </c>
      <c r="M634" s="107"/>
    </row>
    <row r="635" spans="1:13" x14ac:dyDescent="0.3">
      <c r="A635" s="95">
        <f t="shared" si="9"/>
        <v>0</v>
      </c>
      <c r="B635" s="106" t="s">
        <v>658</v>
      </c>
      <c r="C635" s="95" t="s">
        <v>2113</v>
      </c>
      <c r="D635" s="106">
        <v>12</v>
      </c>
      <c r="E635" s="107">
        <v>1</v>
      </c>
      <c r="F635" s="107" t="s">
        <v>2958</v>
      </c>
      <c r="G635" s="107" t="s">
        <v>2961</v>
      </c>
      <c r="H635" s="107" t="s">
        <v>2971</v>
      </c>
      <c r="I635" s="107" t="s">
        <v>2997</v>
      </c>
      <c r="J635" s="107" t="s">
        <v>2997</v>
      </c>
      <c r="K635" s="107" t="s">
        <v>2997</v>
      </c>
      <c r="L635" s="107">
        <v>56.8</v>
      </c>
      <c r="M635" s="107">
        <v>1</v>
      </c>
    </row>
    <row r="636" spans="1:13" x14ac:dyDescent="0.3">
      <c r="A636" s="95">
        <f t="shared" si="9"/>
        <v>0</v>
      </c>
      <c r="B636" s="106" t="s">
        <v>659</v>
      </c>
      <c r="C636" s="95" t="s">
        <v>2114</v>
      </c>
      <c r="D636" s="106">
        <v>12</v>
      </c>
      <c r="E636" s="107">
        <v>1</v>
      </c>
      <c r="F636" s="107" t="s">
        <v>2959</v>
      </c>
      <c r="G636" s="107" t="s">
        <v>2961</v>
      </c>
      <c r="H636" s="107" t="s">
        <v>2971</v>
      </c>
      <c r="I636" s="107" t="s">
        <v>2997</v>
      </c>
      <c r="J636" s="107" t="s">
        <v>2997</v>
      </c>
      <c r="K636" s="107" t="s">
        <v>2996</v>
      </c>
      <c r="L636" s="107">
        <v>360.51</v>
      </c>
      <c r="M636" s="107"/>
    </row>
    <row r="637" spans="1:13" x14ac:dyDescent="0.3">
      <c r="A637" s="95">
        <f t="shared" si="9"/>
        <v>0</v>
      </c>
      <c r="B637" s="106" t="s">
        <v>660</v>
      </c>
      <c r="C637" s="95" t="s">
        <v>2115</v>
      </c>
      <c r="D637" s="106">
        <v>12</v>
      </c>
      <c r="E637" s="107">
        <v>1</v>
      </c>
      <c r="F637" s="107" t="s">
        <v>2959</v>
      </c>
      <c r="G637" s="107" t="s">
        <v>2963</v>
      </c>
      <c r="H637" s="107" t="s">
        <v>2974</v>
      </c>
      <c r="I637" s="107" t="s">
        <v>2997</v>
      </c>
      <c r="J637" s="107" t="s">
        <v>2997</v>
      </c>
      <c r="K637" s="107" t="s">
        <v>2996</v>
      </c>
      <c r="L637" s="107">
        <v>44.69</v>
      </c>
      <c r="M637" s="107"/>
    </row>
    <row r="638" spans="1:13" x14ac:dyDescent="0.3">
      <c r="A638" s="95">
        <f t="shared" si="9"/>
        <v>0</v>
      </c>
      <c r="B638" s="106" t="s">
        <v>661</v>
      </c>
      <c r="C638" s="95" t="s">
        <v>2116</v>
      </c>
      <c r="D638" s="106">
        <v>12</v>
      </c>
      <c r="E638" s="107">
        <v>1</v>
      </c>
      <c r="F638" s="107" t="s">
        <v>2959</v>
      </c>
      <c r="G638" s="107" t="s">
        <v>2960</v>
      </c>
      <c r="H638" s="107" t="s">
        <v>2970</v>
      </c>
      <c r="I638" s="107" t="s">
        <v>2996</v>
      </c>
      <c r="J638" s="107" t="s">
        <v>2996</v>
      </c>
      <c r="K638" s="107" t="s">
        <v>2996</v>
      </c>
      <c r="L638" s="107">
        <v>117.6</v>
      </c>
      <c r="M638" s="107">
        <v>1</v>
      </c>
    </row>
    <row r="639" spans="1:13" x14ac:dyDescent="0.3">
      <c r="A639" s="95">
        <f t="shared" si="9"/>
        <v>0</v>
      </c>
      <c r="B639" s="106" t="s">
        <v>662</v>
      </c>
      <c r="C639" s="95" t="s">
        <v>2117</v>
      </c>
      <c r="D639" s="106">
        <v>12</v>
      </c>
      <c r="E639" s="107">
        <v>1</v>
      </c>
      <c r="F639" s="107" t="s">
        <v>2958</v>
      </c>
      <c r="G639" s="107" t="s">
        <v>2964</v>
      </c>
      <c r="H639" s="107" t="s">
        <v>2976</v>
      </c>
      <c r="I639" s="107" t="s">
        <v>2997</v>
      </c>
      <c r="J639" s="107" t="s">
        <v>2997</v>
      </c>
      <c r="K639" s="107" t="s">
        <v>2996</v>
      </c>
      <c r="L639" s="107">
        <v>22.03</v>
      </c>
      <c r="M639" s="107"/>
    </row>
    <row r="640" spans="1:13" x14ac:dyDescent="0.3">
      <c r="A640" s="95">
        <f t="shared" si="9"/>
        <v>0</v>
      </c>
      <c r="B640" s="106" t="s">
        <v>663</v>
      </c>
      <c r="C640" s="95" t="s">
        <v>2118</v>
      </c>
      <c r="D640" s="106">
        <v>12</v>
      </c>
      <c r="E640" s="107">
        <v>1</v>
      </c>
      <c r="F640" s="107" t="s">
        <v>2959</v>
      </c>
      <c r="G640" s="107" t="s">
        <v>2967</v>
      </c>
      <c r="H640" s="107" t="s">
        <v>2967</v>
      </c>
      <c r="I640" s="107" t="s">
        <v>2996</v>
      </c>
      <c r="J640" s="107" t="s">
        <v>2996</v>
      </c>
      <c r="K640" s="107" t="s">
        <v>2996</v>
      </c>
      <c r="L640" s="107">
        <v>29.4</v>
      </c>
      <c r="M640" s="107"/>
    </row>
    <row r="641" spans="1:13" x14ac:dyDescent="0.3">
      <c r="A641" s="95">
        <f t="shared" si="9"/>
        <v>0</v>
      </c>
      <c r="B641" s="106" t="s">
        <v>664</v>
      </c>
      <c r="C641" s="95" t="s">
        <v>2119</v>
      </c>
      <c r="D641" s="106">
        <v>12</v>
      </c>
      <c r="E641" s="107">
        <v>1</v>
      </c>
      <c r="F641" s="107" t="s">
        <v>2958</v>
      </c>
      <c r="G641" s="107" t="s">
        <v>2965</v>
      </c>
      <c r="H641" s="107" t="s">
        <v>2965</v>
      </c>
      <c r="I641" s="107" t="s">
        <v>2997</v>
      </c>
      <c r="J641" s="107" t="s">
        <v>2997</v>
      </c>
      <c r="K641" s="107" t="s">
        <v>2996</v>
      </c>
      <c r="L641" s="107">
        <v>75.13</v>
      </c>
      <c r="M641" s="107"/>
    </row>
    <row r="642" spans="1:13" x14ac:dyDescent="0.3">
      <c r="A642" s="95">
        <f t="shared" si="9"/>
        <v>0</v>
      </c>
      <c r="B642" s="106" t="s">
        <v>665</v>
      </c>
      <c r="C642" s="95" t="s">
        <v>2120</v>
      </c>
      <c r="D642" s="106">
        <v>12</v>
      </c>
      <c r="E642" s="107">
        <v>1</v>
      </c>
      <c r="F642" s="107" t="s">
        <v>2958</v>
      </c>
      <c r="G642" s="107" t="s">
        <v>2965</v>
      </c>
      <c r="H642" s="107" t="s">
        <v>2965</v>
      </c>
      <c r="I642" s="107" t="s">
        <v>2997</v>
      </c>
      <c r="J642" s="107" t="s">
        <v>2997</v>
      </c>
      <c r="K642" s="107" t="s">
        <v>2997</v>
      </c>
      <c r="L642" s="107">
        <v>139.22999999999999</v>
      </c>
      <c r="M642" s="107">
        <v>1</v>
      </c>
    </row>
    <row r="643" spans="1:13" x14ac:dyDescent="0.3">
      <c r="A643" s="95">
        <f t="shared" si="9"/>
        <v>1</v>
      </c>
      <c r="B643" s="106" t="s">
        <v>666</v>
      </c>
      <c r="C643" s="95" t="s">
        <v>2121</v>
      </c>
      <c r="D643" s="106">
        <v>12</v>
      </c>
      <c r="E643" s="107">
        <v>1</v>
      </c>
      <c r="F643" s="107" t="s">
        <v>2958</v>
      </c>
      <c r="G643" s="107" t="s">
        <v>2962</v>
      </c>
      <c r="H643" s="107" t="s">
        <v>2986</v>
      </c>
      <c r="I643" s="107" t="s">
        <v>2997</v>
      </c>
      <c r="J643" s="107" t="s">
        <v>2997</v>
      </c>
      <c r="K643" s="107" t="s">
        <v>2997</v>
      </c>
      <c r="L643" s="107">
        <v>6024.64</v>
      </c>
      <c r="M643" s="107">
        <v>20</v>
      </c>
    </row>
    <row r="644" spans="1:13" x14ac:dyDescent="0.3">
      <c r="A644" s="95">
        <f t="shared" si="9"/>
        <v>0</v>
      </c>
      <c r="B644" s="106" t="s">
        <v>667</v>
      </c>
      <c r="C644" s="95" t="s">
        <v>2122</v>
      </c>
      <c r="D644" s="106">
        <v>12</v>
      </c>
      <c r="E644" s="107">
        <v>1</v>
      </c>
      <c r="F644" s="107" t="s">
        <v>2959</v>
      </c>
      <c r="G644" s="107" t="s">
        <v>2961</v>
      </c>
      <c r="H644" s="107" t="s">
        <v>2971</v>
      </c>
      <c r="I644" s="107" t="s">
        <v>2997</v>
      </c>
      <c r="J644" s="107" t="s">
        <v>2997</v>
      </c>
      <c r="K644" s="107" t="s">
        <v>2997</v>
      </c>
      <c r="L644" s="107">
        <v>51.75</v>
      </c>
      <c r="M644" s="107"/>
    </row>
    <row r="645" spans="1:13" x14ac:dyDescent="0.3">
      <c r="A645" s="95">
        <f t="shared" si="9"/>
        <v>0</v>
      </c>
      <c r="B645" s="106" t="s">
        <v>668</v>
      </c>
      <c r="C645" s="95" t="s">
        <v>2123</v>
      </c>
      <c r="D645" s="106">
        <v>12</v>
      </c>
      <c r="E645" s="107">
        <v>1</v>
      </c>
      <c r="F645" s="107" t="s">
        <v>2959</v>
      </c>
      <c r="G645" s="107" t="s">
        <v>2963</v>
      </c>
      <c r="H645" s="107" t="s">
        <v>2974</v>
      </c>
      <c r="I645" s="107" t="s">
        <v>2997</v>
      </c>
      <c r="J645" s="107" t="s">
        <v>2997</v>
      </c>
      <c r="K645" s="107" t="s">
        <v>2997</v>
      </c>
      <c r="L645" s="107">
        <v>185.45</v>
      </c>
      <c r="M645" s="107">
        <v>1</v>
      </c>
    </row>
    <row r="646" spans="1:13" x14ac:dyDescent="0.3">
      <c r="A646" s="95">
        <f t="shared" si="9"/>
        <v>0</v>
      </c>
      <c r="B646" s="106" t="s">
        <v>669</v>
      </c>
      <c r="C646" s="95" t="s">
        <v>3094</v>
      </c>
      <c r="D646" s="106">
        <v>3</v>
      </c>
      <c r="E646" s="107">
        <v>1</v>
      </c>
      <c r="F646" s="107" t="s">
        <v>2958</v>
      </c>
      <c r="G646" s="107" t="s">
        <v>2961</v>
      </c>
      <c r="H646" s="107" t="s">
        <v>2972</v>
      </c>
      <c r="I646" s="107" t="s">
        <v>2997</v>
      </c>
      <c r="J646" s="107" t="s">
        <v>2996</v>
      </c>
      <c r="K646" s="107" t="s">
        <v>2996</v>
      </c>
      <c r="L646" s="107">
        <v>201.62</v>
      </c>
      <c r="M646" s="107"/>
    </row>
    <row r="647" spans="1:13" x14ac:dyDescent="0.3">
      <c r="A647" s="95">
        <f t="shared" si="9"/>
        <v>0</v>
      </c>
      <c r="B647" s="106" t="s">
        <v>670</v>
      </c>
      <c r="C647" s="95" t="s">
        <v>2124</v>
      </c>
      <c r="D647" s="106">
        <v>12</v>
      </c>
      <c r="E647" s="107">
        <v>1</v>
      </c>
      <c r="F647" s="107" t="s">
        <v>2959</v>
      </c>
      <c r="G647" s="107" t="s">
        <v>2961</v>
      </c>
      <c r="H647" s="107" t="s">
        <v>2971</v>
      </c>
      <c r="I647" s="107" t="s">
        <v>2997</v>
      </c>
      <c r="J647" s="107" t="s">
        <v>2997</v>
      </c>
      <c r="K647" s="107" t="s">
        <v>2996</v>
      </c>
      <c r="L647" s="107">
        <v>32.880000000000003</v>
      </c>
      <c r="M647" s="107"/>
    </row>
    <row r="648" spans="1:13" x14ac:dyDescent="0.3">
      <c r="A648" s="95">
        <f t="shared" si="9"/>
        <v>0</v>
      </c>
      <c r="B648" s="106" t="s">
        <v>671</v>
      </c>
      <c r="C648" s="95" t="s">
        <v>2125</v>
      </c>
      <c r="D648" s="106">
        <v>12</v>
      </c>
      <c r="E648" s="107">
        <v>1</v>
      </c>
      <c r="F648" s="107" t="s">
        <v>2959</v>
      </c>
      <c r="G648" s="107" t="s">
        <v>2964</v>
      </c>
      <c r="H648" s="107" t="s">
        <v>2975</v>
      </c>
      <c r="I648" s="107" t="s">
        <v>2997</v>
      </c>
      <c r="J648" s="107" t="s">
        <v>2997</v>
      </c>
      <c r="K648" s="107" t="s">
        <v>2996</v>
      </c>
      <c r="L648" s="107">
        <v>43.86</v>
      </c>
      <c r="M648" s="107"/>
    </row>
    <row r="649" spans="1:13" x14ac:dyDescent="0.3">
      <c r="A649" s="95">
        <f t="shared" si="9"/>
        <v>0</v>
      </c>
      <c r="B649" s="106" t="s">
        <v>672</v>
      </c>
      <c r="C649" s="95" t="s">
        <v>2126</v>
      </c>
      <c r="D649" s="106">
        <v>12</v>
      </c>
      <c r="E649" s="107">
        <v>1</v>
      </c>
      <c r="F649" s="107" t="s">
        <v>2959</v>
      </c>
      <c r="G649" s="107" t="s">
        <v>2964</v>
      </c>
      <c r="H649" s="107" t="s">
        <v>2976</v>
      </c>
      <c r="I649" s="107" t="s">
        <v>2997</v>
      </c>
      <c r="J649" s="107" t="s">
        <v>2997</v>
      </c>
      <c r="K649" s="107" t="s">
        <v>2996</v>
      </c>
      <c r="L649" s="107">
        <v>90.15</v>
      </c>
      <c r="M649" s="107"/>
    </row>
    <row r="650" spans="1:13" x14ac:dyDescent="0.3">
      <c r="A650" s="95">
        <f t="shared" si="9"/>
        <v>0</v>
      </c>
      <c r="B650" s="106" t="s">
        <v>673</v>
      </c>
      <c r="C650" s="95" t="s">
        <v>2127</v>
      </c>
      <c r="D650" s="106">
        <v>12</v>
      </c>
      <c r="E650" s="107">
        <v>1</v>
      </c>
      <c r="F650" s="107" t="s">
        <v>2959</v>
      </c>
      <c r="G650" s="107" t="s">
        <v>2961</v>
      </c>
      <c r="H650" s="107" t="s">
        <v>2971</v>
      </c>
      <c r="I650" s="107" t="s">
        <v>2996</v>
      </c>
      <c r="J650" s="107" t="s">
        <v>2996</v>
      </c>
      <c r="K650" s="107" t="s">
        <v>2996</v>
      </c>
      <c r="L650" s="107">
        <v>58.45</v>
      </c>
      <c r="M650" s="107"/>
    </row>
    <row r="651" spans="1:13" x14ac:dyDescent="0.3">
      <c r="A651" s="95">
        <f t="shared" si="9"/>
        <v>0</v>
      </c>
      <c r="B651" s="106" t="s">
        <v>674</v>
      </c>
      <c r="C651" s="95" t="s">
        <v>3639</v>
      </c>
      <c r="D651" s="106">
        <v>12</v>
      </c>
      <c r="E651" s="107">
        <v>1</v>
      </c>
      <c r="F651" s="107" t="s">
        <v>2959</v>
      </c>
      <c r="G651" s="107" t="s">
        <v>2964</v>
      </c>
      <c r="H651" s="107" t="s">
        <v>2976</v>
      </c>
      <c r="I651" s="107" t="s">
        <v>2996</v>
      </c>
      <c r="J651" s="107" t="s">
        <v>2997</v>
      </c>
      <c r="K651" s="107" t="s">
        <v>2997</v>
      </c>
      <c r="L651" s="107">
        <v>65.08</v>
      </c>
      <c r="M651" s="107"/>
    </row>
    <row r="652" spans="1:13" x14ac:dyDescent="0.3">
      <c r="A652" s="95">
        <f t="shared" si="9"/>
        <v>0</v>
      </c>
      <c r="B652" s="106" t="s">
        <v>675</v>
      </c>
      <c r="C652" s="95" t="s">
        <v>2128</v>
      </c>
      <c r="D652" s="106">
        <v>12</v>
      </c>
      <c r="E652" s="107">
        <v>1</v>
      </c>
      <c r="F652" s="107" t="s">
        <v>2959</v>
      </c>
      <c r="G652" s="107" t="s">
        <v>2966</v>
      </c>
      <c r="H652" s="107" t="s">
        <v>2978</v>
      </c>
      <c r="I652" s="107" t="s">
        <v>2997</v>
      </c>
      <c r="J652" s="107" t="s">
        <v>2997</v>
      </c>
      <c r="K652" s="107" t="s">
        <v>2996</v>
      </c>
      <c r="L652" s="107">
        <v>18.45</v>
      </c>
      <c r="M652" s="107"/>
    </row>
    <row r="653" spans="1:13" x14ac:dyDescent="0.3">
      <c r="A653" s="95">
        <f t="shared" si="9"/>
        <v>0</v>
      </c>
      <c r="B653" s="106" t="s">
        <v>676</v>
      </c>
      <c r="C653" s="95" t="s">
        <v>2129</v>
      </c>
      <c r="D653" s="106">
        <v>12</v>
      </c>
      <c r="E653" s="107">
        <v>1</v>
      </c>
      <c r="F653" s="107" t="s">
        <v>2959</v>
      </c>
      <c r="G653" s="107" t="s">
        <v>2964</v>
      </c>
      <c r="H653" s="107" t="s">
        <v>2976</v>
      </c>
      <c r="I653" s="107" t="s">
        <v>2997</v>
      </c>
      <c r="J653" s="107" t="s">
        <v>2997</v>
      </c>
      <c r="K653" s="107" t="s">
        <v>2997</v>
      </c>
      <c r="L653" s="107">
        <v>92.89</v>
      </c>
      <c r="M653" s="107"/>
    </row>
    <row r="654" spans="1:13" x14ac:dyDescent="0.3">
      <c r="A654" s="95">
        <f t="shared" si="9"/>
        <v>0</v>
      </c>
      <c r="B654" s="106" t="s">
        <v>677</v>
      </c>
      <c r="C654" s="95" t="s">
        <v>2130</v>
      </c>
      <c r="D654" s="106">
        <v>12</v>
      </c>
      <c r="E654" s="107">
        <v>1</v>
      </c>
      <c r="F654" s="107" t="s">
        <v>2958</v>
      </c>
      <c r="G654" s="107" t="s">
        <v>2961</v>
      </c>
      <c r="H654" s="107" t="s">
        <v>2972</v>
      </c>
      <c r="I654" s="107" t="s">
        <v>2997</v>
      </c>
      <c r="J654" s="107" t="s">
        <v>2997</v>
      </c>
      <c r="K654" s="107" t="s">
        <v>2996</v>
      </c>
      <c r="L654" s="107">
        <v>49.81</v>
      </c>
      <c r="M654" s="107"/>
    </row>
    <row r="655" spans="1:13" x14ac:dyDescent="0.3">
      <c r="A655" s="95">
        <f t="shared" ref="A655:A718" si="10">IF(AND(E655=1,J655=K655,M655&gt;6),1,0)</f>
        <v>0</v>
      </c>
      <c r="B655" s="106" t="s">
        <v>678</v>
      </c>
      <c r="C655" s="95" t="s">
        <v>2131</v>
      </c>
      <c r="D655" s="106">
        <v>12</v>
      </c>
      <c r="E655" s="107">
        <v>1</v>
      </c>
      <c r="F655" s="107" t="s">
        <v>2958</v>
      </c>
      <c r="G655" s="107" t="s">
        <v>2961</v>
      </c>
      <c r="H655" s="107" t="s">
        <v>2971</v>
      </c>
      <c r="I655" s="107" t="s">
        <v>2996</v>
      </c>
      <c r="J655" s="107" t="s">
        <v>2996</v>
      </c>
      <c r="K655" s="107" t="s">
        <v>2996</v>
      </c>
      <c r="L655" s="107">
        <v>55.52</v>
      </c>
      <c r="M655" s="107"/>
    </row>
    <row r="656" spans="1:13" x14ac:dyDescent="0.3">
      <c r="A656" s="95">
        <f t="shared" si="10"/>
        <v>0</v>
      </c>
      <c r="B656" s="106" t="s">
        <v>679</v>
      </c>
      <c r="C656" s="95" t="s">
        <v>2132</v>
      </c>
      <c r="D656" s="106">
        <v>12</v>
      </c>
      <c r="E656" s="107">
        <v>1</v>
      </c>
      <c r="F656" s="107" t="s">
        <v>2959</v>
      </c>
      <c r="G656" s="107" t="s">
        <v>2961</v>
      </c>
      <c r="H656" s="107" t="s">
        <v>2971</v>
      </c>
      <c r="I656" s="107" t="s">
        <v>2997</v>
      </c>
      <c r="J656" s="107" t="s">
        <v>2997</v>
      </c>
      <c r="K656" s="107" t="s">
        <v>2997</v>
      </c>
      <c r="L656" s="107">
        <v>153.12</v>
      </c>
      <c r="M656" s="107">
        <v>1</v>
      </c>
    </row>
    <row r="657" spans="1:13" x14ac:dyDescent="0.3">
      <c r="A657" s="95">
        <f t="shared" si="10"/>
        <v>0</v>
      </c>
      <c r="B657" s="106" t="s">
        <v>680</v>
      </c>
      <c r="C657" s="95" t="s">
        <v>2133</v>
      </c>
      <c r="D657" s="106">
        <v>12</v>
      </c>
      <c r="E657" s="107">
        <v>1</v>
      </c>
      <c r="F657" s="107" t="s">
        <v>2959</v>
      </c>
      <c r="G657" s="107" t="s">
        <v>2961</v>
      </c>
      <c r="H657" s="107" t="s">
        <v>2972</v>
      </c>
      <c r="I657" s="107" t="s">
        <v>2996</v>
      </c>
      <c r="J657" s="107" t="s">
        <v>2996</v>
      </c>
      <c r="K657" s="107" t="s">
        <v>2996</v>
      </c>
      <c r="L657" s="107">
        <v>14.6</v>
      </c>
      <c r="M657" s="107"/>
    </row>
    <row r="658" spans="1:13" x14ac:dyDescent="0.3">
      <c r="A658" s="95">
        <f t="shared" si="10"/>
        <v>0</v>
      </c>
      <c r="B658" s="106" t="s">
        <v>681</v>
      </c>
      <c r="C658" s="95" t="s">
        <v>2134</v>
      </c>
      <c r="D658" s="106">
        <v>12</v>
      </c>
      <c r="E658" s="107">
        <v>1</v>
      </c>
      <c r="F658" s="107" t="s">
        <v>2959</v>
      </c>
      <c r="G658" s="107" t="s">
        <v>2961</v>
      </c>
      <c r="H658" s="107" t="s">
        <v>2972</v>
      </c>
      <c r="I658" s="107" t="s">
        <v>2996</v>
      </c>
      <c r="J658" s="107" t="s">
        <v>2996</v>
      </c>
      <c r="K658" s="107" t="s">
        <v>2996</v>
      </c>
      <c r="L658" s="107">
        <v>228.97</v>
      </c>
      <c r="M658" s="107">
        <v>3</v>
      </c>
    </row>
    <row r="659" spans="1:13" x14ac:dyDescent="0.3">
      <c r="A659" s="95">
        <f t="shared" si="10"/>
        <v>0</v>
      </c>
      <c r="B659" s="106" t="s">
        <v>682</v>
      </c>
      <c r="C659" s="95" t="s">
        <v>2135</v>
      </c>
      <c r="D659" s="106">
        <v>12</v>
      </c>
      <c r="E659" s="107">
        <v>1</v>
      </c>
      <c r="F659" s="107" t="s">
        <v>2958</v>
      </c>
      <c r="G659" s="107" t="s">
        <v>2965</v>
      </c>
      <c r="H659" s="107" t="s">
        <v>2965</v>
      </c>
      <c r="I659" s="107" t="s">
        <v>2997</v>
      </c>
      <c r="J659" s="107" t="s">
        <v>2997</v>
      </c>
      <c r="K659" s="107" t="s">
        <v>2997</v>
      </c>
      <c r="L659" s="107">
        <v>305.89</v>
      </c>
      <c r="M659" s="107"/>
    </row>
    <row r="660" spans="1:13" x14ac:dyDescent="0.3">
      <c r="A660" s="95">
        <f t="shared" si="10"/>
        <v>0</v>
      </c>
      <c r="B660" s="106" t="s">
        <v>683</v>
      </c>
      <c r="C660" s="95" t="s">
        <v>2136</v>
      </c>
      <c r="D660" s="106">
        <v>12</v>
      </c>
      <c r="E660" s="107">
        <v>1</v>
      </c>
      <c r="F660" s="107" t="s">
        <v>2959</v>
      </c>
      <c r="G660" s="107" t="s">
        <v>2961</v>
      </c>
      <c r="H660" s="107" t="s">
        <v>2972</v>
      </c>
      <c r="I660" s="107" t="s">
        <v>2997</v>
      </c>
      <c r="J660" s="107" t="s">
        <v>2997</v>
      </c>
      <c r="K660" s="107" t="s">
        <v>2997</v>
      </c>
      <c r="L660" s="107">
        <v>16.16</v>
      </c>
      <c r="M660" s="107"/>
    </row>
    <row r="661" spans="1:13" x14ac:dyDescent="0.3">
      <c r="A661" s="95">
        <f t="shared" si="10"/>
        <v>0</v>
      </c>
      <c r="B661" s="106" t="s">
        <v>684</v>
      </c>
      <c r="C661" s="95" t="s">
        <v>2137</v>
      </c>
      <c r="D661" s="106">
        <v>12</v>
      </c>
      <c r="E661" s="107">
        <v>1</v>
      </c>
      <c r="F661" s="107" t="s">
        <v>2959</v>
      </c>
      <c r="G661" s="107" t="s">
        <v>2966</v>
      </c>
      <c r="H661" s="107" t="s">
        <v>2984</v>
      </c>
      <c r="I661" s="107" t="s">
        <v>2997</v>
      </c>
      <c r="J661" s="107" t="s">
        <v>2997</v>
      </c>
      <c r="K661" s="107" t="s">
        <v>2996</v>
      </c>
      <c r="L661" s="107">
        <v>126.39</v>
      </c>
      <c r="M661" s="107"/>
    </row>
    <row r="662" spans="1:13" x14ac:dyDescent="0.3">
      <c r="A662" s="95">
        <f t="shared" si="10"/>
        <v>0</v>
      </c>
      <c r="B662" s="106" t="s">
        <v>685</v>
      </c>
      <c r="C662" s="95" t="s">
        <v>2138</v>
      </c>
      <c r="D662" s="106">
        <v>12</v>
      </c>
      <c r="E662" s="107">
        <v>1</v>
      </c>
      <c r="F662" s="107" t="s">
        <v>2959</v>
      </c>
      <c r="G662" s="107" t="s">
        <v>2961</v>
      </c>
      <c r="H662" s="107" t="s">
        <v>2971</v>
      </c>
      <c r="I662" s="107" t="s">
        <v>2997</v>
      </c>
      <c r="J662" s="107" t="s">
        <v>2997</v>
      </c>
      <c r="K662" s="107" t="s">
        <v>2996</v>
      </c>
      <c r="L662" s="107">
        <v>43.57</v>
      </c>
      <c r="M662" s="107"/>
    </row>
    <row r="663" spans="1:13" x14ac:dyDescent="0.3">
      <c r="A663" s="95">
        <f t="shared" si="10"/>
        <v>0</v>
      </c>
      <c r="B663" s="106" t="s">
        <v>686</v>
      </c>
      <c r="C663" s="95" t="s">
        <v>2139</v>
      </c>
      <c r="D663" s="106">
        <v>12</v>
      </c>
      <c r="E663" s="107">
        <v>1</v>
      </c>
      <c r="F663" s="107" t="s">
        <v>2958</v>
      </c>
      <c r="G663" s="107" t="s">
        <v>2961</v>
      </c>
      <c r="H663" s="107" t="s">
        <v>2971</v>
      </c>
      <c r="I663" s="107" t="s">
        <v>2997</v>
      </c>
      <c r="J663" s="107" t="s">
        <v>2997</v>
      </c>
      <c r="K663" s="107" t="s">
        <v>2996</v>
      </c>
      <c r="L663" s="107">
        <v>83.93</v>
      </c>
      <c r="M663" s="107"/>
    </row>
    <row r="664" spans="1:13" x14ac:dyDescent="0.3">
      <c r="A664" s="95">
        <f t="shared" si="10"/>
        <v>0</v>
      </c>
      <c r="B664" s="106" t="s">
        <v>687</v>
      </c>
      <c r="C664" s="95" t="s">
        <v>2140</v>
      </c>
      <c r="D664" s="106">
        <v>12</v>
      </c>
      <c r="E664" s="107">
        <v>1</v>
      </c>
      <c r="F664" s="107" t="s">
        <v>2958</v>
      </c>
      <c r="G664" s="107" t="s">
        <v>2961</v>
      </c>
      <c r="H664" s="107" t="s">
        <v>2971</v>
      </c>
      <c r="I664" s="107" t="s">
        <v>2997</v>
      </c>
      <c r="J664" s="107" t="s">
        <v>2997</v>
      </c>
      <c r="K664" s="107" t="s">
        <v>2997</v>
      </c>
      <c r="L664" s="107">
        <v>342.13</v>
      </c>
      <c r="M664" s="107">
        <v>1</v>
      </c>
    </row>
    <row r="665" spans="1:13" x14ac:dyDescent="0.3">
      <c r="A665" s="95">
        <f t="shared" si="10"/>
        <v>0</v>
      </c>
      <c r="B665" s="106" t="s">
        <v>688</v>
      </c>
      <c r="C665" s="95" t="s">
        <v>2141</v>
      </c>
      <c r="D665" s="106">
        <v>12</v>
      </c>
      <c r="E665" s="107">
        <v>1</v>
      </c>
      <c r="F665" s="107" t="s">
        <v>2959</v>
      </c>
      <c r="G665" s="107" t="s">
        <v>2965</v>
      </c>
      <c r="H665" s="107" t="s">
        <v>2965</v>
      </c>
      <c r="I665" s="107" t="s">
        <v>2997</v>
      </c>
      <c r="J665" s="107" t="s">
        <v>2997</v>
      </c>
      <c r="K665" s="107" t="s">
        <v>2996</v>
      </c>
      <c r="L665" s="107">
        <v>50.99</v>
      </c>
      <c r="M665" s="107"/>
    </row>
    <row r="666" spans="1:13" x14ac:dyDescent="0.3">
      <c r="A666" s="95">
        <f t="shared" si="10"/>
        <v>0</v>
      </c>
      <c r="B666" s="106" t="s">
        <v>689</v>
      </c>
      <c r="C666" s="95" t="s">
        <v>2142</v>
      </c>
      <c r="D666" s="106">
        <v>12</v>
      </c>
      <c r="E666" s="107">
        <v>1</v>
      </c>
      <c r="F666" s="107" t="s">
        <v>2958</v>
      </c>
      <c r="G666" s="107" t="s">
        <v>2966</v>
      </c>
      <c r="H666" s="107" t="s">
        <v>2978</v>
      </c>
      <c r="I666" s="107" t="s">
        <v>2997</v>
      </c>
      <c r="J666" s="107" t="s">
        <v>2997</v>
      </c>
      <c r="K666" s="107" t="s">
        <v>2996</v>
      </c>
      <c r="L666" s="107">
        <v>112.01</v>
      </c>
      <c r="M666" s="107"/>
    </row>
    <row r="667" spans="1:13" x14ac:dyDescent="0.3">
      <c r="A667" s="95">
        <f t="shared" si="10"/>
        <v>0</v>
      </c>
      <c r="B667" s="106" t="s">
        <v>690</v>
      </c>
      <c r="C667" s="95" t="s">
        <v>2143</v>
      </c>
      <c r="D667" s="106">
        <v>12</v>
      </c>
      <c r="E667" s="107">
        <v>1</v>
      </c>
      <c r="F667" s="107" t="s">
        <v>2958</v>
      </c>
      <c r="G667" s="107" t="s">
        <v>2961</v>
      </c>
      <c r="H667" s="107" t="s">
        <v>2972</v>
      </c>
      <c r="I667" s="107" t="s">
        <v>2996</v>
      </c>
      <c r="J667" s="107" t="s">
        <v>2996</v>
      </c>
      <c r="K667" s="107" t="s">
        <v>2996</v>
      </c>
      <c r="L667" s="107">
        <v>23.93</v>
      </c>
      <c r="M667" s="107"/>
    </row>
    <row r="668" spans="1:13" x14ac:dyDescent="0.3">
      <c r="A668" s="95">
        <f t="shared" si="10"/>
        <v>0</v>
      </c>
      <c r="B668" s="106" t="s">
        <v>691</v>
      </c>
      <c r="C668" s="95" t="s">
        <v>2144</v>
      </c>
      <c r="D668" s="106">
        <v>12</v>
      </c>
      <c r="E668" s="107">
        <v>1</v>
      </c>
      <c r="F668" s="107" t="s">
        <v>2958</v>
      </c>
      <c r="G668" s="107" t="s">
        <v>2964</v>
      </c>
      <c r="H668" s="107" t="s">
        <v>2976</v>
      </c>
      <c r="I668" s="107" t="s">
        <v>2997</v>
      </c>
      <c r="J668" s="107" t="s">
        <v>2997</v>
      </c>
      <c r="K668" s="107" t="s">
        <v>2996</v>
      </c>
      <c r="L668" s="107">
        <v>82.81</v>
      </c>
      <c r="M668" s="107"/>
    </row>
    <row r="669" spans="1:13" x14ac:dyDescent="0.3">
      <c r="A669" s="95">
        <f t="shared" si="10"/>
        <v>0</v>
      </c>
      <c r="B669" s="106" t="s">
        <v>692</v>
      </c>
      <c r="C669" s="95" t="s">
        <v>2145</v>
      </c>
      <c r="D669" s="106">
        <v>12</v>
      </c>
      <c r="E669" s="107">
        <v>1</v>
      </c>
      <c r="F669" s="107" t="s">
        <v>2959</v>
      </c>
      <c r="G669" s="107" t="s">
        <v>2969</v>
      </c>
      <c r="H669" s="107" t="s">
        <v>2994</v>
      </c>
      <c r="I669" s="107" t="s">
        <v>2997</v>
      </c>
      <c r="J669" s="107" t="s">
        <v>2997</v>
      </c>
      <c r="K669" s="107" t="s">
        <v>2996</v>
      </c>
      <c r="L669" s="107">
        <v>165.54</v>
      </c>
      <c r="M669" s="107"/>
    </row>
    <row r="670" spans="1:13" x14ac:dyDescent="0.3">
      <c r="A670" s="95">
        <f t="shared" si="10"/>
        <v>0</v>
      </c>
      <c r="B670" s="106" t="s">
        <v>693</v>
      </c>
      <c r="C670" s="95" t="s">
        <v>2146</v>
      </c>
      <c r="D670" s="106">
        <v>12</v>
      </c>
      <c r="E670" s="107">
        <v>1</v>
      </c>
      <c r="F670" s="107" t="s">
        <v>2958</v>
      </c>
      <c r="G670" s="107" t="s">
        <v>2965</v>
      </c>
      <c r="H670" s="107" t="s">
        <v>2965</v>
      </c>
      <c r="I670" s="107" t="s">
        <v>2996</v>
      </c>
      <c r="J670" s="107" t="s">
        <v>2996</v>
      </c>
      <c r="K670" s="107" t="s">
        <v>2996</v>
      </c>
      <c r="L670" s="107">
        <v>42.14</v>
      </c>
      <c r="M670" s="107"/>
    </row>
    <row r="671" spans="1:13" x14ac:dyDescent="0.3">
      <c r="A671" s="95">
        <f t="shared" si="10"/>
        <v>0</v>
      </c>
      <c r="B671" s="106" t="s">
        <v>694</v>
      </c>
      <c r="C671" s="95" t="s">
        <v>2147</v>
      </c>
      <c r="D671" s="106">
        <v>12</v>
      </c>
      <c r="E671" s="107">
        <v>1</v>
      </c>
      <c r="F671" s="107" t="s">
        <v>2958</v>
      </c>
      <c r="G671" s="107" t="s">
        <v>2965</v>
      </c>
      <c r="H671" s="107" t="s">
        <v>2965</v>
      </c>
      <c r="I671" s="107" t="s">
        <v>2996</v>
      </c>
      <c r="J671" s="107" t="s">
        <v>2996</v>
      </c>
      <c r="K671" s="107" t="s">
        <v>2996</v>
      </c>
      <c r="L671" s="107">
        <v>64.98</v>
      </c>
      <c r="M671" s="107"/>
    </row>
    <row r="672" spans="1:13" x14ac:dyDescent="0.3">
      <c r="A672" s="95">
        <f t="shared" si="10"/>
        <v>0</v>
      </c>
      <c r="B672" s="106" t="s">
        <v>695</v>
      </c>
      <c r="C672" s="95" t="s">
        <v>2148</v>
      </c>
      <c r="D672" s="106">
        <v>12</v>
      </c>
      <c r="E672" s="107">
        <v>1</v>
      </c>
      <c r="F672" s="107" t="s">
        <v>2958</v>
      </c>
      <c r="G672" s="107" t="s">
        <v>2965</v>
      </c>
      <c r="H672" s="107" t="s">
        <v>2965</v>
      </c>
      <c r="I672" s="107" t="s">
        <v>2996</v>
      </c>
      <c r="J672" s="107" t="s">
        <v>2996</v>
      </c>
      <c r="K672" s="107" t="s">
        <v>2996</v>
      </c>
      <c r="L672" s="107">
        <v>382.53</v>
      </c>
      <c r="M672" s="107">
        <v>1</v>
      </c>
    </row>
    <row r="673" spans="1:13" x14ac:dyDescent="0.3">
      <c r="A673" s="95">
        <f t="shared" si="10"/>
        <v>0</v>
      </c>
      <c r="B673" s="106" t="s">
        <v>696</v>
      </c>
      <c r="C673" s="95" t="s">
        <v>2149</v>
      </c>
      <c r="D673" s="106">
        <v>12</v>
      </c>
      <c r="E673" s="107">
        <v>1</v>
      </c>
      <c r="F673" s="107" t="s">
        <v>2959</v>
      </c>
      <c r="G673" s="107" t="s">
        <v>2963</v>
      </c>
      <c r="H673" s="107" t="s">
        <v>2974</v>
      </c>
      <c r="I673" s="107" t="s">
        <v>2996</v>
      </c>
      <c r="J673" s="107" t="s">
        <v>2996</v>
      </c>
      <c r="K673" s="107" t="s">
        <v>2996</v>
      </c>
      <c r="L673" s="107">
        <v>12.84</v>
      </c>
      <c r="M673" s="107"/>
    </row>
    <row r="674" spans="1:13" x14ac:dyDescent="0.3">
      <c r="A674" s="95">
        <f t="shared" si="10"/>
        <v>0</v>
      </c>
      <c r="B674" s="106" t="s">
        <v>697</v>
      </c>
      <c r="C674" s="95" t="s">
        <v>2150</v>
      </c>
      <c r="D674" s="106">
        <v>12</v>
      </c>
      <c r="E674" s="107">
        <v>1</v>
      </c>
      <c r="F674" s="107" t="s">
        <v>2959</v>
      </c>
      <c r="G674" s="107" t="s">
        <v>2963</v>
      </c>
      <c r="H674" s="107" t="s">
        <v>2974</v>
      </c>
      <c r="I674" s="107" t="s">
        <v>2997</v>
      </c>
      <c r="J674" s="107" t="s">
        <v>2997</v>
      </c>
      <c r="K674" s="107" t="s">
        <v>2997</v>
      </c>
      <c r="L674" s="107">
        <v>25.98</v>
      </c>
      <c r="M674" s="107"/>
    </row>
    <row r="675" spans="1:13" x14ac:dyDescent="0.3">
      <c r="A675" s="95">
        <f t="shared" si="10"/>
        <v>0</v>
      </c>
      <c r="B675" s="106" t="s">
        <v>698</v>
      </c>
      <c r="C675" s="95" t="s">
        <v>2151</v>
      </c>
      <c r="D675" s="106">
        <v>12</v>
      </c>
      <c r="E675" s="107">
        <v>1</v>
      </c>
      <c r="F675" s="107" t="s">
        <v>2958</v>
      </c>
      <c r="G675" s="107" t="s">
        <v>2964</v>
      </c>
      <c r="H675" s="107" t="s">
        <v>2976</v>
      </c>
      <c r="I675" s="107" t="s">
        <v>2996</v>
      </c>
      <c r="J675" s="107" t="s">
        <v>2996</v>
      </c>
      <c r="K675" s="107" t="s">
        <v>2996</v>
      </c>
      <c r="L675" s="107">
        <v>43.43</v>
      </c>
      <c r="M675" s="107"/>
    </row>
    <row r="676" spans="1:13" x14ac:dyDescent="0.3">
      <c r="A676" s="95">
        <f t="shared" si="10"/>
        <v>0</v>
      </c>
      <c r="B676" s="106" t="s">
        <v>699</v>
      </c>
      <c r="C676" s="95" t="s">
        <v>2152</v>
      </c>
      <c r="D676" s="106">
        <v>12</v>
      </c>
      <c r="E676" s="107">
        <v>1</v>
      </c>
      <c r="F676" s="107" t="s">
        <v>2959</v>
      </c>
      <c r="G676" s="107" t="s">
        <v>2964</v>
      </c>
      <c r="H676" s="107" t="s">
        <v>2976</v>
      </c>
      <c r="I676" s="107" t="s">
        <v>2997</v>
      </c>
      <c r="J676" s="107" t="s">
        <v>2997</v>
      </c>
      <c r="K676" s="107" t="s">
        <v>2996</v>
      </c>
      <c r="L676" s="107">
        <v>154.09</v>
      </c>
      <c r="M676" s="107"/>
    </row>
    <row r="677" spans="1:13" x14ac:dyDescent="0.3">
      <c r="A677" s="95">
        <f t="shared" si="10"/>
        <v>0</v>
      </c>
      <c r="B677" s="106" t="s">
        <v>700</v>
      </c>
      <c r="C677" s="95" t="s">
        <v>2153</v>
      </c>
      <c r="D677" s="106">
        <v>12</v>
      </c>
      <c r="E677" s="107">
        <v>1</v>
      </c>
      <c r="F677" s="107" t="s">
        <v>2959</v>
      </c>
      <c r="G677" s="107"/>
      <c r="H677" s="107"/>
      <c r="I677" s="107" t="s">
        <v>2997</v>
      </c>
      <c r="J677" s="107" t="s">
        <v>2997</v>
      </c>
      <c r="K677" s="107" t="s">
        <v>2997</v>
      </c>
      <c r="L677" s="107">
        <v>4.33</v>
      </c>
      <c r="M677" s="107"/>
    </row>
    <row r="678" spans="1:13" x14ac:dyDescent="0.3">
      <c r="A678" s="95">
        <f t="shared" si="10"/>
        <v>0</v>
      </c>
      <c r="B678" s="106" t="s">
        <v>701</v>
      </c>
      <c r="C678" s="95" t="s">
        <v>2154</v>
      </c>
      <c r="D678" s="106">
        <v>12</v>
      </c>
      <c r="E678" s="107">
        <v>1</v>
      </c>
      <c r="F678" s="107" t="s">
        <v>2959</v>
      </c>
      <c r="G678" s="107" t="s">
        <v>2964</v>
      </c>
      <c r="H678" s="107" t="s">
        <v>2976</v>
      </c>
      <c r="I678" s="107" t="s">
        <v>2996</v>
      </c>
      <c r="J678" s="107" t="s">
        <v>2996</v>
      </c>
      <c r="K678" s="107" t="s">
        <v>2996</v>
      </c>
      <c r="L678" s="107">
        <v>30.41</v>
      </c>
      <c r="M678" s="107"/>
    </row>
    <row r="679" spans="1:13" x14ac:dyDescent="0.3">
      <c r="A679" s="95">
        <f t="shared" si="10"/>
        <v>0</v>
      </c>
      <c r="B679" s="106" t="s">
        <v>702</v>
      </c>
      <c r="C679" s="95" t="s">
        <v>2155</v>
      </c>
      <c r="D679" s="106">
        <v>12</v>
      </c>
      <c r="E679" s="107">
        <v>1</v>
      </c>
      <c r="F679" s="107" t="s">
        <v>2959</v>
      </c>
      <c r="G679" s="107" t="s">
        <v>2961</v>
      </c>
      <c r="H679" s="107" t="s">
        <v>2990</v>
      </c>
      <c r="I679" s="107" t="s">
        <v>2997</v>
      </c>
      <c r="J679" s="107" t="s">
        <v>2997</v>
      </c>
      <c r="K679" s="107" t="s">
        <v>2996</v>
      </c>
      <c r="L679" s="107">
        <v>69.459999999999994</v>
      </c>
      <c r="M679" s="107"/>
    </row>
    <row r="680" spans="1:13" x14ac:dyDescent="0.3">
      <c r="A680" s="95">
        <f t="shared" si="10"/>
        <v>0</v>
      </c>
      <c r="B680" s="106" t="s">
        <v>703</v>
      </c>
      <c r="C680" s="95" t="s">
        <v>2156</v>
      </c>
      <c r="D680" s="106">
        <v>12</v>
      </c>
      <c r="E680" s="107">
        <v>1</v>
      </c>
      <c r="F680" s="107" t="s">
        <v>2959</v>
      </c>
      <c r="G680" s="107" t="s">
        <v>2961</v>
      </c>
      <c r="H680" s="107" t="s">
        <v>2972</v>
      </c>
      <c r="I680" s="107" t="s">
        <v>2997</v>
      </c>
      <c r="J680" s="107" t="s">
        <v>2997</v>
      </c>
      <c r="K680" s="107" t="s">
        <v>2997</v>
      </c>
      <c r="L680" s="107">
        <v>136.18</v>
      </c>
      <c r="M680" s="107"/>
    </row>
    <row r="681" spans="1:13" x14ac:dyDescent="0.3">
      <c r="A681" s="95">
        <f t="shared" si="10"/>
        <v>0</v>
      </c>
      <c r="B681" s="106" t="s">
        <v>704</v>
      </c>
      <c r="C681" s="95" t="s">
        <v>2157</v>
      </c>
      <c r="D681" s="106">
        <v>12</v>
      </c>
      <c r="E681" s="107">
        <v>1</v>
      </c>
      <c r="F681" s="107" t="s">
        <v>2959</v>
      </c>
      <c r="G681" s="107" t="s">
        <v>2964</v>
      </c>
      <c r="H681" s="107" t="s">
        <v>2976</v>
      </c>
      <c r="I681" s="107" t="s">
        <v>2996</v>
      </c>
      <c r="J681" s="107" t="s">
        <v>2996</v>
      </c>
      <c r="K681" s="107" t="s">
        <v>2996</v>
      </c>
      <c r="L681" s="107">
        <v>41.08</v>
      </c>
      <c r="M681" s="107"/>
    </row>
    <row r="682" spans="1:13" x14ac:dyDescent="0.3">
      <c r="A682" s="95">
        <f t="shared" si="10"/>
        <v>0</v>
      </c>
      <c r="B682" s="106" t="s">
        <v>705</v>
      </c>
      <c r="C682" s="95" t="s">
        <v>2158</v>
      </c>
      <c r="D682" s="106">
        <v>12</v>
      </c>
      <c r="E682" s="107">
        <v>1</v>
      </c>
      <c r="F682" s="107" t="s">
        <v>2959</v>
      </c>
      <c r="G682" s="107" t="s">
        <v>2966</v>
      </c>
      <c r="H682" s="107" t="s">
        <v>2985</v>
      </c>
      <c r="I682" s="107" t="s">
        <v>2997</v>
      </c>
      <c r="J682" s="107" t="s">
        <v>2997</v>
      </c>
      <c r="K682" s="107" t="s">
        <v>2996</v>
      </c>
      <c r="L682" s="107">
        <v>88.59</v>
      </c>
      <c r="M682" s="107"/>
    </row>
    <row r="683" spans="1:13" x14ac:dyDescent="0.3">
      <c r="A683" s="95">
        <f t="shared" si="10"/>
        <v>0</v>
      </c>
      <c r="B683" s="106" t="s">
        <v>706</v>
      </c>
      <c r="C683" s="95" t="s">
        <v>2159</v>
      </c>
      <c r="D683" s="106">
        <v>12</v>
      </c>
      <c r="E683" s="107">
        <v>1</v>
      </c>
      <c r="F683" s="107" t="s">
        <v>2959</v>
      </c>
      <c r="G683" s="107" t="s">
        <v>2966</v>
      </c>
      <c r="H683" s="107" t="s">
        <v>2985</v>
      </c>
      <c r="I683" s="107" t="s">
        <v>2997</v>
      </c>
      <c r="J683" s="107" t="s">
        <v>2997</v>
      </c>
      <c r="K683" s="107" t="s">
        <v>2996</v>
      </c>
      <c r="L683" s="107">
        <v>5.2</v>
      </c>
      <c r="M683" s="107"/>
    </row>
    <row r="684" spans="1:13" x14ac:dyDescent="0.3">
      <c r="A684" s="95">
        <f t="shared" si="10"/>
        <v>0</v>
      </c>
      <c r="B684" s="106" t="s">
        <v>707</v>
      </c>
      <c r="C684" s="95" t="s">
        <v>2160</v>
      </c>
      <c r="D684" s="106">
        <v>12</v>
      </c>
      <c r="E684" s="107">
        <v>1</v>
      </c>
      <c r="F684" s="107" t="s">
        <v>2958</v>
      </c>
      <c r="G684" s="107" t="s">
        <v>2966</v>
      </c>
      <c r="H684" s="107" t="s">
        <v>2977</v>
      </c>
      <c r="I684" s="107" t="s">
        <v>2997</v>
      </c>
      <c r="J684" s="107" t="s">
        <v>2997</v>
      </c>
      <c r="K684" s="107" t="s">
        <v>2996</v>
      </c>
      <c r="L684" s="107">
        <v>152.96</v>
      </c>
      <c r="M684" s="107"/>
    </row>
    <row r="685" spans="1:13" x14ac:dyDescent="0.3">
      <c r="A685" s="95">
        <f t="shared" si="10"/>
        <v>0</v>
      </c>
      <c r="B685" s="106" t="s">
        <v>708</v>
      </c>
      <c r="C685" s="95" t="s">
        <v>2161</v>
      </c>
      <c r="D685" s="106">
        <v>12</v>
      </c>
      <c r="E685" s="107">
        <v>1</v>
      </c>
      <c r="F685" s="107" t="s">
        <v>2959</v>
      </c>
      <c r="G685" s="107" t="s">
        <v>2965</v>
      </c>
      <c r="H685" s="107" t="s">
        <v>2965</v>
      </c>
      <c r="I685" s="107" t="s">
        <v>2996</v>
      </c>
      <c r="J685" s="107" t="s">
        <v>2996</v>
      </c>
      <c r="K685" s="107" t="s">
        <v>2996</v>
      </c>
      <c r="L685" s="107">
        <v>16.46</v>
      </c>
      <c r="M685" s="107"/>
    </row>
    <row r="686" spans="1:13" x14ac:dyDescent="0.3">
      <c r="A686" s="95">
        <f t="shared" si="10"/>
        <v>0</v>
      </c>
      <c r="B686" s="106" t="s">
        <v>709</v>
      </c>
      <c r="C686" s="95" t="s">
        <v>2162</v>
      </c>
      <c r="D686" s="106">
        <v>12</v>
      </c>
      <c r="E686" s="107">
        <v>1</v>
      </c>
      <c r="F686" s="107" t="s">
        <v>2958</v>
      </c>
      <c r="G686" s="107" t="s">
        <v>2965</v>
      </c>
      <c r="H686" s="107" t="s">
        <v>2965</v>
      </c>
      <c r="I686" s="107" t="s">
        <v>2996</v>
      </c>
      <c r="J686" s="107" t="s">
        <v>2996</v>
      </c>
      <c r="K686" s="107" t="s">
        <v>2996</v>
      </c>
      <c r="L686" s="107">
        <v>41.3</v>
      </c>
      <c r="M686" s="107"/>
    </row>
    <row r="687" spans="1:13" x14ac:dyDescent="0.3">
      <c r="A687" s="95">
        <f t="shared" si="10"/>
        <v>0</v>
      </c>
      <c r="B687" s="106" t="s">
        <v>710</v>
      </c>
      <c r="C687" s="95" t="s">
        <v>2163</v>
      </c>
      <c r="D687" s="106">
        <v>12</v>
      </c>
      <c r="E687" s="107">
        <v>1</v>
      </c>
      <c r="F687" s="107" t="s">
        <v>2959</v>
      </c>
      <c r="G687" s="107" t="s">
        <v>2963</v>
      </c>
      <c r="H687" s="107" t="s">
        <v>2974</v>
      </c>
      <c r="I687" s="107" t="s">
        <v>2997</v>
      </c>
      <c r="J687" s="107" t="s">
        <v>2997</v>
      </c>
      <c r="K687" s="107" t="s">
        <v>2996</v>
      </c>
      <c r="L687" s="107">
        <v>1633.26</v>
      </c>
      <c r="M687" s="107"/>
    </row>
    <row r="688" spans="1:13" x14ac:dyDescent="0.3">
      <c r="A688" s="95">
        <f t="shared" si="10"/>
        <v>0</v>
      </c>
      <c r="B688" s="106" t="s">
        <v>711</v>
      </c>
      <c r="C688" s="95" t="s">
        <v>2164</v>
      </c>
      <c r="D688" s="106">
        <v>12</v>
      </c>
      <c r="E688" s="107">
        <v>1</v>
      </c>
      <c r="F688" s="107" t="s">
        <v>2959</v>
      </c>
      <c r="G688" s="107" t="s">
        <v>2966</v>
      </c>
      <c r="H688" s="107" t="s">
        <v>2977</v>
      </c>
      <c r="I688" s="107" t="s">
        <v>2997</v>
      </c>
      <c r="J688" s="107" t="s">
        <v>2997</v>
      </c>
      <c r="K688" s="107" t="s">
        <v>2997</v>
      </c>
      <c r="L688" s="107">
        <v>47.22</v>
      </c>
      <c r="M688" s="107"/>
    </row>
    <row r="689" spans="1:13" x14ac:dyDescent="0.3">
      <c r="A689" s="95">
        <f t="shared" si="10"/>
        <v>0</v>
      </c>
      <c r="B689" s="106" t="s">
        <v>712</v>
      </c>
      <c r="C689" s="95" t="s">
        <v>2165</v>
      </c>
      <c r="D689" s="106">
        <v>12</v>
      </c>
      <c r="E689" s="107">
        <v>1</v>
      </c>
      <c r="F689" s="107" t="s">
        <v>2959</v>
      </c>
      <c r="G689" s="107" t="s">
        <v>2961</v>
      </c>
      <c r="H689" s="107" t="s">
        <v>2972</v>
      </c>
      <c r="I689" s="107" t="s">
        <v>2997</v>
      </c>
      <c r="J689" s="107" t="s">
        <v>2997</v>
      </c>
      <c r="K689" s="107" t="s">
        <v>2996</v>
      </c>
      <c r="L689" s="107">
        <v>68.2</v>
      </c>
      <c r="M689" s="107"/>
    </row>
    <row r="690" spans="1:13" x14ac:dyDescent="0.3">
      <c r="A690" s="95">
        <f t="shared" si="10"/>
        <v>0</v>
      </c>
      <c r="B690" s="106" t="s">
        <v>713</v>
      </c>
      <c r="C690" s="95" t="s">
        <v>2166</v>
      </c>
      <c r="D690" s="106">
        <v>12</v>
      </c>
      <c r="E690" s="107">
        <v>1</v>
      </c>
      <c r="F690" s="107" t="s">
        <v>2958</v>
      </c>
      <c r="G690" s="107" t="s">
        <v>2961</v>
      </c>
      <c r="H690" s="107" t="s">
        <v>2982</v>
      </c>
      <c r="I690" s="107" t="s">
        <v>2996</v>
      </c>
      <c r="J690" s="107" t="s">
        <v>2996</v>
      </c>
      <c r="K690" s="107" t="s">
        <v>2996</v>
      </c>
      <c r="L690" s="107">
        <v>213.9</v>
      </c>
      <c r="M690" s="107">
        <v>2</v>
      </c>
    </row>
    <row r="691" spans="1:13" x14ac:dyDescent="0.3">
      <c r="A691" s="95">
        <f t="shared" si="10"/>
        <v>0</v>
      </c>
      <c r="B691" s="106" t="s">
        <v>714</v>
      </c>
      <c r="C691" s="95" t="s">
        <v>2167</v>
      </c>
      <c r="D691" s="106">
        <v>12</v>
      </c>
      <c r="E691" s="107">
        <v>1</v>
      </c>
      <c r="F691" s="107" t="s">
        <v>2959</v>
      </c>
      <c r="G691" s="107" t="s">
        <v>2966</v>
      </c>
      <c r="H691" s="107" t="s">
        <v>2980</v>
      </c>
      <c r="I691" s="107" t="s">
        <v>2996</v>
      </c>
      <c r="J691" s="107" t="s">
        <v>2996</v>
      </c>
      <c r="K691" s="107" t="s">
        <v>2996</v>
      </c>
      <c r="L691" s="107">
        <v>216.51</v>
      </c>
      <c r="M691" s="107">
        <v>3</v>
      </c>
    </row>
    <row r="692" spans="1:13" x14ac:dyDescent="0.3">
      <c r="A692" s="95">
        <f t="shared" si="10"/>
        <v>0</v>
      </c>
      <c r="B692" s="106" t="s">
        <v>715</v>
      </c>
      <c r="C692" s="95" t="s">
        <v>2168</v>
      </c>
      <c r="D692" s="106">
        <v>12</v>
      </c>
      <c r="E692" s="107">
        <v>1</v>
      </c>
      <c r="F692" s="107" t="s">
        <v>2959</v>
      </c>
      <c r="G692" s="107" t="s">
        <v>2963</v>
      </c>
      <c r="H692" s="107" t="s">
        <v>2974</v>
      </c>
      <c r="I692" s="107" t="s">
        <v>2997</v>
      </c>
      <c r="J692" s="107" t="s">
        <v>2997</v>
      </c>
      <c r="K692" s="107" t="s">
        <v>2996</v>
      </c>
      <c r="L692" s="107">
        <v>95.85</v>
      </c>
      <c r="M692" s="107"/>
    </row>
    <row r="693" spans="1:13" x14ac:dyDescent="0.3">
      <c r="A693" s="95">
        <f t="shared" si="10"/>
        <v>0</v>
      </c>
      <c r="B693" s="106" t="s">
        <v>716</v>
      </c>
      <c r="C693" s="95" t="s">
        <v>2169</v>
      </c>
      <c r="D693" s="106">
        <v>12</v>
      </c>
      <c r="E693" s="107">
        <v>1</v>
      </c>
      <c r="F693" s="107" t="s">
        <v>2958</v>
      </c>
      <c r="G693" s="107" t="s">
        <v>2963</v>
      </c>
      <c r="H693" s="107" t="s">
        <v>2974</v>
      </c>
      <c r="I693" s="107" t="s">
        <v>2997</v>
      </c>
      <c r="J693" s="107" t="s">
        <v>2997</v>
      </c>
      <c r="K693" s="107" t="s">
        <v>2996</v>
      </c>
      <c r="L693" s="107">
        <v>46.51</v>
      </c>
      <c r="M693" s="107"/>
    </row>
    <row r="694" spans="1:13" x14ac:dyDescent="0.3">
      <c r="A694" s="95">
        <f t="shared" si="10"/>
        <v>0</v>
      </c>
      <c r="B694" s="106" t="s">
        <v>717</v>
      </c>
      <c r="C694" s="95" t="s">
        <v>2170</v>
      </c>
      <c r="D694" s="106">
        <v>12</v>
      </c>
      <c r="E694" s="107">
        <v>1</v>
      </c>
      <c r="F694" s="107" t="s">
        <v>2959</v>
      </c>
      <c r="G694" s="107" t="s">
        <v>2962</v>
      </c>
      <c r="H694" s="107" t="s">
        <v>2989</v>
      </c>
      <c r="I694" s="107" t="s">
        <v>2996</v>
      </c>
      <c r="J694" s="107" t="s">
        <v>2996</v>
      </c>
      <c r="K694" s="107" t="s">
        <v>2996</v>
      </c>
      <c r="L694" s="107">
        <v>68</v>
      </c>
      <c r="M694" s="107"/>
    </row>
    <row r="695" spans="1:13" x14ac:dyDescent="0.3">
      <c r="A695" s="95">
        <f t="shared" si="10"/>
        <v>0</v>
      </c>
      <c r="B695" s="106" t="s">
        <v>718</v>
      </c>
      <c r="C695" s="95" t="s">
        <v>2171</v>
      </c>
      <c r="D695" s="106">
        <v>12</v>
      </c>
      <c r="E695" s="107">
        <v>1</v>
      </c>
      <c r="F695" s="107" t="s">
        <v>2958</v>
      </c>
      <c r="G695" s="107" t="s">
        <v>2965</v>
      </c>
      <c r="H695" s="107" t="s">
        <v>2965</v>
      </c>
      <c r="I695" s="107" t="s">
        <v>2996</v>
      </c>
      <c r="J695" s="107" t="s">
        <v>2996</v>
      </c>
      <c r="K695" s="107" t="s">
        <v>2996</v>
      </c>
      <c r="L695" s="107">
        <v>38.81</v>
      </c>
      <c r="M695" s="107"/>
    </row>
    <row r="696" spans="1:13" x14ac:dyDescent="0.3">
      <c r="A696" s="95">
        <f t="shared" si="10"/>
        <v>0</v>
      </c>
      <c r="B696" s="106" t="s">
        <v>719</v>
      </c>
      <c r="C696" s="95" t="s">
        <v>2172</v>
      </c>
      <c r="D696" s="106">
        <v>12</v>
      </c>
      <c r="E696" s="107">
        <v>1</v>
      </c>
      <c r="F696" s="107" t="s">
        <v>2959</v>
      </c>
      <c r="G696" s="107" t="s">
        <v>2966</v>
      </c>
      <c r="H696" s="107" t="s">
        <v>2984</v>
      </c>
      <c r="I696" s="107" t="s">
        <v>2997</v>
      </c>
      <c r="J696" s="107" t="s">
        <v>2997</v>
      </c>
      <c r="K696" s="107" t="s">
        <v>2997</v>
      </c>
      <c r="L696" s="107">
        <v>22.09</v>
      </c>
      <c r="M696" s="107"/>
    </row>
    <row r="697" spans="1:13" x14ac:dyDescent="0.3">
      <c r="A697" s="95">
        <f t="shared" si="10"/>
        <v>1</v>
      </c>
      <c r="B697" s="106" t="s">
        <v>720</v>
      </c>
      <c r="C697" s="95" t="s">
        <v>2173</v>
      </c>
      <c r="D697" s="106">
        <v>12</v>
      </c>
      <c r="E697" s="107">
        <v>1</v>
      </c>
      <c r="F697" s="107" t="s">
        <v>2958</v>
      </c>
      <c r="G697" s="107" t="s">
        <v>2964</v>
      </c>
      <c r="H697" s="107" t="s">
        <v>2976</v>
      </c>
      <c r="I697" s="107" t="s">
        <v>2997</v>
      </c>
      <c r="J697" s="107" t="s">
        <v>2997</v>
      </c>
      <c r="K697" s="107" t="s">
        <v>2997</v>
      </c>
      <c r="L697" s="107">
        <v>2964</v>
      </c>
      <c r="M697" s="107">
        <v>23</v>
      </c>
    </row>
    <row r="698" spans="1:13" x14ac:dyDescent="0.3">
      <c r="A698" s="95">
        <f t="shared" si="10"/>
        <v>0</v>
      </c>
      <c r="B698" s="106" t="s">
        <v>721</v>
      </c>
      <c r="C698" s="95" t="s">
        <v>2174</v>
      </c>
      <c r="D698" s="106">
        <v>12</v>
      </c>
      <c r="E698" s="107">
        <v>1</v>
      </c>
      <c r="F698" s="107" t="s">
        <v>2959</v>
      </c>
      <c r="G698" s="107" t="s">
        <v>2966</v>
      </c>
      <c r="H698" s="107" t="s">
        <v>2977</v>
      </c>
      <c r="I698" s="107" t="s">
        <v>2997</v>
      </c>
      <c r="J698" s="107" t="s">
        <v>2997</v>
      </c>
      <c r="K698" s="107" t="s">
        <v>2997</v>
      </c>
      <c r="L698" s="107">
        <v>122</v>
      </c>
      <c r="M698" s="107"/>
    </row>
    <row r="699" spans="1:13" x14ac:dyDescent="0.3">
      <c r="A699" s="95">
        <f t="shared" si="10"/>
        <v>0</v>
      </c>
      <c r="B699" s="106" t="s">
        <v>722</v>
      </c>
      <c r="C699" s="95" t="s">
        <v>2175</v>
      </c>
      <c r="D699" s="106">
        <v>12</v>
      </c>
      <c r="E699" s="107">
        <v>1</v>
      </c>
      <c r="F699" s="107" t="s">
        <v>2958</v>
      </c>
      <c r="G699" s="107" t="s">
        <v>2964</v>
      </c>
      <c r="H699" s="107" t="s">
        <v>2976</v>
      </c>
      <c r="I699" s="107" t="s">
        <v>2997</v>
      </c>
      <c r="J699" s="107" t="s">
        <v>2997</v>
      </c>
      <c r="K699" s="107" t="s">
        <v>2997</v>
      </c>
      <c r="L699" s="107">
        <v>112.7</v>
      </c>
      <c r="M699" s="107">
        <v>1</v>
      </c>
    </row>
    <row r="700" spans="1:13" x14ac:dyDescent="0.3">
      <c r="A700" s="95">
        <f t="shared" si="10"/>
        <v>1</v>
      </c>
      <c r="B700" s="106" t="s">
        <v>723</v>
      </c>
      <c r="C700" s="95" t="s">
        <v>2176</v>
      </c>
      <c r="D700" s="106">
        <v>12</v>
      </c>
      <c r="E700" s="107">
        <v>1</v>
      </c>
      <c r="F700" s="107" t="s">
        <v>2959</v>
      </c>
      <c r="G700" s="107" t="s">
        <v>2961</v>
      </c>
      <c r="H700" s="107" t="s">
        <v>2982</v>
      </c>
      <c r="I700" s="107" t="s">
        <v>2997</v>
      </c>
      <c r="J700" s="107" t="s">
        <v>2997</v>
      </c>
      <c r="K700" s="107" t="s">
        <v>2997</v>
      </c>
      <c r="L700" s="107">
        <v>1552.03</v>
      </c>
      <c r="M700" s="107">
        <v>8</v>
      </c>
    </row>
    <row r="701" spans="1:13" x14ac:dyDescent="0.3">
      <c r="A701" s="95">
        <f t="shared" si="10"/>
        <v>0</v>
      </c>
      <c r="B701" s="106" t="s">
        <v>724</v>
      </c>
      <c r="C701" s="95" t="s">
        <v>2177</v>
      </c>
      <c r="D701" s="106">
        <v>12</v>
      </c>
      <c r="E701" s="107">
        <v>1</v>
      </c>
      <c r="F701" s="107" t="s">
        <v>2959</v>
      </c>
      <c r="G701" s="107" t="s">
        <v>2966</v>
      </c>
      <c r="H701" s="107" t="s">
        <v>2984</v>
      </c>
      <c r="I701" s="107" t="s">
        <v>2997</v>
      </c>
      <c r="J701" s="107" t="s">
        <v>2997</v>
      </c>
      <c r="K701" s="107" t="s">
        <v>2996</v>
      </c>
      <c r="L701" s="107">
        <v>60.17</v>
      </c>
      <c r="M701" s="107"/>
    </row>
    <row r="702" spans="1:13" x14ac:dyDescent="0.3">
      <c r="A702" s="95">
        <f t="shared" si="10"/>
        <v>0</v>
      </c>
      <c r="B702" s="106" t="s">
        <v>725</v>
      </c>
      <c r="C702" s="95" t="s">
        <v>2178</v>
      </c>
      <c r="D702" s="106">
        <v>12</v>
      </c>
      <c r="E702" s="107">
        <v>1</v>
      </c>
      <c r="F702" s="107" t="s">
        <v>2958</v>
      </c>
      <c r="G702" s="107" t="s">
        <v>2964</v>
      </c>
      <c r="H702" s="107" t="s">
        <v>2975</v>
      </c>
      <c r="I702" s="107" t="s">
        <v>2997</v>
      </c>
      <c r="J702" s="107" t="s">
        <v>2997</v>
      </c>
      <c r="K702" s="107" t="s">
        <v>2997</v>
      </c>
      <c r="L702" s="107">
        <v>288.2</v>
      </c>
      <c r="M702" s="107">
        <v>6</v>
      </c>
    </row>
    <row r="703" spans="1:13" x14ac:dyDescent="0.3">
      <c r="A703" s="95">
        <f t="shared" si="10"/>
        <v>0</v>
      </c>
      <c r="B703" s="106" t="s">
        <v>726</v>
      </c>
      <c r="C703" s="95" t="s">
        <v>2179</v>
      </c>
      <c r="D703" s="106">
        <v>12</v>
      </c>
      <c r="E703" s="107">
        <v>1</v>
      </c>
      <c r="F703" s="107" t="s">
        <v>2958</v>
      </c>
      <c r="G703" s="107" t="s">
        <v>2966</v>
      </c>
      <c r="H703" s="107" t="s">
        <v>2978</v>
      </c>
      <c r="I703" s="107" t="s">
        <v>2997</v>
      </c>
      <c r="J703" s="107" t="s">
        <v>2997</v>
      </c>
      <c r="K703" s="107" t="s">
        <v>2997</v>
      </c>
      <c r="L703" s="107">
        <v>177.99</v>
      </c>
      <c r="M703" s="107">
        <v>2</v>
      </c>
    </row>
    <row r="704" spans="1:13" x14ac:dyDescent="0.3">
      <c r="A704" s="95">
        <f t="shared" si="10"/>
        <v>0</v>
      </c>
      <c r="B704" s="106" t="s">
        <v>727</v>
      </c>
      <c r="C704" s="95" t="s">
        <v>2180</v>
      </c>
      <c r="D704" s="106">
        <v>12</v>
      </c>
      <c r="E704" s="107">
        <v>1</v>
      </c>
      <c r="F704" s="107" t="s">
        <v>2959</v>
      </c>
      <c r="G704" s="107" t="s">
        <v>2966</v>
      </c>
      <c r="H704" s="107" t="s">
        <v>2984</v>
      </c>
      <c r="I704" s="107" t="s">
        <v>2997</v>
      </c>
      <c r="J704" s="107" t="s">
        <v>2997</v>
      </c>
      <c r="K704" s="107" t="s">
        <v>2996</v>
      </c>
      <c r="L704" s="107">
        <v>18.559999999999999</v>
      </c>
      <c r="M704" s="107"/>
    </row>
    <row r="705" spans="1:13" x14ac:dyDescent="0.3">
      <c r="A705" s="95">
        <f t="shared" si="10"/>
        <v>0</v>
      </c>
      <c r="B705" s="106" t="s">
        <v>728</v>
      </c>
      <c r="C705" s="95" t="s">
        <v>2181</v>
      </c>
      <c r="D705" s="106">
        <v>12</v>
      </c>
      <c r="E705" s="107">
        <v>1</v>
      </c>
      <c r="F705" s="107" t="s">
        <v>2958</v>
      </c>
      <c r="G705" s="107" t="s">
        <v>2966</v>
      </c>
      <c r="H705" s="107" t="s">
        <v>2984</v>
      </c>
      <c r="I705" s="107" t="s">
        <v>2997</v>
      </c>
      <c r="J705" s="107" t="s">
        <v>2997</v>
      </c>
      <c r="K705" s="107" t="s">
        <v>2996</v>
      </c>
      <c r="L705" s="107">
        <v>677.38</v>
      </c>
      <c r="M705" s="107"/>
    </row>
    <row r="706" spans="1:13" x14ac:dyDescent="0.3">
      <c r="A706" s="95">
        <f t="shared" si="10"/>
        <v>0</v>
      </c>
      <c r="B706" s="106" t="s">
        <v>729</v>
      </c>
      <c r="C706" s="95" t="s">
        <v>2182</v>
      </c>
      <c r="D706" s="106">
        <v>12</v>
      </c>
      <c r="E706" s="107">
        <v>1</v>
      </c>
      <c r="F706" s="107" t="s">
        <v>2958</v>
      </c>
      <c r="G706" s="107" t="s">
        <v>2962</v>
      </c>
      <c r="H706" s="107" t="s">
        <v>2989</v>
      </c>
      <c r="I706" s="107" t="s">
        <v>2997</v>
      </c>
      <c r="J706" s="107" t="s">
        <v>2997</v>
      </c>
      <c r="K706" s="107" t="s">
        <v>2997</v>
      </c>
      <c r="L706" s="107">
        <v>4506.91</v>
      </c>
      <c r="M706" s="107">
        <v>6</v>
      </c>
    </row>
    <row r="707" spans="1:13" x14ac:dyDescent="0.3">
      <c r="A707" s="95">
        <f t="shared" si="10"/>
        <v>0</v>
      </c>
      <c r="B707" s="106" t="s">
        <v>730</v>
      </c>
      <c r="C707" s="95" t="s">
        <v>2183</v>
      </c>
      <c r="D707" s="106">
        <v>12</v>
      </c>
      <c r="E707" s="107">
        <v>1</v>
      </c>
      <c r="F707" s="107" t="s">
        <v>2959</v>
      </c>
      <c r="G707" s="107" t="s">
        <v>2964</v>
      </c>
      <c r="H707" s="107" t="s">
        <v>2987</v>
      </c>
      <c r="I707" s="107" t="s">
        <v>2997</v>
      </c>
      <c r="J707" s="107" t="s">
        <v>2997</v>
      </c>
      <c r="K707" s="107" t="s">
        <v>2996</v>
      </c>
      <c r="L707" s="107">
        <v>108.75</v>
      </c>
      <c r="M707" s="107"/>
    </row>
    <row r="708" spans="1:13" x14ac:dyDescent="0.3">
      <c r="A708" s="95">
        <f t="shared" si="10"/>
        <v>1</v>
      </c>
      <c r="B708" s="106" t="s">
        <v>731</v>
      </c>
      <c r="C708" s="95" t="s">
        <v>2184</v>
      </c>
      <c r="D708" s="106">
        <v>12</v>
      </c>
      <c r="E708" s="107">
        <v>1</v>
      </c>
      <c r="F708" s="107" t="s">
        <v>2958</v>
      </c>
      <c r="G708" s="107" t="s">
        <v>2961</v>
      </c>
      <c r="H708" s="107" t="s">
        <v>2981</v>
      </c>
      <c r="I708" s="107" t="s">
        <v>2997</v>
      </c>
      <c r="J708" s="107" t="s">
        <v>2997</v>
      </c>
      <c r="K708" s="107" t="s">
        <v>2997</v>
      </c>
      <c r="L708" s="107">
        <v>2830.01</v>
      </c>
      <c r="M708" s="107">
        <v>12</v>
      </c>
    </row>
    <row r="709" spans="1:13" x14ac:dyDescent="0.3">
      <c r="A709" s="95">
        <f t="shared" si="10"/>
        <v>0</v>
      </c>
      <c r="B709" s="106" t="s">
        <v>732</v>
      </c>
      <c r="C709" s="95" t="s">
        <v>2185</v>
      </c>
      <c r="D709" s="106">
        <v>12</v>
      </c>
      <c r="E709" s="107">
        <v>1</v>
      </c>
      <c r="F709" s="107" t="s">
        <v>2959</v>
      </c>
      <c r="G709" s="107" t="s">
        <v>2962</v>
      </c>
      <c r="H709" s="107" t="s">
        <v>2995</v>
      </c>
      <c r="I709" s="107" t="s">
        <v>2997</v>
      </c>
      <c r="J709" s="107" t="s">
        <v>2997</v>
      </c>
      <c r="K709" s="107" t="s">
        <v>2996</v>
      </c>
      <c r="L709" s="107">
        <v>173.04</v>
      </c>
      <c r="M709" s="107"/>
    </row>
    <row r="710" spans="1:13" x14ac:dyDescent="0.3">
      <c r="A710" s="95">
        <f t="shared" si="10"/>
        <v>1</v>
      </c>
      <c r="B710" s="106" t="s">
        <v>733</v>
      </c>
      <c r="C710" s="95" t="s">
        <v>2186</v>
      </c>
      <c r="D710" s="106">
        <v>12</v>
      </c>
      <c r="E710" s="107">
        <v>1</v>
      </c>
      <c r="F710" s="107" t="s">
        <v>2958</v>
      </c>
      <c r="G710" s="107" t="s">
        <v>2969</v>
      </c>
      <c r="H710" s="107" t="s">
        <v>2994</v>
      </c>
      <c r="I710" s="107" t="s">
        <v>2997</v>
      </c>
      <c r="J710" s="107" t="s">
        <v>2997</v>
      </c>
      <c r="K710" s="107" t="s">
        <v>2997</v>
      </c>
      <c r="L710" s="107">
        <v>9347.7999999999993</v>
      </c>
      <c r="M710" s="107">
        <v>17</v>
      </c>
    </row>
    <row r="711" spans="1:13" x14ac:dyDescent="0.3">
      <c r="A711" s="95">
        <f t="shared" si="10"/>
        <v>0</v>
      </c>
      <c r="B711" s="106" t="s">
        <v>734</v>
      </c>
      <c r="C711" s="95" t="s">
        <v>6</v>
      </c>
      <c r="D711" s="106">
        <v>3</v>
      </c>
      <c r="E711" s="107">
        <v>1</v>
      </c>
      <c r="F711" s="107" t="s">
        <v>2958</v>
      </c>
      <c r="G711" s="107" t="s">
        <v>2962</v>
      </c>
      <c r="H711" s="107" t="s">
        <v>2979</v>
      </c>
      <c r="I711" s="107" t="s">
        <v>2997</v>
      </c>
      <c r="J711" s="107" t="s">
        <v>2997</v>
      </c>
      <c r="K711" s="107" t="s">
        <v>2997</v>
      </c>
      <c r="L711" s="107">
        <v>190.59</v>
      </c>
      <c r="M711" s="107">
        <v>1</v>
      </c>
    </row>
    <row r="712" spans="1:13" x14ac:dyDescent="0.3">
      <c r="A712" s="95">
        <f t="shared" si="10"/>
        <v>0</v>
      </c>
      <c r="B712" s="106" t="s">
        <v>735</v>
      </c>
      <c r="C712" s="95" t="s">
        <v>2187</v>
      </c>
      <c r="D712" s="106">
        <v>12</v>
      </c>
      <c r="E712" s="107">
        <v>1</v>
      </c>
      <c r="F712" s="107" t="s">
        <v>2959</v>
      </c>
      <c r="G712" s="107" t="s">
        <v>2961</v>
      </c>
      <c r="H712" s="107" t="s">
        <v>2972</v>
      </c>
      <c r="I712" s="107" t="s">
        <v>2996</v>
      </c>
      <c r="J712" s="107" t="s">
        <v>2996</v>
      </c>
      <c r="K712" s="107" t="s">
        <v>2996</v>
      </c>
      <c r="L712" s="107">
        <v>11.27</v>
      </c>
      <c r="M712" s="107"/>
    </row>
    <row r="713" spans="1:13" x14ac:dyDescent="0.3">
      <c r="A713" s="95">
        <f t="shared" si="10"/>
        <v>0</v>
      </c>
      <c r="B713" s="106" t="s">
        <v>736</v>
      </c>
      <c r="C713" s="95" t="s">
        <v>2188</v>
      </c>
      <c r="D713" s="106">
        <v>12</v>
      </c>
      <c r="E713" s="107">
        <v>1</v>
      </c>
      <c r="F713" s="107" t="s">
        <v>2959</v>
      </c>
      <c r="G713" s="107" t="s">
        <v>2966</v>
      </c>
      <c r="H713" s="107" t="s">
        <v>2985</v>
      </c>
      <c r="I713" s="107" t="s">
        <v>2997</v>
      </c>
      <c r="J713" s="107" t="s">
        <v>2997</v>
      </c>
      <c r="K713" s="107" t="s">
        <v>2997</v>
      </c>
      <c r="L713" s="107">
        <v>157.68</v>
      </c>
      <c r="M713" s="107"/>
    </row>
    <row r="714" spans="1:13" x14ac:dyDescent="0.3">
      <c r="A714" s="95">
        <f t="shared" si="10"/>
        <v>0</v>
      </c>
      <c r="B714" s="106" t="s">
        <v>737</v>
      </c>
      <c r="C714" s="95" t="s">
        <v>2189</v>
      </c>
      <c r="D714" s="106">
        <v>12</v>
      </c>
      <c r="E714" s="107">
        <v>1</v>
      </c>
      <c r="F714" s="107" t="s">
        <v>2959</v>
      </c>
      <c r="G714" s="107" t="s">
        <v>2966</v>
      </c>
      <c r="H714" s="107" t="s">
        <v>2985</v>
      </c>
      <c r="I714" s="107" t="s">
        <v>2997</v>
      </c>
      <c r="J714" s="107" t="s">
        <v>2997</v>
      </c>
      <c r="K714" s="107" t="s">
        <v>2996</v>
      </c>
      <c r="L714" s="107">
        <v>392.4</v>
      </c>
      <c r="M714" s="107"/>
    </row>
    <row r="715" spans="1:13" x14ac:dyDescent="0.3">
      <c r="A715" s="95">
        <f t="shared" si="10"/>
        <v>0</v>
      </c>
      <c r="B715" s="106" t="s">
        <v>738</v>
      </c>
      <c r="C715" s="95" t="s">
        <v>2190</v>
      </c>
      <c r="D715" s="106">
        <v>12</v>
      </c>
      <c r="E715" s="107">
        <v>1</v>
      </c>
      <c r="F715" s="107" t="s">
        <v>2959</v>
      </c>
      <c r="G715" s="107" t="s">
        <v>2966</v>
      </c>
      <c r="H715" s="107" t="s">
        <v>2978</v>
      </c>
      <c r="I715" s="107" t="s">
        <v>2997</v>
      </c>
      <c r="J715" s="107" t="s">
        <v>2997</v>
      </c>
      <c r="K715" s="107" t="s">
        <v>2997</v>
      </c>
      <c r="L715" s="107">
        <v>526.48</v>
      </c>
      <c r="M715" s="107">
        <v>2</v>
      </c>
    </row>
    <row r="716" spans="1:13" x14ac:dyDescent="0.3">
      <c r="A716" s="95">
        <f t="shared" si="10"/>
        <v>0</v>
      </c>
      <c r="B716" s="106" t="s">
        <v>739</v>
      </c>
      <c r="C716" s="95" t="s">
        <v>2191</v>
      </c>
      <c r="D716" s="106">
        <v>3</v>
      </c>
      <c r="E716" s="107">
        <v>1</v>
      </c>
      <c r="F716" s="107" t="s">
        <v>2958</v>
      </c>
      <c r="G716" s="107" t="s">
        <v>2962</v>
      </c>
      <c r="H716" s="107" t="s">
        <v>2979</v>
      </c>
      <c r="I716" s="107" t="s">
        <v>2997</v>
      </c>
      <c r="J716" s="107" t="s">
        <v>2997</v>
      </c>
      <c r="K716" s="107" t="s">
        <v>2996</v>
      </c>
      <c r="L716" s="107">
        <v>172.08</v>
      </c>
      <c r="M716" s="107"/>
    </row>
    <row r="717" spans="1:13" x14ac:dyDescent="0.3">
      <c r="A717" s="95">
        <f t="shared" si="10"/>
        <v>0</v>
      </c>
      <c r="B717" s="106" t="s">
        <v>740</v>
      </c>
      <c r="C717" s="95" t="s">
        <v>2192</v>
      </c>
      <c r="D717" s="106">
        <v>12</v>
      </c>
      <c r="E717" s="107">
        <v>1</v>
      </c>
      <c r="F717" s="107" t="s">
        <v>2958</v>
      </c>
      <c r="G717" s="107" t="s">
        <v>2963</v>
      </c>
      <c r="H717" s="107" t="s">
        <v>2974</v>
      </c>
      <c r="I717" s="107" t="s">
        <v>2997</v>
      </c>
      <c r="J717" s="107" t="s">
        <v>2997</v>
      </c>
      <c r="K717" s="107" t="s">
        <v>2997</v>
      </c>
      <c r="L717" s="107">
        <v>32.17</v>
      </c>
      <c r="M717" s="107"/>
    </row>
    <row r="718" spans="1:13" x14ac:dyDescent="0.3">
      <c r="A718" s="95">
        <f t="shared" si="10"/>
        <v>0</v>
      </c>
      <c r="B718" s="106" t="s">
        <v>741</v>
      </c>
      <c r="C718" s="95" t="s">
        <v>2193</v>
      </c>
      <c r="D718" s="106">
        <v>12</v>
      </c>
      <c r="E718" s="107">
        <v>1</v>
      </c>
      <c r="F718" s="107" t="s">
        <v>2958</v>
      </c>
      <c r="G718" s="107" t="s">
        <v>2964</v>
      </c>
      <c r="H718" s="107" t="s">
        <v>2987</v>
      </c>
      <c r="I718" s="107" t="s">
        <v>2997</v>
      </c>
      <c r="J718" s="107" t="s">
        <v>2997</v>
      </c>
      <c r="K718" s="107" t="s">
        <v>2996</v>
      </c>
      <c r="L718" s="107">
        <v>47.43</v>
      </c>
      <c r="M718" s="107"/>
    </row>
    <row r="719" spans="1:13" x14ac:dyDescent="0.3">
      <c r="A719" s="95">
        <f t="shared" ref="A719:A782" si="11">IF(AND(E719=1,J719=K719,M719&gt;6),1,0)</f>
        <v>0</v>
      </c>
      <c r="B719" s="106" t="s">
        <v>742</v>
      </c>
      <c r="C719" s="95" t="s">
        <v>2194</v>
      </c>
      <c r="D719" s="106">
        <v>6</v>
      </c>
      <c r="E719" s="107">
        <v>1</v>
      </c>
      <c r="F719" s="107" t="s">
        <v>2959</v>
      </c>
      <c r="G719" s="107" t="s">
        <v>2961</v>
      </c>
      <c r="H719" s="107" t="s">
        <v>2972</v>
      </c>
      <c r="I719" s="107" t="s">
        <v>2996</v>
      </c>
      <c r="J719" s="107" t="s">
        <v>2996</v>
      </c>
      <c r="K719" s="107" t="s">
        <v>2996</v>
      </c>
      <c r="L719" s="107">
        <v>32.28</v>
      </c>
      <c r="M719" s="107"/>
    </row>
    <row r="720" spans="1:13" x14ac:dyDescent="0.3">
      <c r="A720" s="95">
        <f t="shared" si="11"/>
        <v>0</v>
      </c>
      <c r="B720" s="106" t="s">
        <v>743</v>
      </c>
      <c r="C720" s="95" t="s">
        <v>2195</v>
      </c>
      <c r="D720" s="106">
        <v>12</v>
      </c>
      <c r="E720" s="107">
        <v>1</v>
      </c>
      <c r="F720" s="107" t="s">
        <v>2959</v>
      </c>
      <c r="G720" s="107" t="s">
        <v>2961</v>
      </c>
      <c r="H720" s="107" t="s">
        <v>2982</v>
      </c>
      <c r="I720" s="107" t="s">
        <v>2997</v>
      </c>
      <c r="J720" s="107" t="s">
        <v>2997</v>
      </c>
      <c r="K720" s="107" t="s">
        <v>2996</v>
      </c>
      <c r="L720" s="107">
        <v>21.21</v>
      </c>
      <c r="M720" s="107"/>
    </row>
    <row r="721" spans="1:13" x14ac:dyDescent="0.3">
      <c r="A721" s="95">
        <f t="shared" si="11"/>
        <v>0</v>
      </c>
      <c r="B721" s="106" t="s">
        <v>744</v>
      </c>
      <c r="C721" s="95" t="s">
        <v>2196</v>
      </c>
      <c r="D721" s="106">
        <v>12</v>
      </c>
      <c r="E721" s="107">
        <v>1</v>
      </c>
      <c r="F721" s="107" t="s">
        <v>2959</v>
      </c>
      <c r="G721" s="107" t="s">
        <v>2966</v>
      </c>
      <c r="H721" s="107" t="s">
        <v>2984</v>
      </c>
      <c r="I721" s="107" t="s">
        <v>2997</v>
      </c>
      <c r="J721" s="107" t="s">
        <v>2997</v>
      </c>
      <c r="K721" s="107" t="s">
        <v>2996</v>
      </c>
      <c r="L721" s="107">
        <v>151.99</v>
      </c>
      <c r="M721" s="107"/>
    </row>
    <row r="722" spans="1:13" x14ac:dyDescent="0.3">
      <c r="A722" s="95">
        <f t="shared" si="11"/>
        <v>0</v>
      </c>
      <c r="B722" s="106" t="s">
        <v>745</v>
      </c>
      <c r="C722" s="95" t="s">
        <v>3640</v>
      </c>
      <c r="D722" s="106">
        <v>12</v>
      </c>
      <c r="E722" s="107">
        <v>1</v>
      </c>
      <c r="F722" s="107" t="s">
        <v>2959</v>
      </c>
      <c r="G722" s="107" t="s">
        <v>2960</v>
      </c>
      <c r="H722" s="107" t="s">
        <v>2970</v>
      </c>
      <c r="I722" s="107" t="s">
        <v>2997</v>
      </c>
      <c r="J722" s="107" t="s">
        <v>2997</v>
      </c>
      <c r="K722" s="107" t="s">
        <v>2996</v>
      </c>
      <c r="L722" s="107">
        <v>489.45</v>
      </c>
      <c r="M722" s="107"/>
    </row>
    <row r="723" spans="1:13" x14ac:dyDescent="0.3">
      <c r="A723" s="95">
        <f t="shared" si="11"/>
        <v>0</v>
      </c>
      <c r="B723" s="106" t="s">
        <v>3141</v>
      </c>
      <c r="C723" s="95" t="s">
        <v>3344</v>
      </c>
      <c r="D723" s="106">
        <v>12</v>
      </c>
      <c r="E723" s="107">
        <v>1</v>
      </c>
      <c r="F723" s="107" t="s">
        <v>2958</v>
      </c>
      <c r="G723" s="107" t="s">
        <v>2961</v>
      </c>
      <c r="H723" s="107" t="s">
        <v>2972</v>
      </c>
      <c r="I723" s="107" t="s">
        <v>2997</v>
      </c>
      <c r="J723" s="107" t="s">
        <v>2997</v>
      </c>
      <c r="K723" s="107" t="s">
        <v>2997</v>
      </c>
      <c r="L723" s="107">
        <v>573.34</v>
      </c>
      <c r="M723" s="107">
        <v>6</v>
      </c>
    </row>
    <row r="724" spans="1:13" x14ac:dyDescent="0.3">
      <c r="A724" s="95">
        <f t="shared" si="11"/>
        <v>1</v>
      </c>
      <c r="B724" s="106" t="s">
        <v>746</v>
      </c>
      <c r="C724" s="95" t="s">
        <v>2197</v>
      </c>
      <c r="D724" s="106">
        <v>12</v>
      </c>
      <c r="E724" s="107">
        <v>1</v>
      </c>
      <c r="F724" s="107" t="s">
        <v>2958</v>
      </c>
      <c r="G724" s="107" t="s">
        <v>2961</v>
      </c>
      <c r="H724" s="107" t="s">
        <v>2990</v>
      </c>
      <c r="I724" s="107" t="s">
        <v>2996</v>
      </c>
      <c r="J724" s="107" t="s">
        <v>2996</v>
      </c>
      <c r="K724" s="107" t="s">
        <v>2996</v>
      </c>
      <c r="L724" s="107">
        <v>324</v>
      </c>
      <c r="M724" s="107">
        <v>7</v>
      </c>
    </row>
    <row r="725" spans="1:13" x14ac:dyDescent="0.3">
      <c r="A725" s="95">
        <f t="shared" si="11"/>
        <v>0</v>
      </c>
      <c r="B725" s="106" t="s">
        <v>747</v>
      </c>
      <c r="C725" s="95" t="s">
        <v>2198</v>
      </c>
      <c r="D725" s="106">
        <v>12</v>
      </c>
      <c r="E725" s="107">
        <v>1</v>
      </c>
      <c r="F725" s="107" t="s">
        <v>2959</v>
      </c>
      <c r="G725" s="107" t="s">
        <v>2961</v>
      </c>
      <c r="H725" s="107" t="s">
        <v>2971</v>
      </c>
      <c r="I725" s="107" t="s">
        <v>2997</v>
      </c>
      <c r="J725" s="107" t="s">
        <v>2997</v>
      </c>
      <c r="K725" s="107" t="s">
        <v>2997</v>
      </c>
      <c r="L725" s="107">
        <v>53.82</v>
      </c>
      <c r="M725" s="107"/>
    </row>
    <row r="726" spans="1:13" x14ac:dyDescent="0.3">
      <c r="A726" s="95">
        <f t="shared" si="11"/>
        <v>0</v>
      </c>
      <c r="B726" s="106" t="s">
        <v>748</v>
      </c>
      <c r="C726" s="95" t="s">
        <v>2199</v>
      </c>
      <c r="D726" s="106">
        <v>12</v>
      </c>
      <c r="E726" s="107">
        <v>1</v>
      </c>
      <c r="F726" s="107" t="s">
        <v>2958</v>
      </c>
      <c r="G726" s="107" t="s">
        <v>2966</v>
      </c>
      <c r="H726" s="107" t="s">
        <v>2984</v>
      </c>
      <c r="I726" s="107" t="s">
        <v>2997</v>
      </c>
      <c r="J726" s="107" t="s">
        <v>2997</v>
      </c>
      <c r="K726" s="107" t="s">
        <v>2996</v>
      </c>
      <c r="L726" s="107">
        <v>35.67</v>
      </c>
      <c r="M726" s="107"/>
    </row>
    <row r="727" spans="1:13" x14ac:dyDescent="0.3">
      <c r="A727" s="95">
        <f t="shared" si="11"/>
        <v>0</v>
      </c>
      <c r="B727" s="106" t="s">
        <v>749</v>
      </c>
      <c r="C727" s="95" t="s">
        <v>2200</v>
      </c>
      <c r="D727" s="106">
        <v>12</v>
      </c>
      <c r="E727" s="107">
        <v>1</v>
      </c>
      <c r="F727" s="107" t="s">
        <v>2959</v>
      </c>
      <c r="G727" s="107" t="s">
        <v>2966</v>
      </c>
      <c r="H727" s="107" t="s">
        <v>2984</v>
      </c>
      <c r="I727" s="107" t="s">
        <v>2997</v>
      </c>
      <c r="J727" s="107" t="s">
        <v>2997</v>
      </c>
      <c r="K727" s="107" t="s">
        <v>2996</v>
      </c>
      <c r="L727" s="107">
        <v>22.87</v>
      </c>
      <c r="M727" s="107"/>
    </row>
    <row r="728" spans="1:13" x14ac:dyDescent="0.3">
      <c r="A728" s="95">
        <f t="shared" si="11"/>
        <v>0</v>
      </c>
      <c r="B728" s="106" t="s">
        <v>750</v>
      </c>
      <c r="C728" s="95" t="s">
        <v>2201</v>
      </c>
      <c r="D728" s="106">
        <v>12</v>
      </c>
      <c r="E728" s="107">
        <v>1</v>
      </c>
      <c r="F728" s="107" t="s">
        <v>2959</v>
      </c>
      <c r="G728" s="107" t="s">
        <v>2966</v>
      </c>
      <c r="H728" s="107" t="s">
        <v>2978</v>
      </c>
      <c r="I728" s="107" t="s">
        <v>2997</v>
      </c>
      <c r="J728" s="107" t="s">
        <v>2997</v>
      </c>
      <c r="K728" s="107" t="s">
        <v>2996</v>
      </c>
      <c r="L728" s="107">
        <v>109.81</v>
      </c>
      <c r="M728" s="107">
        <v>1</v>
      </c>
    </row>
    <row r="729" spans="1:13" x14ac:dyDescent="0.3">
      <c r="A729" s="95">
        <f t="shared" si="11"/>
        <v>0</v>
      </c>
      <c r="B729" s="106" t="s">
        <v>751</v>
      </c>
      <c r="C729" s="95" t="s">
        <v>2202</v>
      </c>
      <c r="D729" s="106">
        <v>12</v>
      </c>
      <c r="E729" s="107">
        <v>1</v>
      </c>
      <c r="F729" s="107" t="s">
        <v>2959</v>
      </c>
      <c r="G729" s="107" t="s">
        <v>2964</v>
      </c>
      <c r="H729" s="107" t="s">
        <v>2987</v>
      </c>
      <c r="I729" s="107" t="s">
        <v>2997</v>
      </c>
      <c r="J729" s="107" t="s">
        <v>2997</v>
      </c>
      <c r="K729" s="107" t="s">
        <v>2997</v>
      </c>
      <c r="L729" s="107">
        <v>81.34</v>
      </c>
      <c r="M729" s="107"/>
    </row>
    <row r="730" spans="1:13" x14ac:dyDescent="0.3">
      <c r="A730" s="95">
        <f t="shared" si="11"/>
        <v>0</v>
      </c>
      <c r="B730" s="106" t="s">
        <v>752</v>
      </c>
      <c r="C730" s="95" t="s">
        <v>2203</v>
      </c>
      <c r="D730" s="106">
        <v>12</v>
      </c>
      <c r="E730" s="107">
        <v>1</v>
      </c>
      <c r="F730" s="107" t="s">
        <v>2959</v>
      </c>
      <c r="G730" s="107" t="s">
        <v>2961</v>
      </c>
      <c r="H730" s="107" t="s">
        <v>2972</v>
      </c>
      <c r="I730" s="107" t="s">
        <v>2996</v>
      </c>
      <c r="J730" s="107" t="s">
        <v>2996</v>
      </c>
      <c r="K730" s="107" t="s">
        <v>2996</v>
      </c>
      <c r="L730" s="107">
        <v>32.31</v>
      </c>
      <c r="M730" s="107"/>
    </row>
    <row r="731" spans="1:13" x14ac:dyDescent="0.3">
      <c r="A731" s="95">
        <f t="shared" si="11"/>
        <v>0</v>
      </c>
      <c r="B731" s="106" t="s">
        <v>753</v>
      </c>
      <c r="C731" s="95" t="s">
        <v>2204</v>
      </c>
      <c r="D731" s="106">
        <v>12</v>
      </c>
      <c r="E731" s="107">
        <v>1</v>
      </c>
      <c r="F731" s="107" t="s">
        <v>2959</v>
      </c>
      <c r="G731" s="107" t="s">
        <v>2966</v>
      </c>
      <c r="H731" s="107" t="s">
        <v>2985</v>
      </c>
      <c r="I731" s="107" t="s">
        <v>2997</v>
      </c>
      <c r="J731" s="107" t="s">
        <v>2997</v>
      </c>
      <c r="K731" s="107" t="s">
        <v>2996</v>
      </c>
      <c r="L731" s="107">
        <v>180.64</v>
      </c>
      <c r="M731" s="107"/>
    </row>
    <row r="732" spans="1:13" x14ac:dyDescent="0.3">
      <c r="A732" s="95">
        <f t="shared" si="11"/>
        <v>0</v>
      </c>
      <c r="B732" s="106" t="s">
        <v>754</v>
      </c>
      <c r="C732" s="95" t="s">
        <v>2205</v>
      </c>
      <c r="D732" s="106">
        <v>12</v>
      </c>
      <c r="E732" s="107">
        <v>1</v>
      </c>
      <c r="F732" s="107" t="s">
        <v>2959</v>
      </c>
      <c r="G732" s="107" t="s">
        <v>2964</v>
      </c>
      <c r="H732" s="107" t="s">
        <v>2975</v>
      </c>
      <c r="I732" s="107" t="s">
        <v>2996</v>
      </c>
      <c r="J732" s="107" t="s">
        <v>2996</v>
      </c>
      <c r="K732" s="107" t="s">
        <v>2996</v>
      </c>
      <c r="L732" s="107">
        <v>24.47</v>
      </c>
      <c r="M732" s="107"/>
    </row>
    <row r="733" spans="1:13" x14ac:dyDescent="0.3">
      <c r="A733" s="95">
        <f t="shared" si="11"/>
        <v>0</v>
      </c>
      <c r="B733" s="106" t="s">
        <v>755</v>
      </c>
      <c r="C733" s="95" t="s">
        <v>2206</v>
      </c>
      <c r="D733" s="106">
        <v>12</v>
      </c>
      <c r="E733" s="107">
        <v>1</v>
      </c>
      <c r="F733" s="107" t="s">
        <v>2958</v>
      </c>
      <c r="G733" s="107" t="s">
        <v>2961</v>
      </c>
      <c r="H733" s="107" t="s">
        <v>2990</v>
      </c>
      <c r="I733" s="107" t="s">
        <v>2997</v>
      </c>
      <c r="J733" s="107" t="s">
        <v>2997</v>
      </c>
      <c r="K733" s="107" t="s">
        <v>2996</v>
      </c>
      <c r="L733" s="107">
        <v>89.1</v>
      </c>
      <c r="M733" s="107"/>
    </row>
    <row r="734" spans="1:13" x14ac:dyDescent="0.3">
      <c r="A734" s="95">
        <f t="shared" si="11"/>
        <v>0</v>
      </c>
      <c r="B734" s="106" t="s">
        <v>756</v>
      </c>
      <c r="C734" s="95" t="s">
        <v>2207</v>
      </c>
      <c r="D734" s="106">
        <v>12</v>
      </c>
      <c r="E734" s="107">
        <v>1</v>
      </c>
      <c r="F734" s="107" t="s">
        <v>2959</v>
      </c>
      <c r="G734" s="107" t="s">
        <v>2966</v>
      </c>
      <c r="H734" s="107" t="s">
        <v>2984</v>
      </c>
      <c r="I734" s="107" t="s">
        <v>2997</v>
      </c>
      <c r="J734" s="107" t="s">
        <v>2997</v>
      </c>
      <c r="K734" s="107" t="s">
        <v>2996</v>
      </c>
      <c r="L734" s="107">
        <v>39.72</v>
      </c>
      <c r="M734" s="107"/>
    </row>
    <row r="735" spans="1:13" x14ac:dyDescent="0.3">
      <c r="A735" s="95">
        <f t="shared" si="11"/>
        <v>0</v>
      </c>
      <c r="B735" s="106" t="s">
        <v>757</v>
      </c>
      <c r="C735" s="95" t="s">
        <v>2208</v>
      </c>
      <c r="D735" s="106">
        <v>12</v>
      </c>
      <c r="E735" s="107">
        <v>1</v>
      </c>
      <c r="F735" s="107" t="s">
        <v>2959</v>
      </c>
      <c r="G735" s="107" t="s">
        <v>2966</v>
      </c>
      <c r="H735" s="107" t="s">
        <v>2984</v>
      </c>
      <c r="I735" s="107" t="s">
        <v>2997</v>
      </c>
      <c r="J735" s="107" t="s">
        <v>2997</v>
      </c>
      <c r="K735" s="107" t="s">
        <v>2997</v>
      </c>
      <c r="L735" s="107">
        <v>375.94</v>
      </c>
      <c r="M735" s="107">
        <v>1</v>
      </c>
    </row>
    <row r="736" spans="1:13" x14ac:dyDescent="0.3">
      <c r="A736" s="95">
        <f t="shared" si="11"/>
        <v>0</v>
      </c>
      <c r="B736" s="106" t="s">
        <v>758</v>
      </c>
      <c r="C736" s="95" t="s">
        <v>2209</v>
      </c>
      <c r="D736" s="106">
        <v>12</v>
      </c>
      <c r="E736" s="107">
        <v>1</v>
      </c>
      <c r="F736" s="107" t="s">
        <v>2959</v>
      </c>
      <c r="G736" s="107" t="s">
        <v>2966</v>
      </c>
      <c r="H736" s="107" t="s">
        <v>2977</v>
      </c>
      <c r="I736" s="107" t="s">
        <v>2997</v>
      </c>
      <c r="J736" s="107" t="s">
        <v>2997</v>
      </c>
      <c r="K736" s="107" t="s">
        <v>2997</v>
      </c>
      <c r="L736" s="107">
        <v>43.88</v>
      </c>
      <c r="M736" s="107"/>
    </row>
    <row r="737" spans="1:13" x14ac:dyDescent="0.3">
      <c r="A737" s="95">
        <f t="shared" si="11"/>
        <v>0</v>
      </c>
      <c r="B737" s="106" t="s">
        <v>759</v>
      </c>
      <c r="C737" s="95" t="s">
        <v>2210</v>
      </c>
      <c r="D737" s="106">
        <v>12</v>
      </c>
      <c r="E737" s="107">
        <v>1</v>
      </c>
      <c r="F737" s="107" t="s">
        <v>2958</v>
      </c>
      <c r="G737" s="107" t="s">
        <v>2965</v>
      </c>
      <c r="H737" s="107" t="s">
        <v>2965</v>
      </c>
      <c r="I737" s="107" t="s">
        <v>2997</v>
      </c>
      <c r="J737" s="107" t="s">
        <v>2997</v>
      </c>
      <c r="K737" s="107" t="s">
        <v>2996</v>
      </c>
      <c r="L737" s="107">
        <v>52.5</v>
      </c>
      <c r="M737" s="107"/>
    </row>
    <row r="738" spans="1:13" x14ac:dyDescent="0.3">
      <c r="A738" s="95">
        <f t="shared" si="11"/>
        <v>0</v>
      </c>
      <c r="B738" s="106" t="s">
        <v>760</v>
      </c>
      <c r="C738" s="95" t="s">
        <v>2211</v>
      </c>
      <c r="D738" s="106">
        <v>12</v>
      </c>
      <c r="E738" s="107">
        <v>1</v>
      </c>
      <c r="F738" s="107" t="s">
        <v>2959</v>
      </c>
      <c r="G738" s="107" t="s">
        <v>2966</v>
      </c>
      <c r="H738" s="107" t="s">
        <v>2978</v>
      </c>
      <c r="I738" s="107" t="s">
        <v>2997</v>
      </c>
      <c r="J738" s="107" t="s">
        <v>2997</v>
      </c>
      <c r="K738" s="107" t="s">
        <v>2996</v>
      </c>
      <c r="L738" s="107">
        <v>47.13</v>
      </c>
      <c r="M738" s="107"/>
    </row>
    <row r="739" spans="1:13" x14ac:dyDescent="0.3">
      <c r="A739" s="95">
        <f t="shared" si="11"/>
        <v>0</v>
      </c>
      <c r="B739" s="106" t="s">
        <v>761</v>
      </c>
      <c r="C739" s="95" t="s">
        <v>2212</v>
      </c>
      <c r="D739" s="106">
        <v>12</v>
      </c>
      <c r="E739" s="107">
        <v>1</v>
      </c>
      <c r="F739" s="107" t="s">
        <v>2959</v>
      </c>
      <c r="G739" s="107" t="s">
        <v>2960</v>
      </c>
      <c r="H739" s="107" t="s">
        <v>2983</v>
      </c>
      <c r="I739" s="107" t="s">
        <v>2997</v>
      </c>
      <c r="J739" s="107" t="s">
        <v>2997</v>
      </c>
      <c r="K739" s="107" t="s">
        <v>2997</v>
      </c>
      <c r="L739" s="107">
        <v>115.42</v>
      </c>
      <c r="M739" s="107"/>
    </row>
    <row r="740" spans="1:13" x14ac:dyDescent="0.3">
      <c r="A740" s="95">
        <f t="shared" si="11"/>
        <v>1</v>
      </c>
      <c r="B740" s="106" t="s">
        <v>762</v>
      </c>
      <c r="C740" s="95" t="s">
        <v>2213</v>
      </c>
      <c r="D740" s="106">
        <v>12</v>
      </c>
      <c r="E740" s="107">
        <v>1</v>
      </c>
      <c r="F740" s="107" t="s">
        <v>2958</v>
      </c>
      <c r="G740" s="107" t="s">
        <v>2969</v>
      </c>
      <c r="H740" s="107" t="s">
        <v>2994</v>
      </c>
      <c r="I740" s="107" t="s">
        <v>2997</v>
      </c>
      <c r="J740" s="107" t="s">
        <v>2997</v>
      </c>
      <c r="K740" s="107" t="s">
        <v>2997</v>
      </c>
      <c r="L740" s="107">
        <v>5217.51</v>
      </c>
      <c r="M740" s="107">
        <v>17</v>
      </c>
    </row>
    <row r="741" spans="1:13" x14ac:dyDescent="0.3">
      <c r="A741" s="95">
        <f t="shared" si="11"/>
        <v>0</v>
      </c>
      <c r="B741" s="106" t="s">
        <v>763</v>
      </c>
      <c r="C741" s="95" t="s">
        <v>2214</v>
      </c>
      <c r="D741" s="106">
        <v>12</v>
      </c>
      <c r="E741" s="107">
        <v>1</v>
      </c>
      <c r="F741" s="107" t="s">
        <v>2959</v>
      </c>
      <c r="G741" s="107" t="s">
        <v>2966</v>
      </c>
      <c r="H741" s="107" t="s">
        <v>2984</v>
      </c>
      <c r="I741" s="107" t="s">
        <v>2996</v>
      </c>
      <c r="J741" s="107" t="s">
        <v>2996</v>
      </c>
      <c r="K741" s="107" t="s">
        <v>2996</v>
      </c>
      <c r="L741" s="107">
        <v>26.31</v>
      </c>
      <c r="M741" s="107"/>
    </row>
    <row r="742" spans="1:13" x14ac:dyDescent="0.3">
      <c r="A742" s="95">
        <f t="shared" si="11"/>
        <v>0</v>
      </c>
      <c r="B742" s="106" t="s">
        <v>764</v>
      </c>
      <c r="C742" s="95" t="s">
        <v>2215</v>
      </c>
      <c r="D742" s="106">
        <v>12</v>
      </c>
      <c r="E742" s="107">
        <v>1</v>
      </c>
      <c r="F742" s="107" t="s">
        <v>2959</v>
      </c>
      <c r="G742" s="107" t="s">
        <v>2966</v>
      </c>
      <c r="H742" s="107" t="s">
        <v>2977</v>
      </c>
      <c r="I742" s="107" t="s">
        <v>2997</v>
      </c>
      <c r="J742" s="107" t="s">
        <v>2997</v>
      </c>
      <c r="K742" s="107" t="s">
        <v>2996</v>
      </c>
      <c r="L742" s="107">
        <v>42.54</v>
      </c>
      <c r="M742" s="107"/>
    </row>
    <row r="743" spans="1:13" x14ac:dyDescent="0.3">
      <c r="A743" s="95">
        <f t="shared" si="11"/>
        <v>0</v>
      </c>
      <c r="B743" s="106" t="s">
        <v>765</v>
      </c>
      <c r="C743" s="95" t="s">
        <v>2216</v>
      </c>
      <c r="D743" s="106">
        <v>12</v>
      </c>
      <c r="E743" s="107">
        <v>1</v>
      </c>
      <c r="F743" s="107" t="s">
        <v>2959</v>
      </c>
      <c r="G743" s="107" t="s">
        <v>2966</v>
      </c>
      <c r="H743" s="107" t="s">
        <v>2984</v>
      </c>
      <c r="I743" s="107" t="s">
        <v>2997</v>
      </c>
      <c r="J743" s="107" t="s">
        <v>2997</v>
      </c>
      <c r="K743" s="107" t="s">
        <v>2996</v>
      </c>
      <c r="L743" s="107">
        <v>41.98</v>
      </c>
      <c r="M743" s="107"/>
    </row>
    <row r="744" spans="1:13" x14ac:dyDescent="0.3">
      <c r="A744" s="95">
        <f t="shared" si="11"/>
        <v>0</v>
      </c>
      <c r="B744" s="106" t="s">
        <v>766</v>
      </c>
      <c r="C744" s="95" t="s">
        <v>2217</v>
      </c>
      <c r="D744" s="106">
        <v>12</v>
      </c>
      <c r="E744" s="107">
        <v>1</v>
      </c>
      <c r="F744" s="107" t="s">
        <v>2959</v>
      </c>
      <c r="G744" s="107" t="s">
        <v>2961</v>
      </c>
      <c r="H744" s="107" t="s">
        <v>2991</v>
      </c>
      <c r="I744" s="107" t="s">
        <v>2997</v>
      </c>
      <c r="J744" s="107" t="s">
        <v>2997</v>
      </c>
      <c r="K744" s="107" t="s">
        <v>2997</v>
      </c>
      <c r="L744" s="107">
        <v>17.04</v>
      </c>
      <c r="M744" s="107"/>
    </row>
    <row r="745" spans="1:13" x14ac:dyDescent="0.3">
      <c r="A745" s="95">
        <f t="shared" si="11"/>
        <v>0</v>
      </c>
      <c r="B745" s="106" t="s">
        <v>767</v>
      </c>
      <c r="C745" s="95" t="s">
        <v>2218</v>
      </c>
      <c r="D745" s="106">
        <v>12</v>
      </c>
      <c r="E745" s="107">
        <v>1</v>
      </c>
      <c r="F745" s="107" t="s">
        <v>2959</v>
      </c>
      <c r="G745" s="107" t="s">
        <v>2966</v>
      </c>
      <c r="H745" s="107" t="s">
        <v>2984</v>
      </c>
      <c r="I745" s="107" t="s">
        <v>2997</v>
      </c>
      <c r="J745" s="107" t="s">
        <v>2997</v>
      </c>
      <c r="K745" s="107" t="s">
        <v>2996</v>
      </c>
      <c r="L745" s="107">
        <v>34.200000000000003</v>
      </c>
      <c r="M745" s="107"/>
    </row>
    <row r="746" spans="1:13" x14ac:dyDescent="0.3">
      <c r="A746" s="95">
        <f t="shared" si="11"/>
        <v>0</v>
      </c>
      <c r="B746" s="106" t="s">
        <v>3142</v>
      </c>
      <c r="C746" s="95" t="s">
        <v>3345</v>
      </c>
      <c r="D746" s="106">
        <v>3</v>
      </c>
      <c r="E746" s="107">
        <v>1</v>
      </c>
      <c r="F746" s="107" t="s">
        <v>2958</v>
      </c>
      <c r="G746" s="107" t="s">
        <v>2962</v>
      </c>
      <c r="H746" s="107" t="s">
        <v>2973</v>
      </c>
      <c r="I746" s="107" t="s">
        <v>2997</v>
      </c>
      <c r="J746" s="107" t="s">
        <v>2997</v>
      </c>
      <c r="K746" s="107" t="s">
        <v>2997</v>
      </c>
      <c r="L746" s="107">
        <v>21600</v>
      </c>
      <c r="M746" s="107">
        <v>4</v>
      </c>
    </row>
    <row r="747" spans="1:13" x14ac:dyDescent="0.3">
      <c r="A747" s="95">
        <f t="shared" si="11"/>
        <v>0</v>
      </c>
      <c r="B747" s="106" t="s">
        <v>768</v>
      </c>
      <c r="C747" s="95" t="s">
        <v>2219</v>
      </c>
      <c r="D747" s="106">
        <v>12</v>
      </c>
      <c r="E747" s="107">
        <v>1</v>
      </c>
      <c r="F747" s="107" t="s">
        <v>2959</v>
      </c>
      <c r="G747" s="107" t="s">
        <v>2960</v>
      </c>
      <c r="H747" s="107" t="s">
        <v>2983</v>
      </c>
      <c r="I747" s="107" t="s">
        <v>2997</v>
      </c>
      <c r="J747" s="107" t="s">
        <v>2997</v>
      </c>
      <c r="K747" s="107" t="s">
        <v>2996</v>
      </c>
      <c r="L747" s="107">
        <v>67.239999999999995</v>
      </c>
      <c r="M747" s="107"/>
    </row>
    <row r="748" spans="1:13" x14ac:dyDescent="0.3">
      <c r="A748" s="95">
        <f t="shared" si="11"/>
        <v>0</v>
      </c>
      <c r="B748" s="106" t="s">
        <v>769</v>
      </c>
      <c r="C748" s="95" t="s">
        <v>2220</v>
      </c>
      <c r="D748" s="106">
        <v>12</v>
      </c>
      <c r="E748" s="107">
        <v>1</v>
      </c>
      <c r="F748" s="107" t="s">
        <v>2959</v>
      </c>
      <c r="G748" s="107" t="s">
        <v>2965</v>
      </c>
      <c r="H748" s="107" t="s">
        <v>2965</v>
      </c>
      <c r="I748" s="107" t="s">
        <v>2996</v>
      </c>
      <c r="J748" s="107" t="s">
        <v>2996</v>
      </c>
      <c r="K748" s="107" t="s">
        <v>2996</v>
      </c>
      <c r="L748" s="107">
        <v>34.75</v>
      </c>
      <c r="M748" s="107"/>
    </row>
    <row r="749" spans="1:13" x14ac:dyDescent="0.3">
      <c r="A749" s="95">
        <f t="shared" si="11"/>
        <v>0</v>
      </c>
      <c r="B749" s="106" t="s">
        <v>770</v>
      </c>
      <c r="C749" s="95" t="s">
        <v>2221</v>
      </c>
      <c r="D749" s="106">
        <v>12</v>
      </c>
      <c r="E749" s="107">
        <v>1</v>
      </c>
      <c r="F749" s="107" t="s">
        <v>2959</v>
      </c>
      <c r="G749" s="107" t="s">
        <v>2960</v>
      </c>
      <c r="H749" s="107" t="s">
        <v>2983</v>
      </c>
      <c r="I749" s="107" t="s">
        <v>2997</v>
      </c>
      <c r="J749" s="107" t="s">
        <v>2997</v>
      </c>
      <c r="K749" s="107" t="s">
        <v>2996</v>
      </c>
      <c r="L749" s="107">
        <v>34.119999999999997</v>
      </c>
      <c r="M749" s="107"/>
    </row>
    <row r="750" spans="1:13" x14ac:dyDescent="0.3">
      <c r="A750" s="95">
        <f t="shared" si="11"/>
        <v>0</v>
      </c>
      <c r="B750" s="106" t="s">
        <v>771</v>
      </c>
      <c r="C750" s="95" t="s">
        <v>2222</v>
      </c>
      <c r="D750" s="106">
        <v>12</v>
      </c>
      <c r="E750" s="107">
        <v>1</v>
      </c>
      <c r="F750" s="107" t="s">
        <v>2959</v>
      </c>
      <c r="G750" s="107" t="s">
        <v>2966</v>
      </c>
      <c r="H750" s="107" t="s">
        <v>2984</v>
      </c>
      <c r="I750" s="107" t="s">
        <v>2997</v>
      </c>
      <c r="J750" s="107" t="s">
        <v>2997</v>
      </c>
      <c r="K750" s="107" t="s">
        <v>2996</v>
      </c>
      <c r="L750" s="107">
        <v>51.92</v>
      </c>
      <c r="M750" s="107"/>
    </row>
    <row r="751" spans="1:13" x14ac:dyDescent="0.3">
      <c r="A751" s="95">
        <f t="shared" si="11"/>
        <v>0</v>
      </c>
      <c r="B751" s="106" t="s">
        <v>772</v>
      </c>
      <c r="C751" s="95" t="s">
        <v>2223</v>
      </c>
      <c r="D751" s="106">
        <v>6</v>
      </c>
      <c r="E751" s="107">
        <v>1</v>
      </c>
      <c r="F751" s="107" t="s">
        <v>2959</v>
      </c>
      <c r="G751" s="107" t="s">
        <v>2965</v>
      </c>
      <c r="H751" s="107" t="s">
        <v>2965</v>
      </c>
      <c r="I751" s="107" t="s">
        <v>2997</v>
      </c>
      <c r="J751" s="107" t="s">
        <v>2996</v>
      </c>
      <c r="K751" s="107" t="s">
        <v>2996</v>
      </c>
      <c r="L751" s="107">
        <v>15.32</v>
      </c>
      <c r="M751" s="107"/>
    </row>
    <row r="752" spans="1:13" x14ac:dyDescent="0.3">
      <c r="A752" s="95">
        <f t="shared" si="11"/>
        <v>0</v>
      </c>
      <c r="B752" s="106" t="s">
        <v>773</v>
      </c>
      <c r="C752" s="95" t="s">
        <v>2224</v>
      </c>
      <c r="D752" s="106">
        <v>12</v>
      </c>
      <c r="E752" s="107">
        <v>1</v>
      </c>
      <c r="F752" s="107" t="s">
        <v>2959</v>
      </c>
      <c r="G752" s="107" t="s">
        <v>2966</v>
      </c>
      <c r="H752" s="107" t="s">
        <v>2984</v>
      </c>
      <c r="I752" s="107" t="s">
        <v>2997</v>
      </c>
      <c r="J752" s="107" t="s">
        <v>2997</v>
      </c>
      <c r="K752" s="107" t="s">
        <v>2996</v>
      </c>
      <c r="L752" s="107">
        <v>44.31</v>
      </c>
      <c r="M752" s="107"/>
    </row>
    <row r="753" spans="1:13" x14ac:dyDescent="0.3">
      <c r="A753" s="95">
        <f t="shared" si="11"/>
        <v>0</v>
      </c>
      <c r="B753" s="106" t="s">
        <v>774</v>
      </c>
      <c r="C753" s="95" t="s">
        <v>2225</v>
      </c>
      <c r="D753" s="106">
        <v>12</v>
      </c>
      <c r="E753" s="107">
        <v>1</v>
      </c>
      <c r="F753" s="107" t="s">
        <v>2959</v>
      </c>
      <c r="G753" s="107" t="s">
        <v>2964</v>
      </c>
      <c r="H753" s="107" t="s">
        <v>2976</v>
      </c>
      <c r="I753" s="107" t="s">
        <v>2996</v>
      </c>
      <c r="J753" s="107" t="s">
        <v>2996</v>
      </c>
      <c r="K753" s="107" t="s">
        <v>2996</v>
      </c>
      <c r="L753" s="107">
        <v>39.799999999999997</v>
      </c>
      <c r="M753" s="107"/>
    </row>
    <row r="754" spans="1:13" x14ac:dyDescent="0.3">
      <c r="A754" s="95">
        <f t="shared" si="11"/>
        <v>0</v>
      </c>
      <c r="B754" s="106" t="s">
        <v>775</v>
      </c>
      <c r="C754" s="95" t="s">
        <v>2226</v>
      </c>
      <c r="D754" s="106">
        <v>12</v>
      </c>
      <c r="E754" s="107">
        <v>1</v>
      </c>
      <c r="F754" s="107" t="s">
        <v>2959</v>
      </c>
      <c r="G754" s="107" t="s">
        <v>2966</v>
      </c>
      <c r="H754" s="107" t="s">
        <v>2984</v>
      </c>
      <c r="I754" s="107" t="s">
        <v>2997</v>
      </c>
      <c r="J754" s="107" t="s">
        <v>2997</v>
      </c>
      <c r="K754" s="107" t="s">
        <v>2997</v>
      </c>
      <c r="L754" s="107">
        <v>97.49</v>
      </c>
      <c r="M754" s="107"/>
    </row>
    <row r="755" spans="1:13" x14ac:dyDescent="0.3">
      <c r="A755" s="95">
        <f t="shared" si="11"/>
        <v>0</v>
      </c>
      <c r="B755" s="106" t="s">
        <v>776</v>
      </c>
      <c r="C755" s="95" t="s">
        <v>2227</v>
      </c>
      <c r="D755" s="106">
        <v>12</v>
      </c>
      <c r="E755" s="107">
        <v>1</v>
      </c>
      <c r="F755" s="107" t="s">
        <v>2959</v>
      </c>
      <c r="G755" s="107" t="s">
        <v>2966</v>
      </c>
      <c r="H755" s="107" t="s">
        <v>2985</v>
      </c>
      <c r="I755" s="107" t="s">
        <v>2997</v>
      </c>
      <c r="J755" s="107" t="s">
        <v>2997</v>
      </c>
      <c r="K755" s="107" t="s">
        <v>2996</v>
      </c>
      <c r="L755" s="107">
        <v>74.97</v>
      </c>
      <c r="M755" s="107"/>
    </row>
    <row r="756" spans="1:13" x14ac:dyDescent="0.3">
      <c r="A756" s="95">
        <f t="shared" si="11"/>
        <v>0</v>
      </c>
      <c r="B756" s="106" t="s">
        <v>777</v>
      </c>
      <c r="C756" s="95" t="s">
        <v>2228</v>
      </c>
      <c r="D756" s="106">
        <v>12</v>
      </c>
      <c r="E756" s="107">
        <v>1</v>
      </c>
      <c r="F756" s="107" t="s">
        <v>2959</v>
      </c>
      <c r="G756" s="107" t="s">
        <v>2966</v>
      </c>
      <c r="H756" s="107" t="s">
        <v>2978</v>
      </c>
      <c r="I756" s="107" t="s">
        <v>2997</v>
      </c>
      <c r="J756" s="107" t="s">
        <v>2997</v>
      </c>
      <c r="K756" s="107" t="s">
        <v>2997</v>
      </c>
      <c r="L756" s="107">
        <v>89.64</v>
      </c>
      <c r="M756" s="107"/>
    </row>
    <row r="757" spans="1:13" x14ac:dyDescent="0.3">
      <c r="A757" s="95">
        <f t="shared" si="11"/>
        <v>0</v>
      </c>
      <c r="B757" s="106" t="s">
        <v>3143</v>
      </c>
      <c r="C757" s="95" t="s">
        <v>3346</v>
      </c>
      <c r="D757" s="106">
        <v>12</v>
      </c>
      <c r="E757" s="107">
        <v>1</v>
      </c>
      <c r="F757" s="107" t="s">
        <v>2959</v>
      </c>
      <c r="G757" s="107" t="s">
        <v>2966</v>
      </c>
      <c r="H757" s="107" t="s">
        <v>2978</v>
      </c>
      <c r="I757" s="107" t="s">
        <v>2996</v>
      </c>
      <c r="J757" s="107" t="s">
        <v>2996</v>
      </c>
      <c r="K757" s="107" t="s">
        <v>2996</v>
      </c>
      <c r="L757" s="107">
        <v>252.47</v>
      </c>
      <c r="M757" s="107">
        <v>3</v>
      </c>
    </row>
    <row r="758" spans="1:13" x14ac:dyDescent="0.3">
      <c r="A758" s="95">
        <f t="shared" si="11"/>
        <v>0</v>
      </c>
      <c r="B758" s="106" t="s">
        <v>778</v>
      </c>
      <c r="C758" s="95" t="s">
        <v>2229</v>
      </c>
      <c r="D758" s="106">
        <v>12</v>
      </c>
      <c r="E758" s="107">
        <v>1</v>
      </c>
      <c r="F758" s="107" t="s">
        <v>2958</v>
      </c>
      <c r="G758" s="107" t="s">
        <v>2966</v>
      </c>
      <c r="H758" s="107" t="s">
        <v>2977</v>
      </c>
      <c r="I758" s="107" t="s">
        <v>2997</v>
      </c>
      <c r="J758" s="107" t="s">
        <v>2997</v>
      </c>
      <c r="K758" s="107" t="s">
        <v>2997</v>
      </c>
      <c r="L758" s="107">
        <v>42.39</v>
      </c>
      <c r="M758" s="107"/>
    </row>
    <row r="759" spans="1:13" x14ac:dyDescent="0.3">
      <c r="A759" s="95">
        <f t="shared" si="11"/>
        <v>0</v>
      </c>
      <c r="B759" s="106" t="s">
        <v>779</v>
      </c>
      <c r="C759" s="95" t="s">
        <v>2230</v>
      </c>
      <c r="D759" s="106">
        <v>12</v>
      </c>
      <c r="E759" s="107">
        <v>1</v>
      </c>
      <c r="F759" s="107" t="s">
        <v>2959</v>
      </c>
      <c r="G759" s="107" t="s">
        <v>2966</v>
      </c>
      <c r="H759" s="107" t="s">
        <v>2984</v>
      </c>
      <c r="I759" s="107" t="s">
        <v>2997</v>
      </c>
      <c r="J759" s="107" t="s">
        <v>2997</v>
      </c>
      <c r="K759" s="107" t="s">
        <v>2996</v>
      </c>
      <c r="L759" s="107">
        <v>52.38</v>
      </c>
      <c r="M759" s="107"/>
    </row>
    <row r="760" spans="1:13" x14ac:dyDescent="0.3">
      <c r="A760" s="95">
        <f t="shared" si="11"/>
        <v>0</v>
      </c>
      <c r="B760" s="106" t="s">
        <v>780</v>
      </c>
      <c r="C760" s="95" t="s">
        <v>2231</v>
      </c>
      <c r="D760" s="106">
        <v>12</v>
      </c>
      <c r="E760" s="107">
        <v>1</v>
      </c>
      <c r="F760" s="107" t="s">
        <v>2959</v>
      </c>
      <c r="G760" s="107" t="s">
        <v>2966</v>
      </c>
      <c r="H760" s="107" t="s">
        <v>2984</v>
      </c>
      <c r="I760" s="107" t="s">
        <v>2997</v>
      </c>
      <c r="J760" s="107" t="s">
        <v>2997</v>
      </c>
      <c r="K760" s="107" t="s">
        <v>2996</v>
      </c>
      <c r="L760" s="107">
        <v>56.44</v>
      </c>
      <c r="M760" s="107"/>
    </row>
    <row r="761" spans="1:13" x14ac:dyDescent="0.3">
      <c r="A761" s="95">
        <f t="shared" si="11"/>
        <v>0</v>
      </c>
      <c r="B761" s="106" t="s">
        <v>781</v>
      </c>
      <c r="C761" s="95" t="s">
        <v>2232</v>
      </c>
      <c r="D761" s="106">
        <v>12</v>
      </c>
      <c r="E761" s="107">
        <v>1</v>
      </c>
      <c r="F761" s="107" t="s">
        <v>2958</v>
      </c>
      <c r="G761" s="107" t="s">
        <v>2966</v>
      </c>
      <c r="H761" s="107" t="s">
        <v>2984</v>
      </c>
      <c r="I761" s="107" t="s">
        <v>2997</v>
      </c>
      <c r="J761" s="107" t="s">
        <v>2997</v>
      </c>
      <c r="K761" s="107" t="s">
        <v>2997</v>
      </c>
      <c r="L761" s="107">
        <v>398.28</v>
      </c>
      <c r="M761" s="107">
        <v>3</v>
      </c>
    </row>
    <row r="762" spans="1:13" x14ac:dyDescent="0.3">
      <c r="A762" s="95">
        <f t="shared" si="11"/>
        <v>0</v>
      </c>
      <c r="B762" s="106" t="s">
        <v>782</v>
      </c>
      <c r="C762" s="95" t="s">
        <v>2233</v>
      </c>
      <c r="D762" s="106">
        <v>6</v>
      </c>
      <c r="E762" s="107">
        <v>1</v>
      </c>
      <c r="F762" s="107" t="s">
        <v>2958</v>
      </c>
      <c r="G762" s="107" t="s">
        <v>2961</v>
      </c>
      <c r="H762" s="107" t="s">
        <v>2971</v>
      </c>
      <c r="I762" s="107" t="s">
        <v>2997</v>
      </c>
      <c r="J762" s="107" t="s">
        <v>2996</v>
      </c>
      <c r="K762" s="107" t="s">
        <v>2996</v>
      </c>
      <c r="L762" s="107">
        <v>25.13</v>
      </c>
      <c r="M762" s="107"/>
    </row>
    <row r="763" spans="1:13" x14ac:dyDescent="0.3">
      <c r="A763" s="95">
        <f t="shared" si="11"/>
        <v>0</v>
      </c>
      <c r="B763" s="106" t="s">
        <v>783</v>
      </c>
      <c r="C763" s="95" t="s">
        <v>2234</v>
      </c>
      <c r="D763" s="106">
        <v>12</v>
      </c>
      <c r="E763" s="107">
        <v>1</v>
      </c>
      <c r="F763" s="107" t="s">
        <v>2958</v>
      </c>
      <c r="G763" s="107" t="s">
        <v>2960</v>
      </c>
      <c r="H763" s="107" t="s">
        <v>2970</v>
      </c>
      <c r="I763" s="107" t="s">
        <v>2997</v>
      </c>
      <c r="J763" s="107" t="s">
        <v>2997</v>
      </c>
      <c r="K763" s="107" t="s">
        <v>2996</v>
      </c>
      <c r="L763" s="107">
        <v>187.37</v>
      </c>
      <c r="M763" s="107">
        <v>3</v>
      </c>
    </row>
    <row r="764" spans="1:13" x14ac:dyDescent="0.3">
      <c r="A764" s="95">
        <f t="shared" si="11"/>
        <v>0</v>
      </c>
      <c r="B764" s="106" t="s">
        <v>784</v>
      </c>
      <c r="C764" s="95" t="s">
        <v>2235</v>
      </c>
      <c r="D764" s="106">
        <v>12</v>
      </c>
      <c r="E764" s="107">
        <v>1</v>
      </c>
      <c r="F764" s="107" t="s">
        <v>2959</v>
      </c>
      <c r="G764" s="107" t="s">
        <v>2966</v>
      </c>
      <c r="H764" s="107" t="s">
        <v>2977</v>
      </c>
      <c r="I764" s="107" t="s">
        <v>2997</v>
      </c>
      <c r="J764" s="107" t="s">
        <v>2997</v>
      </c>
      <c r="K764" s="107" t="s">
        <v>2996</v>
      </c>
      <c r="L764" s="107">
        <v>31.63</v>
      </c>
      <c r="M764" s="107"/>
    </row>
    <row r="765" spans="1:13" x14ac:dyDescent="0.3">
      <c r="A765" s="95">
        <f t="shared" si="11"/>
        <v>0</v>
      </c>
      <c r="B765" s="106" t="s">
        <v>785</v>
      </c>
      <c r="C765" s="95" t="s">
        <v>2236</v>
      </c>
      <c r="D765" s="106">
        <v>12</v>
      </c>
      <c r="E765" s="107">
        <v>1</v>
      </c>
      <c r="F765" s="107" t="s">
        <v>2959</v>
      </c>
      <c r="G765" s="107" t="s">
        <v>2964</v>
      </c>
      <c r="H765" s="107" t="s">
        <v>2976</v>
      </c>
      <c r="I765" s="107" t="s">
        <v>2996</v>
      </c>
      <c r="J765" s="107" t="s">
        <v>2996</v>
      </c>
      <c r="K765" s="107" t="s">
        <v>2996</v>
      </c>
      <c r="L765" s="107">
        <v>37.130000000000003</v>
      </c>
      <c r="M765" s="107"/>
    </row>
    <row r="766" spans="1:13" x14ac:dyDescent="0.3">
      <c r="A766" s="95">
        <f t="shared" si="11"/>
        <v>0</v>
      </c>
      <c r="B766" s="106" t="s">
        <v>786</v>
      </c>
      <c r="C766" s="95" t="s">
        <v>2237</v>
      </c>
      <c r="D766" s="106">
        <v>12</v>
      </c>
      <c r="E766" s="107">
        <v>1</v>
      </c>
      <c r="F766" s="107" t="s">
        <v>2959</v>
      </c>
      <c r="G766" s="107" t="s">
        <v>2966</v>
      </c>
      <c r="H766" s="107" t="s">
        <v>2984</v>
      </c>
      <c r="I766" s="107" t="s">
        <v>2997</v>
      </c>
      <c r="J766" s="107" t="s">
        <v>2997</v>
      </c>
      <c r="K766" s="107" t="s">
        <v>2996</v>
      </c>
      <c r="L766" s="107">
        <v>31.06</v>
      </c>
      <c r="M766" s="107"/>
    </row>
    <row r="767" spans="1:13" x14ac:dyDescent="0.3">
      <c r="A767" s="95">
        <f t="shared" si="11"/>
        <v>0</v>
      </c>
      <c r="B767" s="106" t="s">
        <v>787</v>
      </c>
      <c r="C767" s="95" t="s">
        <v>2238</v>
      </c>
      <c r="D767" s="106">
        <v>12</v>
      </c>
      <c r="E767" s="107">
        <v>1</v>
      </c>
      <c r="F767" s="107" t="s">
        <v>2959</v>
      </c>
      <c r="G767" s="107" t="s">
        <v>2961</v>
      </c>
      <c r="H767" s="107" t="s">
        <v>2972</v>
      </c>
      <c r="I767" s="107" t="s">
        <v>2997</v>
      </c>
      <c r="J767" s="107" t="s">
        <v>2997</v>
      </c>
      <c r="K767" s="107" t="s">
        <v>2996</v>
      </c>
      <c r="L767" s="107">
        <v>38.22</v>
      </c>
      <c r="M767" s="107"/>
    </row>
    <row r="768" spans="1:13" x14ac:dyDescent="0.3">
      <c r="A768" s="95">
        <f t="shared" si="11"/>
        <v>0</v>
      </c>
      <c r="B768" s="106" t="s">
        <v>788</v>
      </c>
      <c r="C768" s="95" t="s">
        <v>2239</v>
      </c>
      <c r="D768" s="106">
        <v>12</v>
      </c>
      <c r="E768" s="107">
        <v>1</v>
      </c>
      <c r="F768" s="107" t="s">
        <v>2959</v>
      </c>
      <c r="G768" s="107" t="s">
        <v>2965</v>
      </c>
      <c r="H768" s="107" t="s">
        <v>2965</v>
      </c>
      <c r="I768" s="107" t="s">
        <v>2996</v>
      </c>
      <c r="J768" s="107" t="s">
        <v>2996</v>
      </c>
      <c r="K768" s="107" t="s">
        <v>2996</v>
      </c>
      <c r="L768" s="107">
        <v>15.1</v>
      </c>
      <c r="M768" s="107"/>
    </row>
    <row r="769" spans="1:13" x14ac:dyDescent="0.3">
      <c r="A769" s="95">
        <f t="shared" si="11"/>
        <v>0</v>
      </c>
      <c r="B769" s="106" t="s">
        <v>789</v>
      </c>
      <c r="C769" s="95" t="s">
        <v>3641</v>
      </c>
      <c r="D769" s="106">
        <v>12</v>
      </c>
      <c r="E769" s="107">
        <v>1</v>
      </c>
      <c r="F769" s="107" t="s">
        <v>2959</v>
      </c>
      <c r="G769" s="107" t="s">
        <v>2964</v>
      </c>
      <c r="H769" s="107" t="s">
        <v>2976</v>
      </c>
      <c r="I769" s="107" t="s">
        <v>2996</v>
      </c>
      <c r="J769" s="107" t="s">
        <v>2996</v>
      </c>
      <c r="K769" s="107" t="s">
        <v>2996</v>
      </c>
      <c r="L769" s="107">
        <v>219.11</v>
      </c>
      <c r="M769" s="107">
        <v>3</v>
      </c>
    </row>
    <row r="770" spans="1:13" x14ac:dyDescent="0.3">
      <c r="A770" s="95">
        <f t="shared" si="11"/>
        <v>0</v>
      </c>
      <c r="B770" s="106" t="s">
        <v>790</v>
      </c>
      <c r="C770" s="95" t="s">
        <v>2240</v>
      </c>
      <c r="D770" s="106">
        <v>12</v>
      </c>
      <c r="E770" s="107">
        <v>1</v>
      </c>
      <c r="F770" s="107" t="s">
        <v>2958</v>
      </c>
      <c r="G770" s="107" t="s">
        <v>2961</v>
      </c>
      <c r="H770" s="107" t="s">
        <v>2971</v>
      </c>
      <c r="I770" s="107" t="s">
        <v>2997</v>
      </c>
      <c r="J770" s="107" t="s">
        <v>2997</v>
      </c>
      <c r="K770" s="107" t="s">
        <v>2996</v>
      </c>
      <c r="L770" s="107">
        <v>304.83</v>
      </c>
      <c r="M770" s="107"/>
    </row>
    <row r="771" spans="1:13" x14ac:dyDescent="0.3">
      <c r="A771" s="95">
        <f t="shared" si="11"/>
        <v>0</v>
      </c>
      <c r="B771" s="106" t="s">
        <v>791</v>
      </c>
      <c r="C771" s="95" t="s">
        <v>2241</v>
      </c>
      <c r="D771" s="106">
        <v>12</v>
      </c>
      <c r="E771" s="107">
        <v>1</v>
      </c>
      <c r="F771" s="107" t="s">
        <v>2959</v>
      </c>
      <c r="G771" s="107" t="s">
        <v>2964</v>
      </c>
      <c r="H771" s="107" t="s">
        <v>2976</v>
      </c>
      <c r="I771" s="107" t="s">
        <v>2997</v>
      </c>
      <c r="J771" s="107" t="s">
        <v>2997</v>
      </c>
      <c r="K771" s="107" t="s">
        <v>2996</v>
      </c>
      <c r="L771" s="107">
        <v>29.19</v>
      </c>
      <c r="M771" s="107"/>
    </row>
    <row r="772" spans="1:13" x14ac:dyDescent="0.3">
      <c r="A772" s="95">
        <f t="shared" si="11"/>
        <v>0</v>
      </c>
      <c r="B772" s="106" t="s">
        <v>3144</v>
      </c>
      <c r="C772" s="95" t="s">
        <v>3347</v>
      </c>
      <c r="D772" s="106">
        <v>12</v>
      </c>
      <c r="E772" s="107">
        <v>1</v>
      </c>
      <c r="F772" s="107" t="s">
        <v>2959</v>
      </c>
      <c r="G772" s="107" t="s">
        <v>2966</v>
      </c>
      <c r="H772" s="107" t="s">
        <v>2984</v>
      </c>
      <c r="I772" s="107" t="s">
        <v>2997</v>
      </c>
      <c r="J772" s="107" t="s">
        <v>2997</v>
      </c>
      <c r="K772" s="107" t="s">
        <v>2997</v>
      </c>
      <c r="L772" s="107">
        <v>77.95</v>
      </c>
      <c r="M772" s="107">
        <v>1</v>
      </c>
    </row>
    <row r="773" spans="1:13" x14ac:dyDescent="0.3">
      <c r="A773" s="95">
        <f t="shared" si="11"/>
        <v>0</v>
      </c>
      <c r="B773" s="106" t="s">
        <v>792</v>
      </c>
      <c r="C773" s="95" t="s">
        <v>2242</v>
      </c>
      <c r="D773" s="106">
        <v>12</v>
      </c>
      <c r="E773" s="107">
        <v>1</v>
      </c>
      <c r="F773" s="107" t="s">
        <v>2959</v>
      </c>
      <c r="G773" s="107" t="s">
        <v>2961</v>
      </c>
      <c r="H773" s="107" t="s">
        <v>2971</v>
      </c>
      <c r="I773" s="107" t="s">
        <v>2997</v>
      </c>
      <c r="J773" s="107" t="s">
        <v>2997</v>
      </c>
      <c r="K773" s="107" t="s">
        <v>2997</v>
      </c>
      <c r="L773" s="107">
        <v>16.5</v>
      </c>
      <c r="M773" s="107"/>
    </row>
    <row r="774" spans="1:13" x14ac:dyDescent="0.3">
      <c r="A774" s="95">
        <f t="shared" si="11"/>
        <v>1</v>
      </c>
      <c r="B774" s="106" t="s">
        <v>793</v>
      </c>
      <c r="C774" s="95" t="s">
        <v>2243</v>
      </c>
      <c r="D774" s="106">
        <v>12</v>
      </c>
      <c r="E774" s="107">
        <v>1</v>
      </c>
      <c r="F774" s="107" t="s">
        <v>2959</v>
      </c>
      <c r="G774" s="107" t="s">
        <v>2969</v>
      </c>
      <c r="H774" s="107" t="s">
        <v>2994</v>
      </c>
      <c r="I774" s="107" t="s">
        <v>2997</v>
      </c>
      <c r="J774" s="107" t="s">
        <v>2996</v>
      </c>
      <c r="K774" s="107" t="s">
        <v>2996</v>
      </c>
      <c r="L774" s="107">
        <v>1503.47</v>
      </c>
      <c r="M774" s="107">
        <v>14</v>
      </c>
    </row>
    <row r="775" spans="1:13" x14ac:dyDescent="0.3">
      <c r="A775" s="95">
        <f t="shared" si="11"/>
        <v>1</v>
      </c>
      <c r="B775" s="106" t="s">
        <v>794</v>
      </c>
      <c r="C775" s="95" t="s">
        <v>2244</v>
      </c>
      <c r="D775" s="106">
        <v>12</v>
      </c>
      <c r="E775" s="107">
        <v>1</v>
      </c>
      <c r="F775" s="107" t="s">
        <v>2959</v>
      </c>
      <c r="G775" s="107" t="s">
        <v>2966</v>
      </c>
      <c r="H775" s="107" t="s">
        <v>2978</v>
      </c>
      <c r="I775" s="107" t="s">
        <v>2997</v>
      </c>
      <c r="J775" s="107" t="s">
        <v>2997</v>
      </c>
      <c r="K775" s="107" t="s">
        <v>2997</v>
      </c>
      <c r="L775" s="107">
        <v>276.08999999999997</v>
      </c>
      <c r="M775" s="107">
        <v>8</v>
      </c>
    </row>
    <row r="776" spans="1:13" x14ac:dyDescent="0.3">
      <c r="A776" s="95">
        <f t="shared" si="11"/>
        <v>0</v>
      </c>
      <c r="B776" s="106" t="s">
        <v>795</v>
      </c>
      <c r="C776" s="95" t="s">
        <v>2245</v>
      </c>
      <c r="D776" s="106">
        <v>12</v>
      </c>
      <c r="E776" s="107">
        <v>1</v>
      </c>
      <c r="F776" s="107" t="s">
        <v>2958</v>
      </c>
      <c r="G776" s="107" t="s">
        <v>2962</v>
      </c>
      <c r="H776" s="107" t="s">
        <v>2989</v>
      </c>
      <c r="I776" s="107" t="s">
        <v>2997</v>
      </c>
      <c r="J776" s="107" t="s">
        <v>2997</v>
      </c>
      <c r="K776" s="107" t="s">
        <v>2997</v>
      </c>
      <c r="L776" s="107">
        <v>317.64999999999998</v>
      </c>
      <c r="M776" s="107">
        <v>1</v>
      </c>
    </row>
    <row r="777" spans="1:13" x14ac:dyDescent="0.3">
      <c r="A777" s="95">
        <f t="shared" si="11"/>
        <v>1</v>
      </c>
      <c r="B777" s="106" t="s">
        <v>796</v>
      </c>
      <c r="C777" s="95" t="s">
        <v>2246</v>
      </c>
      <c r="D777" s="106">
        <v>12</v>
      </c>
      <c r="E777" s="107">
        <v>1</v>
      </c>
      <c r="F777" s="107" t="s">
        <v>2958</v>
      </c>
      <c r="G777" s="107" t="s">
        <v>2963</v>
      </c>
      <c r="H777" s="107" t="s">
        <v>2974</v>
      </c>
      <c r="I777" s="107" t="s">
        <v>2997</v>
      </c>
      <c r="J777" s="107" t="s">
        <v>2997</v>
      </c>
      <c r="K777" s="107" t="s">
        <v>2997</v>
      </c>
      <c r="L777" s="107">
        <v>10187.1</v>
      </c>
      <c r="M777" s="107">
        <v>15</v>
      </c>
    </row>
    <row r="778" spans="1:13" x14ac:dyDescent="0.3">
      <c r="A778" s="95">
        <f t="shared" si="11"/>
        <v>0</v>
      </c>
      <c r="B778" s="106" t="s">
        <v>797</v>
      </c>
      <c r="C778" s="95" t="s">
        <v>2247</v>
      </c>
      <c r="D778" s="106">
        <v>12</v>
      </c>
      <c r="E778" s="107">
        <v>1</v>
      </c>
      <c r="F778" s="107" t="s">
        <v>2959</v>
      </c>
      <c r="G778" s="107" t="s">
        <v>2966</v>
      </c>
      <c r="H778" s="107" t="s">
        <v>2984</v>
      </c>
      <c r="I778" s="107" t="s">
        <v>2996</v>
      </c>
      <c r="J778" s="107" t="s">
        <v>2996</v>
      </c>
      <c r="K778" s="107" t="s">
        <v>2996</v>
      </c>
      <c r="L778" s="107">
        <v>22.14</v>
      </c>
      <c r="M778" s="107"/>
    </row>
    <row r="779" spans="1:13" x14ac:dyDescent="0.3">
      <c r="A779" s="95">
        <f t="shared" si="11"/>
        <v>0</v>
      </c>
      <c r="B779" s="106" t="s">
        <v>3145</v>
      </c>
      <c r="C779" s="95" t="s">
        <v>3348</v>
      </c>
      <c r="D779" s="106">
        <v>12</v>
      </c>
      <c r="E779" s="107">
        <v>1</v>
      </c>
      <c r="F779" s="107" t="s">
        <v>2959</v>
      </c>
      <c r="G779" s="107" t="s">
        <v>2961</v>
      </c>
      <c r="H779" s="107" t="s">
        <v>2981</v>
      </c>
      <c r="I779" s="107" t="s">
        <v>2997</v>
      </c>
      <c r="J779" s="107" t="s">
        <v>2997</v>
      </c>
      <c r="K779" s="107" t="s">
        <v>2996</v>
      </c>
      <c r="L779" s="107">
        <v>58.8</v>
      </c>
      <c r="M779" s="107"/>
    </row>
    <row r="780" spans="1:13" x14ac:dyDescent="0.3">
      <c r="A780" s="95">
        <f t="shared" si="11"/>
        <v>0</v>
      </c>
      <c r="B780" s="106" t="s">
        <v>798</v>
      </c>
      <c r="C780" s="95" t="s">
        <v>2248</v>
      </c>
      <c r="D780" s="106">
        <v>12</v>
      </c>
      <c r="E780" s="107">
        <v>1</v>
      </c>
      <c r="F780" s="107" t="s">
        <v>2958</v>
      </c>
      <c r="G780" s="107" t="s">
        <v>2963</v>
      </c>
      <c r="H780" s="107" t="s">
        <v>2974</v>
      </c>
      <c r="I780" s="107" t="s">
        <v>2997</v>
      </c>
      <c r="J780" s="107" t="s">
        <v>2997</v>
      </c>
      <c r="K780" s="107" t="s">
        <v>2996</v>
      </c>
      <c r="L780" s="107">
        <v>496.8</v>
      </c>
      <c r="M780" s="107">
        <v>3</v>
      </c>
    </row>
    <row r="781" spans="1:13" x14ac:dyDescent="0.3">
      <c r="A781" s="95">
        <f t="shared" si="11"/>
        <v>1</v>
      </c>
      <c r="B781" s="106" t="s">
        <v>799</v>
      </c>
      <c r="C781" s="95" t="s">
        <v>2249</v>
      </c>
      <c r="D781" s="106">
        <v>12</v>
      </c>
      <c r="E781" s="107">
        <v>1</v>
      </c>
      <c r="F781" s="107" t="s">
        <v>2958</v>
      </c>
      <c r="G781" s="107" t="s">
        <v>2964</v>
      </c>
      <c r="H781" s="107" t="s">
        <v>2976</v>
      </c>
      <c r="I781" s="107" t="s">
        <v>2997</v>
      </c>
      <c r="J781" s="107" t="s">
        <v>2997</v>
      </c>
      <c r="K781" s="107" t="s">
        <v>2997</v>
      </c>
      <c r="L781" s="107">
        <v>4498.95</v>
      </c>
      <c r="M781" s="107">
        <v>15</v>
      </c>
    </row>
    <row r="782" spans="1:13" x14ac:dyDescent="0.3">
      <c r="A782" s="95">
        <f t="shared" si="11"/>
        <v>0</v>
      </c>
      <c r="B782" s="106" t="s">
        <v>800</v>
      </c>
      <c r="C782" s="95" t="s">
        <v>2250</v>
      </c>
      <c r="D782" s="106">
        <v>12</v>
      </c>
      <c r="E782" s="107">
        <v>1</v>
      </c>
      <c r="F782" s="107" t="s">
        <v>2958</v>
      </c>
      <c r="G782" s="107" t="s">
        <v>2961</v>
      </c>
      <c r="H782" s="107" t="s">
        <v>2981</v>
      </c>
      <c r="I782" s="107" t="s">
        <v>2997</v>
      </c>
      <c r="J782" s="107" t="s">
        <v>2997</v>
      </c>
      <c r="K782" s="107" t="s">
        <v>2996</v>
      </c>
      <c r="L782" s="107">
        <v>784.86</v>
      </c>
      <c r="M782" s="107">
        <v>12</v>
      </c>
    </row>
    <row r="783" spans="1:13" x14ac:dyDescent="0.3">
      <c r="A783" s="95">
        <f t="shared" ref="A783:A846" si="12">IF(AND(E783=1,J783=K783,M783&gt;6),1,0)</f>
        <v>1</v>
      </c>
      <c r="B783" s="106" t="s">
        <v>801</v>
      </c>
      <c r="C783" s="95" t="s">
        <v>2251</v>
      </c>
      <c r="D783" s="106">
        <v>12</v>
      </c>
      <c r="E783" s="107">
        <v>1</v>
      </c>
      <c r="F783" s="107" t="s">
        <v>2958</v>
      </c>
      <c r="G783" s="107" t="s">
        <v>2966</v>
      </c>
      <c r="H783" s="107" t="s">
        <v>2980</v>
      </c>
      <c r="I783" s="107" t="s">
        <v>2997</v>
      </c>
      <c r="J783" s="107" t="s">
        <v>2997</v>
      </c>
      <c r="K783" s="107" t="s">
        <v>2997</v>
      </c>
      <c r="L783" s="107">
        <v>9822.0400000000009</v>
      </c>
      <c r="M783" s="107">
        <v>22</v>
      </c>
    </row>
    <row r="784" spans="1:13" x14ac:dyDescent="0.3">
      <c r="A784" s="95">
        <f t="shared" si="12"/>
        <v>1</v>
      </c>
      <c r="B784" s="106" t="s">
        <v>802</v>
      </c>
      <c r="C784" s="95" t="s">
        <v>2252</v>
      </c>
      <c r="D784" s="106">
        <v>12</v>
      </c>
      <c r="E784" s="107">
        <v>1</v>
      </c>
      <c r="F784" s="107" t="s">
        <v>2959</v>
      </c>
      <c r="G784" s="107" t="s">
        <v>2961</v>
      </c>
      <c r="H784" s="107" t="s">
        <v>2990</v>
      </c>
      <c r="I784" s="107" t="s">
        <v>2997</v>
      </c>
      <c r="J784" s="107" t="s">
        <v>2997</v>
      </c>
      <c r="K784" s="107" t="s">
        <v>2997</v>
      </c>
      <c r="L784" s="107">
        <v>2105.3200000000002</v>
      </c>
      <c r="M784" s="107">
        <v>11</v>
      </c>
    </row>
    <row r="785" spans="1:13" x14ac:dyDescent="0.3">
      <c r="A785" s="95">
        <f t="shared" si="12"/>
        <v>0</v>
      </c>
      <c r="B785" s="106" t="s">
        <v>803</v>
      </c>
      <c r="C785" s="95" t="s">
        <v>2253</v>
      </c>
      <c r="D785" s="106">
        <v>12</v>
      </c>
      <c r="E785" s="107">
        <v>1</v>
      </c>
      <c r="F785" s="107" t="s">
        <v>2958</v>
      </c>
      <c r="G785" s="107" t="s">
        <v>2964</v>
      </c>
      <c r="H785" s="107" t="s">
        <v>2976</v>
      </c>
      <c r="I785" s="107" t="s">
        <v>2996</v>
      </c>
      <c r="J785" s="107" t="s">
        <v>2996</v>
      </c>
      <c r="K785" s="107" t="s">
        <v>2996</v>
      </c>
      <c r="L785" s="107">
        <v>41.2</v>
      </c>
      <c r="M785" s="107"/>
    </row>
    <row r="786" spans="1:13" x14ac:dyDescent="0.3">
      <c r="A786" s="95">
        <f t="shared" si="12"/>
        <v>0</v>
      </c>
      <c r="B786" s="106" t="s">
        <v>804</v>
      </c>
      <c r="C786" s="95" t="s">
        <v>2254</v>
      </c>
      <c r="D786" s="106">
        <v>12</v>
      </c>
      <c r="E786" s="107">
        <v>1</v>
      </c>
      <c r="F786" s="107" t="s">
        <v>2958</v>
      </c>
      <c r="G786" s="107" t="s">
        <v>2962</v>
      </c>
      <c r="H786" s="107" t="s">
        <v>2995</v>
      </c>
      <c r="I786" s="107" t="s">
        <v>2997</v>
      </c>
      <c r="J786" s="107" t="s">
        <v>2997</v>
      </c>
      <c r="K786" s="107" t="s">
        <v>2997</v>
      </c>
      <c r="L786" s="107">
        <v>375.03</v>
      </c>
      <c r="M786" s="107">
        <v>1</v>
      </c>
    </row>
    <row r="787" spans="1:13" x14ac:dyDescent="0.3">
      <c r="A787" s="95">
        <f t="shared" si="12"/>
        <v>0</v>
      </c>
      <c r="B787" s="106" t="s">
        <v>805</v>
      </c>
      <c r="C787" s="95" t="s">
        <v>2255</v>
      </c>
      <c r="D787" s="106">
        <v>12</v>
      </c>
      <c r="E787" s="107">
        <v>1</v>
      </c>
      <c r="F787" s="107" t="s">
        <v>2958</v>
      </c>
      <c r="G787" s="107" t="s">
        <v>2968</v>
      </c>
      <c r="H787" s="107" t="s">
        <v>2968</v>
      </c>
      <c r="I787" s="107" t="s">
        <v>2996</v>
      </c>
      <c r="J787" s="107" t="s">
        <v>2996</v>
      </c>
      <c r="K787" s="107" t="s">
        <v>2996</v>
      </c>
      <c r="L787" s="107">
        <v>103.2</v>
      </c>
      <c r="M787" s="107">
        <v>1</v>
      </c>
    </row>
    <row r="788" spans="1:13" x14ac:dyDescent="0.3">
      <c r="A788" s="95">
        <f t="shared" si="12"/>
        <v>1</v>
      </c>
      <c r="B788" s="106" t="s">
        <v>806</v>
      </c>
      <c r="C788" s="95" t="s">
        <v>2256</v>
      </c>
      <c r="D788" s="106">
        <v>12</v>
      </c>
      <c r="E788" s="107">
        <v>1</v>
      </c>
      <c r="F788" s="107" t="s">
        <v>2958</v>
      </c>
      <c r="G788" s="107" t="s">
        <v>2966</v>
      </c>
      <c r="H788" s="107" t="s">
        <v>2985</v>
      </c>
      <c r="I788" s="107" t="s">
        <v>2997</v>
      </c>
      <c r="J788" s="107" t="s">
        <v>2997</v>
      </c>
      <c r="K788" s="107" t="s">
        <v>2997</v>
      </c>
      <c r="L788" s="107">
        <v>4990</v>
      </c>
      <c r="M788" s="107">
        <v>7</v>
      </c>
    </row>
    <row r="789" spans="1:13" x14ac:dyDescent="0.3">
      <c r="A789" s="95">
        <f t="shared" si="12"/>
        <v>0</v>
      </c>
      <c r="B789" s="106" t="s">
        <v>807</v>
      </c>
      <c r="C789" s="95" t="s">
        <v>2257</v>
      </c>
      <c r="D789" s="106">
        <v>12</v>
      </c>
      <c r="E789" s="107">
        <v>1</v>
      </c>
      <c r="F789" s="107" t="s">
        <v>2959</v>
      </c>
      <c r="G789" s="107" t="s">
        <v>2962</v>
      </c>
      <c r="H789" s="107" t="s">
        <v>2993</v>
      </c>
      <c r="I789" s="107" t="s">
        <v>2996</v>
      </c>
      <c r="J789" s="107" t="s">
        <v>2996</v>
      </c>
      <c r="K789" s="107" t="s">
        <v>2996</v>
      </c>
      <c r="L789" s="107">
        <v>341.32</v>
      </c>
      <c r="M789" s="107"/>
    </row>
    <row r="790" spans="1:13" x14ac:dyDescent="0.3">
      <c r="A790" s="95">
        <f t="shared" si="12"/>
        <v>0</v>
      </c>
      <c r="B790" s="106" t="s">
        <v>808</v>
      </c>
      <c r="C790" s="95" t="s">
        <v>2258</v>
      </c>
      <c r="D790" s="106">
        <v>12</v>
      </c>
      <c r="E790" s="107">
        <v>1</v>
      </c>
      <c r="F790" s="107" t="s">
        <v>2959</v>
      </c>
      <c r="G790" s="107" t="s">
        <v>2962</v>
      </c>
      <c r="H790" s="107" t="s">
        <v>2993</v>
      </c>
      <c r="I790" s="107" t="s">
        <v>2997</v>
      </c>
      <c r="J790" s="107" t="s">
        <v>2997</v>
      </c>
      <c r="K790" s="107" t="s">
        <v>2996</v>
      </c>
      <c r="L790" s="107">
        <v>354.75</v>
      </c>
      <c r="M790" s="107">
        <v>2</v>
      </c>
    </row>
    <row r="791" spans="1:13" x14ac:dyDescent="0.3">
      <c r="A791" s="95">
        <f t="shared" si="12"/>
        <v>0</v>
      </c>
      <c r="B791" s="106" t="s">
        <v>809</v>
      </c>
      <c r="C791" s="95" t="s">
        <v>2259</v>
      </c>
      <c r="D791" s="106">
        <v>12</v>
      </c>
      <c r="E791" s="107">
        <v>1</v>
      </c>
      <c r="F791" s="107" t="s">
        <v>2959</v>
      </c>
      <c r="G791" s="107" t="s">
        <v>2960</v>
      </c>
      <c r="H791" s="107" t="s">
        <v>2970</v>
      </c>
      <c r="I791" s="107" t="s">
        <v>2996</v>
      </c>
      <c r="J791" s="107" t="s">
        <v>2997</v>
      </c>
      <c r="K791" s="107" t="s">
        <v>2996</v>
      </c>
      <c r="L791" s="107">
        <v>103.62</v>
      </c>
      <c r="M791" s="107"/>
    </row>
    <row r="792" spans="1:13" x14ac:dyDescent="0.3">
      <c r="A792" s="95">
        <f t="shared" si="12"/>
        <v>0</v>
      </c>
      <c r="B792" s="106" t="s">
        <v>810</v>
      </c>
      <c r="C792" s="95" t="s">
        <v>2260</v>
      </c>
      <c r="D792" s="106">
        <v>12</v>
      </c>
      <c r="E792" s="107">
        <v>1</v>
      </c>
      <c r="F792" s="107" t="s">
        <v>2959</v>
      </c>
      <c r="G792" s="107" t="s">
        <v>2962</v>
      </c>
      <c r="H792" s="107" t="s">
        <v>2995</v>
      </c>
      <c r="I792" s="107" t="s">
        <v>2997</v>
      </c>
      <c r="J792" s="107" t="s">
        <v>2997</v>
      </c>
      <c r="K792" s="107" t="s">
        <v>2996</v>
      </c>
      <c r="L792" s="107">
        <v>161.63999999999999</v>
      </c>
      <c r="M792" s="107"/>
    </row>
    <row r="793" spans="1:13" x14ac:dyDescent="0.3">
      <c r="A793" s="95">
        <f t="shared" si="12"/>
        <v>0</v>
      </c>
      <c r="B793" s="106" t="s">
        <v>811</v>
      </c>
      <c r="C793" s="95" t="s">
        <v>2261</v>
      </c>
      <c r="D793" s="106">
        <v>12</v>
      </c>
      <c r="E793" s="107">
        <v>1</v>
      </c>
      <c r="F793" s="107" t="s">
        <v>2958</v>
      </c>
      <c r="G793" s="107" t="s">
        <v>2961</v>
      </c>
      <c r="H793" s="107" t="s">
        <v>2981</v>
      </c>
      <c r="I793" s="107" t="s">
        <v>2997</v>
      </c>
      <c r="J793" s="107" t="s">
        <v>2997</v>
      </c>
      <c r="K793" s="107" t="s">
        <v>2996</v>
      </c>
      <c r="L793" s="107">
        <v>136.52000000000001</v>
      </c>
      <c r="M793" s="107"/>
    </row>
    <row r="794" spans="1:13" x14ac:dyDescent="0.3">
      <c r="A794" s="95">
        <f t="shared" si="12"/>
        <v>1</v>
      </c>
      <c r="B794" s="106" t="s">
        <v>812</v>
      </c>
      <c r="C794" s="95" t="s">
        <v>2262</v>
      </c>
      <c r="D794" s="106">
        <v>12</v>
      </c>
      <c r="E794" s="107">
        <v>1</v>
      </c>
      <c r="F794" s="107" t="s">
        <v>2959</v>
      </c>
      <c r="G794" s="107" t="s">
        <v>2961</v>
      </c>
      <c r="H794" s="107" t="s">
        <v>2982</v>
      </c>
      <c r="I794" s="107" t="s">
        <v>2997</v>
      </c>
      <c r="J794" s="107" t="s">
        <v>2997</v>
      </c>
      <c r="K794" s="107" t="s">
        <v>2997</v>
      </c>
      <c r="L794" s="107">
        <v>520.20000000000005</v>
      </c>
      <c r="M794" s="107">
        <v>7</v>
      </c>
    </row>
    <row r="795" spans="1:13" x14ac:dyDescent="0.3">
      <c r="A795" s="95">
        <f t="shared" si="12"/>
        <v>0</v>
      </c>
      <c r="B795" s="106" t="s">
        <v>813</v>
      </c>
      <c r="C795" s="95" t="s">
        <v>2263</v>
      </c>
      <c r="D795" s="106">
        <v>12</v>
      </c>
      <c r="E795" s="107">
        <v>1</v>
      </c>
      <c r="F795" s="107" t="s">
        <v>2958</v>
      </c>
      <c r="G795" s="107" t="s">
        <v>2961</v>
      </c>
      <c r="H795" s="107" t="s">
        <v>2972</v>
      </c>
      <c r="I795" s="107" t="s">
        <v>2997</v>
      </c>
      <c r="J795" s="107" t="s">
        <v>2997</v>
      </c>
      <c r="K795" s="107" t="s">
        <v>2997</v>
      </c>
      <c r="L795" s="107">
        <v>149.07</v>
      </c>
      <c r="M795" s="107">
        <v>1</v>
      </c>
    </row>
    <row r="796" spans="1:13" x14ac:dyDescent="0.3">
      <c r="A796" s="95">
        <f t="shared" si="12"/>
        <v>0</v>
      </c>
      <c r="B796" s="106" t="s">
        <v>814</v>
      </c>
      <c r="C796" s="95" t="s">
        <v>2264</v>
      </c>
      <c r="D796" s="106">
        <v>12</v>
      </c>
      <c r="E796" s="107">
        <v>1</v>
      </c>
      <c r="F796" s="107" t="s">
        <v>2959</v>
      </c>
      <c r="G796" s="107" t="s">
        <v>2964</v>
      </c>
      <c r="H796" s="107" t="s">
        <v>2976</v>
      </c>
      <c r="I796" s="107" t="s">
        <v>2997</v>
      </c>
      <c r="J796" s="107" t="s">
        <v>2997</v>
      </c>
      <c r="K796" s="107" t="s">
        <v>2996</v>
      </c>
      <c r="L796" s="107">
        <v>15</v>
      </c>
      <c r="M796" s="107"/>
    </row>
    <row r="797" spans="1:13" x14ac:dyDescent="0.3">
      <c r="A797" s="95">
        <f t="shared" si="12"/>
        <v>1</v>
      </c>
      <c r="B797" s="106" t="s">
        <v>815</v>
      </c>
      <c r="C797" s="95" t="s">
        <v>2265</v>
      </c>
      <c r="D797" s="106">
        <v>12</v>
      </c>
      <c r="E797" s="107">
        <v>1</v>
      </c>
      <c r="F797" s="107" t="s">
        <v>2958</v>
      </c>
      <c r="G797" s="107" t="s">
        <v>2961</v>
      </c>
      <c r="H797" s="107" t="s">
        <v>2990</v>
      </c>
      <c r="I797" s="107" t="s">
        <v>2997</v>
      </c>
      <c r="J797" s="107" t="s">
        <v>2997</v>
      </c>
      <c r="K797" s="107" t="s">
        <v>2997</v>
      </c>
      <c r="L797" s="107">
        <v>6760.52</v>
      </c>
      <c r="M797" s="107">
        <v>13</v>
      </c>
    </row>
    <row r="798" spans="1:13" x14ac:dyDescent="0.3">
      <c r="A798" s="95">
        <f t="shared" si="12"/>
        <v>0</v>
      </c>
      <c r="B798" s="106" t="s">
        <v>816</v>
      </c>
      <c r="C798" s="95" t="s">
        <v>2266</v>
      </c>
      <c r="D798" s="106">
        <v>12</v>
      </c>
      <c r="E798" s="107">
        <v>1</v>
      </c>
      <c r="F798" s="107" t="s">
        <v>2959</v>
      </c>
      <c r="G798" s="107" t="s">
        <v>2961</v>
      </c>
      <c r="H798" s="107" t="s">
        <v>2991</v>
      </c>
      <c r="I798" s="107" t="s">
        <v>2997</v>
      </c>
      <c r="J798" s="107" t="s">
        <v>2997</v>
      </c>
      <c r="K798" s="107" t="s">
        <v>2996</v>
      </c>
      <c r="L798" s="107">
        <v>24.86</v>
      </c>
      <c r="M798" s="107"/>
    </row>
    <row r="799" spans="1:13" x14ac:dyDescent="0.3">
      <c r="A799" s="95">
        <f t="shared" si="12"/>
        <v>1</v>
      </c>
      <c r="B799" s="106" t="s">
        <v>817</v>
      </c>
      <c r="C799" s="95" t="s">
        <v>2267</v>
      </c>
      <c r="D799" s="106">
        <v>12</v>
      </c>
      <c r="E799" s="107">
        <v>1</v>
      </c>
      <c r="F799" s="107" t="s">
        <v>2958</v>
      </c>
      <c r="G799" s="107" t="s">
        <v>2966</v>
      </c>
      <c r="H799" s="107" t="s">
        <v>2985</v>
      </c>
      <c r="I799" s="107" t="s">
        <v>2997</v>
      </c>
      <c r="J799" s="107" t="s">
        <v>2997</v>
      </c>
      <c r="K799" s="107" t="s">
        <v>2997</v>
      </c>
      <c r="L799" s="107">
        <v>13981.1</v>
      </c>
      <c r="M799" s="107">
        <v>26</v>
      </c>
    </row>
    <row r="800" spans="1:13" x14ac:dyDescent="0.3">
      <c r="A800" s="95">
        <f t="shared" si="12"/>
        <v>0</v>
      </c>
      <c r="B800" s="106" t="s">
        <v>818</v>
      </c>
      <c r="C800" s="95" t="s">
        <v>2268</v>
      </c>
      <c r="D800" s="106">
        <v>12</v>
      </c>
      <c r="E800" s="107">
        <v>1</v>
      </c>
      <c r="F800" s="107" t="s">
        <v>2959</v>
      </c>
      <c r="G800" s="107" t="s">
        <v>2966</v>
      </c>
      <c r="H800" s="107" t="s">
        <v>2985</v>
      </c>
      <c r="I800" s="107" t="s">
        <v>2997</v>
      </c>
      <c r="J800" s="107" t="s">
        <v>2997</v>
      </c>
      <c r="K800" s="107" t="s">
        <v>2996</v>
      </c>
      <c r="L800" s="107">
        <v>15.28</v>
      </c>
      <c r="M800" s="107"/>
    </row>
    <row r="801" spans="1:13" x14ac:dyDescent="0.3">
      <c r="A801" s="95">
        <f t="shared" si="12"/>
        <v>0</v>
      </c>
      <c r="B801" s="106" t="s">
        <v>819</v>
      </c>
      <c r="C801" s="95" t="s">
        <v>2269</v>
      </c>
      <c r="D801" s="106">
        <v>12</v>
      </c>
      <c r="E801" s="107">
        <v>1</v>
      </c>
      <c r="F801" s="107" t="s">
        <v>2959</v>
      </c>
      <c r="G801" s="107" t="s">
        <v>2966</v>
      </c>
      <c r="H801" s="107" t="s">
        <v>2984</v>
      </c>
      <c r="I801" s="107" t="s">
        <v>2997</v>
      </c>
      <c r="J801" s="107" t="s">
        <v>2997</v>
      </c>
      <c r="K801" s="107" t="s">
        <v>2996</v>
      </c>
      <c r="L801" s="107">
        <v>29.32</v>
      </c>
      <c r="M801" s="107"/>
    </row>
    <row r="802" spans="1:13" x14ac:dyDescent="0.3">
      <c r="A802" s="95">
        <f t="shared" si="12"/>
        <v>0</v>
      </c>
      <c r="B802" s="106" t="s">
        <v>820</v>
      </c>
      <c r="C802" s="95" t="s">
        <v>3529</v>
      </c>
      <c r="D802" s="106">
        <v>12</v>
      </c>
      <c r="E802" s="107">
        <v>1</v>
      </c>
      <c r="F802" s="107" t="s">
        <v>2959</v>
      </c>
      <c r="G802" s="107" t="s">
        <v>2966</v>
      </c>
      <c r="H802" s="107" t="s">
        <v>2977</v>
      </c>
      <c r="I802" s="107" t="s">
        <v>2997</v>
      </c>
      <c r="J802" s="107" t="s">
        <v>2997</v>
      </c>
      <c r="K802" s="107" t="s">
        <v>2996</v>
      </c>
      <c r="L802" s="107">
        <v>76.48</v>
      </c>
      <c r="M802" s="107"/>
    </row>
    <row r="803" spans="1:13" x14ac:dyDescent="0.3">
      <c r="A803" s="95">
        <f t="shared" si="12"/>
        <v>0</v>
      </c>
      <c r="B803" s="106" t="s">
        <v>821</v>
      </c>
      <c r="C803" s="95" t="s">
        <v>2270</v>
      </c>
      <c r="D803" s="106">
        <v>12</v>
      </c>
      <c r="E803" s="107">
        <v>1</v>
      </c>
      <c r="F803" s="107" t="s">
        <v>2958</v>
      </c>
      <c r="G803" s="107" t="s">
        <v>2966</v>
      </c>
      <c r="H803" s="107" t="s">
        <v>2985</v>
      </c>
      <c r="I803" s="107" t="s">
        <v>2996</v>
      </c>
      <c r="J803" s="107" t="s">
        <v>2996</v>
      </c>
      <c r="K803" s="107" t="s">
        <v>2996</v>
      </c>
      <c r="L803" s="107">
        <v>133.47</v>
      </c>
      <c r="M803" s="107"/>
    </row>
    <row r="804" spans="1:13" x14ac:dyDescent="0.3">
      <c r="A804" s="95">
        <f t="shared" si="12"/>
        <v>0</v>
      </c>
      <c r="B804" s="106" t="s">
        <v>822</v>
      </c>
      <c r="C804" s="95" t="s">
        <v>2271</v>
      </c>
      <c r="D804" s="106">
        <v>12</v>
      </c>
      <c r="E804" s="107">
        <v>1</v>
      </c>
      <c r="F804" s="107" t="s">
        <v>2959</v>
      </c>
      <c r="G804" s="107" t="s">
        <v>2966</v>
      </c>
      <c r="H804" s="107" t="s">
        <v>2985</v>
      </c>
      <c r="I804" s="107" t="s">
        <v>2996</v>
      </c>
      <c r="J804" s="107" t="s">
        <v>2997</v>
      </c>
      <c r="K804" s="107" t="s">
        <v>2997</v>
      </c>
      <c r="L804" s="107">
        <v>446.35</v>
      </c>
      <c r="M804" s="107">
        <v>4</v>
      </c>
    </row>
    <row r="805" spans="1:13" x14ac:dyDescent="0.3">
      <c r="A805" s="95">
        <f t="shared" si="12"/>
        <v>0</v>
      </c>
      <c r="B805" s="106" t="s">
        <v>823</v>
      </c>
      <c r="C805" s="95" t="s">
        <v>2272</v>
      </c>
      <c r="D805" s="106">
        <v>12</v>
      </c>
      <c r="E805" s="107">
        <v>1</v>
      </c>
      <c r="F805" s="107" t="s">
        <v>2959</v>
      </c>
      <c r="G805" s="107" t="s">
        <v>2962</v>
      </c>
      <c r="H805" s="107" t="s">
        <v>2993</v>
      </c>
      <c r="I805" s="107" t="s">
        <v>2997</v>
      </c>
      <c r="J805" s="107" t="s">
        <v>2997</v>
      </c>
      <c r="K805" s="107" t="s">
        <v>2996</v>
      </c>
      <c r="L805" s="107">
        <v>118.41</v>
      </c>
      <c r="M805" s="107"/>
    </row>
    <row r="806" spans="1:13" x14ac:dyDescent="0.3">
      <c r="A806" s="95">
        <f t="shared" si="12"/>
        <v>0</v>
      </c>
      <c r="B806" s="106" t="s">
        <v>824</v>
      </c>
      <c r="C806" s="95" t="s">
        <v>2273</v>
      </c>
      <c r="D806" s="106">
        <v>12</v>
      </c>
      <c r="E806" s="107">
        <v>1</v>
      </c>
      <c r="F806" s="107" t="s">
        <v>2959</v>
      </c>
      <c r="G806" s="107" t="s">
        <v>2966</v>
      </c>
      <c r="H806" s="107" t="s">
        <v>2985</v>
      </c>
      <c r="I806" s="107" t="s">
        <v>2997</v>
      </c>
      <c r="J806" s="107" t="s">
        <v>2997</v>
      </c>
      <c r="K806" s="107" t="s">
        <v>2996</v>
      </c>
      <c r="L806" s="107">
        <v>53.32</v>
      </c>
      <c r="M806" s="107"/>
    </row>
    <row r="807" spans="1:13" x14ac:dyDescent="0.3">
      <c r="A807" s="95">
        <f t="shared" si="12"/>
        <v>1</v>
      </c>
      <c r="B807" s="106" t="s">
        <v>825</v>
      </c>
      <c r="C807" s="95" t="s">
        <v>2274</v>
      </c>
      <c r="D807" s="106">
        <v>12</v>
      </c>
      <c r="E807" s="107">
        <v>1</v>
      </c>
      <c r="F807" s="107" t="s">
        <v>2959</v>
      </c>
      <c r="G807" s="107" t="s">
        <v>2966</v>
      </c>
      <c r="H807" s="107" t="s">
        <v>2985</v>
      </c>
      <c r="I807" s="107" t="s">
        <v>2997</v>
      </c>
      <c r="J807" s="107" t="s">
        <v>2997</v>
      </c>
      <c r="K807" s="107" t="s">
        <v>2997</v>
      </c>
      <c r="L807" s="107">
        <v>1069.78</v>
      </c>
      <c r="M807" s="107">
        <v>21</v>
      </c>
    </row>
    <row r="808" spans="1:13" x14ac:dyDescent="0.3">
      <c r="A808" s="95">
        <f t="shared" si="12"/>
        <v>1</v>
      </c>
      <c r="B808" s="106" t="s">
        <v>826</v>
      </c>
      <c r="C808" s="95" t="s">
        <v>2275</v>
      </c>
      <c r="D808" s="106">
        <v>12</v>
      </c>
      <c r="E808" s="107">
        <v>1</v>
      </c>
      <c r="F808" s="107" t="s">
        <v>2959</v>
      </c>
      <c r="G808" s="107" t="s">
        <v>2961</v>
      </c>
      <c r="H808" s="107" t="s">
        <v>2982</v>
      </c>
      <c r="I808" s="107" t="s">
        <v>2997</v>
      </c>
      <c r="J808" s="107" t="s">
        <v>2997</v>
      </c>
      <c r="K808" s="107" t="s">
        <v>2997</v>
      </c>
      <c r="L808" s="107">
        <v>2140.6799999999998</v>
      </c>
      <c r="M808" s="107">
        <v>8</v>
      </c>
    </row>
    <row r="809" spans="1:13" x14ac:dyDescent="0.3">
      <c r="A809" s="95">
        <f t="shared" si="12"/>
        <v>0</v>
      </c>
      <c r="B809" s="106" t="s">
        <v>827</v>
      </c>
      <c r="C809" s="95" t="s">
        <v>2276</v>
      </c>
      <c r="D809" s="106">
        <v>12</v>
      </c>
      <c r="E809" s="107">
        <v>1</v>
      </c>
      <c r="F809" s="107" t="s">
        <v>2959</v>
      </c>
      <c r="G809" s="107" t="s">
        <v>2960</v>
      </c>
      <c r="H809" s="107" t="s">
        <v>2970</v>
      </c>
      <c r="I809" s="107" t="s">
        <v>2997</v>
      </c>
      <c r="J809" s="107" t="s">
        <v>2997</v>
      </c>
      <c r="K809" s="107" t="s">
        <v>2996</v>
      </c>
      <c r="L809" s="107">
        <v>233.25</v>
      </c>
      <c r="M809" s="107">
        <v>1</v>
      </c>
    </row>
    <row r="810" spans="1:13" x14ac:dyDescent="0.3">
      <c r="A810" s="95">
        <f t="shared" si="12"/>
        <v>0</v>
      </c>
      <c r="B810" s="106" t="s">
        <v>828</v>
      </c>
      <c r="C810" s="95" t="s">
        <v>2277</v>
      </c>
      <c r="D810" s="106">
        <v>12</v>
      </c>
      <c r="E810" s="107">
        <v>1</v>
      </c>
      <c r="F810" s="107" t="s">
        <v>2959</v>
      </c>
      <c r="G810" s="107" t="s">
        <v>2964</v>
      </c>
      <c r="H810" s="107" t="s">
        <v>2976</v>
      </c>
      <c r="I810" s="107" t="s">
        <v>2997</v>
      </c>
      <c r="J810" s="107" t="s">
        <v>2997</v>
      </c>
      <c r="K810" s="107" t="s">
        <v>2996</v>
      </c>
      <c r="L810" s="107">
        <v>122.03</v>
      </c>
      <c r="M810" s="107"/>
    </row>
    <row r="811" spans="1:13" x14ac:dyDescent="0.3">
      <c r="A811" s="95">
        <f t="shared" si="12"/>
        <v>0</v>
      </c>
      <c r="B811" s="106" t="s">
        <v>829</v>
      </c>
      <c r="C811" s="95" t="s">
        <v>3530</v>
      </c>
      <c r="D811" s="106">
        <v>12</v>
      </c>
      <c r="E811" s="107">
        <v>1</v>
      </c>
      <c r="F811" s="107" t="s">
        <v>2959</v>
      </c>
      <c r="G811" s="107" t="s">
        <v>2961</v>
      </c>
      <c r="H811" s="107" t="s">
        <v>2981</v>
      </c>
      <c r="I811" s="107" t="s">
        <v>2997</v>
      </c>
      <c r="J811" s="107" t="s">
        <v>2997</v>
      </c>
      <c r="K811" s="107" t="s">
        <v>2997</v>
      </c>
      <c r="L811" s="107">
        <v>144.13999999999999</v>
      </c>
      <c r="M811" s="107"/>
    </row>
    <row r="812" spans="1:13" x14ac:dyDescent="0.3">
      <c r="A812" s="95">
        <f t="shared" si="12"/>
        <v>0</v>
      </c>
      <c r="B812" s="106" t="s">
        <v>830</v>
      </c>
      <c r="C812" s="95" t="s">
        <v>2278</v>
      </c>
      <c r="D812" s="106">
        <v>12</v>
      </c>
      <c r="E812" s="107">
        <v>1</v>
      </c>
      <c r="F812" s="107" t="s">
        <v>2959</v>
      </c>
      <c r="G812" s="107" t="s">
        <v>2961</v>
      </c>
      <c r="H812" s="107" t="s">
        <v>2981</v>
      </c>
      <c r="I812" s="107" t="s">
        <v>2997</v>
      </c>
      <c r="J812" s="107" t="s">
        <v>2997</v>
      </c>
      <c r="K812" s="107" t="s">
        <v>2997</v>
      </c>
      <c r="L812" s="107">
        <v>113.56</v>
      </c>
      <c r="M812" s="107">
        <v>1</v>
      </c>
    </row>
    <row r="813" spans="1:13" x14ac:dyDescent="0.3">
      <c r="A813" s="95">
        <f t="shared" si="12"/>
        <v>0</v>
      </c>
      <c r="B813" s="106" t="s">
        <v>831</v>
      </c>
      <c r="C813" s="95" t="s">
        <v>2279</v>
      </c>
      <c r="D813" s="106">
        <v>12</v>
      </c>
      <c r="E813" s="107">
        <v>1</v>
      </c>
      <c r="F813" s="107" t="s">
        <v>2959</v>
      </c>
      <c r="G813" s="107" t="s">
        <v>2966</v>
      </c>
      <c r="H813" s="107" t="s">
        <v>2977</v>
      </c>
      <c r="I813" s="107" t="s">
        <v>2997</v>
      </c>
      <c r="J813" s="107" t="s">
        <v>2997</v>
      </c>
      <c r="K813" s="107" t="s">
        <v>2997</v>
      </c>
      <c r="L813" s="107">
        <v>69.27</v>
      </c>
      <c r="M813" s="107">
        <v>1</v>
      </c>
    </row>
    <row r="814" spans="1:13" x14ac:dyDescent="0.3">
      <c r="A814" s="95">
        <f t="shared" si="12"/>
        <v>0</v>
      </c>
      <c r="B814" s="106" t="s">
        <v>832</v>
      </c>
      <c r="C814" s="95" t="s">
        <v>2280</v>
      </c>
      <c r="D814" s="106">
        <v>12</v>
      </c>
      <c r="E814" s="107">
        <v>1</v>
      </c>
      <c r="F814" s="107" t="s">
        <v>2959</v>
      </c>
      <c r="G814" s="107" t="s">
        <v>2966</v>
      </c>
      <c r="H814" s="107" t="s">
        <v>2985</v>
      </c>
      <c r="I814" s="107" t="s">
        <v>2997</v>
      </c>
      <c r="J814" s="107" t="s">
        <v>2997</v>
      </c>
      <c r="K814" s="107" t="s">
        <v>2997</v>
      </c>
      <c r="L814" s="107">
        <v>369.65</v>
      </c>
      <c r="M814" s="107">
        <v>1</v>
      </c>
    </row>
    <row r="815" spans="1:13" x14ac:dyDescent="0.3">
      <c r="A815" s="95">
        <f t="shared" si="12"/>
        <v>0</v>
      </c>
      <c r="B815" s="106" t="s">
        <v>833</v>
      </c>
      <c r="C815" s="95" t="s">
        <v>2281</v>
      </c>
      <c r="D815" s="106">
        <v>12</v>
      </c>
      <c r="E815" s="107">
        <v>1</v>
      </c>
      <c r="F815" s="107" t="s">
        <v>2959</v>
      </c>
      <c r="G815" s="107" t="s">
        <v>2966</v>
      </c>
      <c r="H815" s="107" t="s">
        <v>2980</v>
      </c>
      <c r="I815" s="107" t="s">
        <v>2996</v>
      </c>
      <c r="J815" s="107" t="s">
        <v>2996</v>
      </c>
      <c r="K815" s="107" t="s">
        <v>2996</v>
      </c>
      <c r="L815" s="107">
        <v>52.92</v>
      </c>
      <c r="M815" s="107"/>
    </row>
    <row r="816" spans="1:13" x14ac:dyDescent="0.3">
      <c r="A816" s="95">
        <f t="shared" si="12"/>
        <v>0</v>
      </c>
      <c r="B816" s="106" t="s">
        <v>834</v>
      </c>
      <c r="C816" s="95" t="s">
        <v>2282</v>
      </c>
      <c r="D816" s="106">
        <v>12</v>
      </c>
      <c r="E816" s="107">
        <v>1</v>
      </c>
      <c r="F816" s="107" t="s">
        <v>2959</v>
      </c>
      <c r="G816" s="107" t="s">
        <v>2962</v>
      </c>
      <c r="H816" s="107" t="s">
        <v>2995</v>
      </c>
      <c r="I816" s="107" t="s">
        <v>2996</v>
      </c>
      <c r="J816" s="107" t="s">
        <v>2996</v>
      </c>
      <c r="K816" s="107" t="s">
        <v>2996</v>
      </c>
      <c r="L816" s="107">
        <v>19.420000000000002</v>
      </c>
      <c r="M816" s="107"/>
    </row>
    <row r="817" spans="1:13" x14ac:dyDescent="0.3">
      <c r="A817" s="95">
        <f t="shared" si="12"/>
        <v>0</v>
      </c>
      <c r="B817" s="106" t="s">
        <v>835</v>
      </c>
      <c r="C817" s="95" t="s">
        <v>2283</v>
      </c>
      <c r="D817" s="106">
        <v>12</v>
      </c>
      <c r="E817" s="107">
        <v>1</v>
      </c>
      <c r="F817" s="107" t="s">
        <v>2959</v>
      </c>
      <c r="G817" s="107" t="s">
        <v>2966</v>
      </c>
      <c r="H817" s="107" t="s">
        <v>2980</v>
      </c>
      <c r="I817" s="107" t="s">
        <v>2997</v>
      </c>
      <c r="J817" s="107" t="s">
        <v>2997</v>
      </c>
      <c r="K817" s="107" t="s">
        <v>2997</v>
      </c>
      <c r="L817" s="107">
        <v>57.88</v>
      </c>
      <c r="M817" s="107">
        <v>1</v>
      </c>
    </row>
    <row r="818" spans="1:13" x14ac:dyDescent="0.3">
      <c r="A818" s="95">
        <f t="shared" si="12"/>
        <v>0</v>
      </c>
      <c r="B818" s="106" t="s">
        <v>836</v>
      </c>
      <c r="C818" s="95" t="s">
        <v>2284</v>
      </c>
      <c r="D818" s="106">
        <v>12</v>
      </c>
      <c r="E818" s="107">
        <v>1</v>
      </c>
      <c r="F818" s="107" t="s">
        <v>2959</v>
      </c>
      <c r="G818" s="107" t="s">
        <v>2960</v>
      </c>
      <c r="H818" s="107" t="s">
        <v>2970</v>
      </c>
      <c r="I818" s="107" t="s">
        <v>2996</v>
      </c>
      <c r="J818" s="107" t="s">
        <v>2996</v>
      </c>
      <c r="K818" s="107" t="s">
        <v>2996</v>
      </c>
      <c r="L818" s="107">
        <v>33.619999999999997</v>
      </c>
      <c r="M818" s="107"/>
    </row>
    <row r="819" spans="1:13" x14ac:dyDescent="0.3">
      <c r="A819" s="95">
        <f t="shared" si="12"/>
        <v>0</v>
      </c>
      <c r="B819" s="106" t="s">
        <v>837</v>
      </c>
      <c r="C819" s="95" t="s">
        <v>2285</v>
      </c>
      <c r="D819" s="106">
        <v>12</v>
      </c>
      <c r="E819" s="107">
        <v>1</v>
      </c>
      <c r="F819" s="107" t="s">
        <v>2959</v>
      </c>
      <c r="G819" s="107" t="s">
        <v>2964</v>
      </c>
      <c r="H819" s="107" t="s">
        <v>2976</v>
      </c>
      <c r="I819" s="107" t="s">
        <v>2996</v>
      </c>
      <c r="J819" s="107" t="s">
        <v>2996</v>
      </c>
      <c r="K819" s="107" t="s">
        <v>2996</v>
      </c>
      <c r="L819" s="107">
        <v>172.8</v>
      </c>
      <c r="M819" s="107"/>
    </row>
    <row r="820" spans="1:13" x14ac:dyDescent="0.3">
      <c r="A820" s="95">
        <f t="shared" si="12"/>
        <v>0</v>
      </c>
      <c r="B820" s="106" t="s">
        <v>838</v>
      </c>
      <c r="C820" s="95" t="s">
        <v>2286</v>
      </c>
      <c r="D820" s="106">
        <v>12</v>
      </c>
      <c r="E820" s="107">
        <v>1</v>
      </c>
      <c r="F820" s="107" t="s">
        <v>2959</v>
      </c>
      <c r="G820" s="107" t="s">
        <v>2966</v>
      </c>
      <c r="H820" s="107" t="s">
        <v>2978</v>
      </c>
      <c r="I820" s="107" t="s">
        <v>2997</v>
      </c>
      <c r="J820" s="107" t="s">
        <v>2997</v>
      </c>
      <c r="K820" s="107" t="s">
        <v>2996</v>
      </c>
      <c r="L820" s="107">
        <v>21.35</v>
      </c>
      <c r="M820" s="107"/>
    </row>
    <row r="821" spans="1:13" x14ac:dyDescent="0.3">
      <c r="A821" s="95">
        <f t="shared" si="12"/>
        <v>0</v>
      </c>
      <c r="B821" s="106" t="s">
        <v>839</v>
      </c>
      <c r="C821" s="95" t="s">
        <v>2287</v>
      </c>
      <c r="D821" s="106">
        <v>12</v>
      </c>
      <c r="E821" s="107">
        <v>1</v>
      </c>
      <c r="F821" s="107" t="s">
        <v>2959</v>
      </c>
      <c r="G821" s="107" t="s">
        <v>2966</v>
      </c>
      <c r="H821" s="107" t="s">
        <v>2980</v>
      </c>
      <c r="I821" s="107" t="s">
        <v>2997</v>
      </c>
      <c r="J821" s="107" t="s">
        <v>2997</v>
      </c>
      <c r="K821" s="107" t="s">
        <v>2996</v>
      </c>
      <c r="L821" s="107">
        <v>148.56</v>
      </c>
      <c r="M821" s="107"/>
    </row>
    <row r="822" spans="1:13" x14ac:dyDescent="0.3">
      <c r="A822" s="95">
        <f t="shared" si="12"/>
        <v>0</v>
      </c>
      <c r="B822" s="106" t="s">
        <v>840</v>
      </c>
      <c r="C822" s="95" t="s">
        <v>2288</v>
      </c>
      <c r="D822" s="106">
        <v>12</v>
      </c>
      <c r="E822" s="107">
        <v>1</v>
      </c>
      <c r="F822" s="107" t="s">
        <v>2959</v>
      </c>
      <c r="G822" s="107" t="s">
        <v>2960</v>
      </c>
      <c r="H822" s="107" t="s">
        <v>2983</v>
      </c>
      <c r="I822" s="107" t="s">
        <v>2996</v>
      </c>
      <c r="J822" s="107" t="s">
        <v>2996</v>
      </c>
      <c r="K822" s="107" t="s">
        <v>2996</v>
      </c>
      <c r="L822" s="107">
        <v>149.01</v>
      </c>
      <c r="M822" s="107">
        <v>1</v>
      </c>
    </row>
    <row r="823" spans="1:13" x14ac:dyDescent="0.3">
      <c r="A823" s="95">
        <f t="shared" si="12"/>
        <v>0</v>
      </c>
      <c r="B823" s="106" t="s">
        <v>841</v>
      </c>
      <c r="C823" s="95" t="s">
        <v>2289</v>
      </c>
      <c r="D823" s="106">
        <v>12</v>
      </c>
      <c r="E823" s="107">
        <v>1</v>
      </c>
      <c r="F823" s="107" t="s">
        <v>2959</v>
      </c>
      <c r="G823" s="107" t="s">
        <v>2961</v>
      </c>
      <c r="H823" s="107" t="s">
        <v>2981</v>
      </c>
      <c r="I823" s="107" t="s">
        <v>2997</v>
      </c>
      <c r="J823" s="107" t="s">
        <v>2997</v>
      </c>
      <c r="K823" s="107" t="s">
        <v>2997</v>
      </c>
      <c r="L823" s="107">
        <v>15.91</v>
      </c>
      <c r="M823" s="107"/>
    </row>
    <row r="824" spans="1:13" x14ac:dyDescent="0.3">
      <c r="A824" s="95">
        <f t="shared" si="12"/>
        <v>0</v>
      </c>
      <c r="B824" s="106" t="s">
        <v>842</v>
      </c>
      <c r="C824" s="95" t="s">
        <v>2290</v>
      </c>
      <c r="D824" s="106">
        <v>12</v>
      </c>
      <c r="E824" s="107">
        <v>1</v>
      </c>
      <c r="F824" s="107" t="s">
        <v>2959</v>
      </c>
      <c r="G824" s="107" t="s">
        <v>2961</v>
      </c>
      <c r="H824" s="107" t="s">
        <v>2981</v>
      </c>
      <c r="I824" s="107" t="s">
        <v>2997</v>
      </c>
      <c r="J824" s="107" t="s">
        <v>2997</v>
      </c>
      <c r="K824" s="107" t="s">
        <v>2997</v>
      </c>
      <c r="L824" s="107">
        <v>305.89</v>
      </c>
      <c r="M824" s="107">
        <v>3</v>
      </c>
    </row>
    <row r="825" spans="1:13" x14ac:dyDescent="0.3">
      <c r="A825" s="95">
        <f t="shared" si="12"/>
        <v>1</v>
      </c>
      <c r="B825" s="106" t="s">
        <v>843</v>
      </c>
      <c r="C825" s="95" t="s">
        <v>2291</v>
      </c>
      <c r="D825" s="106">
        <v>12</v>
      </c>
      <c r="E825" s="107">
        <v>1</v>
      </c>
      <c r="F825" s="107" t="s">
        <v>2958</v>
      </c>
      <c r="G825" s="107" t="s">
        <v>2968</v>
      </c>
      <c r="H825" s="107" t="s">
        <v>2968</v>
      </c>
      <c r="I825" s="107" t="s">
        <v>2997</v>
      </c>
      <c r="J825" s="107" t="s">
        <v>2997</v>
      </c>
      <c r="K825" s="107" t="s">
        <v>2997</v>
      </c>
      <c r="L825" s="107">
        <v>4080.62</v>
      </c>
      <c r="M825" s="107">
        <v>15</v>
      </c>
    </row>
    <row r="826" spans="1:13" x14ac:dyDescent="0.3">
      <c r="A826" s="95">
        <f t="shared" si="12"/>
        <v>0</v>
      </c>
      <c r="B826" s="106" t="s">
        <v>844</v>
      </c>
      <c r="C826" s="95" t="s">
        <v>2292</v>
      </c>
      <c r="D826" s="106">
        <v>12</v>
      </c>
      <c r="E826" s="107">
        <v>1</v>
      </c>
      <c r="F826" s="107" t="s">
        <v>2959</v>
      </c>
      <c r="G826" s="107" t="s">
        <v>2960</v>
      </c>
      <c r="H826" s="107" t="s">
        <v>2970</v>
      </c>
      <c r="I826" s="107" t="s">
        <v>2996</v>
      </c>
      <c r="J826" s="107" t="s">
        <v>2996</v>
      </c>
      <c r="K826" s="107" t="s">
        <v>2996</v>
      </c>
      <c r="L826" s="107">
        <v>13.6</v>
      </c>
      <c r="M826" s="107"/>
    </row>
    <row r="827" spans="1:13" x14ac:dyDescent="0.3">
      <c r="A827" s="95">
        <f t="shared" si="12"/>
        <v>0</v>
      </c>
      <c r="B827" s="106" t="s">
        <v>845</v>
      </c>
      <c r="C827" s="95" t="s">
        <v>2293</v>
      </c>
      <c r="D827" s="106">
        <v>12</v>
      </c>
      <c r="E827" s="107">
        <v>1</v>
      </c>
      <c r="F827" s="107" t="s">
        <v>2959</v>
      </c>
      <c r="G827" s="107" t="s">
        <v>2966</v>
      </c>
      <c r="H827" s="107" t="s">
        <v>2980</v>
      </c>
      <c r="I827" s="107" t="s">
        <v>2997</v>
      </c>
      <c r="J827" s="107" t="s">
        <v>2997</v>
      </c>
      <c r="K827" s="107" t="s">
        <v>2997</v>
      </c>
      <c r="L827" s="107">
        <v>332.25</v>
      </c>
      <c r="M827" s="107">
        <v>3</v>
      </c>
    </row>
    <row r="828" spans="1:13" x14ac:dyDescent="0.3">
      <c r="A828" s="95">
        <f t="shared" si="12"/>
        <v>0</v>
      </c>
      <c r="B828" s="106" t="s">
        <v>846</v>
      </c>
      <c r="C828" s="95" t="s">
        <v>2294</v>
      </c>
      <c r="D828" s="106">
        <v>12</v>
      </c>
      <c r="E828" s="107">
        <v>1</v>
      </c>
      <c r="F828" s="107" t="s">
        <v>2959</v>
      </c>
      <c r="G828" s="107" t="s">
        <v>2965</v>
      </c>
      <c r="H828" s="107" t="s">
        <v>2965</v>
      </c>
      <c r="I828" s="107" t="s">
        <v>2997</v>
      </c>
      <c r="J828" s="107" t="s">
        <v>2997</v>
      </c>
      <c r="K828" s="107" t="s">
        <v>2997</v>
      </c>
      <c r="L828" s="107">
        <v>109.79</v>
      </c>
      <c r="M828" s="107">
        <v>1</v>
      </c>
    </row>
    <row r="829" spans="1:13" x14ac:dyDescent="0.3">
      <c r="A829" s="95">
        <f t="shared" si="12"/>
        <v>0</v>
      </c>
      <c r="B829" s="106" t="s">
        <v>847</v>
      </c>
      <c r="C829" s="95" t="s">
        <v>2295</v>
      </c>
      <c r="D829" s="106">
        <v>12</v>
      </c>
      <c r="E829" s="107">
        <v>1</v>
      </c>
      <c r="F829" s="107" t="s">
        <v>2958</v>
      </c>
      <c r="G829" s="107" t="s">
        <v>2964</v>
      </c>
      <c r="H829" s="107" t="s">
        <v>2976</v>
      </c>
      <c r="I829" s="107" t="s">
        <v>2997</v>
      </c>
      <c r="J829" s="107" t="s">
        <v>2997</v>
      </c>
      <c r="K829" s="107" t="s">
        <v>2996</v>
      </c>
      <c r="L829" s="107">
        <v>235.79</v>
      </c>
      <c r="M829" s="107"/>
    </row>
    <row r="830" spans="1:13" x14ac:dyDescent="0.3">
      <c r="A830" s="95">
        <f t="shared" si="12"/>
        <v>0</v>
      </c>
      <c r="B830" s="106" t="s">
        <v>848</v>
      </c>
      <c r="C830" s="95" t="s">
        <v>2296</v>
      </c>
      <c r="D830" s="106">
        <v>12</v>
      </c>
      <c r="E830" s="107">
        <v>1</v>
      </c>
      <c r="F830" s="107" t="s">
        <v>2959</v>
      </c>
      <c r="G830" s="107" t="s">
        <v>2966</v>
      </c>
      <c r="H830" s="107" t="s">
        <v>2978</v>
      </c>
      <c r="I830" s="107" t="s">
        <v>2997</v>
      </c>
      <c r="J830" s="107" t="s">
        <v>2997</v>
      </c>
      <c r="K830" s="107" t="s">
        <v>2997</v>
      </c>
      <c r="L830" s="107">
        <v>217.88</v>
      </c>
      <c r="M830" s="107"/>
    </row>
    <row r="831" spans="1:13" x14ac:dyDescent="0.3">
      <c r="A831" s="95">
        <f t="shared" si="12"/>
        <v>0</v>
      </c>
      <c r="B831" s="106" t="s">
        <v>849</v>
      </c>
      <c r="C831" s="95" t="s">
        <v>2297</v>
      </c>
      <c r="D831" s="106">
        <v>12</v>
      </c>
      <c r="E831" s="107">
        <v>1</v>
      </c>
      <c r="F831" s="107" t="s">
        <v>2959</v>
      </c>
      <c r="G831" s="107" t="s">
        <v>2964</v>
      </c>
      <c r="H831" s="107" t="s">
        <v>2976</v>
      </c>
      <c r="I831" s="107" t="s">
        <v>2996</v>
      </c>
      <c r="J831" s="107" t="s">
        <v>2996</v>
      </c>
      <c r="K831" s="107" t="s">
        <v>2996</v>
      </c>
      <c r="L831" s="107">
        <v>159.08000000000001</v>
      </c>
      <c r="M831" s="107"/>
    </row>
    <row r="832" spans="1:13" x14ac:dyDescent="0.3">
      <c r="A832" s="95">
        <f t="shared" si="12"/>
        <v>1</v>
      </c>
      <c r="B832" s="106" t="s">
        <v>850</v>
      </c>
      <c r="C832" s="95" t="s">
        <v>2298</v>
      </c>
      <c r="D832" s="106">
        <v>12</v>
      </c>
      <c r="E832" s="107">
        <v>1</v>
      </c>
      <c r="F832" s="107" t="s">
        <v>2958</v>
      </c>
      <c r="G832" s="107" t="s">
        <v>2966</v>
      </c>
      <c r="H832" s="107" t="s">
        <v>2985</v>
      </c>
      <c r="I832" s="107" t="s">
        <v>2997</v>
      </c>
      <c r="J832" s="107" t="s">
        <v>2997</v>
      </c>
      <c r="K832" s="107" t="s">
        <v>2997</v>
      </c>
      <c r="L832" s="107">
        <v>3550.18</v>
      </c>
      <c r="M832" s="107">
        <v>21</v>
      </c>
    </row>
    <row r="833" spans="1:13" x14ac:dyDescent="0.3">
      <c r="A833" s="95">
        <f t="shared" si="12"/>
        <v>0</v>
      </c>
      <c r="B833" s="106" t="s">
        <v>851</v>
      </c>
      <c r="C833" s="95" t="s">
        <v>2299</v>
      </c>
      <c r="D833" s="106">
        <v>12</v>
      </c>
      <c r="E833" s="107">
        <v>1</v>
      </c>
      <c r="F833" s="107" t="s">
        <v>2958</v>
      </c>
      <c r="G833" s="107" t="s">
        <v>2963</v>
      </c>
      <c r="H833" s="107" t="s">
        <v>2974</v>
      </c>
      <c r="I833" s="107" t="s">
        <v>2997</v>
      </c>
      <c r="J833" s="107" t="s">
        <v>2997</v>
      </c>
      <c r="K833" s="107" t="s">
        <v>2996</v>
      </c>
      <c r="L833" s="107">
        <v>264.44</v>
      </c>
      <c r="M833" s="107"/>
    </row>
    <row r="834" spans="1:13" x14ac:dyDescent="0.3">
      <c r="A834" s="95">
        <f t="shared" si="12"/>
        <v>0</v>
      </c>
      <c r="B834" s="106" t="s">
        <v>852</v>
      </c>
      <c r="C834" s="95" t="s">
        <v>2300</v>
      </c>
      <c r="D834" s="106">
        <v>12</v>
      </c>
      <c r="E834" s="107">
        <v>1</v>
      </c>
      <c r="F834" s="107" t="s">
        <v>2959</v>
      </c>
      <c r="G834" s="107" t="s">
        <v>2965</v>
      </c>
      <c r="H834" s="107" t="s">
        <v>2965</v>
      </c>
      <c r="I834" s="107" t="s">
        <v>2996</v>
      </c>
      <c r="J834" s="107" t="s">
        <v>2996</v>
      </c>
      <c r="K834" s="107" t="s">
        <v>2996</v>
      </c>
      <c r="L834" s="107">
        <v>20.149999999999999</v>
      </c>
      <c r="M834" s="107"/>
    </row>
    <row r="835" spans="1:13" x14ac:dyDescent="0.3">
      <c r="A835" s="95">
        <f t="shared" si="12"/>
        <v>0</v>
      </c>
      <c r="B835" s="106" t="s">
        <v>853</v>
      </c>
      <c r="C835" s="95" t="s">
        <v>2301</v>
      </c>
      <c r="D835" s="106">
        <v>12</v>
      </c>
      <c r="E835" s="107">
        <v>1</v>
      </c>
      <c r="F835" s="107" t="s">
        <v>2959</v>
      </c>
      <c r="G835" s="107" t="s">
        <v>2969</v>
      </c>
      <c r="H835" s="107" t="s">
        <v>2994</v>
      </c>
      <c r="I835" s="107" t="s">
        <v>2997</v>
      </c>
      <c r="J835" s="107" t="s">
        <v>2997</v>
      </c>
      <c r="K835" s="107" t="s">
        <v>2996</v>
      </c>
      <c r="L835" s="107">
        <v>80.33</v>
      </c>
      <c r="M835" s="107"/>
    </row>
    <row r="836" spans="1:13" x14ac:dyDescent="0.3">
      <c r="A836" s="95">
        <f t="shared" si="12"/>
        <v>0</v>
      </c>
      <c r="B836" s="106" t="s">
        <v>854</v>
      </c>
      <c r="C836" s="95" t="s">
        <v>2302</v>
      </c>
      <c r="D836" s="106">
        <v>12</v>
      </c>
      <c r="E836" s="107">
        <v>1</v>
      </c>
      <c r="F836" s="107" t="s">
        <v>2959</v>
      </c>
      <c r="G836" s="107" t="s">
        <v>2965</v>
      </c>
      <c r="H836" s="107" t="s">
        <v>2965</v>
      </c>
      <c r="I836" s="107" t="s">
        <v>2997</v>
      </c>
      <c r="J836" s="107" t="s">
        <v>2997</v>
      </c>
      <c r="K836" s="107" t="s">
        <v>2997</v>
      </c>
      <c r="L836" s="107">
        <v>56.02</v>
      </c>
      <c r="M836" s="107">
        <v>1</v>
      </c>
    </row>
    <row r="837" spans="1:13" x14ac:dyDescent="0.3">
      <c r="A837" s="95">
        <f t="shared" si="12"/>
        <v>0</v>
      </c>
      <c r="B837" s="106" t="s">
        <v>855</v>
      </c>
      <c r="C837" s="95" t="s">
        <v>2303</v>
      </c>
      <c r="D837" s="106">
        <v>12</v>
      </c>
      <c r="E837" s="107">
        <v>1</v>
      </c>
      <c r="F837" s="107" t="s">
        <v>2959</v>
      </c>
      <c r="G837" s="107" t="s">
        <v>2965</v>
      </c>
      <c r="H837" s="107" t="s">
        <v>2965</v>
      </c>
      <c r="I837" s="107" t="s">
        <v>2996</v>
      </c>
      <c r="J837" s="107" t="s">
        <v>2996</v>
      </c>
      <c r="K837" s="107" t="s">
        <v>2996</v>
      </c>
      <c r="L837" s="107">
        <v>51.98</v>
      </c>
      <c r="M837" s="107"/>
    </row>
    <row r="838" spans="1:13" x14ac:dyDescent="0.3">
      <c r="A838" s="95">
        <f t="shared" si="12"/>
        <v>0</v>
      </c>
      <c r="B838" s="106" t="s">
        <v>856</v>
      </c>
      <c r="C838" s="95" t="s">
        <v>2304</v>
      </c>
      <c r="D838" s="106">
        <v>12</v>
      </c>
      <c r="E838" s="107">
        <v>1</v>
      </c>
      <c r="F838" s="107" t="s">
        <v>2959</v>
      </c>
      <c r="G838" s="107" t="s">
        <v>2966</v>
      </c>
      <c r="H838" s="107" t="s">
        <v>2984</v>
      </c>
      <c r="I838" s="107" t="s">
        <v>2997</v>
      </c>
      <c r="J838" s="107" t="s">
        <v>2997</v>
      </c>
      <c r="K838" s="107" t="s">
        <v>2996</v>
      </c>
      <c r="L838" s="107">
        <v>39.1</v>
      </c>
      <c r="M838" s="107"/>
    </row>
    <row r="839" spans="1:13" x14ac:dyDescent="0.3">
      <c r="A839" s="95">
        <f t="shared" si="12"/>
        <v>0</v>
      </c>
      <c r="B839" s="106" t="s">
        <v>857</v>
      </c>
      <c r="C839" s="95" t="s">
        <v>2305</v>
      </c>
      <c r="D839" s="106">
        <v>12</v>
      </c>
      <c r="E839" s="107">
        <v>1</v>
      </c>
      <c r="F839" s="107" t="s">
        <v>2959</v>
      </c>
      <c r="G839" s="107" t="s">
        <v>2966</v>
      </c>
      <c r="H839" s="107" t="s">
        <v>2984</v>
      </c>
      <c r="I839" s="107" t="s">
        <v>2997</v>
      </c>
      <c r="J839" s="107" t="s">
        <v>2997</v>
      </c>
      <c r="K839" s="107" t="s">
        <v>2997</v>
      </c>
      <c r="L839" s="107">
        <v>286.58</v>
      </c>
      <c r="M839" s="107">
        <v>2</v>
      </c>
    </row>
    <row r="840" spans="1:13" x14ac:dyDescent="0.3">
      <c r="A840" s="95">
        <f t="shared" si="12"/>
        <v>0</v>
      </c>
      <c r="B840" s="106" t="s">
        <v>858</v>
      </c>
      <c r="C840" s="95" t="s">
        <v>2306</v>
      </c>
      <c r="D840" s="106">
        <v>12</v>
      </c>
      <c r="E840" s="107">
        <v>1</v>
      </c>
      <c r="F840" s="107" t="s">
        <v>2959</v>
      </c>
      <c r="G840" s="107" t="s">
        <v>2969</v>
      </c>
      <c r="H840" s="107" t="s">
        <v>2994</v>
      </c>
      <c r="I840" s="107" t="s">
        <v>2996</v>
      </c>
      <c r="J840" s="107" t="s">
        <v>2996</v>
      </c>
      <c r="K840" s="107" t="s">
        <v>2996</v>
      </c>
      <c r="L840" s="107">
        <v>64.7</v>
      </c>
      <c r="M840" s="107"/>
    </row>
    <row r="841" spans="1:13" x14ac:dyDescent="0.3">
      <c r="A841" s="95">
        <f t="shared" si="12"/>
        <v>0</v>
      </c>
      <c r="B841" s="106" t="s">
        <v>859</v>
      </c>
      <c r="C841" s="95" t="s">
        <v>2307</v>
      </c>
      <c r="D841" s="106">
        <v>12</v>
      </c>
      <c r="E841" s="107">
        <v>1</v>
      </c>
      <c r="F841" s="107" t="s">
        <v>2959</v>
      </c>
      <c r="G841" s="107" t="s">
        <v>2966</v>
      </c>
      <c r="H841" s="107" t="s">
        <v>2978</v>
      </c>
      <c r="I841" s="107" t="s">
        <v>2996</v>
      </c>
      <c r="J841" s="107" t="s">
        <v>2996</v>
      </c>
      <c r="K841" s="107" t="s">
        <v>2996</v>
      </c>
      <c r="L841" s="107">
        <v>41.67</v>
      </c>
      <c r="M841" s="107"/>
    </row>
    <row r="842" spans="1:13" x14ac:dyDescent="0.3">
      <c r="A842" s="95">
        <f t="shared" si="12"/>
        <v>1</v>
      </c>
      <c r="B842" s="106" t="s">
        <v>860</v>
      </c>
      <c r="C842" s="95" t="s">
        <v>2308</v>
      </c>
      <c r="D842" s="106">
        <v>12</v>
      </c>
      <c r="E842" s="107">
        <v>1</v>
      </c>
      <c r="F842" s="107" t="s">
        <v>2959</v>
      </c>
      <c r="G842" s="107" t="s">
        <v>2966</v>
      </c>
      <c r="H842" s="107" t="s">
        <v>2978</v>
      </c>
      <c r="I842" s="107" t="s">
        <v>2997</v>
      </c>
      <c r="J842" s="107" t="s">
        <v>2997</v>
      </c>
      <c r="K842" s="107" t="s">
        <v>2997</v>
      </c>
      <c r="L842" s="107">
        <v>706.61</v>
      </c>
      <c r="M842" s="107">
        <v>13</v>
      </c>
    </row>
    <row r="843" spans="1:13" x14ac:dyDescent="0.3">
      <c r="A843" s="95">
        <f t="shared" si="12"/>
        <v>0</v>
      </c>
      <c r="B843" s="106" t="s">
        <v>861</v>
      </c>
      <c r="C843" s="95" t="s">
        <v>2309</v>
      </c>
      <c r="D843" s="106">
        <v>12</v>
      </c>
      <c r="E843" s="107">
        <v>1</v>
      </c>
      <c r="F843" s="107" t="s">
        <v>2959</v>
      </c>
      <c r="G843" s="107" t="s">
        <v>2964</v>
      </c>
      <c r="H843" s="107" t="s">
        <v>2976</v>
      </c>
      <c r="I843" s="107" t="s">
        <v>2997</v>
      </c>
      <c r="J843" s="107" t="s">
        <v>2997</v>
      </c>
      <c r="K843" s="107" t="s">
        <v>2997</v>
      </c>
      <c r="L843" s="107">
        <v>106</v>
      </c>
      <c r="M843" s="107">
        <v>3</v>
      </c>
    </row>
    <row r="844" spans="1:13" x14ac:dyDescent="0.3">
      <c r="A844" s="95">
        <f t="shared" si="12"/>
        <v>0</v>
      </c>
      <c r="B844" s="106" t="s">
        <v>862</v>
      </c>
      <c r="C844" s="95" t="s">
        <v>2310</v>
      </c>
      <c r="D844" s="106">
        <v>12</v>
      </c>
      <c r="E844" s="107">
        <v>1</v>
      </c>
      <c r="F844" s="107" t="s">
        <v>2959</v>
      </c>
      <c r="G844" s="107" t="s">
        <v>2966</v>
      </c>
      <c r="H844" s="107" t="s">
        <v>2978</v>
      </c>
      <c r="I844" s="107" t="s">
        <v>2997</v>
      </c>
      <c r="J844" s="107" t="s">
        <v>2997</v>
      </c>
      <c r="K844" s="107" t="s">
        <v>2997</v>
      </c>
      <c r="L844" s="107">
        <v>245.85</v>
      </c>
      <c r="M844" s="107">
        <v>1</v>
      </c>
    </row>
    <row r="845" spans="1:13" x14ac:dyDescent="0.3">
      <c r="A845" s="95">
        <f t="shared" si="12"/>
        <v>0</v>
      </c>
      <c r="B845" s="106" t="s">
        <v>863</v>
      </c>
      <c r="C845" s="95" t="s">
        <v>2311</v>
      </c>
      <c r="D845" s="106">
        <v>12</v>
      </c>
      <c r="E845" s="107">
        <v>1</v>
      </c>
      <c r="F845" s="107" t="s">
        <v>2959</v>
      </c>
      <c r="G845" s="107" t="s">
        <v>2961</v>
      </c>
      <c r="H845" s="107" t="s">
        <v>2972</v>
      </c>
      <c r="I845" s="107" t="s">
        <v>2996</v>
      </c>
      <c r="J845" s="107" t="s">
        <v>2996</v>
      </c>
      <c r="K845" s="107" t="s">
        <v>2996</v>
      </c>
      <c r="L845" s="107">
        <v>39.53</v>
      </c>
      <c r="M845" s="107"/>
    </row>
    <row r="846" spans="1:13" x14ac:dyDescent="0.3">
      <c r="A846" s="95">
        <f t="shared" si="12"/>
        <v>0</v>
      </c>
      <c r="B846" s="106" t="s">
        <v>864</v>
      </c>
      <c r="C846" s="95" t="s">
        <v>2312</v>
      </c>
      <c r="D846" s="106">
        <v>12</v>
      </c>
      <c r="E846" s="107">
        <v>1</v>
      </c>
      <c r="F846" s="107" t="s">
        <v>2959</v>
      </c>
      <c r="G846" s="107" t="s">
        <v>2965</v>
      </c>
      <c r="H846" s="107" t="s">
        <v>2965</v>
      </c>
      <c r="I846" s="107" t="s">
        <v>2996</v>
      </c>
      <c r="J846" s="107" t="s">
        <v>2996</v>
      </c>
      <c r="K846" s="107" t="s">
        <v>2996</v>
      </c>
      <c r="L846" s="107">
        <v>26.63</v>
      </c>
      <c r="M846" s="107"/>
    </row>
    <row r="847" spans="1:13" x14ac:dyDescent="0.3">
      <c r="A847" s="95">
        <f t="shared" ref="A847:A910" si="13">IF(AND(E847=1,J847=K847,M847&gt;6),1,0)</f>
        <v>0</v>
      </c>
      <c r="B847" s="106" t="s">
        <v>865</v>
      </c>
      <c r="C847" s="95" t="s">
        <v>2313</v>
      </c>
      <c r="D847" s="106">
        <v>12</v>
      </c>
      <c r="E847" s="107">
        <v>1</v>
      </c>
      <c r="F847" s="107" t="s">
        <v>2958</v>
      </c>
      <c r="G847" s="107" t="s">
        <v>2961</v>
      </c>
      <c r="H847" s="107" t="s">
        <v>2981</v>
      </c>
      <c r="I847" s="107" t="s">
        <v>2997</v>
      </c>
      <c r="J847" s="107" t="s">
        <v>2997</v>
      </c>
      <c r="K847" s="107" t="s">
        <v>2996</v>
      </c>
      <c r="L847" s="107">
        <v>30.82</v>
      </c>
      <c r="M847" s="107"/>
    </row>
    <row r="848" spans="1:13" x14ac:dyDescent="0.3">
      <c r="A848" s="95">
        <f t="shared" si="13"/>
        <v>0</v>
      </c>
      <c r="B848" s="106" t="s">
        <v>866</v>
      </c>
      <c r="C848" s="95" t="s">
        <v>2314</v>
      </c>
      <c r="D848" s="106">
        <v>12</v>
      </c>
      <c r="E848" s="107">
        <v>1</v>
      </c>
      <c r="F848" s="107" t="s">
        <v>2959</v>
      </c>
      <c r="G848" s="107" t="s">
        <v>2966</v>
      </c>
      <c r="H848" s="107" t="s">
        <v>2980</v>
      </c>
      <c r="I848" s="107" t="s">
        <v>2997</v>
      </c>
      <c r="J848" s="107" t="s">
        <v>2997</v>
      </c>
      <c r="K848" s="107" t="s">
        <v>2996</v>
      </c>
      <c r="L848" s="107">
        <v>77.260000000000005</v>
      </c>
      <c r="M848" s="107"/>
    </row>
    <row r="849" spans="1:13" x14ac:dyDescent="0.3">
      <c r="A849" s="95">
        <f t="shared" si="13"/>
        <v>0</v>
      </c>
      <c r="B849" s="106" t="s">
        <v>867</v>
      </c>
      <c r="C849" s="95" t="s">
        <v>2315</v>
      </c>
      <c r="D849" s="106">
        <v>12</v>
      </c>
      <c r="E849" s="107">
        <v>1</v>
      </c>
      <c r="F849" s="107" t="s">
        <v>2959</v>
      </c>
      <c r="G849" s="107" t="s">
        <v>2966</v>
      </c>
      <c r="H849" s="107" t="s">
        <v>2984</v>
      </c>
      <c r="I849" s="107" t="s">
        <v>2997</v>
      </c>
      <c r="J849" s="107" t="s">
        <v>2997</v>
      </c>
      <c r="K849" s="107" t="s">
        <v>2996</v>
      </c>
      <c r="L849" s="107">
        <v>28.18</v>
      </c>
      <c r="M849" s="107"/>
    </row>
    <row r="850" spans="1:13" x14ac:dyDescent="0.3">
      <c r="A850" s="95">
        <f t="shared" si="13"/>
        <v>0</v>
      </c>
      <c r="B850" s="106" t="s">
        <v>868</v>
      </c>
      <c r="C850" s="95" t="s">
        <v>2316</v>
      </c>
      <c r="D850" s="106">
        <v>12</v>
      </c>
      <c r="E850" s="107">
        <v>1</v>
      </c>
      <c r="F850" s="107" t="s">
        <v>2959</v>
      </c>
      <c r="G850" s="107" t="s">
        <v>2966</v>
      </c>
      <c r="H850" s="107" t="s">
        <v>2978</v>
      </c>
      <c r="I850" s="107" t="s">
        <v>2997</v>
      </c>
      <c r="J850" s="107" t="s">
        <v>2997</v>
      </c>
      <c r="K850" s="107" t="s">
        <v>2997</v>
      </c>
      <c r="L850" s="107">
        <v>91.35</v>
      </c>
      <c r="M850" s="107"/>
    </row>
    <row r="851" spans="1:13" x14ac:dyDescent="0.3">
      <c r="A851" s="95">
        <f t="shared" si="13"/>
        <v>0</v>
      </c>
      <c r="B851" s="106" t="s">
        <v>869</v>
      </c>
      <c r="C851" s="95" t="s">
        <v>2317</v>
      </c>
      <c r="D851" s="106">
        <v>12</v>
      </c>
      <c r="E851" s="107">
        <v>1</v>
      </c>
      <c r="F851" s="107" t="s">
        <v>2959</v>
      </c>
      <c r="G851" s="107" t="s">
        <v>2965</v>
      </c>
      <c r="H851" s="107" t="s">
        <v>2965</v>
      </c>
      <c r="I851" s="107" t="s">
        <v>2997</v>
      </c>
      <c r="J851" s="107" t="s">
        <v>2997</v>
      </c>
      <c r="K851" s="107" t="s">
        <v>2996</v>
      </c>
      <c r="L851" s="107">
        <v>172.88</v>
      </c>
      <c r="M851" s="107"/>
    </row>
    <row r="852" spans="1:13" x14ac:dyDescent="0.3">
      <c r="A852" s="95">
        <f t="shared" si="13"/>
        <v>0</v>
      </c>
      <c r="B852" s="106" t="s">
        <v>870</v>
      </c>
      <c r="C852" s="95" t="s">
        <v>2318</v>
      </c>
      <c r="D852" s="106">
        <v>12</v>
      </c>
      <c r="E852" s="107">
        <v>1</v>
      </c>
      <c r="F852" s="107" t="s">
        <v>2959</v>
      </c>
      <c r="G852" s="107" t="s">
        <v>2966</v>
      </c>
      <c r="H852" s="107" t="s">
        <v>2977</v>
      </c>
      <c r="I852" s="107" t="s">
        <v>2997</v>
      </c>
      <c r="J852" s="107" t="s">
        <v>2997</v>
      </c>
      <c r="K852" s="107" t="s">
        <v>2996</v>
      </c>
      <c r="L852" s="107">
        <v>52.39</v>
      </c>
      <c r="M852" s="107"/>
    </row>
    <row r="853" spans="1:13" x14ac:dyDescent="0.3">
      <c r="A853" s="95">
        <f t="shared" si="13"/>
        <v>0</v>
      </c>
      <c r="B853" s="106" t="s">
        <v>871</v>
      </c>
      <c r="C853" s="95" t="s">
        <v>2319</v>
      </c>
      <c r="D853" s="106">
        <v>12</v>
      </c>
      <c r="E853" s="107">
        <v>1</v>
      </c>
      <c r="F853" s="107" t="s">
        <v>2959</v>
      </c>
      <c r="G853" s="107" t="s">
        <v>2964</v>
      </c>
      <c r="H853" s="107" t="s">
        <v>2976</v>
      </c>
      <c r="I853" s="107" t="s">
        <v>2996</v>
      </c>
      <c r="J853" s="107" t="s">
        <v>2996</v>
      </c>
      <c r="K853" s="107" t="s">
        <v>2996</v>
      </c>
      <c r="L853" s="107">
        <v>87.99</v>
      </c>
      <c r="M853" s="107"/>
    </row>
    <row r="854" spans="1:13" x14ac:dyDescent="0.3">
      <c r="A854" s="95">
        <f t="shared" si="13"/>
        <v>0</v>
      </c>
      <c r="B854" s="106" t="s">
        <v>872</v>
      </c>
      <c r="C854" s="95" t="s">
        <v>2320</v>
      </c>
      <c r="D854" s="106">
        <v>12</v>
      </c>
      <c r="E854" s="107">
        <v>1</v>
      </c>
      <c r="F854" s="107" t="s">
        <v>2959</v>
      </c>
      <c r="G854" s="107" t="s">
        <v>2966</v>
      </c>
      <c r="H854" s="107" t="s">
        <v>2984</v>
      </c>
      <c r="I854" s="107" t="s">
        <v>2996</v>
      </c>
      <c r="J854" s="107" t="s">
        <v>2996</v>
      </c>
      <c r="K854" s="107" t="s">
        <v>2996</v>
      </c>
      <c r="L854" s="107">
        <v>44.47</v>
      </c>
      <c r="M854" s="107"/>
    </row>
    <row r="855" spans="1:13" x14ac:dyDescent="0.3">
      <c r="A855" s="95">
        <f t="shared" si="13"/>
        <v>1</v>
      </c>
      <c r="B855" s="106" t="s">
        <v>3541</v>
      </c>
      <c r="C855" s="95" t="s">
        <v>3552</v>
      </c>
      <c r="D855" s="106">
        <v>12</v>
      </c>
      <c r="E855" s="107">
        <v>1</v>
      </c>
      <c r="F855" s="107" t="s">
        <v>2958</v>
      </c>
      <c r="G855" s="107" t="s">
        <v>2961</v>
      </c>
      <c r="H855" s="107" t="s">
        <v>2981</v>
      </c>
      <c r="I855" s="107" t="s">
        <v>2997</v>
      </c>
      <c r="J855" s="107" t="s">
        <v>2997</v>
      </c>
      <c r="K855" s="107" t="s">
        <v>2997</v>
      </c>
      <c r="L855" s="107">
        <v>1428.89</v>
      </c>
      <c r="M855" s="107">
        <v>13</v>
      </c>
    </row>
    <row r="856" spans="1:13" x14ac:dyDescent="0.3">
      <c r="A856" s="95">
        <f t="shared" si="13"/>
        <v>0</v>
      </c>
      <c r="B856" s="106" t="s">
        <v>873</v>
      </c>
      <c r="C856" s="95" t="s">
        <v>2321</v>
      </c>
      <c r="D856" s="106">
        <v>3</v>
      </c>
      <c r="E856" s="107">
        <v>1</v>
      </c>
      <c r="F856" s="107" t="s">
        <v>2958</v>
      </c>
      <c r="G856" s="107" t="s">
        <v>2962</v>
      </c>
      <c r="H856" s="107" t="s">
        <v>2979</v>
      </c>
      <c r="I856" s="107" t="s">
        <v>2997</v>
      </c>
      <c r="J856" s="107" t="s">
        <v>2997</v>
      </c>
      <c r="K856" s="107" t="s">
        <v>2997</v>
      </c>
      <c r="L856" s="107">
        <v>1749</v>
      </c>
      <c r="M856" s="107">
        <v>4</v>
      </c>
    </row>
    <row r="857" spans="1:13" x14ac:dyDescent="0.3">
      <c r="A857" s="95">
        <f t="shared" si="13"/>
        <v>0</v>
      </c>
      <c r="B857" s="106" t="s">
        <v>874</v>
      </c>
      <c r="C857" s="95" t="s">
        <v>2322</v>
      </c>
      <c r="D857" s="106">
        <v>12</v>
      </c>
      <c r="E857" s="107">
        <v>1</v>
      </c>
      <c r="F857" s="107" t="s">
        <v>2959</v>
      </c>
      <c r="G857" s="107"/>
      <c r="H857" s="107"/>
      <c r="I857" s="107" t="s">
        <v>2996</v>
      </c>
      <c r="J857" s="107" t="s">
        <v>2996</v>
      </c>
      <c r="K857" s="107" t="s">
        <v>2996</v>
      </c>
      <c r="L857" s="107">
        <v>24.41</v>
      </c>
      <c r="M857" s="107"/>
    </row>
    <row r="858" spans="1:13" x14ac:dyDescent="0.3">
      <c r="A858" s="95">
        <f t="shared" si="13"/>
        <v>0</v>
      </c>
      <c r="B858" s="106" t="s">
        <v>875</v>
      </c>
      <c r="C858" s="95" t="s">
        <v>2323</v>
      </c>
      <c r="D858" s="106">
        <v>12</v>
      </c>
      <c r="E858" s="107">
        <v>1</v>
      </c>
      <c r="F858" s="107" t="s">
        <v>2958</v>
      </c>
      <c r="G858" s="107" t="s">
        <v>2961</v>
      </c>
      <c r="H858" s="107" t="s">
        <v>2982</v>
      </c>
      <c r="I858" s="107" t="s">
        <v>2996</v>
      </c>
      <c r="J858" s="107" t="s">
        <v>2996</v>
      </c>
      <c r="K858" s="107" t="s">
        <v>2996</v>
      </c>
      <c r="L858" s="107">
        <v>428</v>
      </c>
      <c r="M858" s="107"/>
    </row>
    <row r="859" spans="1:13" x14ac:dyDescent="0.3">
      <c r="A859" s="95">
        <f t="shared" si="13"/>
        <v>0</v>
      </c>
      <c r="B859" s="106" t="s">
        <v>876</v>
      </c>
      <c r="C859" s="95" t="s">
        <v>2324</v>
      </c>
      <c r="D859" s="106">
        <v>12</v>
      </c>
      <c r="E859" s="107">
        <v>1</v>
      </c>
      <c r="F859" s="107" t="s">
        <v>2959</v>
      </c>
      <c r="G859" s="107" t="s">
        <v>2965</v>
      </c>
      <c r="H859" s="107" t="s">
        <v>2965</v>
      </c>
      <c r="I859" s="107" t="s">
        <v>2997</v>
      </c>
      <c r="J859" s="107" t="s">
        <v>2997</v>
      </c>
      <c r="K859" s="107" t="s">
        <v>2997</v>
      </c>
      <c r="L859" s="107">
        <v>16.329999999999998</v>
      </c>
      <c r="M859" s="107"/>
    </row>
    <row r="860" spans="1:13" x14ac:dyDescent="0.3">
      <c r="A860" s="95">
        <f t="shared" si="13"/>
        <v>0</v>
      </c>
      <c r="B860" s="106" t="s">
        <v>877</v>
      </c>
      <c r="C860" s="95" t="s">
        <v>2325</v>
      </c>
      <c r="D860" s="106">
        <v>12</v>
      </c>
      <c r="E860" s="107">
        <v>1</v>
      </c>
      <c r="F860" s="107" t="s">
        <v>2959</v>
      </c>
      <c r="G860" s="107" t="s">
        <v>2966</v>
      </c>
      <c r="H860" s="107" t="s">
        <v>2984</v>
      </c>
      <c r="I860" s="107" t="s">
        <v>2997</v>
      </c>
      <c r="J860" s="107" t="s">
        <v>2997</v>
      </c>
      <c r="K860" s="107" t="s">
        <v>2996</v>
      </c>
      <c r="L860" s="107">
        <v>8.52</v>
      </c>
      <c r="M860" s="107"/>
    </row>
    <row r="861" spans="1:13" x14ac:dyDescent="0.3">
      <c r="A861" s="95">
        <f t="shared" si="13"/>
        <v>0</v>
      </c>
      <c r="B861" s="106" t="s">
        <v>878</v>
      </c>
      <c r="C861" s="95" t="s">
        <v>2326</v>
      </c>
      <c r="D861" s="106">
        <v>12</v>
      </c>
      <c r="E861" s="107">
        <v>1</v>
      </c>
      <c r="F861" s="107" t="s">
        <v>2959</v>
      </c>
      <c r="G861" s="107" t="s">
        <v>2964</v>
      </c>
      <c r="H861" s="107" t="s">
        <v>2976</v>
      </c>
      <c r="I861" s="107" t="s">
        <v>2997</v>
      </c>
      <c r="J861" s="107" t="s">
        <v>2997</v>
      </c>
      <c r="K861" s="107" t="s">
        <v>2997</v>
      </c>
      <c r="L861" s="107">
        <v>14.36</v>
      </c>
      <c r="M861" s="107"/>
    </row>
    <row r="862" spans="1:13" x14ac:dyDescent="0.3">
      <c r="A862" s="95">
        <f t="shared" si="13"/>
        <v>0</v>
      </c>
      <c r="B862" s="106" t="s">
        <v>879</v>
      </c>
      <c r="C862" s="95" t="s">
        <v>2327</v>
      </c>
      <c r="D862" s="106">
        <v>12</v>
      </c>
      <c r="E862" s="107">
        <v>1</v>
      </c>
      <c r="F862" s="107" t="s">
        <v>2959</v>
      </c>
      <c r="G862" s="107" t="s">
        <v>2966</v>
      </c>
      <c r="H862" s="107" t="s">
        <v>2980</v>
      </c>
      <c r="I862" s="107" t="s">
        <v>2997</v>
      </c>
      <c r="J862" s="107" t="s">
        <v>2997</v>
      </c>
      <c r="K862" s="107" t="s">
        <v>2997</v>
      </c>
      <c r="L862" s="107">
        <v>436.46</v>
      </c>
      <c r="M862" s="107">
        <v>3</v>
      </c>
    </row>
    <row r="863" spans="1:13" x14ac:dyDescent="0.3">
      <c r="A863" s="95">
        <f t="shared" si="13"/>
        <v>0</v>
      </c>
      <c r="B863" s="106" t="s">
        <v>880</v>
      </c>
      <c r="C863" s="95" t="s">
        <v>2328</v>
      </c>
      <c r="D863" s="106">
        <v>12</v>
      </c>
      <c r="E863" s="107">
        <v>1</v>
      </c>
      <c r="F863" s="107" t="s">
        <v>2959</v>
      </c>
      <c r="G863" s="107" t="s">
        <v>2960</v>
      </c>
      <c r="H863" s="107" t="s">
        <v>2970</v>
      </c>
      <c r="I863" s="107" t="s">
        <v>2996</v>
      </c>
      <c r="J863" s="107" t="s">
        <v>2996</v>
      </c>
      <c r="K863" s="107" t="s">
        <v>2996</v>
      </c>
      <c r="L863" s="107">
        <v>61.75</v>
      </c>
      <c r="M863" s="107"/>
    </row>
    <row r="864" spans="1:13" x14ac:dyDescent="0.3">
      <c r="A864" s="95">
        <f t="shared" si="13"/>
        <v>0</v>
      </c>
      <c r="B864" s="106" t="s">
        <v>881</v>
      </c>
      <c r="C864" s="95" t="s">
        <v>2329</v>
      </c>
      <c r="D864" s="106">
        <v>12</v>
      </c>
      <c r="E864" s="107">
        <v>1</v>
      </c>
      <c r="F864" s="107" t="s">
        <v>2959</v>
      </c>
      <c r="G864" s="107" t="s">
        <v>2961</v>
      </c>
      <c r="H864" s="107" t="s">
        <v>2971</v>
      </c>
      <c r="I864" s="107" t="s">
        <v>2997</v>
      </c>
      <c r="J864" s="107" t="s">
        <v>2997</v>
      </c>
      <c r="K864" s="107" t="s">
        <v>2996</v>
      </c>
      <c r="L864" s="107">
        <v>39.33</v>
      </c>
      <c r="M864" s="107"/>
    </row>
    <row r="865" spans="1:13" x14ac:dyDescent="0.3">
      <c r="A865" s="95">
        <f t="shared" si="13"/>
        <v>0</v>
      </c>
      <c r="B865" s="106" t="s">
        <v>882</v>
      </c>
      <c r="C865" s="95" t="s">
        <v>2330</v>
      </c>
      <c r="D865" s="106">
        <v>12</v>
      </c>
      <c r="E865" s="107">
        <v>1</v>
      </c>
      <c r="F865" s="107" t="s">
        <v>2959</v>
      </c>
      <c r="G865" s="107" t="s">
        <v>2960</v>
      </c>
      <c r="H865" s="107" t="s">
        <v>2970</v>
      </c>
      <c r="I865" s="107" t="s">
        <v>2997</v>
      </c>
      <c r="J865" s="107" t="s">
        <v>2997</v>
      </c>
      <c r="K865" s="107" t="s">
        <v>2996</v>
      </c>
      <c r="L865" s="107">
        <v>180.11</v>
      </c>
      <c r="M865" s="107">
        <v>1</v>
      </c>
    </row>
    <row r="866" spans="1:13" x14ac:dyDescent="0.3">
      <c r="A866" s="95">
        <f t="shared" si="13"/>
        <v>0</v>
      </c>
      <c r="B866" s="106" t="s">
        <v>883</v>
      </c>
      <c r="C866" s="95" t="s">
        <v>2331</v>
      </c>
      <c r="D866" s="106">
        <v>12</v>
      </c>
      <c r="E866" s="107">
        <v>1</v>
      </c>
      <c r="F866" s="107" t="s">
        <v>2959</v>
      </c>
      <c r="G866" s="107" t="s">
        <v>2964</v>
      </c>
      <c r="H866" s="107" t="s">
        <v>2975</v>
      </c>
      <c r="I866" s="107" t="s">
        <v>2997</v>
      </c>
      <c r="J866" s="107" t="s">
        <v>2997</v>
      </c>
      <c r="K866" s="107" t="s">
        <v>2997</v>
      </c>
      <c r="L866" s="107">
        <v>18.73</v>
      </c>
      <c r="M866" s="107"/>
    </row>
    <row r="867" spans="1:13" x14ac:dyDescent="0.3">
      <c r="A867" s="95">
        <f t="shared" si="13"/>
        <v>0</v>
      </c>
      <c r="B867" s="106" t="s">
        <v>884</v>
      </c>
      <c r="C867" s="95" t="s">
        <v>2332</v>
      </c>
      <c r="D867" s="106">
        <v>12</v>
      </c>
      <c r="E867" s="107">
        <v>1</v>
      </c>
      <c r="F867" s="107" t="s">
        <v>2959</v>
      </c>
      <c r="G867" s="107" t="s">
        <v>2964</v>
      </c>
      <c r="H867" s="107" t="s">
        <v>2975</v>
      </c>
      <c r="I867" s="107" t="s">
        <v>2997</v>
      </c>
      <c r="J867" s="107" t="s">
        <v>2997</v>
      </c>
      <c r="K867" s="107" t="s">
        <v>2997</v>
      </c>
      <c r="L867" s="107">
        <v>126.69</v>
      </c>
      <c r="M867" s="107"/>
    </row>
    <row r="868" spans="1:13" x14ac:dyDescent="0.3">
      <c r="A868" s="95">
        <f t="shared" si="13"/>
        <v>0</v>
      </c>
      <c r="B868" s="106" t="s">
        <v>885</v>
      </c>
      <c r="C868" s="95" t="s">
        <v>2333</v>
      </c>
      <c r="D868" s="106">
        <v>12</v>
      </c>
      <c r="E868" s="107">
        <v>1</v>
      </c>
      <c r="F868" s="107" t="s">
        <v>2959</v>
      </c>
      <c r="G868" s="107" t="s">
        <v>2966</v>
      </c>
      <c r="H868" s="107" t="s">
        <v>2984</v>
      </c>
      <c r="I868" s="107" t="s">
        <v>2997</v>
      </c>
      <c r="J868" s="107" t="s">
        <v>2997</v>
      </c>
      <c r="K868" s="107" t="s">
        <v>2997</v>
      </c>
      <c r="L868" s="107">
        <v>29.95</v>
      </c>
      <c r="M868" s="107"/>
    </row>
    <row r="869" spans="1:13" x14ac:dyDescent="0.3">
      <c r="A869" s="95">
        <f t="shared" si="13"/>
        <v>0</v>
      </c>
      <c r="B869" s="106" t="s">
        <v>886</v>
      </c>
      <c r="C869" s="95" t="s">
        <v>2334</v>
      </c>
      <c r="D869" s="106">
        <v>12</v>
      </c>
      <c r="E869" s="107">
        <v>1</v>
      </c>
      <c r="F869" s="107" t="s">
        <v>2959</v>
      </c>
      <c r="G869" s="107" t="s">
        <v>2964</v>
      </c>
      <c r="H869" s="107" t="s">
        <v>2976</v>
      </c>
      <c r="I869" s="107" t="s">
        <v>2997</v>
      </c>
      <c r="J869" s="107" t="s">
        <v>2997</v>
      </c>
      <c r="K869" s="107" t="s">
        <v>2996</v>
      </c>
      <c r="L869" s="107">
        <v>329.46</v>
      </c>
      <c r="M869" s="107"/>
    </row>
    <row r="870" spans="1:13" x14ac:dyDescent="0.3">
      <c r="A870" s="95">
        <f t="shared" si="13"/>
        <v>0</v>
      </c>
      <c r="B870" s="106" t="s">
        <v>887</v>
      </c>
      <c r="C870" s="95" t="s">
        <v>2335</v>
      </c>
      <c r="D870" s="106">
        <v>12</v>
      </c>
      <c r="E870" s="107">
        <v>1</v>
      </c>
      <c r="F870" s="107" t="s">
        <v>2959</v>
      </c>
      <c r="G870" s="107" t="s">
        <v>2966</v>
      </c>
      <c r="H870" s="107" t="s">
        <v>2984</v>
      </c>
      <c r="I870" s="107" t="s">
        <v>2996</v>
      </c>
      <c r="J870" s="107" t="s">
        <v>2996</v>
      </c>
      <c r="K870" s="107" t="s">
        <v>2996</v>
      </c>
      <c r="L870" s="107">
        <v>23.62</v>
      </c>
      <c r="M870" s="107"/>
    </row>
    <row r="871" spans="1:13" x14ac:dyDescent="0.3">
      <c r="A871" s="95">
        <f t="shared" si="13"/>
        <v>0</v>
      </c>
      <c r="B871" s="106" t="s">
        <v>888</v>
      </c>
      <c r="C871" s="95" t="s">
        <v>2336</v>
      </c>
      <c r="D871" s="106">
        <v>12</v>
      </c>
      <c r="E871" s="107">
        <v>1</v>
      </c>
      <c r="F871" s="107" t="s">
        <v>2959</v>
      </c>
      <c r="G871" s="107" t="s">
        <v>2966</v>
      </c>
      <c r="H871" s="107" t="s">
        <v>2985</v>
      </c>
      <c r="I871" s="107" t="s">
        <v>2997</v>
      </c>
      <c r="J871" s="107" t="s">
        <v>2997</v>
      </c>
      <c r="K871" s="107" t="s">
        <v>2997</v>
      </c>
      <c r="L871" s="107">
        <v>46.63</v>
      </c>
      <c r="M871" s="107"/>
    </row>
    <row r="872" spans="1:13" x14ac:dyDescent="0.3">
      <c r="A872" s="95">
        <f t="shared" si="13"/>
        <v>0</v>
      </c>
      <c r="B872" s="106" t="s">
        <v>889</v>
      </c>
      <c r="C872" s="95" t="s">
        <v>2337</v>
      </c>
      <c r="D872" s="106">
        <v>12</v>
      </c>
      <c r="E872" s="107">
        <v>1</v>
      </c>
      <c r="F872" s="107" t="s">
        <v>2959</v>
      </c>
      <c r="G872" s="107" t="s">
        <v>2967</v>
      </c>
      <c r="H872" s="107" t="s">
        <v>2967</v>
      </c>
      <c r="I872" s="107" t="s">
        <v>2997</v>
      </c>
      <c r="J872" s="107" t="s">
        <v>2997</v>
      </c>
      <c r="K872" s="107" t="s">
        <v>2996</v>
      </c>
      <c r="L872" s="107">
        <v>23.18</v>
      </c>
      <c r="M872" s="107"/>
    </row>
    <row r="873" spans="1:13" x14ac:dyDescent="0.3">
      <c r="A873" s="95">
        <f t="shared" si="13"/>
        <v>0</v>
      </c>
      <c r="B873" s="106" t="s">
        <v>890</v>
      </c>
      <c r="C873" s="95" t="s">
        <v>2338</v>
      </c>
      <c r="D873" s="106">
        <v>12</v>
      </c>
      <c r="E873" s="107">
        <v>1</v>
      </c>
      <c r="F873" s="107" t="s">
        <v>2959</v>
      </c>
      <c r="G873" s="107" t="s">
        <v>2966</v>
      </c>
      <c r="H873" s="107" t="s">
        <v>2984</v>
      </c>
      <c r="I873" s="107" t="s">
        <v>2997</v>
      </c>
      <c r="J873" s="107" t="s">
        <v>2997</v>
      </c>
      <c r="K873" s="107" t="s">
        <v>2996</v>
      </c>
      <c r="L873" s="107">
        <v>34.56</v>
      </c>
      <c r="M873" s="107"/>
    </row>
    <row r="874" spans="1:13" x14ac:dyDescent="0.3">
      <c r="A874" s="95">
        <f t="shared" si="13"/>
        <v>0</v>
      </c>
      <c r="B874" s="106" t="s">
        <v>891</v>
      </c>
      <c r="C874" s="95" t="s">
        <v>2339</v>
      </c>
      <c r="D874" s="106">
        <v>12</v>
      </c>
      <c r="E874" s="107">
        <v>1</v>
      </c>
      <c r="F874" s="107" t="s">
        <v>2959</v>
      </c>
      <c r="G874" s="107" t="s">
        <v>2968</v>
      </c>
      <c r="H874" s="107" t="s">
        <v>2968</v>
      </c>
      <c r="I874" s="107" t="s">
        <v>2997</v>
      </c>
      <c r="J874" s="107" t="s">
        <v>2997</v>
      </c>
      <c r="K874" s="107" t="s">
        <v>2996</v>
      </c>
      <c r="L874" s="107">
        <v>59.74</v>
      </c>
      <c r="M874" s="107"/>
    </row>
    <row r="875" spans="1:13" x14ac:dyDescent="0.3">
      <c r="A875" s="95">
        <f t="shared" si="13"/>
        <v>0</v>
      </c>
      <c r="B875" s="106" t="s">
        <v>892</v>
      </c>
      <c r="C875" s="95" t="s">
        <v>3642</v>
      </c>
      <c r="D875" s="106">
        <v>12</v>
      </c>
      <c r="E875" s="107">
        <v>1</v>
      </c>
      <c r="F875" s="107" t="s">
        <v>2959</v>
      </c>
      <c r="G875" s="107" t="s">
        <v>2966</v>
      </c>
      <c r="H875" s="107" t="s">
        <v>2978</v>
      </c>
      <c r="I875" s="107" t="s">
        <v>2997</v>
      </c>
      <c r="J875" s="107" t="s">
        <v>2997</v>
      </c>
      <c r="K875" s="107" t="s">
        <v>2996</v>
      </c>
      <c r="L875" s="107">
        <v>86.79</v>
      </c>
      <c r="M875" s="107"/>
    </row>
    <row r="876" spans="1:13" x14ac:dyDescent="0.3">
      <c r="A876" s="95">
        <f t="shared" si="13"/>
        <v>0</v>
      </c>
      <c r="B876" s="106" t="s">
        <v>893</v>
      </c>
      <c r="C876" s="95" t="s">
        <v>2340</v>
      </c>
      <c r="D876" s="106">
        <v>12</v>
      </c>
      <c r="E876" s="107">
        <v>1</v>
      </c>
      <c r="F876" s="107" t="s">
        <v>2959</v>
      </c>
      <c r="G876" s="107" t="s">
        <v>2966</v>
      </c>
      <c r="H876" s="107" t="s">
        <v>2977</v>
      </c>
      <c r="I876" s="107" t="s">
        <v>2997</v>
      </c>
      <c r="J876" s="107" t="s">
        <v>2997</v>
      </c>
      <c r="K876" s="107" t="s">
        <v>2997</v>
      </c>
      <c r="L876" s="107">
        <v>73.61</v>
      </c>
      <c r="M876" s="107"/>
    </row>
    <row r="877" spans="1:13" x14ac:dyDescent="0.3">
      <c r="A877" s="95">
        <f t="shared" si="13"/>
        <v>0</v>
      </c>
      <c r="B877" s="106" t="s">
        <v>894</v>
      </c>
      <c r="C877" s="95" t="s">
        <v>2341</v>
      </c>
      <c r="D877" s="106">
        <v>12</v>
      </c>
      <c r="E877" s="107">
        <v>1</v>
      </c>
      <c r="F877" s="107" t="s">
        <v>2959</v>
      </c>
      <c r="G877" s="107" t="s">
        <v>2966</v>
      </c>
      <c r="H877" s="107" t="s">
        <v>2984</v>
      </c>
      <c r="I877" s="107" t="s">
        <v>2997</v>
      </c>
      <c r="J877" s="107" t="s">
        <v>2997</v>
      </c>
      <c r="K877" s="107" t="s">
        <v>2996</v>
      </c>
      <c r="L877" s="107">
        <v>17.68</v>
      </c>
      <c r="M877" s="107"/>
    </row>
    <row r="878" spans="1:13" x14ac:dyDescent="0.3">
      <c r="A878" s="95">
        <f t="shared" si="13"/>
        <v>0</v>
      </c>
      <c r="B878" s="106" t="s">
        <v>895</v>
      </c>
      <c r="C878" s="95" t="s">
        <v>2342</v>
      </c>
      <c r="D878" s="106">
        <v>12</v>
      </c>
      <c r="E878" s="107">
        <v>1</v>
      </c>
      <c r="F878" s="107" t="s">
        <v>2959</v>
      </c>
      <c r="G878" s="107" t="s">
        <v>2964</v>
      </c>
      <c r="H878" s="107" t="s">
        <v>2976</v>
      </c>
      <c r="I878" s="107" t="s">
        <v>2997</v>
      </c>
      <c r="J878" s="107" t="s">
        <v>2997</v>
      </c>
      <c r="K878" s="107" t="s">
        <v>2996</v>
      </c>
      <c r="L878" s="107">
        <v>41.26</v>
      </c>
      <c r="M878" s="107"/>
    </row>
    <row r="879" spans="1:13" x14ac:dyDescent="0.3">
      <c r="A879" s="95">
        <f t="shared" si="13"/>
        <v>0</v>
      </c>
      <c r="B879" s="106" t="s">
        <v>896</v>
      </c>
      <c r="C879" s="95" t="s">
        <v>2343</v>
      </c>
      <c r="D879" s="106">
        <v>12</v>
      </c>
      <c r="E879" s="107">
        <v>1</v>
      </c>
      <c r="F879" s="107" t="s">
        <v>2959</v>
      </c>
      <c r="G879" s="107" t="s">
        <v>2966</v>
      </c>
      <c r="H879" s="107" t="s">
        <v>2978</v>
      </c>
      <c r="I879" s="107" t="s">
        <v>2997</v>
      </c>
      <c r="J879" s="107" t="s">
        <v>2997</v>
      </c>
      <c r="K879" s="107" t="s">
        <v>2997</v>
      </c>
      <c r="L879" s="107">
        <v>437.86</v>
      </c>
      <c r="M879" s="107">
        <v>2</v>
      </c>
    </row>
    <row r="880" spans="1:13" x14ac:dyDescent="0.3">
      <c r="A880" s="95">
        <f t="shared" si="13"/>
        <v>1</v>
      </c>
      <c r="B880" s="106" t="s">
        <v>897</v>
      </c>
      <c r="C880" s="95" t="s">
        <v>2344</v>
      </c>
      <c r="D880" s="106">
        <v>12</v>
      </c>
      <c r="E880" s="107">
        <v>1</v>
      </c>
      <c r="F880" s="107" t="s">
        <v>2958</v>
      </c>
      <c r="G880" s="107" t="s">
        <v>2961</v>
      </c>
      <c r="H880" s="107" t="s">
        <v>2990</v>
      </c>
      <c r="I880" s="107" t="s">
        <v>2997</v>
      </c>
      <c r="J880" s="107" t="s">
        <v>2997</v>
      </c>
      <c r="K880" s="107" t="s">
        <v>2997</v>
      </c>
      <c r="L880" s="107">
        <v>835.2</v>
      </c>
      <c r="M880" s="107">
        <v>7</v>
      </c>
    </row>
    <row r="881" spans="1:13" x14ac:dyDescent="0.3">
      <c r="A881" s="95">
        <f t="shared" si="13"/>
        <v>0</v>
      </c>
      <c r="B881" s="106" t="s">
        <v>898</v>
      </c>
      <c r="C881" s="95" t="s">
        <v>2345</v>
      </c>
      <c r="D881" s="106">
        <v>12</v>
      </c>
      <c r="E881" s="107">
        <v>1</v>
      </c>
      <c r="F881" s="107" t="s">
        <v>2959</v>
      </c>
      <c r="G881" s="107" t="s">
        <v>2960</v>
      </c>
      <c r="H881" s="107" t="s">
        <v>2970</v>
      </c>
      <c r="I881" s="107" t="s">
        <v>2997</v>
      </c>
      <c r="J881" s="107" t="s">
        <v>2997</v>
      </c>
      <c r="K881" s="107" t="s">
        <v>2996</v>
      </c>
      <c r="L881" s="107">
        <v>34.92</v>
      </c>
      <c r="M881" s="107"/>
    </row>
    <row r="882" spans="1:13" x14ac:dyDescent="0.3">
      <c r="A882" s="95">
        <f t="shared" si="13"/>
        <v>0</v>
      </c>
      <c r="B882" s="106" t="s">
        <v>899</v>
      </c>
      <c r="C882" s="95" t="s">
        <v>2346</v>
      </c>
      <c r="D882" s="106">
        <v>12</v>
      </c>
      <c r="E882" s="107">
        <v>1</v>
      </c>
      <c r="F882" s="107" t="s">
        <v>2959</v>
      </c>
      <c r="G882" s="107" t="s">
        <v>2966</v>
      </c>
      <c r="H882" s="107" t="s">
        <v>2978</v>
      </c>
      <c r="I882" s="107" t="s">
        <v>2997</v>
      </c>
      <c r="J882" s="107" t="s">
        <v>2997</v>
      </c>
      <c r="K882" s="107" t="s">
        <v>2996</v>
      </c>
      <c r="L882" s="107">
        <v>39.159999999999997</v>
      </c>
      <c r="M882" s="107"/>
    </row>
    <row r="883" spans="1:13" x14ac:dyDescent="0.3">
      <c r="A883" s="95">
        <f t="shared" si="13"/>
        <v>0</v>
      </c>
      <c r="B883" s="106" t="s">
        <v>900</v>
      </c>
      <c r="C883" s="95" t="s">
        <v>2347</v>
      </c>
      <c r="D883" s="106">
        <v>12</v>
      </c>
      <c r="E883" s="107">
        <v>1</v>
      </c>
      <c r="F883" s="107" t="s">
        <v>2959</v>
      </c>
      <c r="G883" s="107" t="s">
        <v>2965</v>
      </c>
      <c r="H883" s="107" t="s">
        <v>2965</v>
      </c>
      <c r="I883" s="107" t="s">
        <v>2996</v>
      </c>
      <c r="J883" s="107" t="s">
        <v>2996</v>
      </c>
      <c r="K883" s="107" t="s">
        <v>2996</v>
      </c>
      <c r="L883" s="107">
        <v>32.700000000000003</v>
      </c>
      <c r="M883" s="107"/>
    </row>
    <row r="884" spans="1:13" x14ac:dyDescent="0.3">
      <c r="A884" s="95">
        <f t="shared" si="13"/>
        <v>0</v>
      </c>
      <c r="B884" s="106" t="s">
        <v>901</v>
      </c>
      <c r="C884" s="95" t="s">
        <v>2348</v>
      </c>
      <c r="D884" s="106">
        <v>12</v>
      </c>
      <c r="E884" s="107">
        <v>1</v>
      </c>
      <c r="F884" s="107" t="s">
        <v>2959</v>
      </c>
      <c r="G884" s="107" t="s">
        <v>2966</v>
      </c>
      <c r="H884" s="107" t="s">
        <v>2985</v>
      </c>
      <c r="I884" s="107" t="s">
        <v>2996</v>
      </c>
      <c r="J884" s="107" t="s">
        <v>2997</v>
      </c>
      <c r="K884" s="107" t="s">
        <v>2996</v>
      </c>
      <c r="L884" s="107">
        <v>64.94</v>
      </c>
      <c r="M884" s="107"/>
    </row>
    <row r="885" spans="1:13" x14ac:dyDescent="0.3">
      <c r="A885" s="95">
        <f t="shared" si="13"/>
        <v>0</v>
      </c>
      <c r="B885" s="106" t="s">
        <v>902</v>
      </c>
      <c r="C885" s="95" t="s">
        <v>2349</v>
      </c>
      <c r="D885" s="106">
        <v>12</v>
      </c>
      <c r="E885" s="107">
        <v>1</v>
      </c>
      <c r="F885" s="107" t="s">
        <v>2959</v>
      </c>
      <c r="G885" s="107" t="s">
        <v>2961</v>
      </c>
      <c r="H885" s="107" t="s">
        <v>2990</v>
      </c>
      <c r="I885" s="107" t="s">
        <v>2997</v>
      </c>
      <c r="J885" s="107" t="s">
        <v>2997</v>
      </c>
      <c r="K885" s="107" t="s">
        <v>2996</v>
      </c>
      <c r="L885" s="107">
        <v>84.01</v>
      </c>
      <c r="M885" s="107"/>
    </row>
    <row r="886" spans="1:13" x14ac:dyDescent="0.3">
      <c r="A886" s="95">
        <f t="shared" si="13"/>
        <v>0</v>
      </c>
      <c r="B886" s="106" t="s">
        <v>903</v>
      </c>
      <c r="C886" s="95" t="s">
        <v>2350</v>
      </c>
      <c r="D886" s="106">
        <v>12</v>
      </c>
      <c r="E886" s="107">
        <v>1</v>
      </c>
      <c r="F886" s="107" t="s">
        <v>2959</v>
      </c>
      <c r="G886" s="107" t="s">
        <v>2961</v>
      </c>
      <c r="H886" s="107" t="s">
        <v>2981</v>
      </c>
      <c r="I886" s="107" t="s">
        <v>2997</v>
      </c>
      <c r="J886" s="107" t="s">
        <v>2997</v>
      </c>
      <c r="K886" s="107" t="s">
        <v>2996</v>
      </c>
      <c r="L886" s="107">
        <v>42.9</v>
      </c>
      <c r="M886" s="107"/>
    </row>
    <row r="887" spans="1:13" x14ac:dyDescent="0.3">
      <c r="A887" s="95">
        <f t="shared" si="13"/>
        <v>0</v>
      </c>
      <c r="B887" s="106" t="s">
        <v>904</v>
      </c>
      <c r="C887" s="95" t="s">
        <v>2351</v>
      </c>
      <c r="D887" s="106">
        <v>12</v>
      </c>
      <c r="E887" s="107">
        <v>1</v>
      </c>
      <c r="F887" s="107" t="s">
        <v>2959</v>
      </c>
      <c r="G887" s="107" t="s">
        <v>2966</v>
      </c>
      <c r="H887" s="107" t="s">
        <v>2985</v>
      </c>
      <c r="I887" s="107" t="s">
        <v>2996</v>
      </c>
      <c r="J887" s="107" t="s">
        <v>2996</v>
      </c>
      <c r="K887" s="107" t="s">
        <v>2996</v>
      </c>
      <c r="L887" s="107">
        <v>38.770000000000003</v>
      </c>
      <c r="M887" s="107"/>
    </row>
    <row r="888" spans="1:13" x14ac:dyDescent="0.3">
      <c r="A888" s="95">
        <f t="shared" si="13"/>
        <v>0</v>
      </c>
      <c r="B888" s="106" t="s">
        <v>905</v>
      </c>
      <c r="C888" s="95" t="s">
        <v>2352</v>
      </c>
      <c r="D888" s="106">
        <v>12</v>
      </c>
      <c r="E888" s="107">
        <v>1</v>
      </c>
      <c r="F888" s="107" t="s">
        <v>2959</v>
      </c>
      <c r="G888" s="107" t="s">
        <v>2966</v>
      </c>
      <c r="H888" s="107" t="s">
        <v>2978</v>
      </c>
      <c r="I888" s="107" t="s">
        <v>2997</v>
      </c>
      <c r="J888" s="107" t="s">
        <v>2997</v>
      </c>
      <c r="K888" s="107" t="s">
        <v>2996</v>
      </c>
      <c r="L888" s="107">
        <v>38.74</v>
      </c>
      <c r="M888" s="107"/>
    </row>
    <row r="889" spans="1:13" x14ac:dyDescent="0.3">
      <c r="A889" s="95">
        <f t="shared" si="13"/>
        <v>0</v>
      </c>
      <c r="B889" s="106" t="s">
        <v>906</v>
      </c>
      <c r="C889" s="95" t="s">
        <v>7</v>
      </c>
      <c r="D889" s="106">
        <v>3</v>
      </c>
      <c r="E889" s="107">
        <v>1</v>
      </c>
      <c r="F889" s="107" t="s">
        <v>2958</v>
      </c>
      <c r="G889" s="107" t="s">
        <v>2962</v>
      </c>
      <c r="H889" s="107" t="s">
        <v>2979</v>
      </c>
      <c r="I889" s="107" t="s">
        <v>2997</v>
      </c>
      <c r="J889" s="107" t="s">
        <v>2997</v>
      </c>
      <c r="K889" s="107" t="s">
        <v>2997</v>
      </c>
      <c r="L889" s="107">
        <v>1222.1199999999999</v>
      </c>
      <c r="M889" s="107">
        <v>5</v>
      </c>
    </row>
    <row r="890" spans="1:13" x14ac:dyDescent="0.3">
      <c r="A890" s="95">
        <f t="shared" si="13"/>
        <v>0</v>
      </c>
      <c r="B890" s="106" t="s">
        <v>907</v>
      </c>
      <c r="C890" s="95" t="s">
        <v>2353</v>
      </c>
      <c r="D890" s="106">
        <v>12</v>
      </c>
      <c r="E890" s="107">
        <v>1</v>
      </c>
      <c r="F890" s="107" t="s">
        <v>2959</v>
      </c>
      <c r="G890" s="107" t="s">
        <v>2965</v>
      </c>
      <c r="H890" s="107" t="s">
        <v>2965</v>
      </c>
      <c r="I890" s="107" t="s">
        <v>2997</v>
      </c>
      <c r="J890" s="107" t="s">
        <v>2997</v>
      </c>
      <c r="K890" s="107" t="s">
        <v>2996</v>
      </c>
      <c r="L890" s="107">
        <v>386.76</v>
      </c>
      <c r="M890" s="107"/>
    </row>
    <row r="891" spans="1:13" x14ac:dyDescent="0.3">
      <c r="A891" s="95">
        <f t="shared" si="13"/>
        <v>0</v>
      </c>
      <c r="B891" s="106" t="s">
        <v>908</v>
      </c>
      <c r="C891" s="95" t="s">
        <v>2354</v>
      </c>
      <c r="D891" s="106">
        <v>12</v>
      </c>
      <c r="E891" s="107">
        <v>1</v>
      </c>
      <c r="F891" s="107" t="s">
        <v>2959</v>
      </c>
      <c r="G891" s="107" t="s">
        <v>2966</v>
      </c>
      <c r="H891" s="107" t="s">
        <v>2984</v>
      </c>
      <c r="I891" s="107" t="s">
        <v>2997</v>
      </c>
      <c r="J891" s="107" t="s">
        <v>2997</v>
      </c>
      <c r="K891" s="107" t="s">
        <v>2997</v>
      </c>
      <c r="L891" s="107">
        <v>128.78</v>
      </c>
      <c r="M891" s="107"/>
    </row>
    <row r="892" spans="1:13" x14ac:dyDescent="0.3">
      <c r="A892" s="95">
        <f t="shared" si="13"/>
        <v>0</v>
      </c>
      <c r="B892" s="106" t="s">
        <v>909</v>
      </c>
      <c r="C892" s="95" t="s">
        <v>2355</v>
      </c>
      <c r="D892" s="106">
        <v>3</v>
      </c>
      <c r="E892" s="107">
        <v>1</v>
      </c>
      <c r="F892" s="107" t="s">
        <v>2959</v>
      </c>
      <c r="G892" s="107" t="s">
        <v>2964</v>
      </c>
      <c r="H892" s="107" t="s">
        <v>2976</v>
      </c>
      <c r="I892" s="107" t="s">
        <v>2996</v>
      </c>
      <c r="J892" s="107" t="s">
        <v>2996</v>
      </c>
      <c r="K892" s="107" t="s">
        <v>2996</v>
      </c>
      <c r="L892" s="107">
        <v>34.94</v>
      </c>
      <c r="M892" s="107"/>
    </row>
    <row r="893" spans="1:13" x14ac:dyDescent="0.3">
      <c r="A893" s="95">
        <f t="shared" si="13"/>
        <v>0</v>
      </c>
      <c r="B893" s="106" t="s">
        <v>910</v>
      </c>
      <c r="C893" s="95" t="s">
        <v>2356</v>
      </c>
      <c r="D893" s="106">
        <v>12</v>
      </c>
      <c r="E893" s="107">
        <v>1</v>
      </c>
      <c r="F893" s="107" t="s">
        <v>2959</v>
      </c>
      <c r="G893" s="107" t="s">
        <v>2964</v>
      </c>
      <c r="H893" s="107" t="s">
        <v>2976</v>
      </c>
      <c r="I893" s="107" t="s">
        <v>2997</v>
      </c>
      <c r="J893" s="107" t="s">
        <v>2997</v>
      </c>
      <c r="K893" s="107" t="s">
        <v>2996</v>
      </c>
      <c r="L893" s="107">
        <v>77.5</v>
      </c>
      <c r="M893" s="107"/>
    </row>
    <row r="894" spans="1:13" x14ac:dyDescent="0.3">
      <c r="A894" s="95">
        <f t="shared" si="13"/>
        <v>0</v>
      </c>
      <c r="B894" s="106" t="s">
        <v>911</v>
      </c>
      <c r="C894" s="95" t="s">
        <v>2357</v>
      </c>
      <c r="D894" s="106">
        <v>12</v>
      </c>
      <c r="E894" s="107">
        <v>1</v>
      </c>
      <c r="F894" s="107" t="s">
        <v>2959</v>
      </c>
      <c r="G894" s="107" t="s">
        <v>2966</v>
      </c>
      <c r="H894" s="107" t="s">
        <v>2984</v>
      </c>
      <c r="I894" s="107" t="s">
        <v>2997</v>
      </c>
      <c r="J894" s="107" t="s">
        <v>2997</v>
      </c>
      <c r="K894" s="107" t="s">
        <v>2996</v>
      </c>
      <c r="L894" s="107">
        <v>24.22</v>
      </c>
      <c r="M894" s="107"/>
    </row>
    <row r="895" spans="1:13" x14ac:dyDescent="0.3">
      <c r="A895" s="95">
        <f t="shared" si="13"/>
        <v>0</v>
      </c>
      <c r="B895" s="106" t="s">
        <v>912</v>
      </c>
      <c r="C895" s="95" t="s">
        <v>2358</v>
      </c>
      <c r="D895" s="106">
        <v>12</v>
      </c>
      <c r="E895" s="107">
        <v>1</v>
      </c>
      <c r="F895" s="107" t="s">
        <v>2959</v>
      </c>
      <c r="G895" s="107" t="s">
        <v>2960</v>
      </c>
      <c r="H895" s="107" t="s">
        <v>2983</v>
      </c>
      <c r="I895" s="107" t="s">
        <v>2997</v>
      </c>
      <c r="J895" s="107" t="s">
        <v>2997</v>
      </c>
      <c r="K895" s="107" t="s">
        <v>2996</v>
      </c>
      <c r="L895" s="107">
        <v>34.880000000000003</v>
      </c>
      <c r="M895" s="107"/>
    </row>
    <row r="896" spans="1:13" x14ac:dyDescent="0.3">
      <c r="A896" s="95">
        <f t="shared" si="13"/>
        <v>0</v>
      </c>
      <c r="B896" s="106" t="s">
        <v>913</v>
      </c>
      <c r="C896" s="95" t="s">
        <v>2359</v>
      </c>
      <c r="D896" s="106">
        <v>12</v>
      </c>
      <c r="E896" s="107">
        <v>1</v>
      </c>
      <c r="F896" s="107" t="s">
        <v>2959</v>
      </c>
      <c r="G896" s="107" t="s">
        <v>2961</v>
      </c>
      <c r="H896" s="107" t="s">
        <v>2972</v>
      </c>
      <c r="I896" s="107" t="s">
        <v>2997</v>
      </c>
      <c r="J896" s="107" t="s">
        <v>2997</v>
      </c>
      <c r="K896" s="107" t="s">
        <v>2997</v>
      </c>
      <c r="L896" s="107">
        <v>90.09</v>
      </c>
      <c r="M896" s="107"/>
    </row>
    <row r="897" spans="1:13" x14ac:dyDescent="0.3">
      <c r="A897" s="95">
        <f t="shared" si="13"/>
        <v>0</v>
      </c>
      <c r="B897" s="106" t="s">
        <v>914</v>
      </c>
      <c r="C897" s="95" t="s">
        <v>2360</v>
      </c>
      <c r="D897" s="106">
        <v>12</v>
      </c>
      <c r="E897" s="107">
        <v>1</v>
      </c>
      <c r="F897" s="107" t="s">
        <v>2959</v>
      </c>
      <c r="G897" s="107" t="s">
        <v>2960</v>
      </c>
      <c r="H897" s="107" t="s">
        <v>2983</v>
      </c>
      <c r="I897" s="107" t="s">
        <v>2997</v>
      </c>
      <c r="J897" s="107" t="s">
        <v>2997</v>
      </c>
      <c r="K897" s="107" t="s">
        <v>2996</v>
      </c>
      <c r="L897" s="107">
        <v>110.87</v>
      </c>
      <c r="M897" s="107"/>
    </row>
    <row r="898" spans="1:13" x14ac:dyDescent="0.3">
      <c r="A898" s="95">
        <f t="shared" si="13"/>
        <v>0</v>
      </c>
      <c r="B898" s="106" t="s">
        <v>915</v>
      </c>
      <c r="C898" s="95" t="s">
        <v>2361</v>
      </c>
      <c r="D898" s="106">
        <v>12</v>
      </c>
      <c r="E898" s="107">
        <v>1</v>
      </c>
      <c r="F898" s="107" t="s">
        <v>2959</v>
      </c>
      <c r="G898" s="107" t="s">
        <v>2963</v>
      </c>
      <c r="H898" s="107" t="s">
        <v>2988</v>
      </c>
      <c r="I898" s="107" t="s">
        <v>2997</v>
      </c>
      <c r="J898" s="107" t="s">
        <v>2997</v>
      </c>
      <c r="K898" s="107" t="s">
        <v>2996</v>
      </c>
      <c r="L898" s="107">
        <v>32.97</v>
      </c>
      <c r="M898" s="107"/>
    </row>
    <row r="899" spans="1:13" x14ac:dyDescent="0.3">
      <c r="A899" s="95">
        <f t="shared" si="13"/>
        <v>0</v>
      </c>
      <c r="B899" s="106" t="s">
        <v>916</v>
      </c>
      <c r="C899" s="95" t="s">
        <v>2362</v>
      </c>
      <c r="D899" s="106">
        <v>12</v>
      </c>
      <c r="E899" s="107">
        <v>1</v>
      </c>
      <c r="F899" s="107" t="s">
        <v>2959</v>
      </c>
      <c r="G899" s="107" t="s">
        <v>2960</v>
      </c>
      <c r="H899" s="107" t="s">
        <v>2983</v>
      </c>
      <c r="I899" s="107" t="s">
        <v>2997</v>
      </c>
      <c r="J899" s="107" t="s">
        <v>2997</v>
      </c>
      <c r="K899" s="107" t="s">
        <v>2997</v>
      </c>
      <c r="L899" s="107">
        <v>97.61</v>
      </c>
      <c r="M899" s="107">
        <v>1</v>
      </c>
    </row>
    <row r="900" spans="1:13" x14ac:dyDescent="0.3">
      <c r="A900" s="95">
        <f t="shared" si="13"/>
        <v>0</v>
      </c>
      <c r="B900" s="106" t="s">
        <v>917</v>
      </c>
      <c r="C900" s="95" t="s">
        <v>2363</v>
      </c>
      <c r="D900" s="106">
        <v>12</v>
      </c>
      <c r="E900" s="107">
        <v>1</v>
      </c>
      <c r="F900" s="107" t="s">
        <v>2959</v>
      </c>
      <c r="G900" s="107" t="s">
        <v>2961</v>
      </c>
      <c r="H900" s="107" t="s">
        <v>2972</v>
      </c>
      <c r="I900" s="107" t="s">
        <v>2996</v>
      </c>
      <c r="J900" s="107" t="s">
        <v>2996</v>
      </c>
      <c r="K900" s="107" t="s">
        <v>2996</v>
      </c>
      <c r="L900" s="107">
        <v>75.41</v>
      </c>
      <c r="M900" s="107"/>
    </row>
    <row r="901" spans="1:13" x14ac:dyDescent="0.3">
      <c r="A901" s="95">
        <f t="shared" si="13"/>
        <v>0</v>
      </c>
      <c r="B901" s="106" t="s">
        <v>918</v>
      </c>
      <c r="C901" s="95" t="s">
        <v>2364</v>
      </c>
      <c r="D901" s="106">
        <v>12</v>
      </c>
      <c r="E901" s="107">
        <v>1</v>
      </c>
      <c r="F901" s="107" t="s">
        <v>2959</v>
      </c>
      <c r="G901" s="107" t="s">
        <v>2966</v>
      </c>
      <c r="H901" s="107" t="s">
        <v>2985</v>
      </c>
      <c r="I901" s="107" t="s">
        <v>2997</v>
      </c>
      <c r="J901" s="107" t="s">
        <v>2997</v>
      </c>
      <c r="K901" s="107" t="s">
        <v>2996</v>
      </c>
      <c r="L901" s="107">
        <v>54.51</v>
      </c>
      <c r="M901" s="107"/>
    </row>
    <row r="902" spans="1:13" x14ac:dyDescent="0.3">
      <c r="A902" s="95">
        <f t="shared" si="13"/>
        <v>0</v>
      </c>
      <c r="B902" s="106" t="s">
        <v>919</v>
      </c>
      <c r="C902" s="95" t="s">
        <v>2365</v>
      </c>
      <c r="D902" s="106">
        <v>12</v>
      </c>
      <c r="E902" s="107">
        <v>1</v>
      </c>
      <c r="F902" s="107" t="s">
        <v>2959</v>
      </c>
      <c r="G902" s="107" t="s">
        <v>2961</v>
      </c>
      <c r="H902" s="107" t="s">
        <v>2981</v>
      </c>
      <c r="I902" s="107" t="s">
        <v>2996</v>
      </c>
      <c r="J902" s="107" t="s">
        <v>2996</v>
      </c>
      <c r="K902" s="107" t="s">
        <v>2996</v>
      </c>
      <c r="L902" s="107">
        <v>115.08</v>
      </c>
      <c r="M902" s="107">
        <v>1</v>
      </c>
    </row>
    <row r="903" spans="1:13" x14ac:dyDescent="0.3">
      <c r="A903" s="95">
        <f t="shared" si="13"/>
        <v>0</v>
      </c>
      <c r="B903" s="106" t="s">
        <v>920</v>
      </c>
      <c r="C903" s="95" t="s">
        <v>2366</v>
      </c>
      <c r="D903" s="106">
        <v>12</v>
      </c>
      <c r="E903" s="107">
        <v>1</v>
      </c>
      <c r="F903" s="107" t="s">
        <v>2959</v>
      </c>
      <c r="G903" s="107" t="s">
        <v>2966</v>
      </c>
      <c r="H903" s="107" t="s">
        <v>2985</v>
      </c>
      <c r="I903" s="107" t="s">
        <v>2997</v>
      </c>
      <c r="J903" s="107" t="s">
        <v>2997</v>
      </c>
      <c r="K903" s="107" t="s">
        <v>2997</v>
      </c>
      <c r="L903" s="107">
        <v>132.26</v>
      </c>
      <c r="M903" s="107"/>
    </row>
    <row r="904" spans="1:13" x14ac:dyDescent="0.3">
      <c r="A904" s="95">
        <f t="shared" si="13"/>
        <v>0</v>
      </c>
      <c r="B904" s="106" t="s">
        <v>921</v>
      </c>
      <c r="C904" s="95" t="s">
        <v>2367</v>
      </c>
      <c r="D904" s="106">
        <v>12</v>
      </c>
      <c r="E904" s="107">
        <v>1</v>
      </c>
      <c r="F904" s="107" t="s">
        <v>2959</v>
      </c>
      <c r="G904" s="107" t="s">
        <v>2961</v>
      </c>
      <c r="H904" s="107" t="s">
        <v>2991</v>
      </c>
      <c r="I904" s="107" t="s">
        <v>2997</v>
      </c>
      <c r="J904" s="107" t="s">
        <v>2997</v>
      </c>
      <c r="K904" s="107" t="s">
        <v>2996</v>
      </c>
      <c r="L904" s="107">
        <v>87.79</v>
      </c>
      <c r="M904" s="107"/>
    </row>
    <row r="905" spans="1:13" x14ac:dyDescent="0.3">
      <c r="A905" s="95">
        <f t="shared" si="13"/>
        <v>0</v>
      </c>
      <c r="B905" s="106" t="s">
        <v>922</v>
      </c>
      <c r="C905" s="95" t="s">
        <v>2368</v>
      </c>
      <c r="D905" s="106">
        <v>12</v>
      </c>
      <c r="E905" s="107">
        <v>1</v>
      </c>
      <c r="F905" s="107" t="s">
        <v>2959</v>
      </c>
      <c r="G905" s="107" t="s">
        <v>2964</v>
      </c>
      <c r="H905" s="107" t="s">
        <v>2975</v>
      </c>
      <c r="I905" s="107" t="s">
        <v>2997</v>
      </c>
      <c r="J905" s="107" t="s">
        <v>2997</v>
      </c>
      <c r="K905" s="107" t="s">
        <v>2996</v>
      </c>
      <c r="L905" s="107">
        <v>109.93</v>
      </c>
      <c r="M905" s="107"/>
    </row>
    <row r="906" spans="1:13" x14ac:dyDescent="0.3">
      <c r="A906" s="95">
        <f t="shared" si="13"/>
        <v>0</v>
      </c>
      <c r="B906" s="106" t="s">
        <v>923</v>
      </c>
      <c r="C906" s="95" t="s">
        <v>2369</v>
      </c>
      <c r="D906" s="106">
        <v>12</v>
      </c>
      <c r="E906" s="107">
        <v>1</v>
      </c>
      <c r="F906" s="107" t="s">
        <v>2959</v>
      </c>
      <c r="G906" s="107" t="s">
        <v>2966</v>
      </c>
      <c r="H906" s="107" t="s">
        <v>2977</v>
      </c>
      <c r="I906" s="107" t="s">
        <v>2997</v>
      </c>
      <c r="J906" s="107" t="s">
        <v>2997</v>
      </c>
      <c r="K906" s="107" t="s">
        <v>2996</v>
      </c>
      <c r="L906" s="107">
        <v>45.78</v>
      </c>
      <c r="M906" s="107"/>
    </row>
    <row r="907" spans="1:13" x14ac:dyDescent="0.3">
      <c r="A907" s="95">
        <f t="shared" si="13"/>
        <v>0</v>
      </c>
      <c r="B907" s="106" t="s">
        <v>3146</v>
      </c>
      <c r="C907" s="95" t="s">
        <v>3349</v>
      </c>
      <c r="D907" s="106">
        <v>9</v>
      </c>
      <c r="E907" s="107">
        <v>1</v>
      </c>
      <c r="F907" s="107" t="s">
        <v>2959</v>
      </c>
      <c r="G907" s="107" t="s">
        <v>2966</v>
      </c>
      <c r="H907" s="107" t="s">
        <v>2980</v>
      </c>
      <c r="I907" s="107" t="s">
        <v>2996</v>
      </c>
      <c r="J907" s="107" t="s">
        <v>2996</v>
      </c>
      <c r="K907" s="107" t="s">
        <v>2996</v>
      </c>
      <c r="L907" s="107">
        <v>238.39</v>
      </c>
      <c r="M907" s="107">
        <v>2</v>
      </c>
    </row>
    <row r="908" spans="1:13" x14ac:dyDescent="0.3">
      <c r="A908" s="95">
        <f t="shared" si="13"/>
        <v>0</v>
      </c>
      <c r="B908" s="106" t="s">
        <v>924</v>
      </c>
      <c r="C908" s="95" t="s">
        <v>2370</v>
      </c>
      <c r="D908" s="106">
        <v>12</v>
      </c>
      <c r="E908" s="107">
        <v>1</v>
      </c>
      <c r="F908" s="107" t="s">
        <v>2959</v>
      </c>
      <c r="G908" s="107" t="s">
        <v>2966</v>
      </c>
      <c r="H908" s="107" t="s">
        <v>2985</v>
      </c>
      <c r="I908" s="107" t="s">
        <v>2997</v>
      </c>
      <c r="J908" s="107" t="s">
        <v>2997</v>
      </c>
      <c r="K908" s="107" t="s">
        <v>2997</v>
      </c>
      <c r="L908" s="107">
        <v>283.39999999999998</v>
      </c>
      <c r="M908" s="107">
        <v>3</v>
      </c>
    </row>
    <row r="909" spans="1:13" x14ac:dyDescent="0.3">
      <c r="A909" s="95">
        <f t="shared" si="13"/>
        <v>0</v>
      </c>
      <c r="B909" s="106" t="s">
        <v>925</v>
      </c>
      <c r="C909" s="95" t="s">
        <v>3643</v>
      </c>
      <c r="D909" s="106">
        <v>12</v>
      </c>
      <c r="E909" s="107">
        <v>1</v>
      </c>
      <c r="F909" s="107" t="s">
        <v>2959</v>
      </c>
      <c r="G909" s="107" t="s">
        <v>2966</v>
      </c>
      <c r="H909" s="107" t="s">
        <v>2980</v>
      </c>
      <c r="I909" s="107" t="s">
        <v>2997</v>
      </c>
      <c r="J909" s="107" t="s">
        <v>2997</v>
      </c>
      <c r="K909" s="107" t="s">
        <v>2996</v>
      </c>
      <c r="L909" s="107">
        <v>9.08</v>
      </c>
      <c r="M909" s="107"/>
    </row>
    <row r="910" spans="1:13" x14ac:dyDescent="0.3">
      <c r="A910" s="95">
        <f t="shared" si="13"/>
        <v>0</v>
      </c>
      <c r="B910" s="106" t="s">
        <v>926</v>
      </c>
      <c r="C910" s="95" t="s">
        <v>2371</v>
      </c>
      <c r="D910" s="106">
        <v>12</v>
      </c>
      <c r="E910" s="107">
        <v>1</v>
      </c>
      <c r="F910" s="107" t="s">
        <v>2959</v>
      </c>
      <c r="G910" s="107" t="s">
        <v>2966</v>
      </c>
      <c r="H910" s="107" t="s">
        <v>2985</v>
      </c>
      <c r="I910" s="107" t="s">
        <v>2997</v>
      </c>
      <c r="J910" s="107" t="s">
        <v>2997</v>
      </c>
      <c r="K910" s="107" t="s">
        <v>2997</v>
      </c>
      <c r="L910" s="107">
        <v>247.22</v>
      </c>
      <c r="M910" s="107"/>
    </row>
    <row r="911" spans="1:13" x14ac:dyDescent="0.3">
      <c r="A911" s="95">
        <f t="shared" ref="A911:A974" si="14">IF(AND(E911=1,J911=K911,M911&gt;6),1,0)</f>
        <v>0</v>
      </c>
      <c r="B911" s="106" t="s">
        <v>927</v>
      </c>
      <c r="C911" s="95" t="s">
        <v>2372</v>
      </c>
      <c r="D911" s="106">
        <v>12</v>
      </c>
      <c r="E911" s="107">
        <v>1</v>
      </c>
      <c r="F911" s="107" t="s">
        <v>2959</v>
      </c>
      <c r="G911" s="107" t="s">
        <v>2962</v>
      </c>
      <c r="H911" s="107" t="s">
        <v>2989</v>
      </c>
      <c r="I911" s="107" t="s">
        <v>2997</v>
      </c>
      <c r="J911" s="107" t="s">
        <v>2997</v>
      </c>
      <c r="K911" s="107" t="s">
        <v>2996</v>
      </c>
      <c r="L911" s="107">
        <v>29.65</v>
      </c>
      <c r="M911" s="107"/>
    </row>
    <row r="912" spans="1:13" x14ac:dyDescent="0.3">
      <c r="A912" s="95">
        <f t="shared" si="14"/>
        <v>0</v>
      </c>
      <c r="B912" s="106" t="s">
        <v>928</v>
      </c>
      <c r="C912" s="95" t="s">
        <v>2373</v>
      </c>
      <c r="D912" s="106">
        <v>12</v>
      </c>
      <c r="E912" s="107">
        <v>1</v>
      </c>
      <c r="F912" s="107" t="s">
        <v>2959</v>
      </c>
      <c r="G912" s="107" t="s">
        <v>2964</v>
      </c>
      <c r="H912" s="107" t="s">
        <v>2976</v>
      </c>
      <c r="I912" s="107" t="s">
        <v>2997</v>
      </c>
      <c r="J912" s="107" t="s">
        <v>2997</v>
      </c>
      <c r="K912" s="107" t="s">
        <v>2997</v>
      </c>
      <c r="L912" s="107">
        <v>111.26</v>
      </c>
      <c r="M912" s="107">
        <v>2</v>
      </c>
    </row>
    <row r="913" spans="1:13" x14ac:dyDescent="0.3">
      <c r="A913" s="95">
        <f t="shared" si="14"/>
        <v>0</v>
      </c>
      <c r="B913" s="106" t="s">
        <v>3147</v>
      </c>
      <c r="C913" s="95" t="s">
        <v>3350</v>
      </c>
      <c r="D913" s="106">
        <v>12</v>
      </c>
      <c r="E913" s="107">
        <v>1</v>
      </c>
      <c r="F913" s="107" t="s">
        <v>2959</v>
      </c>
      <c r="G913" s="107" t="s">
        <v>2966</v>
      </c>
      <c r="H913" s="107" t="s">
        <v>2985</v>
      </c>
      <c r="I913" s="107" t="s">
        <v>2997</v>
      </c>
      <c r="J913" s="107" t="s">
        <v>2997</v>
      </c>
      <c r="K913" s="107" t="s">
        <v>2997</v>
      </c>
      <c r="L913" s="107">
        <v>53.86</v>
      </c>
      <c r="M913" s="107"/>
    </row>
    <row r="914" spans="1:13" x14ac:dyDescent="0.3">
      <c r="A914" s="95">
        <f t="shared" si="14"/>
        <v>0</v>
      </c>
      <c r="B914" s="106" t="s">
        <v>929</v>
      </c>
      <c r="C914" s="95" t="s">
        <v>2374</v>
      </c>
      <c r="D914" s="106">
        <v>12</v>
      </c>
      <c r="E914" s="107">
        <v>1</v>
      </c>
      <c r="F914" s="107" t="s">
        <v>2959</v>
      </c>
      <c r="G914" s="107" t="s">
        <v>2961</v>
      </c>
      <c r="H914" s="107" t="s">
        <v>2981</v>
      </c>
      <c r="I914" s="107" t="s">
        <v>2997</v>
      </c>
      <c r="J914" s="107" t="s">
        <v>2997</v>
      </c>
      <c r="K914" s="107" t="s">
        <v>2997</v>
      </c>
      <c r="L914" s="107">
        <v>697.91</v>
      </c>
      <c r="M914" s="107">
        <v>3</v>
      </c>
    </row>
    <row r="915" spans="1:13" x14ac:dyDescent="0.3">
      <c r="A915" s="95">
        <f t="shared" si="14"/>
        <v>0</v>
      </c>
      <c r="B915" s="106" t="s">
        <v>930</v>
      </c>
      <c r="C915" s="95" t="s">
        <v>2375</v>
      </c>
      <c r="D915" s="106">
        <v>12</v>
      </c>
      <c r="E915" s="107">
        <v>1</v>
      </c>
      <c r="F915" s="107" t="s">
        <v>2959</v>
      </c>
      <c r="G915" s="107" t="s">
        <v>2966</v>
      </c>
      <c r="H915" s="107" t="s">
        <v>2984</v>
      </c>
      <c r="I915" s="107" t="s">
        <v>2997</v>
      </c>
      <c r="J915" s="107" t="s">
        <v>2997</v>
      </c>
      <c r="K915" s="107" t="s">
        <v>2997</v>
      </c>
      <c r="L915" s="107">
        <v>210.26</v>
      </c>
      <c r="M915" s="107">
        <v>2</v>
      </c>
    </row>
    <row r="916" spans="1:13" x14ac:dyDescent="0.3">
      <c r="A916" s="95">
        <f t="shared" si="14"/>
        <v>0</v>
      </c>
      <c r="B916" s="106" t="s">
        <v>931</v>
      </c>
      <c r="C916" s="95" t="s">
        <v>3664</v>
      </c>
      <c r="D916" s="106">
        <v>12</v>
      </c>
      <c r="E916" s="107">
        <v>1</v>
      </c>
      <c r="F916" s="107" t="s">
        <v>2959</v>
      </c>
      <c r="G916" s="107" t="s">
        <v>2966</v>
      </c>
      <c r="H916" s="107" t="s">
        <v>2984</v>
      </c>
      <c r="I916" s="107" t="s">
        <v>2996</v>
      </c>
      <c r="J916" s="107" t="s">
        <v>2996</v>
      </c>
      <c r="K916" s="107" t="s">
        <v>2996</v>
      </c>
      <c r="L916" s="107">
        <v>58.75</v>
      </c>
      <c r="M916" s="107"/>
    </row>
    <row r="917" spans="1:13" x14ac:dyDescent="0.3">
      <c r="A917" s="95">
        <f t="shared" si="14"/>
        <v>0</v>
      </c>
      <c r="B917" s="106" t="s">
        <v>932</v>
      </c>
      <c r="C917" s="95" t="s">
        <v>2376</v>
      </c>
      <c r="D917" s="106">
        <v>12</v>
      </c>
      <c r="E917" s="107">
        <v>1</v>
      </c>
      <c r="F917" s="107" t="s">
        <v>2958</v>
      </c>
      <c r="G917" s="107" t="s">
        <v>2961</v>
      </c>
      <c r="H917" s="107" t="s">
        <v>2971</v>
      </c>
      <c r="I917" s="107" t="s">
        <v>2997</v>
      </c>
      <c r="J917" s="107" t="s">
        <v>2997</v>
      </c>
      <c r="K917" s="107" t="s">
        <v>2997</v>
      </c>
      <c r="L917" s="107">
        <v>103.39</v>
      </c>
      <c r="M917" s="107"/>
    </row>
    <row r="918" spans="1:13" x14ac:dyDescent="0.3">
      <c r="A918" s="95">
        <f t="shared" si="14"/>
        <v>0</v>
      </c>
      <c r="B918" s="106" t="s">
        <v>933</v>
      </c>
      <c r="C918" s="95" t="s">
        <v>2377</v>
      </c>
      <c r="D918" s="106">
        <v>12</v>
      </c>
      <c r="E918" s="107">
        <v>1</v>
      </c>
      <c r="F918" s="107" t="s">
        <v>2959</v>
      </c>
      <c r="G918" s="107" t="s">
        <v>2960</v>
      </c>
      <c r="H918" s="107" t="s">
        <v>2983</v>
      </c>
      <c r="I918" s="107" t="s">
        <v>2997</v>
      </c>
      <c r="J918" s="107" t="s">
        <v>2997</v>
      </c>
      <c r="K918" s="107" t="s">
        <v>2997</v>
      </c>
      <c r="L918" s="107">
        <v>85.66</v>
      </c>
      <c r="M918" s="107">
        <v>1</v>
      </c>
    </row>
    <row r="919" spans="1:13" x14ac:dyDescent="0.3">
      <c r="A919" s="95">
        <f t="shared" si="14"/>
        <v>0</v>
      </c>
      <c r="B919" s="106" t="s">
        <v>934</v>
      </c>
      <c r="C919" s="95" t="s">
        <v>2378</v>
      </c>
      <c r="D919" s="106">
        <v>12</v>
      </c>
      <c r="E919" s="107">
        <v>1</v>
      </c>
      <c r="F919" s="107" t="s">
        <v>2959</v>
      </c>
      <c r="G919" s="107" t="s">
        <v>2960</v>
      </c>
      <c r="H919" s="107" t="s">
        <v>2970</v>
      </c>
      <c r="I919" s="107" t="s">
        <v>2996</v>
      </c>
      <c r="J919" s="107" t="s">
        <v>2996</v>
      </c>
      <c r="K919" s="107" t="s">
        <v>2996</v>
      </c>
      <c r="L919" s="107">
        <v>110.93</v>
      </c>
      <c r="M919" s="107">
        <v>2</v>
      </c>
    </row>
    <row r="920" spans="1:13" x14ac:dyDescent="0.3">
      <c r="A920" s="95">
        <f t="shared" si="14"/>
        <v>0</v>
      </c>
      <c r="B920" s="106" t="s">
        <v>935</v>
      </c>
      <c r="C920" s="95" t="s">
        <v>2379</v>
      </c>
      <c r="D920" s="106">
        <v>12</v>
      </c>
      <c r="E920" s="107">
        <v>1</v>
      </c>
      <c r="F920" s="107" t="s">
        <v>2959</v>
      </c>
      <c r="G920" s="107" t="s">
        <v>2961</v>
      </c>
      <c r="H920" s="107" t="s">
        <v>2971</v>
      </c>
      <c r="I920" s="107" t="s">
        <v>2997</v>
      </c>
      <c r="J920" s="107" t="s">
        <v>2997</v>
      </c>
      <c r="K920" s="107" t="s">
        <v>2996</v>
      </c>
      <c r="L920" s="107">
        <v>81.84</v>
      </c>
      <c r="M920" s="107"/>
    </row>
    <row r="921" spans="1:13" x14ac:dyDescent="0.3">
      <c r="A921" s="95">
        <f t="shared" si="14"/>
        <v>0</v>
      </c>
      <c r="B921" s="106" t="s">
        <v>936</v>
      </c>
      <c r="C921" s="95" t="s">
        <v>2380</v>
      </c>
      <c r="D921" s="106">
        <v>12</v>
      </c>
      <c r="E921" s="107">
        <v>1</v>
      </c>
      <c r="F921" s="107" t="s">
        <v>2959</v>
      </c>
      <c r="G921" s="107" t="s">
        <v>2960</v>
      </c>
      <c r="H921" s="107" t="s">
        <v>2970</v>
      </c>
      <c r="I921" s="107" t="s">
        <v>2997</v>
      </c>
      <c r="J921" s="107" t="s">
        <v>2997</v>
      </c>
      <c r="K921" s="107" t="s">
        <v>2996</v>
      </c>
      <c r="L921" s="107">
        <v>394.23</v>
      </c>
      <c r="M921" s="107"/>
    </row>
    <row r="922" spans="1:13" x14ac:dyDescent="0.3">
      <c r="A922" s="95">
        <f t="shared" si="14"/>
        <v>0</v>
      </c>
      <c r="B922" s="106" t="s">
        <v>937</v>
      </c>
      <c r="C922" s="95" t="s">
        <v>2381</v>
      </c>
      <c r="D922" s="106">
        <v>12</v>
      </c>
      <c r="E922" s="107">
        <v>1</v>
      </c>
      <c r="F922" s="107" t="s">
        <v>2959</v>
      </c>
      <c r="G922" s="107" t="s">
        <v>2966</v>
      </c>
      <c r="H922" s="107" t="s">
        <v>2984</v>
      </c>
      <c r="I922" s="107" t="s">
        <v>2997</v>
      </c>
      <c r="J922" s="107" t="s">
        <v>2997</v>
      </c>
      <c r="K922" s="107" t="s">
        <v>2996</v>
      </c>
      <c r="L922" s="107">
        <v>19.29</v>
      </c>
      <c r="M922" s="107"/>
    </row>
    <row r="923" spans="1:13" x14ac:dyDescent="0.3">
      <c r="A923" s="95">
        <f t="shared" si="14"/>
        <v>0</v>
      </c>
      <c r="B923" s="106" t="s">
        <v>938</v>
      </c>
      <c r="C923" s="95" t="s">
        <v>2382</v>
      </c>
      <c r="D923" s="106">
        <v>12</v>
      </c>
      <c r="E923" s="107">
        <v>1</v>
      </c>
      <c r="F923" s="107" t="s">
        <v>2959</v>
      </c>
      <c r="G923" s="107" t="s">
        <v>2966</v>
      </c>
      <c r="H923" s="107" t="s">
        <v>2977</v>
      </c>
      <c r="I923" s="107" t="s">
        <v>2996</v>
      </c>
      <c r="J923" s="107" t="s">
        <v>2996</v>
      </c>
      <c r="K923" s="107" t="s">
        <v>2996</v>
      </c>
      <c r="L923" s="107">
        <v>66.69</v>
      </c>
      <c r="M923" s="107"/>
    </row>
    <row r="924" spans="1:13" x14ac:dyDescent="0.3">
      <c r="A924" s="95">
        <f t="shared" si="14"/>
        <v>0</v>
      </c>
      <c r="B924" s="106" t="s">
        <v>939</v>
      </c>
      <c r="C924" s="95" t="s">
        <v>2383</v>
      </c>
      <c r="D924" s="106">
        <v>3</v>
      </c>
      <c r="E924" s="107">
        <v>1</v>
      </c>
      <c r="F924" s="107" t="s">
        <v>2959</v>
      </c>
      <c r="G924" s="107" t="s">
        <v>2964</v>
      </c>
      <c r="H924" s="107" t="s">
        <v>2976</v>
      </c>
      <c r="I924" s="107" t="s">
        <v>2996</v>
      </c>
      <c r="J924" s="107" t="s">
        <v>2996</v>
      </c>
      <c r="K924" s="107" t="s">
        <v>2996</v>
      </c>
      <c r="L924" s="107">
        <v>53.25</v>
      </c>
      <c r="M924" s="107"/>
    </row>
    <row r="925" spans="1:13" x14ac:dyDescent="0.3">
      <c r="A925" s="95">
        <f t="shared" si="14"/>
        <v>0</v>
      </c>
      <c r="B925" s="106" t="s">
        <v>940</v>
      </c>
      <c r="C925" s="95" t="s">
        <v>3644</v>
      </c>
      <c r="D925" s="106">
        <v>12</v>
      </c>
      <c r="E925" s="107">
        <v>1</v>
      </c>
      <c r="F925" s="107" t="s">
        <v>2959</v>
      </c>
      <c r="G925" s="107" t="s">
        <v>2966</v>
      </c>
      <c r="H925" s="107" t="s">
        <v>2985</v>
      </c>
      <c r="I925" s="107" t="s">
        <v>2997</v>
      </c>
      <c r="J925" s="107" t="s">
        <v>2997</v>
      </c>
      <c r="K925" s="107" t="s">
        <v>2996</v>
      </c>
      <c r="L925" s="107">
        <v>94.32</v>
      </c>
      <c r="M925" s="107"/>
    </row>
    <row r="926" spans="1:13" x14ac:dyDescent="0.3">
      <c r="A926" s="95">
        <f t="shared" si="14"/>
        <v>0</v>
      </c>
      <c r="B926" s="106" t="s">
        <v>941</v>
      </c>
      <c r="C926" s="95" t="s">
        <v>2384</v>
      </c>
      <c r="D926" s="106">
        <v>12</v>
      </c>
      <c r="E926" s="107">
        <v>1</v>
      </c>
      <c r="F926" s="107" t="s">
        <v>2959</v>
      </c>
      <c r="G926" s="107" t="s">
        <v>2966</v>
      </c>
      <c r="H926" s="107" t="s">
        <v>2985</v>
      </c>
      <c r="I926" s="107" t="s">
        <v>2997</v>
      </c>
      <c r="J926" s="107" t="s">
        <v>2997</v>
      </c>
      <c r="K926" s="107" t="s">
        <v>2996</v>
      </c>
      <c r="L926" s="107">
        <v>38.93</v>
      </c>
      <c r="M926" s="107"/>
    </row>
    <row r="927" spans="1:13" x14ac:dyDescent="0.3">
      <c r="A927" s="95">
        <f t="shared" si="14"/>
        <v>0</v>
      </c>
      <c r="B927" s="106" t="s">
        <v>942</v>
      </c>
      <c r="C927" s="95" t="s">
        <v>2385</v>
      </c>
      <c r="D927" s="106">
        <v>12</v>
      </c>
      <c r="E927" s="107">
        <v>1</v>
      </c>
      <c r="F927" s="107" t="s">
        <v>2959</v>
      </c>
      <c r="G927" s="107" t="s">
        <v>2966</v>
      </c>
      <c r="H927" s="107" t="s">
        <v>2984</v>
      </c>
      <c r="I927" s="107" t="s">
        <v>2997</v>
      </c>
      <c r="J927" s="107" t="s">
        <v>2997</v>
      </c>
      <c r="K927" s="107" t="s">
        <v>2996</v>
      </c>
      <c r="L927" s="107">
        <v>38.19</v>
      </c>
      <c r="M927" s="107"/>
    </row>
    <row r="928" spans="1:13" x14ac:dyDescent="0.3">
      <c r="A928" s="95">
        <f t="shared" si="14"/>
        <v>0</v>
      </c>
      <c r="B928" s="106" t="s">
        <v>943</v>
      </c>
      <c r="C928" s="95" t="s">
        <v>2386</v>
      </c>
      <c r="D928" s="106">
        <v>9</v>
      </c>
      <c r="E928" s="107">
        <v>1</v>
      </c>
      <c r="F928" s="107" t="s">
        <v>2959</v>
      </c>
      <c r="G928" s="107" t="s">
        <v>2960</v>
      </c>
      <c r="H928" s="107" t="s">
        <v>2970</v>
      </c>
      <c r="I928" s="107" t="s">
        <v>2997</v>
      </c>
      <c r="J928" s="107" t="s">
        <v>2996</v>
      </c>
      <c r="K928" s="107" t="s">
        <v>2996</v>
      </c>
      <c r="L928" s="107">
        <v>130.51</v>
      </c>
      <c r="M928" s="107">
        <v>2</v>
      </c>
    </row>
    <row r="929" spans="1:13" x14ac:dyDescent="0.3">
      <c r="A929" s="95">
        <f t="shared" si="14"/>
        <v>0</v>
      </c>
      <c r="B929" s="106" t="s">
        <v>944</v>
      </c>
      <c r="C929" s="95" t="s">
        <v>2387</v>
      </c>
      <c r="D929" s="106">
        <v>12</v>
      </c>
      <c r="E929" s="107">
        <v>1</v>
      </c>
      <c r="F929" s="107" t="s">
        <v>2959</v>
      </c>
      <c r="G929" s="107" t="s">
        <v>2966</v>
      </c>
      <c r="H929" s="107" t="s">
        <v>2980</v>
      </c>
      <c r="I929" s="107" t="s">
        <v>2997</v>
      </c>
      <c r="J929" s="107" t="s">
        <v>2997</v>
      </c>
      <c r="K929" s="107" t="s">
        <v>2996</v>
      </c>
      <c r="L929" s="107">
        <v>23.23</v>
      </c>
      <c r="M929" s="107"/>
    </row>
    <row r="930" spans="1:13" x14ac:dyDescent="0.3">
      <c r="A930" s="95">
        <f t="shared" si="14"/>
        <v>1</v>
      </c>
      <c r="B930" s="106" t="s">
        <v>945</v>
      </c>
      <c r="C930" s="95" t="s">
        <v>2388</v>
      </c>
      <c r="D930" s="106">
        <v>12</v>
      </c>
      <c r="E930" s="107">
        <v>1</v>
      </c>
      <c r="F930" s="107" t="s">
        <v>2958</v>
      </c>
      <c r="G930" s="107" t="s">
        <v>2964</v>
      </c>
      <c r="H930" s="107" t="s">
        <v>2976</v>
      </c>
      <c r="I930" s="107" t="s">
        <v>2997</v>
      </c>
      <c r="J930" s="107" t="s">
        <v>2997</v>
      </c>
      <c r="K930" s="107" t="s">
        <v>2997</v>
      </c>
      <c r="L930" s="107">
        <v>4832.62</v>
      </c>
      <c r="M930" s="107">
        <v>21</v>
      </c>
    </row>
    <row r="931" spans="1:13" x14ac:dyDescent="0.3">
      <c r="A931" s="95">
        <f t="shared" si="14"/>
        <v>1</v>
      </c>
      <c r="B931" s="106" t="s">
        <v>946</v>
      </c>
      <c r="C931" s="95" t="s">
        <v>2389</v>
      </c>
      <c r="D931" s="106">
        <v>12</v>
      </c>
      <c r="E931" s="107">
        <v>1</v>
      </c>
      <c r="F931" s="107" t="s">
        <v>2958</v>
      </c>
      <c r="G931" s="107" t="s">
        <v>2964</v>
      </c>
      <c r="H931" s="107" t="s">
        <v>2976</v>
      </c>
      <c r="I931" s="107" t="s">
        <v>2997</v>
      </c>
      <c r="J931" s="107" t="s">
        <v>2997</v>
      </c>
      <c r="K931" s="107" t="s">
        <v>2997</v>
      </c>
      <c r="L931" s="107">
        <v>1804.64</v>
      </c>
      <c r="M931" s="107">
        <v>17</v>
      </c>
    </row>
    <row r="932" spans="1:13" x14ac:dyDescent="0.3">
      <c r="A932" s="95">
        <f t="shared" si="14"/>
        <v>0</v>
      </c>
      <c r="B932" s="106" t="s">
        <v>947</v>
      </c>
      <c r="C932" s="95" t="s">
        <v>2390</v>
      </c>
      <c r="D932" s="106">
        <v>12</v>
      </c>
      <c r="E932" s="107">
        <v>1</v>
      </c>
      <c r="F932" s="107" t="s">
        <v>2958</v>
      </c>
      <c r="G932" s="107" t="s">
        <v>2966</v>
      </c>
      <c r="H932" s="107" t="s">
        <v>2978</v>
      </c>
      <c r="I932" s="107" t="s">
        <v>2997</v>
      </c>
      <c r="J932" s="107" t="s">
        <v>2997</v>
      </c>
      <c r="K932" s="107" t="s">
        <v>2997</v>
      </c>
      <c r="L932" s="107">
        <v>287.39</v>
      </c>
      <c r="M932" s="107">
        <v>3</v>
      </c>
    </row>
    <row r="933" spans="1:13" x14ac:dyDescent="0.3">
      <c r="A933" s="95">
        <f t="shared" si="14"/>
        <v>0</v>
      </c>
      <c r="B933" s="106" t="s">
        <v>948</v>
      </c>
      <c r="C933" s="95" t="s">
        <v>2391</v>
      </c>
      <c r="D933" s="106">
        <v>12</v>
      </c>
      <c r="E933" s="107">
        <v>1</v>
      </c>
      <c r="F933" s="107" t="s">
        <v>2959</v>
      </c>
      <c r="G933" s="107" t="s">
        <v>2964</v>
      </c>
      <c r="H933" s="107" t="s">
        <v>2976</v>
      </c>
      <c r="I933" s="107" t="s">
        <v>2996</v>
      </c>
      <c r="J933" s="107" t="s">
        <v>2996</v>
      </c>
      <c r="K933" s="107" t="s">
        <v>2996</v>
      </c>
      <c r="L933" s="107">
        <v>17.829999999999998</v>
      </c>
      <c r="M933" s="107"/>
    </row>
    <row r="934" spans="1:13" x14ac:dyDescent="0.3">
      <c r="A934" s="95">
        <f t="shared" si="14"/>
        <v>0</v>
      </c>
      <c r="B934" s="106" t="s">
        <v>949</v>
      </c>
      <c r="C934" s="95" t="s">
        <v>2392</v>
      </c>
      <c r="D934" s="106">
        <v>12</v>
      </c>
      <c r="E934" s="107">
        <v>1</v>
      </c>
      <c r="F934" s="107" t="s">
        <v>2959</v>
      </c>
      <c r="G934" s="107" t="s">
        <v>2960</v>
      </c>
      <c r="H934" s="107" t="s">
        <v>2970</v>
      </c>
      <c r="I934" s="107" t="s">
        <v>2997</v>
      </c>
      <c r="J934" s="107" t="s">
        <v>2997</v>
      </c>
      <c r="K934" s="107" t="s">
        <v>2996</v>
      </c>
      <c r="L934" s="107">
        <v>30.11</v>
      </c>
      <c r="M934" s="107"/>
    </row>
    <row r="935" spans="1:13" x14ac:dyDescent="0.3">
      <c r="A935" s="95">
        <f t="shared" si="14"/>
        <v>0</v>
      </c>
      <c r="B935" s="106" t="s">
        <v>950</v>
      </c>
      <c r="C935" s="95" t="s">
        <v>2393</v>
      </c>
      <c r="D935" s="106">
        <v>12</v>
      </c>
      <c r="E935" s="107">
        <v>1</v>
      </c>
      <c r="F935" s="107" t="s">
        <v>2959</v>
      </c>
      <c r="G935" s="107" t="s">
        <v>2960</v>
      </c>
      <c r="H935" s="107" t="s">
        <v>2983</v>
      </c>
      <c r="I935" s="107" t="s">
        <v>2997</v>
      </c>
      <c r="J935" s="107" t="s">
        <v>2997</v>
      </c>
      <c r="K935" s="107" t="s">
        <v>2996</v>
      </c>
      <c r="L935" s="107">
        <v>49.02</v>
      </c>
      <c r="M935" s="107"/>
    </row>
    <row r="936" spans="1:13" x14ac:dyDescent="0.3">
      <c r="A936" s="95">
        <f t="shared" si="14"/>
        <v>0</v>
      </c>
      <c r="B936" s="106" t="s">
        <v>951</v>
      </c>
      <c r="C936" s="95" t="s">
        <v>2394</v>
      </c>
      <c r="D936" s="106">
        <v>12</v>
      </c>
      <c r="E936" s="107">
        <v>1</v>
      </c>
      <c r="F936" s="107" t="s">
        <v>2959</v>
      </c>
      <c r="G936" s="107" t="s">
        <v>2960</v>
      </c>
      <c r="H936" s="107" t="s">
        <v>2983</v>
      </c>
      <c r="I936" s="107" t="s">
        <v>2997</v>
      </c>
      <c r="J936" s="107" t="s">
        <v>2997</v>
      </c>
      <c r="K936" s="107" t="s">
        <v>2997</v>
      </c>
      <c r="L936" s="107">
        <v>199.79</v>
      </c>
      <c r="M936" s="107">
        <v>3</v>
      </c>
    </row>
    <row r="937" spans="1:13" x14ac:dyDescent="0.3">
      <c r="A937" s="95">
        <f t="shared" si="14"/>
        <v>0</v>
      </c>
      <c r="B937" s="106" t="s">
        <v>952</v>
      </c>
      <c r="C937" s="95" t="s">
        <v>2395</v>
      </c>
      <c r="D937" s="106">
        <v>12</v>
      </c>
      <c r="E937" s="107">
        <v>1</v>
      </c>
      <c r="F937" s="107" t="s">
        <v>2959</v>
      </c>
      <c r="G937" s="107" t="s">
        <v>2967</v>
      </c>
      <c r="H937" s="107" t="s">
        <v>2967</v>
      </c>
      <c r="I937" s="107" t="s">
        <v>2997</v>
      </c>
      <c r="J937" s="107" t="s">
        <v>2997</v>
      </c>
      <c r="K937" s="107" t="s">
        <v>2996</v>
      </c>
      <c r="L937" s="107">
        <v>23.84</v>
      </c>
      <c r="M937" s="107"/>
    </row>
    <row r="938" spans="1:13" x14ac:dyDescent="0.3">
      <c r="A938" s="95">
        <f t="shared" si="14"/>
        <v>0</v>
      </c>
      <c r="B938" s="106" t="s">
        <v>953</v>
      </c>
      <c r="C938" s="95" t="s">
        <v>2396</v>
      </c>
      <c r="D938" s="106">
        <v>12</v>
      </c>
      <c r="E938" s="107">
        <v>1</v>
      </c>
      <c r="F938" s="107" t="s">
        <v>2959</v>
      </c>
      <c r="G938" s="107" t="s">
        <v>2966</v>
      </c>
      <c r="H938" s="107" t="s">
        <v>2984</v>
      </c>
      <c r="I938" s="107" t="s">
        <v>2996</v>
      </c>
      <c r="J938" s="107" t="s">
        <v>2996</v>
      </c>
      <c r="K938" s="107" t="s">
        <v>2996</v>
      </c>
      <c r="L938" s="107">
        <v>10.78</v>
      </c>
      <c r="M938" s="107"/>
    </row>
    <row r="939" spans="1:13" x14ac:dyDescent="0.3">
      <c r="A939" s="95">
        <f t="shared" si="14"/>
        <v>0</v>
      </c>
      <c r="B939" s="106" t="s">
        <v>954</v>
      </c>
      <c r="C939" s="95" t="s">
        <v>2397</v>
      </c>
      <c r="D939" s="106">
        <v>12</v>
      </c>
      <c r="E939" s="107">
        <v>1</v>
      </c>
      <c r="F939" s="107" t="s">
        <v>2959</v>
      </c>
      <c r="G939" s="107" t="s">
        <v>2966</v>
      </c>
      <c r="H939" s="107" t="s">
        <v>2977</v>
      </c>
      <c r="I939" s="107" t="s">
        <v>2997</v>
      </c>
      <c r="J939" s="107" t="s">
        <v>2997</v>
      </c>
      <c r="K939" s="107" t="s">
        <v>2996</v>
      </c>
      <c r="L939" s="107">
        <v>37.18</v>
      </c>
      <c r="M939" s="107"/>
    </row>
    <row r="940" spans="1:13" x14ac:dyDescent="0.3">
      <c r="A940" s="95">
        <f t="shared" si="14"/>
        <v>0</v>
      </c>
      <c r="B940" s="106" t="s">
        <v>3148</v>
      </c>
      <c r="C940" s="95" t="s">
        <v>3351</v>
      </c>
      <c r="D940" s="106">
        <v>12</v>
      </c>
      <c r="E940" s="107">
        <v>1</v>
      </c>
      <c r="F940" s="107" t="s">
        <v>2959</v>
      </c>
      <c r="G940" s="107" t="s">
        <v>2966</v>
      </c>
      <c r="H940" s="107" t="s">
        <v>2980</v>
      </c>
      <c r="I940" s="107" t="s">
        <v>2997</v>
      </c>
      <c r="J940" s="107" t="s">
        <v>2997</v>
      </c>
      <c r="K940" s="107" t="s">
        <v>2996</v>
      </c>
      <c r="L940" s="107">
        <v>75.56</v>
      </c>
      <c r="M940" s="107">
        <v>1</v>
      </c>
    </row>
    <row r="941" spans="1:13" x14ac:dyDescent="0.3">
      <c r="A941" s="95">
        <f t="shared" si="14"/>
        <v>0</v>
      </c>
      <c r="B941" s="106" t="s">
        <v>955</v>
      </c>
      <c r="C941" s="95" t="s">
        <v>2398</v>
      </c>
      <c r="D941" s="106">
        <v>12</v>
      </c>
      <c r="E941" s="107">
        <v>1</v>
      </c>
      <c r="F941" s="107" t="s">
        <v>2959</v>
      </c>
      <c r="G941" s="107" t="s">
        <v>2964</v>
      </c>
      <c r="H941" s="107" t="s">
        <v>2976</v>
      </c>
      <c r="I941" s="107" t="s">
        <v>2996</v>
      </c>
      <c r="J941" s="107" t="s">
        <v>2996</v>
      </c>
      <c r="K941" s="107" t="s">
        <v>2996</v>
      </c>
      <c r="L941" s="107">
        <v>27.72</v>
      </c>
      <c r="M941" s="107"/>
    </row>
    <row r="942" spans="1:13" x14ac:dyDescent="0.3">
      <c r="A942" s="95">
        <f t="shared" si="14"/>
        <v>0</v>
      </c>
      <c r="B942" s="106" t="s">
        <v>956</v>
      </c>
      <c r="C942" s="95" t="s">
        <v>2399</v>
      </c>
      <c r="D942" s="106">
        <v>12</v>
      </c>
      <c r="E942" s="107">
        <v>1</v>
      </c>
      <c r="F942" s="107" t="s">
        <v>2959</v>
      </c>
      <c r="G942" s="107" t="s">
        <v>2966</v>
      </c>
      <c r="H942" s="107" t="s">
        <v>2984</v>
      </c>
      <c r="I942" s="107" t="s">
        <v>2996</v>
      </c>
      <c r="J942" s="107" t="s">
        <v>2996</v>
      </c>
      <c r="K942" s="107" t="s">
        <v>2996</v>
      </c>
      <c r="L942" s="107">
        <v>22.5</v>
      </c>
      <c r="M942" s="107"/>
    </row>
    <row r="943" spans="1:13" x14ac:dyDescent="0.3">
      <c r="A943" s="95">
        <f t="shared" si="14"/>
        <v>0</v>
      </c>
      <c r="B943" s="106" t="s">
        <v>957</v>
      </c>
      <c r="C943" s="95" t="s">
        <v>2400</v>
      </c>
      <c r="D943" s="106">
        <v>12</v>
      </c>
      <c r="E943" s="107">
        <v>1</v>
      </c>
      <c r="F943" s="107" t="s">
        <v>2959</v>
      </c>
      <c r="G943" s="107" t="s">
        <v>2961</v>
      </c>
      <c r="H943" s="107" t="s">
        <v>2971</v>
      </c>
      <c r="I943" s="107" t="s">
        <v>2997</v>
      </c>
      <c r="J943" s="107" t="s">
        <v>2997</v>
      </c>
      <c r="K943" s="107" t="s">
        <v>2997</v>
      </c>
      <c r="L943" s="107">
        <v>413.7</v>
      </c>
      <c r="M943" s="107">
        <v>3</v>
      </c>
    </row>
    <row r="944" spans="1:13" x14ac:dyDescent="0.3">
      <c r="A944" s="95">
        <f t="shared" si="14"/>
        <v>0</v>
      </c>
      <c r="B944" s="106" t="s">
        <v>958</v>
      </c>
      <c r="C944" s="95" t="s">
        <v>2401</v>
      </c>
      <c r="D944" s="106">
        <v>12</v>
      </c>
      <c r="E944" s="107">
        <v>1</v>
      </c>
      <c r="F944" s="107" t="s">
        <v>2959</v>
      </c>
      <c r="G944" s="107" t="s">
        <v>2966</v>
      </c>
      <c r="H944" s="107" t="s">
        <v>2984</v>
      </c>
      <c r="I944" s="107" t="s">
        <v>2997</v>
      </c>
      <c r="J944" s="107" t="s">
        <v>2997</v>
      </c>
      <c r="K944" s="107" t="s">
        <v>2997</v>
      </c>
      <c r="L944" s="107">
        <v>15.15</v>
      </c>
      <c r="M944" s="107"/>
    </row>
    <row r="945" spans="1:13" x14ac:dyDescent="0.3">
      <c r="A945" s="95">
        <f t="shared" si="14"/>
        <v>0</v>
      </c>
      <c r="B945" s="106" t="s">
        <v>959</v>
      </c>
      <c r="C945" s="95" t="s">
        <v>2402</v>
      </c>
      <c r="D945" s="106">
        <v>12</v>
      </c>
      <c r="E945" s="107">
        <v>1</v>
      </c>
      <c r="F945" s="107" t="s">
        <v>2959</v>
      </c>
      <c r="G945" s="107" t="s">
        <v>2966</v>
      </c>
      <c r="H945" s="107" t="s">
        <v>2977</v>
      </c>
      <c r="I945" s="107" t="s">
        <v>2997</v>
      </c>
      <c r="J945" s="107" t="s">
        <v>2997</v>
      </c>
      <c r="K945" s="107" t="s">
        <v>2996</v>
      </c>
      <c r="L945" s="107">
        <v>58.96</v>
      </c>
      <c r="M945" s="107"/>
    </row>
    <row r="946" spans="1:13" x14ac:dyDescent="0.3">
      <c r="A946" s="95">
        <f t="shared" si="14"/>
        <v>0</v>
      </c>
      <c r="B946" s="106" t="s">
        <v>960</v>
      </c>
      <c r="C946" s="95" t="s">
        <v>2403</v>
      </c>
      <c r="D946" s="106">
        <v>12</v>
      </c>
      <c r="E946" s="107">
        <v>1</v>
      </c>
      <c r="F946" s="107" t="s">
        <v>2959</v>
      </c>
      <c r="G946" s="107" t="s">
        <v>2961</v>
      </c>
      <c r="H946" s="107" t="s">
        <v>2981</v>
      </c>
      <c r="I946" s="107" t="s">
        <v>2997</v>
      </c>
      <c r="J946" s="107" t="s">
        <v>2997</v>
      </c>
      <c r="K946" s="107" t="s">
        <v>2996</v>
      </c>
      <c r="L946" s="107">
        <v>153.03</v>
      </c>
      <c r="M946" s="107"/>
    </row>
    <row r="947" spans="1:13" x14ac:dyDescent="0.3">
      <c r="A947" s="95">
        <f t="shared" si="14"/>
        <v>0</v>
      </c>
      <c r="B947" s="106" t="s">
        <v>961</v>
      </c>
      <c r="C947" s="95" t="s">
        <v>2404</v>
      </c>
      <c r="D947" s="106">
        <v>12</v>
      </c>
      <c r="E947" s="107">
        <v>1</v>
      </c>
      <c r="F947" s="107" t="s">
        <v>2959</v>
      </c>
      <c r="G947" s="107" t="s">
        <v>2963</v>
      </c>
      <c r="H947" s="107" t="s">
        <v>2974</v>
      </c>
      <c r="I947" s="107" t="s">
        <v>2997</v>
      </c>
      <c r="J947" s="107" t="s">
        <v>2997</v>
      </c>
      <c r="K947" s="107" t="s">
        <v>2997</v>
      </c>
      <c r="L947" s="107">
        <v>131.44</v>
      </c>
      <c r="M947" s="107"/>
    </row>
    <row r="948" spans="1:13" x14ac:dyDescent="0.3">
      <c r="A948" s="95">
        <f t="shared" si="14"/>
        <v>0</v>
      </c>
      <c r="B948" s="106" t="s">
        <v>962</v>
      </c>
      <c r="C948" s="95" t="s">
        <v>2405</v>
      </c>
      <c r="D948" s="106">
        <v>12</v>
      </c>
      <c r="E948" s="107">
        <v>1</v>
      </c>
      <c r="F948" s="107" t="s">
        <v>2959</v>
      </c>
      <c r="G948" s="107" t="s">
        <v>2966</v>
      </c>
      <c r="H948" s="107" t="s">
        <v>2984</v>
      </c>
      <c r="I948" s="107" t="s">
        <v>2997</v>
      </c>
      <c r="J948" s="107" t="s">
        <v>2997</v>
      </c>
      <c r="K948" s="107" t="s">
        <v>2996</v>
      </c>
      <c r="L948" s="107">
        <v>39.03</v>
      </c>
      <c r="M948" s="107"/>
    </row>
    <row r="949" spans="1:13" x14ac:dyDescent="0.3">
      <c r="A949" s="95">
        <f t="shared" si="14"/>
        <v>0</v>
      </c>
      <c r="B949" s="106" t="s">
        <v>963</v>
      </c>
      <c r="C949" s="95" t="s">
        <v>2406</v>
      </c>
      <c r="D949" s="106">
        <v>12</v>
      </c>
      <c r="E949" s="107">
        <v>1</v>
      </c>
      <c r="F949" s="107" t="s">
        <v>2959</v>
      </c>
      <c r="G949" s="107" t="s">
        <v>2964</v>
      </c>
      <c r="H949" s="107" t="s">
        <v>2976</v>
      </c>
      <c r="I949" s="107" t="s">
        <v>2997</v>
      </c>
      <c r="J949" s="107" t="s">
        <v>2997</v>
      </c>
      <c r="K949" s="107" t="s">
        <v>2996</v>
      </c>
      <c r="L949" s="107">
        <v>43.24</v>
      </c>
      <c r="M949" s="107"/>
    </row>
    <row r="950" spans="1:13" x14ac:dyDescent="0.3">
      <c r="A950" s="95">
        <f t="shared" si="14"/>
        <v>0</v>
      </c>
      <c r="B950" s="106" t="s">
        <v>964</v>
      </c>
      <c r="C950" s="95" t="s">
        <v>2407</v>
      </c>
      <c r="D950" s="106">
        <v>12</v>
      </c>
      <c r="E950" s="107">
        <v>1</v>
      </c>
      <c r="F950" s="107" t="s">
        <v>2959</v>
      </c>
      <c r="G950" s="107" t="s">
        <v>2964</v>
      </c>
      <c r="H950" s="107" t="s">
        <v>2976</v>
      </c>
      <c r="I950" s="107" t="s">
        <v>2997</v>
      </c>
      <c r="J950" s="107" t="s">
        <v>2997</v>
      </c>
      <c r="K950" s="107" t="s">
        <v>2996</v>
      </c>
      <c r="L950" s="107">
        <v>21.66</v>
      </c>
      <c r="M950" s="107"/>
    </row>
    <row r="951" spans="1:13" x14ac:dyDescent="0.3">
      <c r="A951" s="95">
        <f t="shared" si="14"/>
        <v>0</v>
      </c>
      <c r="B951" s="106" t="s">
        <v>965</v>
      </c>
      <c r="C951" s="95" t="s">
        <v>2408</v>
      </c>
      <c r="D951" s="106">
        <v>12</v>
      </c>
      <c r="E951" s="107">
        <v>1</v>
      </c>
      <c r="F951" s="107" t="s">
        <v>2959</v>
      </c>
      <c r="G951" s="107" t="s">
        <v>2964</v>
      </c>
      <c r="H951" s="107" t="s">
        <v>2976</v>
      </c>
      <c r="I951" s="107" t="s">
        <v>2997</v>
      </c>
      <c r="J951" s="107" t="s">
        <v>2997</v>
      </c>
      <c r="K951" s="107" t="s">
        <v>2997</v>
      </c>
      <c r="L951" s="107">
        <v>14.45</v>
      </c>
      <c r="M951" s="107"/>
    </row>
    <row r="952" spans="1:13" x14ac:dyDescent="0.3">
      <c r="A952" s="95">
        <f t="shared" si="14"/>
        <v>0</v>
      </c>
      <c r="B952" s="106" t="s">
        <v>966</v>
      </c>
      <c r="C952" s="95" t="s">
        <v>2409</v>
      </c>
      <c r="D952" s="106">
        <v>12</v>
      </c>
      <c r="E952" s="107">
        <v>1</v>
      </c>
      <c r="F952" s="107" t="s">
        <v>2959</v>
      </c>
      <c r="G952" s="107" t="s">
        <v>2961</v>
      </c>
      <c r="H952" s="107" t="s">
        <v>2972</v>
      </c>
      <c r="I952" s="107" t="s">
        <v>2997</v>
      </c>
      <c r="J952" s="107" t="s">
        <v>2997</v>
      </c>
      <c r="K952" s="107" t="s">
        <v>2997</v>
      </c>
      <c r="L952" s="107">
        <v>111.83</v>
      </c>
      <c r="M952" s="107">
        <v>1</v>
      </c>
    </row>
    <row r="953" spans="1:13" x14ac:dyDescent="0.3">
      <c r="A953" s="95">
        <f t="shared" si="14"/>
        <v>0</v>
      </c>
      <c r="B953" s="106" t="s">
        <v>967</v>
      </c>
      <c r="C953" s="95" t="s">
        <v>2410</v>
      </c>
      <c r="D953" s="106">
        <v>12</v>
      </c>
      <c r="E953" s="107">
        <v>1</v>
      </c>
      <c r="F953" s="107" t="s">
        <v>2958</v>
      </c>
      <c r="G953" s="107" t="s">
        <v>2966</v>
      </c>
      <c r="H953" s="107" t="s">
        <v>2984</v>
      </c>
      <c r="I953" s="107" t="s">
        <v>2996</v>
      </c>
      <c r="J953" s="107" t="s">
        <v>2996</v>
      </c>
      <c r="K953" s="107" t="s">
        <v>2996</v>
      </c>
      <c r="L953" s="107">
        <v>28.36</v>
      </c>
      <c r="M953" s="107"/>
    </row>
    <row r="954" spans="1:13" x14ac:dyDescent="0.3">
      <c r="A954" s="95">
        <f t="shared" si="14"/>
        <v>0</v>
      </c>
      <c r="B954" s="106" t="s">
        <v>968</v>
      </c>
      <c r="C954" s="95" t="s">
        <v>2411</v>
      </c>
      <c r="D954" s="106">
        <v>12</v>
      </c>
      <c r="E954" s="107">
        <v>1</v>
      </c>
      <c r="F954" s="107" t="s">
        <v>2958</v>
      </c>
      <c r="G954" s="107" t="s">
        <v>2964</v>
      </c>
      <c r="H954" s="107" t="s">
        <v>2975</v>
      </c>
      <c r="I954" s="107" t="s">
        <v>2997</v>
      </c>
      <c r="J954" s="107" t="s">
        <v>2997</v>
      </c>
      <c r="K954" s="107" t="s">
        <v>2997</v>
      </c>
      <c r="L954" s="107">
        <v>128.1</v>
      </c>
      <c r="M954" s="107">
        <v>1</v>
      </c>
    </row>
    <row r="955" spans="1:13" x14ac:dyDescent="0.3">
      <c r="A955" s="95">
        <f t="shared" si="14"/>
        <v>0</v>
      </c>
      <c r="B955" s="106" t="s">
        <v>969</v>
      </c>
      <c r="C955" s="95" t="s">
        <v>2412</v>
      </c>
      <c r="D955" s="106">
        <v>12</v>
      </c>
      <c r="E955" s="107">
        <v>1</v>
      </c>
      <c r="F955" s="107" t="s">
        <v>2959</v>
      </c>
      <c r="G955" s="107" t="s">
        <v>2963</v>
      </c>
      <c r="H955" s="107" t="s">
        <v>2992</v>
      </c>
      <c r="I955" s="107" t="s">
        <v>2997</v>
      </c>
      <c r="J955" s="107" t="s">
        <v>2997</v>
      </c>
      <c r="K955" s="107" t="s">
        <v>2997</v>
      </c>
      <c r="L955" s="107">
        <v>15.61</v>
      </c>
      <c r="M955" s="107"/>
    </row>
    <row r="956" spans="1:13" x14ac:dyDescent="0.3">
      <c r="A956" s="95">
        <f t="shared" si="14"/>
        <v>0</v>
      </c>
      <c r="B956" s="106" t="s">
        <v>970</v>
      </c>
      <c r="C956" s="95" t="s">
        <v>2413</v>
      </c>
      <c r="D956" s="106">
        <v>12</v>
      </c>
      <c r="E956" s="107">
        <v>1</v>
      </c>
      <c r="F956" s="107" t="s">
        <v>2959</v>
      </c>
      <c r="G956" s="107" t="s">
        <v>2964</v>
      </c>
      <c r="H956" s="107" t="s">
        <v>2976</v>
      </c>
      <c r="I956" s="107" t="s">
        <v>2996</v>
      </c>
      <c r="J956" s="107" t="s">
        <v>2996</v>
      </c>
      <c r="K956" s="107" t="s">
        <v>2996</v>
      </c>
      <c r="L956" s="107">
        <v>322.24</v>
      </c>
      <c r="M956" s="107">
        <v>4</v>
      </c>
    </row>
    <row r="957" spans="1:13" x14ac:dyDescent="0.3">
      <c r="A957" s="95">
        <f t="shared" si="14"/>
        <v>0</v>
      </c>
      <c r="B957" s="106" t="s">
        <v>971</v>
      </c>
      <c r="C957" s="95" t="s">
        <v>2414</v>
      </c>
      <c r="D957" s="106">
        <v>12</v>
      </c>
      <c r="E957" s="107">
        <v>1</v>
      </c>
      <c r="F957" s="107" t="s">
        <v>2959</v>
      </c>
      <c r="G957" s="107" t="s">
        <v>2964</v>
      </c>
      <c r="H957" s="107" t="s">
        <v>2976</v>
      </c>
      <c r="I957" s="107" t="s">
        <v>2997</v>
      </c>
      <c r="J957" s="107" t="s">
        <v>2997</v>
      </c>
      <c r="K957" s="107" t="s">
        <v>2996</v>
      </c>
      <c r="L957" s="107">
        <v>45.07</v>
      </c>
      <c r="M957" s="107"/>
    </row>
    <row r="958" spans="1:13" x14ac:dyDescent="0.3">
      <c r="A958" s="95">
        <f t="shared" si="14"/>
        <v>1</v>
      </c>
      <c r="B958" s="106" t="s">
        <v>972</v>
      </c>
      <c r="C958" s="95" t="s">
        <v>2415</v>
      </c>
      <c r="D958" s="106">
        <v>12</v>
      </c>
      <c r="E958" s="107">
        <v>1</v>
      </c>
      <c r="F958" s="107" t="s">
        <v>2958</v>
      </c>
      <c r="G958" s="107" t="s">
        <v>2961</v>
      </c>
      <c r="H958" s="107" t="s">
        <v>2972</v>
      </c>
      <c r="I958" s="107" t="s">
        <v>2997</v>
      </c>
      <c r="J958" s="107" t="s">
        <v>2997</v>
      </c>
      <c r="K958" s="107" t="s">
        <v>2997</v>
      </c>
      <c r="L958" s="107">
        <v>621.19000000000005</v>
      </c>
      <c r="M958" s="107">
        <v>13</v>
      </c>
    </row>
    <row r="959" spans="1:13" x14ac:dyDescent="0.3">
      <c r="A959" s="95">
        <f t="shared" si="14"/>
        <v>0</v>
      </c>
      <c r="B959" s="106" t="s">
        <v>973</v>
      </c>
      <c r="C959" s="95" t="s">
        <v>2416</v>
      </c>
      <c r="D959" s="106">
        <v>12</v>
      </c>
      <c r="E959" s="107">
        <v>1</v>
      </c>
      <c r="F959" s="107" t="s">
        <v>2959</v>
      </c>
      <c r="G959" s="107" t="s">
        <v>2960</v>
      </c>
      <c r="H959" s="107" t="s">
        <v>2970</v>
      </c>
      <c r="I959" s="107" t="s">
        <v>2996</v>
      </c>
      <c r="J959" s="107" t="s">
        <v>2996</v>
      </c>
      <c r="K959" s="107" t="s">
        <v>2996</v>
      </c>
      <c r="L959" s="107">
        <v>22.85</v>
      </c>
      <c r="M959" s="107"/>
    </row>
    <row r="960" spans="1:13" x14ac:dyDescent="0.3">
      <c r="A960" s="95">
        <f t="shared" si="14"/>
        <v>0</v>
      </c>
      <c r="B960" s="106" t="s">
        <v>974</v>
      </c>
      <c r="C960" s="95" t="s">
        <v>2417</v>
      </c>
      <c r="D960" s="106">
        <v>12</v>
      </c>
      <c r="E960" s="107">
        <v>1</v>
      </c>
      <c r="F960" s="107" t="s">
        <v>2959</v>
      </c>
      <c r="G960" s="107" t="s">
        <v>2965</v>
      </c>
      <c r="H960" s="107" t="s">
        <v>2965</v>
      </c>
      <c r="I960" s="107" t="s">
        <v>2997</v>
      </c>
      <c r="J960" s="107" t="s">
        <v>2997</v>
      </c>
      <c r="K960" s="107" t="s">
        <v>2997</v>
      </c>
      <c r="L960" s="107">
        <v>20.51</v>
      </c>
      <c r="M960" s="107"/>
    </row>
    <row r="961" spans="1:13" x14ac:dyDescent="0.3">
      <c r="A961" s="95">
        <f t="shared" si="14"/>
        <v>0</v>
      </c>
      <c r="B961" s="106" t="s">
        <v>975</v>
      </c>
      <c r="C961" s="95" t="s">
        <v>2418</v>
      </c>
      <c r="D961" s="106">
        <v>12</v>
      </c>
      <c r="E961" s="107">
        <v>1</v>
      </c>
      <c r="F961" s="107" t="s">
        <v>2959</v>
      </c>
      <c r="G961" s="107" t="s">
        <v>2964</v>
      </c>
      <c r="H961" s="107" t="s">
        <v>2976</v>
      </c>
      <c r="I961" s="107" t="s">
        <v>2997</v>
      </c>
      <c r="J961" s="107" t="s">
        <v>2997</v>
      </c>
      <c r="K961" s="107" t="s">
        <v>2996</v>
      </c>
      <c r="L961" s="107">
        <v>123.84</v>
      </c>
      <c r="M961" s="107"/>
    </row>
    <row r="962" spans="1:13" x14ac:dyDescent="0.3">
      <c r="A962" s="95">
        <f t="shared" si="14"/>
        <v>0</v>
      </c>
      <c r="B962" s="106" t="s">
        <v>976</v>
      </c>
      <c r="C962" s="95" t="s">
        <v>2419</v>
      </c>
      <c r="D962" s="106">
        <v>12</v>
      </c>
      <c r="E962" s="107">
        <v>1</v>
      </c>
      <c r="F962" s="107" t="s">
        <v>2959</v>
      </c>
      <c r="G962" s="107" t="s">
        <v>2966</v>
      </c>
      <c r="H962" s="107" t="s">
        <v>2978</v>
      </c>
      <c r="I962" s="107" t="s">
        <v>2997</v>
      </c>
      <c r="J962" s="107" t="s">
        <v>2997</v>
      </c>
      <c r="K962" s="107" t="s">
        <v>2996</v>
      </c>
      <c r="L962" s="107">
        <v>20.21</v>
      </c>
      <c r="M962" s="107"/>
    </row>
    <row r="963" spans="1:13" x14ac:dyDescent="0.3">
      <c r="A963" s="95">
        <f t="shared" si="14"/>
        <v>0</v>
      </c>
      <c r="B963" s="106" t="s">
        <v>977</v>
      </c>
      <c r="C963" s="95" t="s">
        <v>2420</v>
      </c>
      <c r="D963" s="106">
        <v>12</v>
      </c>
      <c r="E963" s="107">
        <v>1</v>
      </c>
      <c r="F963" s="107" t="s">
        <v>2959</v>
      </c>
      <c r="G963" s="107" t="s">
        <v>2966</v>
      </c>
      <c r="H963" s="107" t="s">
        <v>2985</v>
      </c>
      <c r="I963" s="107" t="s">
        <v>2996</v>
      </c>
      <c r="J963" s="107" t="s">
        <v>2996</v>
      </c>
      <c r="K963" s="107" t="s">
        <v>2996</v>
      </c>
      <c r="L963" s="107">
        <v>13.65</v>
      </c>
      <c r="M963" s="107"/>
    </row>
    <row r="964" spans="1:13" x14ac:dyDescent="0.3">
      <c r="A964" s="95">
        <f t="shared" si="14"/>
        <v>0</v>
      </c>
      <c r="B964" s="106" t="s">
        <v>978</v>
      </c>
      <c r="C964" s="95" t="s">
        <v>2421</v>
      </c>
      <c r="D964" s="106">
        <v>12</v>
      </c>
      <c r="E964" s="107">
        <v>1</v>
      </c>
      <c r="F964" s="107" t="s">
        <v>2959</v>
      </c>
      <c r="G964" s="107" t="s">
        <v>2966</v>
      </c>
      <c r="H964" s="107" t="s">
        <v>2985</v>
      </c>
      <c r="I964" s="107" t="s">
        <v>2997</v>
      </c>
      <c r="J964" s="107" t="s">
        <v>2997</v>
      </c>
      <c r="K964" s="107" t="s">
        <v>2996</v>
      </c>
      <c r="L964" s="107">
        <v>101.45</v>
      </c>
      <c r="M964" s="107"/>
    </row>
    <row r="965" spans="1:13" x14ac:dyDescent="0.3">
      <c r="A965" s="95">
        <f t="shared" si="14"/>
        <v>0</v>
      </c>
      <c r="B965" s="106" t="s">
        <v>979</v>
      </c>
      <c r="C965" s="95" t="s">
        <v>2422</v>
      </c>
      <c r="D965" s="106">
        <v>12</v>
      </c>
      <c r="E965" s="107">
        <v>1</v>
      </c>
      <c r="F965" s="107" t="s">
        <v>2959</v>
      </c>
      <c r="G965" s="107" t="s">
        <v>2966</v>
      </c>
      <c r="H965" s="107" t="s">
        <v>2985</v>
      </c>
      <c r="I965" s="107" t="s">
        <v>2996</v>
      </c>
      <c r="J965" s="107" t="s">
        <v>2996</v>
      </c>
      <c r="K965" s="107" t="s">
        <v>2996</v>
      </c>
      <c r="L965" s="107">
        <v>30.48</v>
      </c>
      <c r="M965" s="107"/>
    </row>
    <row r="966" spans="1:13" x14ac:dyDescent="0.3">
      <c r="A966" s="95">
        <f t="shared" si="14"/>
        <v>0</v>
      </c>
      <c r="B966" s="106" t="s">
        <v>980</v>
      </c>
      <c r="C966" s="95" t="s">
        <v>2423</v>
      </c>
      <c r="D966" s="106">
        <v>12</v>
      </c>
      <c r="E966" s="107">
        <v>1</v>
      </c>
      <c r="F966" s="107" t="s">
        <v>2959</v>
      </c>
      <c r="G966" s="107" t="s">
        <v>2961</v>
      </c>
      <c r="H966" s="107" t="s">
        <v>2971</v>
      </c>
      <c r="I966" s="107" t="s">
        <v>2997</v>
      </c>
      <c r="J966" s="107" t="s">
        <v>2997</v>
      </c>
      <c r="K966" s="107" t="s">
        <v>2996</v>
      </c>
      <c r="L966" s="107">
        <v>23.27</v>
      </c>
      <c r="M966" s="107"/>
    </row>
    <row r="967" spans="1:13" x14ac:dyDescent="0.3">
      <c r="A967" s="95">
        <f t="shared" si="14"/>
        <v>0</v>
      </c>
      <c r="B967" s="106" t="s">
        <v>981</v>
      </c>
      <c r="C967" s="95" t="s">
        <v>2424</v>
      </c>
      <c r="D967" s="106">
        <v>12</v>
      </c>
      <c r="E967" s="107">
        <v>1</v>
      </c>
      <c r="F967" s="107" t="s">
        <v>2959</v>
      </c>
      <c r="G967" s="107" t="s">
        <v>2966</v>
      </c>
      <c r="H967" s="107" t="s">
        <v>2984</v>
      </c>
      <c r="I967" s="107" t="s">
        <v>2996</v>
      </c>
      <c r="J967" s="107" t="s">
        <v>2996</v>
      </c>
      <c r="K967" s="107" t="s">
        <v>2996</v>
      </c>
      <c r="L967" s="107">
        <v>59.16</v>
      </c>
      <c r="M967" s="107"/>
    </row>
    <row r="968" spans="1:13" x14ac:dyDescent="0.3">
      <c r="A968" s="95">
        <f t="shared" si="14"/>
        <v>0</v>
      </c>
      <c r="B968" s="106" t="s">
        <v>982</v>
      </c>
      <c r="C968" s="95" t="s">
        <v>2425</v>
      </c>
      <c r="D968" s="106">
        <v>12</v>
      </c>
      <c r="E968" s="107">
        <v>1</v>
      </c>
      <c r="F968" s="107" t="s">
        <v>2959</v>
      </c>
      <c r="G968" s="107" t="s">
        <v>2966</v>
      </c>
      <c r="H968" s="107" t="s">
        <v>2980</v>
      </c>
      <c r="I968" s="107" t="s">
        <v>2997</v>
      </c>
      <c r="J968" s="107" t="s">
        <v>2997</v>
      </c>
      <c r="K968" s="107" t="s">
        <v>2996</v>
      </c>
      <c r="L968" s="107">
        <v>69.569999999999993</v>
      </c>
      <c r="M968" s="107"/>
    </row>
    <row r="969" spans="1:13" x14ac:dyDescent="0.3">
      <c r="A969" s="95">
        <f t="shared" si="14"/>
        <v>0</v>
      </c>
      <c r="B969" s="106" t="s">
        <v>983</v>
      </c>
      <c r="C969" s="95" t="s">
        <v>2426</v>
      </c>
      <c r="D969" s="106">
        <v>12</v>
      </c>
      <c r="E969" s="107">
        <v>1</v>
      </c>
      <c r="F969" s="107" t="s">
        <v>2959</v>
      </c>
      <c r="G969" s="107" t="s">
        <v>2966</v>
      </c>
      <c r="H969" s="107" t="s">
        <v>2984</v>
      </c>
      <c r="I969" s="107" t="s">
        <v>2997</v>
      </c>
      <c r="J969" s="107" t="s">
        <v>2997</v>
      </c>
      <c r="K969" s="107" t="s">
        <v>2996</v>
      </c>
      <c r="L969" s="107">
        <v>75.239999999999995</v>
      </c>
      <c r="M969" s="107"/>
    </row>
    <row r="970" spans="1:13" x14ac:dyDescent="0.3">
      <c r="A970" s="95">
        <f t="shared" si="14"/>
        <v>0</v>
      </c>
      <c r="B970" s="106" t="s">
        <v>984</v>
      </c>
      <c r="C970" s="95" t="s">
        <v>2427</v>
      </c>
      <c r="D970" s="106">
        <v>12</v>
      </c>
      <c r="E970" s="107">
        <v>1</v>
      </c>
      <c r="F970" s="107" t="s">
        <v>2959</v>
      </c>
      <c r="G970" s="107" t="s">
        <v>2961</v>
      </c>
      <c r="H970" s="107" t="s">
        <v>2971</v>
      </c>
      <c r="I970" s="107" t="s">
        <v>2996</v>
      </c>
      <c r="J970" s="107" t="s">
        <v>2997</v>
      </c>
      <c r="K970" s="107" t="s">
        <v>2997</v>
      </c>
      <c r="L970" s="107">
        <v>49.75</v>
      </c>
      <c r="M970" s="107">
        <v>1</v>
      </c>
    </row>
    <row r="971" spans="1:13" x14ac:dyDescent="0.3">
      <c r="A971" s="95">
        <f t="shared" si="14"/>
        <v>0</v>
      </c>
      <c r="B971" s="106" t="s">
        <v>985</v>
      </c>
      <c r="C971" s="95" t="s">
        <v>3562</v>
      </c>
      <c r="D971" s="106">
        <v>12</v>
      </c>
      <c r="E971" s="107">
        <v>1</v>
      </c>
      <c r="F971" s="107" t="s">
        <v>2959</v>
      </c>
      <c r="G971" s="107" t="s">
        <v>2966</v>
      </c>
      <c r="H971" s="107" t="s">
        <v>2985</v>
      </c>
      <c r="I971" s="107" t="s">
        <v>2997</v>
      </c>
      <c r="J971" s="107" t="s">
        <v>2997</v>
      </c>
      <c r="K971" s="107" t="s">
        <v>2996</v>
      </c>
      <c r="L971" s="107">
        <v>24.21</v>
      </c>
      <c r="M971" s="107"/>
    </row>
    <row r="972" spans="1:13" x14ac:dyDescent="0.3">
      <c r="A972" s="95">
        <f t="shared" si="14"/>
        <v>0</v>
      </c>
      <c r="B972" s="106" t="s">
        <v>3149</v>
      </c>
      <c r="C972" s="95" t="s">
        <v>3645</v>
      </c>
      <c r="D972" s="106">
        <v>12</v>
      </c>
      <c r="E972" s="107">
        <v>1</v>
      </c>
      <c r="F972" s="107" t="s">
        <v>2959</v>
      </c>
      <c r="G972" s="107" t="s">
        <v>2964</v>
      </c>
      <c r="H972" s="107" t="s">
        <v>2987</v>
      </c>
      <c r="I972" s="107" t="s">
        <v>2997</v>
      </c>
      <c r="J972" s="107" t="s">
        <v>2997</v>
      </c>
      <c r="K972" s="107" t="s">
        <v>2996</v>
      </c>
      <c r="L972" s="107">
        <v>27.03</v>
      </c>
      <c r="M972" s="107"/>
    </row>
    <row r="973" spans="1:13" x14ac:dyDescent="0.3">
      <c r="A973" s="95">
        <f t="shared" si="14"/>
        <v>0</v>
      </c>
      <c r="B973" s="106" t="s">
        <v>986</v>
      </c>
      <c r="C973" s="95" t="s">
        <v>2428</v>
      </c>
      <c r="D973" s="106">
        <v>12</v>
      </c>
      <c r="E973" s="107">
        <v>1</v>
      </c>
      <c r="F973" s="107" t="s">
        <v>2959</v>
      </c>
      <c r="G973" s="107" t="s">
        <v>2961</v>
      </c>
      <c r="H973" s="107" t="s">
        <v>2981</v>
      </c>
      <c r="I973" s="107" t="s">
        <v>2997</v>
      </c>
      <c r="J973" s="107" t="s">
        <v>2997</v>
      </c>
      <c r="K973" s="107" t="s">
        <v>2997</v>
      </c>
      <c r="L973" s="107">
        <v>276.88</v>
      </c>
      <c r="M973" s="107">
        <v>5</v>
      </c>
    </row>
    <row r="974" spans="1:13" x14ac:dyDescent="0.3">
      <c r="A974" s="95">
        <f t="shared" si="14"/>
        <v>0</v>
      </c>
      <c r="B974" s="106" t="s">
        <v>987</v>
      </c>
      <c r="C974" s="95" t="s">
        <v>2429</v>
      </c>
      <c r="D974" s="106">
        <v>12</v>
      </c>
      <c r="E974" s="107">
        <v>1</v>
      </c>
      <c r="F974" s="107" t="s">
        <v>2959</v>
      </c>
      <c r="G974" s="107" t="s">
        <v>2964</v>
      </c>
      <c r="H974" s="107" t="s">
        <v>2976</v>
      </c>
      <c r="I974" s="107" t="s">
        <v>2996</v>
      </c>
      <c r="J974" s="107" t="s">
        <v>2996</v>
      </c>
      <c r="K974" s="107" t="s">
        <v>2996</v>
      </c>
      <c r="L974" s="107">
        <v>54.82</v>
      </c>
      <c r="M974" s="107"/>
    </row>
    <row r="975" spans="1:13" x14ac:dyDescent="0.3">
      <c r="A975" s="95">
        <f t="shared" ref="A975:A1038" si="15">IF(AND(E975=1,J975=K975,M975&gt;6),1,0)</f>
        <v>0</v>
      </c>
      <c r="B975" s="106" t="s">
        <v>988</v>
      </c>
      <c r="C975" s="95" t="s">
        <v>2430</v>
      </c>
      <c r="D975" s="106">
        <v>12</v>
      </c>
      <c r="E975" s="107">
        <v>1</v>
      </c>
      <c r="F975" s="107" t="s">
        <v>2959</v>
      </c>
      <c r="G975" s="107" t="s">
        <v>2966</v>
      </c>
      <c r="H975" s="107" t="s">
        <v>2984</v>
      </c>
      <c r="I975" s="107" t="s">
        <v>2997</v>
      </c>
      <c r="J975" s="107" t="s">
        <v>2997</v>
      </c>
      <c r="K975" s="107" t="s">
        <v>2996</v>
      </c>
      <c r="L975" s="107">
        <v>11.35</v>
      </c>
      <c r="M975" s="107"/>
    </row>
    <row r="976" spans="1:13" x14ac:dyDescent="0.3">
      <c r="A976" s="95">
        <f t="shared" si="15"/>
        <v>0</v>
      </c>
      <c r="B976" s="106" t="s">
        <v>989</v>
      </c>
      <c r="C976" s="95" t="s">
        <v>2431</v>
      </c>
      <c r="D976" s="106">
        <v>12</v>
      </c>
      <c r="E976" s="107">
        <v>1</v>
      </c>
      <c r="F976" s="107" t="s">
        <v>2959</v>
      </c>
      <c r="G976" s="107" t="s">
        <v>2961</v>
      </c>
      <c r="H976" s="107" t="s">
        <v>2981</v>
      </c>
      <c r="I976" s="107" t="s">
        <v>2997</v>
      </c>
      <c r="J976" s="107" t="s">
        <v>2997</v>
      </c>
      <c r="K976" s="107" t="s">
        <v>2996</v>
      </c>
      <c r="L976" s="107">
        <v>46.86</v>
      </c>
      <c r="M976" s="107"/>
    </row>
    <row r="977" spans="1:13" x14ac:dyDescent="0.3">
      <c r="A977" s="95">
        <f t="shared" si="15"/>
        <v>0</v>
      </c>
      <c r="B977" s="106" t="s">
        <v>990</v>
      </c>
      <c r="C977" s="95" t="s">
        <v>2432</v>
      </c>
      <c r="D977" s="106">
        <v>12</v>
      </c>
      <c r="E977" s="107">
        <v>1</v>
      </c>
      <c r="F977" s="107" t="s">
        <v>2959</v>
      </c>
      <c r="G977" s="107" t="s">
        <v>2966</v>
      </c>
      <c r="H977" s="107" t="s">
        <v>2977</v>
      </c>
      <c r="I977" s="107" t="s">
        <v>2996</v>
      </c>
      <c r="J977" s="107" t="s">
        <v>2996</v>
      </c>
      <c r="K977" s="107" t="s">
        <v>2996</v>
      </c>
      <c r="L977" s="107">
        <v>6.72</v>
      </c>
      <c r="M977" s="107"/>
    </row>
    <row r="978" spans="1:13" x14ac:dyDescent="0.3">
      <c r="A978" s="95">
        <f t="shared" si="15"/>
        <v>0</v>
      </c>
      <c r="B978" s="106" t="s">
        <v>991</v>
      </c>
      <c r="C978" s="95" t="s">
        <v>2433</v>
      </c>
      <c r="D978" s="106">
        <v>12</v>
      </c>
      <c r="E978" s="107">
        <v>1</v>
      </c>
      <c r="F978" s="107" t="s">
        <v>2959</v>
      </c>
      <c r="G978" s="107" t="s">
        <v>2966</v>
      </c>
      <c r="H978" s="107" t="s">
        <v>2985</v>
      </c>
      <c r="I978" s="107" t="s">
        <v>2997</v>
      </c>
      <c r="J978" s="107" t="s">
        <v>2997</v>
      </c>
      <c r="K978" s="107" t="s">
        <v>2997</v>
      </c>
      <c r="L978" s="107">
        <v>267.49</v>
      </c>
      <c r="M978" s="107">
        <v>1</v>
      </c>
    </row>
    <row r="979" spans="1:13" x14ac:dyDescent="0.3">
      <c r="A979" s="95">
        <f t="shared" si="15"/>
        <v>1</v>
      </c>
      <c r="B979" s="106" t="s">
        <v>992</v>
      </c>
      <c r="C979" s="95" t="s">
        <v>2434</v>
      </c>
      <c r="D979" s="106">
        <v>12</v>
      </c>
      <c r="E979" s="107">
        <v>1</v>
      </c>
      <c r="F979" s="107" t="s">
        <v>2959</v>
      </c>
      <c r="G979" s="107" t="s">
        <v>2966</v>
      </c>
      <c r="H979" s="107" t="s">
        <v>2980</v>
      </c>
      <c r="I979" s="107" t="s">
        <v>2997</v>
      </c>
      <c r="J979" s="107" t="s">
        <v>2997</v>
      </c>
      <c r="K979" s="107" t="s">
        <v>2997</v>
      </c>
      <c r="L979" s="107">
        <v>1967.81</v>
      </c>
      <c r="M979" s="107">
        <v>8</v>
      </c>
    </row>
    <row r="980" spans="1:13" x14ac:dyDescent="0.3">
      <c r="A980" s="95">
        <f t="shared" si="15"/>
        <v>0</v>
      </c>
      <c r="B980" s="106" t="s">
        <v>993</v>
      </c>
      <c r="C980" s="95" t="s">
        <v>2435</v>
      </c>
      <c r="D980" s="106">
        <v>12</v>
      </c>
      <c r="E980" s="107">
        <v>1</v>
      </c>
      <c r="F980" s="107" t="s">
        <v>2959</v>
      </c>
      <c r="G980" s="107" t="s">
        <v>2964</v>
      </c>
      <c r="H980" s="107" t="s">
        <v>2976</v>
      </c>
      <c r="I980" s="107" t="s">
        <v>2997</v>
      </c>
      <c r="J980" s="107" t="s">
        <v>2997</v>
      </c>
      <c r="K980" s="107" t="s">
        <v>2996</v>
      </c>
      <c r="L980" s="107">
        <v>26.15</v>
      </c>
      <c r="M980" s="107"/>
    </row>
    <row r="981" spans="1:13" x14ac:dyDescent="0.3">
      <c r="A981" s="95">
        <f t="shared" si="15"/>
        <v>0</v>
      </c>
      <c r="B981" s="106" t="s">
        <v>3542</v>
      </c>
      <c r="C981" s="95" t="s">
        <v>3553</v>
      </c>
      <c r="D981" s="106">
        <v>12</v>
      </c>
      <c r="E981" s="107">
        <v>1</v>
      </c>
      <c r="F981" s="107" t="s">
        <v>2959</v>
      </c>
      <c r="G981" s="107" t="s">
        <v>2966</v>
      </c>
      <c r="H981" s="107" t="s">
        <v>2984</v>
      </c>
      <c r="I981" s="107" t="s">
        <v>2996</v>
      </c>
      <c r="J981" s="107" t="s">
        <v>2996</v>
      </c>
      <c r="K981" s="107" t="s">
        <v>2996</v>
      </c>
      <c r="L981" s="107">
        <v>37.96</v>
      </c>
      <c r="M981" s="107"/>
    </row>
    <row r="982" spans="1:13" x14ac:dyDescent="0.3">
      <c r="A982" s="95">
        <f t="shared" si="15"/>
        <v>1</v>
      </c>
      <c r="B982" s="106" t="s">
        <v>994</v>
      </c>
      <c r="C982" s="95" t="s">
        <v>2436</v>
      </c>
      <c r="D982" s="106">
        <v>12</v>
      </c>
      <c r="E982" s="107">
        <v>1</v>
      </c>
      <c r="F982" s="107" t="s">
        <v>2958</v>
      </c>
      <c r="G982" s="107" t="s">
        <v>2964</v>
      </c>
      <c r="H982" s="107" t="s">
        <v>2976</v>
      </c>
      <c r="I982" s="107" t="s">
        <v>2997</v>
      </c>
      <c r="J982" s="107" t="s">
        <v>2997</v>
      </c>
      <c r="K982" s="107" t="s">
        <v>2997</v>
      </c>
      <c r="L982" s="107">
        <v>2946.76</v>
      </c>
      <c r="M982" s="107">
        <v>19</v>
      </c>
    </row>
    <row r="983" spans="1:13" x14ac:dyDescent="0.3">
      <c r="A983" s="95">
        <f t="shared" si="15"/>
        <v>1</v>
      </c>
      <c r="B983" s="106" t="s">
        <v>995</v>
      </c>
      <c r="C983" s="95" t="s">
        <v>2437</v>
      </c>
      <c r="D983" s="106">
        <v>12</v>
      </c>
      <c r="E983" s="107">
        <v>1</v>
      </c>
      <c r="F983" s="107" t="s">
        <v>2958</v>
      </c>
      <c r="G983" s="107" t="s">
        <v>2964</v>
      </c>
      <c r="H983" s="107" t="s">
        <v>2976</v>
      </c>
      <c r="I983" s="107" t="s">
        <v>2997</v>
      </c>
      <c r="J983" s="107" t="s">
        <v>2997</v>
      </c>
      <c r="K983" s="107" t="s">
        <v>2997</v>
      </c>
      <c r="L983" s="107">
        <v>4025.53</v>
      </c>
      <c r="M983" s="107">
        <v>13</v>
      </c>
    </row>
    <row r="984" spans="1:13" x14ac:dyDescent="0.3">
      <c r="A984" s="95">
        <f t="shared" si="15"/>
        <v>0</v>
      </c>
      <c r="B984" s="106" t="s">
        <v>996</v>
      </c>
      <c r="C984" s="95" t="s">
        <v>2438</v>
      </c>
      <c r="D984" s="106">
        <v>12</v>
      </c>
      <c r="E984" s="107">
        <v>1</v>
      </c>
      <c r="F984" s="107" t="s">
        <v>2959</v>
      </c>
      <c r="G984" s="107" t="s">
        <v>2966</v>
      </c>
      <c r="H984" s="107" t="s">
        <v>2985</v>
      </c>
      <c r="I984" s="107" t="s">
        <v>2997</v>
      </c>
      <c r="J984" s="107" t="s">
        <v>2997</v>
      </c>
      <c r="K984" s="107" t="s">
        <v>2996</v>
      </c>
      <c r="L984" s="107">
        <v>34.479999999999997</v>
      </c>
      <c r="M984" s="107"/>
    </row>
    <row r="985" spans="1:13" x14ac:dyDescent="0.3">
      <c r="A985" s="95">
        <f t="shared" si="15"/>
        <v>0</v>
      </c>
      <c r="B985" s="106" t="s">
        <v>997</v>
      </c>
      <c r="C985" s="95" t="s">
        <v>2439</v>
      </c>
      <c r="D985" s="106">
        <v>12</v>
      </c>
      <c r="E985" s="107">
        <v>1</v>
      </c>
      <c r="F985" s="107" t="s">
        <v>2959</v>
      </c>
      <c r="G985" s="107" t="s">
        <v>2966</v>
      </c>
      <c r="H985" s="107" t="s">
        <v>2977</v>
      </c>
      <c r="I985" s="107" t="s">
        <v>2997</v>
      </c>
      <c r="J985" s="107" t="s">
        <v>2997</v>
      </c>
      <c r="K985" s="107" t="s">
        <v>2997</v>
      </c>
      <c r="L985" s="107">
        <v>172.02</v>
      </c>
      <c r="M985" s="107">
        <v>2</v>
      </c>
    </row>
    <row r="986" spans="1:13" x14ac:dyDescent="0.3">
      <c r="A986" s="95">
        <f t="shared" si="15"/>
        <v>0</v>
      </c>
      <c r="B986" s="106" t="s">
        <v>998</v>
      </c>
      <c r="C986" s="95" t="s">
        <v>2440</v>
      </c>
      <c r="D986" s="106">
        <v>12</v>
      </c>
      <c r="E986" s="107">
        <v>1</v>
      </c>
      <c r="F986" s="107" t="s">
        <v>2958</v>
      </c>
      <c r="G986" s="107" t="s">
        <v>2965</v>
      </c>
      <c r="H986" s="107" t="s">
        <v>2965</v>
      </c>
      <c r="I986" s="107" t="s">
        <v>2997</v>
      </c>
      <c r="J986" s="107" t="s">
        <v>2997</v>
      </c>
      <c r="K986" s="107" t="s">
        <v>2996</v>
      </c>
      <c r="L986" s="107">
        <v>86.52</v>
      </c>
      <c r="M986" s="107"/>
    </row>
    <row r="987" spans="1:13" x14ac:dyDescent="0.3">
      <c r="A987" s="95">
        <f t="shared" si="15"/>
        <v>0</v>
      </c>
      <c r="B987" s="106" t="s">
        <v>999</v>
      </c>
      <c r="C987" s="95" t="s">
        <v>2441</v>
      </c>
      <c r="D987" s="106">
        <v>12</v>
      </c>
      <c r="E987" s="107">
        <v>1</v>
      </c>
      <c r="F987" s="107" t="s">
        <v>2959</v>
      </c>
      <c r="G987" s="107" t="s">
        <v>2966</v>
      </c>
      <c r="H987" s="107" t="s">
        <v>2980</v>
      </c>
      <c r="I987" s="107" t="s">
        <v>2997</v>
      </c>
      <c r="J987" s="107" t="s">
        <v>2997</v>
      </c>
      <c r="K987" s="107" t="s">
        <v>2996</v>
      </c>
      <c r="L987" s="107">
        <v>36.39</v>
      </c>
      <c r="M987" s="107"/>
    </row>
    <row r="988" spans="1:13" x14ac:dyDescent="0.3">
      <c r="A988" s="95">
        <f t="shared" si="15"/>
        <v>0</v>
      </c>
      <c r="B988" s="106" t="s">
        <v>1000</v>
      </c>
      <c r="C988" s="95" t="s">
        <v>2442</v>
      </c>
      <c r="D988" s="106">
        <v>12</v>
      </c>
      <c r="E988" s="107">
        <v>1</v>
      </c>
      <c r="F988" s="107" t="s">
        <v>2959</v>
      </c>
      <c r="G988" s="107" t="s">
        <v>2966</v>
      </c>
      <c r="H988" s="107" t="s">
        <v>2985</v>
      </c>
      <c r="I988" s="107" t="s">
        <v>2997</v>
      </c>
      <c r="J988" s="107" t="s">
        <v>2997</v>
      </c>
      <c r="K988" s="107" t="s">
        <v>2997</v>
      </c>
      <c r="L988" s="107">
        <v>114.59</v>
      </c>
      <c r="M988" s="107"/>
    </row>
    <row r="989" spans="1:13" x14ac:dyDescent="0.3">
      <c r="A989" s="95">
        <f t="shared" si="15"/>
        <v>0</v>
      </c>
      <c r="B989" s="106" t="s">
        <v>1001</v>
      </c>
      <c r="C989" s="95" t="s">
        <v>2443</v>
      </c>
      <c r="D989" s="106">
        <v>12</v>
      </c>
      <c r="E989" s="107">
        <v>1</v>
      </c>
      <c r="F989" s="107" t="s">
        <v>2959</v>
      </c>
      <c r="G989" s="107" t="s">
        <v>2961</v>
      </c>
      <c r="H989" s="107" t="s">
        <v>2972</v>
      </c>
      <c r="I989" s="107" t="s">
        <v>2997</v>
      </c>
      <c r="J989" s="107" t="s">
        <v>2997</v>
      </c>
      <c r="K989" s="107" t="s">
        <v>2996</v>
      </c>
      <c r="L989" s="107">
        <v>56.82</v>
      </c>
      <c r="M989" s="107"/>
    </row>
    <row r="990" spans="1:13" x14ac:dyDescent="0.3">
      <c r="A990" s="95">
        <f t="shared" si="15"/>
        <v>0</v>
      </c>
      <c r="B990" s="106" t="s">
        <v>3150</v>
      </c>
      <c r="C990" s="95" t="s">
        <v>3352</v>
      </c>
      <c r="D990" s="106">
        <v>12</v>
      </c>
      <c r="E990" s="107">
        <v>1</v>
      </c>
      <c r="F990" s="107" t="s">
        <v>2958</v>
      </c>
      <c r="G990" s="107" t="s">
        <v>2964</v>
      </c>
      <c r="H990" s="107" t="s">
        <v>2976</v>
      </c>
      <c r="I990" s="107" t="s">
        <v>2997</v>
      </c>
      <c r="J990" s="107" t="s">
        <v>2997</v>
      </c>
      <c r="K990" s="107" t="s">
        <v>2997</v>
      </c>
      <c r="L990" s="107">
        <v>2972.99</v>
      </c>
      <c r="M990" s="107">
        <v>2</v>
      </c>
    </row>
    <row r="991" spans="1:13" x14ac:dyDescent="0.3">
      <c r="A991" s="95">
        <f t="shared" si="15"/>
        <v>0</v>
      </c>
      <c r="B991" s="106" t="s">
        <v>1002</v>
      </c>
      <c r="C991" s="95" t="s">
        <v>2444</v>
      </c>
      <c r="D991" s="106">
        <v>12</v>
      </c>
      <c r="E991" s="107">
        <v>1</v>
      </c>
      <c r="F991" s="107" t="s">
        <v>2959</v>
      </c>
      <c r="G991" s="107" t="s">
        <v>2961</v>
      </c>
      <c r="H991" s="107" t="s">
        <v>2981</v>
      </c>
      <c r="I991" s="107" t="s">
        <v>2997</v>
      </c>
      <c r="J991" s="107" t="s">
        <v>2997</v>
      </c>
      <c r="K991" s="107" t="s">
        <v>2996</v>
      </c>
      <c r="L991" s="107">
        <v>40.340000000000003</v>
      </c>
      <c r="M991" s="107"/>
    </row>
    <row r="992" spans="1:13" x14ac:dyDescent="0.3">
      <c r="A992" s="95">
        <f t="shared" si="15"/>
        <v>0</v>
      </c>
      <c r="B992" s="106" t="s">
        <v>1003</v>
      </c>
      <c r="C992" s="95" t="s">
        <v>2445</v>
      </c>
      <c r="D992" s="106">
        <v>12</v>
      </c>
      <c r="E992" s="107">
        <v>1</v>
      </c>
      <c r="F992" s="107" t="s">
        <v>2959</v>
      </c>
      <c r="G992" s="107" t="s">
        <v>2960</v>
      </c>
      <c r="H992" s="107" t="s">
        <v>2983</v>
      </c>
      <c r="I992" s="107" t="s">
        <v>2997</v>
      </c>
      <c r="J992" s="107" t="s">
        <v>2997</v>
      </c>
      <c r="K992" s="107" t="s">
        <v>2997</v>
      </c>
      <c r="L992" s="107">
        <v>411.86</v>
      </c>
      <c r="M992" s="107">
        <v>2</v>
      </c>
    </row>
    <row r="993" spans="1:13" x14ac:dyDescent="0.3">
      <c r="A993" s="95">
        <f t="shared" si="15"/>
        <v>0</v>
      </c>
      <c r="B993" s="106" t="s">
        <v>1004</v>
      </c>
      <c r="C993" s="95" t="s">
        <v>2446</v>
      </c>
      <c r="D993" s="106">
        <v>12</v>
      </c>
      <c r="E993" s="107">
        <v>1</v>
      </c>
      <c r="F993" s="107" t="s">
        <v>2959</v>
      </c>
      <c r="G993" s="107" t="s">
        <v>2966</v>
      </c>
      <c r="H993" s="107" t="s">
        <v>2984</v>
      </c>
      <c r="I993" s="107" t="s">
        <v>2997</v>
      </c>
      <c r="J993" s="107" t="s">
        <v>2997</v>
      </c>
      <c r="K993" s="107" t="s">
        <v>2996</v>
      </c>
      <c r="L993" s="107">
        <v>38.69</v>
      </c>
      <c r="M993" s="107"/>
    </row>
    <row r="994" spans="1:13" x14ac:dyDescent="0.3">
      <c r="A994" s="95">
        <f t="shared" si="15"/>
        <v>0</v>
      </c>
      <c r="B994" s="106" t="s">
        <v>1005</v>
      </c>
      <c r="C994" s="95" t="s">
        <v>2447</v>
      </c>
      <c r="D994" s="106">
        <v>12</v>
      </c>
      <c r="E994" s="107">
        <v>1</v>
      </c>
      <c r="F994" s="107" t="s">
        <v>2959</v>
      </c>
      <c r="G994" s="107" t="s">
        <v>2961</v>
      </c>
      <c r="H994" s="107" t="s">
        <v>2971</v>
      </c>
      <c r="I994" s="107" t="s">
        <v>2997</v>
      </c>
      <c r="J994" s="107" t="s">
        <v>2997</v>
      </c>
      <c r="K994" s="107" t="s">
        <v>2996</v>
      </c>
      <c r="L994" s="107">
        <v>68.31</v>
      </c>
      <c r="M994" s="107"/>
    </row>
    <row r="995" spans="1:13" x14ac:dyDescent="0.3">
      <c r="A995" s="95">
        <f t="shared" si="15"/>
        <v>0</v>
      </c>
      <c r="B995" s="106" t="s">
        <v>1006</v>
      </c>
      <c r="C995" s="95" t="s">
        <v>2448</v>
      </c>
      <c r="D995" s="106">
        <v>12</v>
      </c>
      <c r="E995" s="107">
        <v>1</v>
      </c>
      <c r="F995" s="107" t="s">
        <v>2959</v>
      </c>
      <c r="G995" s="107" t="s">
        <v>2965</v>
      </c>
      <c r="H995" s="107" t="s">
        <v>2965</v>
      </c>
      <c r="I995" s="107" t="s">
        <v>2996</v>
      </c>
      <c r="J995" s="107" t="s">
        <v>2996</v>
      </c>
      <c r="K995" s="107" t="s">
        <v>2996</v>
      </c>
      <c r="L995" s="107">
        <v>37.9</v>
      </c>
      <c r="M995" s="107"/>
    </row>
    <row r="996" spans="1:13" x14ac:dyDescent="0.3">
      <c r="A996" s="95">
        <f t="shared" si="15"/>
        <v>0</v>
      </c>
      <c r="B996" s="106" t="s">
        <v>3151</v>
      </c>
      <c r="C996" s="95" t="s">
        <v>3353</v>
      </c>
      <c r="D996" s="106">
        <v>12</v>
      </c>
      <c r="E996" s="107">
        <v>1</v>
      </c>
      <c r="F996" s="107" t="s">
        <v>2959</v>
      </c>
      <c r="G996" s="107" t="s">
        <v>2960</v>
      </c>
      <c r="H996" s="107" t="s">
        <v>2970</v>
      </c>
      <c r="I996" s="107" t="s">
        <v>2996</v>
      </c>
      <c r="J996" s="107" t="s">
        <v>2996</v>
      </c>
      <c r="K996" s="107" t="s">
        <v>2996</v>
      </c>
      <c r="L996" s="107">
        <v>195.18</v>
      </c>
      <c r="M996" s="107">
        <v>1</v>
      </c>
    </row>
    <row r="997" spans="1:13" x14ac:dyDescent="0.3">
      <c r="A997" s="95">
        <f t="shared" si="15"/>
        <v>0</v>
      </c>
      <c r="B997" s="106" t="s">
        <v>1007</v>
      </c>
      <c r="C997" s="95" t="s">
        <v>2449</v>
      </c>
      <c r="D997" s="106">
        <v>12</v>
      </c>
      <c r="E997" s="107">
        <v>1</v>
      </c>
      <c r="F997" s="107" t="s">
        <v>2959</v>
      </c>
      <c r="G997" s="107" t="s">
        <v>2961</v>
      </c>
      <c r="H997" s="107" t="s">
        <v>2990</v>
      </c>
      <c r="I997" s="107" t="s">
        <v>2997</v>
      </c>
      <c r="J997" s="107" t="s">
        <v>2997</v>
      </c>
      <c r="K997" s="107" t="s">
        <v>2996</v>
      </c>
      <c r="L997" s="107">
        <v>173.92</v>
      </c>
      <c r="M997" s="107"/>
    </row>
    <row r="998" spans="1:13" x14ac:dyDescent="0.3">
      <c r="A998" s="95">
        <f t="shared" si="15"/>
        <v>0</v>
      </c>
      <c r="B998" s="106" t="s">
        <v>1008</v>
      </c>
      <c r="C998" s="95" t="s">
        <v>2450</v>
      </c>
      <c r="D998" s="106">
        <v>6</v>
      </c>
      <c r="E998" s="107">
        <v>1</v>
      </c>
      <c r="F998" s="107" t="s">
        <v>2959</v>
      </c>
      <c r="G998" s="107" t="s">
        <v>2964</v>
      </c>
      <c r="H998" s="107" t="s">
        <v>2976</v>
      </c>
      <c r="I998" s="107" t="s">
        <v>2997</v>
      </c>
      <c r="J998" s="107" t="s">
        <v>2996</v>
      </c>
      <c r="K998" s="107" t="s">
        <v>2996</v>
      </c>
      <c r="L998" s="107">
        <v>45.15</v>
      </c>
      <c r="M998" s="107"/>
    </row>
    <row r="999" spans="1:13" x14ac:dyDescent="0.3">
      <c r="A999" s="95">
        <f t="shared" si="15"/>
        <v>0</v>
      </c>
      <c r="B999" s="106" t="s">
        <v>1009</v>
      </c>
      <c r="C999" s="95" t="s">
        <v>2451</v>
      </c>
      <c r="D999" s="106">
        <v>12</v>
      </c>
      <c r="E999" s="107">
        <v>1</v>
      </c>
      <c r="F999" s="107" t="s">
        <v>2959</v>
      </c>
      <c r="G999" s="107" t="s">
        <v>2965</v>
      </c>
      <c r="H999" s="107" t="s">
        <v>2965</v>
      </c>
      <c r="I999" s="107" t="s">
        <v>2997</v>
      </c>
      <c r="J999" s="107" t="s">
        <v>2997</v>
      </c>
      <c r="K999" s="107" t="s">
        <v>2996</v>
      </c>
      <c r="L999" s="107">
        <v>22</v>
      </c>
      <c r="M999" s="107"/>
    </row>
    <row r="1000" spans="1:13" x14ac:dyDescent="0.3">
      <c r="A1000" s="95">
        <f t="shared" si="15"/>
        <v>0</v>
      </c>
      <c r="B1000" s="106" t="s">
        <v>1010</v>
      </c>
      <c r="C1000" s="95" t="s">
        <v>2452</v>
      </c>
      <c r="D1000" s="106">
        <v>12</v>
      </c>
      <c r="E1000" s="107">
        <v>1</v>
      </c>
      <c r="F1000" s="107" t="s">
        <v>2959</v>
      </c>
      <c r="G1000" s="107" t="s">
        <v>2966</v>
      </c>
      <c r="H1000" s="107" t="s">
        <v>2978</v>
      </c>
      <c r="I1000" s="107" t="s">
        <v>2997</v>
      </c>
      <c r="J1000" s="107" t="s">
        <v>2997</v>
      </c>
      <c r="K1000" s="107" t="s">
        <v>2996</v>
      </c>
      <c r="L1000" s="107">
        <v>31.58</v>
      </c>
      <c r="M1000" s="107"/>
    </row>
    <row r="1001" spans="1:13" x14ac:dyDescent="0.3">
      <c r="A1001" s="95">
        <f t="shared" si="15"/>
        <v>0</v>
      </c>
      <c r="B1001" s="106" t="s">
        <v>1011</v>
      </c>
      <c r="C1001" s="95" t="s">
        <v>2453</v>
      </c>
      <c r="D1001" s="106">
        <v>12</v>
      </c>
      <c r="E1001" s="107">
        <v>1</v>
      </c>
      <c r="F1001" s="107" t="s">
        <v>2959</v>
      </c>
      <c r="G1001" s="107" t="s">
        <v>2961</v>
      </c>
      <c r="H1001" s="107" t="s">
        <v>2981</v>
      </c>
      <c r="I1001" s="107" t="s">
        <v>2997</v>
      </c>
      <c r="J1001" s="107" t="s">
        <v>2997</v>
      </c>
      <c r="K1001" s="107" t="s">
        <v>2996</v>
      </c>
      <c r="L1001" s="107">
        <v>68.790000000000006</v>
      </c>
      <c r="M1001" s="107"/>
    </row>
    <row r="1002" spans="1:13" x14ac:dyDescent="0.3">
      <c r="A1002" s="95">
        <f t="shared" si="15"/>
        <v>0</v>
      </c>
      <c r="B1002" s="106" t="s">
        <v>1012</v>
      </c>
      <c r="C1002" s="95" t="s">
        <v>2454</v>
      </c>
      <c r="D1002" s="106">
        <v>12</v>
      </c>
      <c r="E1002" s="107">
        <v>1</v>
      </c>
      <c r="F1002" s="107" t="s">
        <v>2959</v>
      </c>
      <c r="G1002" s="107" t="s">
        <v>2961</v>
      </c>
      <c r="H1002" s="107" t="s">
        <v>2981</v>
      </c>
      <c r="I1002" s="107" t="s">
        <v>2997</v>
      </c>
      <c r="J1002" s="107" t="s">
        <v>2997</v>
      </c>
      <c r="K1002" s="107" t="s">
        <v>2996</v>
      </c>
      <c r="L1002" s="107">
        <v>58.66</v>
      </c>
      <c r="M1002" s="107"/>
    </row>
    <row r="1003" spans="1:13" x14ac:dyDescent="0.3">
      <c r="A1003" s="95">
        <f t="shared" si="15"/>
        <v>0</v>
      </c>
      <c r="B1003" s="106" t="s">
        <v>1013</v>
      </c>
      <c r="C1003" s="95" t="s">
        <v>2455</v>
      </c>
      <c r="D1003" s="106">
        <v>12</v>
      </c>
      <c r="E1003" s="107">
        <v>1</v>
      </c>
      <c r="F1003" s="107" t="s">
        <v>2959</v>
      </c>
      <c r="G1003" s="107" t="s">
        <v>2966</v>
      </c>
      <c r="H1003" s="107" t="s">
        <v>2984</v>
      </c>
      <c r="I1003" s="107" t="s">
        <v>2997</v>
      </c>
      <c r="J1003" s="107" t="s">
        <v>2997</v>
      </c>
      <c r="K1003" s="107" t="s">
        <v>2997</v>
      </c>
      <c r="L1003" s="107">
        <v>218.87</v>
      </c>
      <c r="M1003" s="107"/>
    </row>
    <row r="1004" spans="1:13" x14ac:dyDescent="0.3">
      <c r="A1004" s="95">
        <f t="shared" si="15"/>
        <v>0</v>
      </c>
      <c r="B1004" s="106" t="s">
        <v>1014</v>
      </c>
      <c r="C1004" s="95" t="s">
        <v>2456</v>
      </c>
      <c r="D1004" s="106">
        <v>12</v>
      </c>
      <c r="E1004" s="107">
        <v>1</v>
      </c>
      <c r="F1004" s="107" t="s">
        <v>2959</v>
      </c>
      <c r="G1004" s="107" t="s">
        <v>2966</v>
      </c>
      <c r="H1004" s="107" t="s">
        <v>2980</v>
      </c>
      <c r="I1004" s="107" t="s">
        <v>2997</v>
      </c>
      <c r="J1004" s="107" t="s">
        <v>2997</v>
      </c>
      <c r="K1004" s="107" t="s">
        <v>2996</v>
      </c>
      <c r="L1004" s="107">
        <v>18.579999999999998</v>
      </c>
      <c r="M1004" s="107"/>
    </row>
    <row r="1005" spans="1:13" x14ac:dyDescent="0.3">
      <c r="A1005" s="95">
        <f t="shared" si="15"/>
        <v>0</v>
      </c>
      <c r="B1005" s="106" t="s">
        <v>1015</v>
      </c>
      <c r="C1005" s="95" t="s">
        <v>3646</v>
      </c>
      <c r="D1005" s="106">
        <v>12</v>
      </c>
      <c r="E1005" s="107">
        <v>1</v>
      </c>
      <c r="F1005" s="107" t="s">
        <v>2959</v>
      </c>
      <c r="G1005" s="107" t="s">
        <v>2960</v>
      </c>
      <c r="H1005" s="107" t="s">
        <v>2970</v>
      </c>
      <c r="I1005" s="107" t="s">
        <v>2997</v>
      </c>
      <c r="J1005" s="107" t="s">
        <v>2997</v>
      </c>
      <c r="K1005" s="107" t="s">
        <v>2996</v>
      </c>
      <c r="L1005" s="107">
        <v>130.47</v>
      </c>
      <c r="M1005" s="107">
        <v>1</v>
      </c>
    </row>
    <row r="1006" spans="1:13" x14ac:dyDescent="0.3">
      <c r="A1006" s="95">
        <f t="shared" si="15"/>
        <v>0</v>
      </c>
      <c r="B1006" s="106" t="s">
        <v>1016</v>
      </c>
      <c r="C1006" s="95" t="s">
        <v>2457</v>
      </c>
      <c r="D1006" s="106">
        <v>12</v>
      </c>
      <c r="E1006" s="107">
        <v>1</v>
      </c>
      <c r="F1006" s="107" t="s">
        <v>2959</v>
      </c>
      <c r="G1006" s="107" t="s">
        <v>2964</v>
      </c>
      <c r="H1006" s="107" t="s">
        <v>2976</v>
      </c>
      <c r="I1006" s="107" t="s">
        <v>2997</v>
      </c>
      <c r="J1006" s="107" t="s">
        <v>2997</v>
      </c>
      <c r="K1006" s="107" t="s">
        <v>2997</v>
      </c>
      <c r="L1006" s="107">
        <v>35.020000000000003</v>
      </c>
      <c r="M1006" s="107">
        <v>1</v>
      </c>
    </row>
    <row r="1007" spans="1:13" x14ac:dyDescent="0.3">
      <c r="A1007" s="95">
        <f t="shared" si="15"/>
        <v>0</v>
      </c>
      <c r="B1007" s="106" t="s">
        <v>1017</v>
      </c>
      <c r="C1007" s="95" t="s">
        <v>2458</v>
      </c>
      <c r="D1007" s="106">
        <v>12</v>
      </c>
      <c r="E1007" s="107">
        <v>1</v>
      </c>
      <c r="F1007" s="107" t="s">
        <v>2959</v>
      </c>
      <c r="G1007" s="107" t="s">
        <v>2966</v>
      </c>
      <c r="H1007" s="107" t="s">
        <v>2985</v>
      </c>
      <c r="I1007" s="107" t="s">
        <v>2997</v>
      </c>
      <c r="J1007" s="107" t="s">
        <v>2997</v>
      </c>
      <c r="K1007" s="107" t="s">
        <v>2996</v>
      </c>
      <c r="L1007" s="107">
        <v>38.200000000000003</v>
      </c>
      <c r="M1007" s="107"/>
    </row>
    <row r="1008" spans="1:13" x14ac:dyDescent="0.3">
      <c r="A1008" s="95">
        <f t="shared" si="15"/>
        <v>0</v>
      </c>
      <c r="B1008" s="106" t="s">
        <v>1018</v>
      </c>
      <c r="C1008" s="95" t="s">
        <v>2459</v>
      </c>
      <c r="D1008" s="106">
        <v>12</v>
      </c>
      <c r="E1008" s="107">
        <v>1</v>
      </c>
      <c r="F1008" s="107" t="s">
        <v>2959</v>
      </c>
      <c r="G1008" s="107" t="s">
        <v>2966</v>
      </c>
      <c r="H1008" s="107" t="s">
        <v>2985</v>
      </c>
      <c r="I1008" s="107" t="s">
        <v>2997</v>
      </c>
      <c r="J1008" s="107" t="s">
        <v>2997</v>
      </c>
      <c r="K1008" s="107" t="s">
        <v>2996</v>
      </c>
      <c r="L1008" s="107">
        <v>55.63</v>
      </c>
      <c r="M1008" s="107"/>
    </row>
    <row r="1009" spans="1:13" x14ac:dyDescent="0.3">
      <c r="A1009" s="95">
        <f t="shared" si="15"/>
        <v>0</v>
      </c>
      <c r="B1009" s="106" t="s">
        <v>1019</v>
      </c>
      <c r="C1009" s="95" t="s">
        <v>2460</v>
      </c>
      <c r="D1009" s="106">
        <v>12</v>
      </c>
      <c r="E1009" s="107">
        <v>1</v>
      </c>
      <c r="F1009" s="107" t="s">
        <v>2959</v>
      </c>
      <c r="G1009" s="107" t="s">
        <v>2966</v>
      </c>
      <c r="H1009" s="107" t="s">
        <v>2984</v>
      </c>
      <c r="I1009" s="107" t="s">
        <v>2997</v>
      </c>
      <c r="J1009" s="107" t="s">
        <v>2997</v>
      </c>
      <c r="K1009" s="107" t="s">
        <v>2997</v>
      </c>
      <c r="L1009" s="107">
        <v>120.19</v>
      </c>
      <c r="M1009" s="107">
        <v>2</v>
      </c>
    </row>
    <row r="1010" spans="1:13" x14ac:dyDescent="0.3">
      <c r="A1010" s="95">
        <f t="shared" si="15"/>
        <v>0</v>
      </c>
      <c r="B1010" s="106" t="s">
        <v>1020</v>
      </c>
      <c r="C1010" s="95" t="s">
        <v>2461</v>
      </c>
      <c r="D1010" s="106">
        <v>12</v>
      </c>
      <c r="E1010" s="107">
        <v>1</v>
      </c>
      <c r="F1010" s="107" t="s">
        <v>2959</v>
      </c>
      <c r="G1010" s="107" t="s">
        <v>2966</v>
      </c>
      <c r="H1010" s="107" t="s">
        <v>2984</v>
      </c>
      <c r="I1010" s="107" t="s">
        <v>2997</v>
      </c>
      <c r="J1010" s="107" t="s">
        <v>2997</v>
      </c>
      <c r="K1010" s="107" t="s">
        <v>2996</v>
      </c>
      <c r="L1010" s="107">
        <v>250.01</v>
      </c>
      <c r="M1010" s="107"/>
    </row>
    <row r="1011" spans="1:13" x14ac:dyDescent="0.3">
      <c r="A1011" s="95">
        <f t="shared" si="15"/>
        <v>0</v>
      </c>
      <c r="B1011" s="106" t="s">
        <v>1021</v>
      </c>
      <c r="C1011" s="95" t="s">
        <v>2462</v>
      </c>
      <c r="D1011" s="106">
        <v>12</v>
      </c>
      <c r="E1011" s="107">
        <v>1</v>
      </c>
      <c r="F1011" s="107" t="s">
        <v>2959</v>
      </c>
      <c r="G1011" s="107" t="s">
        <v>2966</v>
      </c>
      <c r="H1011" s="107" t="s">
        <v>2984</v>
      </c>
      <c r="I1011" s="107" t="s">
        <v>2997</v>
      </c>
      <c r="J1011" s="107" t="s">
        <v>2997</v>
      </c>
      <c r="K1011" s="107" t="s">
        <v>2996</v>
      </c>
      <c r="L1011" s="107">
        <v>37.6</v>
      </c>
      <c r="M1011" s="107"/>
    </row>
    <row r="1012" spans="1:13" x14ac:dyDescent="0.3">
      <c r="A1012" s="95">
        <f t="shared" si="15"/>
        <v>0</v>
      </c>
      <c r="B1012" s="106" t="s">
        <v>1022</v>
      </c>
      <c r="C1012" s="95" t="s">
        <v>2463</v>
      </c>
      <c r="D1012" s="106">
        <v>12</v>
      </c>
      <c r="E1012" s="107">
        <v>1</v>
      </c>
      <c r="F1012" s="107" t="s">
        <v>2959</v>
      </c>
      <c r="G1012" s="107" t="s">
        <v>2962</v>
      </c>
      <c r="H1012" s="107" t="s">
        <v>2995</v>
      </c>
      <c r="I1012" s="107" t="s">
        <v>2997</v>
      </c>
      <c r="J1012" s="107" t="s">
        <v>2997</v>
      </c>
      <c r="K1012" s="107" t="s">
        <v>2996</v>
      </c>
      <c r="L1012" s="107">
        <v>13.66</v>
      </c>
      <c r="M1012" s="107"/>
    </row>
    <row r="1013" spans="1:13" x14ac:dyDescent="0.3">
      <c r="A1013" s="95">
        <f t="shared" si="15"/>
        <v>0</v>
      </c>
      <c r="B1013" s="106" t="s">
        <v>1023</v>
      </c>
      <c r="C1013" s="95" t="s">
        <v>2464</v>
      </c>
      <c r="D1013" s="106">
        <v>12</v>
      </c>
      <c r="E1013" s="107">
        <v>1</v>
      </c>
      <c r="F1013" s="107" t="s">
        <v>2958</v>
      </c>
      <c r="G1013" s="107" t="s">
        <v>2963</v>
      </c>
      <c r="H1013" s="107" t="s">
        <v>2974</v>
      </c>
      <c r="I1013" s="107" t="s">
        <v>2997</v>
      </c>
      <c r="J1013" s="107" t="s">
        <v>2997</v>
      </c>
      <c r="K1013" s="107" t="s">
        <v>2997</v>
      </c>
      <c r="L1013" s="107">
        <v>447.66</v>
      </c>
      <c r="M1013" s="107">
        <v>4</v>
      </c>
    </row>
    <row r="1014" spans="1:13" x14ac:dyDescent="0.3">
      <c r="A1014" s="95">
        <f t="shared" si="15"/>
        <v>0</v>
      </c>
      <c r="B1014" s="106" t="s">
        <v>1024</v>
      </c>
      <c r="C1014" s="95" t="s">
        <v>2465</v>
      </c>
      <c r="D1014" s="106">
        <v>12</v>
      </c>
      <c r="E1014" s="107">
        <v>1</v>
      </c>
      <c r="F1014" s="107" t="s">
        <v>2958</v>
      </c>
      <c r="G1014" s="107" t="s">
        <v>2964</v>
      </c>
      <c r="H1014" s="107" t="s">
        <v>2976</v>
      </c>
      <c r="I1014" s="107" t="s">
        <v>2997</v>
      </c>
      <c r="J1014" s="107" t="s">
        <v>2997</v>
      </c>
      <c r="K1014" s="107" t="s">
        <v>2997</v>
      </c>
      <c r="L1014" s="107">
        <v>47.95</v>
      </c>
      <c r="M1014" s="107">
        <v>1</v>
      </c>
    </row>
    <row r="1015" spans="1:13" x14ac:dyDescent="0.3">
      <c r="A1015" s="95">
        <f t="shared" si="15"/>
        <v>0</v>
      </c>
      <c r="B1015" s="106" t="s">
        <v>1025</v>
      </c>
      <c r="C1015" s="95" t="s">
        <v>2466</v>
      </c>
      <c r="D1015" s="106">
        <v>12</v>
      </c>
      <c r="E1015" s="107">
        <v>1</v>
      </c>
      <c r="F1015" s="107" t="s">
        <v>2959</v>
      </c>
      <c r="G1015" s="107" t="s">
        <v>2965</v>
      </c>
      <c r="H1015" s="107" t="s">
        <v>2965</v>
      </c>
      <c r="I1015" s="107" t="s">
        <v>2996</v>
      </c>
      <c r="J1015" s="107" t="s">
        <v>2996</v>
      </c>
      <c r="K1015" s="107" t="s">
        <v>2996</v>
      </c>
      <c r="L1015" s="107">
        <v>45.87</v>
      </c>
      <c r="M1015" s="107">
        <v>1</v>
      </c>
    </row>
    <row r="1016" spans="1:13" x14ac:dyDescent="0.3">
      <c r="A1016" s="95">
        <f t="shared" si="15"/>
        <v>0</v>
      </c>
      <c r="B1016" s="106" t="s">
        <v>1026</v>
      </c>
      <c r="C1016" s="95" t="s">
        <v>2467</v>
      </c>
      <c r="D1016" s="106">
        <v>12</v>
      </c>
      <c r="E1016" s="107">
        <v>1</v>
      </c>
      <c r="F1016" s="107" t="s">
        <v>2959</v>
      </c>
      <c r="G1016" s="107" t="s">
        <v>2966</v>
      </c>
      <c r="H1016" s="107" t="s">
        <v>2980</v>
      </c>
      <c r="I1016" s="107" t="s">
        <v>2997</v>
      </c>
      <c r="J1016" s="107" t="s">
        <v>2997</v>
      </c>
      <c r="K1016" s="107" t="s">
        <v>2997</v>
      </c>
      <c r="L1016" s="107">
        <v>59.37</v>
      </c>
      <c r="M1016" s="107"/>
    </row>
    <row r="1017" spans="1:13" x14ac:dyDescent="0.3">
      <c r="A1017" s="95">
        <f t="shared" si="15"/>
        <v>0</v>
      </c>
      <c r="B1017" s="106" t="s">
        <v>1027</v>
      </c>
      <c r="C1017" s="95" t="s">
        <v>2468</v>
      </c>
      <c r="D1017" s="106">
        <v>12</v>
      </c>
      <c r="E1017" s="107">
        <v>1</v>
      </c>
      <c r="F1017" s="107" t="s">
        <v>2959</v>
      </c>
      <c r="G1017" s="107" t="s">
        <v>2960</v>
      </c>
      <c r="H1017" s="107" t="s">
        <v>2970</v>
      </c>
      <c r="I1017" s="107" t="s">
        <v>2997</v>
      </c>
      <c r="J1017" s="107" t="s">
        <v>2997</v>
      </c>
      <c r="K1017" s="107" t="s">
        <v>2996</v>
      </c>
      <c r="L1017" s="107">
        <v>141.94</v>
      </c>
      <c r="M1017" s="107">
        <v>4</v>
      </c>
    </row>
    <row r="1018" spans="1:13" x14ac:dyDescent="0.3">
      <c r="A1018" s="95">
        <f t="shared" si="15"/>
        <v>0</v>
      </c>
      <c r="B1018" s="106" t="s">
        <v>1028</v>
      </c>
      <c r="C1018" s="95" t="s">
        <v>2469</v>
      </c>
      <c r="D1018" s="106">
        <v>12</v>
      </c>
      <c r="E1018" s="107">
        <v>1</v>
      </c>
      <c r="F1018" s="107" t="s">
        <v>2959</v>
      </c>
      <c r="G1018" s="107" t="s">
        <v>2966</v>
      </c>
      <c r="H1018" s="107" t="s">
        <v>2980</v>
      </c>
      <c r="I1018" s="107" t="s">
        <v>2997</v>
      </c>
      <c r="J1018" s="107" t="s">
        <v>2997</v>
      </c>
      <c r="K1018" s="107" t="s">
        <v>2996</v>
      </c>
      <c r="L1018" s="107">
        <v>62.71</v>
      </c>
      <c r="M1018" s="107"/>
    </row>
    <row r="1019" spans="1:13" x14ac:dyDescent="0.3">
      <c r="A1019" s="95">
        <f t="shared" si="15"/>
        <v>0</v>
      </c>
      <c r="B1019" s="106" t="s">
        <v>1029</v>
      </c>
      <c r="C1019" s="95" t="s">
        <v>2470</v>
      </c>
      <c r="D1019" s="106">
        <v>12</v>
      </c>
      <c r="E1019" s="107">
        <v>1</v>
      </c>
      <c r="F1019" s="107" t="s">
        <v>2959</v>
      </c>
      <c r="G1019" s="107" t="s">
        <v>2966</v>
      </c>
      <c r="H1019" s="107" t="s">
        <v>2984</v>
      </c>
      <c r="I1019" s="107" t="s">
        <v>2997</v>
      </c>
      <c r="J1019" s="107" t="s">
        <v>2997</v>
      </c>
      <c r="K1019" s="107" t="s">
        <v>2997</v>
      </c>
      <c r="L1019" s="107">
        <v>110.46</v>
      </c>
      <c r="M1019" s="107"/>
    </row>
    <row r="1020" spans="1:13" x14ac:dyDescent="0.3">
      <c r="A1020" s="95">
        <f t="shared" si="15"/>
        <v>0</v>
      </c>
      <c r="B1020" s="106" t="s">
        <v>1030</v>
      </c>
      <c r="C1020" s="95" t="s">
        <v>2471</v>
      </c>
      <c r="D1020" s="106">
        <v>12</v>
      </c>
      <c r="E1020" s="107">
        <v>1</v>
      </c>
      <c r="F1020" s="107" t="s">
        <v>2959</v>
      </c>
      <c r="G1020" s="107" t="s">
        <v>2961</v>
      </c>
      <c r="H1020" s="107" t="s">
        <v>2972</v>
      </c>
      <c r="I1020" s="107" t="s">
        <v>2997</v>
      </c>
      <c r="J1020" s="107" t="s">
        <v>2997</v>
      </c>
      <c r="K1020" s="107" t="s">
        <v>2996</v>
      </c>
      <c r="L1020" s="107">
        <v>65.87</v>
      </c>
      <c r="M1020" s="107"/>
    </row>
    <row r="1021" spans="1:13" x14ac:dyDescent="0.3">
      <c r="A1021" s="95">
        <f t="shared" si="15"/>
        <v>0</v>
      </c>
      <c r="B1021" s="106" t="s">
        <v>1031</v>
      </c>
      <c r="C1021" s="95" t="s">
        <v>2472</v>
      </c>
      <c r="D1021" s="106">
        <v>12</v>
      </c>
      <c r="E1021" s="107">
        <v>1</v>
      </c>
      <c r="F1021" s="107" t="s">
        <v>2959</v>
      </c>
      <c r="G1021" s="107" t="s">
        <v>2966</v>
      </c>
      <c r="H1021" s="107" t="s">
        <v>2984</v>
      </c>
      <c r="I1021" s="107" t="s">
        <v>2997</v>
      </c>
      <c r="J1021" s="107" t="s">
        <v>2997</v>
      </c>
      <c r="K1021" s="107" t="s">
        <v>2997</v>
      </c>
      <c r="L1021" s="107">
        <v>11.22</v>
      </c>
      <c r="M1021" s="107"/>
    </row>
    <row r="1022" spans="1:13" x14ac:dyDescent="0.3">
      <c r="A1022" s="95">
        <f t="shared" si="15"/>
        <v>0</v>
      </c>
      <c r="B1022" s="106" t="s">
        <v>1032</v>
      </c>
      <c r="C1022" s="95" t="s">
        <v>2473</v>
      </c>
      <c r="D1022" s="106">
        <v>12</v>
      </c>
      <c r="E1022" s="107">
        <v>1</v>
      </c>
      <c r="F1022" s="107" t="s">
        <v>2959</v>
      </c>
      <c r="G1022" s="107" t="s">
        <v>2966</v>
      </c>
      <c r="H1022" s="107" t="s">
        <v>2985</v>
      </c>
      <c r="I1022" s="107" t="s">
        <v>2996</v>
      </c>
      <c r="J1022" s="107" t="s">
        <v>2997</v>
      </c>
      <c r="K1022" s="107" t="s">
        <v>2996</v>
      </c>
      <c r="L1022" s="107">
        <v>47.57</v>
      </c>
      <c r="M1022" s="107"/>
    </row>
    <row r="1023" spans="1:13" x14ac:dyDescent="0.3">
      <c r="A1023" s="95">
        <f t="shared" si="15"/>
        <v>0</v>
      </c>
      <c r="B1023" s="106" t="s">
        <v>1033</v>
      </c>
      <c r="C1023" s="95" t="s">
        <v>2474</v>
      </c>
      <c r="D1023" s="106">
        <v>12</v>
      </c>
      <c r="E1023" s="107">
        <v>1</v>
      </c>
      <c r="F1023" s="107" t="s">
        <v>2959</v>
      </c>
      <c r="G1023" s="107" t="s">
        <v>2965</v>
      </c>
      <c r="H1023" s="107" t="s">
        <v>2965</v>
      </c>
      <c r="I1023" s="107" t="s">
        <v>2997</v>
      </c>
      <c r="J1023" s="107" t="s">
        <v>2997</v>
      </c>
      <c r="K1023" s="107" t="s">
        <v>2996</v>
      </c>
      <c r="L1023" s="107">
        <v>38.47</v>
      </c>
      <c r="M1023" s="107"/>
    </row>
    <row r="1024" spans="1:13" x14ac:dyDescent="0.3">
      <c r="A1024" s="95">
        <f t="shared" si="15"/>
        <v>0</v>
      </c>
      <c r="B1024" s="106" t="s">
        <v>3152</v>
      </c>
      <c r="C1024" s="95" t="s">
        <v>3354</v>
      </c>
      <c r="D1024" s="106">
        <v>6</v>
      </c>
      <c r="E1024" s="107">
        <v>1</v>
      </c>
      <c r="F1024" s="107" t="s">
        <v>2959</v>
      </c>
      <c r="G1024" s="107" t="s">
        <v>2964</v>
      </c>
      <c r="H1024" s="107" t="s">
        <v>2976</v>
      </c>
      <c r="I1024" s="107" t="s">
        <v>2997</v>
      </c>
      <c r="J1024" s="107" t="s">
        <v>2996</v>
      </c>
      <c r="K1024" s="107" t="s">
        <v>2996</v>
      </c>
      <c r="L1024" s="107">
        <v>46.81</v>
      </c>
      <c r="M1024" s="107"/>
    </row>
    <row r="1025" spans="1:13" x14ac:dyDescent="0.3">
      <c r="A1025" s="95">
        <f t="shared" si="15"/>
        <v>0</v>
      </c>
      <c r="B1025" s="106" t="s">
        <v>1034</v>
      </c>
      <c r="C1025" s="95" t="s">
        <v>2475</v>
      </c>
      <c r="D1025" s="106">
        <v>12</v>
      </c>
      <c r="E1025" s="107">
        <v>1</v>
      </c>
      <c r="F1025" s="107" t="s">
        <v>2959</v>
      </c>
      <c r="G1025" s="107" t="s">
        <v>2966</v>
      </c>
      <c r="H1025" s="107" t="s">
        <v>2984</v>
      </c>
      <c r="I1025" s="107" t="s">
        <v>2997</v>
      </c>
      <c r="J1025" s="107" t="s">
        <v>2997</v>
      </c>
      <c r="K1025" s="107" t="s">
        <v>2996</v>
      </c>
      <c r="L1025" s="107">
        <v>117.37</v>
      </c>
      <c r="M1025" s="107"/>
    </row>
    <row r="1026" spans="1:13" x14ac:dyDescent="0.3">
      <c r="A1026" s="95">
        <f t="shared" si="15"/>
        <v>0</v>
      </c>
      <c r="B1026" s="106" t="s">
        <v>1035</v>
      </c>
      <c r="C1026" s="95" t="s">
        <v>3647</v>
      </c>
      <c r="D1026" s="106">
        <v>12</v>
      </c>
      <c r="E1026" s="107">
        <v>1</v>
      </c>
      <c r="F1026" s="107" t="s">
        <v>2959</v>
      </c>
      <c r="G1026" s="107" t="s">
        <v>2966</v>
      </c>
      <c r="H1026" s="107" t="s">
        <v>2985</v>
      </c>
      <c r="I1026" s="107" t="s">
        <v>2997</v>
      </c>
      <c r="J1026" s="107" t="s">
        <v>2997</v>
      </c>
      <c r="K1026" s="107" t="s">
        <v>2996</v>
      </c>
      <c r="L1026" s="107">
        <v>13.37</v>
      </c>
      <c r="M1026" s="107"/>
    </row>
    <row r="1027" spans="1:13" x14ac:dyDescent="0.3">
      <c r="A1027" s="95">
        <f t="shared" si="15"/>
        <v>0</v>
      </c>
      <c r="B1027" s="106" t="s">
        <v>1036</v>
      </c>
      <c r="C1027" s="95" t="s">
        <v>2476</v>
      </c>
      <c r="D1027" s="106">
        <v>12</v>
      </c>
      <c r="E1027" s="107">
        <v>1</v>
      </c>
      <c r="F1027" s="107" t="s">
        <v>2959</v>
      </c>
      <c r="G1027" s="107" t="s">
        <v>2964</v>
      </c>
      <c r="H1027" s="107" t="s">
        <v>2976</v>
      </c>
      <c r="I1027" s="107" t="s">
        <v>2997</v>
      </c>
      <c r="J1027" s="107" t="s">
        <v>2997</v>
      </c>
      <c r="K1027" s="107" t="s">
        <v>2997</v>
      </c>
      <c r="L1027" s="107">
        <v>20.13</v>
      </c>
      <c r="M1027" s="107"/>
    </row>
    <row r="1028" spans="1:13" x14ac:dyDescent="0.3">
      <c r="A1028" s="95">
        <f t="shared" si="15"/>
        <v>0</v>
      </c>
      <c r="B1028" s="106" t="s">
        <v>1037</v>
      </c>
      <c r="C1028" s="95" t="s">
        <v>3715</v>
      </c>
      <c r="D1028" s="106">
        <v>12</v>
      </c>
      <c r="E1028" s="107">
        <v>1</v>
      </c>
      <c r="F1028" s="107" t="s">
        <v>2958</v>
      </c>
      <c r="G1028" s="107" t="s">
        <v>2964</v>
      </c>
      <c r="H1028" s="107" t="s">
        <v>2976</v>
      </c>
      <c r="I1028" s="107" t="s">
        <v>2997</v>
      </c>
      <c r="J1028" s="107" t="s">
        <v>2997</v>
      </c>
      <c r="K1028" s="107" t="s">
        <v>2997</v>
      </c>
      <c r="L1028" s="107">
        <v>518.05999999999995</v>
      </c>
      <c r="M1028" s="107">
        <v>1</v>
      </c>
    </row>
    <row r="1029" spans="1:13" x14ac:dyDescent="0.3">
      <c r="A1029" s="95">
        <f t="shared" si="15"/>
        <v>0</v>
      </c>
      <c r="B1029" s="106" t="s">
        <v>1038</v>
      </c>
      <c r="C1029" s="95" t="s">
        <v>2478</v>
      </c>
      <c r="D1029" s="106">
        <v>12</v>
      </c>
      <c r="E1029" s="107">
        <v>1</v>
      </c>
      <c r="F1029" s="107" t="s">
        <v>2959</v>
      </c>
      <c r="G1029" s="107" t="s">
        <v>2966</v>
      </c>
      <c r="H1029" s="107" t="s">
        <v>2980</v>
      </c>
      <c r="I1029" s="107" t="s">
        <v>2997</v>
      </c>
      <c r="J1029" s="107" t="s">
        <v>2997</v>
      </c>
      <c r="K1029" s="107" t="s">
        <v>2997</v>
      </c>
      <c r="L1029" s="107">
        <v>137.12</v>
      </c>
      <c r="M1029" s="107"/>
    </row>
    <row r="1030" spans="1:13" x14ac:dyDescent="0.3">
      <c r="A1030" s="95">
        <f t="shared" si="15"/>
        <v>1</v>
      </c>
      <c r="B1030" s="106" t="s">
        <v>1039</v>
      </c>
      <c r="C1030" s="95" t="s">
        <v>2479</v>
      </c>
      <c r="D1030" s="106">
        <v>12</v>
      </c>
      <c r="E1030" s="107">
        <v>1</v>
      </c>
      <c r="F1030" s="107" t="s">
        <v>2959</v>
      </c>
      <c r="G1030" s="107" t="s">
        <v>2966</v>
      </c>
      <c r="H1030" s="107" t="s">
        <v>2984</v>
      </c>
      <c r="I1030" s="107" t="s">
        <v>2996</v>
      </c>
      <c r="J1030" s="107" t="s">
        <v>2996</v>
      </c>
      <c r="K1030" s="107" t="s">
        <v>2996</v>
      </c>
      <c r="L1030" s="107">
        <v>559.23</v>
      </c>
      <c r="M1030" s="107">
        <v>11</v>
      </c>
    </row>
    <row r="1031" spans="1:13" x14ac:dyDescent="0.3">
      <c r="A1031" s="95">
        <f t="shared" si="15"/>
        <v>0</v>
      </c>
      <c r="B1031" s="106" t="s">
        <v>1040</v>
      </c>
      <c r="C1031" s="95" t="s">
        <v>2480</v>
      </c>
      <c r="D1031" s="106">
        <v>12</v>
      </c>
      <c r="E1031" s="107">
        <v>1</v>
      </c>
      <c r="F1031" s="107" t="s">
        <v>2959</v>
      </c>
      <c r="G1031" s="107" t="s">
        <v>2966</v>
      </c>
      <c r="H1031" s="107" t="s">
        <v>2984</v>
      </c>
      <c r="I1031" s="107" t="s">
        <v>2996</v>
      </c>
      <c r="J1031" s="107" t="s">
        <v>2996</v>
      </c>
      <c r="K1031" s="107" t="s">
        <v>2996</v>
      </c>
      <c r="L1031" s="107">
        <v>24.42</v>
      </c>
      <c r="M1031" s="107"/>
    </row>
    <row r="1032" spans="1:13" x14ac:dyDescent="0.3">
      <c r="A1032" s="95">
        <f t="shared" si="15"/>
        <v>0</v>
      </c>
      <c r="B1032" s="106" t="s">
        <v>1041</v>
      </c>
      <c r="C1032" s="95" t="s">
        <v>2481</v>
      </c>
      <c r="D1032" s="106">
        <v>12</v>
      </c>
      <c r="E1032" s="107">
        <v>1</v>
      </c>
      <c r="F1032" s="107" t="s">
        <v>2959</v>
      </c>
      <c r="G1032" s="107" t="s">
        <v>2966</v>
      </c>
      <c r="H1032" s="107" t="s">
        <v>2984</v>
      </c>
      <c r="I1032" s="107" t="s">
        <v>2997</v>
      </c>
      <c r="J1032" s="107" t="s">
        <v>2997</v>
      </c>
      <c r="K1032" s="107" t="s">
        <v>2997</v>
      </c>
      <c r="L1032" s="107">
        <v>59.5</v>
      </c>
      <c r="M1032" s="107">
        <v>1</v>
      </c>
    </row>
    <row r="1033" spans="1:13" x14ac:dyDescent="0.3">
      <c r="A1033" s="95">
        <f t="shared" si="15"/>
        <v>0</v>
      </c>
      <c r="B1033" s="106" t="s">
        <v>1042</v>
      </c>
      <c r="C1033" s="95" t="s">
        <v>2482</v>
      </c>
      <c r="D1033" s="106">
        <v>12</v>
      </c>
      <c r="E1033" s="107">
        <v>1</v>
      </c>
      <c r="F1033" s="107" t="s">
        <v>2959</v>
      </c>
      <c r="G1033" s="107" t="s">
        <v>2964</v>
      </c>
      <c r="H1033" s="107" t="s">
        <v>2976</v>
      </c>
      <c r="I1033" s="107" t="s">
        <v>2997</v>
      </c>
      <c r="J1033" s="107" t="s">
        <v>2997</v>
      </c>
      <c r="K1033" s="107" t="s">
        <v>2997</v>
      </c>
      <c r="L1033" s="107">
        <v>43.24</v>
      </c>
      <c r="M1033" s="107"/>
    </row>
    <row r="1034" spans="1:13" x14ac:dyDescent="0.3">
      <c r="A1034" s="95">
        <f t="shared" si="15"/>
        <v>0</v>
      </c>
      <c r="B1034" s="106" t="s">
        <v>1043</v>
      </c>
      <c r="C1034" s="95" t="s">
        <v>2483</v>
      </c>
      <c r="D1034" s="106">
        <v>12</v>
      </c>
      <c r="E1034" s="107">
        <v>1</v>
      </c>
      <c r="F1034" s="107" t="s">
        <v>2959</v>
      </c>
      <c r="G1034" s="107" t="s">
        <v>2961</v>
      </c>
      <c r="H1034" s="107" t="s">
        <v>2990</v>
      </c>
      <c r="I1034" s="107" t="s">
        <v>2997</v>
      </c>
      <c r="J1034" s="107" t="s">
        <v>2997</v>
      </c>
      <c r="K1034" s="107" t="s">
        <v>2996</v>
      </c>
      <c r="L1034" s="107">
        <v>357.49</v>
      </c>
      <c r="M1034" s="107">
        <v>7</v>
      </c>
    </row>
    <row r="1035" spans="1:13" x14ac:dyDescent="0.3">
      <c r="A1035" s="95">
        <f t="shared" si="15"/>
        <v>1</v>
      </c>
      <c r="B1035" s="106" t="s">
        <v>1044</v>
      </c>
      <c r="C1035" s="95" t="s">
        <v>2484</v>
      </c>
      <c r="D1035" s="106">
        <v>12</v>
      </c>
      <c r="E1035" s="107">
        <v>1</v>
      </c>
      <c r="F1035" s="107" t="s">
        <v>2958</v>
      </c>
      <c r="G1035" s="107" t="s">
        <v>2968</v>
      </c>
      <c r="H1035" s="107" t="s">
        <v>2968</v>
      </c>
      <c r="I1035" s="107" t="s">
        <v>2996</v>
      </c>
      <c r="J1035" s="107" t="s">
        <v>2996</v>
      </c>
      <c r="K1035" s="107" t="s">
        <v>2996</v>
      </c>
      <c r="L1035" s="107">
        <v>2349</v>
      </c>
      <c r="M1035" s="107">
        <v>13</v>
      </c>
    </row>
    <row r="1036" spans="1:13" x14ac:dyDescent="0.3">
      <c r="A1036" s="95">
        <f t="shared" si="15"/>
        <v>0</v>
      </c>
      <c r="B1036" s="106" t="s">
        <v>1045</v>
      </c>
      <c r="C1036" s="95" t="s">
        <v>2485</v>
      </c>
      <c r="D1036" s="106">
        <v>12</v>
      </c>
      <c r="E1036" s="107">
        <v>1</v>
      </c>
      <c r="F1036" s="107" t="s">
        <v>2958</v>
      </c>
      <c r="G1036" s="107" t="s">
        <v>2965</v>
      </c>
      <c r="H1036" s="107" t="s">
        <v>2965</v>
      </c>
      <c r="I1036" s="107" t="s">
        <v>2996</v>
      </c>
      <c r="J1036" s="107" t="s">
        <v>2996</v>
      </c>
      <c r="K1036" s="107" t="s">
        <v>2996</v>
      </c>
      <c r="L1036" s="107">
        <v>22.98</v>
      </c>
      <c r="M1036" s="107"/>
    </row>
    <row r="1037" spans="1:13" x14ac:dyDescent="0.3">
      <c r="A1037" s="95">
        <f t="shared" si="15"/>
        <v>0</v>
      </c>
      <c r="B1037" s="106" t="s">
        <v>1046</v>
      </c>
      <c r="C1037" s="95" t="s">
        <v>2486</v>
      </c>
      <c r="D1037" s="106">
        <v>12</v>
      </c>
      <c r="E1037" s="107">
        <v>1</v>
      </c>
      <c r="F1037" s="107" t="s">
        <v>2959</v>
      </c>
      <c r="G1037" s="107" t="s">
        <v>2961</v>
      </c>
      <c r="H1037" s="107" t="s">
        <v>2982</v>
      </c>
      <c r="I1037" s="107" t="s">
        <v>2997</v>
      </c>
      <c r="J1037" s="107" t="s">
        <v>2997</v>
      </c>
      <c r="K1037" s="107" t="s">
        <v>2997</v>
      </c>
      <c r="L1037" s="107">
        <v>33.24</v>
      </c>
      <c r="M1037" s="107"/>
    </row>
    <row r="1038" spans="1:13" x14ac:dyDescent="0.3">
      <c r="A1038" s="95">
        <f t="shared" si="15"/>
        <v>1</v>
      </c>
      <c r="B1038" s="106" t="s">
        <v>1047</v>
      </c>
      <c r="C1038" s="95" t="s">
        <v>2487</v>
      </c>
      <c r="D1038" s="106">
        <v>12</v>
      </c>
      <c r="E1038" s="107">
        <v>1</v>
      </c>
      <c r="F1038" s="107" t="s">
        <v>2958</v>
      </c>
      <c r="G1038" s="107" t="s">
        <v>2963</v>
      </c>
      <c r="H1038" s="107" t="s">
        <v>2992</v>
      </c>
      <c r="I1038" s="107" t="s">
        <v>2997</v>
      </c>
      <c r="J1038" s="107" t="s">
        <v>2997</v>
      </c>
      <c r="K1038" s="107" t="s">
        <v>2997</v>
      </c>
      <c r="L1038" s="107">
        <v>8714.9500000000007</v>
      </c>
      <c r="M1038" s="107">
        <v>14</v>
      </c>
    </row>
    <row r="1039" spans="1:13" x14ac:dyDescent="0.3">
      <c r="A1039" s="95">
        <f t="shared" ref="A1039:A1102" si="16">IF(AND(E1039=1,J1039=K1039,M1039&gt;6),1,0)</f>
        <v>1</v>
      </c>
      <c r="B1039" s="106" t="s">
        <v>1048</v>
      </c>
      <c r="C1039" s="95" t="s">
        <v>2488</v>
      </c>
      <c r="D1039" s="106">
        <v>12</v>
      </c>
      <c r="E1039" s="107">
        <v>1</v>
      </c>
      <c r="F1039" s="107" t="s">
        <v>2958</v>
      </c>
      <c r="G1039" s="107" t="s">
        <v>2965</v>
      </c>
      <c r="H1039" s="107" t="s">
        <v>2965</v>
      </c>
      <c r="I1039" s="107" t="s">
        <v>2997</v>
      </c>
      <c r="J1039" s="107" t="s">
        <v>2997</v>
      </c>
      <c r="K1039" s="107" t="s">
        <v>2997</v>
      </c>
      <c r="L1039" s="107">
        <v>16766.59</v>
      </c>
      <c r="M1039" s="107">
        <v>25</v>
      </c>
    </row>
    <row r="1040" spans="1:13" x14ac:dyDescent="0.3">
      <c r="A1040" s="95">
        <f t="shared" si="16"/>
        <v>0</v>
      </c>
      <c r="B1040" s="106" t="s">
        <v>1049</v>
      </c>
      <c r="C1040" s="95" t="s">
        <v>2489</v>
      </c>
      <c r="D1040" s="106">
        <v>12</v>
      </c>
      <c r="E1040" s="107">
        <v>1</v>
      </c>
      <c r="F1040" s="107" t="s">
        <v>2959</v>
      </c>
      <c r="G1040" s="107" t="s">
        <v>2966</v>
      </c>
      <c r="H1040" s="107" t="s">
        <v>2984</v>
      </c>
      <c r="I1040" s="107" t="s">
        <v>2997</v>
      </c>
      <c r="J1040" s="107" t="s">
        <v>2997</v>
      </c>
      <c r="K1040" s="107" t="s">
        <v>2996</v>
      </c>
      <c r="L1040" s="107">
        <v>33.89</v>
      </c>
      <c r="M1040" s="107"/>
    </row>
    <row r="1041" spans="1:13" x14ac:dyDescent="0.3">
      <c r="A1041" s="95">
        <f t="shared" si="16"/>
        <v>0</v>
      </c>
      <c r="B1041" s="106" t="s">
        <v>1050</v>
      </c>
      <c r="C1041" s="95" t="s">
        <v>2490</v>
      </c>
      <c r="D1041" s="106">
        <v>12</v>
      </c>
      <c r="E1041" s="107">
        <v>1</v>
      </c>
      <c r="F1041" s="107" t="s">
        <v>2959</v>
      </c>
      <c r="G1041" s="107" t="s">
        <v>2966</v>
      </c>
      <c r="H1041" s="107" t="s">
        <v>2984</v>
      </c>
      <c r="I1041" s="107" t="s">
        <v>2997</v>
      </c>
      <c r="J1041" s="107" t="s">
        <v>2997</v>
      </c>
      <c r="K1041" s="107" t="s">
        <v>2997</v>
      </c>
      <c r="L1041" s="107">
        <v>51.43</v>
      </c>
      <c r="M1041" s="107"/>
    </row>
    <row r="1042" spans="1:13" x14ac:dyDescent="0.3">
      <c r="A1042" s="95">
        <f t="shared" si="16"/>
        <v>0</v>
      </c>
      <c r="B1042" s="106" t="s">
        <v>1051</v>
      </c>
      <c r="C1042" s="95" t="s">
        <v>2491</v>
      </c>
      <c r="D1042" s="106">
        <v>12</v>
      </c>
      <c r="E1042" s="107">
        <v>1</v>
      </c>
      <c r="F1042" s="107" t="s">
        <v>2959</v>
      </c>
      <c r="G1042" s="107" t="s">
        <v>2966</v>
      </c>
      <c r="H1042" s="107" t="s">
        <v>2985</v>
      </c>
      <c r="I1042" s="107" t="s">
        <v>2996</v>
      </c>
      <c r="J1042" s="107" t="s">
        <v>2996</v>
      </c>
      <c r="K1042" s="107" t="s">
        <v>2996</v>
      </c>
      <c r="L1042" s="107">
        <v>78.87</v>
      </c>
      <c r="M1042" s="107">
        <v>1</v>
      </c>
    </row>
    <row r="1043" spans="1:13" x14ac:dyDescent="0.3">
      <c r="A1043" s="95">
        <f t="shared" si="16"/>
        <v>0</v>
      </c>
      <c r="B1043" s="106" t="s">
        <v>1052</v>
      </c>
      <c r="C1043" s="95" t="s">
        <v>2492</v>
      </c>
      <c r="D1043" s="106">
        <v>12</v>
      </c>
      <c r="E1043" s="107">
        <v>1</v>
      </c>
      <c r="F1043" s="107" t="s">
        <v>2959</v>
      </c>
      <c r="G1043" s="107" t="s">
        <v>2961</v>
      </c>
      <c r="H1043" s="107" t="s">
        <v>2981</v>
      </c>
      <c r="I1043" s="107" t="s">
        <v>2996</v>
      </c>
      <c r="J1043" s="107" t="s">
        <v>2996</v>
      </c>
      <c r="K1043" s="107" t="s">
        <v>2996</v>
      </c>
      <c r="L1043" s="107">
        <v>96.95</v>
      </c>
      <c r="M1043" s="107"/>
    </row>
    <row r="1044" spans="1:13" x14ac:dyDescent="0.3">
      <c r="A1044" s="95">
        <f t="shared" si="16"/>
        <v>0</v>
      </c>
      <c r="B1044" s="106" t="s">
        <v>1053</v>
      </c>
      <c r="C1044" s="95" t="s">
        <v>2493</v>
      </c>
      <c r="D1044" s="106">
        <v>12</v>
      </c>
      <c r="E1044" s="107">
        <v>1</v>
      </c>
      <c r="F1044" s="107" t="s">
        <v>2959</v>
      </c>
      <c r="G1044" s="107" t="s">
        <v>2961</v>
      </c>
      <c r="H1044" s="107" t="s">
        <v>2972</v>
      </c>
      <c r="I1044" s="107" t="s">
        <v>2997</v>
      </c>
      <c r="J1044" s="107" t="s">
        <v>2997</v>
      </c>
      <c r="K1044" s="107" t="s">
        <v>2997</v>
      </c>
      <c r="L1044" s="107">
        <v>212.25</v>
      </c>
      <c r="M1044" s="107">
        <v>1</v>
      </c>
    </row>
    <row r="1045" spans="1:13" x14ac:dyDescent="0.3">
      <c r="A1045" s="95">
        <f t="shared" si="16"/>
        <v>0</v>
      </c>
      <c r="B1045" s="106" t="s">
        <v>1054</v>
      </c>
      <c r="C1045" s="95" t="s">
        <v>2494</v>
      </c>
      <c r="D1045" s="106">
        <v>12</v>
      </c>
      <c r="E1045" s="107">
        <v>1</v>
      </c>
      <c r="F1045" s="107" t="s">
        <v>2959</v>
      </c>
      <c r="G1045" s="107" t="s">
        <v>2966</v>
      </c>
      <c r="H1045" s="107" t="s">
        <v>2984</v>
      </c>
      <c r="I1045" s="107" t="s">
        <v>2997</v>
      </c>
      <c r="J1045" s="107" t="s">
        <v>2997</v>
      </c>
      <c r="K1045" s="107" t="s">
        <v>2997</v>
      </c>
      <c r="L1045" s="107">
        <v>249.07</v>
      </c>
      <c r="M1045" s="107"/>
    </row>
    <row r="1046" spans="1:13" x14ac:dyDescent="0.3">
      <c r="A1046" s="95">
        <f t="shared" si="16"/>
        <v>0</v>
      </c>
      <c r="B1046" s="106" t="s">
        <v>1055</v>
      </c>
      <c r="C1046" s="95" t="s">
        <v>2495</v>
      </c>
      <c r="D1046" s="106">
        <v>12</v>
      </c>
      <c r="E1046" s="107">
        <v>1</v>
      </c>
      <c r="F1046" s="107" t="s">
        <v>2959</v>
      </c>
      <c r="G1046" s="107" t="s">
        <v>2966</v>
      </c>
      <c r="H1046" s="107" t="s">
        <v>2984</v>
      </c>
      <c r="I1046" s="107" t="s">
        <v>2997</v>
      </c>
      <c r="J1046" s="107" t="s">
        <v>2997</v>
      </c>
      <c r="K1046" s="107" t="s">
        <v>2996</v>
      </c>
      <c r="L1046" s="107">
        <v>51.22</v>
      </c>
      <c r="M1046" s="107"/>
    </row>
    <row r="1047" spans="1:13" x14ac:dyDescent="0.3">
      <c r="A1047" s="95">
        <f t="shared" si="16"/>
        <v>0</v>
      </c>
      <c r="B1047" s="106" t="s">
        <v>1056</v>
      </c>
      <c r="C1047" s="95" t="s">
        <v>2496</v>
      </c>
      <c r="D1047" s="106">
        <v>12</v>
      </c>
      <c r="E1047" s="107">
        <v>1</v>
      </c>
      <c r="F1047" s="107" t="s">
        <v>2959</v>
      </c>
      <c r="G1047" s="107" t="s">
        <v>2964</v>
      </c>
      <c r="H1047" s="107" t="s">
        <v>2975</v>
      </c>
      <c r="I1047" s="107" t="s">
        <v>2997</v>
      </c>
      <c r="J1047" s="107" t="s">
        <v>2997</v>
      </c>
      <c r="K1047" s="107" t="s">
        <v>2997</v>
      </c>
      <c r="L1047" s="107">
        <v>53.53</v>
      </c>
      <c r="M1047" s="107"/>
    </row>
    <row r="1048" spans="1:13" x14ac:dyDescent="0.3">
      <c r="A1048" s="95">
        <f t="shared" si="16"/>
        <v>0</v>
      </c>
      <c r="B1048" s="106" t="s">
        <v>1057</v>
      </c>
      <c r="C1048" s="95" t="s">
        <v>2497</v>
      </c>
      <c r="D1048" s="106">
        <v>12</v>
      </c>
      <c r="E1048" s="107">
        <v>1</v>
      </c>
      <c r="F1048" s="107" t="s">
        <v>2959</v>
      </c>
      <c r="G1048" s="107" t="s">
        <v>2966</v>
      </c>
      <c r="H1048" s="107" t="s">
        <v>2984</v>
      </c>
      <c r="I1048" s="107" t="s">
        <v>2996</v>
      </c>
      <c r="J1048" s="107" t="s">
        <v>2996</v>
      </c>
      <c r="K1048" s="107" t="s">
        <v>2996</v>
      </c>
      <c r="L1048" s="107">
        <v>180.41</v>
      </c>
      <c r="M1048" s="107">
        <v>3</v>
      </c>
    </row>
    <row r="1049" spans="1:13" x14ac:dyDescent="0.3">
      <c r="A1049" s="95">
        <f t="shared" si="16"/>
        <v>0</v>
      </c>
      <c r="B1049" s="106" t="s">
        <v>1058</v>
      </c>
      <c r="C1049" s="95" t="s">
        <v>2498</v>
      </c>
      <c r="D1049" s="106">
        <v>12</v>
      </c>
      <c r="E1049" s="107">
        <v>1</v>
      </c>
      <c r="F1049" s="107" t="s">
        <v>2959</v>
      </c>
      <c r="G1049" s="107" t="s">
        <v>2966</v>
      </c>
      <c r="H1049" s="107" t="s">
        <v>2984</v>
      </c>
      <c r="I1049" s="107" t="s">
        <v>2997</v>
      </c>
      <c r="J1049" s="107" t="s">
        <v>2997</v>
      </c>
      <c r="K1049" s="107" t="s">
        <v>2997</v>
      </c>
      <c r="L1049" s="107">
        <v>402.09</v>
      </c>
      <c r="M1049" s="107">
        <v>2</v>
      </c>
    </row>
    <row r="1050" spans="1:13" x14ac:dyDescent="0.3">
      <c r="A1050" s="95">
        <f t="shared" si="16"/>
        <v>0</v>
      </c>
      <c r="B1050" s="106" t="s">
        <v>1059</v>
      </c>
      <c r="C1050" s="95" t="s">
        <v>2499</v>
      </c>
      <c r="D1050" s="106">
        <v>12</v>
      </c>
      <c r="E1050" s="107">
        <v>1</v>
      </c>
      <c r="F1050" s="107" t="s">
        <v>2959</v>
      </c>
      <c r="G1050" s="107" t="s">
        <v>2966</v>
      </c>
      <c r="H1050" s="107" t="s">
        <v>2980</v>
      </c>
      <c r="I1050" s="107" t="s">
        <v>2997</v>
      </c>
      <c r="J1050" s="107" t="s">
        <v>2997</v>
      </c>
      <c r="K1050" s="107" t="s">
        <v>2997</v>
      </c>
      <c r="L1050" s="107">
        <v>69.239999999999995</v>
      </c>
      <c r="M1050" s="107"/>
    </row>
    <row r="1051" spans="1:13" x14ac:dyDescent="0.3">
      <c r="A1051" s="95">
        <f t="shared" si="16"/>
        <v>0</v>
      </c>
      <c r="B1051" s="106" t="s">
        <v>1060</v>
      </c>
      <c r="C1051" s="95" t="s">
        <v>2500</v>
      </c>
      <c r="D1051" s="106">
        <v>12</v>
      </c>
      <c r="E1051" s="107">
        <v>1</v>
      </c>
      <c r="F1051" s="107" t="s">
        <v>2959</v>
      </c>
      <c r="G1051" s="107" t="s">
        <v>2966</v>
      </c>
      <c r="H1051" s="107" t="s">
        <v>2984</v>
      </c>
      <c r="I1051" s="107" t="s">
        <v>2996</v>
      </c>
      <c r="J1051" s="107" t="s">
        <v>2996</v>
      </c>
      <c r="K1051" s="107" t="s">
        <v>2996</v>
      </c>
      <c r="L1051" s="107">
        <v>20.94</v>
      </c>
      <c r="M1051" s="107"/>
    </row>
    <row r="1052" spans="1:13" x14ac:dyDescent="0.3">
      <c r="A1052" s="95">
        <f t="shared" si="16"/>
        <v>0</v>
      </c>
      <c r="B1052" s="106" t="s">
        <v>1061</v>
      </c>
      <c r="C1052" s="95" t="s">
        <v>2501</v>
      </c>
      <c r="D1052" s="106">
        <v>12</v>
      </c>
      <c r="E1052" s="107">
        <v>1</v>
      </c>
      <c r="F1052" s="107" t="s">
        <v>2959</v>
      </c>
      <c r="G1052" s="107" t="s">
        <v>2962</v>
      </c>
      <c r="H1052" s="107" t="s">
        <v>2995</v>
      </c>
      <c r="I1052" s="107" t="s">
        <v>2996</v>
      </c>
      <c r="J1052" s="107" t="s">
        <v>2996</v>
      </c>
      <c r="K1052" s="107" t="s">
        <v>2996</v>
      </c>
      <c r="L1052" s="107">
        <v>23.53</v>
      </c>
      <c r="M1052" s="107"/>
    </row>
    <row r="1053" spans="1:13" x14ac:dyDescent="0.3">
      <c r="A1053" s="95">
        <f t="shared" si="16"/>
        <v>0</v>
      </c>
      <c r="B1053" s="106" t="s">
        <v>1062</v>
      </c>
      <c r="C1053" s="95" t="s">
        <v>2502</v>
      </c>
      <c r="D1053" s="106">
        <v>12</v>
      </c>
      <c r="E1053" s="107">
        <v>1</v>
      </c>
      <c r="F1053" s="107" t="s">
        <v>2959</v>
      </c>
      <c r="G1053" s="107" t="s">
        <v>2960</v>
      </c>
      <c r="H1053" s="107" t="s">
        <v>2970</v>
      </c>
      <c r="I1053" s="107" t="s">
        <v>2996</v>
      </c>
      <c r="J1053" s="107" t="s">
        <v>2996</v>
      </c>
      <c r="K1053" s="107" t="s">
        <v>2996</v>
      </c>
      <c r="L1053" s="107">
        <v>19.97</v>
      </c>
      <c r="M1053" s="107"/>
    </row>
    <row r="1054" spans="1:13" x14ac:dyDescent="0.3">
      <c r="A1054" s="95">
        <f t="shared" si="16"/>
        <v>1</v>
      </c>
      <c r="B1054" s="106" t="s">
        <v>3153</v>
      </c>
      <c r="C1054" s="95" t="s">
        <v>3355</v>
      </c>
      <c r="D1054" s="106">
        <v>12</v>
      </c>
      <c r="E1054" s="107">
        <v>1</v>
      </c>
      <c r="F1054" s="107" t="s">
        <v>2958</v>
      </c>
      <c r="G1054" s="107" t="s">
        <v>2968</v>
      </c>
      <c r="H1054" s="107" t="s">
        <v>2968</v>
      </c>
      <c r="I1054" s="107" t="s">
        <v>2996</v>
      </c>
      <c r="J1054" s="107" t="s">
        <v>2996</v>
      </c>
      <c r="K1054" s="107" t="s">
        <v>2996</v>
      </c>
      <c r="L1054" s="107">
        <v>2663.93</v>
      </c>
      <c r="M1054" s="107">
        <v>10</v>
      </c>
    </row>
    <row r="1055" spans="1:13" x14ac:dyDescent="0.3">
      <c r="A1055" s="95">
        <f t="shared" si="16"/>
        <v>0</v>
      </c>
      <c r="B1055" s="106" t="s">
        <v>1063</v>
      </c>
      <c r="C1055" s="95" t="s">
        <v>2503</v>
      </c>
      <c r="D1055" s="106">
        <v>12</v>
      </c>
      <c r="E1055" s="107">
        <v>1</v>
      </c>
      <c r="F1055" s="107" t="s">
        <v>2959</v>
      </c>
      <c r="G1055" s="107" t="s">
        <v>2966</v>
      </c>
      <c r="H1055" s="107" t="s">
        <v>2984</v>
      </c>
      <c r="I1055" s="107" t="s">
        <v>2997</v>
      </c>
      <c r="J1055" s="107" t="s">
        <v>2997</v>
      </c>
      <c r="K1055" s="107" t="s">
        <v>2997</v>
      </c>
      <c r="L1055" s="107">
        <v>180.25</v>
      </c>
      <c r="M1055" s="107">
        <v>3</v>
      </c>
    </row>
    <row r="1056" spans="1:13" x14ac:dyDescent="0.3">
      <c r="A1056" s="95">
        <f t="shared" si="16"/>
        <v>0</v>
      </c>
      <c r="B1056" s="106" t="s">
        <v>1064</v>
      </c>
      <c r="C1056" s="95" t="s">
        <v>2504</v>
      </c>
      <c r="D1056" s="106">
        <v>12</v>
      </c>
      <c r="E1056" s="107">
        <v>1</v>
      </c>
      <c r="F1056" s="107" t="s">
        <v>2959</v>
      </c>
      <c r="G1056" s="107" t="s">
        <v>2966</v>
      </c>
      <c r="H1056" s="107" t="s">
        <v>2985</v>
      </c>
      <c r="I1056" s="107" t="s">
        <v>2997</v>
      </c>
      <c r="J1056" s="107" t="s">
        <v>2997</v>
      </c>
      <c r="K1056" s="107" t="s">
        <v>2996</v>
      </c>
      <c r="L1056" s="107">
        <v>81.02</v>
      </c>
      <c r="M1056" s="107"/>
    </row>
    <row r="1057" spans="1:13" x14ac:dyDescent="0.3">
      <c r="A1057" s="95">
        <f t="shared" si="16"/>
        <v>0</v>
      </c>
      <c r="B1057" s="106" t="s">
        <v>1065</v>
      </c>
      <c r="C1057" s="95" t="s">
        <v>2505</v>
      </c>
      <c r="D1057" s="106">
        <v>12</v>
      </c>
      <c r="E1057" s="107">
        <v>1</v>
      </c>
      <c r="F1057" s="107" t="s">
        <v>2959</v>
      </c>
      <c r="G1057" s="107" t="s">
        <v>2966</v>
      </c>
      <c r="H1057" s="107" t="s">
        <v>2985</v>
      </c>
      <c r="I1057" s="107" t="s">
        <v>2997</v>
      </c>
      <c r="J1057" s="107" t="s">
        <v>2997</v>
      </c>
      <c r="K1057" s="107" t="s">
        <v>2997</v>
      </c>
      <c r="L1057" s="107">
        <v>583.54999999999995</v>
      </c>
      <c r="M1057" s="107">
        <v>3</v>
      </c>
    </row>
    <row r="1058" spans="1:13" x14ac:dyDescent="0.3">
      <c r="A1058" s="95">
        <f t="shared" si="16"/>
        <v>0</v>
      </c>
      <c r="B1058" s="106" t="s">
        <v>1066</v>
      </c>
      <c r="C1058" s="95" t="s">
        <v>2506</v>
      </c>
      <c r="D1058" s="106">
        <v>12</v>
      </c>
      <c r="E1058" s="107">
        <v>1</v>
      </c>
      <c r="F1058" s="107" t="s">
        <v>2959</v>
      </c>
      <c r="G1058" s="107" t="s">
        <v>2966</v>
      </c>
      <c r="H1058" s="107" t="s">
        <v>2984</v>
      </c>
      <c r="I1058" s="107" t="s">
        <v>2997</v>
      </c>
      <c r="J1058" s="107" t="s">
        <v>2997</v>
      </c>
      <c r="K1058" s="107" t="s">
        <v>2996</v>
      </c>
      <c r="L1058" s="107">
        <v>59.75</v>
      </c>
      <c r="M1058" s="107">
        <v>1</v>
      </c>
    </row>
    <row r="1059" spans="1:13" x14ac:dyDescent="0.3">
      <c r="A1059" s="95">
        <f t="shared" si="16"/>
        <v>0</v>
      </c>
      <c r="B1059" s="106" t="s">
        <v>1067</v>
      </c>
      <c r="C1059" s="95" t="s">
        <v>2507</v>
      </c>
      <c r="D1059" s="106">
        <v>12</v>
      </c>
      <c r="E1059" s="107">
        <v>1</v>
      </c>
      <c r="F1059" s="107" t="s">
        <v>2959</v>
      </c>
      <c r="G1059" s="107" t="s">
        <v>2966</v>
      </c>
      <c r="H1059" s="107" t="s">
        <v>2978</v>
      </c>
      <c r="I1059" s="107" t="s">
        <v>2997</v>
      </c>
      <c r="J1059" s="107" t="s">
        <v>2997</v>
      </c>
      <c r="K1059" s="107" t="s">
        <v>2996</v>
      </c>
      <c r="L1059" s="107">
        <v>60.3</v>
      </c>
      <c r="M1059" s="107"/>
    </row>
    <row r="1060" spans="1:13" x14ac:dyDescent="0.3">
      <c r="A1060" s="95">
        <f t="shared" si="16"/>
        <v>1</v>
      </c>
      <c r="B1060" s="106" t="s">
        <v>1068</v>
      </c>
      <c r="C1060" s="95" t="s">
        <v>2508</v>
      </c>
      <c r="D1060" s="106">
        <v>12</v>
      </c>
      <c r="E1060" s="107">
        <v>1</v>
      </c>
      <c r="F1060" s="107" t="s">
        <v>2958</v>
      </c>
      <c r="G1060" s="107" t="s">
        <v>2962</v>
      </c>
      <c r="H1060" s="107" t="s">
        <v>2986</v>
      </c>
      <c r="I1060" s="107" t="s">
        <v>2997</v>
      </c>
      <c r="J1060" s="107" t="s">
        <v>2997</v>
      </c>
      <c r="K1060" s="107" t="s">
        <v>2997</v>
      </c>
      <c r="L1060" s="107">
        <v>8503.4599999999991</v>
      </c>
      <c r="M1060" s="107">
        <v>22</v>
      </c>
    </row>
    <row r="1061" spans="1:13" x14ac:dyDescent="0.3">
      <c r="A1061" s="95">
        <f t="shared" si="16"/>
        <v>0</v>
      </c>
      <c r="B1061" s="106" t="s">
        <v>1069</v>
      </c>
      <c r="C1061" s="95" t="s">
        <v>2509</v>
      </c>
      <c r="D1061" s="106">
        <v>12</v>
      </c>
      <c r="E1061" s="107">
        <v>1</v>
      </c>
      <c r="F1061" s="107" t="s">
        <v>2959</v>
      </c>
      <c r="G1061" s="107" t="s">
        <v>2960</v>
      </c>
      <c r="H1061" s="107" t="s">
        <v>2970</v>
      </c>
      <c r="I1061" s="107" t="s">
        <v>2997</v>
      </c>
      <c r="J1061" s="107" t="s">
        <v>2997</v>
      </c>
      <c r="K1061" s="107" t="s">
        <v>2996</v>
      </c>
      <c r="L1061" s="107">
        <v>122.6</v>
      </c>
      <c r="M1061" s="107"/>
    </row>
    <row r="1062" spans="1:13" x14ac:dyDescent="0.3">
      <c r="A1062" s="95">
        <f t="shared" si="16"/>
        <v>0</v>
      </c>
      <c r="B1062" s="106" t="s">
        <v>1070</v>
      </c>
      <c r="C1062" s="95" t="s">
        <v>2510</v>
      </c>
      <c r="D1062" s="106">
        <v>12</v>
      </c>
      <c r="E1062" s="107">
        <v>1</v>
      </c>
      <c r="F1062" s="107" t="s">
        <v>2959</v>
      </c>
      <c r="G1062" s="107" t="s">
        <v>2967</v>
      </c>
      <c r="H1062" s="107" t="s">
        <v>2967</v>
      </c>
      <c r="I1062" s="107" t="s">
        <v>2996</v>
      </c>
      <c r="J1062" s="107" t="s">
        <v>2996</v>
      </c>
      <c r="K1062" s="107" t="s">
        <v>2996</v>
      </c>
      <c r="L1062" s="107">
        <v>46.97</v>
      </c>
      <c r="M1062" s="107"/>
    </row>
    <row r="1063" spans="1:13" x14ac:dyDescent="0.3">
      <c r="A1063" s="95">
        <f t="shared" si="16"/>
        <v>0</v>
      </c>
      <c r="B1063" s="106" t="s">
        <v>1071</v>
      </c>
      <c r="C1063" s="95" t="s">
        <v>2511</v>
      </c>
      <c r="D1063" s="106">
        <v>12</v>
      </c>
      <c r="E1063" s="107">
        <v>1</v>
      </c>
      <c r="F1063" s="107" t="s">
        <v>2959</v>
      </c>
      <c r="G1063" s="107" t="s">
        <v>2961</v>
      </c>
      <c r="H1063" s="107" t="s">
        <v>2971</v>
      </c>
      <c r="I1063" s="107" t="s">
        <v>2997</v>
      </c>
      <c r="J1063" s="107" t="s">
        <v>2997</v>
      </c>
      <c r="K1063" s="107" t="s">
        <v>2997</v>
      </c>
      <c r="L1063" s="107">
        <v>17.66</v>
      </c>
      <c r="M1063" s="107"/>
    </row>
    <row r="1064" spans="1:13" x14ac:dyDescent="0.3">
      <c r="A1064" s="95">
        <f t="shared" si="16"/>
        <v>0</v>
      </c>
      <c r="B1064" s="106" t="s">
        <v>1072</v>
      </c>
      <c r="C1064" s="95" t="s">
        <v>2512</v>
      </c>
      <c r="D1064" s="106">
        <v>12</v>
      </c>
      <c r="E1064" s="107">
        <v>1</v>
      </c>
      <c r="F1064" s="107" t="s">
        <v>2959</v>
      </c>
      <c r="G1064" s="107" t="s">
        <v>2961</v>
      </c>
      <c r="H1064" s="107" t="s">
        <v>2981</v>
      </c>
      <c r="I1064" s="107" t="s">
        <v>2997</v>
      </c>
      <c r="J1064" s="107" t="s">
        <v>2997</v>
      </c>
      <c r="K1064" s="107" t="s">
        <v>2996</v>
      </c>
      <c r="L1064" s="107">
        <v>47.95</v>
      </c>
      <c r="M1064" s="107"/>
    </row>
    <row r="1065" spans="1:13" x14ac:dyDescent="0.3">
      <c r="A1065" s="95">
        <f t="shared" si="16"/>
        <v>0</v>
      </c>
      <c r="B1065" s="106" t="s">
        <v>1073</v>
      </c>
      <c r="C1065" s="95" t="s">
        <v>2513</v>
      </c>
      <c r="D1065" s="106">
        <v>12</v>
      </c>
      <c r="E1065" s="107">
        <v>1</v>
      </c>
      <c r="F1065" s="107" t="s">
        <v>2959</v>
      </c>
      <c r="G1065" s="107" t="s">
        <v>2966</v>
      </c>
      <c r="H1065" s="107" t="s">
        <v>2977</v>
      </c>
      <c r="I1065" s="107" t="s">
        <v>2997</v>
      </c>
      <c r="J1065" s="107" t="s">
        <v>2997</v>
      </c>
      <c r="K1065" s="107" t="s">
        <v>2996</v>
      </c>
      <c r="L1065" s="107">
        <v>22.47</v>
      </c>
      <c r="M1065" s="107"/>
    </row>
    <row r="1066" spans="1:13" x14ac:dyDescent="0.3">
      <c r="A1066" s="95">
        <f t="shared" si="16"/>
        <v>0</v>
      </c>
      <c r="B1066" s="106" t="s">
        <v>3154</v>
      </c>
      <c r="C1066" s="95" t="s">
        <v>3531</v>
      </c>
      <c r="D1066" s="106">
        <v>12</v>
      </c>
      <c r="E1066" s="107">
        <v>1</v>
      </c>
      <c r="F1066" s="107" t="s">
        <v>2958</v>
      </c>
      <c r="G1066" s="107" t="s">
        <v>2961</v>
      </c>
      <c r="H1066" s="107" t="s">
        <v>2981</v>
      </c>
      <c r="I1066" s="107" t="s">
        <v>2997</v>
      </c>
      <c r="J1066" s="107" t="s">
        <v>2997</v>
      </c>
      <c r="K1066" s="107" t="s">
        <v>2996</v>
      </c>
      <c r="L1066" s="107">
        <v>1802.89</v>
      </c>
      <c r="M1066" s="107">
        <v>18</v>
      </c>
    </row>
    <row r="1067" spans="1:13" x14ac:dyDescent="0.3">
      <c r="A1067" s="95">
        <f t="shared" si="16"/>
        <v>0</v>
      </c>
      <c r="B1067" s="106" t="s">
        <v>1074</v>
      </c>
      <c r="C1067" s="95" t="s">
        <v>2514</v>
      </c>
      <c r="D1067" s="106">
        <v>12</v>
      </c>
      <c r="E1067" s="107">
        <v>1</v>
      </c>
      <c r="F1067" s="107" t="s">
        <v>2959</v>
      </c>
      <c r="G1067" s="107" t="s">
        <v>2965</v>
      </c>
      <c r="H1067" s="107" t="s">
        <v>2965</v>
      </c>
      <c r="I1067" s="107" t="s">
        <v>2997</v>
      </c>
      <c r="J1067" s="107" t="s">
        <v>2997</v>
      </c>
      <c r="K1067" s="107" t="s">
        <v>2997</v>
      </c>
      <c r="L1067" s="107">
        <v>46.05</v>
      </c>
      <c r="M1067" s="107"/>
    </row>
    <row r="1068" spans="1:13" x14ac:dyDescent="0.3">
      <c r="A1068" s="95">
        <f t="shared" si="16"/>
        <v>0</v>
      </c>
      <c r="B1068" s="106" t="s">
        <v>1075</v>
      </c>
      <c r="C1068" s="95" t="s">
        <v>2515</v>
      </c>
      <c r="D1068" s="106">
        <v>12</v>
      </c>
      <c r="E1068" s="107">
        <v>1</v>
      </c>
      <c r="F1068" s="107" t="s">
        <v>2959</v>
      </c>
      <c r="G1068" s="107" t="s">
        <v>2961</v>
      </c>
      <c r="H1068" s="107" t="s">
        <v>2971</v>
      </c>
      <c r="I1068" s="107" t="s">
        <v>2997</v>
      </c>
      <c r="J1068" s="107" t="s">
        <v>2997</v>
      </c>
      <c r="K1068" s="107" t="s">
        <v>2996</v>
      </c>
      <c r="L1068" s="107">
        <v>19.68</v>
      </c>
      <c r="M1068" s="107"/>
    </row>
    <row r="1069" spans="1:13" x14ac:dyDescent="0.3">
      <c r="A1069" s="95">
        <f t="shared" si="16"/>
        <v>0</v>
      </c>
      <c r="B1069" s="106" t="s">
        <v>1076</v>
      </c>
      <c r="C1069" s="95" t="s">
        <v>2516</v>
      </c>
      <c r="D1069" s="106">
        <v>12</v>
      </c>
      <c r="E1069" s="107">
        <v>1</v>
      </c>
      <c r="F1069" s="107" t="s">
        <v>2959</v>
      </c>
      <c r="G1069" s="107" t="s">
        <v>2961</v>
      </c>
      <c r="H1069" s="107" t="s">
        <v>2982</v>
      </c>
      <c r="I1069" s="107" t="s">
        <v>2996</v>
      </c>
      <c r="J1069" s="107" t="s">
        <v>2996</v>
      </c>
      <c r="K1069" s="107" t="s">
        <v>2996</v>
      </c>
      <c r="L1069" s="107">
        <v>114.21</v>
      </c>
      <c r="M1069" s="107"/>
    </row>
    <row r="1070" spans="1:13" x14ac:dyDescent="0.3">
      <c r="A1070" s="95">
        <f t="shared" si="16"/>
        <v>0</v>
      </c>
      <c r="B1070" s="106" t="s">
        <v>1077</v>
      </c>
      <c r="C1070" s="95" t="s">
        <v>2517</v>
      </c>
      <c r="D1070" s="106">
        <v>12</v>
      </c>
      <c r="E1070" s="107">
        <v>1</v>
      </c>
      <c r="F1070" s="107" t="s">
        <v>2959</v>
      </c>
      <c r="G1070" s="107" t="s">
        <v>2961</v>
      </c>
      <c r="H1070" s="107" t="s">
        <v>2991</v>
      </c>
      <c r="I1070" s="107" t="s">
        <v>2997</v>
      </c>
      <c r="J1070" s="107" t="s">
        <v>2997</v>
      </c>
      <c r="K1070" s="107" t="s">
        <v>2996</v>
      </c>
      <c r="L1070" s="107">
        <v>45.79</v>
      </c>
      <c r="M1070" s="107"/>
    </row>
    <row r="1071" spans="1:13" x14ac:dyDescent="0.3">
      <c r="A1071" s="95">
        <f t="shared" si="16"/>
        <v>0</v>
      </c>
      <c r="B1071" s="106" t="s">
        <v>1078</v>
      </c>
      <c r="C1071" s="95" t="s">
        <v>2518</v>
      </c>
      <c r="D1071" s="106">
        <v>12</v>
      </c>
      <c r="E1071" s="107">
        <v>1</v>
      </c>
      <c r="F1071" s="107" t="s">
        <v>2959</v>
      </c>
      <c r="G1071" s="107" t="s">
        <v>2967</v>
      </c>
      <c r="H1071" s="107" t="s">
        <v>2967</v>
      </c>
      <c r="I1071" s="107" t="s">
        <v>2997</v>
      </c>
      <c r="J1071" s="107" t="s">
        <v>2997</v>
      </c>
      <c r="K1071" s="107" t="s">
        <v>2996</v>
      </c>
      <c r="L1071" s="107">
        <v>117.67</v>
      </c>
      <c r="M1071" s="107"/>
    </row>
    <row r="1072" spans="1:13" x14ac:dyDescent="0.3">
      <c r="A1072" s="95">
        <f t="shared" si="16"/>
        <v>0</v>
      </c>
      <c r="B1072" s="106" t="s">
        <v>1079</v>
      </c>
      <c r="C1072" s="95" t="s">
        <v>2519</v>
      </c>
      <c r="D1072" s="106">
        <v>12</v>
      </c>
      <c r="E1072" s="107">
        <v>1</v>
      </c>
      <c r="F1072" s="107" t="s">
        <v>2959</v>
      </c>
      <c r="G1072" s="107" t="s">
        <v>2964</v>
      </c>
      <c r="H1072" s="107" t="s">
        <v>2976</v>
      </c>
      <c r="I1072" s="107" t="s">
        <v>2997</v>
      </c>
      <c r="J1072" s="107" t="s">
        <v>2997</v>
      </c>
      <c r="K1072" s="107" t="s">
        <v>2997</v>
      </c>
      <c r="L1072" s="107">
        <v>17.05</v>
      </c>
      <c r="M1072" s="107"/>
    </row>
    <row r="1073" spans="1:13" x14ac:dyDescent="0.3">
      <c r="A1073" s="95">
        <f t="shared" si="16"/>
        <v>0</v>
      </c>
      <c r="B1073" s="106" t="s">
        <v>1080</v>
      </c>
      <c r="C1073" s="95" t="s">
        <v>2520</v>
      </c>
      <c r="D1073" s="106">
        <v>12</v>
      </c>
      <c r="E1073" s="107">
        <v>1</v>
      </c>
      <c r="F1073" s="107" t="s">
        <v>2959</v>
      </c>
      <c r="G1073" s="107" t="s">
        <v>2966</v>
      </c>
      <c r="H1073" s="107" t="s">
        <v>2985</v>
      </c>
      <c r="I1073" s="107" t="s">
        <v>2997</v>
      </c>
      <c r="J1073" s="107" t="s">
        <v>2997</v>
      </c>
      <c r="K1073" s="107" t="s">
        <v>2997</v>
      </c>
      <c r="L1073" s="107">
        <v>85.6</v>
      </c>
      <c r="M1073" s="107"/>
    </row>
    <row r="1074" spans="1:13" x14ac:dyDescent="0.3">
      <c r="A1074" s="95">
        <f t="shared" si="16"/>
        <v>0</v>
      </c>
      <c r="B1074" s="106" t="s">
        <v>1081</v>
      </c>
      <c r="C1074" s="95" t="s">
        <v>2521</v>
      </c>
      <c r="D1074" s="106">
        <v>12</v>
      </c>
      <c r="E1074" s="107">
        <v>1</v>
      </c>
      <c r="F1074" s="107" t="s">
        <v>2959</v>
      </c>
      <c r="G1074" s="107" t="s">
        <v>2966</v>
      </c>
      <c r="H1074" s="107" t="s">
        <v>2984</v>
      </c>
      <c r="I1074" s="107" t="s">
        <v>2997</v>
      </c>
      <c r="J1074" s="107" t="s">
        <v>2997</v>
      </c>
      <c r="K1074" s="107" t="s">
        <v>2997</v>
      </c>
      <c r="L1074" s="107">
        <v>176.22</v>
      </c>
      <c r="M1074" s="107">
        <v>1</v>
      </c>
    </row>
    <row r="1075" spans="1:13" x14ac:dyDescent="0.3">
      <c r="A1075" s="95">
        <f t="shared" si="16"/>
        <v>0</v>
      </c>
      <c r="B1075" s="106" t="s">
        <v>1082</v>
      </c>
      <c r="C1075" s="95" t="s">
        <v>2522</v>
      </c>
      <c r="D1075" s="106">
        <v>12</v>
      </c>
      <c r="E1075" s="107">
        <v>1</v>
      </c>
      <c r="F1075" s="107" t="s">
        <v>2959</v>
      </c>
      <c r="G1075" s="107" t="s">
        <v>2961</v>
      </c>
      <c r="H1075" s="107" t="s">
        <v>2982</v>
      </c>
      <c r="I1075" s="107" t="s">
        <v>2996</v>
      </c>
      <c r="J1075" s="107" t="s">
        <v>2996</v>
      </c>
      <c r="K1075" s="107" t="s">
        <v>2996</v>
      </c>
      <c r="L1075" s="107">
        <v>33.24</v>
      </c>
      <c r="M1075" s="107"/>
    </row>
    <row r="1076" spans="1:13" x14ac:dyDescent="0.3">
      <c r="A1076" s="95">
        <f t="shared" si="16"/>
        <v>0</v>
      </c>
      <c r="B1076" s="106" t="s">
        <v>1083</v>
      </c>
      <c r="C1076" s="95" t="s">
        <v>2523</v>
      </c>
      <c r="D1076" s="106">
        <v>12</v>
      </c>
      <c r="E1076" s="107">
        <v>1</v>
      </c>
      <c r="F1076" s="107" t="s">
        <v>2959</v>
      </c>
      <c r="G1076" s="107" t="s">
        <v>2966</v>
      </c>
      <c r="H1076" s="107" t="s">
        <v>2978</v>
      </c>
      <c r="I1076" s="107" t="s">
        <v>2997</v>
      </c>
      <c r="J1076" s="107" t="s">
        <v>2997</v>
      </c>
      <c r="K1076" s="107" t="s">
        <v>2997</v>
      </c>
      <c r="L1076" s="107">
        <v>83.7</v>
      </c>
      <c r="M1076" s="107"/>
    </row>
    <row r="1077" spans="1:13" x14ac:dyDescent="0.3">
      <c r="A1077" s="95">
        <f t="shared" si="16"/>
        <v>0</v>
      </c>
      <c r="B1077" s="106" t="s">
        <v>1084</v>
      </c>
      <c r="C1077" s="95" t="s">
        <v>2524</v>
      </c>
      <c r="D1077" s="106">
        <v>12</v>
      </c>
      <c r="E1077" s="107">
        <v>1</v>
      </c>
      <c r="F1077" s="107" t="s">
        <v>2959</v>
      </c>
      <c r="G1077" s="107" t="s">
        <v>2963</v>
      </c>
      <c r="H1077" s="107" t="s">
        <v>2992</v>
      </c>
      <c r="I1077" s="107" t="s">
        <v>2997</v>
      </c>
      <c r="J1077" s="107" t="s">
        <v>2997</v>
      </c>
      <c r="K1077" s="107" t="s">
        <v>2996</v>
      </c>
      <c r="L1077" s="107">
        <v>54.78</v>
      </c>
      <c r="M1077" s="107"/>
    </row>
    <row r="1078" spans="1:13" x14ac:dyDescent="0.3">
      <c r="A1078" s="95">
        <f t="shared" si="16"/>
        <v>0</v>
      </c>
      <c r="B1078" s="106" t="s">
        <v>1085</v>
      </c>
      <c r="C1078" s="95" t="s">
        <v>2525</v>
      </c>
      <c r="D1078" s="106">
        <v>12</v>
      </c>
      <c r="E1078" s="107">
        <v>1</v>
      </c>
      <c r="F1078" s="107" t="s">
        <v>2959</v>
      </c>
      <c r="G1078" s="107" t="s">
        <v>2964</v>
      </c>
      <c r="H1078" s="107" t="s">
        <v>2976</v>
      </c>
      <c r="I1078" s="107" t="s">
        <v>2996</v>
      </c>
      <c r="J1078" s="107" t="s">
        <v>2996</v>
      </c>
      <c r="K1078" s="107" t="s">
        <v>2996</v>
      </c>
      <c r="L1078" s="107">
        <v>62.46</v>
      </c>
      <c r="M1078" s="107"/>
    </row>
    <row r="1079" spans="1:13" x14ac:dyDescent="0.3">
      <c r="A1079" s="95">
        <f t="shared" si="16"/>
        <v>0</v>
      </c>
      <c r="B1079" s="106" t="s">
        <v>1086</v>
      </c>
      <c r="C1079" s="95" t="s">
        <v>2526</v>
      </c>
      <c r="D1079" s="106">
        <v>12</v>
      </c>
      <c r="E1079" s="107">
        <v>1</v>
      </c>
      <c r="F1079" s="107" t="s">
        <v>2958</v>
      </c>
      <c r="G1079" s="107" t="s">
        <v>2964</v>
      </c>
      <c r="H1079" s="107" t="s">
        <v>2976</v>
      </c>
      <c r="I1079" s="107" t="s">
        <v>2997</v>
      </c>
      <c r="J1079" s="107" t="s">
        <v>2997</v>
      </c>
      <c r="K1079" s="107" t="s">
        <v>2996</v>
      </c>
      <c r="L1079" s="107">
        <v>48.42</v>
      </c>
      <c r="M1079" s="107"/>
    </row>
    <row r="1080" spans="1:13" x14ac:dyDescent="0.3">
      <c r="A1080" s="95">
        <f t="shared" si="16"/>
        <v>0</v>
      </c>
      <c r="B1080" s="106" t="s">
        <v>1087</v>
      </c>
      <c r="C1080" s="95" t="s">
        <v>2527</v>
      </c>
      <c r="D1080" s="106">
        <v>12</v>
      </c>
      <c r="E1080" s="107">
        <v>1</v>
      </c>
      <c r="F1080" s="107" t="s">
        <v>2959</v>
      </c>
      <c r="G1080" s="107" t="s">
        <v>2961</v>
      </c>
      <c r="H1080" s="107" t="s">
        <v>2971</v>
      </c>
      <c r="I1080" s="107" t="s">
        <v>2997</v>
      </c>
      <c r="J1080" s="107" t="s">
        <v>2997</v>
      </c>
      <c r="K1080" s="107" t="s">
        <v>2996</v>
      </c>
      <c r="L1080" s="107">
        <v>60.55</v>
      </c>
      <c r="M1080" s="107"/>
    </row>
    <row r="1081" spans="1:13" x14ac:dyDescent="0.3">
      <c r="A1081" s="95">
        <f t="shared" si="16"/>
        <v>0</v>
      </c>
      <c r="B1081" s="106" t="s">
        <v>1088</v>
      </c>
      <c r="C1081" s="95" t="s">
        <v>2528</v>
      </c>
      <c r="D1081" s="106">
        <v>3</v>
      </c>
      <c r="E1081" s="107">
        <v>1</v>
      </c>
      <c r="F1081" s="107" t="s">
        <v>2959</v>
      </c>
      <c r="G1081" s="107" t="s">
        <v>2966</v>
      </c>
      <c r="H1081" s="107" t="s">
        <v>2978</v>
      </c>
      <c r="I1081" s="107" t="s">
        <v>2996</v>
      </c>
      <c r="J1081" s="107" t="s">
        <v>2996</v>
      </c>
      <c r="K1081" s="107" t="s">
        <v>2996</v>
      </c>
      <c r="L1081" s="107">
        <v>154.18</v>
      </c>
      <c r="M1081" s="107">
        <v>2</v>
      </c>
    </row>
    <row r="1082" spans="1:13" x14ac:dyDescent="0.3">
      <c r="A1082" s="95">
        <f t="shared" si="16"/>
        <v>0</v>
      </c>
      <c r="B1082" s="106" t="s">
        <v>1089</v>
      </c>
      <c r="C1082" s="95" t="s">
        <v>2529</v>
      </c>
      <c r="D1082" s="106">
        <v>12</v>
      </c>
      <c r="E1082" s="107">
        <v>1</v>
      </c>
      <c r="F1082" s="107" t="s">
        <v>2959</v>
      </c>
      <c r="G1082" s="107" t="s">
        <v>2966</v>
      </c>
      <c r="H1082" s="107" t="s">
        <v>2985</v>
      </c>
      <c r="I1082" s="107" t="s">
        <v>2997</v>
      </c>
      <c r="J1082" s="107" t="s">
        <v>2997</v>
      </c>
      <c r="K1082" s="107" t="s">
        <v>2996</v>
      </c>
      <c r="L1082" s="107">
        <v>510.71</v>
      </c>
      <c r="M1082" s="107"/>
    </row>
    <row r="1083" spans="1:13" x14ac:dyDescent="0.3">
      <c r="A1083" s="95">
        <f t="shared" si="16"/>
        <v>0</v>
      </c>
      <c r="B1083" s="106" t="s">
        <v>1090</v>
      </c>
      <c r="C1083" s="95" t="s">
        <v>2530</v>
      </c>
      <c r="D1083" s="106">
        <v>12</v>
      </c>
      <c r="E1083" s="107">
        <v>1</v>
      </c>
      <c r="F1083" s="107" t="s">
        <v>2959</v>
      </c>
      <c r="G1083" s="107" t="s">
        <v>2966</v>
      </c>
      <c r="H1083" s="107" t="s">
        <v>2980</v>
      </c>
      <c r="I1083" s="107" t="s">
        <v>2997</v>
      </c>
      <c r="J1083" s="107" t="s">
        <v>2997</v>
      </c>
      <c r="K1083" s="107" t="s">
        <v>2996</v>
      </c>
      <c r="L1083" s="107">
        <v>7.91</v>
      </c>
      <c r="M1083" s="107"/>
    </row>
    <row r="1084" spans="1:13" x14ac:dyDescent="0.3">
      <c r="A1084" s="95">
        <f t="shared" si="16"/>
        <v>0</v>
      </c>
      <c r="B1084" s="106" t="s">
        <v>1091</v>
      </c>
      <c r="C1084" s="95" t="s">
        <v>2531</v>
      </c>
      <c r="D1084" s="106">
        <v>12</v>
      </c>
      <c r="E1084" s="107">
        <v>1</v>
      </c>
      <c r="F1084" s="107" t="s">
        <v>2959</v>
      </c>
      <c r="G1084" s="107" t="s">
        <v>2966</v>
      </c>
      <c r="H1084" s="107" t="s">
        <v>2984</v>
      </c>
      <c r="I1084" s="107" t="s">
        <v>2997</v>
      </c>
      <c r="J1084" s="107" t="s">
        <v>2997</v>
      </c>
      <c r="K1084" s="107" t="s">
        <v>2996</v>
      </c>
      <c r="L1084" s="107">
        <v>5.54</v>
      </c>
      <c r="M1084" s="107"/>
    </row>
    <row r="1085" spans="1:13" x14ac:dyDescent="0.3">
      <c r="A1085" s="95">
        <f t="shared" si="16"/>
        <v>0</v>
      </c>
      <c r="B1085" s="106" t="s">
        <v>1092</v>
      </c>
      <c r="C1085" s="95" t="s">
        <v>2532</v>
      </c>
      <c r="D1085" s="106">
        <v>12</v>
      </c>
      <c r="E1085" s="107">
        <v>1</v>
      </c>
      <c r="F1085" s="107" t="s">
        <v>2959</v>
      </c>
      <c r="G1085" s="107" t="s">
        <v>2960</v>
      </c>
      <c r="H1085" s="107" t="s">
        <v>2970</v>
      </c>
      <c r="I1085" s="107" t="s">
        <v>2996</v>
      </c>
      <c r="J1085" s="107" t="s">
        <v>2996</v>
      </c>
      <c r="K1085" s="107" t="s">
        <v>2996</v>
      </c>
      <c r="L1085" s="107">
        <v>23.24</v>
      </c>
      <c r="M1085" s="107"/>
    </row>
    <row r="1086" spans="1:13" x14ac:dyDescent="0.3">
      <c r="A1086" s="95">
        <f t="shared" si="16"/>
        <v>0</v>
      </c>
      <c r="B1086" s="106" t="s">
        <v>1093</v>
      </c>
      <c r="C1086" s="95" t="s">
        <v>2533</v>
      </c>
      <c r="D1086" s="106">
        <v>12</v>
      </c>
      <c r="E1086" s="107">
        <v>1</v>
      </c>
      <c r="F1086" s="107" t="s">
        <v>2959</v>
      </c>
      <c r="G1086" s="107" t="s">
        <v>2966</v>
      </c>
      <c r="H1086" s="107" t="s">
        <v>2985</v>
      </c>
      <c r="I1086" s="107" t="s">
        <v>2997</v>
      </c>
      <c r="J1086" s="107" t="s">
        <v>2997</v>
      </c>
      <c r="K1086" s="107" t="s">
        <v>2996</v>
      </c>
      <c r="L1086" s="107">
        <v>160.13999999999999</v>
      </c>
      <c r="M1086" s="107"/>
    </row>
    <row r="1087" spans="1:13" x14ac:dyDescent="0.3">
      <c r="A1087" s="95">
        <f t="shared" si="16"/>
        <v>0</v>
      </c>
      <c r="B1087" s="106" t="s">
        <v>1094</v>
      </c>
      <c r="C1087" s="95" t="s">
        <v>3095</v>
      </c>
      <c r="D1087" s="106">
        <v>12</v>
      </c>
      <c r="E1087" s="107">
        <v>1</v>
      </c>
      <c r="F1087" s="107" t="s">
        <v>2959</v>
      </c>
      <c r="G1087" s="107" t="s">
        <v>2966</v>
      </c>
      <c r="H1087" s="107" t="s">
        <v>2980</v>
      </c>
      <c r="I1087" s="107" t="s">
        <v>2997</v>
      </c>
      <c r="J1087" s="107" t="s">
        <v>2997</v>
      </c>
      <c r="K1087" s="107" t="s">
        <v>2996</v>
      </c>
      <c r="L1087" s="107">
        <v>58.34</v>
      </c>
      <c r="M1087" s="107"/>
    </row>
    <row r="1088" spans="1:13" x14ac:dyDescent="0.3">
      <c r="A1088" s="95">
        <f t="shared" si="16"/>
        <v>0</v>
      </c>
      <c r="B1088" s="106" t="s">
        <v>1095</v>
      </c>
      <c r="C1088" s="95" t="s">
        <v>2534</v>
      </c>
      <c r="D1088" s="106">
        <v>9</v>
      </c>
      <c r="E1088" s="107">
        <v>1</v>
      </c>
      <c r="F1088" s="107" t="s">
        <v>2959</v>
      </c>
      <c r="G1088" s="107" t="s">
        <v>2960</v>
      </c>
      <c r="H1088" s="107" t="s">
        <v>2970</v>
      </c>
      <c r="I1088" s="107" t="s">
        <v>2997</v>
      </c>
      <c r="J1088" s="107" t="s">
        <v>2996</v>
      </c>
      <c r="K1088" s="107" t="s">
        <v>2996</v>
      </c>
      <c r="L1088" s="107">
        <v>386.82</v>
      </c>
      <c r="M1088" s="107">
        <v>1</v>
      </c>
    </row>
    <row r="1089" spans="1:13" x14ac:dyDescent="0.3">
      <c r="A1089" s="95">
        <f t="shared" si="16"/>
        <v>0</v>
      </c>
      <c r="B1089" s="106" t="s">
        <v>1096</v>
      </c>
      <c r="C1089" s="95" t="s">
        <v>2535</v>
      </c>
      <c r="D1089" s="106">
        <v>12</v>
      </c>
      <c r="E1089" s="107">
        <v>1</v>
      </c>
      <c r="F1089" s="107" t="s">
        <v>2959</v>
      </c>
      <c r="G1089" s="107" t="s">
        <v>2966</v>
      </c>
      <c r="H1089" s="107" t="s">
        <v>2980</v>
      </c>
      <c r="I1089" s="107" t="s">
        <v>2997</v>
      </c>
      <c r="J1089" s="107" t="s">
        <v>2997</v>
      </c>
      <c r="K1089" s="107" t="s">
        <v>2997</v>
      </c>
      <c r="L1089" s="107">
        <v>85.04</v>
      </c>
      <c r="M1089" s="107">
        <v>1</v>
      </c>
    </row>
    <row r="1090" spans="1:13" x14ac:dyDescent="0.3">
      <c r="A1090" s="95">
        <f t="shared" si="16"/>
        <v>0</v>
      </c>
      <c r="B1090" s="106" t="s">
        <v>1097</v>
      </c>
      <c r="C1090" s="95" t="s">
        <v>2536</v>
      </c>
      <c r="D1090" s="106">
        <v>6</v>
      </c>
      <c r="E1090" s="107">
        <v>1</v>
      </c>
      <c r="F1090" s="107" t="s">
        <v>2959</v>
      </c>
      <c r="G1090" s="107" t="s">
        <v>2964</v>
      </c>
      <c r="H1090" s="107" t="s">
        <v>2976</v>
      </c>
      <c r="I1090" s="107" t="s">
        <v>2996</v>
      </c>
      <c r="J1090" s="107" t="s">
        <v>2996</v>
      </c>
      <c r="K1090" s="107" t="s">
        <v>2996</v>
      </c>
      <c r="L1090" s="107">
        <v>26.23</v>
      </c>
      <c r="M1090" s="107"/>
    </row>
    <row r="1091" spans="1:13" x14ac:dyDescent="0.3">
      <c r="A1091" s="95">
        <f t="shared" si="16"/>
        <v>0</v>
      </c>
      <c r="B1091" s="106" t="s">
        <v>1098</v>
      </c>
      <c r="C1091" s="95" t="s">
        <v>2537</v>
      </c>
      <c r="D1091" s="106">
        <v>12</v>
      </c>
      <c r="E1091" s="107">
        <v>1</v>
      </c>
      <c r="F1091" s="107" t="s">
        <v>2959</v>
      </c>
      <c r="G1091" s="107" t="s">
        <v>2966</v>
      </c>
      <c r="H1091" s="107" t="s">
        <v>2984</v>
      </c>
      <c r="I1091" s="107" t="s">
        <v>2997</v>
      </c>
      <c r="J1091" s="107" t="s">
        <v>2997</v>
      </c>
      <c r="K1091" s="107" t="s">
        <v>2997</v>
      </c>
      <c r="L1091" s="107">
        <v>116.87</v>
      </c>
      <c r="M1091" s="107">
        <v>4</v>
      </c>
    </row>
    <row r="1092" spans="1:13" x14ac:dyDescent="0.3">
      <c r="A1092" s="95">
        <f t="shared" si="16"/>
        <v>0</v>
      </c>
      <c r="B1092" s="106" t="s">
        <v>1099</v>
      </c>
      <c r="C1092" s="95" t="s">
        <v>2538</v>
      </c>
      <c r="D1092" s="106">
        <v>3</v>
      </c>
      <c r="E1092" s="107">
        <v>1</v>
      </c>
      <c r="F1092" s="107" t="s">
        <v>2959</v>
      </c>
      <c r="G1092" s="107" t="s">
        <v>2964</v>
      </c>
      <c r="H1092" s="107" t="s">
        <v>2987</v>
      </c>
      <c r="I1092" s="107" t="s">
        <v>2997</v>
      </c>
      <c r="J1092" s="107" t="s">
        <v>2996</v>
      </c>
      <c r="K1092" s="107" t="s">
        <v>2996</v>
      </c>
      <c r="L1092" s="107">
        <v>53.67</v>
      </c>
      <c r="M1092" s="107"/>
    </row>
    <row r="1093" spans="1:13" x14ac:dyDescent="0.3">
      <c r="A1093" s="95">
        <f t="shared" si="16"/>
        <v>0</v>
      </c>
      <c r="B1093" s="106" t="s">
        <v>1100</v>
      </c>
      <c r="C1093" s="95" t="s">
        <v>2539</v>
      </c>
      <c r="D1093" s="106">
        <v>12</v>
      </c>
      <c r="E1093" s="107">
        <v>1</v>
      </c>
      <c r="F1093" s="107" t="s">
        <v>2959</v>
      </c>
      <c r="G1093" s="107" t="s">
        <v>2961</v>
      </c>
      <c r="H1093" s="107" t="s">
        <v>2971</v>
      </c>
      <c r="I1093" s="107" t="s">
        <v>2997</v>
      </c>
      <c r="J1093" s="107" t="s">
        <v>2997</v>
      </c>
      <c r="K1093" s="107" t="s">
        <v>2997</v>
      </c>
      <c r="L1093" s="107">
        <v>9.1300000000000008</v>
      </c>
      <c r="M1093" s="107"/>
    </row>
    <row r="1094" spans="1:13" x14ac:dyDescent="0.3">
      <c r="A1094" s="95">
        <f t="shared" si="16"/>
        <v>0</v>
      </c>
      <c r="B1094" s="106" t="s">
        <v>1101</v>
      </c>
      <c r="C1094" s="95" t="s">
        <v>2540</v>
      </c>
      <c r="D1094" s="106">
        <v>12</v>
      </c>
      <c r="E1094" s="107">
        <v>1</v>
      </c>
      <c r="F1094" s="107" t="s">
        <v>2959</v>
      </c>
      <c r="G1094" s="107" t="s">
        <v>2966</v>
      </c>
      <c r="H1094" s="107" t="s">
        <v>2984</v>
      </c>
      <c r="I1094" s="107" t="s">
        <v>2997</v>
      </c>
      <c r="J1094" s="107" t="s">
        <v>2997</v>
      </c>
      <c r="K1094" s="107" t="s">
        <v>2996</v>
      </c>
      <c r="L1094" s="107">
        <v>58.8</v>
      </c>
      <c r="M1094" s="107"/>
    </row>
    <row r="1095" spans="1:13" x14ac:dyDescent="0.3">
      <c r="A1095" s="95">
        <f t="shared" si="16"/>
        <v>0</v>
      </c>
      <c r="B1095" s="106" t="s">
        <v>1102</v>
      </c>
      <c r="C1095" s="95" t="s">
        <v>2541</v>
      </c>
      <c r="D1095" s="106">
        <v>12</v>
      </c>
      <c r="E1095" s="107">
        <v>1</v>
      </c>
      <c r="F1095" s="107" t="s">
        <v>2959</v>
      </c>
      <c r="G1095" s="107" t="s">
        <v>2964</v>
      </c>
      <c r="H1095" s="107" t="s">
        <v>2976</v>
      </c>
      <c r="I1095" s="107" t="s">
        <v>2997</v>
      </c>
      <c r="J1095" s="107" t="s">
        <v>2996</v>
      </c>
      <c r="K1095" s="107" t="s">
        <v>2996</v>
      </c>
      <c r="L1095" s="107">
        <v>18.7</v>
      </c>
      <c r="M1095" s="107"/>
    </row>
    <row r="1096" spans="1:13" x14ac:dyDescent="0.3">
      <c r="A1096" s="95">
        <f t="shared" si="16"/>
        <v>0</v>
      </c>
      <c r="B1096" s="106" t="s">
        <v>1103</v>
      </c>
      <c r="C1096" s="95" t="s">
        <v>2542</v>
      </c>
      <c r="D1096" s="106">
        <v>12</v>
      </c>
      <c r="E1096" s="107">
        <v>1</v>
      </c>
      <c r="F1096" s="107" t="s">
        <v>2959</v>
      </c>
      <c r="G1096" s="107" t="s">
        <v>2966</v>
      </c>
      <c r="H1096" s="107" t="s">
        <v>2978</v>
      </c>
      <c r="I1096" s="107" t="s">
        <v>2996</v>
      </c>
      <c r="J1096" s="107" t="s">
        <v>2996</v>
      </c>
      <c r="K1096" s="107" t="s">
        <v>2996</v>
      </c>
      <c r="L1096" s="107">
        <v>55.91</v>
      </c>
      <c r="M1096" s="107"/>
    </row>
    <row r="1097" spans="1:13" x14ac:dyDescent="0.3">
      <c r="A1097" s="95">
        <f t="shared" si="16"/>
        <v>0</v>
      </c>
      <c r="B1097" s="106" t="s">
        <v>1104</v>
      </c>
      <c r="C1097" s="95" t="s">
        <v>2543</v>
      </c>
      <c r="D1097" s="106">
        <v>12</v>
      </c>
      <c r="E1097" s="107">
        <v>1</v>
      </c>
      <c r="F1097" s="107" t="s">
        <v>2959</v>
      </c>
      <c r="G1097" s="107" t="s">
        <v>2964</v>
      </c>
      <c r="H1097" s="107" t="s">
        <v>2976</v>
      </c>
      <c r="I1097" s="107" t="s">
        <v>2997</v>
      </c>
      <c r="J1097" s="107" t="s">
        <v>2997</v>
      </c>
      <c r="K1097" s="107" t="s">
        <v>2996</v>
      </c>
      <c r="L1097" s="107">
        <v>71.25</v>
      </c>
      <c r="M1097" s="107"/>
    </row>
    <row r="1098" spans="1:13" x14ac:dyDescent="0.3">
      <c r="A1098" s="95">
        <f t="shared" si="16"/>
        <v>0</v>
      </c>
      <c r="B1098" s="106" t="s">
        <v>1105</v>
      </c>
      <c r="C1098" s="95" t="s">
        <v>2544</v>
      </c>
      <c r="D1098" s="106">
        <v>12</v>
      </c>
      <c r="E1098" s="107">
        <v>1</v>
      </c>
      <c r="F1098" s="107" t="s">
        <v>2959</v>
      </c>
      <c r="G1098" s="107" t="s">
        <v>2966</v>
      </c>
      <c r="H1098" s="107" t="s">
        <v>2980</v>
      </c>
      <c r="I1098" s="107" t="s">
        <v>2997</v>
      </c>
      <c r="J1098" s="107" t="s">
        <v>2997</v>
      </c>
      <c r="K1098" s="107" t="s">
        <v>2996</v>
      </c>
      <c r="L1098" s="107">
        <v>256.41000000000003</v>
      </c>
      <c r="M1098" s="107">
        <v>4</v>
      </c>
    </row>
    <row r="1099" spans="1:13" x14ac:dyDescent="0.3">
      <c r="A1099" s="95">
        <f t="shared" si="16"/>
        <v>0</v>
      </c>
      <c r="B1099" s="106" t="s">
        <v>1106</v>
      </c>
      <c r="C1099" s="95" t="s">
        <v>2545</v>
      </c>
      <c r="D1099" s="106">
        <v>12</v>
      </c>
      <c r="E1099" s="107">
        <v>1</v>
      </c>
      <c r="F1099" s="107" t="s">
        <v>2959</v>
      </c>
      <c r="G1099" s="107" t="s">
        <v>2966</v>
      </c>
      <c r="H1099" s="107" t="s">
        <v>2978</v>
      </c>
      <c r="I1099" s="107" t="s">
        <v>2997</v>
      </c>
      <c r="J1099" s="107" t="s">
        <v>2997</v>
      </c>
      <c r="K1099" s="107" t="s">
        <v>2997</v>
      </c>
      <c r="L1099" s="107">
        <v>24.94</v>
      </c>
      <c r="M1099" s="107"/>
    </row>
    <row r="1100" spans="1:13" x14ac:dyDescent="0.3">
      <c r="A1100" s="95">
        <f t="shared" si="16"/>
        <v>0</v>
      </c>
      <c r="B1100" s="106" t="s">
        <v>1107</v>
      </c>
      <c r="C1100" s="95" t="s">
        <v>2546</v>
      </c>
      <c r="D1100" s="106">
        <v>12</v>
      </c>
      <c r="E1100" s="107">
        <v>1</v>
      </c>
      <c r="F1100" s="107" t="s">
        <v>2959</v>
      </c>
      <c r="G1100" s="107" t="s">
        <v>2960</v>
      </c>
      <c r="H1100" s="107" t="s">
        <v>2970</v>
      </c>
      <c r="I1100" s="107" t="s">
        <v>2996</v>
      </c>
      <c r="J1100" s="107" t="s">
        <v>2996</v>
      </c>
      <c r="K1100" s="107" t="s">
        <v>2996</v>
      </c>
      <c r="L1100" s="107">
        <v>78.63</v>
      </c>
      <c r="M1100" s="107"/>
    </row>
    <row r="1101" spans="1:13" x14ac:dyDescent="0.3">
      <c r="A1101" s="95">
        <f t="shared" si="16"/>
        <v>0</v>
      </c>
      <c r="B1101" s="106" t="s">
        <v>1108</v>
      </c>
      <c r="C1101" s="95" t="s">
        <v>2547</v>
      </c>
      <c r="D1101" s="106">
        <v>12</v>
      </c>
      <c r="E1101" s="107">
        <v>1</v>
      </c>
      <c r="F1101" s="107" t="s">
        <v>2959</v>
      </c>
      <c r="G1101" s="107" t="s">
        <v>2961</v>
      </c>
      <c r="H1101" s="107" t="s">
        <v>2981</v>
      </c>
      <c r="I1101" s="107" t="s">
        <v>2997</v>
      </c>
      <c r="J1101" s="107" t="s">
        <v>2997</v>
      </c>
      <c r="K1101" s="107" t="s">
        <v>2997</v>
      </c>
      <c r="L1101" s="107">
        <v>105.06</v>
      </c>
      <c r="M1101" s="107">
        <v>1</v>
      </c>
    </row>
    <row r="1102" spans="1:13" x14ac:dyDescent="0.3">
      <c r="A1102" s="95">
        <f t="shared" si="16"/>
        <v>0</v>
      </c>
      <c r="B1102" s="106" t="s">
        <v>1109</v>
      </c>
      <c r="C1102" s="95" t="s">
        <v>2548</v>
      </c>
      <c r="D1102" s="106">
        <v>12</v>
      </c>
      <c r="E1102" s="107">
        <v>1</v>
      </c>
      <c r="F1102" s="107" t="s">
        <v>2959</v>
      </c>
      <c r="G1102" s="107" t="s">
        <v>2966</v>
      </c>
      <c r="H1102" s="107" t="s">
        <v>2984</v>
      </c>
      <c r="I1102" s="107" t="s">
        <v>2997</v>
      </c>
      <c r="J1102" s="107" t="s">
        <v>2997</v>
      </c>
      <c r="K1102" s="107" t="s">
        <v>2996</v>
      </c>
      <c r="L1102" s="107">
        <v>142.80000000000001</v>
      </c>
      <c r="M1102" s="107"/>
    </row>
    <row r="1103" spans="1:13" x14ac:dyDescent="0.3">
      <c r="A1103" s="95">
        <f t="shared" ref="A1103:A1166" si="17">IF(AND(E1103=1,J1103=K1103,M1103&gt;6),1,0)</f>
        <v>0</v>
      </c>
      <c r="B1103" s="106" t="s">
        <v>1110</v>
      </c>
      <c r="C1103" s="95" t="s">
        <v>2549</v>
      </c>
      <c r="D1103" s="106">
        <v>12</v>
      </c>
      <c r="E1103" s="107">
        <v>1</v>
      </c>
      <c r="F1103" s="107" t="s">
        <v>2959</v>
      </c>
      <c r="G1103" s="107" t="s">
        <v>2966</v>
      </c>
      <c r="H1103" s="107" t="s">
        <v>2985</v>
      </c>
      <c r="I1103" s="107" t="s">
        <v>2997</v>
      </c>
      <c r="J1103" s="107" t="s">
        <v>2997</v>
      </c>
      <c r="K1103" s="107" t="s">
        <v>2996</v>
      </c>
      <c r="L1103" s="107">
        <v>33.39</v>
      </c>
      <c r="M1103" s="107"/>
    </row>
    <row r="1104" spans="1:13" x14ac:dyDescent="0.3">
      <c r="A1104" s="95">
        <f t="shared" si="17"/>
        <v>0</v>
      </c>
      <c r="B1104" s="106" t="s">
        <v>1111</v>
      </c>
      <c r="C1104" s="95" t="s">
        <v>2550</v>
      </c>
      <c r="D1104" s="106">
        <v>12</v>
      </c>
      <c r="E1104" s="107">
        <v>1</v>
      </c>
      <c r="F1104" s="107" t="s">
        <v>2959</v>
      </c>
      <c r="G1104" s="107" t="s">
        <v>2964</v>
      </c>
      <c r="H1104" s="107" t="s">
        <v>2976</v>
      </c>
      <c r="I1104" s="107" t="s">
        <v>2996</v>
      </c>
      <c r="J1104" s="107" t="s">
        <v>2996</v>
      </c>
      <c r="K1104" s="107" t="s">
        <v>2996</v>
      </c>
      <c r="L1104" s="107">
        <v>25.77</v>
      </c>
      <c r="M1104" s="107"/>
    </row>
    <row r="1105" spans="1:13" x14ac:dyDescent="0.3">
      <c r="A1105" s="95">
        <f t="shared" si="17"/>
        <v>0</v>
      </c>
      <c r="B1105" s="106" t="s">
        <v>1112</v>
      </c>
      <c r="C1105" s="95" t="s">
        <v>2551</v>
      </c>
      <c r="D1105" s="106">
        <v>12</v>
      </c>
      <c r="E1105" s="107">
        <v>1</v>
      </c>
      <c r="F1105" s="107" t="s">
        <v>2959</v>
      </c>
      <c r="G1105" s="107" t="s">
        <v>2966</v>
      </c>
      <c r="H1105" s="107" t="s">
        <v>2978</v>
      </c>
      <c r="I1105" s="107" t="s">
        <v>2997</v>
      </c>
      <c r="J1105" s="107" t="s">
        <v>2997</v>
      </c>
      <c r="K1105" s="107" t="s">
        <v>2996</v>
      </c>
      <c r="L1105" s="107">
        <v>23.46</v>
      </c>
      <c r="M1105" s="107"/>
    </row>
    <row r="1106" spans="1:13" x14ac:dyDescent="0.3">
      <c r="A1106" s="95">
        <f t="shared" si="17"/>
        <v>0</v>
      </c>
      <c r="B1106" s="106" t="s">
        <v>1113</v>
      </c>
      <c r="C1106" s="95" t="s">
        <v>2552</v>
      </c>
      <c r="D1106" s="106">
        <v>12</v>
      </c>
      <c r="E1106" s="107">
        <v>1</v>
      </c>
      <c r="F1106" s="107" t="s">
        <v>2959</v>
      </c>
      <c r="G1106" s="107" t="s">
        <v>2960</v>
      </c>
      <c r="H1106" s="107" t="s">
        <v>2983</v>
      </c>
      <c r="I1106" s="107" t="s">
        <v>2996</v>
      </c>
      <c r="J1106" s="107" t="s">
        <v>2996</v>
      </c>
      <c r="K1106" s="107" t="s">
        <v>2996</v>
      </c>
      <c r="L1106" s="107">
        <v>295.02</v>
      </c>
      <c r="M1106" s="107">
        <v>5</v>
      </c>
    </row>
    <row r="1107" spans="1:13" x14ac:dyDescent="0.3">
      <c r="A1107" s="95">
        <f t="shared" si="17"/>
        <v>1</v>
      </c>
      <c r="B1107" s="106" t="s">
        <v>1114</v>
      </c>
      <c r="C1107" s="95" t="s">
        <v>2553</v>
      </c>
      <c r="D1107" s="106">
        <v>12</v>
      </c>
      <c r="E1107" s="107">
        <v>1</v>
      </c>
      <c r="F1107" s="107" t="s">
        <v>2958</v>
      </c>
      <c r="G1107" s="107" t="s">
        <v>2962</v>
      </c>
      <c r="H1107" s="107" t="s">
        <v>2986</v>
      </c>
      <c r="I1107" s="107" t="s">
        <v>2997</v>
      </c>
      <c r="J1107" s="107" t="s">
        <v>2997</v>
      </c>
      <c r="K1107" s="107" t="s">
        <v>2997</v>
      </c>
      <c r="L1107" s="107">
        <v>17829.900000000001</v>
      </c>
      <c r="M1107" s="107">
        <v>25</v>
      </c>
    </row>
    <row r="1108" spans="1:13" x14ac:dyDescent="0.3">
      <c r="A1108" s="95">
        <f t="shared" si="17"/>
        <v>0</v>
      </c>
      <c r="B1108" s="106" t="s">
        <v>1115</v>
      </c>
      <c r="C1108" s="95" t="s">
        <v>2554</v>
      </c>
      <c r="D1108" s="106">
        <v>12</v>
      </c>
      <c r="E1108" s="107">
        <v>1</v>
      </c>
      <c r="F1108" s="107" t="s">
        <v>2959</v>
      </c>
      <c r="G1108" s="107" t="s">
        <v>2966</v>
      </c>
      <c r="H1108" s="107" t="s">
        <v>2977</v>
      </c>
      <c r="I1108" s="107" t="s">
        <v>2997</v>
      </c>
      <c r="J1108" s="107" t="s">
        <v>2997</v>
      </c>
      <c r="K1108" s="107" t="s">
        <v>2996</v>
      </c>
      <c r="L1108" s="107">
        <v>16.55</v>
      </c>
      <c r="M1108" s="107"/>
    </row>
    <row r="1109" spans="1:13" x14ac:dyDescent="0.3">
      <c r="A1109" s="95">
        <f t="shared" si="17"/>
        <v>0</v>
      </c>
      <c r="B1109" s="106" t="s">
        <v>1116</v>
      </c>
      <c r="C1109" s="95" t="s">
        <v>2555</v>
      </c>
      <c r="D1109" s="106">
        <v>12</v>
      </c>
      <c r="E1109" s="107">
        <v>1</v>
      </c>
      <c r="F1109" s="107" t="s">
        <v>2959</v>
      </c>
      <c r="G1109" s="107" t="s">
        <v>2961</v>
      </c>
      <c r="H1109" s="107" t="s">
        <v>2972</v>
      </c>
      <c r="I1109" s="107" t="s">
        <v>2996</v>
      </c>
      <c r="J1109" s="107" t="s">
        <v>2996</v>
      </c>
      <c r="K1109" s="107" t="s">
        <v>2996</v>
      </c>
      <c r="L1109" s="107">
        <v>53.32</v>
      </c>
      <c r="M1109" s="107">
        <v>1</v>
      </c>
    </row>
    <row r="1110" spans="1:13" x14ac:dyDescent="0.3">
      <c r="A1110" s="95">
        <f t="shared" si="17"/>
        <v>0</v>
      </c>
      <c r="B1110" s="106" t="s">
        <v>1117</v>
      </c>
      <c r="C1110" s="95" t="s">
        <v>2556</v>
      </c>
      <c r="D1110" s="106">
        <v>12</v>
      </c>
      <c r="E1110" s="107">
        <v>1</v>
      </c>
      <c r="F1110" s="107" t="s">
        <v>2959</v>
      </c>
      <c r="G1110" s="107" t="s">
        <v>2964</v>
      </c>
      <c r="H1110" s="107" t="s">
        <v>2976</v>
      </c>
      <c r="I1110" s="107" t="s">
        <v>2997</v>
      </c>
      <c r="J1110" s="107" t="s">
        <v>2997</v>
      </c>
      <c r="K1110" s="107" t="s">
        <v>2997</v>
      </c>
      <c r="L1110" s="107">
        <v>1030.58</v>
      </c>
      <c r="M1110" s="107">
        <v>6</v>
      </c>
    </row>
    <row r="1111" spans="1:13" x14ac:dyDescent="0.3">
      <c r="A1111" s="95">
        <f t="shared" si="17"/>
        <v>0</v>
      </c>
      <c r="B1111" s="106" t="s">
        <v>1118</v>
      </c>
      <c r="C1111" s="95" t="s">
        <v>2557</v>
      </c>
      <c r="D1111" s="106">
        <v>12</v>
      </c>
      <c r="E1111" s="107">
        <v>1</v>
      </c>
      <c r="F1111" s="107" t="s">
        <v>2959</v>
      </c>
      <c r="G1111" s="107" t="s">
        <v>2966</v>
      </c>
      <c r="H1111" s="107" t="s">
        <v>2980</v>
      </c>
      <c r="I1111" s="107" t="s">
        <v>2997</v>
      </c>
      <c r="J1111" s="107" t="s">
        <v>2997</v>
      </c>
      <c r="K1111" s="107" t="s">
        <v>2997</v>
      </c>
      <c r="L1111" s="107">
        <v>18.12</v>
      </c>
      <c r="M1111" s="107"/>
    </row>
    <row r="1112" spans="1:13" x14ac:dyDescent="0.3">
      <c r="A1112" s="95">
        <f t="shared" si="17"/>
        <v>0</v>
      </c>
      <c r="B1112" s="106" t="s">
        <v>1119</v>
      </c>
      <c r="C1112" s="95" t="s">
        <v>2558</v>
      </c>
      <c r="D1112" s="106">
        <v>12</v>
      </c>
      <c r="E1112" s="107">
        <v>1</v>
      </c>
      <c r="F1112" s="107" t="s">
        <v>2959</v>
      </c>
      <c r="G1112" s="107" t="s">
        <v>2966</v>
      </c>
      <c r="H1112" s="107" t="s">
        <v>2984</v>
      </c>
      <c r="I1112" s="107" t="s">
        <v>2997</v>
      </c>
      <c r="J1112" s="107" t="s">
        <v>2997</v>
      </c>
      <c r="K1112" s="107" t="s">
        <v>2996</v>
      </c>
      <c r="L1112" s="107">
        <v>38.5</v>
      </c>
      <c r="M1112" s="107"/>
    </row>
    <row r="1113" spans="1:13" x14ac:dyDescent="0.3">
      <c r="A1113" s="95">
        <f t="shared" si="17"/>
        <v>0</v>
      </c>
      <c r="B1113" s="106" t="s">
        <v>1120</v>
      </c>
      <c r="C1113" s="95" t="s">
        <v>2559</v>
      </c>
      <c r="D1113" s="106">
        <v>12</v>
      </c>
      <c r="E1113" s="107">
        <v>1</v>
      </c>
      <c r="F1113" s="107" t="s">
        <v>2959</v>
      </c>
      <c r="G1113" s="107" t="s">
        <v>2966</v>
      </c>
      <c r="H1113" s="107" t="s">
        <v>2980</v>
      </c>
      <c r="I1113" s="107" t="s">
        <v>2997</v>
      </c>
      <c r="J1113" s="107" t="s">
        <v>2997</v>
      </c>
      <c r="K1113" s="107" t="s">
        <v>2997</v>
      </c>
      <c r="L1113" s="107">
        <v>97.71</v>
      </c>
      <c r="M1113" s="107">
        <v>1</v>
      </c>
    </row>
    <row r="1114" spans="1:13" x14ac:dyDescent="0.3">
      <c r="A1114" s="95">
        <f t="shared" si="17"/>
        <v>0</v>
      </c>
      <c r="B1114" s="106" t="s">
        <v>1121</v>
      </c>
      <c r="C1114" s="95" t="s">
        <v>2560</v>
      </c>
      <c r="D1114" s="106">
        <v>12</v>
      </c>
      <c r="E1114" s="107">
        <v>1</v>
      </c>
      <c r="F1114" s="107" t="s">
        <v>2959</v>
      </c>
      <c r="G1114" s="107" t="s">
        <v>2966</v>
      </c>
      <c r="H1114" s="107" t="s">
        <v>2980</v>
      </c>
      <c r="I1114" s="107" t="s">
        <v>2997</v>
      </c>
      <c r="J1114" s="107" t="s">
        <v>2997</v>
      </c>
      <c r="K1114" s="107" t="s">
        <v>2996</v>
      </c>
      <c r="L1114" s="107">
        <v>21.25</v>
      </c>
      <c r="M1114" s="107"/>
    </row>
    <row r="1115" spans="1:13" x14ac:dyDescent="0.3">
      <c r="A1115" s="95">
        <f t="shared" si="17"/>
        <v>0</v>
      </c>
      <c r="B1115" s="106" t="s">
        <v>1122</v>
      </c>
      <c r="C1115" s="95" t="s">
        <v>2561</v>
      </c>
      <c r="D1115" s="106">
        <v>12</v>
      </c>
      <c r="E1115" s="107">
        <v>1</v>
      </c>
      <c r="F1115" s="107" t="s">
        <v>2959</v>
      </c>
      <c r="G1115" s="107" t="s">
        <v>2966</v>
      </c>
      <c r="H1115" s="107" t="s">
        <v>2984</v>
      </c>
      <c r="I1115" s="107" t="s">
        <v>2996</v>
      </c>
      <c r="J1115" s="107" t="s">
        <v>2997</v>
      </c>
      <c r="K1115" s="107" t="s">
        <v>2996</v>
      </c>
      <c r="L1115" s="107">
        <v>2.4700000000000002</v>
      </c>
      <c r="M1115" s="107"/>
    </row>
    <row r="1116" spans="1:13" x14ac:dyDescent="0.3">
      <c r="A1116" s="95">
        <f t="shared" si="17"/>
        <v>0</v>
      </c>
      <c r="B1116" s="106" t="s">
        <v>1123</v>
      </c>
      <c r="C1116" s="95" t="s">
        <v>2562</v>
      </c>
      <c r="D1116" s="106">
        <v>12</v>
      </c>
      <c r="E1116" s="107">
        <v>1</v>
      </c>
      <c r="F1116" s="107" t="s">
        <v>2959</v>
      </c>
      <c r="G1116" s="107" t="s">
        <v>2961</v>
      </c>
      <c r="H1116" s="107" t="s">
        <v>2991</v>
      </c>
      <c r="I1116" s="107" t="s">
        <v>2997</v>
      </c>
      <c r="J1116" s="107" t="s">
        <v>2997</v>
      </c>
      <c r="K1116" s="107" t="s">
        <v>2997</v>
      </c>
      <c r="L1116" s="107">
        <v>82.87</v>
      </c>
      <c r="M1116" s="107"/>
    </row>
    <row r="1117" spans="1:13" x14ac:dyDescent="0.3">
      <c r="A1117" s="95">
        <f t="shared" si="17"/>
        <v>1</v>
      </c>
      <c r="B1117" s="106" t="s">
        <v>3155</v>
      </c>
      <c r="C1117" s="95" t="s">
        <v>3356</v>
      </c>
      <c r="D1117" s="106">
        <v>12</v>
      </c>
      <c r="E1117" s="107">
        <v>1</v>
      </c>
      <c r="F1117" s="107" t="s">
        <v>2958</v>
      </c>
      <c r="G1117" s="107" t="s">
        <v>2961</v>
      </c>
      <c r="H1117" s="107" t="s">
        <v>2982</v>
      </c>
      <c r="I1117" s="107" t="s">
        <v>2996</v>
      </c>
      <c r="J1117" s="107" t="s">
        <v>2996</v>
      </c>
      <c r="K1117" s="107" t="s">
        <v>2996</v>
      </c>
      <c r="L1117" s="107">
        <v>1842</v>
      </c>
      <c r="M1117" s="107">
        <v>17</v>
      </c>
    </row>
    <row r="1118" spans="1:13" x14ac:dyDescent="0.3">
      <c r="A1118" s="95">
        <f t="shared" si="17"/>
        <v>0</v>
      </c>
      <c r="B1118" s="106" t="s">
        <v>1124</v>
      </c>
      <c r="C1118" s="95" t="s">
        <v>2563</v>
      </c>
      <c r="D1118" s="106">
        <v>12</v>
      </c>
      <c r="E1118" s="107">
        <v>1</v>
      </c>
      <c r="F1118" s="107" t="s">
        <v>2959</v>
      </c>
      <c r="G1118" s="107" t="s">
        <v>2966</v>
      </c>
      <c r="H1118" s="107" t="s">
        <v>2978</v>
      </c>
      <c r="I1118" s="107" t="s">
        <v>2997</v>
      </c>
      <c r="J1118" s="107" t="s">
        <v>2997</v>
      </c>
      <c r="K1118" s="107" t="s">
        <v>2996</v>
      </c>
      <c r="L1118" s="107">
        <v>58.4</v>
      </c>
      <c r="M1118" s="107"/>
    </row>
    <row r="1119" spans="1:13" x14ac:dyDescent="0.3">
      <c r="A1119" s="95">
        <f t="shared" si="17"/>
        <v>0</v>
      </c>
      <c r="B1119" s="106" t="s">
        <v>1125</v>
      </c>
      <c r="C1119" s="95" t="s">
        <v>2564</v>
      </c>
      <c r="D1119" s="106">
        <v>12</v>
      </c>
      <c r="E1119" s="107">
        <v>1</v>
      </c>
      <c r="F1119" s="107" t="s">
        <v>2959</v>
      </c>
      <c r="G1119" s="107" t="s">
        <v>2966</v>
      </c>
      <c r="H1119" s="107" t="s">
        <v>2984</v>
      </c>
      <c r="I1119" s="107" t="s">
        <v>2997</v>
      </c>
      <c r="J1119" s="107" t="s">
        <v>2997</v>
      </c>
      <c r="K1119" s="107" t="s">
        <v>2996</v>
      </c>
      <c r="L1119" s="107">
        <v>36.39</v>
      </c>
      <c r="M1119" s="107"/>
    </row>
    <row r="1120" spans="1:13" x14ac:dyDescent="0.3">
      <c r="A1120" s="95">
        <f t="shared" si="17"/>
        <v>0</v>
      </c>
      <c r="B1120" s="106" t="s">
        <v>1126</v>
      </c>
      <c r="C1120" s="95" t="s">
        <v>2565</v>
      </c>
      <c r="D1120" s="106">
        <v>12</v>
      </c>
      <c r="E1120" s="107">
        <v>1</v>
      </c>
      <c r="F1120" s="107" t="s">
        <v>2959</v>
      </c>
      <c r="G1120" s="107" t="s">
        <v>2966</v>
      </c>
      <c r="H1120" s="107" t="s">
        <v>2985</v>
      </c>
      <c r="I1120" s="107" t="s">
        <v>2996</v>
      </c>
      <c r="J1120" s="107" t="s">
        <v>2996</v>
      </c>
      <c r="K1120" s="107" t="s">
        <v>2996</v>
      </c>
      <c r="L1120" s="107">
        <v>33.409999999999997</v>
      </c>
      <c r="M1120" s="107"/>
    </row>
    <row r="1121" spans="1:13" x14ac:dyDescent="0.3">
      <c r="A1121" s="95">
        <f t="shared" si="17"/>
        <v>0</v>
      </c>
      <c r="B1121" s="106" t="s">
        <v>1127</v>
      </c>
      <c r="C1121" s="95" t="s">
        <v>2566</v>
      </c>
      <c r="D1121" s="106">
        <v>12</v>
      </c>
      <c r="E1121" s="107">
        <v>1</v>
      </c>
      <c r="F1121" s="107" t="s">
        <v>2959</v>
      </c>
      <c r="G1121" s="107" t="s">
        <v>2966</v>
      </c>
      <c r="H1121" s="107" t="s">
        <v>2977</v>
      </c>
      <c r="I1121" s="107" t="s">
        <v>2997</v>
      </c>
      <c r="J1121" s="107" t="s">
        <v>2997</v>
      </c>
      <c r="K1121" s="107" t="s">
        <v>2996</v>
      </c>
      <c r="L1121" s="107">
        <v>31.97</v>
      </c>
      <c r="M1121" s="107"/>
    </row>
    <row r="1122" spans="1:13" x14ac:dyDescent="0.3">
      <c r="A1122" s="95">
        <f t="shared" si="17"/>
        <v>0</v>
      </c>
      <c r="B1122" s="106" t="s">
        <v>1128</v>
      </c>
      <c r="C1122" s="95" t="s">
        <v>2567</v>
      </c>
      <c r="D1122" s="106">
        <v>12</v>
      </c>
      <c r="E1122" s="107">
        <v>1</v>
      </c>
      <c r="F1122" s="107" t="s">
        <v>2959</v>
      </c>
      <c r="G1122" s="107" t="s">
        <v>2966</v>
      </c>
      <c r="H1122" s="107" t="s">
        <v>2977</v>
      </c>
      <c r="I1122" s="107" t="s">
        <v>2996</v>
      </c>
      <c r="J1122" s="107" t="s">
        <v>2996</v>
      </c>
      <c r="K1122" s="107" t="s">
        <v>2996</v>
      </c>
      <c r="L1122" s="107">
        <v>23.96</v>
      </c>
      <c r="M1122" s="107"/>
    </row>
    <row r="1123" spans="1:13" x14ac:dyDescent="0.3">
      <c r="A1123" s="95">
        <f t="shared" si="17"/>
        <v>0</v>
      </c>
      <c r="B1123" s="106" t="s">
        <v>1129</v>
      </c>
      <c r="C1123" s="95" t="s">
        <v>2568</v>
      </c>
      <c r="D1123" s="106">
        <v>12</v>
      </c>
      <c r="E1123" s="107">
        <v>1</v>
      </c>
      <c r="F1123" s="107" t="s">
        <v>2959</v>
      </c>
      <c r="G1123" s="107" t="s">
        <v>2965</v>
      </c>
      <c r="H1123" s="107" t="s">
        <v>2965</v>
      </c>
      <c r="I1123" s="107" t="s">
        <v>2996</v>
      </c>
      <c r="J1123" s="107" t="s">
        <v>2997</v>
      </c>
      <c r="K1123" s="107" t="s">
        <v>2997</v>
      </c>
      <c r="L1123" s="107">
        <v>26.24</v>
      </c>
      <c r="M1123" s="107"/>
    </row>
    <row r="1124" spans="1:13" x14ac:dyDescent="0.3">
      <c r="A1124" s="95">
        <f t="shared" si="17"/>
        <v>0</v>
      </c>
      <c r="B1124" s="106" t="s">
        <v>3156</v>
      </c>
      <c r="C1124" s="95" t="s">
        <v>3357</v>
      </c>
      <c r="D1124" s="106">
        <v>12</v>
      </c>
      <c r="E1124" s="107">
        <v>1</v>
      </c>
      <c r="F1124" s="107" t="s">
        <v>2959</v>
      </c>
      <c r="G1124" s="107" t="s">
        <v>2961</v>
      </c>
      <c r="H1124" s="107" t="s">
        <v>2981</v>
      </c>
      <c r="I1124" s="107" t="s">
        <v>2997</v>
      </c>
      <c r="J1124" s="107" t="s">
        <v>2997</v>
      </c>
      <c r="K1124" s="107" t="s">
        <v>2996</v>
      </c>
      <c r="L1124" s="107">
        <v>117.86</v>
      </c>
      <c r="M1124" s="107"/>
    </row>
    <row r="1125" spans="1:13" x14ac:dyDescent="0.3">
      <c r="A1125" s="95">
        <f t="shared" si="17"/>
        <v>0</v>
      </c>
      <c r="B1125" s="106" t="s">
        <v>1130</v>
      </c>
      <c r="C1125" s="95" t="s">
        <v>2569</v>
      </c>
      <c r="D1125" s="106">
        <v>12</v>
      </c>
      <c r="E1125" s="107">
        <v>1</v>
      </c>
      <c r="F1125" s="107" t="s">
        <v>2959</v>
      </c>
      <c r="G1125" s="107" t="s">
        <v>2961</v>
      </c>
      <c r="H1125" s="107" t="s">
        <v>2981</v>
      </c>
      <c r="I1125" s="107" t="s">
        <v>2996</v>
      </c>
      <c r="J1125" s="107" t="s">
        <v>2996</v>
      </c>
      <c r="K1125" s="107" t="s">
        <v>2996</v>
      </c>
      <c r="L1125" s="107">
        <v>26.65</v>
      </c>
      <c r="M1125" s="107"/>
    </row>
    <row r="1126" spans="1:13" x14ac:dyDescent="0.3">
      <c r="A1126" s="95">
        <f t="shared" si="17"/>
        <v>0</v>
      </c>
      <c r="B1126" s="106" t="s">
        <v>1131</v>
      </c>
      <c r="C1126" s="95" t="s">
        <v>2570</v>
      </c>
      <c r="D1126" s="106">
        <v>12</v>
      </c>
      <c r="E1126" s="107">
        <v>1</v>
      </c>
      <c r="F1126" s="107" t="s">
        <v>2958</v>
      </c>
      <c r="G1126" s="107" t="s">
        <v>2965</v>
      </c>
      <c r="H1126" s="107" t="s">
        <v>2965</v>
      </c>
      <c r="I1126" s="107" t="s">
        <v>2996</v>
      </c>
      <c r="J1126" s="107" t="s">
        <v>2996</v>
      </c>
      <c r="K1126" s="107" t="s">
        <v>2996</v>
      </c>
      <c r="L1126" s="107">
        <v>84</v>
      </c>
      <c r="M1126" s="107">
        <v>2</v>
      </c>
    </row>
    <row r="1127" spans="1:13" x14ac:dyDescent="0.3">
      <c r="A1127" s="95">
        <f t="shared" si="17"/>
        <v>0</v>
      </c>
      <c r="B1127" s="106" t="s">
        <v>1132</v>
      </c>
      <c r="C1127" s="95" t="s">
        <v>2571</v>
      </c>
      <c r="D1127" s="106">
        <v>12</v>
      </c>
      <c r="E1127" s="107">
        <v>1</v>
      </c>
      <c r="F1127" s="107" t="s">
        <v>2959</v>
      </c>
      <c r="G1127" s="107" t="s">
        <v>2966</v>
      </c>
      <c r="H1127" s="107" t="s">
        <v>2984</v>
      </c>
      <c r="I1127" s="107" t="s">
        <v>2997</v>
      </c>
      <c r="J1127" s="107" t="s">
        <v>2996</v>
      </c>
      <c r="K1127" s="107" t="s">
        <v>2996</v>
      </c>
      <c r="L1127" s="107">
        <v>15.79</v>
      </c>
      <c r="M1127" s="107"/>
    </row>
    <row r="1128" spans="1:13" x14ac:dyDescent="0.3">
      <c r="A1128" s="95">
        <f t="shared" si="17"/>
        <v>0</v>
      </c>
      <c r="B1128" s="106" t="s">
        <v>1133</v>
      </c>
      <c r="C1128" s="95" t="s">
        <v>2572</v>
      </c>
      <c r="D1128" s="106">
        <v>12</v>
      </c>
      <c r="E1128" s="107">
        <v>1</v>
      </c>
      <c r="F1128" s="107" t="s">
        <v>2959</v>
      </c>
      <c r="G1128" s="107" t="s">
        <v>2966</v>
      </c>
      <c r="H1128" s="107" t="s">
        <v>2978</v>
      </c>
      <c r="I1128" s="107" t="s">
        <v>2996</v>
      </c>
      <c r="J1128" s="107" t="s">
        <v>2996</v>
      </c>
      <c r="K1128" s="107" t="s">
        <v>2996</v>
      </c>
      <c r="L1128" s="107">
        <v>176.09</v>
      </c>
      <c r="M1128" s="107">
        <v>2</v>
      </c>
    </row>
    <row r="1129" spans="1:13" x14ac:dyDescent="0.3">
      <c r="A1129" s="95">
        <f t="shared" si="17"/>
        <v>0</v>
      </c>
      <c r="B1129" s="106" t="s">
        <v>1134</v>
      </c>
      <c r="C1129" s="95" t="s">
        <v>2573</v>
      </c>
      <c r="D1129" s="106">
        <v>12</v>
      </c>
      <c r="E1129" s="107">
        <v>1</v>
      </c>
      <c r="F1129" s="107" t="s">
        <v>2959</v>
      </c>
      <c r="G1129" s="107" t="s">
        <v>2966</v>
      </c>
      <c r="H1129" s="107" t="s">
        <v>2984</v>
      </c>
      <c r="I1129" s="107" t="s">
        <v>2997</v>
      </c>
      <c r="J1129" s="107" t="s">
        <v>2997</v>
      </c>
      <c r="K1129" s="107" t="s">
        <v>2997</v>
      </c>
      <c r="L1129" s="107">
        <v>42.14</v>
      </c>
      <c r="M1129" s="107"/>
    </row>
    <row r="1130" spans="1:13" x14ac:dyDescent="0.3">
      <c r="A1130" s="95">
        <f t="shared" si="17"/>
        <v>0</v>
      </c>
      <c r="B1130" s="106" t="s">
        <v>1135</v>
      </c>
      <c r="C1130" s="95" t="s">
        <v>2574</v>
      </c>
      <c r="D1130" s="106">
        <v>12</v>
      </c>
      <c r="E1130" s="107">
        <v>1</v>
      </c>
      <c r="F1130" s="107" t="s">
        <v>2959</v>
      </c>
      <c r="G1130" s="107" t="s">
        <v>2966</v>
      </c>
      <c r="H1130" s="107" t="s">
        <v>2977</v>
      </c>
      <c r="I1130" s="107" t="s">
        <v>2997</v>
      </c>
      <c r="J1130" s="107" t="s">
        <v>2997</v>
      </c>
      <c r="K1130" s="107" t="s">
        <v>2996</v>
      </c>
      <c r="L1130" s="107">
        <v>59.53</v>
      </c>
      <c r="M1130" s="107"/>
    </row>
    <row r="1131" spans="1:13" x14ac:dyDescent="0.3">
      <c r="A1131" s="95">
        <f t="shared" si="17"/>
        <v>0</v>
      </c>
      <c r="B1131" s="106" t="s">
        <v>1136</v>
      </c>
      <c r="C1131" s="95" t="s">
        <v>2575</v>
      </c>
      <c r="D1131" s="106">
        <v>12</v>
      </c>
      <c r="E1131" s="107">
        <v>1</v>
      </c>
      <c r="F1131" s="107" t="s">
        <v>2959</v>
      </c>
      <c r="G1131" s="107" t="s">
        <v>2966</v>
      </c>
      <c r="H1131" s="107" t="s">
        <v>2985</v>
      </c>
      <c r="I1131" s="107" t="s">
        <v>2997</v>
      </c>
      <c r="J1131" s="107" t="s">
        <v>2997</v>
      </c>
      <c r="K1131" s="107" t="s">
        <v>2996</v>
      </c>
      <c r="L1131" s="107">
        <v>47.08</v>
      </c>
      <c r="M1131" s="107"/>
    </row>
    <row r="1132" spans="1:13" x14ac:dyDescent="0.3">
      <c r="A1132" s="95">
        <f t="shared" si="17"/>
        <v>0</v>
      </c>
      <c r="B1132" s="106" t="s">
        <v>1137</v>
      </c>
      <c r="C1132" s="95" t="s">
        <v>2576</v>
      </c>
      <c r="D1132" s="106">
        <v>12</v>
      </c>
      <c r="E1132" s="107">
        <v>1</v>
      </c>
      <c r="F1132" s="107" t="s">
        <v>2958</v>
      </c>
      <c r="G1132" s="107" t="s">
        <v>2965</v>
      </c>
      <c r="H1132" s="107" t="s">
        <v>2965</v>
      </c>
      <c r="I1132" s="107" t="s">
        <v>2997</v>
      </c>
      <c r="J1132" s="107" t="s">
        <v>2997</v>
      </c>
      <c r="K1132" s="107" t="s">
        <v>2996</v>
      </c>
      <c r="L1132" s="107">
        <v>408</v>
      </c>
      <c r="M1132" s="107"/>
    </row>
    <row r="1133" spans="1:13" x14ac:dyDescent="0.3">
      <c r="A1133" s="95">
        <f t="shared" si="17"/>
        <v>0</v>
      </c>
      <c r="B1133" s="106" t="s">
        <v>1138</v>
      </c>
      <c r="C1133" s="95" t="s">
        <v>2577</v>
      </c>
      <c r="D1133" s="106">
        <v>12</v>
      </c>
      <c r="E1133" s="107">
        <v>1</v>
      </c>
      <c r="F1133" s="107" t="s">
        <v>2958</v>
      </c>
      <c r="G1133" s="107" t="s">
        <v>2964</v>
      </c>
      <c r="H1133" s="107" t="s">
        <v>2976</v>
      </c>
      <c r="I1133" s="107" t="s">
        <v>2996</v>
      </c>
      <c r="J1133" s="107" t="s">
        <v>2997</v>
      </c>
      <c r="K1133" s="107" t="s">
        <v>2996</v>
      </c>
      <c r="L1133" s="107">
        <v>37.979999999999997</v>
      </c>
      <c r="M1133" s="107"/>
    </row>
    <row r="1134" spans="1:13" x14ac:dyDescent="0.3">
      <c r="A1134" s="95">
        <f t="shared" si="17"/>
        <v>0</v>
      </c>
      <c r="B1134" s="106" t="s">
        <v>1139</v>
      </c>
      <c r="C1134" s="95" t="s">
        <v>3648</v>
      </c>
      <c r="D1134" s="106">
        <v>12</v>
      </c>
      <c r="E1134" s="107">
        <v>1</v>
      </c>
      <c r="F1134" s="107" t="s">
        <v>2959</v>
      </c>
      <c r="G1134" s="107" t="s">
        <v>2960</v>
      </c>
      <c r="H1134" s="107" t="s">
        <v>2970</v>
      </c>
      <c r="I1134" s="107" t="s">
        <v>2997</v>
      </c>
      <c r="J1134" s="107" t="s">
        <v>2997</v>
      </c>
      <c r="K1134" s="107" t="s">
        <v>2997</v>
      </c>
      <c r="L1134" s="107">
        <v>91.45</v>
      </c>
      <c r="M1134" s="107"/>
    </row>
    <row r="1135" spans="1:13" x14ac:dyDescent="0.3">
      <c r="A1135" s="95">
        <f t="shared" si="17"/>
        <v>0</v>
      </c>
      <c r="B1135" s="106" t="s">
        <v>3157</v>
      </c>
      <c r="C1135" s="95" t="s">
        <v>3358</v>
      </c>
      <c r="D1135" s="106">
        <v>12</v>
      </c>
      <c r="E1135" s="107">
        <v>1</v>
      </c>
      <c r="F1135" s="107" t="s">
        <v>2958</v>
      </c>
      <c r="G1135" s="107" t="s">
        <v>2964</v>
      </c>
      <c r="H1135" s="107" t="s">
        <v>2987</v>
      </c>
      <c r="I1135" s="107" t="s">
        <v>2996</v>
      </c>
      <c r="J1135" s="107" t="s">
        <v>2996</v>
      </c>
      <c r="K1135" s="107" t="s">
        <v>2996</v>
      </c>
      <c r="L1135" s="107">
        <v>118.78</v>
      </c>
      <c r="M1135" s="107"/>
    </row>
    <row r="1136" spans="1:13" x14ac:dyDescent="0.3">
      <c r="A1136" s="95">
        <f t="shared" si="17"/>
        <v>0</v>
      </c>
      <c r="B1136" s="106" t="s">
        <v>3158</v>
      </c>
      <c r="C1136" s="95" t="s">
        <v>3359</v>
      </c>
      <c r="D1136" s="106">
        <v>12</v>
      </c>
      <c r="E1136" s="107">
        <v>1</v>
      </c>
      <c r="F1136" s="107" t="s">
        <v>2958</v>
      </c>
      <c r="G1136" s="107" t="s">
        <v>2964</v>
      </c>
      <c r="H1136" s="107" t="s">
        <v>2987</v>
      </c>
      <c r="I1136" s="107" t="s">
        <v>2996</v>
      </c>
      <c r="J1136" s="107" t="s">
        <v>2996</v>
      </c>
      <c r="K1136" s="107" t="s">
        <v>2996</v>
      </c>
      <c r="L1136" s="107">
        <v>148.6</v>
      </c>
      <c r="M1136" s="107"/>
    </row>
    <row r="1137" spans="1:13" x14ac:dyDescent="0.3">
      <c r="A1137" s="95">
        <f t="shared" si="17"/>
        <v>0</v>
      </c>
      <c r="B1137" s="106" t="s">
        <v>1140</v>
      </c>
      <c r="C1137" s="95" t="s">
        <v>2578</v>
      </c>
      <c r="D1137" s="106">
        <v>12</v>
      </c>
      <c r="E1137" s="107">
        <v>1</v>
      </c>
      <c r="F1137" s="107" t="s">
        <v>2959</v>
      </c>
      <c r="G1137" s="107" t="s">
        <v>2966</v>
      </c>
      <c r="H1137" s="107" t="s">
        <v>2978</v>
      </c>
      <c r="I1137" s="107" t="s">
        <v>2997</v>
      </c>
      <c r="J1137" s="107" t="s">
        <v>2997</v>
      </c>
      <c r="K1137" s="107" t="s">
        <v>2996</v>
      </c>
      <c r="L1137" s="107">
        <v>53.8</v>
      </c>
      <c r="M1137" s="107"/>
    </row>
    <row r="1138" spans="1:13" x14ac:dyDescent="0.3">
      <c r="A1138" s="95">
        <f t="shared" si="17"/>
        <v>0</v>
      </c>
      <c r="B1138" s="106" t="s">
        <v>1141</v>
      </c>
      <c r="C1138" s="95" t="s">
        <v>2579</v>
      </c>
      <c r="D1138" s="106">
        <v>12</v>
      </c>
      <c r="E1138" s="107">
        <v>1</v>
      </c>
      <c r="F1138" s="107" t="s">
        <v>2959</v>
      </c>
      <c r="G1138" s="107" t="s">
        <v>2966</v>
      </c>
      <c r="H1138" s="107" t="s">
        <v>2980</v>
      </c>
      <c r="I1138" s="107" t="s">
        <v>2996</v>
      </c>
      <c r="J1138" s="107" t="s">
        <v>2996</v>
      </c>
      <c r="K1138" s="107" t="s">
        <v>2996</v>
      </c>
      <c r="L1138" s="107">
        <v>67.7</v>
      </c>
      <c r="M1138" s="107"/>
    </row>
    <row r="1139" spans="1:13" x14ac:dyDescent="0.3">
      <c r="A1139" s="95">
        <f t="shared" si="17"/>
        <v>0</v>
      </c>
      <c r="B1139" s="106" t="s">
        <v>1142</v>
      </c>
      <c r="C1139" s="95" t="s">
        <v>2580</v>
      </c>
      <c r="D1139" s="106">
        <v>12</v>
      </c>
      <c r="E1139" s="107">
        <v>1</v>
      </c>
      <c r="F1139" s="107" t="s">
        <v>2959</v>
      </c>
      <c r="G1139" s="107" t="s">
        <v>2960</v>
      </c>
      <c r="H1139" s="107" t="s">
        <v>2983</v>
      </c>
      <c r="I1139" s="107" t="s">
        <v>2997</v>
      </c>
      <c r="J1139" s="107" t="s">
        <v>2997</v>
      </c>
      <c r="K1139" s="107" t="s">
        <v>2996</v>
      </c>
      <c r="L1139" s="107">
        <v>52.67</v>
      </c>
      <c r="M1139" s="107"/>
    </row>
    <row r="1140" spans="1:13" x14ac:dyDescent="0.3">
      <c r="A1140" s="95">
        <f t="shared" si="17"/>
        <v>0</v>
      </c>
      <c r="B1140" s="106" t="s">
        <v>1143</v>
      </c>
      <c r="C1140" s="95" t="s">
        <v>2581</v>
      </c>
      <c r="D1140" s="106">
        <v>12</v>
      </c>
      <c r="E1140" s="107">
        <v>1</v>
      </c>
      <c r="F1140" s="107" t="s">
        <v>2959</v>
      </c>
      <c r="G1140" s="107" t="s">
        <v>2964</v>
      </c>
      <c r="H1140" s="107" t="s">
        <v>2987</v>
      </c>
      <c r="I1140" s="107" t="s">
        <v>2997</v>
      </c>
      <c r="J1140" s="107" t="s">
        <v>2997</v>
      </c>
      <c r="K1140" s="107" t="s">
        <v>2996</v>
      </c>
      <c r="L1140" s="107">
        <v>73.37</v>
      </c>
      <c r="M1140" s="107"/>
    </row>
    <row r="1141" spans="1:13" x14ac:dyDescent="0.3">
      <c r="A1141" s="95">
        <f t="shared" si="17"/>
        <v>0</v>
      </c>
      <c r="B1141" s="106" t="s">
        <v>1144</v>
      </c>
      <c r="C1141" s="95" t="s">
        <v>2582</v>
      </c>
      <c r="D1141" s="106">
        <v>12</v>
      </c>
      <c r="E1141" s="107">
        <v>1</v>
      </c>
      <c r="F1141" s="107" t="s">
        <v>2959</v>
      </c>
      <c r="G1141" s="107" t="s">
        <v>2966</v>
      </c>
      <c r="H1141" s="107" t="s">
        <v>2980</v>
      </c>
      <c r="I1141" s="107" t="s">
        <v>2997</v>
      </c>
      <c r="J1141" s="107" t="s">
        <v>2997</v>
      </c>
      <c r="K1141" s="107" t="s">
        <v>2996</v>
      </c>
      <c r="L1141" s="107">
        <v>40.450000000000003</v>
      </c>
      <c r="M1141" s="107"/>
    </row>
    <row r="1142" spans="1:13" x14ac:dyDescent="0.3">
      <c r="A1142" s="95">
        <f t="shared" si="17"/>
        <v>0</v>
      </c>
      <c r="B1142" s="106" t="s">
        <v>1145</v>
      </c>
      <c r="C1142" s="95" t="s">
        <v>2583</v>
      </c>
      <c r="D1142" s="106">
        <v>12</v>
      </c>
      <c r="E1142" s="107">
        <v>1</v>
      </c>
      <c r="F1142" s="107" t="s">
        <v>2959</v>
      </c>
      <c r="G1142" s="107" t="s">
        <v>2961</v>
      </c>
      <c r="H1142" s="107" t="s">
        <v>2991</v>
      </c>
      <c r="I1142" s="107" t="s">
        <v>2997</v>
      </c>
      <c r="J1142" s="107" t="s">
        <v>2997</v>
      </c>
      <c r="K1142" s="107" t="s">
        <v>2996</v>
      </c>
      <c r="L1142" s="107">
        <v>10.19</v>
      </c>
      <c r="M1142" s="107"/>
    </row>
    <row r="1143" spans="1:13" x14ac:dyDescent="0.3">
      <c r="A1143" s="95">
        <f t="shared" si="17"/>
        <v>0</v>
      </c>
      <c r="B1143" s="106" t="s">
        <v>1146</v>
      </c>
      <c r="C1143" s="95" t="s">
        <v>2584</v>
      </c>
      <c r="D1143" s="106">
        <v>12</v>
      </c>
      <c r="E1143" s="107">
        <v>1</v>
      </c>
      <c r="F1143" s="107" t="s">
        <v>2959</v>
      </c>
      <c r="G1143" s="107" t="s">
        <v>2966</v>
      </c>
      <c r="H1143" s="107" t="s">
        <v>2985</v>
      </c>
      <c r="I1143" s="107" t="s">
        <v>2997</v>
      </c>
      <c r="J1143" s="107" t="s">
        <v>2997</v>
      </c>
      <c r="K1143" s="107" t="s">
        <v>2997</v>
      </c>
      <c r="L1143" s="107">
        <v>164.44</v>
      </c>
      <c r="M1143" s="107">
        <v>5</v>
      </c>
    </row>
    <row r="1144" spans="1:13" x14ac:dyDescent="0.3">
      <c r="A1144" s="95">
        <f t="shared" si="17"/>
        <v>0</v>
      </c>
      <c r="B1144" s="106" t="s">
        <v>1147</v>
      </c>
      <c r="C1144" s="95" t="s">
        <v>2585</v>
      </c>
      <c r="D1144" s="106">
        <v>12</v>
      </c>
      <c r="E1144" s="107">
        <v>1</v>
      </c>
      <c r="F1144" s="107" t="s">
        <v>2959</v>
      </c>
      <c r="G1144" s="107" t="s">
        <v>2965</v>
      </c>
      <c r="H1144" s="107" t="s">
        <v>2965</v>
      </c>
      <c r="I1144" s="107" t="s">
        <v>2996</v>
      </c>
      <c r="J1144" s="107" t="s">
        <v>2996</v>
      </c>
      <c r="K1144" s="107" t="s">
        <v>2996</v>
      </c>
      <c r="L1144" s="107">
        <v>16.93</v>
      </c>
      <c r="M1144" s="107"/>
    </row>
    <row r="1145" spans="1:13" x14ac:dyDescent="0.3">
      <c r="A1145" s="95">
        <f t="shared" si="17"/>
        <v>0</v>
      </c>
      <c r="B1145" s="106" t="s">
        <v>1148</v>
      </c>
      <c r="C1145" s="95" t="s">
        <v>2586</v>
      </c>
      <c r="D1145" s="106">
        <v>12</v>
      </c>
      <c r="E1145" s="107">
        <v>1</v>
      </c>
      <c r="F1145" s="107" t="s">
        <v>2959</v>
      </c>
      <c r="G1145" s="107" t="s">
        <v>2960</v>
      </c>
      <c r="H1145" s="107" t="s">
        <v>2983</v>
      </c>
      <c r="I1145" s="107" t="s">
        <v>2997</v>
      </c>
      <c r="J1145" s="107" t="s">
        <v>2997</v>
      </c>
      <c r="K1145" s="107" t="s">
        <v>2996</v>
      </c>
      <c r="L1145" s="107">
        <v>132.47999999999999</v>
      </c>
      <c r="M1145" s="107"/>
    </row>
    <row r="1146" spans="1:13" x14ac:dyDescent="0.3">
      <c r="A1146" s="95">
        <f t="shared" si="17"/>
        <v>0</v>
      </c>
      <c r="B1146" s="106" t="s">
        <v>1149</v>
      </c>
      <c r="C1146" s="95" t="s">
        <v>2587</v>
      </c>
      <c r="D1146" s="106">
        <v>12</v>
      </c>
      <c r="E1146" s="107">
        <v>1</v>
      </c>
      <c r="F1146" s="107" t="s">
        <v>2959</v>
      </c>
      <c r="G1146" s="107" t="s">
        <v>2961</v>
      </c>
      <c r="H1146" s="107" t="s">
        <v>2981</v>
      </c>
      <c r="I1146" s="107" t="s">
        <v>2996</v>
      </c>
      <c r="J1146" s="107" t="s">
        <v>2996</v>
      </c>
      <c r="K1146" s="107" t="s">
        <v>2996</v>
      </c>
      <c r="L1146" s="107">
        <v>139.06</v>
      </c>
      <c r="M1146" s="107">
        <v>3</v>
      </c>
    </row>
    <row r="1147" spans="1:13" x14ac:dyDescent="0.3">
      <c r="A1147" s="95">
        <f t="shared" si="17"/>
        <v>0</v>
      </c>
      <c r="B1147" s="106" t="s">
        <v>1150</v>
      </c>
      <c r="C1147" s="95" t="s">
        <v>2588</v>
      </c>
      <c r="D1147" s="106">
        <v>3</v>
      </c>
      <c r="E1147" s="107">
        <v>1</v>
      </c>
      <c r="F1147" s="107" t="s">
        <v>2959</v>
      </c>
      <c r="G1147" s="107" t="s">
        <v>2966</v>
      </c>
      <c r="H1147" s="107" t="s">
        <v>2978</v>
      </c>
      <c r="I1147" s="107" t="s">
        <v>2997</v>
      </c>
      <c r="J1147" s="107" t="s">
        <v>2996</v>
      </c>
      <c r="K1147" s="107" t="s">
        <v>2996</v>
      </c>
      <c r="L1147" s="107">
        <v>251.49</v>
      </c>
      <c r="M1147" s="107"/>
    </row>
    <row r="1148" spans="1:13" x14ac:dyDescent="0.3">
      <c r="A1148" s="95">
        <f t="shared" si="17"/>
        <v>0</v>
      </c>
      <c r="B1148" s="106" t="s">
        <v>1151</v>
      </c>
      <c r="C1148" s="95" t="s">
        <v>2589</v>
      </c>
      <c r="D1148" s="106">
        <v>12</v>
      </c>
      <c r="E1148" s="107">
        <v>1</v>
      </c>
      <c r="F1148" s="107" t="s">
        <v>2959</v>
      </c>
      <c r="G1148" s="107" t="s">
        <v>2964</v>
      </c>
      <c r="H1148" s="107" t="s">
        <v>2976</v>
      </c>
      <c r="I1148" s="107" t="s">
        <v>2996</v>
      </c>
      <c r="J1148" s="107" t="s">
        <v>2996</v>
      </c>
      <c r="K1148" s="107" t="s">
        <v>2996</v>
      </c>
      <c r="L1148" s="107">
        <v>66.8</v>
      </c>
      <c r="M1148" s="107"/>
    </row>
    <row r="1149" spans="1:13" x14ac:dyDescent="0.3">
      <c r="A1149" s="95">
        <f t="shared" si="17"/>
        <v>0</v>
      </c>
      <c r="B1149" s="106" t="s">
        <v>1152</v>
      </c>
      <c r="C1149" s="95" t="s">
        <v>2590</v>
      </c>
      <c r="D1149" s="106">
        <v>12</v>
      </c>
      <c r="E1149" s="107">
        <v>1</v>
      </c>
      <c r="F1149" s="107" t="s">
        <v>2959</v>
      </c>
      <c r="G1149" s="107" t="s">
        <v>2965</v>
      </c>
      <c r="H1149" s="107" t="s">
        <v>2965</v>
      </c>
      <c r="I1149" s="107" t="s">
        <v>2997</v>
      </c>
      <c r="J1149" s="107" t="s">
        <v>2997</v>
      </c>
      <c r="K1149" s="107" t="s">
        <v>2997</v>
      </c>
      <c r="L1149" s="107">
        <v>20</v>
      </c>
      <c r="M1149" s="107"/>
    </row>
    <row r="1150" spans="1:13" x14ac:dyDescent="0.3">
      <c r="A1150" s="95">
        <f t="shared" si="17"/>
        <v>0</v>
      </c>
      <c r="B1150" s="106" t="s">
        <v>1153</v>
      </c>
      <c r="C1150" s="95" t="s">
        <v>2591</v>
      </c>
      <c r="D1150" s="106">
        <v>12</v>
      </c>
      <c r="E1150" s="107">
        <v>1</v>
      </c>
      <c r="F1150" s="107" t="s">
        <v>2959</v>
      </c>
      <c r="G1150" s="107" t="s">
        <v>2966</v>
      </c>
      <c r="H1150" s="107" t="s">
        <v>2984</v>
      </c>
      <c r="I1150" s="107" t="s">
        <v>2997</v>
      </c>
      <c r="J1150" s="107" t="s">
        <v>2997</v>
      </c>
      <c r="K1150" s="107" t="s">
        <v>2996</v>
      </c>
      <c r="L1150" s="107">
        <v>18.7</v>
      </c>
      <c r="M1150" s="107"/>
    </row>
    <row r="1151" spans="1:13" x14ac:dyDescent="0.3">
      <c r="A1151" s="95">
        <f t="shared" si="17"/>
        <v>0</v>
      </c>
      <c r="B1151" s="106" t="s">
        <v>1154</v>
      </c>
      <c r="C1151" s="95" t="s">
        <v>2592</v>
      </c>
      <c r="D1151" s="106">
        <v>12</v>
      </c>
      <c r="E1151" s="107">
        <v>1</v>
      </c>
      <c r="F1151" s="107" t="s">
        <v>2959</v>
      </c>
      <c r="G1151" s="107" t="s">
        <v>2964</v>
      </c>
      <c r="H1151" s="107" t="s">
        <v>2976</v>
      </c>
      <c r="I1151" s="107" t="s">
        <v>2997</v>
      </c>
      <c r="J1151" s="107" t="s">
        <v>2997</v>
      </c>
      <c r="K1151" s="107" t="s">
        <v>2996</v>
      </c>
      <c r="L1151" s="107">
        <v>77.59</v>
      </c>
      <c r="M1151" s="107"/>
    </row>
    <row r="1152" spans="1:13" x14ac:dyDescent="0.3">
      <c r="A1152" s="95">
        <f t="shared" si="17"/>
        <v>0</v>
      </c>
      <c r="B1152" s="106" t="s">
        <v>1155</v>
      </c>
      <c r="C1152" s="95" t="s">
        <v>2593</v>
      </c>
      <c r="D1152" s="106">
        <v>12</v>
      </c>
      <c r="E1152" s="107">
        <v>1</v>
      </c>
      <c r="F1152" s="107" t="s">
        <v>2959</v>
      </c>
      <c r="G1152" s="107" t="s">
        <v>2966</v>
      </c>
      <c r="H1152" s="107" t="s">
        <v>2977</v>
      </c>
      <c r="I1152" s="107" t="s">
        <v>2997</v>
      </c>
      <c r="J1152" s="107" t="s">
        <v>2997</v>
      </c>
      <c r="K1152" s="107" t="s">
        <v>2996</v>
      </c>
      <c r="L1152" s="107">
        <v>52.58</v>
      </c>
      <c r="M1152" s="107"/>
    </row>
    <row r="1153" spans="1:13" x14ac:dyDescent="0.3">
      <c r="A1153" s="95">
        <f t="shared" si="17"/>
        <v>0</v>
      </c>
      <c r="B1153" s="106" t="s">
        <v>1156</v>
      </c>
      <c r="C1153" s="95" t="s">
        <v>2594</v>
      </c>
      <c r="D1153" s="106">
        <v>12</v>
      </c>
      <c r="E1153" s="107">
        <v>1</v>
      </c>
      <c r="F1153" s="107" t="s">
        <v>2959</v>
      </c>
      <c r="G1153" s="107" t="s">
        <v>2960</v>
      </c>
      <c r="H1153" s="107" t="s">
        <v>2970</v>
      </c>
      <c r="I1153" s="107" t="s">
        <v>2997</v>
      </c>
      <c r="J1153" s="107" t="s">
        <v>2997</v>
      </c>
      <c r="K1153" s="107" t="s">
        <v>2997</v>
      </c>
      <c r="L1153" s="107">
        <v>434.76</v>
      </c>
      <c r="M1153" s="107">
        <v>1</v>
      </c>
    </row>
    <row r="1154" spans="1:13" x14ac:dyDescent="0.3">
      <c r="A1154" s="95">
        <f t="shared" si="17"/>
        <v>0</v>
      </c>
      <c r="B1154" s="106" t="s">
        <v>1157</v>
      </c>
      <c r="C1154" s="95" t="s">
        <v>2595</v>
      </c>
      <c r="D1154" s="106">
        <v>12</v>
      </c>
      <c r="E1154" s="107">
        <v>1</v>
      </c>
      <c r="F1154" s="107" t="s">
        <v>2959</v>
      </c>
      <c r="G1154" s="107" t="s">
        <v>2966</v>
      </c>
      <c r="H1154" s="107" t="s">
        <v>2984</v>
      </c>
      <c r="I1154" s="107" t="s">
        <v>2997</v>
      </c>
      <c r="J1154" s="107" t="s">
        <v>2997</v>
      </c>
      <c r="K1154" s="107" t="s">
        <v>2997</v>
      </c>
      <c r="L1154" s="107">
        <v>436</v>
      </c>
      <c r="M1154" s="107">
        <v>4</v>
      </c>
    </row>
    <row r="1155" spans="1:13" x14ac:dyDescent="0.3">
      <c r="A1155" s="95">
        <f t="shared" si="17"/>
        <v>0</v>
      </c>
      <c r="B1155" s="106" t="s">
        <v>1158</v>
      </c>
      <c r="C1155" s="95" t="s">
        <v>2596</v>
      </c>
      <c r="D1155" s="106">
        <v>12</v>
      </c>
      <c r="E1155" s="107">
        <v>1</v>
      </c>
      <c r="F1155" s="107" t="s">
        <v>2959</v>
      </c>
      <c r="G1155" s="107" t="s">
        <v>2964</v>
      </c>
      <c r="H1155" s="107" t="s">
        <v>2987</v>
      </c>
      <c r="I1155" s="107" t="s">
        <v>2997</v>
      </c>
      <c r="J1155" s="107" t="s">
        <v>2997</v>
      </c>
      <c r="K1155" s="107" t="s">
        <v>2997</v>
      </c>
      <c r="L1155" s="107">
        <v>29.82</v>
      </c>
      <c r="M1155" s="107"/>
    </row>
    <row r="1156" spans="1:13" x14ac:dyDescent="0.3">
      <c r="A1156" s="95">
        <f t="shared" si="17"/>
        <v>0</v>
      </c>
      <c r="B1156" s="106" t="s">
        <v>1159</v>
      </c>
      <c r="C1156" s="95" t="s">
        <v>3665</v>
      </c>
      <c r="D1156" s="106">
        <v>12</v>
      </c>
      <c r="E1156" s="107">
        <v>1</v>
      </c>
      <c r="F1156" s="107" t="s">
        <v>2959</v>
      </c>
      <c r="G1156" s="107" t="s">
        <v>2961</v>
      </c>
      <c r="H1156" s="107" t="s">
        <v>2971</v>
      </c>
      <c r="I1156" s="107" t="s">
        <v>2996</v>
      </c>
      <c r="J1156" s="107" t="s">
        <v>2996</v>
      </c>
      <c r="K1156" s="107" t="s">
        <v>2996</v>
      </c>
      <c r="L1156" s="107">
        <v>4.9000000000000004</v>
      </c>
      <c r="M1156" s="107"/>
    </row>
    <row r="1157" spans="1:13" x14ac:dyDescent="0.3">
      <c r="A1157" s="95">
        <f t="shared" si="17"/>
        <v>1</v>
      </c>
      <c r="B1157" s="106" t="s">
        <v>3125</v>
      </c>
      <c r="C1157" s="95" t="s">
        <v>3360</v>
      </c>
      <c r="D1157" s="106">
        <v>12</v>
      </c>
      <c r="E1157" s="107">
        <v>1</v>
      </c>
      <c r="F1157" s="107" t="s">
        <v>2958</v>
      </c>
      <c r="G1157" s="107" t="s">
        <v>2961</v>
      </c>
      <c r="H1157" s="107" t="s">
        <v>2971</v>
      </c>
      <c r="I1157" s="107" t="s">
        <v>2997</v>
      </c>
      <c r="J1157" s="107" t="s">
        <v>2997</v>
      </c>
      <c r="K1157" s="107" t="s">
        <v>2997</v>
      </c>
      <c r="L1157" s="107">
        <v>1844.95</v>
      </c>
      <c r="M1157" s="107">
        <v>21</v>
      </c>
    </row>
    <row r="1158" spans="1:13" x14ac:dyDescent="0.3">
      <c r="A1158" s="95">
        <f t="shared" si="17"/>
        <v>0</v>
      </c>
      <c r="B1158" s="106" t="s">
        <v>1160</v>
      </c>
      <c r="C1158" s="95" t="s">
        <v>2597</v>
      </c>
      <c r="D1158" s="106">
        <v>12</v>
      </c>
      <c r="E1158" s="107">
        <v>1</v>
      </c>
      <c r="F1158" s="107" t="s">
        <v>2959</v>
      </c>
      <c r="G1158" s="107" t="s">
        <v>2966</v>
      </c>
      <c r="H1158" s="107" t="s">
        <v>2984</v>
      </c>
      <c r="I1158" s="107" t="s">
        <v>2997</v>
      </c>
      <c r="J1158" s="107" t="s">
        <v>2997</v>
      </c>
      <c r="K1158" s="107" t="s">
        <v>2997</v>
      </c>
      <c r="L1158" s="107">
        <v>123.58</v>
      </c>
      <c r="M1158" s="107">
        <v>1</v>
      </c>
    </row>
    <row r="1159" spans="1:13" x14ac:dyDescent="0.3">
      <c r="A1159" s="95">
        <f t="shared" si="17"/>
        <v>0</v>
      </c>
      <c r="B1159" s="106" t="s">
        <v>1161</v>
      </c>
      <c r="C1159" s="95" t="s">
        <v>2598</v>
      </c>
      <c r="D1159" s="106">
        <v>12</v>
      </c>
      <c r="E1159" s="107">
        <v>1</v>
      </c>
      <c r="F1159" s="107" t="s">
        <v>2959</v>
      </c>
      <c r="G1159" s="107" t="s">
        <v>2960</v>
      </c>
      <c r="H1159" s="107" t="s">
        <v>2970</v>
      </c>
      <c r="I1159" s="107" t="s">
        <v>2997</v>
      </c>
      <c r="J1159" s="107" t="s">
        <v>2997</v>
      </c>
      <c r="K1159" s="107" t="s">
        <v>2996</v>
      </c>
      <c r="L1159" s="107">
        <v>140.80000000000001</v>
      </c>
      <c r="M1159" s="107">
        <v>1</v>
      </c>
    </row>
    <row r="1160" spans="1:13" x14ac:dyDescent="0.3">
      <c r="A1160" s="95">
        <f t="shared" si="17"/>
        <v>0</v>
      </c>
      <c r="B1160" s="106" t="s">
        <v>1162</v>
      </c>
      <c r="C1160" s="95" t="s">
        <v>2599</v>
      </c>
      <c r="D1160" s="106">
        <v>12</v>
      </c>
      <c r="E1160" s="107">
        <v>1</v>
      </c>
      <c r="F1160" s="107" t="s">
        <v>2959</v>
      </c>
      <c r="G1160" s="107" t="s">
        <v>2965</v>
      </c>
      <c r="H1160" s="107" t="s">
        <v>2965</v>
      </c>
      <c r="I1160" s="107" t="s">
        <v>2996</v>
      </c>
      <c r="J1160" s="107" t="s">
        <v>2996</v>
      </c>
      <c r="K1160" s="107" t="s">
        <v>2996</v>
      </c>
      <c r="L1160" s="107">
        <v>34.15</v>
      </c>
      <c r="M1160" s="107"/>
    </row>
    <row r="1161" spans="1:13" x14ac:dyDescent="0.3">
      <c r="A1161" s="95">
        <f t="shared" si="17"/>
        <v>0</v>
      </c>
      <c r="B1161" s="106" t="s">
        <v>3159</v>
      </c>
      <c r="C1161" s="95" t="s">
        <v>3361</v>
      </c>
      <c r="D1161" s="106">
        <v>12</v>
      </c>
      <c r="E1161" s="107">
        <v>1</v>
      </c>
      <c r="F1161" s="107" t="s">
        <v>2959</v>
      </c>
      <c r="G1161" s="107" t="s">
        <v>2966</v>
      </c>
      <c r="H1161" s="107" t="s">
        <v>2978</v>
      </c>
      <c r="I1161" s="107" t="s">
        <v>2996</v>
      </c>
      <c r="J1161" s="107" t="s">
        <v>2996</v>
      </c>
      <c r="K1161" s="107" t="s">
        <v>2996</v>
      </c>
      <c r="L1161" s="107">
        <v>113.3</v>
      </c>
      <c r="M1161" s="107">
        <v>2</v>
      </c>
    </row>
    <row r="1162" spans="1:13" x14ac:dyDescent="0.3">
      <c r="A1162" s="95">
        <f t="shared" si="17"/>
        <v>0</v>
      </c>
      <c r="B1162" s="106" t="s">
        <v>1163</v>
      </c>
      <c r="C1162" s="95" t="s">
        <v>2600</v>
      </c>
      <c r="D1162" s="106">
        <v>12</v>
      </c>
      <c r="E1162" s="107">
        <v>1</v>
      </c>
      <c r="F1162" s="107" t="s">
        <v>2959</v>
      </c>
      <c r="G1162" s="107" t="s">
        <v>2966</v>
      </c>
      <c r="H1162" s="107" t="s">
        <v>2980</v>
      </c>
      <c r="I1162" s="107" t="s">
        <v>2997</v>
      </c>
      <c r="J1162" s="107" t="s">
        <v>2997</v>
      </c>
      <c r="K1162" s="107" t="s">
        <v>2997</v>
      </c>
      <c r="L1162" s="107">
        <v>88.47</v>
      </c>
      <c r="M1162" s="107">
        <v>1</v>
      </c>
    </row>
    <row r="1163" spans="1:13" x14ac:dyDescent="0.3">
      <c r="A1163" s="95">
        <f t="shared" si="17"/>
        <v>1</v>
      </c>
      <c r="B1163" s="106" t="s">
        <v>1164</v>
      </c>
      <c r="C1163" s="95" t="s">
        <v>2601</v>
      </c>
      <c r="D1163" s="106">
        <v>12</v>
      </c>
      <c r="E1163" s="107">
        <v>1</v>
      </c>
      <c r="F1163" s="107" t="s">
        <v>2959</v>
      </c>
      <c r="G1163" s="107" t="s">
        <v>2966</v>
      </c>
      <c r="H1163" s="107" t="s">
        <v>2985</v>
      </c>
      <c r="I1163" s="107" t="s">
        <v>2997</v>
      </c>
      <c r="J1163" s="107" t="s">
        <v>2997</v>
      </c>
      <c r="K1163" s="107" t="s">
        <v>2997</v>
      </c>
      <c r="L1163" s="107">
        <v>408.55</v>
      </c>
      <c r="M1163" s="107">
        <v>18</v>
      </c>
    </row>
    <row r="1164" spans="1:13" x14ac:dyDescent="0.3">
      <c r="A1164" s="95">
        <f t="shared" si="17"/>
        <v>0</v>
      </c>
      <c r="B1164" s="106" t="s">
        <v>1165</v>
      </c>
      <c r="C1164" s="95" t="s">
        <v>2602</v>
      </c>
      <c r="D1164" s="106">
        <v>12</v>
      </c>
      <c r="E1164" s="107">
        <v>1</v>
      </c>
      <c r="F1164" s="107" t="s">
        <v>2958</v>
      </c>
      <c r="G1164" s="107" t="s">
        <v>2960</v>
      </c>
      <c r="H1164" s="107" t="s">
        <v>2970</v>
      </c>
      <c r="I1164" s="107" t="s">
        <v>2996</v>
      </c>
      <c r="J1164" s="107" t="s">
        <v>2996</v>
      </c>
      <c r="K1164" s="107" t="s">
        <v>2996</v>
      </c>
      <c r="L1164" s="107">
        <v>66.680000000000007</v>
      </c>
      <c r="M1164" s="107"/>
    </row>
    <row r="1165" spans="1:13" x14ac:dyDescent="0.3">
      <c r="A1165" s="95">
        <f t="shared" si="17"/>
        <v>0</v>
      </c>
      <c r="B1165" s="106" t="s">
        <v>1166</v>
      </c>
      <c r="C1165" s="95" t="s">
        <v>2603</v>
      </c>
      <c r="D1165" s="106">
        <v>12</v>
      </c>
      <c r="E1165" s="107">
        <v>1</v>
      </c>
      <c r="F1165" s="107" t="s">
        <v>2959</v>
      </c>
      <c r="G1165" s="107" t="s">
        <v>2961</v>
      </c>
      <c r="H1165" s="107" t="s">
        <v>2982</v>
      </c>
      <c r="I1165" s="107" t="s">
        <v>2997</v>
      </c>
      <c r="J1165" s="107" t="s">
        <v>2997</v>
      </c>
      <c r="K1165" s="107" t="s">
        <v>2997</v>
      </c>
      <c r="L1165" s="107">
        <v>50.08</v>
      </c>
      <c r="M1165" s="107"/>
    </row>
    <row r="1166" spans="1:13" x14ac:dyDescent="0.3">
      <c r="A1166" s="95">
        <f t="shared" si="17"/>
        <v>0</v>
      </c>
      <c r="B1166" s="106" t="s">
        <v>1167</v>
      </c>
      <c r="C1166" s="95" t="s">
        <v>2604</v>
      </c>
      <c r="D1166" s="106">
        <v>12</v>
      </c>
      <c r="E1166" s="107">
        <v>1</v>
      </c>
      <c r="F1166" s="107" t="s">
        <v>2959</v>
      </c>
      <c r="G1166" s="107" t="s">
        <v>2961</v>
      </c>
      <c r="H1166" s="107" t="s">
        <v>2981</v>
      </c>
      <c r="I1166" s="107" t="s">
        <v>2996</v>
      </c>
      <c r="J1166" s="107" t="s">
        <v>2996</v>
      </c>
      <c r="K1166" s="107" t="s">
        <v>2996</v>
      </c>
      <c r="L1166" s="107">
        <v>15.45</v>
      </c>
      <c r="M1166" s="107"/>
    </row>
    <row r="1167" spans="1:13" x14ac:dyDescent="0.3">
      <c r="A1167" s="95">
        <f t="shared" ref="A1167:A1230" si="18">IF(AND(E1167=1,J1167=K1167,M1167&gt;6),1,0)</f>
        <v>0</v>
      </c>
      <c r="B1167" s="106" t="s">
        <v>1168</v>
      </c>
      <c r="C1167" s="95" t="s">
        <v>2605</v>
      </c>
      <c r="D1167" s="106">
        <v>12</v>
      </c>
      <c r="E1167" s="107">
        <v>1</v>
      </c>
      <c r="F1167" s="107" t="s">
        <v>2959</v>
      </c>
      <c r="G1167" s="107" t="s">
        <v>2962</v>
      </c>
      <c r="H1167" s="107" t="s">
        <v>2995</v>
      </c>
      <c r="I1167" s="107" t="s">
        <v>2997</v>
      </c>
      <c r="J1167" s="107" t="s">
        <v>2997</v>
      </c>
      <c r="K1167" s="107" t="s">
        <v>2996</v>
      </c>
      <c r="L1167" s="107">
        <v>52.03</v>
      </c>
      <c r="M1167" s="107"/>
    </row>
    <row r="1168" spans="1:13" x14ac:dyDescent="0.3">
      <c r="A1168" s="95">
        <f t="shared" si="18"/>
        <v>0</v>
      </c>
      <c r="B1168" s="106" t="s">
        <v>1169</v>
      </c>
      <c r="C1168" s="95" t="s">
        <v>2606</v>
      </c>
      <c r="D1168" s="106">
        <v>12</v>
      </c>
      <c r="E1168" s="107">
        <v>1</v>
      </c>
      <c r="F1168" s="107" t="s">
        <v>2959</v>
      </c>
      <c r="G1168" s="107" t="s">
        <v>2966</v>
      </c>
      <c r="H1168" s="107" t="s">
        <v>2984</v>
      </c>
      <c r="I1168" s="107" t="s">
        <v>2997</v>
      </c>
      <c r="J1168" s="107" t="s">
        <v>2997</v>
      </c>
      <c r="K1168" s="107" t="s">
        <v>2996</v>
      </c>
      <c r="L1168" s="107">
        <v>14.69</v>
      </c>
      <c r="M1168" s="107"/>
    </row>
    <row r="1169" spans="1:13" x14ac:dyDescent="0.3">
      <c r="A1169" s="95">
        <f t="shared" si="18"/>
        <v>0</v>
      </c>
      <c r="B1169" s="106" t="s">
        <v>1170</v>
      </c>
      <c r="C1169" s="95" t="s">
        <v>2607</v>
      </c>
      <c r="D1169" s="106">
        <v>12</v>
      </c>
      <c r="E1169" s="107">
        <v>1</v>
      </c>
      <c r="F1169" s="107" t="s">
        <v>2959</v>
      </c>
      <c r="G1169" s="107" t="s">
        <v>2966</v>
      </c>
      <c r="H1169" s="107" t="s">
        <v>2977</v>
      </c>
      <c r="I1169" s="107" t="s">
        <v>2997</v>
      </c>
      <c r="J1169" s="107" t="s">
        <v>2997</v>
      </c>
      <c r="K1169" s="107" t="s">
        <v>2996</v>
      </c>
      <c r="L1169" s="107">
        <v>38.450000000000003</v>
      </c>
      <c r="M1169" s="107"/>
    </row>
    <row r="1170" spans="1:13" x14ac:dyDescent="0.3">
      <c r="A1170" s="95">
        <f t="shared" si="18"/>
        <v>0</v>
      </c>
      <c r="B1170" s="106" t="s">
        <v>1171</v>
      </c>
      <c r="C1170" s="95" t="s">
        <v>2608</v>
      </c>
      <c r="D1170" s="106">
        <v>12</v>
      </c>
      <c r="E1170" s="107">
        <v>1</v>
      </c>
      <c r="F1170" s="107" t="s">
        <v>2959</v>
      </c>
      <c r="G1170" s="107" t="s">
        <v>2966</v>
      </c>
      <c r="H1170" s="107" t="s">
        <v>2985</v>
      </c>
      <c r="I1170" s="107" t="s">
        <v>2997</v>
      </c>
      <c r="J1170" s="107" t="s">
        <v>2997</v>
      </c>
      <c r="K1170" s="107" t="s">
        <v>2997</v>
      </c>
      <c r="L1170" s="107">
        <v>177.74</v>
      </c>
      <c r="M1170" s="107">
        <v>1</v>
      </c>
    </row>
    <row r="1171" spans="1:13" x14ac:dyDescent="0.3">
      <c r="A1171" s="95">
        <f t="shared" si="18"/>
        <v>0</v>
      </c>
      <c r="B1171" s="106" t="s">
        <v>3160</v>
      </c>
      <c r="C1171" s="95" t="s">
        <v>3362</v>
      </c>
      <c r="D1171" s="106">
        <v>12</v>
      </c>
      <c r="E1171" s="107">
        <v>1</v>
      </c>
      <c r="F1171" s="107" t="s">
        <v>2959</v>
      </c>
      <c r="G1171" s="107" t="s">
        <v>2966</v>
      </c>
      <c r="H1171" s="107" t="s">
        <v>2978</v>
      </c>
      <c r="I1171" s="107" t="s">
        <v>2996</v>
      </c>
      <c r="J1171" s="107" t="s">
        <v>2996</v>
      </c>
      <c r="K1171" s="107" t="s">
        <v>2996</v>
      </c>
      <c r="L1171" s="107">
        <v>46.9</v>
      </c>
      <c r="M1171" s="107"/>
    </row>
    <row r="1172" spans="1:13" x14ac:dyDescent="0.3">
      <c r="A1172" s="95">
        <f t="shared" si="18"/>
        <v>0</v>
      </c>
      <c r="B1172" s="106" t="s">
        <v>1172</v>
      </c>
      <c r="C1172" s="95" t="s">
        <v>2609</v>
      </c>
      <c r="D1172" s="106">
        <v>12</v>
      </c>
      <c r="E1172" s="107">
        <v>1</v>
      </c>
      <c r="F1172" s="107" t="s">
        <v>2959</v>
      </c>
      <c r="G1172" s="107" t="s">
        <v>2966</v>
      </c>
      <c r="H1172" s="107" t="s">
        <v>2985</v>
      </c>
      <c r="I1172" s="107" t="s">
        <v>2996</v>
      </c>
      <c r="J1172" s="107" t="s">
        <v>2996</v>
      </c>
      <c r="K1172" s="107" t="s">
        <v>2996</v>
      </c>
      <c r="L1172" s="107">
        <v>38.43</v>
      </c>
      <c r="M1172" s="107"/>
    </row>
    <row r="1173" spans="1:13" x14ac:dyDescent="0.3">
      <c r="A1173" s="95">
        <f t="shared" si="18"/>
        <v>0</v>
      </c>
      <c r="B1173" s="106" t="s">
        <v>1173</v>
      </c>
      <c r="C1173" s="95" t="s">
        <v>2610</v>
      </c>
      <c r="D1173" s="106">
        <v>12</v>
      </c>
      <c r="E1173" s="107">
        <v>1</v>
      </c>
      <c r="F1173" s="107" t="s">
        <v>2959</v>
      </c>
      <c r="G1173" s="107" t="s">
        <v>2966</v>
      </c>
      <c r="H1173" s="107" t="s">
        <v>2978</v>
      </c>
      <c r="I1173" s="107" t="s">
        <v>2997</v>
      </c>
      <c r="J1173" s="107" t="s">
        <v>2997</v>
      </c>
      <c r="K1173" s="107" t="s">
        <v>2996</v>
      </c>
      <c r="L1173" s="107">
        <v>42.14</v>
      </c>
      <c r="M1173" s="107"/>
    </row>
    <row r="1174" spans="1:13" x14ac:dyDescent="0.3">
      <c r="A1174" s="95">
        <f t="shared" si="18"/>
        <v>0</v>
      </c>
      <c r="B1174" s="106" t="s">
        <v>1174</v>
      </c>
      <c r="C1174" s="95" t="s">
        <v>2611</v>
      </c>
      <c r="D1174" s="106">
        <v>12</v>
      </c>
      <c r="E1174" s="107">
        <v>1</v>
      </c>
      <c r="F1174" s="107" t="s">
        <v>2959</v>
      </c>
      <c r="G1174" s="107" t="s">
        <v>2960</v>
      </c>
      <c r="H1174" s="107" t="s">
        <v>2970</v>
      </c>
      <c r="I1174" s="107" t="s">
        <v>2997</v>
      </c>
      <c r="J1174" s="107" t="s">
        <v>2997</v>
      </c>
      <c r="K1174" s="107" t="s">
        <v>2996</v>
      </c>
      <c r="L1174" s="107">
        <v>209.4</v>
      </c>
      <c r="M1174" s="107"/>
    </row>
    <row r="1175" spans="1:13" x14ac:dyDescent="0.3">
      <c r="A1175" s="95">
        <f t="shared" si="18"/>
        <v>0</v>
      </c>
      <c r="B1175" s="106" t="s">
        <v>1175</v>
      </c>
      <c r="C1175" s="95" t="s">
        <v>2612</v>
      </c>
      <c r="D1175" s="106">
        <v>12</v>
      </c>
      <c r="E1175" s="107">
        <v>1</v>
      </c>
      <c r="F1175" s="107" t="s">
        <v>2959</v>
      </c>
      <c r="G1175" s="107" t="s">
        <v>2966</v>
      </c>
      <c r="H1175" s="107" t="s">
        <v>2978</v>
      </c>
      <c r="I1175" s="107" t="s">
        <v>2996</v>
      </c>
      <c r="J1175" s="107" t="s">
        <v>2996</v>
      </c>
      <c r="K1175" s="107" t="s">
        <v>2996</v>
      </c>
      <c r="L1175" s="107">
        <v>102.51</v>
      </c>
      <c r="M1175" s="107">
        <v>1</v>
      </c>
    </row>
    <row r="1176" spans="1:13" x14ac:dyDescent="0.3">
      <c r="A1176" s="95">
        <f t="shared" si="18"/>
        <v>0</v>
      </c>
      <c r="B1176" s="106" t="s">
        <v>1176</v>
      </c>
      <c r="C1176" s="95" t="s">
        <v>2613</v>
      </c>
      <c r="D1176" s="106">
        <v>12</v>
      </c>
      <c r="E1176" s="107">
        <v>1</v>
      </c>
      <c r="F1176" s="107" t="s">
        <v>2959</v>
      </c>
      <c r="G1176" s="107" t="s">
        <v>2966</v>
      </c>
      <c r="H1176" s="107" t="s">
        <v>2985</v>
      </c>
      <c r="I1176" s="107" t="s">
        <v>2997</v>
      </c>
      <c r="J1176" s="107" t="s">
        <v>2997</v>
      </c>
      <c r="K1176" s="107" t="s">
        <v>2996</v>
      </c>
      <c r="L1176" s="107">
        <v>35.58</v>
      </c>
      <c r="M1176" s="107"/>
    </row>
    <row r="1177" spans="1:13" x14ac:dyDescent="0.3">
      <c r="A1177" s="95">
        <f t="shared" si="18"/>
        <v>0</v>
      </c>
      <c r="B1177" s="106" t="s">
        <v>1177</v>
      </c>
      <c r="C1177" s="95" t="s">
        <v>2614</v>
      </c>
      <c r="D1177" s="106">
        <v>12</v>
      </c>
      <c r="E1177" s="107">
        <v>1</v>
      </c>
      <c r="F1177" s="107" t="s">
        <v>2959</v>
      </c>
      <c r="G1177" s="107" t="s">
        <v>2964</v>
      </c>
      <c r="H1177" s="107" t="s">
        <v>2976</v>
      </c>
      <c r="I1177" s="107" t="s">
        <v>2997</v>
      </c>
      <c r="J1177" s="107" t="s">
        <v>2997</v>
      </c>
      <c r="K1177" s="107" t="s">
        <v>2996</v>
      </c>
      <c r="L1177" s="107">
        <v>35.549999999999997</v>
      </c>
      <c r="M1177" s="107"/>
    </row>
    <row r="1178" spans="1:13" x14ac:dyDescent="0.3">
      <c r="A1178" s="95">
        <f t="shared" si="18"/>
        <v>0</v>
      </c>
      <c r="B1178" s="106" t="s">
        <v>1178</v>
      </c>
      <c r="C1178" s="95" t="s">
        <v>2615</v>
      </c>
      <c r="D1178" s="106">
        <v>12</v>
      </c>
      <c r="E1178" s="107">
        <v>1</v>
      </c>
      <c r="F1178" s="107" t="s">
        <v>2958</v>
      </c>
      <c r="G1178" s="107" t="s">
        <v>2961</v>
      </c>
      <c r="H1178" s="107" t="s">
        <v>2971</v>
      </c>
      <c r="I1178" s="107" t="s">
        <v>2997</v>
      </c>
      <c r="J1178" s="107" t="s">
        <v>2997</v>
      </c>
      <c r="K1178" s="107" t="s">
        <v>2997</v>
      </c>
      <c r="L1178" s="107">
        <v>386.73</v>
      </c>
      <c r="M1178" s="107">
        <v>6</v>
      </c>
    </row>
    <row r="1179" spans="1:13" x14ac:dyDescent="0.3">
      <c r="A1179" s="95">
        <f t="shared" si="18"/>
        <v>0</v>
      </c>
      <c r="B1179" s="106" t="s">
        <v>1179</v>
      </c>
      <c r="C1179" s="95" t="s">
        <v>2616</v>
      </c>
      <c r="D1179" s="106">
        <v>12</v>
      </c>
      <c r="E1179" s="107">
        <v>1</v>
      </c>
      <c r="F1179" s="107" t="s">
        <v>2959</v>
      </c>
      <c r="G1179" s="107" t="s">
        <v>2961</v>
      </c>
      <c r="H1179" s="107" t="s">
        <v>2972</v>
      </c>
      <c r="I1179" s="107" t="s">
        <v>2997</v>
      </c>
      <c r="J1179" s="107" t="s">
        <v>2997</v>
      </c>
      <c r="K1179" s="107" t="s">
        <v>2996</v>
      </c>
      <c r="L1179" s="107">
        <v>81.02</v>
      </c>
      <c r="M1179" s="107"/>
    </row>
    <row r="1180" spans="1:13" x14ac:dyDescent="0.3">
      <c r="A1180" s="95">
        <f t="shared" si="18"/>
        <v>0</v>
      </c>
      <c r="B1180" s="106" t="s">
        <v>1180</v>
      </c>
      <c r="C1180" s="95" t="s">
        <v>2617</v>
      </c>
      <c r="D1180" s="106">
        <v>12</v>
      </c>
      <c r="E1180" s="107">
        <v>1</v>
      </c>
      <c r="F1180" s="107" t="s">
        <v>2959</v>
      </c>
      <c r="G1180" s="107" t="s">
        <v>2966</v>
      </c>
      <c r="H1180" s="107" t="s">
        <v>2980</v>
      </c>
      <c r="I1180" s="107" t="s">
        <v>2997</v>
      </c>
      <c r="J1180" s="107" t="s">
        <v>2997</v>
      </c>
      <c r="K1180" s="107" t="s">
        <v>2996</v>
      </c>
      <c r="L1180" s="107">
        <v>80.56</v>
      </c>
      <c r="M1180" s="107"/>
    </row>
    <row r="1181" spans="1:13" x14ac:dyDescent="0.3">
      <c r="A1181" s="95">
        <f t="shared" si="18"/>
        <v>0</v>
      </c>
      <c r="B1181" s="106" t="s">
        <v>1181</v>
      </c>
      <c r="C1181" s="95" t="s">
        <v>2618</v>
      </c>
      <c r="D1181" s="106">
        <v>12</v>
      </c>
      <c r="E1181" s="107">
        <v>1</v>
      </c>
      <c r="F1181" s="107" t="s">
        <v>2959</v>
      </c>
      <c r="G1181" s="107" t="s">
        <v>2961</v>
      </c>
      <c r="H1181" s="107" t="s">
        <v>2990</v>
      </c>
      <c r="I1181" s="107" t="s">
        <v>2997</v>
      </c>
      <c r="J1181" s="107" t="s">
        <v>2997</v>
      </c>
      <c r="K1181" s="107" t="s">
        <v>2996</v>
      </c>
      <c r="L1181" s="107">
        <v>135.52000000000001</v>
      </c>
      <c r="M1181" s="107"/>
    </row>
    <row r="1182" spans="1:13" x14ac:dyDescent="0.3">
      <c r="A1182" s="95">
        <f t="shared" si="18"/>
        <v>0</v>
      </c>
      <c r="B1182" s="106" t="s">
        <v>1182</v>
      </c>
      <c r="C1182" s="95" t="s">
        <v>2619</v>
      </c>
      <c r="D1182" s="106">
        <v>12</v>
      </c>
      <c r="E1182" s="107">
        <v>1</v>
      </c>
      <c r="F1182" s="107" t="s">
        <v>2959</v>
      </c>
      <c r="G1182" s="107" t="s">
        <v>2967</v>
      </c>
      <c r="H1182" s="107" t="s">
        <v>2967</v>
      </c>
      <c r="I1182" s="107" t="s">
        <v>2997</v>
      </c>
      <c r="J1182" s="107" t="s">
        <v>2997</v>
      </c>
      <c r="K1182" s="107" t="s">
        <v>2996</v>
      </c>
      <c r="L1182" s="107">
        <v>122.15</v>
      </c>
      <c r="M1182" s="107"/>
    </row>
    <row r="1183" spans="1:13" x14ac:dyDescent="0.3">
      <c r="A1183" s="95">
        <f t="shared" si="18"/>
        <v>0</v>
      </c>
      <c r="B1183" s="106" t="s">
        <v>1183</v>
      </c>
      <c r="C1183" s="95" t="s">
        <v>2620</v>
      </c>
      <c r="D1183" s="106">
        <v>12</v>
      </c>
      <c r="E1183" s="107">
        <v>1</v>
      </c>
      <c r="F1183" s="107" t="s">
        <v>2959</v>
      </c>
      <c r="G1183" s="107" t="s">
        <v>2963</v>
      </c>
      <c r="H1183" s="107" t="s">
        <v>2974</v>
      </c>
      <c r="I1183" s="107" t="s">
        <v>2997</v>
      </c>
      <c r="J1183" s="107" t="s">
        <v>2997</v>
      </c>
      <c r="K1183" s="107" t="s">
        <v>2996</v>
      </c>
      <c r="L1183" s="107">
        <v>39.92</v>
      </c>
      <c r="M1183" s="107"/>
    </row>
    <row r="1184" spans="1:13" x14ac:dyDescent="0.3">
      <c r="A1184" s="95">
        <f t="shared" si="18"/>
        <v>0</v>
      </c>
      <c r="B1184" s="106" t="s">
        <v>1184</v>
      </c>
      <c r="C1184" s="95" t="s">
        <v>2621</v>
      </c>
      <c r="D1184" s="106">
        <v>12</v>
      </c>
      <c r="E1184" s="107">
        <v>1</v>
      </c>
      <c r="F1184" s="107" t="s">
        <v>2959</v>
      </c>
      <c r="G1184" s="107" t="s">
        <v>2964</v>
      </c>
      <c r="H1184" s="107" t="s">
        <v>2976</v>
      </c>
      <c r="I1184" s="107" t="s">
        <v>2996</v>
      </c>
      <c r="J1184" s="107" t="s">
        <v>2996</v>
      </c>
      <c r="K1184" s="107" t="s">
        <v>2996</v>
      </c>
      <c r="L1184" s="107">
        <v>12.3</v>
      </c>
      <c r="M1184" s="107"/>
    </row>
    <row r="1185" spans="1:13" x14ac:dyDescent="0.3">
      <c r="A1185" s="95">
        <f t="shared" si="18"/>
        <v>0</v>
      </c>
      <c r="B1185" s="106" t="s">
        <v>1185</v>
      </c>
      <c r="C1185" s="95" t="s">
        <v>2622</v>
      </c>
      <c r="D1185" s="106">
        <v>12</v>
      </c>
      <c r="E1185" s="107">
        <v>1</v>
      </c>
      <c r="F1185" s="107" t="s">
        <v>2959</v>
      </c>
      <c r="G1185" s="107" t="s">
        <v>2966</v>
      </c>
      <c r="H1185" s="107" t="s">
        <v>2984</v>
      </c>
      <c r="I1185" s="107" t="s">
        <v>2997</v>
      </c>
      <c r="J1185" s="107" t="s">
        <v>2997</v>
      </c>
      <c r="K1185" s="107" t="s">
        <v>2997</v>
      </c>
      <c r="L1185" s="107">
        <v>171.69</v>
      </c>
      <c r="M1185" s="107">
        <v>2</v>
      </c>
    </row>
    <row r="1186" spans="1:13" x14ac:dyDescent="0.3">
      <c r="A1186" s="95">
        <f t="shared" si="18"/>
        <v>0</v>
      </c>
      <c r="B1186" s="106" t="s">
        <v>1186</v>
      </c>
      <c r="C1186" s="95" t="s">
        <v>2623</v>
      </c>
      <c r="D1186" s="106">
        <v>12</v>
      </c>
      <c r="E1186" s="107">
        <v>1</v>
      </c>
      <c r="F1186" s="107" t="s">
        <v>2959</v>
      </c>
      <c r="G1186" s="107" t="s">
        <v>2966</v>
      </c>
      <c r="H1186" s="107" t="s">
        <v>2984</v>
      </c>
      <c r="I1186" s="107" t="s">
        <v>2997</v>
      </c>
      <c r="J1186" s="107" t="s">
        <v>2997</v>
      </c>
      <c r="K1186" s="107" t="s">
        <v>2997</v>
      </c>
      <c r="L1186" s="107">
        <v>68</v>
      </c>
      <c r="M1186" s="107">
        <v>1</v>
      </c>
    </row>
    <row r="1187" spans="1:13" x14ac:dyDescent="0.3">
      <c r="A1187" s="95">
        <f t="shared" si="18"/>
        <v>0</v>
      </c>
      <c r="B1187" s="106" t="s">
        <v>1187</v>
      </c>
      <c r="C1187" s="95" t="s">
        <v>2624</v>
      </c>
      <c r="D1187" s="106">
        <v>12</v>
      </c>
      <c r="E1187" s="107">
        <v>1</v>
      </c>
      <c r="F1187" s="107" t="s">
        <v>2959</v>
      </c>
      <c r="G1187" s="107" t="s">
        <v>2967</v>
      </c>
      <c r="H1187" s="107" t="s">
        <v>2967</v>
      </c>
      <c r="I1187" s="107" t="s">
        <v>2997</v>
      </c>
      <c r="J1187" s="107" t="s">
        <v>2997</v>
      </c>
      <c r="K1187" s="107" t="s">
        <v>2997</v>
      </c>
      <c r="L1187" s="107">
        <v>59.93</v>
      </c>
      <c r="M1187" s="107"/>
    </row>
    <row r="1188" spans="1:13" x14ac:dyDescent="0.3">
      <c r="A1188" s="95">
        <f t="shared" si="18"/>
        <v>0</v>
      </c>
      <c r="B1188" s="106" t="s">
        <v>1188</v>
      </c>
      <c r="C1188" s="95" t="s">
        <v>2625</v>
      </c>
      <c r="D1188" s="106">
        <v>12</v>
      </c>
      <c r="E1188" s="107">
        <v>1</v>
      </c>
      <c r="F1188" s="107" t="s">
        <v>2959</v>
      </c>
      <c r="G1188" s="107" t="s">
        <v>2966</v>
      </c>
      <c r="H1188" s="107" t="s">
        <v>2985</v>
      </c>
      <c r="I1188" s="107" t="s">
        <v>2997</v>
      </c>
      <c r="J1188" s="107" t="s">
        <v>2997</v>
      </c>
      <c r="K1188" s="107" t="s">
        <v>2996</v>
      </c>
      <c r="L1188" s="107">
        <v>17.190000000000001</v>
      </c>
      <c r="M1188" s="107"/>
    </row>
    <row r="1189" spans="1:13" x14ac:dyDescent="0.3">
      <c r="A1189" s="95">
        <f t="shared" si="18"/>
        <v>0</v>
      </c>
      <c r="B1189" s="106" t="s">
        <v>1189</v>
      </c>
      <c r="C1189" s="95" t="s">
        <v>2626</v>
      </c>
      <c r="D1189" s="106">
        <v>12</v>
      </c>
      <c r="E1189" s="107">
        <v>1</v>
      </c>
      <c r="F1189" s="107" t="s">
        <v>2959</v>
      </c>
      <c r="G1189" s="107" t="s">
        <v>2966</v>
      </c>
      <c r="H1189" s="107" t="s">
        <v>2984</v>
      </c>
      <c r="I1189" s="107" t="s">
        <v>2996</v>
      </c>
      <c r="J1189" s="107" t="s">
        <v>2996</v>
      </c>
      <c r="K1189" s="107" t="s">
        <v>2996</v>
      </c>
      <c r="L1189" s="107">
        <v>38.96</v>
      </c>
      <c r="M1189" s="107"/>
    </row>
    <row r="1190" spans="1:13" x14ac:dyDescent="0.3">
      <c r="A1190" s="95">
        <f t="shared" si="18"/>
        <v>0</v>
      </c>
      <c r="B1190" s="106" t="s">
        <v>1190</v>
      </c>
      <c r="C1190" s="95" t="s">
        <v>2627</v>
      </c>
      <c r="D1190" s="106">
        <v>12</v>
      </c>
      <c r="E1190" s="107">
        <v>1</v>
      </c>
      <c r="F1190" s="107" t="s">
        <v>2959</v>
      </c>
      <c r="G1190" s="107" t="s">
        <v>2961</v>
      </c>
      <c r="H1190" s="107" t="s">
        <v>2971</v>
      </c>
      <c r="I1190" s="107" t="s">
        <v>2996</v>
      </c>
      <c r="J1190" s="107" t="s">
        <v>2996</v>
      </c>
      <c r="K1190" s="107" t="s">
        <v>2996</v>
      </c>
      <c r="L1190" s="107">
        <v>14.69</v>
      </c>
      <c r="M1190" s="107"/>
    </row>
    <row r="1191" spans="1:13" x14ac:dyDescent="0.3">
      <c r="A1191" s="95">
        <f t="shared" si="18"/>
        <v>0</v>
      </c>
      <c r="B1191" s="106" t="s">
        <v>1191</v>
      </c>
      <c r="C1191" s="95" t="s">
        <v>2628</v>
      </c>
      <c r="D1191" s="106">
        <v>12</v>
      </c>
      <c r="E1191" s="107">
        <v>1</v>
      </c>
      <c r="F1191" s="107" t="s">
        <v>2959</v>
      </c>
      <c r="G1191" s="107" t="s">
        <v>2960</v>
      </c>
      <c r="H1191" s="107" t="s">
        <v>2983</v>
      </c>
      <c r="I1191" s="107" t="s">
        <v>2997</v>
      </c>
      <c r="J1191" s="107" t="s">
        <v>2997</v>
      </c>
      <c r="K1191" s="107" t="s">
        <v>2997</v>
      </c>
      <c r="L1191" s="107">
        <v>201.74</v>
      </c>
      <c r="M1191" s="107">
        <v>4</v>
      </c>
    </row>
    <row r="1192" spans="1:13" x14ac:dyDescent="0.3">
      <c r="A1192" s="95">
        <f t="shared" si="18"/>
        <v>0</v>
      </c>
      <c r="B1192" s="106" t="s">
        <v>1192</v>
      </c>
      <c r="C1192" s="95" t="s">
        <v>2629</v>
      </c>
      <c r="D1192" s="106">
        <v>12</v>
      </c>
      <c r="E1192" s="107">
        <v>1</v>
      </c>
      <c r="F1192" s="107" t="s">
        <v>2959</v>
      </c>
      <c r="G1192" s="107" t="s">
        <v>2966</v>
      </c>
      <c r="H1192" s="107" t="s">
        <v>2984</v>
      </c>
      <c r="I1192" s="107" t="s">
        <v>2996</v>
      </c>
      <c r="J1192" s="107" t="s">
        <v>2996</v>
      </c>
      <c r="K1192" s="107" t="s">
        <v>2996</v>
      </c>
      <c r="L1192" s="107">
        <v>55.77</v>
      </c>
      <c r="M1192" s="107"/>
    </row>
    <row r="1193" spans="1:13" x14ac:dyDescent="0.3">
      <c r="A1193" s="95">
        <f t="shared" si="18"/>
        <v>0</v>
      </c>
      <c r="B1193" s="106" t="s">
        <v>1193</v>
      </c>
      <c r="C1193" s="95" t="s">
        <v>3743</v>
      </c>
      <c r="D1193" s="106">
        <v>12</v>
      </c>
      <c r="E1193" s="107">
        <v>1</v>
      </c>
      <c r="F1193" s="107" t="s">
        <v>2959</v>
      </c>
      <c r="G1193" s="107" t="s">
        <v>2966</v>
      </c>
      <c r="H1193" s="107" t="s">
        <v>2985</v>
      </c>
      <c r="I1193" s="107" t="s">
        <v>2997</v>
      </c>
      <c r="J1193" s="107" t="s">
        <v>2997</v>
      </c>
      <c r="K1193" s="107" t="s">
        <v>2996</v>
      </c>
      <c r="L1193" s="107">
        <v>24.79</v>
      </c>
      <c r="M1193" s="107"/>
    </row>
    <row r="1194" spans="1:13" x14ac:dyDescent="0.3">
      <c r="A1194" s="95">
        <f t="shared" si="18"/>
        <v>0</v>
      </c>
      <c r="B1194" s="106" t="s">
        <v>1194</v>
      </c>
      <c r="C1194" s="95" t="s">
        <v>2631</v>
      </c>
      <c r="D1194" s="106">
        <v>12</v>
      </c>
      <c r="E1194" s="107">
        <v>1</v>
      </c>
      <c r="F1194" s="107" t="s">
        <v>2959</v>
      </c>
      <c r="G1194" s="107" t="s">
        <v>2966</v>
      </c>
      <c r="H1194" s="107" t="s">
        <v>2984</v>
      </c>
      <c r="I1194" s="107" t="s">
        <v>2996</v>
      </c>
      <c r="J1194" s="107" t="s">
        <v>2996</v>
      </c>
      <c r="K1194" s="107" t="s">
        <v>2996</v>
      </c>
      <c r="L1194" s="107">
        <v>76.819999999999993</v>
      </c>
      <c r="M1194" s="107">
        <v>3</v>
      </c>
    </row>
    <row r="1195" spans="1:13" x14ac:dyDescent="0.3">
      <c r="A1195" s="95">
        <f t="shared" si="18"/>
        <v>0</v>
      </c>
      <c r="B1195" s="106" t="s">
        <v>1195</v>
      </c>
      <c r="C1195" s="95" t="s">
        <v>2632</v>
      </c>
      <c r="D1195" s="106">
        <v>12</v>
      </c>
      <c r="E1195" s="107">
        <v>1</v>
      </c>
      <c r="F1195" s="107" t="s">
        <v>2959</v>
      </c>
      <c r="G1195" s="107" t="s">
        <v>2965</v>
      </c>
      <c r="H1195" s="107" t="s">
        <v>2965</v>
      </c>
      <c r="I1195" s="107" t="s">
        <v>2997</v>
      </c>
      <c r="J1195" s="107" t="s">
        <v>2997</v>
      </c>
      <c r="K1195" s="107" t="s">
        <v>2997</v>
      </c>
      <c r="L1195" s="107">
        <v>194.35</v>
      </c>
      <c r="M1195" s="107"/>
    </row>
    <row r="1196" spans="1:13" x14ac:dyDescent="0.3">
      <c r="A1196" s="95">
        <f t="shared" si="18"/>
        <v>0</v>
      </c>
      <c r="B1196" s="106" t="s">
        <v>1196</v>
      </c>
      <c r="C1196" s="95" t="s">
        <v>2633</v>
      </c>
      <c r="D1196" s="106">
        <v>12</v>
      </c>
      <c r="E1196" s="107">
        <v>1</v>
      </c>
      <c r="F1196" s="107" t="s">
        <v>2959</v>
      </c>
      <c r="G1196" s="107" t="s">
        <v>2961</v>
      </c>
      <c r="H1196" s="107" t="s">
        <v>2982</v>
      </c>
      <c r="I1196" s="107" t="s">
        <v>2996</v>
      </c>
      <c r="J1196" s="107" t="s">
        <v>2996</v>
      </c>
      <c r="K1196" s="107" t="s">
        <v>2996</v>
      </c>
      <c r="L1196" s="107">
        <v>103.14</v>
      </c>
      <c r="M1196" s="107"/>
    </row>
    <row r="1197" spans="1:13" x14ac:dyDescent="0.3">
      <c r="A1197" s="95">
        <f t="shared" si="18"/>
        <v>0</v>
      </c>
      <c r="B1197" s="106" t="s">
        <v>1197</v>
      </c>
      <c r="C1197" s="95" t="s">
        <v>2634</v>
      </c>
      <c r="D1197" s="106">
        <v>12</v>
      </c>
      <c r="E1197" s="107">
        <v>1</v>
      </c>
      <c r="F1197" s="107" t="s">
        <v>2959</v>
      </c>
      <c r="G1197" s="107" t="s">
        <v>2966</v>
      </c>
      <c r="H1197" s="107" t="s">
        <v>2980</v>
      </c>
      <c r="I1197" s="107" t="s">
        <v>2997</v>
      </c>
      <c r="J1197" s="107" t="s">
        <v>2997</v>
      </c>
      <c r="K1197" s="107" t="s">
        <v>2997</v>
      </c>
      <c r="L1197" s="107">
        <v>244.88</v>
      </c>
      <c r="M1197" s="107">
        <v>2</v>
      </c>
    </row>
    <row r="1198" spans="1:13" x14ac:dyDescent="0.3">
      <c r="A1198" s="95">
        <f t="shared" si="18"/>
        <v>0</v>
      </c>
      <c r="B1198" s="106" t="s">
        <v>1198</v>
      </c>
      <c r="C1198" s="95" t="s">
        <v>2635</v>
      </c>
      <c r="D1198" s="106">
        <v>12</v>
      </c>
      <c r="E1198" s="107">
        <v>1</v>
      </c>
      <c r="F1198" s="107" t="s">
        <v>2959</v>
      </c>
      <c r="G1198" s="107" t="s">
        <v>2966</v>
      </c>
      <c r="H1198" s="107" t="s">
        <v>2984</v>
      </c>
      <c r="I1198" s="107" t="s">
        <v>2997</v>
      </c>
      <c r="J1198" s="107" t="s">
        <v>2997</v>
      </c>
      <c r="K1198" s="107" t="s">
        <v>2996</v>
      </c>
      <c r="L1198" s="107">
        <v>53.29</v>
      </c>
      <c r="M1198" s="107"/>
    </row>
    <row r="1199" spans="1:13" x14ac:dyDescent="0.3">
      <c r="A1199" s="95">
        <f t="shared" si="18"/>
        <v>0</v>
      </c>
      <c r="B1199" s="106" t="s">
        <v>1199</v>
      </c>
      <c r="C1199" s="95" t="s">
        <v>2636</v>
      </c>
      <c r="D1199" s="106">
        <v>12</v>
      </c>
      <c r="E1199" s="107">
        <v>1</v>
      </c>
      <c r="F1199" s="107" t="s">
        <v>2959</v>
      </c>
      <c r="G1199" s="107" t="s">
        <v>2966</v>
      </c>
      <c r="H1199" s="107" t="s">
        <v>2985</v>
      </c>
      <c r="I1199" s="107" t="s">
        <v>2997</v>
      </c>
      <c r="J1199" s="107" t="s">
        <v>2997</v>
      </c>
      <c r="K1199" s="107" t="s">
        <v>2996</v>
      </c>
      <c r="L1199" s="107">
        <v>30.69</v>
      </c>
      <c r="M1199" s="107"/>
    </row>
    <row r="1200" spans="1:13" x14ac:dyDescent="0.3">
      <c r="A1200" s="95">
        <f t="shared" si="18"/>
        <v>0</v>
      </c>
      <c r="B1200" s="106" t="s">
        <v>1200</v>
      </c>
      <c r="C1200" s="95" t="s">
        <v>2637</v>
      </c>
      <c r="D1200" s="106">
        <v>12</v>
      </c>
      <c r="E1200" s="107">
        <v>1</v>
      </c>
      <c r="F1200" s="107" t="s">
        <v>2959</v>
      </c>
      <c r="G1200" s="107" t="s">
        <v>2966</v>
      </c>
      <c r="H1200" s="107" t="s">
        <v>2984</v>
      </c>
      <c r="I1200" s="107" t="s">
        <v>2997</v>
      </c>
      <c r="J1200" s="107" t="s">
        <v>2997</v>
      </c>
      <c r="K1200" s="107" t="s">
        <v>2997</v>
      </c>
      <c r="L1200" s="107">
        <v>41.64</v>
      </c>
      <c r="M1200" s="107"/>
    </row>
    <row r="1201" spans="1:13" x14ac:dyDescent="0.3">
      <c r="A1201" s="95">
        <f t="shared" si="18"/>
        <v>0</v>
      </c>
      <c r="B1201" s="106" t="s">
        <v>1201</v>
      </c>
      <c r="C1201" s="95" t="s">
        <v>2638</v>
      </c>
      <c r="D1201" s="106">
        <v>12</v>
      </c>
      <c r="E1201" s="107">
        <v>1</v>
      </c>
      <c r="F1201" s="107" t="s">
        <v>2959</v>
      </c>
      <c r="G1201" s="107" t="s">
        <v>2965</v>
      </c>
      <c r="H1201" s="107" t="s">
        <v>2965</v>
      </c>
      <c r="I1201" s="107" t="s">
        <v>2997</v>
      </c>
      <c r="J1201" s="107" t="s">
        <v>2997</v>
      </c>
      <c r="K1201" s="107" t="s">
        <v>2996</v>
      </c>
      <c r="L1201" s="107">
        <v>87.5</v>
      </c>
      <c r="M1201" s="107"/>
    </row>
    <row r="1202" spans="1:13" x14ac:dyDescent="0.3">
      <c r="A1202" s="95">
        <f t="shared" si="18"/>
        <v>0</v>
      </c>
      <c r="B1202" s="106" t="s">
        <v>1202</v>
      </c>
      <c r="C1202" s="95" t="s">
        <v>2639</v>
      </c>
      <c r="D1202" s="106">
        <v>12</v>
      </c>
      <c r="E1202" s="107">
        <v>1</v>
      </c>
      <c r="F1202" s="107" t="s">
        <v>2959</v>
      </c>
      <c r="G1202" s="107" t="s">
        <v>2961</v>
      </c>
      <c r="H1202" s="107" t="s">
        <v>2972</v>
      </c>
      <c r="I1202" s="107" t="s">
        <v>2997</v>
      </c>
      <c r="J1202" s="107" t="s">
        <v>2997</v>
      </c>
      <c r="K1202" s="107" t="s">
        <v>2996</v>
      </c>
      <c r="L1202" s="107">
        <v>51.3</v>
      </c>
      <c r="M1202" s="107"/>
    </row>
    <row r="1203" spans="1:13" x14ac:dyDescent="0.3">
      <c r="A1203" s="95">
        <f t="shared" si="18"/>
        <v>0</v>
      </c>
      <c r="B1203" s="106" t="s">
        <v>1203</v>
      </c>
      <c r="C1203" s="95" t="s">
        <v>2640</v>
      </c>
      <c r="D1203" s="106">
        <v>12</v>
      </c>
      <c r="E1203" s="107">
        <v>1</v>
      </c>
      <c r="F1203" s="107" t="s">
        <v>2959</v>
      </c>
      <c r="G1203" s="107" t="s">
        <v>2966</v>
      </c>
      <c r="H1203" s="107" t="s">
        <v>2984</v>
      </c>
      <c r="I1203" s="107" t="s">
        <v>2997</v>
      </c>
      <c r="J1203" s="107" t="s">
        <v>2997</v>
      </c>
      <c r="K1203" s="107" t="s">
        <v>2996</v>
      </c>
      <c r="L1203" s="107">
        <v>14.84</v>
      </c>
      <c r="M1203" s="107"/>
    </row>
    <row r="1204" spans="1:13" x14ac:dyDescent="0.3">
      <c r="A1204" s="95">
        <f t="shared" si="18"/>
        <v>0</v>
      </c>
      <c r="B1204" s="106" t="s">
        <v>1204</v>
      </c>
      <c r="C1204" s="95" t="s">
        <v>2641</v>
      </c>
      <c r="D1204" s="106">
        <v>12</v>
      </c>
      <c r="E1204" s="107">
        <v>1</v>
      </c>
      <c r="F1204" s="107" t="s">
        <v>2959</v>
      </c>
      <c r="G1204" s="107" t="s">
        <v>2961</v>
      </c>
      <c r="H1204" s="107" t="s">
        <v>2972</v>
      </c>
      <c r="I1204" s="107" t="s">
        <v>2996</v>
      </c>
      <c r="J1204" s="107" t="s">
        <v>2996</v>
      </c>
      <c r="K1204" s="107" t="s">
        <v>2996</v>
      </c>
      <c r="L1204" s="107">
        <v>33.020000000000003</v>
      </c>
      <c r="M1204" s="107"/>
    </row>
    <row r="1205" spans="1:13" x14ac:dyDescent="0.3">
      <c r="A1205" s="95">
        <f t="shared" si="18"/>
        <v>0</v>
      </c>
      <c r="B1205" s="106" t="s">
        <v>1205</v>
      </c>
      <c r="C1205" s="95" t="s">
        <v>2642</v>
      </c>
      <c r="D1205" s="106">
        <v>12</v>
      </c>
      <c r="E1205" s="107">
        <v>1</v>
      </c>
      <c r="F1205" s="107" t="s">
        <v>2959</v>
      </c>
      <c r="G1205" s="107" t="s">
        <v>2966</v>
      </c>
      <c r="H1205" s="107" t="s">
        <v>2985</v>
      </c>
      <c r="I1205" s="107" t="s">
        <v>2996</v>
      </c>
      <c r="J1205" s="107" t="s">
        <v>2996</v>
      </c>
      <c r="K1205" s="107" t="s">
        <v>2996</v>
      </c>
      <c r="L1205" s="107">
        <v>255.79</v>
      </c>
      <c r="M1205" s="107"/>
    </row>
    <row r="1206" spans="1:13" x14ac:dyDescent="0.3">
      <c r="A1206" s="95">
        <f t="shared" si="18"/>
        <v>0</v>
      </c>
      <c r="B1206" s="106" t="s">
        <v>1206</v>
      </c>
      <c r="C1206" s="95" t="s">
        <v>2643</v>
      </c>
      <c r="D1206" s="106">
        <v>12</v>
      </c>
      <c r="E1206" s="107">
        <v>1</v>
      </c>
      <c r="F1206" s="107" t="s">
        <v>2959</v>
      </c>
      <c r="G1206" s="107" t="s">
        <v>2966</v>
      </c>
      <c r="H1206" s="107" t="s">
        <v>2978</v>
      </c>
      <c r="I1206" s="107" t="s">
        <v>2997</v>
      </c>
      <c r="J1206" s="107" t="s">
        <v>2997</v>
      </c>
      <c r="K1206" s="107" t="s">
        <v>2996</v>
      </c>
      <c r="L1206" s="107">
        <v>45.61</v>
      </c>
      <c r="M1206" s="107"/>
    </row>
    <row r="1207" spans="1:13" x14ac:dyDescent="0.3">
      <c r="A1207" s="95">
        <f t="shared" si="18"/>
        <v>0</v>
      </c>
      <c r="B1207" s="106" t="s">
        <v>1207</v>
      </c>
      <c r="C1207" s="95" t="s">
        <v>2644</v>
      </c>
      <c r="D1207" s="106">
        <v>12</v>
      </c>
      <c r="E1207" s="107">
        <v>1</v>
      </c>
      <c r="F1207" s="107" t="s">
        <v>2959</v>
      </c>
      <c r="G1207" s="107" t="s">
        <v>2964</v>
      </c>
      <c r="H1207" s="107" t="s">
        <v>2976</v>
      </c>
      <c r="I1207" s="107" t="s">
        <v>2996</v>
      </c>
      <c r="J1207" s="107" t="s">
        <v>2996</v>
      </c>
      <c r="K1207" s="107" t="s">
        <v>2996</v>
      </c>
      <c r="L1207" s="107">
        <v>56.76</v>
      </c>
      <c r="M1207" s="107">
        <v>1</v>
      </c>
    </row>
    <row r="1208" spans="1:13" x14ac:dyDescent="0.3">
      <c r="A1208" s="95">
        <f t="shared" si="18"/>
        <v>0</v>
      </c>
      <c r="B1208" s="106" t="s">
        <v>1208</v>
      </c>
      <c r="C1208" s="95" t="s">
        <v>2645</v>
      </c>
      <c r="D1208" s="106">
        <v>12</v>
      </c>
      <c r="E1208" s="107">
        <v>1</v>
      </c>
      <c r="F1208" s="107" t="s">
        <v>2959</v>
      </c>
      <c r="G1208" s="107" t="s">
        <v>2961</v>
      </c>
      <c r="H1208" s="107" t="s">
        <v>2981</v>
      </c>
      <c r="I1208" s="107" t="s">
        <v>2996</v>
      </c>
      <c r="J1208" s="107" t="s">
        <v>2996</v>
      </c>
      <c r="K1208" s="107" t="s">
        <v>2996</v>
      </c>
      <c r="L1208" s="107">
        <v>50.62</v>
      </c>
      <c r="M1208" s="107"/>
    </row>
    <row r="1209" spans="1:13" x14ac:dyDescent="0.3">
      <c r="A1209" s="95">
        <f t="shared" si="18"/>
        <v>0</v>
      </c>
      <c r="B1209" s="106" t="s">
        <v>1209</v>
      </c>
      <c r="C1209" s="95" t="s">
        <v>2646</v>
      </c>
      <c r="D1209" s="106">
        <v>6</v>
      </c>
      <c r="E1209" s="107">
        <v>1</v>
      </c>
      <c r="F1209" s="107" t="s">
        <v>2959</v>
      </c>
      <c r="G1209" s="107" t="s">
        <v>2960</v>
      </c>
      <c r="H1209" s="107" t="s">
        <v>2983</v>
      </c>
      <c r="I1209" s="107" t="s">
        <v>2996</v>
      </c>
      <c r="J1209" s="107" t="s">
        <v>2996</v>
      </c>
      <c r="K1209" s="107" t="s">
        <v>2996</v>
      </c>
      <c r="L1209" s="107">
        <v>7.45</v>
      </c>
      <c r="M1209" s="107"/>
    </row>
    <row r="1210" spans="1:13" x14ac:dyDescent="0.3">
      <c r="A1210" s="95">
        <f t="shared" si="18"/>
        <v>1</v>
      </c>
      <c r="B1210" s="106" t="s">
        <v>1210</v>
      </c>
      <c r="C1210" s="95" t="s">
        <v>2647</v>
      </c>
      <c r="D1210" s="106">
        <v>12</v>
      </c>
      <c r="E1210" s="107">
        <v>1</v>
      </c>
      <c r="F1210" s="107" t="s">
        <v>2958</v>
      </c>
      <c r="G1210" s="107" t="s">
        <v>2966</v>
      </c>
      <c r="H1210" s="107" t="s">
        <v>2977</v>
      </c>
      <c r="I1210" s="107" t="s">
        <v>2997</v>
      </c>
      <c r="J1210" s="107" t="s">
        <v>2997</v>
      </c>
      <c r="K1210" s="107" t="s">
        <v>2997</v>
      </c>
      <c r="L1210" s="107">
        <v>11946.29</v>
      </c>
      <c r="M1210" s="107">
        <v>20</v>
      </c>
    </row>
    <row r="1211" spans="1:13" x14ac:dyDescent="0.3">
      <c r="A1211" s="95">
        <f t="shared" si="18"/>
        <v>0</v>
      </c>
      <c r="B1211" s="106" t="s">
        <v>1211</v>
      </c>
      <c r="C1211" s="95" t="s">
        <v>2648</v>
      </c>
      <c r="D1211" s="106">
        <v>12</v>
      </c>
      <c r="E1211" s="107">
        <v>1</v>
      </c>
      <c r="F1211" s="107" t="s">
        <v>2959</v>
      </c>
      <c r="G1211" s="107" t="s">
        <v>2961</v>
      </c>
      <c r="H1211" s="107" t="s">
        <v>2971</v>
      </c>
      <c r="I1211" s="107" t="s">
        <v>2997</v>
      </c>
      <c r="J1211" s="107" t="s">
        <v>2997</v>
      </c>
      <c r="K1211" s="107" t="s">
        <v>2996</v>
      </c>
      <c r="L1211" s="107">
        <v>21.19</v>
      </c>
      <c r="M1211" s="107"/>
    </row>
    <row r="1212" spans="1:13" x14ac:dyDescent="0.3">
      <c r="A1212" s="95">
        <f t="shared" si="18"/>
        <v>0</v>
      </c>
      <c r="B1212" s="106" t="s">
        <v>1212</v>
      </c>
      <c r="C1212" s="95" t="s">
        <v>2649</v>
      </c>
      <c r="D1212" s="106">
        <v>12</v>
      </c>
      <c r="E1212" s="107">
        <v>1</v>
      </c>
      <c r="F1212" s="107" t="s">
        <v>2959</v>
      </c>
      <c r="G1212" s="107" t="s">
        <v>2964</v>
      </c>
      <c r="H1212" s="107" t="s">
        <v>2976</v>
      </c>
      <c r="I1212" s="107" t="s">
        <v>2997</v>
      </c>
      <c r="J1212" s="107" t="s">
        <v>2997</v>
      </c>
      <c r="K1212" s="107" t="s">
        <v>2996</v>
      </c>
      <c r="L1212" s="107">
        <v>67.5</v>
      </c>
      <c r="M1212" s="107">
        <v>1</v>
      </c>
    </row>
    <row r="1213" spans="1:13" x14ac:dyDescent="0.3">
      <c r="A1213" s="95">
        <f t="shared" si="18"/>
        <v>0</v>
      </c>
      <c r="B1213" s="106" t="s">
        <v>1213</v>
      </c>
      <c r="C1213" s="95" t="s">
        <v>2650</v>
      </c>
      <c r="D1213" s="106">
        <v>12</v>
      </c>
      <c r="E1213" s="107">
        <v>1</v>
      </c>
      <c r="F1213" s="107" t="s">
        <v>2959</v>
      </c>
      <c r="G1213" s="107" t="s">
        <v>2966</v>
      </c>
      <c r="H1213" s="107" t="s">
        <v>2984</v>
      </c>
      <c r="I1213" s="107" t="s">
        <v>2996</v>
      </c>
      <c r="J1213" s="107" t="s">
        <v>2996</v>
      </c>
      <c r="K1213" s="107" t="s">
        <v>2996</v>
      </c>
      <c r="L1213" s="107">
        <v>154.84</v>
      </c>
      <c r="M1213" s="107">
        <v>5</v>
      </c>
    </row>
    <row r="1214" spans="1:13" x14ac:dyDescent="0.3">
      <c r="A1214" s="95">
        <f t="shared" si="18"/>
        <v>0</v>
      </c>
      <c r="B1214" s="106" t="s">
        <v>1214</v>
      </c>
      <c r="C1214" s="95" t="s">
        <v>2651</v>
      </c>
      <c r="D1214" s="106">
        <v>12</v>
      </c>
      <c r="E1214" s="107">
        <v>1</v>
      </c>
      <c r="F1214" s="107" t="s">
        <v>2959</v>
      </c>
      <c r="G1214" s="107" t="s">
        <v>2960</v>
      </c>
      <c r="H1214" s="107" t="s">
        <v>2970</v>
      </c>
      <c r="I1214" s="107" t="s">
        <v>2997</v>
      </c>
      <c r="J1214" s="107" t="s">
        <v>2997</v>
      </c>
      <c r="K1214" s="107" t="s">
        <v>2996</v>
      </c>
      <c r="L1214" s="107">
        <v>206.81</v>
      </c>
      <c r="M1214" s="107"/>
    </row>
    <row r="1215" spans="1:13" x14ac:dyDescent="0.3">
      <c r="A1215" s="95">
        <f t="shared" si="18"/>
        <v>0</v>
      </c>
      <c r="B1215" s="106" t="s">
        <v>1215</v>
      </c>
      <c r="C1215" s="95" t="s">
        <v>2652</v>
      </c>
      <c r="D1215" s="106">
        <v>12</v>
      </c>
      <c r="E1215" s="107">
        <v>1</v>
      </c>
      <c r="F1215" s="107" t="s">
        <v>2959</v>
      </c>
      <c r="G1215" s="107" t="s">
        <v>2961</v>
      </c>
      <c r="H1215" s="107" t="s">
        <v>2981</v>
      </c>
      <c r="I1215" s="107" t="s">
        <v>2997</v>
      </c>
      <c r="J1215" s="107" t="s">
        <v>2997</v>
      </c>
      <c r="K1215" s="107" t="s">
        <v>2996</v>
      </c>
      <c r="L1215" s="107">
        <v>33.409999999999997</v>
      </c>
      <c r="M1215" s="107"/>
    </row>
    <row r="1216" spans="1:13" x14ac:dyDescent="0.3">
      <c r="A1216" s="95">
        <f t="shared" si="18"/>
        <v>0</v>
      </c>
      <c r="B1216" s="106" t="s">
        <v>1216</v>
      </c>
      <c r="C1216" s="95" t="s">
        <v>2653</v>
      </c>
      <c r="D1216" s="106">
        <v>12</v>
      </c>
      <c r="E1216" s="107">
        <v>1</v>
      </c>
      <c r="F1216" s="107" t="s">
        <v>2959</v>
      </c>
      <c r="G1216" s="107" t="s">
        <v>2966</v>
      </c>
      <c r="H1216" s="107" t="s">
        <v>2984</v>
      </c>
      <c r="I1216" s="107" t="s">
        <v>2996</v>
      </c>
      <c r="J1216" s="107" t="s">
        <v>2996</v>
      </c>
      <c r="K1216" s="107" t="s">
        <v>2996</v>
      </c>
      <c r="L1216" s="107">
        <v>143.29</v>
      </c>
      <c r="M1216" s="107"/>
    </row>
    <row r="1217" spans="1:13" x14ac:dyDescent="0.3">
      <c r="A1217" s="95">
        <f t="shared" si="18"/>
        <v>0</v>
      </c>
      <c r="B1217" s="106" t="s">
        <v>1217</v>
      </c>
      <c r="C1217" s="95" t="s">
        <v>2654</v>
      </c>
      <c r="D1217" s="106">
        <v>12</v>
      </c>
      <c r="E1217" s="107">
        <v>1</v>
      </c>
      <c r="F1217" s="107" t="s">
        <v>2959</v>
      </c>
      <c r="G1217" s="107" t="s">
        <v>2961</v>
      </c>
      <c r="H1217" s="107" t="s">
        <v>2972</v>
      </c>
      <c r="I1217" s="107" t="s">
        <v>2997</v>
      </c>
      <c r="J1217" s="107" t="s">
        <v>2997</v>
      </c>
      <c r="K1217" s="107" t="s">
        <v>2996</v>
      </c>
      <c r="L1217" s="107">
        <v>52.91</v>
      </c>
      <c r="M1217" s="107"/>
    </row>
    <row r="1218" spans="1:13" x14ac:dyDescent="0.3">
      <c r="A1218" s="95">
        <f t="shared" si="18"/>
        <v>0</v>
      </c>
      <c r="B1218" s="106" t="s">
        <v>1218</v>
      </c>
      <c r="C1218" s="95" t="s">
        <v>2655</v>
      </c>
      <c r="D1218" s="106">
        <v>12</v>
      </c>
      <c r="E1218" s="107">
        <v>1</v>
      </c>
      <c r="F1218" s="107" t="s">
        <v>2959</v>
      </c>
      <c r="G1218" s="107" t="s">
        <v>2966</v>
      </c>
      <c r="H1218" s="107" t="s">
        <v>2977</v>
      </c>
      <c r="I1218" s="107" t="s">
        <v>2997</v>
      </c>
      <c r="J1218" s="107" t="s">
        <v>2997</v>
      </c>
      <c r="K1218" s="107" t="s">
        <v>2996</v>
      </c>
      <c r="L1218" s="107">
        <v>82.16</v>
      </c>
      <c r="M1218" s="107"/>
    </row>
    <row r="1219" spans="1:13" x14ac:dyDescent="0.3">
      <c r="A1219" s="95">
        <f t="shared" si="18"/>
        <v>0</v>
      </c>
      <c r="B1219" s="106" t="s">
        <v>1219</v>
      </c>
      <c r="C1219" s="95" t="s">
        <v>2656</v>
      </c>
      <c r="D1219" s="106">
        <v>12</v>
      </c>
      <c r="E1219" s="107">
        <v>1</v>
      </c>
      <c r="F1219" s="107" t="s">
        <v>2959</v>
      </c>
      <c r="G1219" s="107" t="s">
        <v>2966</v>
      </c>
      <c r="H1219" s="107" t="s">
        <v>2980</v>
      </c>
      <c r="I1219" s="107" t="s">
        <v>2997</v>
      </c>
      <c r="J1219" s="107" t="s">
        <v>2997</v>
      </c>
      <c r="K1219" s="107" t="s">
        <v>2996</v>
      </c>
      <c r="L1219" s="107">
        <v>66.86</v>
      </c>
      <c r="M1219" s="107"/>
    </row>
    <row r="1220" spans="1:13" x14ac:dyDescent="0.3">
      <c r="A1220" s="95">
        <f t="shared" si="18"/>
        <v>0</v>
      </c>
      <c r="B1220" s="106" t="s">
        <v>1220</v>
      </c>
      <c r="C1220" s="95" t="s">
        <v>3666</v>
      </c>
      <c r="D1220" s="106">
        <v>12</v>
      </c>
      <c r="E1220" s="107">
        <v>1</v>
      </c>
      <c r="F1220" s="107" t="s">
        <v>2959</v>
      </c>
      <c r="G1220" s="107" t="s">
        <v>2966</v>
      </c>
      <c r="H1220" s="107" t="s">
        <v>2985</v>
      </c>
      <c r="I1220" s="107" t="s">
        <v>2997</v>
      </c>
      <c r="J1220" s="107" t="s">
        <v>2997</v>
      </c>
      <c r="K1220" s="107" t="s">
        <v>2996</v>
      </c>
      <c r="L1220" s="107">
        <v>206.14</v>
      </c>
      <c r="M1220" s="107">
        <v>2</v>
      </c>
    </row>
    <row r="1221" spans="1:13" x14ac:dyDescent="0.3">
      <c r="A1221" s="95">
        <f t="shared" si="18"/>
        <v>0</v>
      </c>
      <c r="B1221" s="106" t="s">
        <v>1221</v>
      </c>
      <c r="C1221" s="95" t="s">
        <v>2657</v>
      </c>
      <c r="D1221" s="106">
        <v>3</v>
      </c>
      <c r="E1221" s="107">
        <v>1</v>
      </c>
      <c r="F1221" s="107" t="s">
        <v>2959</v>
      </c>
      <c r="G1221" s="107" t="s">
        <v>2966</v>
      </c>
      <c r="H1221" s="107" t="s">
        <v>2985</v>
      </c>
      <c r="I1221" s="107" t="s">
        <v>2996</v>
      </c>
      <c r="J1221" s="107" t="s">
        <v>2996</v>
      </c>
      <c r="K1221" s="107" t="s">
        <v>2996</v>
      </c>
      <c r="L1221" s="107">
        <v>23.25</v>
      </c>
      <c r="M1221" s="107"/>
    </row>
    <row r="1222" spans="1:13" x14ac:dyDescent="0.3">
      <c r="A1222" s="95">
        <f t="shared" si="18"/>
        <v>0</v>
      </c>
      <c r="B1222" s="106" t="s">
        <v>1222</v>
      </c>
      <c r="C1222" s="95" t="s">
        <v>2658</v>
      </c>
      <c r="D1222" s="106">
        <v>12</v>
      </c>
      <c r="E1222" s="107">
        <v>1</v>
      </c>
      <c r="F1222" s="107" t="s">
        <v>2959</v>
      </c>
      <c r="G1222" s="107" t="s">
        <v>2960</v>
      </c>
      <c r="H1222" s="107" t="s">
        <v>2970</v>
      </c>
      <c r="I1222" s="107" t="s">
        <v>2997</v>
      </c>
      <c r="J1222" s="107" t="s">
        <v>2997</v>
      </c>
      <c r="K1222" s="107" t="s">
        <v>2996</v>
      </c>
      <c r="L1222" s="107">
        <v>113.72</v>
      </c>
      <c r="M1222" s="107"/>
    </row>
    <row r="1223" spans="1:13" x14ac:dyDescent="0.3">
      <c r="A1223" s="95">
        <f t="shared" si="18"/>
        <v>0</v>
      </c>
      <c r="B1223" s="106" t="s">
        <v>1223</v>
      </c>
      <c r="C1223" s="95" t="s">
        <v>3649</v>
      </c>
      <c r="D1223" s="106">
        <v>12</v>
      </c>
      <c r="E1223" s="107">
        <v>1</v>
      </c>
      <c r="F1223" s="107" t="s">
        <v>2959</v>
      </c>
      <c r="G1223" s="107" t="s">
        <v>2966</v>
      </c>
      <c r="H1223" s="107" t="s">
        <v>2985</v>
      </c>
      <c r="I1223" s="107" t="s">
        <v>2996</v>
      </c>
      <c r="J1223" s="107" t="s">
        <v>2997</v>
      </c>
      <c r="K1223" s="107" t="s">
        <v>2997</v>
      </c>
      <c r="L1223" s="107">
        <v>93.13</v>
      </c>
      <c r="M1223" s="107">
        <v>1</v>
      </c>
    </row>
    <row r="1224" spans="1:13" x14ac:dyDescent="0.3">
      <c r="A1224" s="95">
        <f t="shared" si="18"/>
        <v>0</v>
      </c>
      <c r="B1224" s="106" t="s">
        <v>1224</v>
      </c>
      <c r="C1224" s="95" t="s">
        <v>2659</v>
      </c>
      <c r="D1224" s="106">
        <v>12</v>
      </c>
      <c r="E1224" s="107">
        <v>1</v>
      </c>
      <c r="F1224" s="107" t="s">
        <v>2959</v>
      </c>
      <c r="G1224" s="107" t="s">
        <v>2961</v>
      </c>
      <c r="H1224" s="107" t="s">
        <v>2971</v>
      </c>
      <c r="I1224" s="107" t="s">
        <v>2997</v>
      </c>
      <c r="J1224" s="107" t="s">
        <v>2997</v>
      </c>
      <c r="K1224" s="107" t="s">
        <v>2997</v>
      </c>
      <c r="L1224" s="107">
        <v>84.34</v>
      </c>
      <c r="M1224" s="107">
        <v>1</v>
      </c>
    </row>
    <row r="1225" spans="1:13" x14ac:dyDescent="0.3">
      <c r="A1225" s="95">
        <f t="shared" si="18"/>
        <v>0</v>
      </c>
      <c r="B1225" s="106" t="s">
        <v>1225</v>
      </c>
      <c r="C1225" s="95" t="s">
        <v>2660</v>
      </c>
      <c r="D1225" s="106">
        <v>12</v>
      </c>
      <c r="E1225" s="107">
        <v>1</v>
      </c>
      <c r="F1225" s="107" t="s">
        <v>2958</v>
      </c>
      <c r="G1225" s="107" t="s">
        <v>2964</v>
      </c>
      <c r="H1225" s="107" t="s">
        <v>2976</v>
      </c>
      <c r="I1225" s="107" t="s">
        <v>2997</v>
      </c>
      <c r="J1225" s="107" t="s">
        <v>2997</v>
      </c>
      <c r="K1225" s="107" t="s">
        <v>2997</v>
      </c>
      <c r="L1225" s="107">
        <v>255.61</v>
      </c>
      <c r="M1225" s="107"/>
    </row>
    <row r="1226" spans="1:13" x14ac:dyDescent="0.3">
      <c r="A1226" s="95">
        <f t="shared" si="18"/>
        <v>0</v>
      </c>
      <c r="B1226" s="106" t="s">
        <v>1226</v>
      </c>
      <c r="C1226" s="95" t="s">
        <v>2661</v>
      </c>
      <c r="D1226" s="106">
        <v>12</v>
      </c>
      <c r="E1226" s="107">
        <v>1</v>
      </c>
      <c r="F1226" s="107" t="s">
        <v>2959</v>
      </c>
      <c r="G1226" s="107" t="s">
        <v>2961</v>
      </c>
      <c r="H1226" s="107" t="s">
        <v>2991</v>
      </c>
      <c r="I1226" s="107" t="s">
        <v>2997</v>
      </c>
      <c r="J1226" s="107" t="s">
        <v>2997</v>
      </c>
      <c r="K1226" s="107" t="s">
        <v>2996</v>
      </c>
      <c r="L1226" s="107">
        <v>227.11</v>
      </c>
      <c r="M1226" s="107"/>
    </row>
    <row r="1227" spans="1:13" x14ac:dyDescent="0.3">
      <c r="A1227" s="95">
        <f t="shared" si="18"/>
        <v>0</v>
      </c>
      <c r="B1227" s="106" t="s">
        <v>1227</v>
      </c>
      <c r="C1227" s="95" t="s">
        <v>2662</v>
      </c>
      <c r="D1227" s="106">
        <v>12</v>
      </c>
      <c r="E1227" s="107">
        <v>1</v>
      </c>
      <c r="F1227" s="107" t="s">
        <v>2959</v>
      </c>
      <c r="G1227" s="107" t="s">
        <v>2960</v>
      </c>
      <c r="H1227" s="107" t="s">
        <v>2970</v>
      </c>
      <c r="I1227" s="107" t="s">
        <v>2997</v>
      </c>
      <c r="J1227" s="107" t="s">
        <v>2997</v>
      </c>
      <c r="K1227" s="107" t="s">
        <v>2996</v>
      </c>
      <c r="L1227" s="107">
        <v>158.31</v>
      </c>
      <c r="M1227" s="107"/>
    </row>
    <row r="1228" spans="1:13" x14ac:dyDescent="0.3">
      <c r="A1228" s="95">
        <f t="shared" si="18"/>
        <v>0</v>
      </c>
      <c r="B1228" s="106" t="s">
        <v>1228</v>
      </c>
      <c r="C1228" s="95" t="s">
        <v>2663</v>
      </c>
      <c r="D1228" s="106">
        <v>12</v>
      </c>
      <c r="E1228" s="107">
        <v>1</v>
      </c>
      <c r="F1228" s="107" t="s">
        <v>2959</v>
      </c>
      <c r="G1228" s="107" t="s">
        <v>2966</v>
      </c>
      <c r="H1228" s="107" t="s">
        <v>2978</v>
      </c>
      <c r="I1228" s="107" t="s">
        <v>2997</v>
      </c>
      <c r="J1228" s="107" t="s">
        <v>2997</v>
      </c>
      <c r="K1228" s="107" t="s">
        <v>2996</v>
      </c>
      <c r="L1228" s="107">
        <v>154.13</v>
      </c>
      <c r="M1228" s="107"/>
    </row>
    <row r="1229" spans="1:13" x14ac:dyDescent="0.3">
      <c r="A1229" s="95">
        <f t="shared" si="18"/>
        <v>0</v>
      </c>
      <c r="B1229" s="106" t="s">
        <v>1229</v>
      </c>
      <c r="C1229" s="95" t="s">
        <v>2664</v>
      </c>
      <c r="D1229" s="106">
        <v>12</v>
      </c>
      <c r="E1229" s="107">
        <v>1</v>
      </c>
      <c r="F1229" s="107" t="s">
        <v>2959</v>
      </c>
      <c r="G1229" s="107" t="s">
        <v>2967</v>
      </c>
      <c r="H1229" s="107" t="s">
        <v>2967</v>
      </c>
      <c r="I1229" s="107" t="s">
        <v>2997</v>
      </c>
      <c r="J1229" s="107" t="s">
        <v>2997</v>
      </c>
      <c r="K1229" s="107" t="s">
        <v>2996</v>
      </c>
      <c r="L1229" s="107">
        <v>9.14</v>
      </c>
      <c r="M1229" s="107"/>
    </row>
    <row r="1230" spans="1:13" x14ac:dyDescent="0.3">
      <c r="A1230" s="95">
        <f t="shared" si="18"/>
        <v>0</v>
      </c>
      <c r="B1230" s="106" t="s">
        <v>1230</v>
      </c>
      <c r="C1230" s="95" t="s">
        <v>2665</v>
      </c>
      <c r="D1230" s="106">
        <v>12</v>
      </c>
      <c r="E1230" s="107">
        <v>1</v>
      </c>
      <c r="F1230" s="107" t="s">
        <v>2959</v>
      </c>
      <c r="G1230" s="107" t="s">
        <v>2966</v>
      </c>
      <c r="H1230" s="107" t="s">
        <v>2980</v>
      </c>
      <c r="I1230" s="107" t="s">
        <v>2997</v>
      </c>
      <c r="J1230" s="107" t="s">
        <v>2997</v>
      </c>
      <c r="K1230" s="107" t="s">
        <v>2996</v>
      </c>
      <c r="L1230" s="107">
        <v>18.809999999999999</v>
      </c>
      <c r="M1230" s="107"/>
    </row>
    <row r="1231" spans="1:13" x14ac:dyDescent="0.3">
      <c r="A1231" s="95">
        <f t="shared" ref="A1231:A1294" si="19">IF(AND(E1231=1,J1231=K1231,M1231&gt;6),1,0)</f>
        <v>0</v>
      </c>
      <c r="B1231" s="106" t="s">
        <v>1231</v>
      </c>
      <c r="C1231" s="95" t="s">
        <v>2666</v>
      </c>
      <c r="D1231" s="106">
        <v>12</v>
      </c>
      <c r="E1231" s="107">
        <v>1</v>
      </c>
      <c r="F1231" s="107" t="s">
        <v>2958</v>
      </c>
      <c r="G1231" s="107" t="s">
        <v>2961</v>
      </c>
      <c r="H1231" s="107" t="s">
        <v>2982</v>
      </c>
      <c r="I1231" s="107" t="s">
        <v>2997</v>
      </c>
      <c r="J1231" s="107" t="s">
        <v>2997</v>
      </c>
      <c r="K1231" s="107" t="s">
        <v>2996</v>
      </c>
      <c r="L1231" s="107">
        <v>153.08000000000001</v>
      </c>
      <c r="M1231" s="107"/>
    </row>
    <row r="1232" spans="1:13" x14ac:dyDescent="0.3">
      <c r="A1232" s="95">
        <f t="shared" si="19"/>
        <v>0</v>
      </c>
      <c r="B1232" s="106" t="s">
        <v>1232</v>
      </c>
      <c r="C1232" s="95" t="s">
        <v>2667</v>
      </c>
      <c r="D1232" s="106">
        <v>12</v>
      </c>
      <c r="E1232" s="107">
        <v>1</v>
      </c>
      <c r="F1232" s="107" t="s">
        <v>2959</v>
      </c>
      <c r="G1232" s="107" t="s">
        <v>2964</v>
      </c>
      <c r="H1232" s="107" t="s">
        <v>2987</v>
      </c>
      <c r="I1232" s="107" t="s">
        <v>2996</v>
      </c>
      <c r="J1232" s="107" t="s">
        <v>2996</v>
      </c>
      <c r="K1232" s="107" t="s">
        <v>2996</v>
      </c>
      <c r="L1232" s="107">
        <v>37.4</v>
      </c>
      <c r="M1232" s="107"/>
    </row>
    <row r="1233" spans="1:13" x14ac:dyDescent="0.3">
      <c r="A1233" s="95">
        <f t="shared" si="19"/>
        <v>0</v>
      </c>
      <c r="B1233" s="106" t="s">
        <v>3161</v>
      </c>
      <c r="C1233" s="95" t="s">
        <v>3363</v>
      </c>
      <c r="D1233" s="106">
        <v>12</v>
      </c>
      <c r="E1233" s="107">
        <v>1</v>
      </c>
      <c r="F1233" s="107" t="s">
        <v>2959</v>
      </c>
      <c r="G1233" s="107" t="s">
        <v>2966</v>
      </c>
      <c r="H1233" s="107" t="s">
        <v>2985</v>
      </c>
      <c r="I1233" s="107" t="s">
        <v>2996</v>
      </c>
      <c r="J1233" s="107" t="s">
        <v>2996</v>
      </c>
      <c r="K1233" s="107" t="s">
        <v>2996</v>
      </c>
      <c r="L1233" s="107">
        <v>55.88</v>
      </c>
      <c r="M1233" s="107">
        <v>2</v>
      </c>
    </row>
    <row r="1234" spans="1:13" x14ac:dyDescent="0.3">
      <c r="A1234" s="95">
        <f t="shared" si="19"/>
        <v>0</v>
      </c>
      <c r="B1234" s="106" t="s">
        <v>1233</v>
      </c>
      <c r="C1234" s="95" t="s">
        <v>2668</v>
      </c>
      <c r="D1234" s="106">
        <v>12</v>
      </c>
      <c r="E1234" s="107">
        <v>1</v>
      </c>
      <c r="F1234" s="107" t="s">
        <v>2959</v>
      </c>
      <c r="G1234" s="107" t="s">
        <v>2961</v>
      </c>
      <c r="H1234" s="107" t="s">
        <v>2982</v>
      </c>
      <c r="I1234" s="107" t="s">
        <v>2997</v>
      </c>
      <c r="J1234" s="107" t="s">
        <v>2997</v>
      </c>
      <c r="K1234" s="107" t="s">
        <v>2997</v>
      </c>
      <c r="L1234" s="107">
        <v>95.46</v>
      </c>
      <c r="M1234" s="107">
        <v>3</v>
      </c>
    </row>
    <row r="1235" spans="1:13" x14ac:dyDescent="0.3">
      <c r="A1235" s="95">
        <f t="shared" si="19"/>
        <v>0</v>
      </c>
      <c r="B1235" s="106" t="s">
        <v>1234</v>
      </c>
      <c r="C1235" s="95" t="s">
        <v>2669</v>
      </c>
      <c r="D1235" s="106">
        <v>12</v>
      </c>
      <c r="E1235" s="107">
        <v>1</v>
      </c>
      <c r="F1235" s="107" t="s">
        <v>2959</v>
      </c>
      <c r="G1235" s="107" t="s">
        <v>2961</v>
      </c>
      <c r="H1235" s="107" t="s">
        <v>2981</v>
      </c>
      <c r="I1235" s="107" t="s">
        <v>2997</v>
      </c>
      <c r="J1235" s="107" t="s">
        <v>2997</v>
      </c>
      <c r="K1235" s="107" t="s">
        <v>2997</v>
      </c>
      <c r="L1235" s="107">
        <v>28.56</v>
      </c>
      <c r="M1235" s="107"/>
    </row>
    <row r="1236" spans="1:13" x14ac:dyDescent="0.3">
      <c r="A1236" s="95">
        <f t="shared" si="19"/>
        <v>0</v>
      </c>
      <c r="B1236" s="106" t="s">
        <v>1235</v>
      </c>
      <c r="C1236" s="95" t="s">
        <v>2670</v>
      </c>
      <c r="D1236" s="106">
        <v>12</v>
      </c>
      <c r="E1236" s="107">
        <v>1</v>
      </c>
      <c r="F1236" s="107" t="s">
        <v>2959</v>
      </c>
      <c r="G1236" s="107" t="s">
        <v>2961</v>
      </c>
      <c r="H1236" s="107" t="s">
        <v>2971</v>
      </c>
      <c r="I1236" s="107" t="s">
        <v>2997</v>
      </c>
      <c r="J1236" s="107" t="s">
        <v>2997</v>
      </c>
      <c r="K1236" s="107" t="s">
        <v>2996</v>
      </c>
      <c r="L1236" s="107">
        <v>23.39</v>
      </c>
      <c r="M1236" s="107"/>
    </row>
    <row r="1237" spans="1:13" x14ac:dyDescent="0.3">
      <c r="A1237" s="95">
        <f t="shared" si="19"/>
        <v>0</v>
      </c>
      <c r="B1237" s="106" t="s">
        <v>1236</v>
      </c>
      <c r="C1237" s="95" t="s">
        <v>2671</v>
      </c>
      <c r="D1237" s="106">
        <v>12</v>
      </c>
      <c r="E1237" s="107">
        <v>1</v>
      </c>
      <c r="F1237" s="107" t="s">
        <v>2959</v>
      </c>
      <c r="G1237" s="107" t="s">
        <v>2961</v>
      </c>
      <c r="H1237" s="107" t="s">
        <v>2972</v>
      </c>
      <c r="I1237" s="107" t="s">
        <v>2997</v>
      </c>
      <c r="J1237" s="107" t="s">
        <v>2997</v>
      </c>
      <c r="K1237" s="107" t="s">
        <v>2996</v>
      </c>
      <c r="L1237" s="107">
        <v>44.75</v>
      </c>
      <c r="M1237" s="107"/>
    </row>
    <row r="1238" spans="1:13" x14ac:dyDescent="0.3">
      <c r="A1238" s="95">
        <f t="shared" si="19"/>
        <v>0</v>
      </c>
      <c r="B1238" s="106" t="s">
        <v>3162</v>
      </c>
      <c r="C1238" s="95" t="s">
        <v>3364</v>
      </c>
      <c r="D1238" s="106">
        <v>12</v>
      </c>
      <c r="E1238" s="107">
        <v>1</v>
      </c>
      <c r="F1238" s="107" t="s">
        <v>2959</v>
      </c>
      <c r="G1238" s="107" t="s">
        <v>2966</v>
      </c>
      <c r="H1238" s="107" t="s">
        <v>2984</v>
      </c>
      <c r="I1238" s="107" t="s">
        <v>2996</v>
      </c>
      <c r="J1238" s="107" t="s">
        <v>2996</v>
      </c>
      <c r="K1238" s="107" t="s">
        <v>2996</v>
      </c>
      <c r="L1238" s="107">
        <v>80.209999999999994</v>
      </c>
      <c r="M1238" s="107"/>
    </row>
    <row r="1239" spans="1:13" x14ac:dyDescent="0.3">
      <c r="A1239" s="95">
        <f t="shared" si="19"/>
        <v>0</v>
      </c>
      <c r="B1239" s="106" t="s">
        <v>1237</v>
      </c>
      <c r="C1239" s="95" t="s">
        <v>2672</v>
      </c>
      <c r="D1239" s="106">
        <v>12</v>
      </c>
      <c r="E1239" s="107">
        <v>1</v>
      </c>
      <c r="F1239" s="107" t="s">
        <v>2959</v>
      </c>
      <c r="G1239" s="107" t="s">
        <v>2960</v>
      </c>
      <c r="H1239" s="107" t="s">
        <v>2970</v>
      </c>
      <c r="I1239" s="107" t="s">
        <v>2997</v>
      </c>
      <c r="J1239" s="107" t="s">
        <v>2997</v>
      </c>
      <c r="K1239" s="107" t="s">
        <v>2996</v>
      </c>
      <c r="L1239" s="107">
        <v>4198.5</v>
      </c>
      <c r="M1239" s="107"/>
    </row>
    <row r="1240" spans="1:13" x14ac:dyDescent="0.3">
      <c r="A1240" s="95">
        <f t="shared" si="19"/>
        <v>0</v>
      </c>
      <c r="B1240" s="106" t="s">
        <v>1238</v>
      </c>
      <c r="C1240" s="95" t="s">
        <v>2673</v>
      </c>
      <c r="D1240" s="106">
        <v>12</v>
      </c>
      <c r="E1240" s="107">
        <v>1</v>
      </c>
      <c r="F1240" s="107" t="s">
        <v>2958</v>
      </c>
      <c r="G1240" s="107" t="s">
        <v>2961</v>
      </c>
      <c r="H1240" s="107" t="s">
        <v>2981</v>
      </c>
      <c r="I1240" s="107" t="s">
        <v>2997</v>
      </c>
      <c r="J1240" s="107" t="s">
        <v>2997</v>
      </c>
      <c r="K1240" s="107" t="s">
        <v>2997</v>
      </c>
      <c r="L1240" s="107">
        <v>50</v>
      </c>
      <c r="M1240" s="107">
        <v>1</v>
      </c>
    </row>
    <row r="1241" spans="1:13" x14ac:dyDescent="0.3">
      <c r="A1241" s="95">
        <f t="shared" si="19"/>
        <v>0</v>
      </c>
      <c r="B1241" s="106" t="s">
        <v>1239</v>
      </c>
      <c r="C1241" s="95" t="s">
        <v>2674</v>
      </c>
      <c r="D1241" s="106">
        <v>12</v>
      </c>
      <c r="E1241" s="107">
        <v>1</v>
      </c>
      <c r="F1241" s="107" t="s">
        <v>2959</v>
      </c>
      <c r="G1241" s="107" t="s">
        <v>2960</v>
      </c>
      <c r="H1241" s="107" t="s">
        <v>2970</v>
      </c>
      <c r="I1241" s="107" t="s">
        <v>2996</v>
      </c>
      <c r="J1241" s="107" t="s">
        <v>2996</v>
      </c>
      <c r="K1241" s="107" t="s">
        <v>2996</v>
      </c>
      <c r="L1241" s="107">
        <v>28.34</v>
      </c>
      <c r="M1241" s="107"/>
    </row>
    <row r="1242" spans="1:13" x14ac:dyDescent="0.3">
      <c r="A1242" s="95">
        <f t="shared" si="19"/>
        <v>0</v>
      </c>
      <c r="B1242" s="106" t="s">
        <v>3163</v>
      </c>
      <c r="C1242" s="95" t="s">
        <v>3365</v>
      </c>
      <c r="D1242" s="106">
        <v>12</v>
      </c>
      <c r="E1242" s="107">
        <v>1</v>
      </c>
      <c r="F1242" s="107" t="s">
        <v>2958</v>
      </c>
      <c r="G1242" s="107" t="s">
        <v>2964</v>
      </c>
      <c r="H1242" s="107" t="s">
        <v>2975</v>
      </c>
      <c r="I1242" s="107" t="s">
        <v>2997</v>
      </c>
      <c r="J1242" s="107" t="s">
        <v>2997</v>
      </c>
      <c r="K1242" s="107" t="s">
        <v>2997</v>
      </c>
      <c r="L1242" s="107">
        <v>250.25</v>
      </c>
      <c r="M1242" s="107">
        <v>2</v>
      </c>
    </row>
    <row r="1243" spans="1:13" x14ac:dyDescent="0.3">
      <c r="A1243" s="95">
        <f t="shared" si="19"/>
        <v>0</v>
      </c>
      <c r="B1243" s="106" t="s">
        <v>1240</v>
      </c>
      <c r="C1243" s="95" t="s">
        <v>2675</v>
      </c>
      <c r="D1243" s="106">
        <v>12</v>
      </c>
      <c r="E1243" s="107">
        <v>1</v>
      </c>
      <c r="F1243" s="107" t="s">
        <v>2959</v>
      </c>
      <c r="G1243" s="107" t="s">
        <v>2960</v>
      </c>
      <c r="H1243" s="107" t="s">
        <v>2970</v>
      </c>
      <c r="I1243" s="107" t="s">
        <v>2997</v>
      </c>
      <c r="J1243" s="107" t="s">
        <v>2997</v>
      </c>
      <c r="K1243" s="107" t="s">
        <v>2996</v>
      </c>
      <c r="L1243" s="107">
        <v>193.7</v>
      </c>
      <c r="M1243" s="107"/>
    </row>
    <row r="1244" spans="1:13" x14ac:dyDescent="0.3">
      <c r="A1244" s="95">
        <f t="shared" si="19"/>
        <v>0</v>
      </c>
      <c r="B1244" s="106" t="s">
        <v>1241</v>
      </c>
      <c r="C1244" s="95" t="s">
        <v>2676</v>
      </c>
      <c r="D1244" s="106">
        <v>12</v>
      </c>
      <c r="E1244" s="107">
        <v>1</v>
      </c>
      <c r="F1244" s="107" t="s">
        <v>2959</v>
      </c>
      <c r="G1244" s="107" t="s">
        <v>2966</v>
      </c>
      <c r="H1244" s="107" t="s">
        <v>2980</v>
      </c>
      <c r="I1244" s="107" t="s">
        <v>2997</v>
      </c>
      <c r="J1244" s="107" t="s">
        <v>2997</v>
      </c>
      <c r="K1244" s="107" t="s">
        <v>2996</v>
      </c>
      <c r="L1244" s="107">
        <v>68.41</v>
      </c>
      <c r="M1244" s="107"/>
    </row>
    <row r="1245" spans="1:13" x14ac:dyDescent="0.3">
      <c r="A1245" s="95">
        <f t="shared" si="19"/>
        <v>1</v>
      </c>
      <c r="B1245" s="106" t="s">
        <v>1242</v>
      </c>
      <c r="C1245" s="95" t="s">
        <v>2677</v>
      </c>
      <c r="D1245" s="106">
        <v>12</v>
      </c>
      <c r="E1245" s="107">
        <v>1</v>
      </c>
      <c r="F1245" s="107" t="s">
        <v>2958</v>
      </c>
      <c r="G1245" s="107" t="s">
        <v>2960</v>
      </c>
      <c r="H1245" s="107" t="s">
        <v>2970</v>
      </c>
      <c r="I1245" s="107" t="s">
        <v>2997</v>
      </c>
      <c r="J1245" s="107" t="s">
        <v>2997</v>
      </c>
      <c r="K1245" s="107" t="s">
        <v>2997</v>
      </c>
      <c r="L1245" s="107">
        <v>795.7</v>
      </c>
      <c r="M1245" s="107">
        <v>7</v>
      </c>
    </row>
    <row r="1246" spans="1:13" x14ac:dyDescent="0.3">
      <c r="A1246" s="95">
        <f t="shared" si="19"/>
        <v>0</v>
      </c>
      <c r="B1246" s="106" t="s">
        <v>1243</v>
      </c>
      <c r="C1246" s="95" t="s">
        <v>2678</v>
      </c>
      <c r="D1246" s="106">
        <v>12</v>
      </c>
      <c r="E1246" s="107">
        <v>1</v>
      </c>
      <c r="F1246" s="107" t="s">
        <v>2959</v>
      </c>
      <c r="G1246" s="107" t="s">
        <v>2961</v>
      </c>
      <c r="H1246" s="107" t="s">
        <v>2991</v>
      </c>
      <c r="I1246" s="107" t="s">
        <v>2996</v>
      </c>
      <c r="J1246" s="107" t="s">
        <v>2996</v>
      </c>
      <c r="K1246" s="107" t="s">
        <v>2996</v>
      </c>
      <c r="L1246" s="107">
        <v>75.27</v>
      </c>
      <c r="M1246" s="107">
        <v>1</v>
      </c>
    </row>
    <row r="1247" spans="1:13" x14ac:dyDescent="0.3">
      <c r="A1247" s="95">
        <f t="shared" si="19"/>
        <v>0</v>
      </c>
      <c r="B1247" s="106" t="s">
        <v>3164</v>
      </c>
      <c r="C1247" s="95" t="s">
        <v>3366</v>
      </c>
      <c r="D1247" s="106">
        <v>12</v>
      </c>
      <c r="E1247" s="107">
        <v>1</v>
      </c>
      <c r="F1247" s="107" t="s">
        <v>2959</v>
      </c>
      <c r="G1247" s="107" t="s">
        <v>2966</v>
      </c>
      <c r="H1247" s="107" t="s">
        <v>2984</v>
      </c>
      <c r="I1247" s="107" t="s">
        <v>2996</v>
      </c>
      <c r="J1247" s="107" t="s">
        <v>2996</v>
      </c>
      <c r="K1247" s="107" t="s">
        <v>2996</v>
      </c>
      <c r="L1247" s="107">
        <v>32.18</v>
      </c>
      <c r="M1247" s="107"/>
    </row>
    <row r="1248" spans="1:13" x14ac:dyDescent="0.3">
      <c r="A1248" s="95">
        <f t="shared" si="19"/>
        <v>0</v>
      </c>
      <c r="B1248" s="106" t="s">
        <v>1244</v>
      </c>
      <c r="C1248" s="95" t="s">
        <v>2679</v>
      </c>
      <c r="D1248" s="106">
        <v>12</v>
      </c>
      <c r="E1248" s="107">
        <v>1</v>
      </c>
      <c r="F1248" s="107" t="s">
        <v>2959</v>
      </c>
      <c r="G1248" s="107" t="s">
        <v>2966</v>
      </c>
      <c r="H1248" s="107" t="s">
        <v>2985</v>
      </c>
      <c r="I1248" s="107" t="s">
        <v>2997</v>
      </c>
      <c r="J1248" s="107" t="s">
        <v>2997</v>
      </c>
      <c r="K1248" s="107" t="s">
        <v>2997</v>
      </c>
      <c r="L1248" s="107">
        <v>299.79000000000002</v>
      </c>
      <c r="M1248" s="107">
        <v>2</v>
      </c>
    </row>
    <row r="1249" spans="1:13" x14ac:dyDescent="0.3">
      <c r="A1249" s="95">
        <f t="shared" si="19"/>
        <v>0</v>
      </c>
      <c r="B1249" s="106" t="s">
        <v>1245</v>
      </c>
      <c r="C1249" s="95" t="s">
        <v>3554</v>
      </c>
      <c r="D1249" s="106">
        <v>12</v>
      </c>
      <c r="E1249" s="107">
        <v>1</v>
      </c>
      <c r="F1249" s="107" t="s">
        <v>2959</v>
      </c>
      <c r="G1249" s="107" t="s">
        <v>2961</v>
      </c>
      <c r="H1249" s="107" t="s">
        <v>2982</v>
      </c>
      <c r="I1249" s="107" t="s">
        <v>2996</v>
      </c>
      <c r="J1249" s="107" t="s">
        <v>2996</v>
      </c>
      <c r="K1249" s="107" t="s">
        <v>2996</v>
      </c>
      <c r="L1249" s="107">
        <v>73.52</v>
      </c>
      <c r="M1249" s="107"/>
    </row>
    <row r="1250" spans="1:13" x14ac:dyDescent="0.3">
      <c r="A1250" s="95">
        <f t="shared" si="19"/>
        <v>0</v>
      </c>
      <c r="B1250" s="106" t="s">
        <v>3165</v>
      </c>
      <c r="C1250" s="95" t="s">
        <v>3367</v>
      </c>
      <c r="D1250" s="106">
        <v>12</v>
      </c>
      <c r="E1250" s="107">
        <v>1</v>
      </c>
      <c r="F1250" s="107" t="s">
        <v>2959</v>
      </c>
      <c r="G1250" s="107" t="s">
        <v>2964</v>
      </c>
      <c r="H1250" s="107" t="s">
        <v>2987</v>
      </c>
      <c r="I1250" s="107" t="s">
        <v>2997</v>
      </c>
      <c r="J1250" s="107" t="s">
        <v>2997</v>
      </c>
      <c r="K1250" s="107" t="s">
        <v>2996</v>
      </c>
      <c r="L1250" s="107">
        <v>36.72</v>
      </c>
      <c r="M1250" s="107"/>
    </row>
    <row r="1251" spans="1:13" x14ac:dyDescent="0.3">
      <c r="A1251" s="95">
        <f t="shared" si="19"/>
        <v>0</v>
      </c>
      <c r="B1251" s="106" t="s">
        <v>1246</v>
      </c>
      <c r="C1251" s="95" t="s">
        <v>2680</v>
      </c>
      <c r="D1251" s="106">
        <v>12</v>
      </c>
      <c r="E1251" s="107">
        <v>1</v>
      </c>
      <c r="F1251" s="107" t="s">
        <v>2958</v>
      </c>
      <c r="G1251" s="107" t="s">
        <v>2965</v>
      </c>
      <c r="H1251" s="107" t="s">
        <v>2965</v>
      </c>
      <c r="I1251" s="107" t="s">
        <v>2997</v>
      </c>
      <c r="J1251" s="107" t="s">
        <v>2997</v>
      </c>
      <c r="K1251" s="107" t="s">
        <v>2997</v>
      </c>
      <c r="L1251" s="107">
        <v>752.17</v>
      </c>
      <c r="M1251" s="107">
        <v>6</v>
      </c>
    </row>
    <row r="1252" spans="1:13" x14ac:dyDescent="0.3">
      <c r="A1252" s="95">
        <f t="shared" si="19"/>
        <v>0</v>
      </c>
      <c r="B1252" s="106" t="s">
        <v>1247</v>
      </c>
      <c r="C1252" s="95" t="s">
        <v>2681</v>
      </c>
      <c r="D1252" s="106">
        <v>12</v>
      </c>
      <c r="E1252" s="107">
        <v>1</v>
      </c>
      <c r="F1252" s="107" t="s">
        <v>2959</v>
      </c>
      <c r="G1252" s="107" t="s">
        <v>2966</v>
      </c>
      <c r="H1252" s="107" t="s">
        <v>2980</v>
      </c>
      <c r="I1252" s="107" t="s">
        <v>2996</v>
      </c>
      <c r="J1252" s="107" t="s">
        <v>2996</v>
      </c>
      <c r="K1252" s="107" t="s">
        <v>2996</v>
      </c>
      <c r="L1252" s="107">
        <v>114.84</v>
      </c>
      <c r="M1252" s="107">
        <v>5</v>
      </c>
    </row>
    <row r="1253" spans="1:13" x14ac:dyDescent="0.3">
      <c r="A1253" s="95">
        <f t="shared" si="19"/>
        <v>0</v>
      </c>
      <c r="B1253" s="106" t="s">
        <v>1248</v>
      </c>
      <c r="C1253" s="95" t="s">
        <v>2682</v>
      </c>
      <c r="D1253" s="106">
        <v>12</v>
      </c>
      <c r="E1253" s="107">
        <v>1</v>
      </c>
      <c r="F1253" s="107" t="s">
        <v>2959</v>
      </c>
      <c r="G1253" s="107" t="s">
        <v>2966</v>
      </c>
      <c r="H1253" s="107" t="s">
        <v>2985</v>
      </c>
      <c r="I1253" s="107" t="s">
        <v>2997</v>
      </c>
      <c r="J1253" s="107" t="s">
        <v>2997</v>
      </c>
      <c r="K1253" s="107" t="s">
        <v>2996</v>
      </c>
      <c r="L1253" s="107">
        <v>91.76</v>
      </c>
      <c r="M1253" s="107">
        <v>1</v>
      </c>
    </row>
    <row r="1254" spans="1:13" x14ac:dyDescent="0.3">
      <c r="A1254" s="95">
        <f t="shared" si="19"/>
        <v>0</v>
      </c>
      <c r="B1254" s="106" t="s">
        <v>1249</v>
      </c>
      <c r="C1254" s="95" t="s">
        <v>2683</v>
      </c>
      <c r="D1254" s="106">
        <v>12</v>
      </c>
      <c r="E1254" s="107">
        <v>1</v>
      </c>
      <c r="F1254" s="107" t="s">
        <v>2958</v>
      </c>
      <c r="G1254" s="107" t="s">
        <v>2965</v>
      </c>
      <c r="H1254" s="107" t="s">
        <v>2965</v>
      </c>
      <c r="I1254" s="107" t="s">
        <v>2997</v>
      </c>
      <c r="J1254" s="107" t="s">
        <v>2997</v>
      </c>
      <c r="K1254" s="107" t="s">
        <v>2997</v>
      </c>
      <c r="L1254" s="107">
        <v>54.95</v>
      </c>
      <c r="M1254" s="107">
        <v>1</v>
      </c>
    </row>
    <row r="1255" spans="1:13" x14ac:dyDescent="0.3">
      <c r="A1255" s="95">
        <f t="shared" si="19"/>
        <v>0</v>
      </c>
      <c r="B1255" s="106" t="s">
        <v>1250</v>
      </c>
      <c r="C1255" s="95" t="s">
        <v>2684</v>
      </c>
      <c r="D1255" s="106">
        <v>12</v>
      </c>
      <c r="E1255" s="107">
        <v>1</v>
      </c>
      <c r="F1255" s="107" t="s">
        <v>2959</v>
      </c>
      <c r="G1255" s="107" t="s">
        <v>2966</v>
      </c>
      <c r="H1255" s="107" t="s">
        <v>2984</v>
      </c>
      <c r="I1255" s="107" t="s">
        <v>2997</v>
      </c>
      <c r="J1255" s="107" t="s">
        <v>2997</v>
      </c>
      <c r="K1255" s="107" t="s">
        <v>2997</v>
      </c>
      <c r="L1255" s="107">
        <v>67.209999999999994</v>
      </c>
      <c r="M1255" s="107"/>
    </row>
    <row r="1256" spans="1:13" x14ac:dyDescent="0.3">
      <c r="A1256" s="95">
        <f t="shared" si="19"/>
        <v>0</v>
      </c>
      <c r="B1256" s="106" t="s">
        <v>1251</v>
      </c>
      <c r="C1256" s="95" t="s">
        <v>2685</v>
      </c>
      <c r="D1256" s="106">
        <v>12</v>
      </c>
      <c r="E1256" s="107">
        <v>1</v>
      </c>
      <c r="F1256" s="107" t="s">
        <v>2959</v>
      </c>
      <c r="G1256" s="107" t="s">
        <v>2966</v>
      </c>
      <c r="H1256" s="107" t="s">
        <v>2984</v>
      </c>
      <c r="I1256" s="107" t="s">
        <v>2997</v>
      </c>
      <c r="J1256" s="107" t="s">
        <v>2997</v>
      </c>
      <c r="K1256" s="107" t="s">
        <v>2996</v>
      </c>
      <c r="L1256" s="107">
        <v>23.91</v>
      </c>
      <c r="M1256" s="107"/>
    </row>
    <row r="1257" spans="1:13" x14ac:dyDescent="0.3">
      <c r="A1257" s="95">
        <f t="shared" si="19"/>
        <v>0</v>
      </c>
      <c r="B1257" s="106" t="s">
        <v>1252</v>
      </c>
      <c r="C1257" s="95" t="s">
        <v>2686</v>
      </c>
      <c r="D1257" s="106">
        <v>12</v>
      </c>
      <c r="E1257" s="107">
        <v>1</v>
      </c>
      <c r="F1257" s="107" t="s">
        <v>2958</v>
      </c>
      <c r="G1257" s="107" t="s">
        <v>2960</v>
      </c>
      <c r="H1257" s="107" t="s">
        <v>2970</v>
      </c>
      <c r="I1257" s="107" t="s">
        <v>2997</v>
      </c>
      <c r="J1257" s="107" t="s">
        <v>2997</v>
      </c>
      <c r="K1257" s="107" t="s">
        <v>2996</v>
      </c>
      <c r="L1257" s="107">
        <v>662.75</v>
      </c>
      <c r="M1257" s="107">
        <v>9</v>
      </c>
    </row>
    <row r="1258" spans="1:13" x14ac:dyDescent="0.3">
      <c r="A1258" s="95">
        <f t="shared" si="19"/>
        <v>0</v>
      </c>
      <c r="B1258" s="106" t="s">
        <v>3166</v>
      </c>
      <c r="C1258" s="95" t="s">
        <v>3368</v>
      </c>
      <c r="D1258" s="106">
        <v>12</v>
      </c>
      <c r="E1258" s="107">
        <v>1</v>
      </c>
      <c r="F1258" s="107" t="s">
        <v>2958</v>
      </c>
      <c r="G1258" s="107" t="s">
        <v>2961</v>
      </c>
      <c r="H1258" s="107" t="s">
        <v>2972</v>
      </c>
      <c r="I1258" s="107" t="s">
        <v>2997</v>
      </c>
      <c r="J1258" s="107" t="s">
        <v>2997</v>
      </c>
      <c r="K1258" s="107" t="s">
        <v>2997</v>
      </c>
      <c r="L1258" s="107">
        <v>74.16</v>
      </c>
      <c r="M1258" s="107">
        <v>1</v>
      </c>
    </row>
    <row r="1259" spans="1:13" x14ac:dyDescent="0.3">
      <c r="A1259" s="95">
        <f t="shared" si="19"/>
        <v>0</v>
      </c>
      <c r="B1259" s="106" t="s">
        <v>1253</v>
      </c>
      <c r="C1259" s="95" t="s">
        <v>2687</v>
      </c>
      <c r="D1259" s="106">
        <v>12</v>
      </c>
      <c r="E1259" s="107">
        <v>1</v>
      </c>
      <c r="F1259" s="107" t="s">
        <v>2958</v>
      </c>
      <c r="G1259" s="107" t="s">
        <v>2965</v>
      </c>
      <c r="H1259" s="107" t="s">
        <v>2965</v>
      </c>
      <c r="I1259" s="107" t="s">
        <v>2996</v>
      </c>
      <c r="J1259" s="107" t="s">
        <v>2996</v>
      </c>
      <c r="K1259" s="107" t="s">
        <v>2996</v>
      </c>
      <c r="L1259" s="107">
        <v>38.659999999999997</v>
      </c>
      <c r="M1259" s="107"/>
    </row>
    <row r="1260" spans="1:13" x14ac:dyDescent="0.3">
      <c r="A1260" s="95">
        <f t="shared" si="19"/>
        <v>0</v>
      </c>
      <c r="B1260" s="106" t="s">
        <v>1254</v>
      </c>
      <c r="C1260" s="95" t="s">
        <v>2688</v>
      </c>
      <c r="D1260" s="106">
        <v>12</v>
      </c>
      <c r="E1260" s="107">
        <v>1</v>
      </c>
      <c r="F1260" s="107" t="s">
        <v>2959</v>
      </c>
      <c r="G1260" s="107" t="s">
        <v>2961</v>
      </c>
      <c r="H1260" s="107" t="s">
        <v>2982</v>
      </c>
      <c r="I1260" s="107" t="s">
        <v>2997</v>
      </c>
      <c r="J1260" s="107" t="s">
        <v>2997</v>
      </c>
      <c r="K1260" s="107" t="s">
        <v>2996</v>
      </c>
      <c r="L1260" s="107">
        <v>15.41</v>
      </c>
      <c r="M1260" s="107"/>
    </row>
    <row r="1261" spans="1:13" x14ac:dyDescent="0.3">
      <c r="A1261" s="95">
        <f t="shared" si="19"/>
        <v>1</v>
      </c>
      <c r="B1261" s="106" t="s">
        <v>1255</v>
      </c>
      <c r="C1261" s="95" t="s">
        <v>2689</v>
      </c>
      <c r="D1261" s="106">
        <v>12</v>
      </c>
      <c r="E1261" s="107">
        <v>1</v>
      </c>
      <c r="F1261" s="107" t="s">
        <v>2958</v>
      </c>
      <c r="G1261" s="107" t="s">
        <v>2961</v>
      </c>
      <c r="H1261" s="107" t="s">
        <v>2982</v>
      </c>
      <c r="I1261" s="107" t="s">
        <v>2997</v>
      </c>
      <c r="J1261" s="107" t="s">
        <v>2997</v>
      </c>
      <c r="K1261" s="107" t="s">
        <v>2997</v>
      </c>
      <c r="L1261" s="107">
        <v>3510.37</v>
      </c>
      <c r="M1261" s="107">
        <v>24</v>
      </c>
    </row>
    <row r="1262" spans="1:13" x14ac:dyDescent="0.3">
      <c r="A1262" s="95">
        <f t="shared" si="19"/>
        <v>0</v>
      </c>
      <c r="B1262" s="106" t="s">
        <v>3167</v>
      </c>
      <c r="C1262" s="95" t="s">
        <v>3369</v>
      </c>
      <c r="D1262" s="106">
        <v>12</v>
      </c>
      <c r="E1262" s="107">
        <v>1</v>
      </c>
      <c r="F1262" s="107" t="s">
        <v>2959</v>
      </c>
      <c r="G1262" s="107" t="s">
        <v>2966</v>
      </c>
      <c r="H1262" s="107" t="s">
        <v>2984</v>
      </c>
      <c r="I1262" s="107" t="s">
        <v>2996</v>
      </c>
      <c r="J1262" s="107" t="s">
        <v>2996</v>
      </c>
      <c r="K1262" s="107" t="s">
        <v>2996</v>
      </c>
      <c r="L1262" s="107">
        <v>39.22</v>
      </c>
      <c r="M1262" s="107">
        <v>1</v>
      </c>
    </row>
    <row r="1263" spans="1:13" x14ac:dyDescent="0.3">
      <c r="A1263" s="95">
        <f t="shared" si="19"/>
        <v>0</v>
      </c>
      <c r="B1263" s="106" t="s">
        <v>1256</v>
      </c>
      <c r="C1263" s="95" t="s">
        <v>2690</v>
      </c>
      <c r="D1263" s="106">
        <v>12</v>
      </c>
      <c r="E1263" s="107">
        <v>1</v>
      </c>
      <c r="F1263" s="107" t="s">
        <v>2959</v>
      </c>
      <c r="G1263" s="107" t="s">
        <v>2966</v>
      </c>
      <c r="H1263" s="107" t="s">
        <v>2980</v>
      </c>
      <c r="I1263" s="107" t="s">
        <v>2997</v>
      </c>
      <c r="J1263" s="107" t="s">
        <v>2997</v>
      </c>
      <c r="K1263" s="107" t="s">
        <v>2997</v>
      </c>
      <c r="L1263" s="107">
        <v>18.7</v>
      </c>
      <c r="M1263" s="107"/>
    </row>
    <row r="1264" spans="1:13" x14ac:dyDescent="0.3">
      <c r="A1264" s="95">
        <f t="shared" si="19"/>
        <v>0</v>
      </c>
      <c r="B1264" s="106" t="s">
        <v>1257</v>
      </c>
      <c r="C1264" s="95" t="s">
        <v>2691</v>
      </c>
      <c r="D1264" s="106">
        <v>12</v>
      </c>
      <c r="E1264" s="107">
        <v>1</v>
      </c>
      <c r="F1264" s="107" t="s">
        <v>2959</v>
      </c>
      <c r="G1264" s="107" t="s">
        <v>2966</v>
      </c>
      <c r="H1264" s="107" t="s">
        <v>2985</v>
      </c>
      <c r="I1264" s="107" t="s">
        <v>2997</v>
      </c>
      <c r="J1264" s="107" t="s">
        <v>2997</v>
      </c>
      <c r="K1264" s="107" t="s">
        <v>2996</v>
      </c>
      <c r="L1264" s="107">
        <v>23.92</v>
      </c>
      <c r="M1264" s="107"/>
    </row>
    <row r="1265" spans="1:13" x14ac:dyDescent="0.3">
      <c r="A1265" s="95">
        <f t="shared" si="19"/>
        <v>0</v>
      </c>
      <c r="B1265" s="106" t="s">
        <v>1258</v>
      </c>
      <c r="C1265" s="95" t="s">
        <v>2692</v>
      </c>
      <c r="D1265" s="106">
        <v>3</v>
      </c>
      <c r="E1265" s="107">
        <v>1</v>
      </c>
      <c r="F1265" s="107" t="s">
        <v>2958</v>
      </c>
      <c r="G1265" s="107" t="s">
        <v>2962</v>
      </c>
      <c r="H1265" s="107" t="s">
        <v>2979</v>
      </c>
      <c r="I1265" s="107" t="s">
        <v>2997</v>
      </c>
      <c r="J1265" s="107" t="s">
        <v>2997</v>
      </c>
      <c r="K1265" s="107" t="s">
        <v>2997</v>
      </c>
      <c r="L1265" s="107">
        <v>2315.41</v>
      </c>
      <c r="M1265" s="107">
        <v>4</v>
      </c>
    </row>
    <row r="1266" spans="1:13" x14ac:dyDescent="0.3">
      <c r="A1266" s="95">
        <f t="shared" si="19"/>
        <v>0</v>
      </c>
      <c r="B1266" s="106" t="s">
        <v>1259</v>
      </c>
      <c r="C1266" s="95" t="s">
        <v>2693</v>
      </c>
      <c r="D1266" s="106">
        <v>12</v>
      </c>
      <c r="E1266" s="107">
        <v>1</v>
      </c>
      <c r="F1266" s="107" t="s">
        <v>2958</v>
      </c>
      <c r="G1266" s="107" t="s">
        <v>2965</v>
      </c>
      <c r="H1266" s="107" t="s">
        <v>2965</v>
      </c>
      <c r="I1266" s="107" t="s">
        <v>2996</v>
      </c>
      <c r="J1266" s="107" t="s">
        <v>2996</v>
      </c>
      <c r="K1266" s="107" t="s">
        <v>2996</v>
      </c>
      <c r="L1266" s="107">
        <v>46</v>
      </c>
      <c r="M1266" s="107"/>
    </row>
    <row r="1267" spans="1:13" x14ac:dyDescent="0.3">
      <c r="A1267" s="95">
        <f t="shared" si="19"/>
        <v>0</v>
      </c>
      <c r="B1267" s="106" t="s">
        <v>3168</v>
      </c>
      <c r="C1267" s="95" t="s">
        <v>3370</v>
      </c>
      <c r="D1267" s="106">
        <v>12</v>
      </c>
      <c r="E1267" s="107">
        <v>1</v>
      </c>
      <c r="F1267" s="107" t="s">
        <v>2959</v>
      </c>
      <c r="G1267" s="107" t="s">
        <v>2960</v>
      </c>
      <c r="H1267" s="107" t="s">
        <v>2983</v>
      </c>
      <c r="I1267" s="107" t="s">
        <v>2997</v>
      </c>
      <c r="J1267" s="107" t="s">
        <v>2997</v>
      </c>
      <c r="K1267" s="107" t="s">
        <v>2997</v>
      </c>
      <c r="L1267" s="107">
        <v>201.08</v>
      </c>
      <c r="M1267" s="107"/>
    </row>
    <row r="1268" spans="1:13" x14ac:dyDescent="0.3">
      <c r="A1268" s="95">
        <f t="shared" si="19"/>
        <v>0</v>
      </c>
      <c r="B1268" s="106" t="s">
        <v>1260</v>
      </c>
      <c r="C1268" s="95" t="s">
        <v>2694</v>
      </c>
      <c r="D1268" s="106">
        <v>12</v>
      </c>
      <c r="E1268" s="107">
        <v>1</v>
      </c>
      <c r="F1268" s="107" t="s">
        <v>2959</v>
      </c>
      <c r="G1268" s="107" t="s">
        <v>2966</v>
      </c>
      <c r="H1268" s="107" t="s">
        <v>2980</v>
      </c>
      <c r="I1268" s="107" t="s">
        <v>2996</v>
      </c>
      <c r="J1268" s="107" t="s">
        <v>2996</v>
      </c>
      <c r="K1268" s="107" t="s">
        <v>2996</v>
      </c>
      <c r="L1268" s="107">
        <v>39.6</v>
      </c>
      <c r="M1268" s="107">
        <v>1</v>
      </c>
    </row>
    <row r="1269" spans="1:13" x14ac:dyDescent="0.3">
      <c r="A1269" s="95">
        <f t="shared" si="19"/>
        <v>0</v>
      </c>
      <c r="B1269" s="106" t="s">
        <v>3169</v>
      </c>
      <c r="C1269" s="95" t="s">
        <v>3371</v>
      </c>
      <c r="D1269" s="106">
        <v>12</v>
      </c>
      <c r="E1269" s="107">
        <v>1</v>
      </c>
      <c r="F1269" s="107" t="s">
        <v>2958</v>
      </c>
      <c r="G1269" s="107" t="s">
        <v>2968</v>
      </c>
      <c r="H1269" s="107" t="s">
        <v>2968</v>
      </c>
      <c r="I1269" s="107" t="s">
        <v>2997</v>
      </c>
      <c r="J1269" s="107" t="s">
        <v>2997</v>
      </c>
      <c r="K1269" s="107" t="s">
        <v>2997</v>
      </c>
      <c r="L1269" s="107">
        <v>1042.0899999999999</v>
      </c>
      <c r="M1269" s="107">
        <v>5</v>
      </c>
    </row>
    <row r="1270" spans="1:13" x14ac:dyDescent="0.3">
      <c r="A1270" s="95">
        <f t="shared" si="19"/>
        <v>0</v>
      </c>
      <c r="B1270" s="106" t="s">
        <v>1261</v>
      </c>
      <c r="C1270" s="95" t="s">
        <v>2695</v>
      </c>
      <c r="D1270" s="106">
        <v>12</v>
      </c>
      <c r="E1270" s="107">
        <v>1</v>
      </c>
      <c r="F1270" s="107" t="s">
        <v>2959</v>
      </c>
      <c r="G1270" s="107" t="s">
        <v>2964</v>
      </c>
      <c r="H1270" s="107" t="s">
        <v>2976</v>
      </c>
      <c r="I1270" s="107" t="s">
        <v>2997</v>
      </c>
      <c r="J1270" s="107" t="s">
        <v>2997</v>
      </c>
      <c r="K1270" s="107" t="s">
        <v>2997</v>
      </c>
      <c r="L1270" s="107">
        <v>69.099999999999994</v>
      </c>
      <c r="M1270" s="107">
        <v>1</v>
      </c>
    </row>
    <row r="1271" spans="1:13" x14ac:dyDescent="0.3">
      <c r="A1271" s="95">
        <f t="shared" si="19"/>
        <v>1</v>
      </c>
      <c r="B1271" s="106" t="s">
        <v>3170</v>
      </c>
      <c r="C1271" s="95" t="s">
        <v>3532</v>
      </c>
      <c r="D1271" s="106">
        <v>12</v>
      </c>
      <c r="E1271" s="107">
        <v>1</v>
      </c>
      <c r="F1271" s="107" t="s">
        <v>2958</v>
      </c>
      <c r="G1271" s="107" t="s">
        <v>2961</v>
      </c>
      <c r="H1271" s="107" t="s">
        <v>2982</v>
      </c>
      <c r="I1271" s="107" t="s">
        <v>2997</v>
      </c>
      <c r="J1271" s="107" t="s">
        <v>2997</v>
      </c>
      <c r="K1271" s="107" t="s">
        <v>2997</v>
      </c>
      <c r="L1271" s="107">
        <v>2001.93</v>
      </c>
      <c r="M1271" s="107">
        <v>16</v>
      </c>
    </row>
    <row r="1272" spans="1:13" x14ac:dyDescent="0.3">
      <c r="A1272" s="95">
        <f t="shared" si="19"/>
        <v>0</v>
      </c>
      <c r="B1272" s="106" t="s">
        <v>1262</v>
      </c>
      <c r="C1272" s="95" t="s">
        <v>2696</v>
      </c>
      <c r="D1272" s="106">
        <v>12</v>
      </c>
      <c r="E1272" s="107">
        <v>1</v>
      </c>
      <c r="F1272" s="107" t="s">
        <v>2959</v>
      </c>
      <c r="G1272" s="107" t="s">
        <v>2966</v>
      </c>
      <c r="H1272" s="107" t="s">
        <v>2978</v>
      </c>
      <c r="I1272" s="107" t="s">
        <v>2997</v>
      </c>
      <c r="J1272" s="107" t="s">
        <v>2997</v>
      </c>
      <c r="K1272" s="107" t="s">
        <v>2996</v>
      </c>
      <c r="L1272" s="107">
        <v>24.24</v>
      </c>
      <c r="M1272" s="107"/>
    </row>
    <row r="1273" spans="1:13" x14ac:dyDescent="0.3">
      <c r="A1273" s="95">
        <f t="shared" si="19"/>
        <v>0</v>
      </c>
      <c r="B1273" s="106" t="s">
        <v>1263</v>
      </c>
      <c r="C1273" s="95" t="s">
        <v>2697</v>
      </c>
      <c r="D1273" s="106">
        <v>12</v>
      </c>
      <c r="E1273" s="107">
        <v>1</v>
      </c>
      <c r="F1273" s="107" t="s">
        <v>2958</v>
      </c>
      <c r="G1273" s="107" t="s">
        <v>2964</v>
      </c>
      <c r="H1273" s="107" t="s">
        <v>2976</v>
      </c>
      <c r="I1273" s="107" t="s">
        <v>2997</v>
      </c>
      <c r="J1273" s="107" t="s">
        <v>2997</v>
      </c>
      <c r="K1273" s="107" t="s">
        <v>2996</v>
      </c>
      <c r="L1273" s="107">
        <v>20.39</v>
      </c>
      <c r="M1273" s="107"/>
    </row>
    <row r="1274" spans="1:13" x14ac:dyDescent="0.3">
      <c r="A1274" s="95">
        <f t="shared" si="19"/>
        <v>0</v>
      </c>
      <c r="B1274" s="106" t="s">
        <v>1264</v>
      </c>
      <c r="C1274" s="95" t="s">
        <v>3595</v>
      </c>
      <c r="D1274" s="106">
        <v>12</v>
      </c>
      <c r="E1274" s="107">
        <v>1</v>
      </c>
      <c r="F1274" s="107" t="s">
        <v>2958</v>
      </c>
      <c r="G1274" s="107" t="s">
        <v>2964</v>
      </c>
      <c r="H1274" s="107" t="s">
        <v>2976</v>
      </c>
      <c r="I1274" s="107" t="s">
        <v>2997</v>
      </c>
      <c r="J1274" s="107" t="s">
        <v>2997</v>
      </c>
      <c r="K1274" s="107" t="s">
        <v>2996</v>
      </c>
      <c r="L1274" s="107">
        <v>79.69</v>
      </c>
      <c r="M1274" s="107"/>
    </row>
    <row r="1275" spans="1:13" x14ac:dyDescent="0.3">
      <c r="A1275" s="95">
        <f t="shared" si="19"/>
        <v>0</v>
      </c>
      <c r="B1275" s="106" t="s">
        <v>1265</v>
      </c>
      <c r="C1275" s="95" t="s">
        <v>2698</v>
      </c>
      <c r="D1275" s="106">
        <v>12</v>
      </c>
      <c r="E1275" s="107">
        <v>1</v>
      </c>
      <c r="F1275" s="107" t="s">
        <v>2959</v>
      </c>
      <c r="G1275" s="107" t="s">
        <v>2960</v>
      </c>
      <c r="H1275" s="107" t="s">
        <v>2970</v>
      </c>
      <c r="I1275" s="107" t="s">
        <v>2996</v>
      </c>
      <c r="J1275" s="107" t="s">
        <v>2996</v>
      </c>
      <c r="K1275" s="107" t="s">
        <v>2996</v>
      </c>
      <c r="L1275" s="107">
        <v>83.81</v>
      </c>
      <c r="M1275" s="107"/>
    </row>
    <row r="1276" spans="1:13" x14ac:dyDescent="0.3">
      <c r="A1276" s="95">
        <f t="shared" si="19"/>
        <v>0</v>
      </c>
      <c r="B1276" s="106" t="s">
        <v>1266</v>
      </c>
      <c r="C1276" s="95" t="s">
        <v>2699</v>
      </c>
      <c r="D1276" s="106">
        <v>12</v>
      </c>
      <c r="E1276" s="107">
        <v>1</v>
      </c>
      <c r="F1276" s="107" t="s">
        <v>2958</v>
      </c>
      <c r="G1276" s="107" t="s">
        <v>2966</v>
      </c>
      <c r="H1276" s="107" t="s">
        <v>2985</v>
      </c>
      <c r="I1276" s="107" t="s">
        <v>2997</v>
      </c>
      <c r="J1276" s="107" t="s">
        <v>2997</v>
      </c>
      <c r="K1276" s="107" t="s">
        <v>2997</v>
      </c>
      <c r="L1276" s="107">
        <v>79.83</v>
      </c>
      <c r="M1276" s="107">
        <v>1</v>
      </c>
    </row>
    <row r="1277" spans="1:13" x14ac:dyDescent="0.3">
      <c r="A1277" s="95">
        <f t="shared" si="19"/>
        <v>0</v>
      </c>
      <c r="B1277" s="106" t="s">
        <v>1267</v>
      </c>
      <c r="C1277" s="95" t="s">
        <v>2700</v>
      </c>
      <c r="D1277" s="106">
        <v>12</v>
      </c>
      <c r="E1277" s="107">
        <v>1</v>
      </c>
      <c r="F1277" s="107" t="s">
        <v>2959</v>
      </c>
      <c r="G1277" s="107" t="s">
        <v>2961</v>
      </c>
      <c r="H1277" s="107" t="s">
        <v>2971</v>
      </c>
      <c r="I1277" s="107" t="s">
        <v>2997</v>
      </c>
      <c r="J1277" s="107" t="s">
        <v>2997</v>
      </c>
      <c r="K1277" s="107" t="s">
        <v>2997</v>
      </c>
      <c r="L1277" s="107">
        <v>92.98</v>
      </c>
      <c r="M1277" s="107">
        <v>3</v>
      </c>
    </row>
    <row r="1278" spans="1:13" x14ac:dyDescent="0.3">
      <c r="A1278" s="95">
        <f t="shared" si="19"/>
        <v>0</v>
      </c>
      <c r="B1278" s="106" t="s">
        <v>1268</v>
      </c>
      <c r="C1278" s="95" t="s">
        <v>2701</v>
      </c>
      <c r="D1278" s="106">
        <v>12</v>
      </c>
      <c r="E1278" s="107">
        <v>1</v>
      </c>
      <c r="F1278" s="107" t="s">
        <v>2959</v>
      </c>
      <c r="G1278" s="107" t="s">
        <v>2966</v>
      </c>
      <c r="H1278" s="107" t="s">
        <v>2984</v>
      </c>
      <c r="I1278" s="107" t="s">
        <v>2997</v>
      </c>
      <c r="J1278" s="107" t="s">
        <v>2997</v>
      </c>
      <c r="K1278" s="107" t="s">
        <v>2997</v>
      </c>
      <c r="L1278" s="107">
        <v>120.75</v>
      </c>
      <c r="M1278" s="107"/>
    </row>
    <row r="1279" spans="1:13" x14ac:dyDescent="0.3">
      <c r="A1279" s="95">
        <f t="shared" si="19"/>
        <v>0</v>
      </c>
      <c r="B1279" s="106" t="s">
        <v>1269</v>
      </c>
      <c r="C1279" s="95" t="s">
        <v>2702</v>
      </c>
      <c r="D1279" s="106">
        <v>12</v>
      </c>
      <c r="E1279" s="107">
        <v>1</v>
      </c>
      <c r="F1279" s="107" t="s">
        <v>2958</v>
      </c>
      <c r="G1279" s="107" t="s">
        <v>2963</v>
      </c>
      <c r="H1279" s="107" t="s">
        <v>2974</v>
      </c>
      <c r="I1279" s="107" t="s">
        <v>2997</v>
      </c>
      <c r="J1279" s="107" t="s">
        <v>2997</v>
      </c>
      <c r="K1279" s="107" t="s">
        <v>2996</v>
      </c>
      <c r="L1279" s="107">
        <v>351.08</v>
      </c>
      <c r="M1279" s="107"/>
    </row>
    <row r="1280" spans="1:13" x14ac:dyDescent="0.3">
      <c r="A1280" s="95">
        <f t="shared" si="19"/>
        <v>0</v>
      </c>
      <c r="B1280" s="106" t="s">
        <v>1270</v>
      </c>
      <c r="C1280" s="95" t="s">
        <v>2703</v>
      </c>
      <c r="D1280" s="106">
        <v>12</v>
      </c>
      <c r="E1280" s="107">
        <v>1</v>
      </c>
      <c r="F1280" s="107" t="s">
        <v>2959</v>
      </c>
      <c r="G1280" s="107" t="s">
        <v>2966</v>
      </c>
      <c r="H1280" s="107" t="s">
        <v>2985</v>
      </c>
      <c r="I1280" s="107" t="s">
        <v>2997</v>
      </c>
      <c r="J1280" s="107" t="s">
        <v>2997</v>
      </c>
      <c r="K1280" s="107" t="s">
        <v>2996</v>
      </c>
      <c r="L1280" s="107">
        <v>41.12</v>
      </c>
      <c r="M1280" s="107"/>
    </row>
    <row r="1281" spans="1:13" x14ac:dyDescent="0.3">
      <c r="A1281" s="95">
        <f t="shared" si="19"/>
        <v>0</v>
      </c>
      <c r="B1281" s="106" t="s">
        <v>1271</v>
      </c>
      <c r="C1281" s="95" t="s">
        <v>2704</v>
      </c>
      <c r="D1281" s="106">
        <v>12</v>
      </c>
      <c r="E1281" s="107">
        <v>1</v>
      </c>
      <c r="F1281" s="107" t="s">
        <v>2959</v>
      </c>
      <c r="G1281" s="107" t="s">
        <v>2961</v>
      </c>
      <c r="H1281" s="107" t="s">
        <v>2991</v>
      </c>
      <c r="I1281" s="107" t="s">
        <v>2997</v>
      </c>
      <c r="J1281" s="107" t="s">
        <v>2997</v>
      </c>
      <c r="K1281" s="107" t="s">
        <v>2997</v>
      </c>
      <c r="L1281" s="107">
        <v>391.22</v>
      </c>
      <c r="M1281" s="107">
        <v>1</v>
      </c>
    </row>
    <row r="1282" spans="1:13" x14ac:dyDescent="0.3">
      <c r="A1282" s="95">
        <f t="shared" si="19"/>
        <v>0</v>
      </c>
      <c r="B1282" s="106" t="s">
        <v>3171</v>
      </c>
      <c r="C1282" s="95" t="s">
        <v>3372</v>
      </c>
      <c r="D1282" s="106">
        <v>12</v>
      </c>
      <c r="E1282" s="107">
        <v>1</v>
      </c>
      <c r="F1282" s="107" t="s">
        <v>2959</v>
      </c>
      <c r="G1282" s="107" t="s">
        <v>2966</v>
      </c>
      <c r="H1282" s="107" t="s">
        <v>2980</v>
      </c>
      <c r="I1282" s="107" t="s">
        <v>2996</v>
      </c>
      <c r="J1282" s="107" t="s">
        <v>2996</v>
      </c>
      <c r="K1282" s="107" t="s">
        <v>2996</v>
      </c>
      <c r="L1282" s="107">
        <v>26.3</v>
      </c>
      <c r="M1282" s="107"/>
    </row>
    <row r="1283" spans="1:13" x14ac:dyDescent="0.3">
      <c r="A1283" s="95">
        <f t="shared" si="19"/>
        <v>0</v>
      </c>
      <c r="B1283" s="106" t="s">
        <v>1272</v>
      </c>
      <c r="C1283" s="95" t="s">
        <v>2705</v>
      </c>
      <c r="D1283" s="106">
        <v>12</v>
      </c>
      <c r="E1283" s="107">
        <v>1</v>
      </c>
      <c r="F1283" s="107" t="s">
        <v>2959</v>
      </c>
      <c r="G1283" s="107" t="s">
        <v>2964</v>
      </c>
      <c r="H1283" s="107" t="s">
        <v>2976</v>
      </c>
      <c r="I1283" s="107" t="s">
        <v>2996</v>
      </c>
      <c r="J1283" s="107" t="s">
        <v>2996</v>
      </c>
      <c r="K1283" s="107" t="s">
        <v>2996</v>
      </c>
      <c r="L1283" s="107">
        <v>33.15</v>
      </c>
      <c r="M1283" s="107"/>
    </row>
    <row r="1284" spans="1:13" x14ac:dyDescent="0.3">
      <c r="A1284" s="95">
        <f t="shared" si="19"/>
        <v>0</v>
      </c>
      <c r="B1284" s="106" t="s">
        <v>1273</v>
      </c>
      <c r="C1284" s="95" t="s">
        <v>2706</v>
      </c>
      <c r="D1284" s="106">
        <v>12</v>
      </c>
      <c r="E1284" s="107">
        <v>1</v>
      </c>
      <c r="F1284" s="107" t="s">
        <v>2959</v>
      </c>
      <c r="G1284" s="107" t="s">
        <v>2961</v>
      </c>
      <c r="H1284" s="107" t="s">
        <v>2971</v>
      </c>
      <c r="I1284" s="107" t="s">
        <v>2997</v>
      </c>
      <c r="J1284" s="107" t="s">
        <v>2997</v>
      </c>
      <c r="K1284" s="107" t="s">
        <v>2996</v>
      </c>
      <c r="L1284" s="107">
        <v>38.35</v>
      </c>
      <c r="M1284" s="107"/>
    </row>
    <row r="1285" spans="1:13" x14ac:dyDescent="0.3">
      <c r="A1285" s="95">
        <f t="shared" si="19"/>
        <v>0</v>
      </c>
      <c r="B1285" s="106" t="s">
        <v>1274</v>
      </c>
      <c r="C1285" s="95" t="s">
        <v>2707</v>
      </c>
      <c r="D1285" s="106">
        <v>12</v>
      </c>
      <c r="E1285" s="107">
        <v>1</v>
      </c>
      <c r="F1285" s="107" t="s">
        <v>2959</v>
      </c>
      <c r="G1285" s="107" t="s">
        <v>2966</v>
      </c>
      <c r="H1285" s="107" t="s">
        <v>2980</v>
      </c>
      <c r="I1285" s="107" t="s">
        <v>2997</v>
      </c>
      <c r="J1285" s="107" t="s">
        <v>2997</v>
      </c>
      <c r="K1285" s="107" t="s">
        <v>2997</v>
      </c>
      <c r="L1285" s="107">
        <v>132.53</v>
      </c>
      <c r="M1285" s="107">
        <v>1</v>
      </c>
    </row>
    <row r="1286" spans="1:13" x14ac:dyDescent="0.3">
      <c r="A1286" s="95">
        <f t="shared" si="19"/>
        <v>0</v>
      </c>
      <c r="B1286" s="106" t="s">
        <v>1275</v>
      </c>
      <c r="C1286" s="95" t="s">
        <v>2708</v>
      </c>
      <c r="D1286" s="106">
        <v>12</v>
      </c>
      <c r="E1286" s="107">
        <v>1</v>
      </c>
      <c r="F1286" s="107" t="s">
        <v>2959</v>
      </c>
      <c r="G1286" s="107" t="s">
        <v>2964</v>
      </c>
      <c r="H1286" s="107" t="s">
        <v>2976</v>
      </c>
      <c r="I1286" s="107" t="s">
        <v>2997</v>
      </c>
      <c r="J1286" s="107" t="s">
        <v>2997</v>
      </c>
      <c r="K1286" s="107" t="s">
        <v>2996</v>
      </c>
      <c r="L1286" s="107">
        <v>21.99</v>
      </c>
      <c r="M1286" s="107"/>
    </row>
    <row r="1287" spans="1:13" x14ac:dyDescent="0.3">
      <c r="A1287" s="95">
        <f t="shared" si="19"/>
        <v>0</v>
      </c>
      <c r="B1287" s="106" t="s">
        <v>1276</v>
      </c>
      <c r="C1287" s="95" t="s">
        <v>2709</v>
      </c>
      <c r="D1287" s="106">
        <v>12</v>
      </c>
      <c r="E1287" s="107">
        <v>1</v>
      </c>
      <c r="F1287" s="107" t="s">
        <v>2958</v>
      </c>
      <c r="G1287" s="107" t="s">
        <v>2961</v>
      </c>
      <c r="H1287" s="107" t="s">
        <v>2971</v>
      </c>
      <c r="I1287" s="107" t="s">
        <v>2997</v>
      </c>
      <c r="J1287" s="107" t="s">
        <v>2997</v>
      </c>
      <c r="K1287" s="107" t="s">
        <v>2997</v>
      </c>
      <c r="L1287" s="107">
        <v>1382.52</v>
      </c>
      <c r="M1287" s="107">
        <v>4</v>
      </c>
    </row>
    <row r="1288" spans="1:13" x14ac:dyDescent="0.3">
      <c r="A1288" s="95">
        <f t="shared" si="19"/>
        <v>0</v>
      </c>
      <c r="B1288" s="106" t="s">
        <v>1277</v>
      </c>
      <c r="C1288" s="95" t="s">
        <v>3650</v>
      </c>
      <c r="D1288" s="106">
        <v>12</v>
      </c>
      <c r="E1288" s="107">
        <v>1</v>
      </c>
      <c r="F1288" s="107" t="s">
        <v>2959</v>
      </c>
      <c r="G1288" s="107" t="s">
        <v>2966</v>
      </c>
      <c r="H1288" s="107" t="s">
        <v>2984</v>
      </c>
      <c r="I1288" s="107" t="s">
        <v>2997</v>
      </c>
      <c r="J1288" s="107" t="s">
        <v>2997</v>
      </c>
      <c r="K1288" s="107" t="s">
        <v>2997</v>
      </c>
      <c r="L1288" s="107">
        <v>69.63</v>
      </c>
      <c r="M1288" s="107"/>
    </row>
    <row r="1289" spans="1:13" x14ac:dyDescent="0.3">
      <c r="A1289" s="95">
        <f t="shared" si="19"/>
        <v>0</v>
      </c>
      <c r="B1289" s="106" t="s">
        <v>1278</v>
      </c>
      <c r="C1289" s="95" t="s">
        <v>2710</v>
      </c>
      <c r="D1289" s="106">
        <v>12</v>
      </c>
      <c r="E1289" s="107">
        <v>1</v>
      </c>
      <c r="F1289" s="107" t="s">
        <v>2959</v>
      </c>
      <c r="G1289" s="107" t="s">
        <v>2966</v>
      </c>
      <c r="H1289" s="107" t="s">
        <v>2984</v>
      </c>
      <c r="I1289" s="107" t="s">
        <v>2996</v>
      </c>
      <c r="J1289" s="107" t="s">
        <v>2996</v>
      </c>
      <c r="K1289" s="107" t="s">
        <v>2996</v>
      </c>
      <c r="L1289" s="107">
        <v>40.53</v>
      </c>
      <c r="M1289" s="107"/>
    </row>
    <row r="1290" spans="1:13" x14ac:dyDescent="0.3">
      <c r="A1290" s="95">
        <f t="shared" si="19"/>
        <v>0</v>
      </c>
      <c r="B1290" s="106" t="s">
        <v>1279</v>
      </c>
      <c r="C1290" s="95" t="s">
        <v>2711</v>
      </c>
      <c r="D1290" s="106">
        <v>12</v>
      </c>
      <c r="E1290" s="107">
        <v>1</v>
      </c>
      <c r="F1290" s="107" t="s">
        <v>2959</v>
      </c>
      <c r="G1290" s="107" t="s">
        <v>2966</v>
      </c>
      <c r="H1290" s="107" t="s">
        <v>2978</v>
      </c>
      <c r="I1290" s="107" t="s">
        <v>2997</v>
      </c>
      <c r="J1290" s="107" t="s">
        <v>2997</v>
      </c>
      <c r="K1290" s="107" t="s">
        <v>2997</v>
      </c>
      <c r="L1290" s="107">
        <v>22.14</v>
      </c>
      <c r="M1290" s="107"/>
    </row>
    <row r="1291" spans="1:13" x14ac:dyDescent="0.3">
      <c r="A1291" s="95">
        <f t="shared" si="19"/>
        <v>0</v>
      </c>
      <c r="B1291" s="106" t="s">
        <v>1280</v>
      </c>
      <c r="C1291" s="95" t="s">
        <v>2712</v>
      </c>
      <c r="D1291" s="106">
        <v>12</v>
      </c>
      <c r="E1291" s="107">
        <v>1</v>
      </c>
      <c r="F1291" s="107" t="s">
        <v>2959</v>
      </c>
      <c r="G1291" s="107" t="s">
        <v>2964</v>
      </c>
      <c r="H1291" s="107" t="s">
        <v>2976</v>
      </c>
      <c r="I1291" s="107" t="s">
        <v>2997</v>
      </c>
      <c r="J1291" s="107" t="s">
        <v>2997</v>
      </c>
      <c r="K1291" s="107" t="s">
        <v>2996</v>
      </c>
      <c r="L1291" s="107">
        <v>41.04</v>
      </c>
      <c r="M1291" s="107"/>
    </row>
    <row r="1292" spans="1:13" x14ac:dyDescent="0.3">
      <c r="A1292" s="95">
        <f t="shared" si="19"/>
        <v>0</v>
      </c>
      <c r="B1292" s="106" t="s">
        <v>1281</v>
      </c>
      <c r="C1292" s="95" t="s">
        <v>2713</v>
      </c>
      <c r="D1292" s="106">
        <v>3</v>
      </c>
      <c r="E1292" s="107">
        <v>1</v>
      </c>
      <c r="F1292" s="107" t="s">
        <v>2959</v>
      </c>
      <c r="G1292" s="107"/>
      <c r="H1292" s="107"/>
      <c r="I1292" s="107" t="s">
        <v>2996</v>
      </c>
      <c r="J1292" s="107" t="s">
        <v>2996</v>
      </c>
      <c r="K1292" s="107" t="s">
        <v>2996</v>
      </c>
      <c r="L1292" s="107">
        <v>4.01</v>
      </c>
      <c r="M1292" s="107"/>
    </row>
    <row r="1293" spans="1:13" x14ac:dyDescent="0.3">
      <c r="A1293" s="95">
        <f t="shared" si="19"/>
        <v>0</v>
      </c>
      <c r="B1293" s="106" t="s">
        <v>1282</v>
      </c>
      <c r="C1293" s="95" t="s">
        <v>2714</v>
      </c>
      <c r="D1293" s="106">
        <v>12</v>
      </c>
      <c r="E1293" s="107">
        <v>1</v>
      </c>
      <c r="F1293" s="107" t="s">
        <v>2959</v>
      </c>
      <c r="G1293" s="107" t="s">
        <v>2966</v>
      </c>
      <c r="H1293" s="107" t="s">
        <v>2978</v>
      </c>
      <c r="I1293" s="107" t="s">
        <v>2997</v>
      </c>
      <c r="J1293" s="107" t="s">
        <v>2997</v>
      </c>
      <c r="K1293" s="107" t="s">
        <v>2996</v>
      </c>
      <c r="L1293" s="107">
        <v>9.6</v>
      </c>
      <c r="M1293" s="107"/>
    </row>
    <row r="1294" spans="1:13" x14ac:dyDescent="0.3">
      <c r="A1294" s="95">
        <f t="shared" si="19"/>
        <v>0</v>
      </c>
      <c r="B1294" s="106" t="s">
        <v>1283</v>
      </c>
      <c r="C1294" s="95" t="s">
        <v>2715</v>
      </c>
      <c r="D1294" s="106">
        <v>12</v>
      </c>
      <c r="E1294" s="107">
        <v>1</v>
      </c>
      <c r="F1294" s="107" t="s">
        <v>2959</v>
      </c>
      <c r="G1294" s="107" t="s">
        <v>2966</v>
      </c>
      <c r="H1294" s="107" t="s">
        <v>2980</v>
      </c>
      <c r="I1294" s="107" t="s">
        <v>2997</v>
      </c>
      <c r="J1294" s="107" t="s">
        <v>2997</v>
      </c>
      <c r="K1294" s="107" t="s">
        <v>2996</v>
      </c>
      <c r="L1294" s="107">
        <v>95.28</v>
      </c>
      <c r="M1294" s="107"/>
    </row>
    <row r="1295" spans="1:13" x14ac:dyDescent="0.3">
      <c r="A1295" s="95">
        <f t="shared" ref="A1295:A1358" si="20">IF(AND(E1295=1,J1295=K1295,M1295&gt;6),1,0)</f>
        <v>0</v>
      </c>
      <c r="B1295" s="106" t="s">
        <v>1284</v>
      </c>
      <c r="C1295" s="95" t="s">
        <v>2716</v>
      </c>
      <c r="D1295" s="106">
        <v>12</v>
      </c>
      <c r="E1295" s="107">
        <v>1</v>
      </c>
      <c r="F1295" s="107" t="s">
        <v>2959</v>
      </c>
      <c r="G1295" s="107" t="s">
        <v>2964</v>
      </c>
      <c r="H1295" s="107" t="s">
        <v>2976</v>
      </c>
      <c r="I1295" s="107" t="s">
        <v>2997</v>
      </c>
      <c r="J1295" s="107" t="s">
        <v>2997</v>
      </c>
      <c r="K1295" s="107" t="s">
        <v>2996</v>
      </c>
      <c r="L1295" s="107">
        <v>17.809999999999999</v>
      </c>
      <c r="M1295" s="107"/>
    </row>
    <row r="1296" spans="1:13" x14ac:dyDescent="0.3">
      <c r="A1296" s="95">
        <f t="shared" si="20"/>
        <v>0</v>
      </c>
      <c r="B1296" s="106" t="s">
        <v>1285</v>
      </c>
      <c r="C1296" s="95" t="s">
        <v>2717</v>
      </c>
      <c r="D1296" s="106">
        <v>12</v>
      </c>
      <c r="E1296" s="107">
        <v>1</v>
      </c>
      <c r="F1296" s="107" t="s">
        <v>2959</v>
      </c>
      <c r="G1296" s="107" t="s">
        <v>2966</v>
      </c>
      <c r="H1296" s="107" t="s">
        <v>2978</v>
      </c>
      <c r="I1296" s="107" t="s">
        <v>2997</v>
      </c>
      <c r="J1296" s="107" t="s">
        <v>2997</v>
      </c>
      <c r="K1296" s="107" t="s">
        <v>2996</v>
      </c>
      <c r="L1296" s="107">
        <v>145.27000000000001</v>
      </c>
      <c r="M1296" s="107"/>
    </row>
    <row r="1297" spans="1:13" x14ac:dyDescent="0.3">
      <c r="A1297" s="95">
        <f t="shared" si="20"/>
        <v>0</v>
      </c>
      <c r="B1297" s="106" t="s">
        <v>1286</v>
      </c>
      <c r="C1297" s="95" t="s">
        <v>3533</v>
      </c>
      <c r="D1297" s="106">
        <v>12</v>
      </c>
      <c r="E1297" s="107">
        <v>1</v>
      </c>
      <c r="F1297" s="107" t="s">
        <v>2959</v>
      </c>
      <c r="G1297" s="107" t="s">
        <v>2966</v>
      </c>
      <c r="H1297" s="107" t="s">
        <v>2978</v>
      </c>
      <c r="I1297" s="107" t="s">
        <v>2997</v>
      </c>
      <c r="J1297" s="107" t="s">
        <v>2997</v>
      </c>
      <c r="K1297" s="107" t="s">
        <v>2997</v>
      </c>
      <c r="L1297" s="107">
        <v>105.7</v>
      </c>
      <c r="M1297" s="107">
        <v>3</v>
      </c>
    </row>
    <row r="1298" spans="1:13" x14ac:dyDescent="0.3">
      <c r="A1298" s="95">
        <f t="shared" si="20"/>
        <v>0</v>
      </c>
      <c r="B1298" s="106" t="s">
        <v>1287</v>
      </c>
      <c r="C1298" s="95" t="s">
        <v>2718</v>
      </c>
      <c r="D1298" s="106">
        <v>12</v>
      </c>
      <c r="E1298" s="107">
        <v>1</v>
      </c>
      <c r="F1298" s="107" t="s">
        <v>2958</v>
      </c>
      <c r="G1298" s="107" t="s">
        <v>2964</v>
      </c>
      <c r="H1298" s="107" t="s">
        <v>2976</v>
      </c>
      <c r="I1298" s="107" t="s">
        <v>2997</v>
      </c>
      <c r="J1298" s="107" t="s">
        <v>2997</v>
      </c>
      <c r="K1298" s="107" t="s">
        <v>2997</v>
      </c>
      <c r="L1298" s="107">
        <v>12.84</v>
      </c>
      <c r="M1298" s="107"/>
    </row>
    <row r="1299" spans="1:13" x14ac:dyDescent="0.3">
      <c r="A1299" s="95">
        <f t="shared" si="20"/>
        <v>0</v>
      </c>
      <c r="B1299" s="106" t="s">
        <v>1288</v>
      </c>
      <c r="C1299" s="95" t="s">
        <v>2719</v>
      </c>
      <c r="D1299" s="106">
        <v>12</v>
      </c>
      <c r="E1299" s="107">
        <v>1</v>
      </c>
      <c r="F1299" s="107" t="s">
        <v>2959</v>
      </c>
      <c r="G1299" s="107" t="s">
        <v>2966</v>
      </c>
      <c r="H1299" s="107" t="s">
        <v>2985</v>
      </c>
      <c r="I1299" s="107" t="s">
        <v>2997</v>
      </c>
      <c r="J1299" s="107" t="s">
        <v>2997</v>
      </c>
      <c r="K1299" s="107" t="s">
        <v>2997</v>
      </c>
      <c r="L1299" s="107">
        <v>116.03</v>
      </c>
      <c r="M1299" s="107">
        <v>3</v>
      </c>
    </row>
    <row r="1300" spans="1:13" x14ac:dyDescent="0.3">
      <c r="A1300" s="95">
        <f t="shared" si="20"/>
        <v>0</v>
      </c>
      <c r="B1300" s="106" t="s">
        <v>1289</v>
      </c>
      <c r="C1300" s="95" t="s">
        <v>2720</v>
      </c>
      <c r="D1300" s="106">
        <v>12</v>
      </c>
      <c r="E1300" s="107">
        <v>1</v>
      </c>
      <c r="F1300" s="107" t="s">
        <v>2958</v>
      </c>
      <c r="G1300" s="107" t="s">
        <v>2961</v>
      </c>
      <c r="H1300" s="107" t="s">
        <v>2971</v>
      </c>
      <c r="I1300" s="107" t="s">
        <v>2997</v>
      </c>
      <c r="J1300" s="107" t="s">
        <v>2997</v>
      </c>
      <c r="K1300" s="107" t="s">
        <v>2997</v>
      </c>
      <c r="L1300" s="107">
        <v>156.1</v>
      </c>
      <c r="M1300" s="107">
        <v>1</v>
      </c>
    </row>
    <row r="1301" spans="1:13" x14ac:dyDescent="0.3">
      <c r="A1301" s="95">
        <f t="shared" si="20"/>
        <v>0</v>
      </c>
      <c r="B1301" s="106" t="s">
        <v>1290</v>
      </c>
      <c r="C1301" s="95" t="s">
        <v>2721</v>
      </c>
      <c r="D1301" s="106">
        <v>12</v>
      </c>
      <c r="E1301" s="107">
        <v>1</v>
      </c>
      <c r="F1301" s="107" t="s">
        <v>2959</v>
      </c>
      <c r="G1301" s="107" t="s">
        <v>2965</v>
      </c>
      <c r="H1301" s="107" t="s">
        <v>2965</v>
      </c>
      <c r="I1301" s="107" t="s">
        <v>2997</v>
      </c>
      <c r="J1301" s="107" t="s">
        <v>2997</v>
      </c>
      <c r="K1301" s="107" t="s">
        <v>2996</v>
      </c>
      <c r="L1301" s="107">
        <v>28.98</v>
      </c>
      <c r="M1301" s="107"/>
    </row>
    <row r="1302" spans="1:13" x14ac:dyDescent="0.3">
      <c r="A1302" s="95">
        <f t="shared" si="20"/>
        <v>0</v>
      </c>
      <c r="B1302" s="106" t="s">
        <v>1291</v>
      </c>
      <c r="C1302" s="95" t="s">
        <v>2722</v>
      </c>
      <c r="D1302" s="106">
        <v>12</v>
      </c>
      <c r="E1302" s="107">
        <v>1</v>
      </c>
      <c r="F1302" s="107" t="s">
        <v>2959</v>
      </c>
      <c r="G1302" s="107" t="s">
        <v>2964</v>
      </c>
      <c r="H1302" s="107" t="s">
        <v>2976</v>
      </c>
      <c r="I1302" s="107" t="s">
        <v>2997</v>
      </c>
      <c r="J1302" s="107" t="s">
        <v>2997</v>
      </c>
      <c r="K1302" s="107" t="s">
        <v>2997</v>
      </c>
      <c r="L1302" s="107">
        <v>77.010000000000005</v>
      </c>
      <c r="M1302" s="107">
        <v>3</v>
      </c>
    </row>
    <row r="1303" spans="1:13" x14ac:dyDescent="0.3">
      <c r="A1303" s="95">
        <f t="shared" si="20"/>
        <v>0</v>
      </c>
      <c r="B1303" s="106" t="s">
        <v>1292</v>
      </c>
      <c r="C1303" s="95" t="s">
        <v>2723</v>
      </c>
      <c r="D1303" s="106">
        <v>12</v>
      </c>
      <c r="E1303" s="107">
        <v>1</v>
      </c>
      <c r="F1303" s="107" t="s">
        <v>2959</v>
      </c>
      <c r="G1303" s="107" t="s">
        <v>2966</v>
      </c>
      <c r="H1303" s="107" t="s">
        <v>2980</v>
      </c>
      <c r="I1303" s="107" t="s">
        <v>2997</v>
      </c>
      <c r="J1303" s="107" t="s">
        <v>2997</v>
      </c>
      <c r="K1303" s="107" t="s">
        <v>2996</v>
      </c>
      <c r="L1303" s="107">
        <v>21.66</v>
      </c>
      <c r="M1303" s="107"/>
    </row>
    <row r="1304" spans="1:13" x14ac:dyDescent="0.3">
      <c r="A1304" s="95">
        <f t="shared" si="20"/>
        <v>1</v>
      </c>
      <c r="B1304" s="106" t="s">
        <v>1293</v>
      </c>
      <c r="C1304" s="95" t="s">
        <v>2724</v>
      </c>
      <c r="D1304" s="106">
        <v>12</v>
      </c>
      <c r="E1304" s="107">
        <v>1</v>
      </c>
      <c r="F1304" s="107" t="s">
        <v>2959</v>
      </c>
      <c r="G1304" s="107" t="s">
        <v>2966</v>
      </c>
      <c r="H1304" s="107" t="s">
        <v>2978</v>
      </c>
      <c r="I1304" s="107" t="s">
        <v>2996</v>
      </c>
      <c r="J1304" s="107" t="s">
        <v>2996</v>
      </c>
      <c r="K1304" s="107" t="s">
        <v>2996</v>
      </c>
      <c r="L1304" s="107">
        <v>746.57</v>
      </c>
      <c r="M1304" s="107">
        <v>17</v>
      </c>
    </row>
    <row r="1305" spans="1:13" x14ac:dyDescent="0.3">
      <c r="A1305" s="95">
        <f t="shared" si="20"/>
        <v>0</v>
      </c>
      <c r="B1305" s="106" t="s">
        <v>1294</v>
      </c>
      <c r="C1305" s="95" t="s">
        <v>2725</v>
      </c>
      <c r="D1305" s="106">
        <v>12</v>
      </c>
      <c r="E1305" s="107">
        <v>1</v>
      </c>
      <c r="F1305" s="107" t="s">
        <v>2958</v>
      </c>
      <c r="G1305" s="107" t="s">
        <v>2966</v>
      </c>
      <c r="H1305" s="107" t="s">
        <v>2978</v>
      </c>
      <c r="I1305" s="107" t="s">
        <v>2997</v>
      </c>
      <c r="J1305" s="107" t="s">
        <v>2997</v>
      </c>
      <c r="K1305" s="107" t="s">
        <v>2997</v>
      </c>
      <c r="L1305" s="107">
        <v>208.33</v>
      </c>
      <c r="M1305" s="107">
        <v>1</v>
      </c>
    </row>
    <row r="1306" spans="1:13" x14ac:dyDescent="0.3">
      <c r="A1306" s="95">
        <f t="shared" si="20"/>
        <v>0</v>
      </c>
      <c r="B1306" s="106" t="s">
        <v>1295</v>
      </c>
      <c r="C1306" s="95" t="s">
        <v>2726</v>
      </c>
      <c r="D1306" s="106">
        <v>12</v>
      </c>
      <c r="E1306" s="107">
        <v>1</v>
      </c>
      <c r="F1306" s="107" t="s">
        <v>2958</v>
      </c>
      <c r="G1306" s="107" t="s">
        <v>2964</v>
      </c>
      <c r="H1306" s="107" t="s">
        <v>2976</v>
      </c>
      <c r="I1306" s="107" t="s">
        <v>2997</v>
      </c>
      <c r="J1306" s="107" t="s">
        <v>2997</v>
      </c>
      <c r="K1306" s="107" t="s">
        <v>2996</v>
      </c>
      <c r="L1306" s="107">
        <v>87.18</v>
      </c>
      <c r="M1306" s="107"/>
    </row>
    <row r="1307" spans="1:13" x14ac:dyDescent="0.3">
      <c r="A1307" s="95">
        <f t="shared" si="20"/>
        <v>0</v>
      </c>
      <c r="B1307" s="106" t="s">
        <v>1296</v>
      </c>
      <c r="C1307" s="95" t="s">
        <v>2727</v>
      </c>
      <c r="D1307" s="106">
        <v>12</v>
      </c>
      <c r="E1307" s="107">
        <v>1</v>
      </c>
      <c r="F1307" s="107" t="s">
        <v>2958</v>
      </c>
      <c r="G1307" s="107" t="s">
        <v>2966</v>
      </c>
      <c r="H1307" s="107" t="s">
        <v>2985</v>
      </c>
      <c r="I1307" s="107" t="s">
        <v>2997</v>
      </c>
      <c r="J1307" s="107" t="s">
        <v>2997</v>
      </c>
      <c r="K1307" s="107" t="s">
        <v>2996</v>
      </c>
      <c r="L1307" s="107">
        <v>94.02</v>
      </c>
      <c r="M1307" s="107"/>
    </row>
    <row r="1308" spans="1:13" x14ac:dyDescent="0.3">
      <c r="A1308" s="95">
        <f t="shared" si="20"/>
        <v>0</v>
      </c>
      <c r="B1308" s="106" t="s">
        <v>1297</v>
      </c>
      <c r="C1308" s="95" t="s">
        <v>2728</v>
      </c>
      <c r="D1308" s="106">
        <v>3</v>
      </c>
      <c r="E1308" s="107">
        <v>1</v>
      </c>
      <c r="F1308" s="107" t="s">
        <v>2959</v>
      </c>
      <c r="G1308" s="107" t="s">
        <v>2962</v>
      </c>
      <c r="H1308" s="107" t="s">
        <v>2979</v>
      </c>
      <c r="I1308" s="107" t="s">
        <v>2996</v>
      </c>
      <c r="J1308" s="107" t="s">
        <v>2996</v>
      </c>
      <c r="K1308" s="107" t="s">
        <v>2996</v>
      </c>
      <c r="L1308" s="107">
        <v>412.91</v>
      </c>
      <c r="M1308" s="107"/>
    </row>
    <row r="1309" spans="1:13" x14ac:dyDescent="0.3">
      <c r="A1309" s="95">
        <f t="shared" si="20"/>
        <v>0</v>
      </c>
      <c r="B1309" s="106" t="s">
        <v>1298</v>
      </c>
      <c r="C1309" s="95" t="s">
        <v>2729</v>
      </c>
      <c r="D1309" s="106">
        <v>12</v>
      </c>
      <c r="E1309" s="107">
        <v>1</v>
      </c>
      <c r="F1309" s="107" t="s">
        <v>2959</v>
      </c>
      <c r="G1309" s="107" t="s">
        <v>2966</v>
      </c>
      <c r="H1309" s="107" t="s">
        <v>2984</v>
      </c>
      <c r="I1309" s="107" t="s">
        <v>2997</v>
      </c>
      <c r="J1309" s="107" t="s">
        <v>2997</v>
      </c>
      <c r="K1309" s="107" t="s">
        <v>2997</v>
      </c>
      <c r="L1309" s="107">
        <v>178.29</v>
      </c>
      <c r="M1309" s="107"/>
    </row>
    <row r="1310" spans="1:13" x14ac:dyDescent="0.3">
      <c r="A1310" s="95">
        <f t="shared" si="20"/>
        <v>0</v>
      </c>
      <c r="B1310" s="106" t="s">
        <v>1299</v>
      </c>
      <c r="C1310" s="95" t="s">
        <v>2730</v>
      </c>
      <c r="D1310" s="106">
        <v>12</v>
      </c>
      <c r="E1310" s="107">
        <v>1</v>
      </c>
      <c r="F1310" s="107" t="s">
        <v>2959</v>
      </c>
      <c r="G1310" s="107" t="s">
        <v>2965</v>
      </c>
      <c r="H1310" s="107" t="s">
        <v>2965</v>
      </c>
      <c r="I1310" s="107" t="s">
        <v>2997</v>
      </c>
      <c r="J1310" s="107" t="s">
        <v>2997</v>
      </c>
      <c r="K1310" s="107" t="s">
        <v>2996</v>
      </c>
      <c r="L1310" s="107">
        <v>9.94</v>
      </c>
      <c r="M1310" s="107"/>
    </row>
    <row r="1311" spans="1:13" x14ac:dyDescent="0.3">
      <c r="A1311" s="95">
        <f t="shared" si="20"/>
        <v>0</v>
      </c>
      <c r="B1311" s="106" t="s">
        <v>1300</v>
      </c>
      <c r="C1311" s="95" t="s">
        <v>2731</v>
      </c>
      <c r="D1311" s="106">
        <v>12</v>
      </c>
      <c r="E1311" s="107">
        <v>1</v>
      </c>
      <c r="F1311" s="107" t="s">
        <v>2959</v>
      </c>
      <c r="G1311" s="107" t="s">
        <v>2960</v>
      </c>
      <c r="H1311" s="107" t="s">
        <v>2970</v>
      </c>
      <c r="I1311" s="107" t="s">
        <v>2997</v>
      </c>
      <c r="J1311" s="107" t="s">
        <v>2997</v>
      </c>
      <c r="K1311" s="107" t="s">
        <v>2996</v>
      </c>
      <c r="L1311" s="107">
        <v>45.68</v>
      </c>
      <c r="M1311" s="107"/>
    </row>
    <row r="1312" spans="1:13" x14ac:dyDescent="0.3">
      <c r="A1312" s="95">
        <f t="shared" si="20"/>
        <v>0</v>
      </c>
      <c r="B1312" s="106" t="s">
        <v>1301</v>
      </c>
      <c r="C1312" s="95" t="s">
        <v>2732</v>
      </c>
      <c r="D1312" s="106">
        <v>12</v>
      </c>
      <c r="E1312" s="107">
        <v>1</v>
      </c>
      <c r="F1312" s="107" t="s">
        <v>2959</v>
      </c>
      <c r="G1312" s="107" t="s">
        <v>2966</v>
      </c>
      <c r="H1312" s="107" t="s">
        <v>2980</v>
      </c>
      <c r="I1312" s="107" t="s">
        <v>2996</v>
      </c>
      <c r="J1312" s="107" t="s">
        <v>2996</v>
      </c>
      <c r="K1312" s="107" t="s">
        <v>2996</v>
      </c>
      <c r="L1312" s="107">
        <v>67.98</v>
      </c>
      <c r="M1312" s="107">
        <v>1</v>
      </c>
    </row>
    <row r="1313" spans="1:13" x14ac:dyDescent="0.3">
      <c r="A1313" s="95">
        <f t="shared" si="20"/>
        <v>0</v>
      </c>
      <c r="B1313" s="106" t="s">
        <v>1302</v>
      </c>
      <c r="C1313" s="95" t="s">
        <v>2733</v>
      </c>
      <c r="D1313" s="106">
        <v>12</v>
      </c>
      <c r="E1313" s="107">
        <v>1</v>
      </c>
      <c r="F1313" s="107" t="s">
        <v>2959</v>
      </c>
      <c r="G1313" s="107" t="s">
        <v>2960</v>
      </c>
      <c r="H1313" s="107" t="s">
        <v>2970</v>
      </c>
      <c r="I1313" s="107" t="s">
        <v>2997</v>
      </c>
      <c r="J1313" s="107" t="s">
        <v>2997</v>
      </c>
      <c r="K1313" s="107" t="s">
        <v>2997</v>
      </c>
      <c r="L1313" s="107">
        <v>447.88</v>
      </c>
      <c r="M1313" s="107">
        <v>1</v>
      </c>
    </row>
    <row r="1314" spans="1:13" x14ac:dyDescent="0.3">
      <c r="A1314" s="95">
        <f t="shared" si="20"/>
        <v>1</v>
      </c>
      <c r="B1314" s="106" t="s">
        <v>1303</v>
      </c>
      <c r="C1314" s="95" t="s">
        <v>2734</v>
      </c>
      <c r="D1314" s="106">
        <v>12</v>
      </c>
      <c r="E1314" s="107">
        <v>1</v>
      </c>
      <c r="F1314" s="107" t="s">
        <v>2959</v>
      </c>
      <c r="G1314" s="107" t="s">
        <v>2966</v>
      </c>
      <c r="H1314" s="107" t="s">
        <v>2985</v>
      </c>
      <c r="I1314" s="107" t="s">
        <v>2997</v>
      </c>
      <c r="J1314" s="107" t="s">
        <v>2997</v>
      </c>
      <c r="K1314" s="107" t="s">
        <v>2997</v>
      </c>
      <c r="L1314" s="107">
        <v>336.39</v>
      </c>
      <c r="M1314" s="107">
        <v>21</v>
      </c>
    </row>
    <row r="1315" spans="1:13" x14ac:dyDescent="0.3">
      <c r="A1315" s="95">
        <f t="shared" si="20"/>
        <v>0</v>
      </c>
      <c r="B1315" s="106" t="s">
        <v>1304</v>
      </c>
      <c r="C1315" s="95" t="s">
        <v>2735</v>
      </c>
      <c r="D1315" s="106">
        <v>12</v>
      </c>
      <c r="E1315" s="107">
        <v>1</v>
      </c>
      <c r="F1315" s="107" t="s">
        <v>2959</v>
      </c>
      <c r="G1315" s="107" t="s">
        <v>2966</v>
      </c>
      <c r="H1315" s="107" t="s">
        <v>2978</v>
      </c>
      <c r="I1315" s="107" t="s">
        <v>2997</v>
      </c>
      <c r="J1315" s="107" t="s">
        <v>2997</v>
      </c>
      <c r="K1315" s="107" t="s">
        <v>2996</v>
      </c>
      <c r="L1315" s="107">
        <v>25.4</v>
      </c>
      <c r="M1315" s="107"/>
    </row>
    <row r="1316" spans="1:13" x14ac:dyDescent="0.3">
      <c r="A1316" s="95">
        <f t="shared" si="20"/>
        <v>0</v>
      </c>
      <c r="B1316" s="106" t="s">
        <v>1305</v>
      </c>
      <c r="C1316" s="95" t="s">
        <v>2736</v>
      </c>
      <c r="D1316" s="106">
        <v>12</v>
      </c>
      <c r="E1316" s="107">
        <v>1</v>
      </c>
      <c r="F1316" s="107" t="s">
        <v>2958</v>
      </c>
      <c r="G1316" s="107" t="s">
        <v>2961</v>
      </c>
      <c r="H1316" s="107" t="s">
        <v>2972</v>
      </c>
      <c r="I1316" s="107" t="s">
        <v>2997</v>
      </c>
      <c r="J1316" s="107" t="s">
        <v>2997</v>
      </c>
      <c r="K1316" s="107" t="s">
        <v>2997</v>
      </c>
      <c r="L1316" s="107">
        <v>470.45</v>
      </c>
      <c r="M1316" s="107">
        <v>5</v>
      </c>
    </row>
    <row r="1317" spans="1:13" x14ac:dyDescent="0.3">
      <c r="A1317" s="95">
        <f t="shared" si="20"/>
        <v>0</v>
      </c>
      <c r="B1317" s="106" t="s">
        <v>1306</v>
      </c>
      <c r="C1317" s="95" t="s">
        <v>2737</v>
      </c>
      <c r="D1317" s="106">
        <v>12</v>
      </c>
      <c r="E1317" s="107">
        <v>1</v>
      </c>
      <c r="F1317" s="107" t="s">
        <v>2959</v>
      </c>
      <c r="G1317" s="107" t="s">
        <v>2961</v>
      </c>
      <c r="H1317" s="107" t="s">
        <v>2971</v>
      </c>
      <c r="I1317" s="107" t="s">
        <v>2996</v>
      </c>
      <c r="J1317" s="107" t="s">
        <v>2996</v>
      </c>
      <c r="K1317" s="107" t="s">
        <v>2996</v>
      </c>
      <c r="L1317" s="107">
        <v>16</v>
      </c>
      <c r="M1317" s="107"/>
    </row>
    <row r="1318" spans="1:13" x14ac:dyDescent="0.3">
      <c r="A1318" s="95">
        <f t="shared" si="20"/>
        <v>0</v>
      </c>
      <c r="B1318" s="106" t="s">
        <v>1307</v>
      </c>
      <c r="C1318" s="95" t="s">
        <v>2738</v>
      </c>
      <c r="D1318" s="106">
        <v>12</v>
      </c>
      <c r="E1318" s="107">
        <v>1</v>
      </c>
      <c r="F1318" s="107" t="s">
        <v>2959</v>
      </c>
      <c r="G1318" s="107" t="s">
        <v>2966</v>
      </c>
      <c r="H1318" s="107" t="s">
        <v>2984</v>
      </c>
      <c r="I1318" s="107" t="s">
        <v>2997</v>
      </c>
      <c r="J1318" s="107" t="s">
        <v>2997</v>
      </c>
      <c r="K1318" s="107" t="s">
        <v>2996</v>
      </c>
      <c r="L1318" s="107">
        <v>70.47</v>
      </c>
      <c r="M1318" s="107"/>
    </row>
    <row r="1319" spans="1:13" x14ac:dyDescent="0.3">
      <c r="A1319" s="95">
        <f t="shared" si="20"/>
        <v>0</v>
      </c>
      <c r="B1319" s="106" t="s">
        <v>3172</v>
      </c>
      <c r="C1319" s="95" t="s">
        <v>3373</v>
      </c>
      <c r="D1319" s="106">
        <v>12</v>
      </c>
      <c r="E1319" s="107">
        <v>1</v>
      </c>
      <c r="F1319" s="107" t="s">
        <v>2959</v>
      </c>
      <c r="G1319" s="107" t="s">
        <v>2966</v>
      </c>
      <c r="H1319" s="107" t="s">
        <v>2984</v>
      </c>
      <c r="I1319" s="107" t="s">
        <v>2997</v>
      </c>
      <c r="J1319" s="107" t="s">
        <v>2997</v>
      </c>
      <c r="K1319" s="107" t="s">
        <v>2997</v>
      </c>
      <c r="L1319" s="107">
        <v>62</v>
      </c>
      <c r="M1319" s="107"/>
    </row>
    <row r="1320" spans="1:13" x14ac:dyDescent="0.3">
      <c r="A1320" s="95">
        <f t="shared" si="20"/>
        <v>0</v>
      </c>
      <c r="B1320" s="106" t="s">
        <v>1308</v>
      </c>
      <c r="C1320" s="95" t="s">
        <v>2739</v>
      </c>
      <c r="D1320" s="106">
        <v>12</v>
      </c>
      <c r="E1320" s="107">
        <v>1</v>
      </c>
      <c r="F1320" s="107" t="s">
        <v>2959</v>
      </c>
      <c r="G1320" s="107" t="s">
        <v>2966</v>
      </c>
      <c r="H1320" s="107" t="s">
        <v>2984</v>
      </c>
      <c r="I1320" s="107" t="s">
        <v>2997</v>
      </c>
      <c r="J1320" s="107" t="s">
        <v>2997</v>
      </c>
      <c r="K1320" s="107" t="s">
        <v>2996</v>
      </c>
      <c r="L1320" s="107">
        <v>27.87</v>
      </c>
      <c r="M1320" s="107"/>
    </row>
    <row r="1321" spans="1:13" x14ac:dyDescent="0.3">
      <c r="A1321" s="95">
        <f t="shared" si="20"/>
        <v>0</v>
      </c>
      <c r="B1321" s="106" t="s">
        <v>1309</v>
      </c>
      <c r="C1321" s="95" t="s">
        <v>2740</v>
      </c>
      <c r="D1321" s="106">
        <v>12</v>
      </c>
      <c r="E1321" s="107">
        <v>1</v>
      </c>
      <c r="F1321" s="107" t="s">
        <v>2959</v>
      </c>
      <c r="G1321" s="107" t="s">
        <v>2966</v>
      </c>
      <c r="H1321" s="107" t="s">
        <v>2985</v>
      </c>
      <c r="I1321" s="107" t="s">
        <v>2996</v>
      </c>
      <c r="J1321" s="107" t="s">
        <v>2996</v>
      </c>
      <c r="K1321" s="107" t="s">
        <v>2996</v>
      </c>
      <c r="L1321" s="107">
        <v>34.32</v>
      </c>
      <c r="M1321" s="107"/>
    </row>
    <row r="1322" spans="1:13" x14ac:dyDescent="0.3">
      <c r="A1322" s="95">
        <f t="shared" si="20"/>
        <v>0</v>
      </c>
      <c r="B1322" s="106" t="s">
        <v>1310</v>
      </c>
      <c r="C1322" s="95" t="s">
        <v>2741</v>
      </c>
      <c r="D1322" s="106">
        <v>12</v>
      </c>
      <c r="E1322" s="107">
        <v>1</v>
      </c>
      <c r="F1322" s="107" t="s">
        <v>2959</v>
      </c>
      <c r="G1322" s="107" t="s">
        <v>2966</v>
      </c>
      <c r="H1322" s="107" t="s">
        <v>2977</v>
      </c>
      <c r="I1322" s="107" t="s">
        <v>2997</v>
      </c>
      <c r="J1322" s="107" t="s">
        <v>2997</v>
      </c>
      <c r="K1322" s="107" t="s">
        <v>2997</v>
      </c>
      <c r="L1322" s="107">
        <v>66.92</v>
      </c>
      <c r="M1322" s="107">
        <v>1</v>
      </c>
    </row>
    <row r="1323" spans="1:13" x14ac:dyDescent="0.3">
      <c r="A1323" s="95">
        <f t="shared" si="20"/>
        <v>1</v>
      </c>
      <c r="B1323" s="106" t="s">
        <v>1311</v>
      </c>
      <c r="C1323" s="95" t="s">
        <v>2742</v>
      </c>
      <c r="D1323" s="106">
        <v>12</v>
      </c>
      <c r="E1323" s="107">
        <v>1</v>
      </c>
      <c r="F1323" s="107" t="s">
        <v>2958</v>
      </c>
      <c r="G1323" s="107" t="s">
        <v>2967</v>
      </c>
      <c r="H1323" s="107" t="s">
        <v>2967</v>
      </c>
      <c r="I1323" s="107" t="s">
        <v>2997</v>
      </c>
      <c r="J1323" s="107" t="s">
        <v>2997</v>
      </c>
      <c r="K1323" s="107" t="s">
        <v>2997</v>
      </c>
      <c r="L1323" s="107">
        <v>4775.8500000000004</v>
      </c>
      <c r="M1323" s="107">
        <v>18</v>
      </c>
    </row>
    <row r="1324" spans="1:13" x14ac:dyDescent="0.3">
      <c r="A1324" s="95">
        <f t="shared" si="20"/>
        <v>0</v>
      </c>
      <c r="B1324" s="106" t="s">
        <v>1312</v>
      </c>
      <c r="C1324" s="95" t="s">
        <v>2743</v>
      </c>
      <c r="D1324" s="106">
        <v>12</v>
      </c>
      <c r="E1324" s="107">
        <v>1</v>
      </c>
      <c r="F1324" s="107" t="s">
        <v>2959</v>
      </c>
      <c r="G1324" s="107" t="s">
        <v>2964</v>
      </c>
      <c r="H1324" s="107" t="s">
        <v>2976</v>
      </c>
      <c r="I1324" s="107" t="s">
        <v>2997</v>
      </c>
      <c r="J1324" s="107" t="s">
        <v>2997</v>
      </c>
      <c r="K1324" s="107" t="s">
        <v>2996</v>
      </c>
      <c r="L1324" s="107">
        <v>9.01</v>
      </c>
      <c r="M1324" s="107"/>
    </row>
    <row r="1325" spans="1:13" x14ac:dyDescent="0.3">
      <c r="A1325" s="95">
        <f t="shared" si="20"/>
        <v>0</v>
      </c>
      <c r="B1325" s="106" t="s">
        <v>1313</v>
      </c>
      <c r="C1325" s="95" t="s">
        <v>2744</v>
      </c>
      <c r="D1325" s="106">
        <v>12</v>
      </c>
      <c r="E1325" s="107">
        <v>1</v>
      </c>
      <c r="F1325" s="107" t="s">
        <v>2959</v>
      </c>
      <c r="G1325" s="107" t="s">
        <v>2964</v>
      </c>
      <c r="H1325" s="107" t="s">
        <v>2976</v>
      </c>
      <c r="I1325" s="107" t="s">
        <v>2996</v>
      </c>
      <c r="J1325" s="107" t="s">
        <v>2996</v>
      </c>
      <c r="K1325" s="107" t="s">
        <v>2996</v>
      </c>
      <c r="L1325" s="107">
        <v>35.630000000000003</v>
      </c>
      <c r="M1325" s="107"/>
    </row>
    <row r="1326" spans="1:13" x14ac:dyDescent="0.3">
      <c r="A1326" s="95">
        <f t="shared" si="20"/>
        <v>0</v>
      </c>
      <c r="B1326" s="106" t="s">
        <v>1314</v>
      </c>
      <c r="C1326" s="95" t="s">
        <v>2745</v>
      </c>
      <c r="D1326" s="106">
        <v>12</v>
      </c>
      <c r="E1326" s="107">
        <v>1</v>
      </c>
      <c r="F1326" s="107" t="s">
        <v>2958</v>
      </c>
      <c r="G1326" s="107" t="s">
        <v>2961</v>
      </c>
      <c r="H1326" s="107" t="s">
        <v>2981</v>
      </c>
      <c r="I1326" s="107" t="s">
        <v>2997</v>
      </c>
      <c r="J1326" s="107" t="s">
        <v>2997</v>
      </c>
      <c r="K1326" s="107" t="s">
        <v>2997</v>
      </c>
      <c r="L1326" s="107">
        <v>1030.8699999999999</v>
      </c>
      <c r="M1326" s="107">
        <v>5</v>
      </c>
    </row>
    <row r="1327" spans="1:13" x14ac:dyDescent="0.3">
      <c r="A1327" s="95">
        <f t="shared" si="20"/>
        <v>0</v>
      </c>
      <c r="B1327" s="106" t="s">
        <v>1315</v>
      </c>
      <c r="C1327" s="95" t="s">
        <v>2746</v>
      </c>
      <c r="D1327" s="106">
        <v>12</v>
      </c>
      <c r="E1327" s="107">
        <v>1</v>
      </c>
      <c r="F1327" s="107" t="s">
        <v>2959</v>
      </c>
      <c r="G1327" s="107" t="s">
        <v>2965</v>
      </c>
      <c r="H1327" s="107" t="s">
        <v>2965</v>
      </c>
      <c r="I1327" s="107" t="s">
        <v>2996</v>
      </c>
      <c r="J1327" s="107" t="s">
        <v>2996</v>
      </c>
      <c r="K1327" s="107" t="s">
        <v>2996</v>
      </c>
      <c r="L1327" s="107">
        <v>19.079999999999998</v>
      </c>
      <c r="M1327" s="107"/>
    </row>
    <row r="1328" spans="1:13" x14ac:dyDescent="0.3">
      <c r="A1328" s="95">
        <f t="shared" si="20"/>
        <v>0</v>
      </c>
      <c r="B1328" s="106" t="s">
        <v>1316</v>
      </c>
      <c r="C1328" s="95" t="s">
        <v>2747</v>
      </c>
      <c r="D1328" s="106">
        <v>12</v>
      </c>
      <c r="E1328" s="107">
        <v>1</v>
      </c>
      <c r="F1328" s="107" t="s">
        <v>2959</v>
      </c>
      <c r="G1328" s="107" t="s">
        <v>2966</v>
      </c>
      <c r="H1328" s="107" t="s">
        <v>2984</v>
      </c>
      <c r="I1328" s="107" t="s">
        <v>2997</v>
      </c>
      <c r="J1328" s="107" t="s">
        <v>2997</v>
      </c>
      <c r="K1328" s="107" t="s">
        <v>2997</v>
      </c>
      <c r="L1328" s="107">
        <v>72.099999999999994</v>
      </c>
      <c r="M1328" s="107"/>
    </row>
    <row r="1329" spans="1:13" x14ac:dyDescent="0.3">
      <c r="A1329" s="95">
        <f t="shared" si="20"/>
        <v>0</v>
      </c>
      <c r="B1329" s="106" t="s">
        <v>1317</v>
      </c>
      <c r="C1329" s="95" t="s">
        <v>2748</v>
      </c>
      <c r="D1329" s="106">
        <v>12</v>
      </c>
      <c r="E1329" s="107">
        <v>1</v>
      </c>
      <c r="F1329" s="107" t="s">
        <v>2959</v>
      </c>
      <c r="G1329" s="107" t="s">
        <v>2966</v>
      </c>
      <c r="H1329" s="107" t="s">
        <v>2984</v>
      </c>
      <c r="I1329" s="107" t="s">
        <v>2997</v>
      </c>
      <c r="J1329" s="107" t="s">
        <v>2997</v>
      </c>
      <c r="K1329" s="107" t="s">
        <v>2996</v>
      </c>
      <c r="L1329" s="107">
        <v>39.46</v>
      </c>
      <c r="M1329" s="107"/>
    </row>
    <row r="1330" spans="1:13" x14ac:dyDescent="0.3">
      <c r="A1330" s="95">
        <f t="shared" si="20"/>
        <v>0</v>
      </c>
      <c r="B1330" s="106" t="s">
        <v>1318</v>
      </c>
      <c r="C1330" s="95" t="s">
        <v>2749</v>
      </c>
      <c r="D1330" s="106">
        <v>12</v>
      </c>
      <c r="E1330" s="107">
        <v>1</v>
      </c>
      <c r="F1330" s="107" t="s">
        <v>2958</v>
      </c>
      <c r="G1330" s="107" t="s">
        <v>2964</v>
      </c>
      <c r="H1330" s="107" t="s">
        <v>2976</v>
      </c>
      <c r="I1330" s="107" t="s">
        <v>2997</v>
      </c>
      <c r="J1330" s="107" t="s">
        <v>2997</v>
      </c>
      <c r="K1330" s="107" t="s">
        <v>2996</v>
      </c>
      <c r="L1330" s="107">
        <v>119.45</v>
      </c>
      <c r="M1330" s="107"/>
    </row>
    <row r="1331" spans="1:13" x14ac:dyDescent="0.3">
      <c r="A1331" s="95">
        <f t="shared" si="20"/>
        <v>0</v>
      </c>
      <c r="B1331" s="106" t="s">
        <v>1319</v>
      </c>
      <c r="C1331" s="95" t="s">
        <v>2750</v>
      </c>
      <c r="D1331" s="106">
        <v>12</v>
      </c>
      <c r="E1331" s="107">
        <v>1</v>
      </c>
      <c r="F1331" s="107" t="s">
        <v>2959</v>
      </c>
      <c r="G1331" s="107" t="s">
        <v>2964</v>
      </c>
      <c r="H1331" s="107" t="s">
        <v>2976</v>
      </c>
      <c r="I1331" s="107" t="s">
        <v>2997</v>
      </c>
      <c r="J1331" s="107" t="s">
        <v>2997</v>
      </c>
      <c r="K1331" s="107" t="s">
        <v>2996</v>
      </c>
      <c r="L1331" s="107">
        <v>23.72</v>
      </c>
      <c r="M1331" s="107"/>
    </row>
    <row r="1332" spans="1:13" x14ac:dyDescent="0.3">
      <c r="A1332" s="95">
        <f t="shared" si="20"/>
        <v>0</v>
      </c>
      <c r="B1332" s="106" t="s">
        <v>1320</v>
      </c>
      <c r="C1332" s="95" t="s">
        <v>2751</v>
      </c>
      <c r="D1332" s="106">
        <v>12</v>
      </c>
      <c r="E1332" s="107">
        <v>1</v>
      </c>
      <c r="F1332" s="107" t="s">
        <v>2958</v>
      </c>
      <c r="G1332" s="107" t="s">
        <v>2963</v>
      </c>
      <c r="H1332" s="107" t="s">
        <v>2974</v>
      </c>
      <c r="I1332" s="107" t="s">
        <v>2997</v>
      </c>
      <c r="J1332" s="107" t="s">
        <v>2997</v>
      </c>
      <c r="K1332" s="107" t="s">
        <v>2996</v>
      </c>
      <c r="L1332" s="107">
        <v>54.34</v>
      </c>
      <c r="M1332" s="107"/>
    </row>
    <row r="1333" spans="1:13" x14ac:dyDescent="0.3">
      <c r="A1333" s="95">
        <f t="shared" si="20"/>
        <v>0</v>
      </c>
      <c r="B1333" s="106" t="s">
        <v>1321</v>
      </c>
      <c r="C1333" s="95" t="s">
        <v>2752</v>
      </c>
      <c r="D1333" s="106">
        <v>12</v>
      </c>
      <c r="E1333" s="107">
        <v>1</v>
      </c>
      <c r="F1333" s="107" t="s">
        <v>2959</v>
      </c>
      <c r="G1333" s="107" t="s">
        <v>2966</v>
      </c>
      <c r="H1333" s="107" t="s">
        <v>2980</v>
      </c>
      <c r="I1333" s="107" t="s">
        <v>2996</v>
      </c>
      <c r="J1333" s="107" t="s">
        <v>2996</v>
      </c>
      <c r="K1333" s="107" t="s">
        <v>2996</v>
      </c>
      <c r="L1333" s="107">
        <v>17.8</v>
      </c>
      <c r="M1333" s="107"/>
    </row>
    <row r="1334" spans="1:13" x14ac:dyDescent="0.3">
      <c r="A1334" s="95">
        <f t="shared" si="20"/>
        <v>0</v>
      </c>
      <c r="B1334" s="106" t="s">
        <v>1322</v>
      </c>
      <c r="C1334" s="95" t="s">
        <v>2753</v>
      </c>
      <c r="D1334" s="106">
        <v>12</v>
      </c>
      <c r="E1334" s="107">
        <v>1</v>
      </c>
      <c r="F1334" s="107" t="s">
        <v>2959</v>
      </c>
      <c r="G1334" s="107" t="s">
        <v>2966</v>
      </c>
      <c r="H1334" s="107" t="s">
        <v>2985</v>
      </c>
      <c r="I1334" s="107" t="s">
        <v>2997</v>
      </c>
      <c r="J1334" s="107" t="s">
        <v>2997</v>
      </c>
      <c r="K1334" s="107" t="s">
        <v>2997</v>
      </c>
      <c r="L1334" s="107">
        <v>76.95</v>
      </c>
      <c r="M1334" s="107">
        <v>2</v>
      </c>
    </row>
    <row r="1335" spans="1:13" x14ac:dyDescent="0.3">
      <c r="A1335" s="95">
        <f t="shared" si="20"/>
        <v>0</v>
      </c>
      <c r="B1335" s="106" t="s">
        <v>1323</v>
      </c>
      <c r="C1335" s="95" t="s">
        <v>2754</v>
      </c>
      <c r="D1335" s="106">
        <v>12</v>
      </c>
      <c r="E1335" s="107">
        <v>1</v>
      </c>
      <c r="F1335" s="107" t="s">
        <v>2959</v>
      </c>
      <c r="G1335" s="107" t="s">
        <v>2966</v>
      </c>
      <c r="H1335" s="107" t="s">
        <v>2980</v>
      </c>
      <c r="I1335" s="107" t="s">
        <v>2997</v>
      </c>
      <c r="J1335" s="107" t="s">
        <v>2997</v>
      </c>
      <c r="K1335" s="107" t="s">
        <v>2996</v>
      </c>
      <c r="L1335" s="107">
        <v>108.11</v>
      </c>
      <c r="M1335" s="107"/>
    </row>
    <row r="1336" spans="1:13" x14ac:dyDescent="0.3">
      <c r="A1336" s="95">
        <f t="shared" si="20"/>
        <v>0</v>
      </c>
      <c r="B1336" s="106" t="s">
        <v>1324</v>
      </c>
      <c r="C1336" s="95" t="s">
        <v>2755</v>
      </c>
      <c r="D1336" s="106">
        <v>12</v>
      </c>
      <c r="E1336" s="107">
        <v>1</v>
      </c>
      <c r="F1336" s="107" t="s">
        <v>2959</v>
      </c>
      <c r="G1336" s="107" t="s">
        <v>2966</v>
      </c>
      <c r="H1336" s="107" t="s">
        <v>2977</v>
      </c>
      <c r="I1336" s="107" t="s">
        <v>2997</v>
      </c>
      <c r="J1336" s="107" t="s">
        <v>2997</v>
      </c>
      <c r="K1336" s="107" t="s">
        <v>2996</v>
      </c>
      <c r="L1336" s="107">
        <v>145.80000000000001</v>
      </c>
      <c r="M1336" s="107"/>
    </row>
    <row r="1337" spans="1:13" x14ac:dyDescent="0.3">
      <c r="A1337" s="95">
        <f t="shared" si="20"/>
        <v>0</v>
      </c>
      <c r="B1337" s="106" t="s">
        <v>3173</v>
      </c>
      <c r="C1337" s="95" t="s">
        <v>3374</v>
      </c>
      <c r="D1337" s="106">
        <v>12</v>
      </c>
      <c r="E1337" s="107">
        <v>1</v>
      </c>
      <c r="F1337" s="107" t="s">
        <v>2959</v>
      </c>
      <c r="G1337" s="107" t="s">
        <v>2966</v>
      </c>
      <c r="H1337" s="107" t="s">
        <v>2985</v>
      </c>
      <c r="I1337" s="107" t="s">
        <v>2997</v>
      </c>
      <c r="J1337" s="107" t="s">
        <v>2997</v>
      </c>
      <c r="K1337" s="107" t="s">
        <v>2997</v>
      </c>
      <c r="L1337" s="107">
        <v>30.93</v>
      </c>
      <c r="M1337" s="107"/>
    </row>
    <row r="1338" spans="1:13" x14ac:dyDescent="0.3">
      <c r="A1338" s="95">
        <f t="shared" si="20"/>
        <v>0</v>
      </c>
      <c r="B1338" s="106" t="s">
        <v>3174</v>
      </c>
      <c r="C1338" s="95" t="s">
        <v>3375</v>
      </c>
      <c r="D1338" s="106">
        <v>12</v>
      </c>
      <c r="E1338" s="107">
        <v>1</v>
      </c>
      <c r="F1338" s="107" t="s">
        <v>2958</v>
      </c>
      <c r="G1338" s="107" t="s">
        <v>2965</v>
      </c>
      <c r="H1338" s="107" t="s">
        <v>2965</v>
      </c>
      <c r="I1338" s="107" t="s">
        <v>2997</v>
      </c>
      <c r="J1338" s="107" t="s">
        <v>2997</v>
      </c>
      <c r="K1338" s="107" t="s">
        <v>2997</v>
      </c>
      <c r="L1338" s="107">
        <v>348.45</v>
      </c>
      <c r="M1338" s="107"/>
    </row>
    <row r="1339" spans="1:13" x14ac:dyDescent="0.3">
      <c r="A1339" s="95">
        <f t="shared" si="20"/>
        <v>0</v>
      </c>
      <c r="B1339" s="106" t="s">
        <v>1325</v>
      </c>
      <c r="C1339" s="95" t="s">
        <v>2756</v>
      </c>
      <c r="D1339" s="106">
        <v>12</v>
      </c>
      <c r="E1339" s="107">
        <v>1</v>
      </c>
      <c r="F1339" s="107" t="s">
        <v>2959</v>
      </c>
      <c r="G1339" s="107" t="s">
        <v>2966</v>
      </c>
      <c r="H1339" s="107" t="s">
        <v>2980</v>
      </c>
      <c r="I1339" s="107" t="s">
        <v>2996</v>
      </c>
      <c r="J1339" s="107" t="s">
        <v>2996</v>
      </c>
      <c r="K1339" s="107" t="s">
        <v>2996</v>
      </c>
      <c r="L1339" s="107">
        <v>145.69</v>
      </c>
      <c r="M1339" s="107"/>
    </row>
    <row r="1340" spans="1:13" x14ac:dyDescent="0.3">
      <c r="A1340" s="95">
        <f t="shared" si="20"/>
        <v>0</v>
      </c>
      <c r="B1340" s="106" t="s">
        <v>1326</v>
      </c>
      <c r="C1340" s="95" t="s">
        <v>2757</v>
      </c>
      <c r="D1340" s="106">
        <v>12</v>
      </c>
      <c r="E1340" s="107">
        <v>1</v>
      </c>
      <c r="F1340" s="107" t="s">
        <v>2959</v>
      </c>
      <c r="G1340" s="107" t="s">
        <v>2966</v>
      </c>
      <c r="H1340" s="107" t="s">
        <v>2985</v>
      </c>
      <c r="I1340" s="107" t="s">
        <v>2997</v>
      </c>
      <c r="J1340" s="107" t="s">
        <v>2997</v>
      </c>
      <c r="K1340" s="107" t="s">
        <v>2996</v>
      </c>
      <c r="L1340" s="107">
        <v>34.11</v>
      </c>
      <c r="M1340" s="107"/>
    </row>
    <row r="1341" spans="1:13" x14ac:dyDescent="0.3">
      <c r="A1341" s="95">
        <f t="shared" si="20"/>
        <v>0</v>
      </c>
      <c r="B1341" s="106" t="s">
        <v>1327</v>
      </c>
      <c r="C1341" s="95" t="s">
        <v>2758</v>
      </c>
      <c r="D1341" s="106">
        <v>12</v>
      </c>
      <c r="E1341" s="107">
        <v>1</v>
      </c>
      <c r="F1341" s="107" t="s">
        <v>2959</v>
      </c>
      <c r="G1341" s="107" t="s">
        <v>2961</v>
      </c>
      <c r="H1341" s="107" t="s">
        <v>2990</v>
      </c>
      <c r="I1341" s="107" t="s">
        <v>2997</v>
      </c>
      <c r="J1341" s="107" t="s">
        <v>2997</v>
      </c>
      <c r="K1341" s="107" t="s">
        <v>2997</v>
      </c>
      <c r="L1341" s="107">
        <v>335.16</v>
      </c>
      <c r="M1341" s="107">
        <v>6</v>
      </c>
    </row>
    <row r="1342" spans="1:13" x14ac:dyDescent="0.3">
      <c r="A1342" s="95">
        <f t="shared" si="20"/>
        <v>0</v>
      </c>
      <c r="B1342" s="106" t="s">
        <v>1328</v>
      </c>
      <c r="C1342" s="95" t="s">
        <v>3651</v>
      </c>
      <c r="D1342" s="106">
        <v>12</v>
      </c>
      <c r="E1342" s="107">
        <v>1</v>
      </c>
      <c r="F1342" s="107" t="s">
        <v>2959</v>
      </c>
      <c r="G1342" s="107" t="s">
        <v>2966</v>
      </c>
      <c r="H1342" s="107" t="s">
        <v>2978</v>
      </c>
      <c r="I1342" s="107" t="s">
        <v>2997</v>
      </c>
      <c r="J1342" s="107" t="s">
        <v>2997</v>
      </c>
      <c r="K1342" s="107" t="s">
        <v>2997</v>
      </c>
      <c r="L1342" s="107">
        <v>96.06</v>
      </c>
      <c r="M1342" s="107"/>
    </row>
    <row r="1343" spans="1:13" x14ac:dyDescent="0.3">
      <c r="A1343" s="95">
        <f t="shared" si="20"/>
        <v>0</v>
      </c>
      <c r="B1343" s="106" t="s">
        <v>1329</v>
      </c>
      <c r="C1343" s="95" t="s">
        <v>2759</v>
      </c>
      <c r="D1343" s="106">
        <v>12</v>
      </c>
      <c r="E1343" s="107">
        <v>1</v>
      </c>
      <c r="F1343" s="107" t="s">
        <v>2959</v>
      </c>
      <c r="G1343" s="107" t="s">
        <v>2966</v>
      </c>
      <c r="H1343" s="107" t="s">
        <v>2984</v>
      </c>
      <c r="I1343" s="107" t="s">
        <v>2997</v>
      </c>
      <c r="J1343" s="107" t="s">
        <v>2997</v>
      </c>
      <c r="K1343" s="107" t="s">
        <v>2996</v>
      </c>
      <c r="L1343" s="107">
        <v>249.7</v>
      </c>
      <c r="M1343" s="107"/>
    </row>
    <row r="1344" spans="1:13" x14ac:dyDescent="0.3">
      <c r="A1344" s="95">
        <f t="shared" si="20"/>
        <v>0</v>
      </c>
      <c r="B1344" s="106" t="s">
        <v>1330</v>
      </c>
      <c r="C1344" s="95" t="s">
        <v>2760</v>
      </c>
      <c r="D1344" s="106">
        <v>12</v>
      </c>
      <c r="E1344" s="107">
        <v>1</v>
      </c>
      <c r="F1344" s="107" t="s">
        <v>2959</v>
      </c>
      <c r="G1344" s="107" t="s">
        <v>2961</v>
      </c>
      <c r="H1344" s="107" t="s">
        <v>2971</v>
      </c>
      <c r="I1344" s="107" t="s">
        <v>2997</v>
      </c>
      <c r="J1344" s="107" t="s">
        <v>2997</v>
      </c>
      <c r="K1344" s="107" t="s">
        <v>2996</v>
      </c>
      <c r="L1344" s="107">
        <v>28.66</v>
      </c>
      <c r="M1344" s="107"/>
    </row>
    <row r="1345" spans="1:13" x14ac:dyDescent="0.3">
      <c r="A1345" s="95">
        <f t="shared" si="20"/>
        <v>0</v>
      </c>
      <c r="B1345" s="106" t="s">
        <v>1331</v>
      </c>
      <c r="C1345" s="95" t="s">
        <v>3652</v>
      </c>
      <c r="D1345" s="106">
        <v>12</v>
      </c>
      <c r="E1345" s="107">
        <v>1</v>
      </c>
      <c r="F1345" s="107" t="s">
        <v>2959</v>
      </c>
      <c r="G1345" s="107" t="s">
        <v>2961</v>
      </c>
      <c r="H1345" s="107" t="s">
        <v>2971</v>
      </c>
      <c r="I1345" s="107" t="s">
        <v>2997</v>
      </c>
      <c r="J1345" s="107" t="s">
        <v>2997</v>
      </c>
      <c r="K1345" s="107" t="s">
        <v>2996</v>
      </c>
      <c r="L1345" s="107">
        <v>39.93</v>
      </c>
      <c r="M1345" s="107"/>
    </row>
    <row r="1346" spans="1:13" x14ac:dyDescent="0.3">
      <c r="A1346" s="95">
        <f t="shared" si="20"/>
        <v>0</v>
      </c>
      <c r="B1346" s="106" t="s">
        <v>1332</v>
      </c>
      <c r="C1346" s="95" t="s">
        <v>2761</v>
      </c>
      <c r="D1346" s="106">
        <v>12</v>
      </c>
      <c r="E1346" s="107">
        <v>1</v>
      </c>
      <c r="F1346" s="107" t="s">
        <v>2959</v>
      </c>
      <c r="G1346" s="107" t="s">
        <v>2966</v>
      </c>
      <c r="H1346" s="107" t="s">
        <v>2978</v>
      </c>
      <c r="I1346" s="107" t="s">
        <v>2997</v>
      </c>
      <c r="J1346" s="107" t="s">
        <v>2997</v>
      </c>
      <c r="K1346" s="107" t="s">
        <v>2996</v>
      </c>
      <c r="L1346" s="107">
        <v>131.82</v>
      </c>
      <c r="M1346" s="107">
        <v>1</v>
      </c>
    </row>
    <row r="1347" spans="1:13" x14ac:dyDescent="0.3">
      <c r="A1347" s="95">
        <f t="shared" si="20"/>
        <v>0</v>
      </c>
      <c r="B1347" s="106" t="s">
        <v>3175</v>
      </c>
      <c r="C1347" s="95" t="s">
        <v>3376</v>
      </c>
      <c r="D1347" s="106">
        <v>12</v>
      </c>
      <c r="E1347" s="107">
        <v>1</v>
      </c>
      <c r="F1347" s="107" t="s">
        <v>2959</v>
      </c>
      <c r="G1347" s="107" t="s">
        <v>2966</v>
      </c>
      <c r="H1347" s="107" t="s">
        <v>2978</v>
      </c>
      <c r="I1347" s="107" t="s">
        <v>2997</v>
      </c>
      <c r="J1347" s="107" t="s">
        <v>2997</v>
      </c>
      <c r="K1347" s="107" t="s">
        <v>2997</v>
      </c>
      <c r="L1347" s="107">
        <v>34.99</v>
      </c>
      <c r="M1347" s="107"/>
    </row>
    <row r="1348" spans="1:13" x14ac:dyDescent="0.3">
      <c r="A1348" s="95">
        <f t="shared" si="20"/>
        <v>0</v>
      </c>
      <c r="B1348" s="106" t="s">
        <v>1333</v>
      </c>
      <c r="C1348" s="95" t="s">
        <v>2762</v>
      </c>
      <c r="D1348" s="106">
        <v>12</v>
      </c>
      <c r="E1348" s="107">
        <v>1</v>
      </c>
      <c r="F1348" s="107" t="s">
        <v>2958</v>
      </c>
      <c r="G1348" s="107" t="s">
        <v>2965</v>
      </c>
      <c r="H1348" s="107" t="s">
        <v>2965</v>
      </c>
      <c r="I1348" s="107" t="s">
        <v>2997</v>
      </c>
      <c r="J1348" s="107" t="s">
        <v>2997</v>
      </c>
      <c r="K1348" s="107" t="s">
        <v>2997</v>
      </c>
      <c r="L1348" s="107">
        <v>93.95</v>
      </c>
      <c r="M1348" s="107"/>
    </row>
    <row r="1349" spans="1:13" x14ac:dyDescent="0.3">
      <c r="A1349" s="95">
        <f t="shared" si="20"/>
        <v>0</v>
      </c>
      <c r="B1349" s="106" t="s">
        <v>1334</v>
      </c>
      <c r="C1349" s="95" t="s">
        <v>2763</v>
      </c>
      <c r="D1349" s="106">
        <v>12</v>
      </c>
      <c r="E1349" s="107">
        <v>1</v>
      </c>
      <c r="F1349" s="107" t="s">
        <v>2959</v>
      </c>
      <c r="G1349" s="107" t="s">
        <v>2965</v>
      </c>
      <c r="H1349" s="107" t="s">
        <v>2965</v>
      </c>
      <c r="I1349" s="107" t="s">
        <v>2997</v>
      </c>
      <c r="J1349" s="107" t="s">
        <v>2997</v>
      </c>
      <c r="K1349" s="107" t="s">
        <v>2997</v>
      </c>
      <c r="L1349" s="107">
        <v>28.69</v>
      </c>
      <c r="M1349" s="107"/>
    </row>
    <row r="1350" spans="1:13" x14ac:dyDescent="0.3">
      <c r="A1350" s="95">
        <f t="shared" si="20"/>
        <v>0</v>
      </c>
      <c r="B1350" s="106" t="s">
        <v>1335</v>
      </c>
      <c r="C1350" s="95" t="s">
        <v>2764</v>
      </c>
      <c r="D1350" s="106">
        <v>12</v>
      </c>
      <c r="E1350" s="107">
        <v>1</v>
      </c>
      <c r="F1350" s="107" t="s">
        <v>2959</v>
      </c>
      <c r="G1350" s="107" t="s">
        <v>2966</v>
      </c>
      <c r="H1350" s="107" t="s">
        <v>2978</v>
      </c>
      <c r="I1350" s="107" t="s">
        <v>2996</v>
      </c>
      <c r="J1350" s="107" t="s">
        <v>2996</v>
      </c>
      <c r="K1350" s="107" t="s">
        <v>2996</v>
      </c>
      <c r="L1350" s="107">
        <v>23.68</v>
      </c>
      <c r="M1350" s="107"/>
    </row>
    <row r="1351" spans="1:13" x14ac:dyDescent="0.3">
      <c r="A1351" s="95">
        <f t="shared" si="20"/>
        <v>0</v>
      </c>
      <c r="B1351" s="106" t="s">
        <v>1336</v>
      </c>
      <c r="C1351" s="95" t="s">
        <v>2765</v>
      </c>
      <c r="D1351" s="106">
        <v>12</v>
      </c>
      <c r="E1351" s="107">
        <v>1</v>
      </c>
      <c r="F1351" s="107" t="s">
        <v>2959</v>
      </c>
      <c r="G1351" s="107" t="s">
        <v>2966</v>
      </c>
      <c r="H1351" s="107" t="s">
        <v>2984</v>
      </c>
      <c r="I1351" s="107" t="s">
        <v>2997</v>
      </c>
      <c r="J1351" s="107" t="s">
        <v>2997</v>
      </c>
      <c r="K1351" s="107" t="s">
        <v>2997</v>
      </c>
      <c r="L1351" s="107">
        <v>62.49</v>
      </c>
      <c r="M1351" s="107"/>
    </row>
    <row r="1352" spans="1:13" x14ac:dyDescent="0.3">
      <c r="A1352" s="95">
        <f t="shared" si="20"/>
        <v>1</v>
      </c>
      <c r="B1352" s="106" t="s">
        <v>3176</v>
      </c>
      <c r="C1352" s="95" t="s">
        <v>3377</v>
      </c>
      <c r="D1352" s="106">
        <v>12</v>
      </c>
      <c r="E1352" s="107">
        <v>1</v>
      </c>
      <c r="F1352" s="107" t="s">
        <v>2958</v>
      </c>
      <c r="G1352" s="107" t="s">
        <v>2961</v>
      </c>
      <c r="H1352" s="107" t="s">
        <v>2972</v>
      </c>
      <c r="I1352" s="107" t="s">
        <v>2997</v>
      </c>
      <c r="J1352" s="107" t="s">
        <v>2997</v>
      </c>
      <c r="K1352" s="107" t="s">
        <v>2997</v>
      </c>
      <c r="L1352" s="107">
        <v>684.73</v>
      </c>
      <c r="M1352" s="107">
        <v>8</v>
      </c>
    </row>
    <row r="1353" spans="1:13" x14ac:dyDescent="0.3">
      <c r="A1353" s="95">
        <f t="shared" si="20"/>
        <v>0</v>
      </c>
      <c r="B1353" s="106" t="s">
        <v>1337</v>
      </c>
      <c r="C1353" s="95" t="s">
        <v>2766</v>
      </c>
      <c r="D1353" s="106">
        <v>12</v>
      </c>
      <c r="E1353" s="107">
        <v>1</v>
      </c>
      <c r="F1353" s="107" t="s">
        <v>2959</v>
      </c>
      <c r="G1353" s="107" t="s">
        <v>2966</v>
      </c>
      <c r="H1353" s="107" t="s">
        <v>2985</v>
      </c>
      <c r="I1353" s="107" t="s">
        <v>2996</v>
      </c>
      <c r="J1353" s="107" t="s">
        <v>2997</v>
      </c>
      <c r="K1353" s="107" t="s">
        <v>2996</v>
      </c>
      <c r="L1353" s="107">
        <v>32.659999999999997</v>
      </c>
      <c r="M1353" s="107"/>
    </row>
    <row r="1354" spans="1:13" x14ac:dyDescent="0.3">
      <c r="A1354" s="95">
        <f t="shared" si="20"/>
        <v>0</v>
      </c>
      <c r="B1354" s="106" t="s">
        <v>1338</v>
      </c>
      <c r="C1354" s="95" t="s">
        <v>2767</v>
      </c>
      <c r="D1354" s="106">
        <v>12</v>
      </c>
      <c r="E1354" s="107">
        <v>1</v>
      </c>
      <c r="F1354" s="107" t="s">
        <v>2959</v>
      </c>
      <c r="G1354" s="107" t="s">
        <v>2966</v>
      </c>
      <c r="H1354" s="107" t="s">
        <v>2984</v>
      </c>
      <c r="I1354" s="107" t="s">
        <v>2997</v>
      </c>
      <c r="J1354" s="107" t="s">
        <v>2997</v>
      </c>
      <c r="K1354" s="107" t="s">
        <v>2997</v>
      </c>
      <c r="L1354" s="107">
        <v>263.2</v>
      </c>
      <c r="M1354" s="107">
        <v>2</v>
      </c>
    </row>
    <row r="1355" spans="1:13" x14ac:dyDescent="0.3">
      <c r="A1355" s="95">
        <f t="shared" si="20"/>
        <v>0</v>
      </c>
      <c r="B1355" s="106" t="s">
        <v>1339</v>
      </c>
      <c r="C1355" s="95" t="s">
        <v>2768</v>
      </c>
      <c r="D1355" s="106">
        <v>12</v>
      </c>
      <c r="E1355" s="107">
        <v>1</v>
      </c>
      <c r="F1355" s="107" t="s">
        <v>2959</v>
      </c>
      <c r="G1355" s="107" t="s">
        <v>2966</v>
      </c>
      <c r="H1355" s="107" t="s">
        <v>2978</v>
      </c>
      <c r="I1355" s="107" t="s">
        <v>2997</v>
      </c>
      <c r="J1355" s="107" t="s">
        <v>2997</v>
      </c>
      <c r="K1355" s="107" t="s">
        <v>2996</v>
      </c>
      <c r="L1355" s="107">
        <v>468.1</v>
      </c>
      <c r="M1355" s="107"/>
    </row>
    <row r="1356" spans="1:13" x14ac:dyDescent="0.3">
      <c r="A1356" s="95">
        <f t="shared" si="20"/>
        <v>0</v>
      </c>
      <c r="B1356" s="106" t="s">
        <v>1340</v>
      </c>
      <c r="C1356" s="95" t="s">
        <v>2769</v>
      </c>
      <c r="D1356" s="106">
        <v>12</v>
      </c>
      <c r="E1356" s="107">
        <v>1</v>
      </c>
      <c r="F1356" s="107" t="s">
        <v>2959</v>
      </c>
      <c r="G1356" s="107" t="s">
        <v>2966</v>
      </c>
      <c r="H1356" s="107" t="s">
        <v>2980</v>
      </c>
      <c r="I1356" s="107" t="s">
        <v>2997</v>
      </c>
      <c r="J1356" s="107" t="s">
        <v>2997</v>
      </c>
      <c r="K1356" s="107" t="s">
        <v>2996</v>
      </c>
      <c r="L1356" s="107">
        <v>44.92</v>
      </c>
      <c r="M1356" s="107"/>
    </row>
    <row r="1357" spans="1:13" x14ac:dyDescent="0.3">
      <c r="A1357" s="95">
        <f t="shared" si="20"/>
        <v>0</v>
      </c>
      <c r="B1357" s="106" t="s">
        <v>1341</v>
      </c>
      <c r="C1357" s="95" t="s">
        <v>2770</v>
      </c>
      <c r="D1357" s="106">
        <v>3</v>
      </c>
      <c r="E1357" s="107">
        <v>1</v>
      </c>
      <c r="F1357" s="107" t="s">
        <v>2958</v>
      </c>
      <c r="G1357" s="107" t="s">
        <v>2962</v>
      </c>
      <c r="H1357" s="107" t="s">
        <v>2973</v>
      </c>
      <c r="I1357" s="107" t="s">
        <v>2997</v>
      </c>
      <c r="J1357" s="107" t="s">
        <v>2997</v>
      </c>
      <c r="K1357" s="107" t="s">
        <v>2997</v>
      </c>
      <c r="L1357" s="107">
        <v>1062.82</v>
      </c>
      <c r="M1357" s="107"/>
    </row>
    <row r="1358" spans="1:13" x14ac:dyDescent="0.3">
      <c r="A1358" s="95">
        <f t="shared" si="20"/>
        <v>0</v>
      </c>
      <c r="B1358" s="106" t="s">
        <v>1342</v>
      </c>
      <c r="C1358" s="95" t="s">
        <v>2771</v>
      </c>
      <c r="D1358" s="106">
        <v>12</v>
      </c>
      <c r="E1358" s="107">
        <v>1</v>
      </c>
      <c r="F1358" s="107" t="s">
        <v>2959</v>
      </c>
      <c r="G1358" s="107" t="s">
        <v>2966</v>
      </c>
      <c r="H1358" s="107" t="s">
        <v>2984</v>
      </c>
      <c r="I1358" s="107" t="s">
        <v>2997</v>
      </c>
      <c r="J1358" s="107" t="s">
        <v>2997</v>
      </c>
      <c r="K1358" s="107" t="s">
        <v>2996</v>
      </c>
      <c r="L1358" s="107">
        <v>59.06</v>
      </c>
      <c r="M1358" s="107"/>
    </row>
    <row r="1359" spans="1:13" x14ac:dyDescent="0.3">
      <c r="A1359" s="95">
        <f t="shared" ref="A1359:A1422" si="21">IF(AND(E1359=1,J1359=K1359,M1359&gt;6),1,0)</f>
        <v>0</v>
      </c>
      <c r="B1359" s="106" t="s">
        <v>3177</v>
      </c>
      <c r="C1359" s="95" t="s">
        <v>3378</v>
      </c>
      <c r="D1359" s="106">
        <v>12</v>
      </c>
      <c r="E1359" s="107">
        <v>1</v>
      </c>
      <c r="F1359" s="107" t="s">
        <v>2958</v>
      </c>
      <c r="G1359" s="107" t="s">
        <v>2964</v>
      </c>
      <c r="H1359" s="107" t="s">
        <v>2976</v>
      </c>
      <c r="I1359" s="107" t="s">
        <v>2997</v>
      </c>
      <c r="J1359" s="107" t="s">
        <v>2997</v>
      </c>
      <c r="K1359" s="107" t="s">
        <v>2997</v>
      </c>
      <c r="L1359" s="107">
        <v>500.4</v>
      </c>
      <c r="M1359" s="107">
        <v>2</v>
      </c>
    </row>
    <row r="1360" spans="1:13" x14ac:dyDescent="0.3">
      <c r="A1360" s="95">
        <f t="shared" si="21"/>
        <v>0</v>
      </c>
      <c r="B1360" s="106" t="s">
        <v>1343</v>
      </c>
      <c r="C1360" s="95" t="s">
        <v>2772</v>
      </c>
      <c r="D1360" s="106">
        <v>12</v>
      </c>
      <c r="E1360" s="107">
        <v>1</v>
      </c>
      <c r="F1360" s="107" t="s">
        <v>2959</v>
      </c>
      <c r="G1360" s="107" t="s">
        <v>2966</v>
      </c>
      <c r="H1360" s="107" t="s">
        <v>2980</v>
      </c>
      <c r="I1360" s="107" t="s">
        <v>2996</v>
      </c>
      <c r="J1360" s="107" t="s">
        <v>2996</v>
      </c>
      <c r="K1360" s="107" t="s">
        <v>2996</v>
      </c>
      <c r="L1360" s="107">
        <v>93.19</v>
      </c>
      <c r="M1360" s="107"/>
    </row>
    <row r="1361" spans="1:13" x14ac:dyDescent="0.3">
      <c r="A1361" s="95">
        <f t="shared" si="21"/>
        <v>0</v>
      </c>
      <c r="B1361" s="106" t="s">
        <v>1344</v>
      </c>
      <c r="C1361" s="95" t="s">
        <v>2773</v>
      </c>
      <c r="D1361" s="106">
        <v>12</v>
      </c>
      <c r="E1361" s="107">
        <v>1</v>
      </c>
      <c r="F1361" s="107" t="s">
        <v>2959</v>
      </c>
      <c r="G1361" s="107" t="s">
        <v>2966</v>
      </c>
      <c r="H1361" s="107" t="s">
        <v>2980</v>
      </c>
      <c r="I1361" s="107" t="s">
        <v>2997</v>
      </c>
      <c r="J1361" s="107" t="s">
        <v>2997</v>
      </c>
      <c r="K1361" s="107" t="s">
        <v>2997</v>
      </c>
      <c r="L1361" s="107">
        <v>162.91</v>
      </c>
      <c r="M1361" s="107"/>
    </row>
    <row r="1362" spans="1:13" x14ac:dyDescent="0.3">
      <c r="A1362" s="95">
        <f t="shared" si="21"/>
        <v>0</v>
      </c>
      <c r="B1362" s="106" t="s">
        <v>1345</v>
      </c>
      <c r="C1362" s="95" t="s">
        <v>2774</v>
      </c>
      <c r="D1362" s="106">
        <v>3</v>
      </c>
      <c r="E1362" s="107">
        <v>1</v>
      </c>
      <c r="F1362" s="107" t="s">
        <v>2959</v>
      </c>
      <c r="G1362" s="107" t="s">
        <v>2966</v>
      </c>
      <c r="H1362" s="107" t="s">
        <v>2977</v>
      </c>
      <c r="I1362" s="107" t="s">
        <v>2997</v>
      </c>
      <c r="J1362" s="107" t="s">
        <v>2996</v>
      </c>
      <c r="K1362" s="107" t="s">
        <v>2996</v>
      </c>
      <c r="L1362" s="107">
        <v>71.52</v>
      </c>
      <c r="M1362" s="107"/>
    </row>
    <row r="1363" spans="1:13" x14ac:dyDescent="0.3">
      <c r="A1363" s="95">
        <f t="shared" si="21"/>
        <v>0</v>
      </c>
      <c r="B1363" s="106" t="s">
        <v>1346</v>
      </c>
      <c r="C1363" s="95" t="s">
        <v>2775</v>
      </c>
      <c r="D1363" s="106">
        <v>12</v>
      </c>
      <c r="E1363" s="107">
        <v>1</v>
      </c>
      <c r="F1363" s="107" t="s">
        <v>2959</v>
      </c>
      <c r="G1363" s="107" t="s">
        <v>2966</v>
      </c>
      <c r="H1363" s="107" t="s">
        <v>2984</v>
      </c>
      <c r="I1363" s="107" t="s">
        <v>2996</v>
      </c>
      <c r="J1363" s="107" t="s">
        <v>2996</v>
      </c>
      <c r="K1363" s="107" t="s">
        <v>2996</v>
      </c>
      <c r="L1363" s="107">
        <v>59.7</v>
      </c>
      <c r="M1363" s="107"/>
    </row>
    <row r="1364" spans="1:13" x14ac:dyDescent="0.3">
      <c r="A1364" s="95">
        <f t="shared" si="21"/>
        <v>0</v>
      </c>
      <c r="B1364" s="106" t="s">
        <v>1347</v>
      </c>
      <c r="C1364" s="95" t="s">
        <v>2776</v>
      </c>
      <c r="D1364" s="106">
        <v>12</v>
      </c>
      <c r="E1364" s="107">
        <v>1</v>
      </c>
      <c r="F1364" s="107" t="s">
        <v>2959</v>
      </c>
      <c r="G1364" s="107" t="s">
        <v>2966</v>
      </c>
      <c r="H1364" s="107" t="s">
        <v>2978</v>
      </c>
      <c r="I1364" s="107" t="s">
        <v>2997</v>
      </c>
      <c r="J1364" s="107" t="s">
        <v>2997</v>
      </c>
      <c r="K1364" s="107" t="s">
        <v>2997</v>
      </c>
      <c r="L1364" s="107">
        <v>69.790000000000006</v>
      </c>
      <c r="M1364" s="107">
        <v>2</v>
      </c>
    </row>
    <row r="1365" spans="1:13" x14ac:dyDescent="0.3">
      <c r="A1365" s="95">
        <f t="shared" si="21"/>
        <v>0</v>
      </c>
      <c r="B1365" s="106" t="s">
        <v>1348</v>
      </c>
      <c r="C1365" s="95" t="s">
        <v>2777</v>
      </c>
      <c r="D1365" s="106">
        <v>12</v>
      </c>
      <c r="E1365" s="107">
        <v>1</v>
      </c>
      <c r="F1365" s="107" t="s">
        <v>2958</v>
      </c>
      <c r="G1365" s="107" t="s">
        <v>2965</v>
      </c>
      <c r="H1365" s="107" t="s">
        <v>2965</v>
      </c>
      <c r="I1365" s="107" t="s">
        <v>2996</v>
      </c>
      <c r="J1365" s="107" t="s">
        <v>2996</v>
      </c>
      <c r="K1365" s="107" t="s">
        <v>2996</v>
      </c>
      <c r="L1365" s="107">
        <v>90.2</v>
      </c>
      <c r="M1365" s="107"/>
    </row>
    <row r="1366" spans="1:13" x14ac:dyDescent="0.3">
      <c r="A1366" s="95">
        <f t="shared" si="21"/>
        <v>0</v>
      </c>
      <c r="B1366" s="106" t="s">
        <v>1349</v>
      </c>
      <c r="C1366" s="95" t="s">
        <v>2778</v>
      </c>
      <c r="D1366" s="106">
        <v>12</v>
      </c>
      <c r="E1366" s="107">
        <v>1</v>
      </c>
      <c r="F1366" s="107" t="s">
        <v>2959</v>
      </c>
      <c r="G1366" s="107" t="s">
        <v>2966</v>
      </c>
      <c r="H1366" s="107" t="s">
        <v>2978</v>
      </c>
      <c r="I1366" s="107" t="s">
        <v>2997</v>
      </c>
      <c r="J1366" s="107" t="s">
        <v>2997</v>
      </c>
      <c r="K1366" s="107" t="s">
        <v>2996</v>
      </c>
      <c r="L1366" s="107">
        <v>43.37</v>
      </c>
      <c r="M1366" s="107"/>
    </row>
    <row r="1367" spans="1:13" x14ac:dyDescent="0.3">
      <c r="A1367" s="95">
        <f t="shared" si="21"/>
        <v>0</v>
      </c>
      <c r="B1367" s="106" t="s">
        <v>1350</v>
      </c>
      <c r="C1367" s="95" t="s">
        <v>2779</v>
      </c>
      <c r="D1367" s="106">
        <v>12</v>
      </c>
      <c r="E1367" s="107">
        <v>1</v>
      </c>
      <c r="F1367" s="107" t="s">
        <v>2959</v>
      </c>
      <c r="G1367" s="107" t="s">
        <v>2966</v>
      </c>
      <c r="H1367" s="107" t="s">
        <v>2984</v>
      </c>
      <c r="I1367" s="107" t="s">
        <v>2997</v>
      </c>
      <c r="J1367" s="107" t="s">
        <v>2997</v>
      </c>
      <c r="K1367" s="107" t="s">
        <v>2996</v>
      </c>
      <c r="L1367" s="107">
        <v>38.25</v>
      </c>
      <c r="M1367" s="107"/>
    </row>
    <row r="1368" spans="1:13" x14ac:dyDescent="0.3">
      <c r="A1368" s="95">
        <f t="shared" si="21"/>
        <v>0</v>
      </c>
      <c r="B1368" s="106" t="s">
        <v>1351</v>
      </c>
      <c r="C1368" s="95" t="s">
        <v>2780</v>
      </c>
      <c r="D1368" s="106">
        <v>12</v>
      </c>
      <c r="E1368" s="107">
        <v>1</v>
      </c>
      <c r="F1368" s="107" t="s">
        <v>2959</v>
      </c>
      <c r="G1368" s="107" t="s">
        <v>2966</v>
      </c>
      <c r="H1368" s="107" t="s">
        <v>2978</v>
      </c>
      <c r="I1368" s="107" t="s">
        <v>2997</v>
      </c>
      <c r="J1368" s="107" t="s">
        <v>2997</v>
      </c>
      <c r="K1368" s="107" t="s">
        <v>2996</v>
      </c>
      <c r="L1368" s="107">
        <v>30.61</v>
      </c>
      <c r="M1368" s="107"/>
    </row>
    <row r="1369" spans="1:13" x14ac:dyDescent="0.3">
      <c r="A1369" s="95">
        <f t="shared" si="21"/>
        <v>0</v>
      </c>
      <c r="B1369" s="106" t="s">
        <v>1352</v>
      </c>
      <c r="C1369" s="95" t="s">
        <v>2781</v>
      </c>
      <c r="D1369" s="106">
        <v>12</v>
      </c>
      <c r="E1369" s="107">
        <v>1</v>
      </c>
      <c r="F1369" s="107" t="s">
        <v>2959</v>
      </c>
      <c r="G1369" s="107" t="s">
        <v>2966</v>
      </c>
      <c r="H1369" s="107" t="s">
        <v>2984</v>
      </c>
      <c r="I1369" s="107" t="s">
        <v>2997</v>
      </c>
      <c r="J1369" s="107" t="s">
        <v>2997</v>
      </c>
      <c r="K1369" s="107" t="s">
        <v>2996</v>
      </c>
      <c r="L1369" s="107">
        <v>30.34</v>
      </c>
      <c r="M1369" s="107"/>
    </row>
    <row r="1370" spans="1:13" x14ac:dyDescent="0.3">
      <c r="A1370" s="95">
        <f t="shared" si="21"/>
        <v>0</v>
      </c>
      <c r="B1370" s="106" t="s">
        <v>1353</v>
      </c>
      <c r="C1370" s="95" t="s">
        <v>2782</v>
      </c>
      <c r="D1370" s="106">
        <v>12</v>
      </c>
      <c r="E1370" s="107">
        <v>1</v>
      </c>
      <c r="F1370" s="107" t="s">
        <v>2959</v>
      </c>
      <c r="G1370" s="107" t="s">
        <v>2964</v>
      </c>
      <c r="H1370" s="107" t="s">
        <v>2976</v>
      </c>
      <c r="I1370" s="107" t="s">
        <v>2997</v>
      </c>
      <c r="J1370" s="107" t="s">
        <v>2997</v>
      </c>
      <c r="K1370" s="107" t="s">
        <v>2997</v>
      </c>
      <c r="L1370" s="107">
        <v>223.67</v>
      </c>
      <c r="M1370" s="107">
        <v>2</v>
      </c>
    </row>
    <row r="1371" spans="1:13" x14ac:dyDescent="0.3">
      <c r="A1371" s="95">
        <f t="shared" si="21"/>
        <v>0</v>
      </c>
      <c r="B1371" s="106" t="s">
        <v>1354</v>
      </c>
      <c r="C1371" s="95" t="s">
        <v>2783</v>
      </c>
      <c r="D1371" s="106">
        <v>12</v>
      </c>
      <c r="E1371" s="107">
        <v>1</v>
      </c>
      <c r="F1371" s="107" t="s">
        <v>2959</v>
      </c>
      <c r="G1371" s="107" t="s">
        <v>2964</v>
      </c>
      <c r="H1371" s="107" t="s">
        <v>2976</v>
      </c>
      <c r="I1371" s="107" t="s">
        <v>2997</v>
      </c>
      <c r="J1371" s="107" t="s">
        <v>2997</v>
      </c>
      <c r="K1371" s="107" t="s">
        <v>2996</v>
      </c>
      <c r="L1371" s="107">
        <v>16.54</v>
      </c>
      <c r="M1371" s="107"/>
    </row>
    <row r="1372" spans="1:13" x14ac:dyDescent="0.3">
      <c r="A1372" s="95">
        <f t="shared" si="21"/>
        <v>0</v>
      </c>
      <c r="B1372" s="106" t="s">
        <v>1355</v>
      </c>
      <c r="C1372" s="95" t="s">
        <v>2784</v>
      </c>
      <c r="D1372" s="106">
        <v>12</v>
      </c>
      <c r="E1372" s="107">
        <v>1</v>
      </c>
      <c r="F1372" s="107" t="s">
        <v>2959</v>
      </c>
      <c r="G1372" s="107" t="s">
        <v>2960</v>
      </c>
      <c r="H1372" s="107" t="s">
        <v>2970</v>
      </c>
      <c r="I1372" s="107" t="s">
        <v>2997</v>
      </c>
      <c r="J1372" s="107" t="s">
        <v>2997</v>
      </c>
      <c r="K1372" s="107" t="s">
        <v>2996</v>
      </c>
      <c r="L1372" s="107">
        <v>166.83</v>
      </c>
      <c r="M1372" s="107"/>
    </row>
    <row r="1373" spans="1:13" x14ac:dyDescent="0.3">
      <c r="A1373" s="95">
        <f t="shared" si="21"/>
        <v>0</v>
      </c>
      <c r="B1373" s="106" t="s">
        <v>1356</v>
      </c>
      <c r="C1373" s="95" t="s">
        <v>2785</v>
      </c>
      <c r="D1373" s="106">
        <v>12</v>
      </c>
      <c r="E1373" s="107">
        <v>1</v>
      </c>
      <c r="F1373" s="107" t="s">
        <v>2959</v>
      </c>
      <c r="G1373" s="107" t="s">
        <v>2966</v>
      </c>
      <c r="H1373" s="107" t="s">
        <v>2980</v>
      </c>
      <c r="I1373" s="107" t="s">
        <v>2997</v>
      </c>
      <c r="J1373" s="107" t="s">
        <v>2997</v>
      </c>
      <c r="K1373" s="107" t="s">
        <v>2996</v>
      </c>
      <c r="L1373" s="107">
        <v>86.54</v>
      </c>
      <c r="M1373" s="107">
        <v>1</v>
      </c>
    </row>
    <row r="1374" spans="1:13" x14ac:dyDescent="0.3">
      <c r="A1374" s="95">
        <f t="shared" si="21"/>
        <v>0</v>
      </c>
      <c r="B1374" s="106" t="s">
        <v>1357</v>
      </c>
      <c r="C1374" s="95" t="s">
        <v>2786</v>
      </c>
      <c r="D1374" s="106">
        <v>12</v>
      </c>
      <c r="E1374" s="107">
        <v>1</v>
      </c>
      <c r="F1374" s="107" t="s">
        <v>2958</v>
      </c>
      <c r="G1374" s="107" t="s">
        <v>2965</v>
      </c>
      <c r="H1374" s="107" t="s">
        <v>2965</v>
      </c>
      <c r="I1374" s="107" t="s">
        <v>2997</v>
      </c>
      <c r="J1374" s="107" t="s">
        <v>2997</v>
      </c>
      <c r="K1374" s="107" t="s">
        <v>2997</v>
      </c>
      <c r="L1374" s="107">
        <v>143.19999999999999</v>
      </c>
      <c r="M1374" s="107"/>
    </row>
    <row r="1375" spans="1:13" x14ac:dyDescent="0.3">
      <c r="A1375" s="95">
        <f t="shared" si="21"/>
        <v>0</v>
      </c>
      <c r="B1375" s="106" t="s">
        <v>1358</v>
      </c>
      <c r="C1375" s="95" t="s">
        <v>2787</v>
      </c>
      <c r="D1375" s="106">
        <v>12</v>
      </c>
      <c r="E1375" s="107">
        <v>1</v>
      </c>
      <c r="F1375" s="107" t="s">
        <v>2959</v>
      </c>
      <c r="G1375" s="107" t="s">
        <v>2960</v>
      </c>
      <c r="H1375" s="107" t="s">
        <v>2970</v>
      </c>
      <c r="I1375" s="107" t="s">
        <v>2997</v>
      </c>
      <c r="J1375" s="107" t="s">
        <v>2997</v>
      </c>
      <c r="K1375" s="107" t="s">
        <v>2996</v>
      </c>
      <c r="L1375" s="107">
        <v>245.55</v>
      </c>
      <c r="M1375" s="107">
        <v>2</v>
      </c>
    </row>
    <row r="1376" spans="1:13" x14ac:dyDescent="0.3">
      <c r="A1376" s="95">
        <f t="shared" si="21"/>
        <v>0</v>
      </c>
      <c r="B1376" s="106" t="s">
        <v>1359</v>
      </c>
      <c r="C1376" s="95" t="s">
        <v>2788</v>
      </c>
      <c r="D1376" s="106">
        <v>12</v>
      </c>
      <c r="E1376" s="107">
        <v>1</v>
      </c>
      <c r="F1376" s="107" t="s">
        <v>2959</v>
      </c>
      <c r="G1376" s="107" t="s">
        <v>2964</v>
      </c>
      <c r="H1376" s="107" t="s">
        <v>2976</v>
      </c>
      <c r="I1376" s="107" t="s">
        <v>2996</v>
      </c>
      <c r="J1376" s="107" t="s">
        <v>2996</v>
      </c>
      <c r="K1376" s="107" t="s">
        <v>2996</v>
      </c>
      <c r="L1376" s="107">
        <v>18.98</v>
      </c>
      <c r="M1376" s="107"/>
    </row>
    <row r="1377" spans="1:13" x14ac:dyDescent="0.3">
      <c r="A1377" s="95">
        <f t="shared" si="21"/>
        <v>0</v>
      </c>
      <c r="B1377" s="106" t="s">
        <v>1360</v>
      </c>
      <c r="C1377" s="95" t="s">
        <v>2789</v>
      </c>
      <c r="D1377" s="106">
        <v>12</v>
      </c>
      <c r="E1377" s="107">
        <v>1</v>
      </c>
      <c r="F1377" s="107" t="s">
        <v>2959</v>
      </c>
      <c r="G1377" s="107" t="s">
        <v>2966</v>
      </c>
      <c r="H1377" s="107" t="s">
        <v>2978</v>
      </c>
      <c r="I1377" s="107" t="s">
        <v>2997</v>
      </c>
      <c r="J1377" s="107" t="s">
        <v>2997</v>
      </c>
      <c r="K1377" s="107" t="s">
        <v>2997</v>
      </c>
      <c r="L1377" s="107">
        <v>443.05</v>
      </c>
      <c r="M1377" s="107">
        <v>5</v>
      </c>
    </row>
    <row r="1378" spans="1:13" x14ac:dyDescent="0.3">
      <c r="A1378" s="95">
        <f t="shared" si="21"/>
        <v>0</v>
      </c>
      <c r="B1378" s="106" t="s">
        <v>1361</v>
      </c>
      <c r="C1378" s="95" t="s">
        <v>2790</v>
      </c>
      <c r="D1378" s="106">
        <v>12</v>
      </c>
      <c r="E1378" s="107">
        <v>1</v>
      </c>
      <c r="F1378" s="107" t="s">
        <v>2958</v>
      </c>
      <c r="G1378" s="107" t="s">
        <v>2964</v>
      </c>
      <c r="H1378" s="107" t="s">
        <v>2975</v>
      </c>
      <c r="I1378" s="107" t="s">
        <v>2997</v>
      </c>
      <c r="J1378" s="107" t="s">
        <v>2997</v>
      </c>
      <c r="K1378" s="107" t="s">
        <v>2996</v>
      </c>
      <c r="L1378" s="107">
        <v>64.31</v>
      </c>
      <c r="M1378" s="107"/>
    </row>
    <row r="1379" spans="1:13" x14ac:dyDescent="0.3">
      <c r="A1379" s="95">
        <f t="shared" si="21"/>
        <v>0</v>
      </c>
      <c r="B1379" s="106" t="s">
        <v>1362</v>
      </c>
      <c r="C1379" s="95" t="s">
        <v>2791</v>
      </c>
      <c r="D1379" s="106">
        <v>12</v>
      </c>
      <c r="E1379" s="107">
        <v>1</v>
      </c>
      <c r="F1379" s="107" t="s">
        <v>2958</v>
      </c>
      <c r="G1379" s="107" t="s">
        <v>2961</v>
      </c>
      <c r="H1379" s="107" t="s">
        <v>2990</v>
      </c>
      <c r="I1379" s="107" t="s">
        <v>2997</v>
      </c>
      <c r="J1379" s="107" t="s">
        <v>2997</v>
      </c>
      <c r="K1379" s="107" t="s">
        <v>2997</v>
      </c>
      <c r="L1379" s="107">
        <v>54.37</v>
      </c>
      <c r="M1379" s="107"/>
    </row>
    <row r="1380" spans="1:13" x14ac:dyDescent="0.3">
      <c r="A1380" s="95">
        <f t="shared" si="21"/>
        <v>0</v>
      </c>
      <c r="B1380" s="106" t="s">
        <v>1363</v>
      </c>
      <c r="C1380" s="95" t="s">
        <v>2792</v>
      </c>
      <c r="D1380" s="106">
        <v>12</v>
      </c>
      <c r="E1380" s="107">
        <v>1</v>
      </c>
      <c r="F1380" s="107" t="s">
        <v>2958</v>
      </c>
      <c r="G1380" s="107" t="s">
        <v>2963</v>
      </c>
      <c r="H1380" s="107" t="s">
        <v>2974</v>
      </c>
      <c r="I1380" s="107" t="s">
        <v>2997</v>
      </c>
      <c r="J1380" s="107" t="s">
        <v>2997</v>
      </c>
      <c r="K1380" s="107" t="s">
        <v>2996</v>
      </c>
      <c r="L1380" s="107">
        <v>282.45999999999998</v>
      </c>
      <c r="M1380" s="107"/>
    </row>
    <row r="1381" spans="1:13" x14ac:dyDescent="0.3">
      <c r="A1381" s="95">
        <f t="shared" si="21"/>
        <v>0</v>
      </c>
      <c r="B1381" s="106" t="s">
        <v>1364</v>
      </c>
      <c r="C1381" s="95" t="s">
        <v>2793</v>
      </c>
      <c r="D1381" s="106">
        <v>12</v>
      </c>
      <c r="E1381" s="107">
        <v>1</v>
      </c>
      <c r="F1381" s="107" t="s">
        <v>2959</v>
      </c>
      <c r="G1381" s="107" t="s">
        <v>2969</v>
      </c>
      <c r="H1381" s="107" t="s">
        <v>2994</v>
      </c>
      <c r="I1381" s="107" t="s">
        <v>2996</v>
      </c>
      <c r="J1381" s="107" t="s">
        <v>2997</v>
      </c>
      <c r="K1381" s="107" t="s">
        <v>2996</v>
      </c>
      <c r="L1381" s="107">
        <v>92.35</v>
      </c>
      <c r="M1381" s="107"/>
    </row>
    <row r="1382" spans="1:13" x14ac:dyDescent="0.3">
      <c r="A1382" s="95">
        <f t="shared" si="21"/>
        <v>1</v>
      </c>
      <c r="B1382" s="106" t="s">
        <v>1365</v>
      </c>
      <c r="C1382" s="95" t="s">
        <v>2794</v>
      </c>
      <c r="D1382" s="106">
        <v>12</v>
      </c>
      <c r="E1382" s="107">
        <v>1</v>
      </c>
      <c r="F1382" s="107" t="s">
        <v>2958</v>
      </c>
      <c r="G1382" s="107" t="s">
        <v>2961</v>
      </c>
      <c r="H1382" s="107" t="s">
        <v>2972</v>
      </c>
      <c r="I1382" s="107" t="s">
        <v>2997</v>
      </c>
      <c r="J1382" s="107" t="s">
        <v>2997</v>
      </c>
      <c r="K1382" s="107" t="s">
        <v>2997</v>
      </c>
      <c r="L1382" s="107">
        <v>341.01</v>
      </c>
      <c r="M1382" s="107">
        <v>11</v>
      </c>
    </row>
    <row r="1383" spans="1:13" x14ac:dyDescent="0.3">
      <c r="A1383" s="95">
        <f t="shared" si="21"/>
        <v>0</v>
      </c>
      <c r="B1383" s="106" t="s">
        <v>1366</v>
      </c>
      <c r="C1383" s="95" t="s">
        <v>2795</v>
      </c>
      <c r="D1383" s="106">
        <v>12</v>
      </c>
      <c r="E1383" s="107">
        <v>1</v>
      </c>
      <c r="F1383" s="107" t="s">
        <v>2959</v>
      </c>
      <c r="G1383" s="107" t="s">
        <v>2960</v>
      </c>
      <c r="H1383" s="107" t="s">
        <v>2970</v>
      </c>
      <c r="I1383" s="107" t="s">
        <v>2997</v>
      </c>
      <c r="J1383" s="107" t="s">
        <v>2997</v>
      </c>
      <c r="K1383" s="107" t="s">
        <v>2996</v>
      </c>
      <c r="L1383" s="107">
        <v>499.69</v>
      </c>
      <c r="M1383" s="107"/>
    </row>
    <row r="1384" spans="1:13" x14ac:dyDescent="0.3">
      <c r="A1384" s="95">
        <f t="shared" si="21"/>
        <v>0</v>
      </c>
      <c r="B1384" s="106" t="s">
        <v>1367</v>
      </c>
      <c r="C1384" s="95" t="s">
        <v>2796</v>
      </c>
      <c r="D1384" s="106">
        <v>12</v>
      </c>
      <c r="E1384" s="107">
        <v>1</v>
      </c>
      <c r="F1384" s="107" t="s">
        <v>2958</v>
      </c>
      <c r="G1384" s="107" t="s">
        <v>2964</v>
      </c>
      <c r="H1384" s="107" t="s">
        <v>2976</v>
      </c>
      <c r="I1384" s="107" t="s">
        <v>2997</v>
      </c>
      <c r="J1384" s="107" t="s">
        <v>2997</v>
      </c>
      <c r="K1384" s="107" t="s">
        <v>2996</v>
      </c>
      <c r="L1384" s="107">
        <v>97.18</v>
      </c>
      <c r="M1384" s="107"/>
    </row>
    <row r="1385" spans="1:13" x14ac:dyDescent="0.3">
      <c r="A1385" s="95">
        <f t="shared" si="21"/>
        <v>0</v>
      </c>
      <c r="B1385" s="106" t="s">
        <v>1368</v>
      </c>
      <c r="C1385" s="95" t="s">
        <v>2797</v>
      </c>
      <c r="D1385" s="106">
        <v>12</v>
      </c>
      <c r="E1385" s="107">
        <v>1</v>
      </c>
      <c r="F1385" s="107" t="s">
        <v>2959</v>
      </c>
      <c r="G1385" s="107" t="s">
        <v>2960</v>
      </c>
      <c r="H1385" s="107" t="s">
        <v>2983</v>
      </c>
      <c r="I1385" s="107" t="s">
        <v>2997</v>
      </c>
      <c r="J1385" s="107" t="s">
        <v>2997</v>
      </c>
      <c r="K1385" s="107" t="s">
        <v>2996</v>
      </c>
      <c r="L1385" s="107">
        <v>94.14</v>
      </c>
      <c r="M1385" s="107"/>
    </row>
    <row r="1386" spans="1:13" x14ac:dyDescent="0.3">
      <c r="A1386" s="95">
        <f t="shared" si="21"/>
        <v>0</v>
      </c>
      <c r="B1386" s="106" t="s">
        <v>1369</v>
      </c>
      <c r="C1386" s="95" t="s">
        <v>2798</v>
      </c>
      <c r="D1386" s="106">
        <v>12</v>
      </c>
      <c r="E1386" s="107">
        <v>1</v>
      </c>
      <c r="F1386" s="107" t="s">
        <v>2959</v>
      </c>
      <c r="G1386" s="107" t="s">
        <v>2960</v>
      </c>
      <c r="H1386" s="107" t="s">
        <v>2970</v>
      </c>
      <c r="I1386" s="107" t="s">
        <v>2997</v>
      </c>
      <c r="J1386" s="107" t="s">
        <v>2997</v>
      </c>
      <c r="K1386" s="107" t="s">
        <v>2997</v>
      </c>
      <c r="L1386" s="107">
        <v>644.25</v>
      </c>
      <c r="M1386" s="107">
        <v>1</v>
      </c>
    </row>
    <row r="1387" spans="1:13" x14ac:dyDescent="0.3">
      <c r="A1387" s="95">
        <f t="shared" si="21"/>
        <v>0</v>
      </c>
      <c r="B1387" s="106" t="s">
        <v>1370</v>
      </c>
      <c r="C1387" s="95" t="s">
        <v>2799</v>
      </c>
      <c r="D1387" s="106">
        <v>12</v>
      </c>
      <c r="E1387" s="107">
        <v>1</v>
      </c>
      <c r="F1387" s="107" t="s">
        <v>2959</v>
      </c>
      <c r="G1387" s="107" t="s">
        <v>2966</v>
      </c>
      <c r="H1387" s="107" t="s">
        <v>2984</v>
      </c>
      <c r="I1387" s="107" t="s">
        <v>2997</v>
      </c>
      <c r="J1387" s="107" t="s">
        <v>2997</v>
      </c>
      <c r="K1387" s="107" t="s">
        <v>2996</v>
      </c>
      <c r="L1387" s="107">
        <v>56.73</v>
      </c>
      <c r="M1387" s="107">
        <v>2</v>
      </c>
    </row>
    <row r="1388" spans="1:13" x14ac:dyDescent="0.3">
      <c r="A1388" s="95">
        <f t="shared" si="21"/>
        <v>0</v>
      </c>
      <c r="B1388" s="106" t="s">
        <v>1371</v>
      </c>
      <c r="C1388" s="95" t="s">
        <v>2800</v>
      </c>
      <c r="D1388" s="106">
        <v>12</v>
      </c>
      <c r="E1388" s="107">
        <v>1</v>
      </c>
      <c r="F1388" s="107" t="s">
        <v>2959</v>
      </c>
      <c r="G1388" s="107" t="s">
        <v>2966</v>
      </c>
      <c r="H1388" s="107" t="s">
        <v>2984</v>
      </c>
      <c r="I1388" s="107" t="s">
        <v>2996</v>
      </c>
      <c r="J1388" s="107" t="s">
        <v>2997</v>
      </c>
      <c r="K1388" s="107" t="s">
        <v>2996</v>
      </c>
      <c r="L1388" s="107">
        <v>48.27</v>
      </c>
      <c r="M1388" s="107"/>
    </row>
    <row r="1389" spans="1:13" x14ac:dyDescent="0.3">
      <c r="A1389" s="95">
        <f t="shared" si="21"/>
        <v>0</v>
      </c>
      <c r="B1389" s="106" t="s">
        <v>1372</v>
      </c>
      <c r="C1389" s="95" t="s">
        <v>2801</v>
      </c>
      <c r="D1389" s="106">
        <v>12</v>
      </c>
      <c r="E1389" s="107">
        <v>1</v>
      </c>
      <c r="F1389" s="107" t="s">
        <v>2959</v>
      </c>
      <c r="G1389" s="107" t="s">
        <v>2960</v>
      </c>
      <c r="H1389" s="107" t="s">
        <v>2970</v>
      </c>
      <c r="I1389" s="107" t="s">
        <v>2997</v>
      </c>
      <c r="J1389" s="107" t="s">
        <v>2997</v>
      </c>
      <c r="K1389" s="107" t="s">
        <v>2997</v>
      </c>
      <c r="L1389" s="107">
        <v>75.17</v>
      </c>
      <c r="M1389" s="107"/>
    </row>
    <row r="1390" spans="1:13" x14ac:dyDescent="0.3">
      <c r="A1390" s="95">
        <f t="shared" si="21"/>
        <v>0</v>
      </c>
      <c r="B1390" s="106" t="s">
        <v>1373</v>
      </c>
      <c r="C1390" s="95" t="s">
        <v>2802</v>
      </c>
      <c r="D1390" s="106">
        <v>12</v>
      </c>
      <c r="E1390" s="107">
        <v>1</v>
      </c>
      <c r="F1390" s="107" t="s">
        <v>2959</v>
      </c>
      <c r="G1390" s="107" t="s">
        <v>2960</v>
      </c>
      <c r="H1390" s="107" t="s">
        <v>2970</v>
      </c>
      <c r="I1390" s="107" t="s">
        <v>2997</v>
      </c>
      <c r="J1390" s="107" t="s">
        <v>2997</v>
      </c>
      <c r="K1390" s="107" t="s">
        <v>2997</v>
      </c>
      <c r="L1390" s="107">
        <v>26.84</v>
      </c>
      <c r="M1390" s="107"/>
    </row>
    <row r="1391" spans="1:13" x14ac:dyDescent="0.3">
      <c r="A1391" s="95">
        <f t="shared" si="21"/>
        <v>0</v>
      </c>
      <c r="B1391" s="106" t="s">
        <v>1374</v>
      </c>
      <c r="C1391" s="95" t="s">
        <v>2803</v>
      </c>
      <c r="D1391" s="106">
        <v>12</v>
      </c>
      <c r="E1391" s="107">
        <v>1</v>
      </c>
      <c r="F1391" s="107" t="s">
        <v>2959</v>
      </c>
      <c r="G1391" s="107" t="s">
        <v>2966</v>
      </c>
      <c r="H1391" s="107" t="s">
        <v>2984</v>
      </c>
      <c r="I1391" s="107" t="s">
        <v>2997</v>
      </c>
      <c r="J1391" s="107" t="s">
        <v>2997</v>
      </c>
      <c r="K1391" s="107" t="s">
        <v>2996</v>
      </c>
      <c r="L1391" s="107">
        <v>59.88</v>
      </c>
      <c r="M1391" s="107"/>
    </row>
    <row r="1392" spans="1:13" x14ac:dyDescent="0.3">
      <c r="A1392" s="95">
        <f t="shared" si="21"/>
        <v>0</v>
      </c>
      <c r="B1392" s="106" t="s">
        <v>1375</v>
      </c>
      <c r="C1392" s="95" t="s">
        <v>2804</v>
      </c>
      <c r="D1392" s="106">
        <v>12</v>
      </c>
      <c r="E1392" s="107">
        <v>1</v>
      </c>
      <c r="F1392" s="107" t="s">
        <v>2959</v>
      </c>
      <c r="G1392" s="107" t="s">
        <v>2961</v>
      </c>
      <c r="H1392" s="107" t="s">
        <v>2971</v>
      </c>
      <c r="I1392" s="107" t="s">
        <v>2996</v>
      </c>
      <c r="J1392" s="107" t="s">
        <v>2996</v>
      </c>
      <c r="K1392" s="107" t="s">
        <v>2996</v>
      </c>
      <c r="L1392" s="107">
        <v>19.21</v>
      </c>
      <c r="M1392" s="107"/>
    </row>
    <row r="1393" spans="1:13" x14ac:dyDescent="0.3">
      <c r="A1393" s="95">
        <f t="shared" si="21"/>
        <v>1</v>
      </c>
      <c r="B1393" s="106" t="s">
        <v>1376</v>
      </c>
      <c r="C1393" s="95" t="s">
        <v>2805</v>
      </c>
      <c r="D1393" s="106">
        <v>12</v>
      </c>
      <c r="E1393" s="107">
        <v>1</v>
      </c>
      <c r="F1393" s="107" t="s">
        <v>2958</v>
      </c>
      <c r="G1393" s="107" t="s">
        <v>2964</v>
      </c>
      <c r="H1393" s="107" t="s">
        <v>2975</v>
      </c>
      <c r="I1393" s="107" t="s">
        <v>2997</v>
      </c>
      <c r="J1393" s="107" t="s">
        <v>2997</v>
      </c>
      <c r="K1393" s="107" t="s">
        <v>2997</v>
      </c>
      <c r="L1393" s="107">
        <v>7256.25</v>
      </c>
      <c r="M1393" s="107">
        <v>12</v>
      </c>
    </row>
    <row r="1394" spans="1:13" x14ac:dyDescent="0.3">
      <c r="A1394" s="95">
        <f t="shared" si="21"/>
        <v>0</v>
      </c>
      <c r="B1394" s="106" t="s">
        <v>1377</v>
      </c>
      <c r="C1394" s="95" t="s">
        <v>2806</v>
      </c>
      <c r="D1394" s="106">
        <v>12</v>
      </c>
      <c r="E1394" s="107">
        <v>1</v>
      </c>
      <c r="F1394" s="107" t="s">
        <v>2959</v>
      </c>
      <c r="G1394" s="107" t="s">
        <v>2966</v>
      </c>
      <c r="H1394" s="107" t="s">
        <v>2978</v>
      </c>
      <c r="I1394" s="107" t="s">
        <v>2997</v>
      </c>
      <c r="J1394" s="107" t="s">
        <v>2997</v>
      </c>
      <c r="K1394" s="107" t="s">
        <v>2996</v>
      </c>
      <c r="L1394" s="107">
        <v>39.07</v>
      </c>
      <c r="M1394" s="107"/>
    </row>
    <row r="1395" spans="1:13" x14ac:dyDescent="0.3">
      <c r="A1395" s="95">
        <f t="shared" si="21"/>
        <v>0</v>
      </c>
      <c r="B1395" s="106" t="s">
        <v>1378</v>
      </c>
      <c r="C1395" s="95" t="s">
        <v>2807</v>
      </c>
      <c r="D1395" s="106">
        <v>12</v>
      </c>
      <c r="E1395" s="107">
        <v>1</v>
      </c>
      <c r="F1395" s="107" t="s">
        <v>2959</v>
      </c>
      <c r="G1395" s="107" t="s">
        <v>2960</v>
      </c>
      <c r="H1395" s="107" t="s">
        <v>2970</v>
      </c>
      <c r="I1395" s="107" t="s">
        <v>2996</v>
      </c>
      <c r="J1395" s="107" t="s">
        <v>2996</v>
      </c>
      <c r="K1395" s="107" t="s">
        <v>2996</v>
      </c>
      <c r="L1395" s="107">
        <v>305</v>
      </c>
      <c r="M1395" s="107">
        <v>3</v>
      </c>
    </row>
    <row r="1396" spans="1:13" x14ac:dyDescent="0.3">
      <c r="A1396" s="95">
        <f t="shared" si="21"/>
        <v>0</v>
      </c>
      <c r="B1396" s="106" t="s">
        <v>1379</v>
      </c>
      <c r="C1396" s="95" t="s">
        <v>2808</v>
      </c>
      <c r="D1396" s="106">
        <v>12</v>
      </c>
      <c r="E1396" s="107">
        <v>1</v>
      </c>
      <c r="F1396" s="107" t="s">
        <v>2959</v>
      </c>
      <c r="G1396" s="107" t="s">
        <v>2965</v>
      </c>
      <c r="H1396" s="107" t="s">
        <v>2965</v>
      </c>
      <c r="I1396" s="107" t="s">
        <v>2996</v>
      </c>
      <c r="J1396" s="107" t="s">
        <v>2996</v>
      </c>
      <c r="K1396" s="107" t="s">
        <v>2996</v>
      </c>
      <c r="L1396" s="107">
        <v>125.66</v>
      </c>
      <c r="M1396" s="107"/>
    </row>
    <row r="1397" spans="1:13" x14ac:dyDescent="0.3">
      <c r="A1397" s="95">
        <f t="shared" si="21"/>
        <v>0</v>
      </c>
      <c r="B1397" s="106" t="s">
        <v>1380</v>
      </c>
      <c r="C1397" s="95" t="s">
        <v>2809</v>
      </c>
      <c r="D1397" s="106">
        <v>12</v>
      </c>
      <c r="E1397" s="107">
        <v>1</v>
      </c>
      <c r="F1397" s="107" t="s">
        <v>2959</v>
      </c>
      <c r="G1397" s="107" t="s">
        <v>2964</v>
      </c>
      <c r="H1397" s="107" t="s">
        <v>2976</v>
      </c>
      <c r="I1397" s="107" t="s">
        <v>2997</v>
      </c>
      <c r="J1397" s="107" t="s">
        <v>2997</v>
      </c>
      <c r="K1397" s="107" t="s">
        <v>2996</v>
      </c>
      <c r="L1397" s="107">
        <v>56.46</v>
      </c>
      <c r="M1397" s="107"/>
    </row>
    <row r="1398" spans="1:13" x14ac:dyDescent="0.3">
      <c r="A1398" s="95">
        <f t="shared" si="21"/>
        <v>1</v>
      </c>
      <c r="B1398" s="106" t="s">
        <v>1381</v>
      </c>
      <c r="C1398" s="95" t="s">
        <v>2810</v>
      </c>
      <c r="D1398" s="106">
        <v>12</v>
      </c>
      <c r="E1398" s="107">
        <v>1</v>
      </c>
      <c r="F1398" s="107" t="s">
        <v>2958</v>
      </c>
      <c r="G1398" s="107" t="s">
        <v>2962</v>
      </c>
      <c r="H1398" s="107" t="s">
        <v>2986</v>
      </c>
      <c r="I1398" s="107" t="s">
        <v>2997</v>
      </c>
      <c r="J1398" s="107" t="s">
        <v>2997</v>
      </c>
      <c r="K1398" s="107" t="s">
        <v>2997</v>
      </c>
      <c r="L1398" s="107">
        <v>9638.98</v>
      </c>
      <c r="M1398" s="107">
        <v>24</v>
      </c>
    </row>
    <row r="1399" spans="1:13" x14ac:dyDescent="0.3">
      <c r="A1399" s="95">
        <f t="shared" si="21"/>
        <v>0</v>
      </c>
      <c r="B1399" s="106" t="s">
        <v>1382</v>
      </c>
      <c r="C1399" s="95" t="s">
        <v>2811</v>
      </c>
      <c r="D1399" s="106">
        <v>12</v>
      </c>
      <c r="E1399" s="107">
        <v>1</v>
      </c>
      <c r="F1399" s="107" t="s">
        <v>2959</v>
      </c>
      <c r="G1399" s="107" t="s">
        <v>2966</v>
      </c>
      <c r="H1399" s="107" t="s">
        <v>2984</v>
      </c>
      <c r="I1399" s="107" t="s">
        <v>2997</v>
      </c>
      <c r="J1399" s="107" t="s">
        <v>2997</v>
      </c>
      <c r="K1399" s="107" t="s">
        <v>2997</v>
      </c>
      <c r="L1399" s="107">
        <v>73.010000000000005</v>
      </c>
      <c r="M1399" s="107"/>
    </row>
    <row r="1400" spans="1:13" x14ac:dyDescent="0.3">
      <c r="A1400" s="95">
        <f t="shared" si="21"/>
        <v>0</v>
      </c>
      <c r="B1400" s="106" t="s">
        <v>1383</v>
      </c>
      <c r="C1400" s="95" t="s">
        <v>2812</v>
      </c>
      <c r="D1400" s="106">
        <v>12</v>
      </c>
      <c r="E1400" s="107">
        <v>1</v>
      </c>
      <c r="F1400" s="107" t="s">
        <v>2959</v>
      </c>
      <c r="G1400" s="107" t="s">
        <v>2960</v>
      </c>
      <c r="H1400" s="107" t="s">
        <v>2970</v>
      </c>
      <c r="I1400" s="107" t="s">
        <v>2996</v>
      </c>
      <c r="J1400" s="107" t="s">
        <v>2996</v>
      </c>
      <c r="K1400" s="107" t="s">
        <v>2996</v>
      </c>
      <c r="L1400" s="107">
        <v>101.45</v>
      </c>
      <c r="M1400" s="107"/>
    </row>
    <row r="1401" spans="1:13" x14ac:dyDescent="0.3">
      <c r="A1401" s="95">
        <f t="shared" si="21"/>
        <v>0</v>
      </c>
      <c r="B1401" s="106" t="s">
        <v>1384</v>
      </c>
      <c r="C1401" s="95" t="s">
        <v>2813</v>
      </c>
      <c r="D1401" s="106">
        <v>12</v>
      </c>
      <c r="E1401" s="107">
        <v>1</v>
      </c>
      <c r="F1401" s="107" t="s">
        <v>2959</v>
      </c>
      <c r="G1401" s="107" t="s">
        <v>2960</v>
      </c>
      <c r="H1401" s="107" t="s">
        <v>2970</v>
      </c>
      <c r="I1401" s="107" t="s">
        <v>2996</v>
      </c>
      <c r="J1401" s="107" t="s">
        <v>2997</v>
      </c>
      <c r="K1401" s="107" t="s">
        <v>2996</v>
      </c>
      <c r="L1401" s="107">
        <v>568.48</v>
      </c>
      <c r="M1401" s="107">
        <v>4</v>
      </c>
    </row>
    <row r="1402" spans="1:13" x14ac:dyDescent="0.3">
      <c r="A1402" s="95">
        <f t="shared" si="21"/>
        <v>0</v>
      </c>
      <c r="B1402" s="106" t="s">
        <v>1385</v>
      </c>
      <c r="C1402" s="95" t="s">
        <v>2814</v>
      </c>
      <c r="D1402" s="106">
        <v>12</v>
      </c>
      <c r="E1402" s="107">
        <v>1</v>
      </c>
      <c r="F1402" s="107" t="s">
        <v>2959</v>
      </c>
      <c r="G1402" s="107" t="s">
        <v>2966</v>
      </c>
      <c r="H1402" s="107" t="s">
        <v>2985</v>
      </c>
      <c r="I1402" s="107" t="s">
        <v>2997</v>
      </c>
      <c r="J1402" s="107" t="s">
        <v>2997</v>
      </c>
      <c r="K1402" s="107" t="s">
        <v>2997</v>
      </c>
      <c r="L1402" s="107">
        <v>120.84</v>
      </c>
      <c r="M1402" s="107">
        <v>2</v>
      </c>
    </row>
    <row r="1403" spans="1:13" x14ac:dyDescent="0.3">
      <c r="A1403" s="95">
        <f t="shared" si="21"/>
        <v>0</v>
      </c>
      <c r="B1403" s="106" t="s">
        <v>1386</v>
      </c>
      <c r="C1403" s="95" t="s">
        <v>2815</v>
      </c>
      <c r="D1403" s="106">
        <v>12</v>
      </c>
      <c r="E1403" s="107">
        <v>1</v>
      </c>
      <c r="F1403" s="107" t="s">
        <v>2959</v>
      </c>
      <c r="G1403" s="107" t="s">
        <v>2961</v>
      </c>
      <c r="H1403" s="107" t="s">
        <v>2981</v>
      </c>
      <c r="I1403" s="107" t="s">
        <v>2997</v>
      </c>
      <c r="J1403" s="107" t="s">
        <v>2997</v>
      </c>
      <c r="K1403" s="107" t="s">
        <v>2996</v>
      </c>
      <c r="L1403" s="107">
        <v>326.14999999999998</v>
      </c>
      <c r="M1403" s="107">
        <v>2</v>
      </c>
    </row>
    <row r="1404" spans="1:13" x14ac:dyDescent="0.3">
      <c r="A1404" s="95">
        <f t="shared" si="21"/>
        <v>0</v>
      </c>
      <c r="B1404" s="106" t="s">
        <v>1387</v>
      </c>
      <c r="C1404" s="95" t="s">
        <v>2816</v>
      </c>
      <c r="D1404" s="106">
        <v>12</v>
      </c>
      <c r="E1404" s="107">
        <v>1</v>
      </c>
      <c r="F1404" s="107" t="s">
        <v>2959</v>
      </c>
      <c r="G1404" s="107" t="s">
        <v>2965</v>
      </c>
      <c r="H1404" s="107" t="s">
        <v>2965</v>
      </c>
      <c r="I1404" s="107" t="s">
        <v>2997</v>
      </c>
      <c r="J1404" s="107" t="s">
        <v>2997</v>
      </c>
      <c r="K1404" s="107" t="s">
        <v>2997</v>
      </c>
      <c r="L1404" s="107">
        <v>89.21</v>
      </c>
      <c r="M1404" s="107">
        <v>1</v>
      </c>
    </row>
    <row r="1405" spans="1:13" x14ac:dyDescent="0.3">
      <c r="A1405" s="95">
        <f t="shared" si="21"/>
        <v>0</v>
      </c>
      <c r="B1405" s="106" t="s">
        <v>1388</v>
      </c>
      <c r="C1405" s="95" t="s">
        <v>2817</v>
      </c>
      <c r="D1405" s="106">
        <v>12</v>
      </c>
      <c r="E1405" s="107">
        <v>1</v>
      </c>
      <c r="F1405" s="107" t="s">
        <v>2959</v>
      </c>
      <c r="G1405" s="107" t="s">
        <v>2966</v>
      </c>
      <c r="H1405" s="107" t="s">
        <v>2978</v>
      </c>
      <c r="I1405" s="107" t="s">
        <v>2996</v>
      </c>
      <c r="J1405" s="107" t="s">
        <v>2996</v>
      </c>
      <c r="K1405" s="107" t="s">
        <v>2996</v>
      </c>
      <c r="L1405" s="107">
        <v>39.61</v>
      </c>
      <c r="M1405" s="107"/>
    </row>
    <row r="1406" spans="1:13" x14ac:dyDescent="0.3">
      <c r="A1406" s="95">
        <f t="shared" si="21"/>
        <v>0</v>
      </c>
      <c r="B1406" s="106" t="s">
        <v>1389</v>
      </c>
      <c r="C1406" s="95" t="s">
        <v>2818</v>
      </c>
      <c r="D1406" s="106">
        <v>12</v>
      </c>
      <c r="E1406" s="107">
        <v>1</v>
      </c>
      <c r="F1406" s="107" t="s">
        <v>2959</v>
      </c>
      <c r="G1406" s="107" t="s">
        <v>2966</v>
      </c>
      <c r="H1406" s="107" t="s">
        <v>2980</v>
      </c>
      <c r="I1406" s="107" t="s">
        <v>2997</v>
      </c>
      <c r="J1406" s="107" t="s">
        <v>2997</v>
      </c>
      <c r="K1406" s="107" t="s">
        <v>2997</v>
      </c>
      <c r="L1406" s="107">
        <v>48.43</v>
      </c>
      <c r="M1406" s="107">
        <v>1</v>
      </c>
    </row>
    <row r="1407" spans="1:13" x14ac:dyDescent="0.3">
      <c r="A1407" s="95">
        <f t="shared" si="21"/>
        <v>0</v>
      </c>
      <c r="B1407" s="106" t="s">
        <v>3178</v>
      </c>
      <c r="C1407" s="95" t="s">
        <v>3379</v>
      </c>
      <c r="D1407" s="106">
        <v>12</v>
      </c>
      <c r="E1407" s="107">
        <v>1</v>
      </c>
      <c r="F1407" s="107" t="s">
        <v>2959</v>
      </c>
      <c r="G1407" s="107" t="s">
        <v>2961</v>
      </c>
      <c r="H1407" s="107" t="s">
        <v>2971</v>
      </c>
      <c r="I1407" s="107" t="s">
        <v>2996</v>
      </c>
      <c r="J1407" s="107" t="s">
        <v>2997</v>
      </c>
      <c r="K1407" s="107" t="s">
        <v>2996</v>
      </c>
      <c r="L1407" s="107">
        <v>13.53</v>
      </c>
      <c r="M1407" s="107"/>
    </row>
    <row r="1408" spans="1:13" x14ac:dyDescent="0.3">
      <c r="A1408" s="95">
        <f t="shared" si="21"/>
        <v>0</v>
      </c>
      <c r="B1408" s="106" t="s">
        <v>3179</v>
      </c>
      <c r="C1408" s="95" t="s">
        <v>3380</v>
      </c>
      <c r="D1408" s="106">
        <v>3</v>
      </c>
      <c r="E1408" s="107">
        <v>1</v>
      </c>
      <c r="F1408" s="107" t="s">
        <v>2958</v>
      </c>
      <c r="G1408" s="107" t="s">
        <v>2962</v>
      </c>
      <c r="H1408" s="107" t="s">
        <v>2973</v>
      </c>
      <c r="I1408" s="107" t="s">
        <v>2997</v>
      </c>
      <c r="J1408" s="107" t="s">
        <v>2997</v>
      </c>
      <c r="K1408" s="107" t="s">
        <v>2996</v>
      </c>
      <c r="L1408" s="107">
        <v>5714.93</v>
      </c>
      <c r="M1408" s="107">
        <v>7</v>
      </c>
    </row>
    <row r="1409" spans="1:13" x14ac:dyDescent="0.3">
      <c r="A1409" s="95">
        <f t="shared" si="21"/>
        <v>0</v>
      </c>
      <c r="B1409" s="106" t="s">
        <v>1390</v>
      </c>
      <c r="C1409" s="95" t="s">
        <v>2819</v>
      </c>
      <c r="D1409" s="106">
        <v>12</v>
      </c>
      <c r="E1409" s="107">
        <v>1</v>
      </c>
      <c r="F1409" s="107" t="s">
        <v>2959</v>
      </c>
      <c r="G1409" s="107" t="s">
        <v>2966</v>
      </c>
      <c r="H1409" s="107" t="s">
        <v>2984</v>
      </c>
      <c r="I1409" s="107" t="s">
        <v>2997</v>
      </c>
      <c r="J1409" s="107" t="s">
        <v>2997</v>
      </c>
      <c r="K1409" s="107" t="s">
        <v>2996</v>
      </c>
      <c r="L1409" s="107">
        <v>253.65</v>
      </c>
      <c r="M1409" s="107">
        <v>10</v>
      </c>
    </row>
    <row r="1410" spans="1:13" x14ac:dyDescent="0.3">
      <c r="A1410" s="95">
        <f t="shared" si="21"/>
        <v>0</v>
      </c>
      <c r="B1410" s="106" t="s">
        <v>1391</v>
      </c>
      <c r="C1410" s="95" t="s">
        <v>2820</v>
      </c>
      <c r="D1410" s="106">
        <v>12</v>
      </c>
      <c r="E1410" s="107">
        <v>1</v>
      </c>
      <c r="F1410" s="107" t="s">
        <v>2958</v>
      </c>
      <c r="G1410" s="107" t="s">
        <v>2961</v>
      </c>
      <c r="H1410" s="107" t="s">
        <v>2972</v>
      </c>
      <c r="I1410" s="107" t="s">
        <v>2997</v>
      </c>
      <c r="J1410" s="107" t="s">
        <v>2997</v>
      </c>
      <c r="K1410" s="107" t="s">
        <v>2996</v>
      </c>
      <c r="L1410" s="107">
        <v>36.090000000000003</v>
      </c>
      <c r="M1410" s="107"/>
    </row>
    <row r="1411" spans="1:13" x14ac:dyDescent="0.3">
      <c r="A1411" s="95">
        <f t="shared" si="21"/>
        <v>0</v>
      </c>
      <c r="B1411" s="106" t="s">
        <v>1392</v>
      </c>
      <c r="C1411" s="95" t="s">
        <v>2821</v>
      </c>
      <c r="D1411" s="106">
        <v>12</v>
      </c>
      <c r="E1411" s="107">
        <v>1</v>
      </c>
      <c r="F1411" s="107" t="s">
        <v>2959</v>
      </c>
      <c r="G1411" s="107" t="s">
        <v>2966</v>
      </c>
      <c r="H1411" s="107" t="s">
        <v>2984</v>
      </c>
      <c r="I1411" s="107" t="s">
        <v>2997</v>
      </c>
      <c r="J1411" s="107" t="s">
        <v>2997</v>
      </c>
      <c r="K1411" s="107" t="s">
        <v>2997</v>
      </c>
      <c r="L1411" s="107">
        <v>72.989999999999995</v>
      </c>
      <c r="M1411" s="107"/>
    </row>
    <row r="1412" spans="1:13" x14ac:dyDescent="0.3">
      <c r="A1412" s="95">
        <f t="shared" si="21"/>
        <v>0</v>
      </c>
      <c r="B1412" s="106" t="s">
        <v>1393</v>
      </c>
      <c r="C1412" s="95" t="s">
        <v>2822</v>
      </c>
      <c r="D1412" s="106">
        <v>12</v>
      </c>
      <c r="E1412" s="107">
        <v>1</v>
      </c>
      <c r="F1412" s="107" t="s">
        <v>2959</v>
      </c>
      <c r="G1412" s="107" t="s">
        <v>2963</v>
      </c>
      <c r="H1412" s="107" t="s">
        <v>2974</v>
      </c>
      <c r="I1412" s="107" t="s">
        <v>2996</v>
      </c>
      <c r="J1412" s="107" t="s">
        <v>2996</v>
      </c>
      <c r="K1412" s="107" t="s">
        <v>2996</v>
      </c>
      <c r="L1412" s="107">
        <v>87.33</v>
      </c>
      <c r="M1412" s="107">
        <v>1</v>
      </c>
    </row>
    <row r="1413" spans="1:13" x14ac:dyDescent="0.3">
      <c r="A1413" s="95">
        <f t="shared" si="21"/>
        <v>0</v>
      </c>
      <c r="B1413" s="106" t="s">
        <v>1394</v>
      </c>
      <c r="C1413" s="95" t="s">
        <v>2823</v>
      </c>
      <c r="D1413" s="106">
        <v>12</v>
      </c>
      <c r="E1413" s="107">
        <v>1</v>
      </c>
      <c r="F1413" s="107" t="s">
        <v>2959</v>
      </c>
      <c r="G1413" s="107" t="s">
        <v>2966</v>
      </c>
      <c r="H1413" s="107" t="s">
        <v>2984</v>
      </c>
      <c r="I1413" s="107" t="s">
        <v>2997</v>
      </c>
      <c r="J1413" s="107" t="s">
        <v>2997</v>
      </c>
      <c r="K1413" s="107" t="s">
        <v>2997</v>
      </c>
      <c r="L1413" s="107">
        <v>177.24</v>
      </c>
      <c r="M1413" s="107">
        <v>4</v>
      </c>
    </row>
    <row r="1414" spans="1:13" x14ac:dyDescent="0.3">
      <c r="A1414" s="95">
        <f t="shared" si="21"/>
        <v>0</v>
      </c>
      <c r="B1414" s="106" t="s">
        <v>3180</v>
      </c>
      <c r="C1414" s="95" t="s">
        <v>3381</v>
      </c>
      <c r="D1414" s="106">
        <v>12</v>
      </c>
      <c r="E1414" s="107">
        <v>1</v>
      </c>
      <c r="F1414" s="107" t="s">
        <v>2959</v>
      </c>
      <c r="G1414" s="107" t="s">
        <v>2966</v>
      </c>
      <c r="H1414" s="107" t="s">
        <v>2978</v>
      </c>
      <c r="I1414" s="107" t="s">
        <v>2996</v>
      </c>
      <c r="J1414" s="107" t="s">
        <v>2996</v>
      </c>
      <c r="K1414" s="107" t="s">
        <v>2996</v>
      </c>
      <c r="L1414" s="107">
        <v>118.13</v>
      </c>
      <c r="M1414" s="107">
        <v>4</v>
      </c>
    </row>
    <row r="1415" spans="1:13" x14ac:dyDescent="0.3">
      <c r="A1415" s="95">
        <f t="shared" si="21"/>
        <v>0</v>
      </c>
      <c r="B1415" s="106" t="s">
        <v>1395</v>
      </c>
      <c r="C1415" s="95" t="s">
        <v>2824</v>
      </c>
      <c r="D1415" s="106">
        <v>12</v>
      </c>
      <c r="E1415" s="107">
        <v>1</v>
      </c>
      <c r="F1415" s="107" t="s">
        <v>2959</v>
      </c>
      <c r="G1415" s="107" t="s">
        <v>2964</v>
      </c>
      <c r="H1415" s="107" t="s">
        <v>2976</v>
      </c>
      <c r="I1415" s="107" t="s">
        <v>2996</v>
      </c>
      <c r="J1415" s="107" t="s">
        <v>2996</v>
      </c>
      <c r="K1415" s="107" t="s">
        <v>2996</v>
      </c>
      <c r="L1415" s="107">
        <v>22.56</v>
      </c>
      <c r="M1415" s="107">
        <v>1</v>
      </c>
    </row>
    <row r="1416" spans="1:13" x14ac:dyDescent="0.3">
      <c r="A1416" s="95">
        <f t="shared" si="21"/>
        <v>0</v>
      </c>
      <c r="B1416" s="106" t="s">
        <v>1396</v>
      </c>
      <c r="C1416" s="95" t="s">
        <v>2825</v>
      </c>
      <c r="D1416" s="106">
        <v>12</v>
      </c>
      <c r="E1416" s="107">
        <v>1</v>
      </c>
      <c r="F1416" s="107" t="s">
        <v>2959</v>
      </c>
      <c r="G1416" s="107" t="s">
        <v>2966</v>
      </c>
      <c r="H1416" s="107" t="s">
        <v>2984</v>
      </c>
      <c r="I1416" s="107" t="s">
        <v>2996</v>
      </c>
      <c r="J1416" s="107" t="s">
        <v>2996</v>
      </c>
      <c r="K1416" s="107" t="s">
        <v>2996</v>
      </c>
      <c r="L1416" s="107">
        <v>41.93</v>
      </c>
      <c r="M1416" s="107"/>
    </row>
    <row r="1417" spans="1:13" x14ac:dyDescent="0.3">
      <c r="A1417" s="95">
        <f t="shared" si="21"/>
        <v>0</v>
      </c>
      <c r="B1417" s="106" t="s">
        <v>1397</v>
      </c>
      <c r="C1417" s="95" t="s">
        <v>2826</v>
      </c>
      <c r="D1417" s="106">
        <v>12</v>
      </c>
      <c r="E1417" s="107">
        <v>1</v>
      </c>
      <c r="F1417" s="107" t="s">
        <v>2959</v>
      </c>
      <c r="G1417" s="107" t="s">
        <v>2964</v>
      </c>
      <c r="H1417" s="107" t="s">
        <v>2976</v>
      </c>
      <c r="I1417" s="107" t="s">
        <v>2996</v>
      </c>
      <c r="J1417" s="107" t="s">
        <v>2996</v>
      </c>
      <c r="K1417" s="107" t="s">
        <v>2996</v>
      </c>
      <c r="L1417" s="107">
        <v>20.6</v>
      </c>
      <c r="M1417" s="107"/>
    </row>
    <row r="1418" spans="1:13" x14ac:dyDescent="0.3">
      <c r="A1418" s="95">
        <f t="shared" si="21"/>
        <v>0</v>
      </c>
      <c r="B1418" s="106" t="s">
        <v>1398</v>
      </c>
      <c r="C1418" s="95" t="s">
        <v>2827</v>
      </c>
      <c r="D1418" s="106">
        <v>12</v>
      </c>
      <c r="E1418" s="107">
        <v>1</v>
      </c>
      <c r="F1418" s="107" t="s">
        <v>2958</v>
      </c>
      <c r="G1418" s="107" t="s">
        <v>2961</v>
      </c>
      <c r="H1418" s="107" t="s">
        <v>2971</v>
      </c>
      <c r="I1418" s="107" t="s">
        <v>2997</v>
      </c>
      <c r="J1418" s="107" t="s">
        <v>2997</v>
      </c>
      <c r="K1418" s="107" t="s">
        <v>2997</v>
      </c>
      <c r="L1418" s="107">
        <v>211.18</v>
      </c>
      <c r="M1418" s="107">
        <v>3</v>
      </c>
    </row>
    <row r="1419" spans="1:13" x14ac:dyDescent="0.3">
      <c r="A1419" s="95">
        <f t="shared" si="21"/>
        <v>0</v>
      </c>
      <c r="B1419" s="106" t="s">
        <v>3181</v>
      </c>
      <c r="C1419" s="95" t="s">
        <v>3382</v>
      </c>
      <c r="D1419" s="106">
        <v>12</v>
      </c>
      <c r="E1419" s="107">
        <v>1</v>
      </c>
      <c r="F1419" s="107" t="s">
        <v>2959</v>
      </c>
      <c r="G1419" s="107" t="s">
        <v>2966</v>
      </c>
      <c r="H1419" s="107" t="s">
        <v>2978</v>
      </c>
      <c r="I1419" s="107" t="s">
        <v>2996</v>
      </c>
      <c r="J1419" s="107" t="s">
        <v>2996</v>
      </c>
      <c r="K1419" s="107" t="s">
        <v>2996</v>
      </c>
      <c r="L1419" s="107">
        <v>105.63</v>
      </c>
      <c r="M1419" s="107">
        <v>3</v>
      </c>
    </row>
    <row r="1420" spans="1:13" x14ac:dyDescent="0.3">
      <c r="A1420" s="95">
        <f t="shared" si="21"/>
        <v>0</v>
      </c>
      <c r="B1420" s="106" t="s">
        <v>1399</v>
      </c>
      <c r="C1420" s="95" t="s">
        <v>2828</v>
      </c>
      <c r="D1420" s="106">
        <v>12</v>
      </c>
      <c r="E1420" s="107">
        <v>1</v>
      </c>
      <c r="F1420" s="107" t="s">
        <v>2959</v>
      </c>
      <c r="G1420" s="107" t="s">
        <v>2966</v>
      </c>
      <c r="H1420" s="107" t="s">
        <v>2978</v>
      </c>
      <c r="I1420" s="107" t="s">
        <v>2996</v>
      </c>
      <c r="J1420" s="107" t="s">
        <v>2996</v>
      </c>
      <c r="K1420" s="107" t="s">
        <v>2996</v>
      </c>
      <c r="L1420" s="107">
        <v>29.86</v>
      </c>
      <c r="M1420" s="107"/>
    </row>
    <row r="1421" spans="1:13" x14ac:dyDescent="0.3">
      <c r="A1421" s="95">
        <f t="shared" si="21"/>
        <v>0</v>
      </c>
      <c r="B1421" s="106" t="s">
        <v>3182</v>
      </c>
      <c r="C1421" s="95" t="s">
        <v>3383</v>
      </c>
      <c r="D1421" s="106">
        <v>12</v>
      </c>
      <c r="E1421" s="107">
        <v>1</v>
      </c>
      <c r="F1421" s="107" t="s">
        <v>2959</v>
      </c>
      <c r="G1421" s="107" t="s">
        <v>2966</v>
      </c>
      <c r="H1421" s="107" t="s">
        <v>2984</v>
      </c>
      <c r="I1421" s="107" t="s">
        <v>2997</v>
      </c>
      <c r="J1421" s="107" t="s">
        <v>2997</v>
      </c>
      <c r="K1421" s="107" t="s">
        <v>2997</v>
      </c>
      <c r="L1421" s="107">
        <v>142.97999999999999</v>
      </c>
      <c r="M1421" s="107">
        <v>1</v>
      </c>
    </row>
    <row r="1422" spans="1:13" x14ac:dyDescent="0.3">
      <c r="A1422" s="95">
        <f t="shared" si="21"/>
        <v>0</v>
      </c>
      <c r="B1422" s="106" t="s">
        <v>1400</v>
      </c>
      <c r="C1422" s="95" t="s">
        <v>2829</v>
      </c>
      <c r="D1422" s="106">
        <v>12</v>
      </c>
      <c r="E1422" s="107">
        <v>1</v>
      </c>
      <c r="F1422" s="107" t="s">
        <v>2959</v>
      </c>
      <c r="G1422" s="107" t="s">
        <v>2966</v>
      </c>
      <c r="H1422" s="107" t="s">
        <v>2978</v>
      </c>
      <c r="I1422" s="107" t="s">
        <v>2996</v>
      </c>
      <c r="J1422" s="107" t="s">
        <v>2996</v>
      </c>
      <c r="K1422" s="107" t="s">
        <v>2996</v>
      </c>
      <c r="L1422" s="107">
        <v>32.44</v>
      </c>
      <c r="M1422" s="107"/>
    </row>
    <row r="1423" spans="1:13" x14ac:dyDescent="0.3">
      <c r="A1423" s="95">
        <f t="shared" ref="A1423:A1486" si="22">IF(AND(E1423=1,J1423=K1423,M1423&gt;6),1,0)</f>
        <v>0</v>
      </c>
      <c r="B1423" s="106" t="s">
        <v>3183</v>
      </c>
      <c r="C1423" s="95" t="s">
        <v>3384</v>
      </c>
      <c r="D1423" s="106">
        <v>12</v>
      </c>
      <c r="E1423" s="107">
        <v>1</v>
      </c>
      <c r="F1423" s="107" t="s">
        <v>2959</v>
      </c>
      <c r="G1423" s="107" t="s">
        <v>2966</v>
      </c>
      <c r="H1423" s="107" t="s">
        <v>2980</v>
      </c>
      <c r="I1423" s="107" t="s">
        <v>2997</v>
      </c>
      <c r="J1423" s="107" t="s">
        <v>2997</v>
      </c>
      <c r="K1423" s="107" t="s">
        <v>2997</v>
      </c>
      <c r="L1423" s="107">
        <v>74.84</v>
      </c>
      <c r="M1423" s="107"/>
    </row>
    <row r="1424" spans="1:13" x14ac:dyDescent="0.3">
      <c r="A1424" s="95">
        <f t="shared" si="22"/>
        <v>0</v>
      </c>
      <c r="B1424" s="106" t="s">
        <v>1401</v>
      </c>
      <c r="C1424" s="95" t="s">
        <v>2830</v>
      </c>
      <c r="D1424" s="106">
        <v>12</v>
      </c>
      <c r="E1424" s="107">
        <v>1</v>
      </c>
      <c r="F1424" s="107" t="s">
        <v>2958</v>
      </c>
      <c r="G1424" s="107" t="s">
        <v>2961</v>
      </c>
      <c r="H1424" s="107" t="s">
        <v>2971</v>
      </c>
      <c r="I1424" s="107" t="s">
        <v>2997</v>
      </c>
      <c r="J1424" s="107" t="s">
        <v>2997</v>
      </c>
      <c r="K1424" s="107" t="s">
        <v>2996</v>
      </c>
      <c r="L1424" s="107">
        <v>24.08</v>
      </c>
      <c r="M1424" s="107"/>
    </row>
    <row r="1425" spans="1:13" x14ac:dyDescent="0.3">
      <c r="A1425" s="95">
        <f t="shared" si="22"/>
        <v>0</v>
      </c>
      <c r="B1425" s="106" t="s">
        <v>1402</v>
      </c>
      <c r="C1425" s="95" t="s">
        <v>2831</v>
      </c>
      <c r="D1425" s="106">
        <v>12</v>
      </c>
      <c r="E1425" s="107">
        <v>1</v>
      </c>
      <c r="F1425" s="107" t="s">
        <v>2959</v>
      </c>
      <c r="G1425" s="107" t="s">
        <v>2966</v>
      </c>
      <c r="H1425" s="107" t="s">
        <v>2984</v>
      </c>
      <c r="I1425" s="107" t="s">
        <v>2997</v>
      </c>
      <c r="J1425" s="107" t="s">
        <v>2997</v>
      </c>
      <c r="K1425" s="107" t="s">
        <v>2996</v>
      </c>
      <c r="L1425" s="107">
        <v>52.94</v>
      </c>
      <c r="M1425" s="107"/>
    </row>
    <row r="1426" spans="1:13" x14ac:dyDescent="0.3">
      <c r="A1426" s="95">
        <f t="shared" si="22"/>
        <v>0</v>
      </c>
      <c r="B1426" s="106" t="s">
        <v>1403</v>
      </c>
      <c r="C1426" s="95" t="s">
        <v>2832</v>
      </c>
      <c r="D1426" s="106">
        <v>12</v>
      </c>
      <c r="E1426" s="107">
        <v>1</v>
      </c>
      <c r="F1426" s="107" t="s">
        <v>2959</v>
      </c>
      <c r="G1426" s="107" t="s">
        <v>2961</v>
      </c>
      <c r="H1426" s="107" t="s">
        <v>2971</v>
      </c>
      <c r="I1426" s="107" t="s">
        <v>2997</v>
      </c>
      <c r="J1426" s="107" t="s">
        <v>2997</v>
      </c>
      <c r="K1426" s="107" t="s">
        <v>2996</v>
      </c>
      <c r="L1426" s="107">
        <v>22.21</v>
      </c>
      <c r="M1426" s="107"/>
    </row>
    <row r="1427" spans="1:13" x14ac:dyDescent="0.3">
      <c r="A1427" s="95">
        <f t="shared" si="22"/>
        <v>0</v>
      </c>
      <c r="B1427" s="106" t="s">
        <v>1404</v>
      </c>
      <c r="C1427" s="95" t="s">
        <v>2833</v>
      </c>
      <c r="D1427" s="106">
        <v>12</v>
      </c>
      <c r="E1427" s="107">
        <v>1</v>
      </c>
      <c r="F1427" s="107" t="s">
        <v>2958</v>
      </c>
      <c r="G1427" s="107" t="s">
        <v>2964</v>
      </c>
      <c r="H1427" s="107" t="s">
        <v>2976</v>
      </c>
      <c r="I1427" s="107" t="s">
        <v>2997</v>
      </c>
      <c r="J1427" s="107" t="s">
        <v>2997</v>
      </c>
      <c r="K1427" s="107" t="s">
        <v>2996</v>
      </c>
      <c r="L1427" s="107">
        <v>93.4</v>
      </c>
      <c r="M1427" s="107"/>
    </row>
    <row r="1428" spans="1:13" x14ac:dyDescent="0.3">
      <c r="A1428" s="95">
        <f t="shared" si="22"/>
        <v>0</v>
      </c>
      <c r="B1428" s="106" t="s">
        <v>3184</v>
      </c>
      <c r="C1428" s="95" t="s">
        <v>3385</v>
      </c>
      <c r="D1428" s="106">
        <v>12</v>
      </c>
      <c r="E1428" s="107">
        <v>1</v>
      </c>
      <c r="F1428" s="107" t="s">
        <v>2959</v>
      </c>
      <c r="G1428" s="107" t="s">
        <v>2966</v>
      </c>
      <c r="H1428" s="107" t="s">
        <v>2980</v>
      </c>
      <c r="I1428" s="107" t="s">
        <v>2997</v>
      </c>
      <c r="J1428" s="107" t="s">
        <v>2997</v>
      </c>
      <c r="K1428" s="107" t="s">
        <v>2996</v>
      </c>
      <c r="L1428" s="107">
        <v>38.380000000000003</v>
      </c>
      <c r="M1428" s="107"/>
    </row>
    <row r="1429" spans="1:13" x14ac:dyDescent="0.3">
      <c r="A1429" s="95">
        <f t="shared" si="22"/>
        <v>0</v>
      </c>
      <c r="B1429" s="106" t="s">
        <v>1405</v>
      </c>
      <c r="C1429" s="95" t="s">
        <v>2834</v>
      </c>
      <c r="D1429" s="106">
        <v>12</v>
      </c>
      <c r="E1429" s="107">
        <v>1</v>
      </c>
      <c r="F1429" s="107" t="s">
        <v>2958</v>
      </c>
      <c r="G1429" s="107" t="s">
        <v>2961</v>
      </c>
      <c r="H1429" s="107" t="s">
        <v>2972</v>
      </c>
      <c r="I1429" s="107" t="s">
        <v>2997</v>
      </c>
      <c r="J1429" s="107" t="s">
        <v>2997</v>
      </c>
      <c r="K1429" s="107" t="s">
        <v>2997</v>
      </c>
      <c r="L1429" s="107">
        <v>102.86</v>
      </c>
      <c r="M1429" s="107">
        <v>3</v>
      </c>
    </row>
    <row r="1430" spans="1:13" x14ac:dyDescent="0.3">
      <c r="A1430" s="95">
        <f t="shared" si="22"/>
        <v>1</v>
      </c>
      <c r="B1430" s="106" t="s">
        <v>1406</v>
      </c>
      <c r="C1430" s="95" t="s">
        <v>2835</v>
      </c>
      <c r="D1430" s="106">
        <v>12</v>
      </c>
      <c r="E1430" s="107">
        <v>1</v>
      </c>
      <c r="F1430" s="107" t="s">
        <v>2958</v>
      </c>
      <c r="G1430" s="107" t="s">
        <v>2961</v>
      </c>
      <c r="H1430" s="107" t="s">
        <v>2972</v>
      </c>
      <c r="I1430" s="107" t="s">
        <v>2997</v>
      </c>
      <c r="J1430" s="107" t="s">
        <v>2997</v>
      </c>
      <c r="K1430" s="107" t="s">
        <v>2997</v>
      </c>
      <c r="L1430" s="107">
        <v>5348.95</v>
      </c>
      <c r="M1430" s="107">
        <v>16</v>
      </c>
    </row>
    <row r="1431" spans="1:13" x14ac:dyDescent="0.3">
      <c r="A1431" s="95">
        <f t="shared" si="22"/>
        <v>0</v>
      </c>
      <c r="B1431" s="106" t="s">
        <v>1407</v>
      </c>
      <c r="C1431" s="95" t="s">
        <v>2836</v>
      </c>
      <c r="D1431" s="106">
        <v>12</v>
      </c>
      <c r="E1431" s="107">
        <v>1</v>
      </c>
      <c r="F1431" s="107" t="s">
        <v>2959</v>
      </c>
      <c r="G1431" s="107" t="s">
        <v>2966</v>
      </c>
      <c r="H1431" s="107" t="s">
        <v>2984</v>
      </c>
      <c r="I1431" s="107" t="s">
        <v>2997</v>
      </c>
      <c r="J1431" s="107" t="s">
        <v>2997</v>
      </c>
      <c r="K1431" s="107" t="s">
        <v>2997</v>
      </c>
      <c r="L1431" s="107">
        <v>166.4</v>
      </c>
      <c r="M1431" s="107">
        <v>4</v>
      </c>
    </row>
    <row r="1432" spans="1:13" x14ac:dyDescent="0.3">
      <c r="A1432" s="95">
        <f t="shared" si="22"/>
        <v>0</v>
      </c>
      <c r="B1432" s="106" t="s">
        <v>1408</v>
      </c>
      <c r="C1432" s="95" t="s">
        <v>2837</v>
      </c>
      <c r="D1432" s="106">
        <v>12</v>
      </c>
      <c r="E1432" s="107">
        <v>1</v>
      </c>
      <c r="F1432" s="107" t="s">
        <v>2959</v>
      </c>
      <c r="G1432" s="107" t="s">
        <v>2966</v>
      </c>
      <c r="H1432" s="107" t="s">
        <v>2978</v>
      </c>
      <c r="I1432" s="107" t="s">
        <v>2996</v>
      </c>
      <c r="J1432" s="107" t="s">
        <v>2996</v>
      </c>
      <c r="K1432" s="107" t="s">
        <v>2996</v>
      </c>
      <c r="L1432" s="107">
        <v>61.6</v>
      </c>
      <c r="M1432" s="107">
        <v>1</v>
      </c>
    </row>
    <row r="1433" spans="1:13" x14ac:dyDescent="0.3">
      <c r="A1433" s="95">
        <f t="shared" si="22"/>
        <v>0</v>
      </c>
      <c r="B1433" s="106" t="s">
        <v>1409</v>
      </c>
      <c r="C1433" s="95" t="s">
        <v>2838</v>
      </c>
      <c r="D1433" s="106">
        <v>12</v>
      </c>
      <c r="E1433" s="107">
        <v>1</v>
      </c>
      <c r="F1433" s="107" t="s">
        <v>2959</v>
      </c>
      <c r="G1433" s="107" t="s">
        <v>2966</v>
      </c>
      <c r="H1433" s="107" t="s">
        <v>2984</v>
      </c>
      <c r="I1433" s="107" t="s">
        <v>2997</v>
      </c>
      <c r="J1433" s="107" t="s">
        <v>2997</v>
      </c>
      <c r="K1433" s="107" t="s">
        <v>2996</v>
      </c>
      <c r="L1433" s="107">
        <v>32.65</v>
      </c>
      <c r="M1433" s="107"/>
    </row>
    <row r="1434" spans="1:13" x14ac:dyDescent="0.3">
      <c r="A1434" s="95">
        <f t="shared" si="22"/>
        <v>0</v>
      </c>
      <c r="B1434" s="106" t="s">
        <v>1410</v>
      </c>
      <c r="C1434" s="95" t="s">
        <v>2839</v>
      </c>
      <c r="D1434" s="106">
        <v>12</v>
      </c>
      <c r="E1434" s="107">
        <v>1</v>
      </c>
      <c r="F1434" s="107" t="s">
        <v>2959</v>
      </c>
      <c r="G1434" s="107" t="s">
        <v>2965</v>
      </c>
      <c r="H1434" s="107" t="s">
        <v>2965</v>
      </c>
      <c r="I1434" s="107" t="s">
        <v>2997</v>
      </c>
      <c r="J1434" s="107" t="s">
        <v>2997</v>
      </c>
      <c r="K1434" s="107" t="s">
        <v>2997</v>
      </c>
      <c r="L1434" s="107">
        <v>82.03</v>
      </c>
      <c r="M1434" s="107">
        <v>1</v>
      </c>
    </row>
    <row r="1435" spans="1:13" x14ac:dyDescent="0.3">
      <c r="A1435" s="95">
        <f t="shared" si="22"/>
        <v>0</v>
      </c>
      <c r="B1435" s="106" t="s">
        <v>1411</v>
      </c>
      <c r="C1435" s="95" t="s">
        <v>2840</v>
      </c>
      <c r="D1435" s="106">
        <v>12</v>
      </c>
      <c r="E1435" s="107">
        <v>1</v>
      </c>
      <c r="F1435" s="107" t="s">
        <v>2959</v>
      </c>
      <c r="G1435" s="107" t="s">
        <v>2966</v>
      </c>
      <c r="H1435" s="107" t="s">
        <v>2980</v>
      </c>
      <c r="I1435" s="107" t="s">
        <v>2997</v>
      </c>
      <c r="J1435" s="107" t="s">
        <v>2997</v>
      </c>
      <c r="K1435" s="107" t="s">
        <v>2996</v>
      </c>
      <c r="L1435" s="107">
        <v>44</v>
      </c>
      <c r="M1435" s="107"/>
    </row>
    <row r="1436" spans="1:13" x14ac:dyDescent="0.3">
      <c r="A1436" s="95">
        <f t="shared" si="22"/>
        <v>0</v>
      </c>
      <c r="B1436" s="106" t="s">
        <v>1412</v>
      </c>
      <c r="C1436" s="95" t="s">
        <v>2841</v>
      </c>
      <c r="D1436" s="106">
        <v>12</v>
      </c>
      <c r="E1436" s="107">
        <v>1</v>
      </c>
      <c r="F1436" s="107" t="s">
        <v>2958</v>
      </c>
      <c r="G1436" s="107" t="s">
        <v>2967</v>
      </c>
      <c r="H1436" s="107" t="s">
        <v>2967</v>
      </c>
      <c r="I1436" s="107" t="s">
        <v>2997</v>
      </c>
      <c r="J1436" s="107" t="s">
        <v>2997</v>
      </c>
      <c r="K1436" s="107" t="s">
        <v>2996</v>
      </c>
      <c r="L1436" s="107">
        <v>134.05000000000001</v>
      </c>
      <c r="M1436" s="107"/>
    </row>
    <row r="1437" spans="1:13" x14ac:dyDescent="0.3">
      <c r="A1437" s="95">
        <f t="shared" si="22"/>
        <v>0</v>
      </c>
      <c r="B1437" s="106" t="s">
        <v>1413</v>
      </c>
      <c r="C1437" s="95" t="s">
        <v>2842</v>
      </c>
      <c r="D1437" s="106">
        <v>12</v>
      </c>
      <c r="E1437" s="107">
        <v>1</v>
      </c>
      <c r="F1437" s="107" t="s">
        <v>2959</v>
      </c>
      <c r="G1437" s="107" t="s">
        <v>2966</v>
      </c>
      <c r="H1437" s="107" t="s">
        <v>2984</v>
      </c>
      <c r="I1437" s="107" t="s">
        <v>2997</v>
      </c>
      <c r="J1437" s="107" t="s">
        <v>2997</v>
      </c>
      <c r="K1437" s="107" t="s">
        <v>2996</v>
      </c>
      <c r="L1437" s="107">
        <v>223.3</v>
      </c>
      <c r="M1437" s="107"/>
    </row>
    <row r="1438" spans="1:13" x14ac:dyDescent="0.3">
      <c r="A1438" s="95">
        <f t="shared" si="22"/>
        <v>0</v>
      </c>
      <c r="B1438" s="106" t="s">
        <v>1414</v>
      </c>
      <c r="C1438" s="95" t="s">
        <v>2843</v>
      </c>
      <c r="D1438" s="106">
        <v>12</v>
      </c>
      <c r="E1438" s="107">
        <v>1</v>
      </c>
      <c r="F1438" s="107" t="s">
        <v>2959</v>
      </c>
      <c r="G1438" s="107" t="s">
        <v>2966</v>
      </c>
      <c r="H1438" s="107" t="s">
        <v>2980</v>
      </c>
      <c r="I1438" s="107" t="s">
        <v>2996</v>
      </c>
      <c r="J1438" s="107" t="s">
        <v>2997</v>
      </c>
      <c r="K1438" s="107" t="s">
        <v>2996</v>
      </c>
      <c r="L1438" s="107">
        <v>20.9</v>
      </c>
      <c r="M1438" s="107"/>
    </row>
    <row r="1439" spans="1:13" x14ac:dyDescent="0.3">
      <c r="A1439" s="95">
        <f t="shared" si="22"/>
        <v>0</v>
      </c>
      <c r="B1439" s="106" t="s">
        <v>1415</v>
      </c>
      <c r="C1439" s="95" t="s">
        <v>2844</v>
      </c>
      <c r="D1439" s="106">
        <v>12</v>
      </c>
      <c r="E1439" s="107">
        <v>1</v>
      </c>
      <c r="F1439" s="107" t="s">
        <v>2959</v>
      </c>
      <c r="G1439" s="107" t="s">
        <v>2966</v>
      </c>
      <c r="H1439" s="107" t="s">
        <v>2984</v>
      </c>
      <c r="I1439" s="107" t="s">
        <v>2996</v>
      </c>
      <c r="J1439" s="107" t="s">
        <v>2996</v>
      </c>
      <c r="K1439" s="107" t="s">
        <v>2996</v>
      </c>
      <c r="L1439" s="107">
        <v>13.91</v>
      </c>
      <c r="M1439" s="107"/>
    </row>
    <row r="1440" spans="1:13" x14ac:dyDescent="0.3">
      <c r="A1440" s="95">
        <f t="shared" si="22"/>
        <v>0</v>
      </c>
      <c r="B1440" s="106" t="s">
        <v>1416</v>
      </c>
      <c r="C1440" s="95" t="s">
        <v>2845</v>
      </c>
      <c r="D1440" s="106">
        <v>12</v>
      </c>
      <c r="E1440" s="107">
        <v>1</v>
      </c>
      <c r="F1440" s="107" t="s">
        <v>2959</v>
      </c>
      <c r="G1440" s="107" t="s">
        <v>2966</v>
      </c>
      <c r="H1440" s="107" t="s">
        <v>2984</v>
      </c>
      <c r="I1440" s="107" t="s">
        <v>2997</v>
      </c>
      <c r="J1440" s="107" t="s">
        <v>2997</v>
      </c>
      <c r="K1440" s="107" t="s">
        <v>2996</v>
      </c>
      <c r="L1440" s="107">
        <v>41.11</v>
      </c>
      <c r="M1440" s="107"/>
    </row>
    <row r="1441" spans="1:13" x14ac:dyDescent="0.3">
      <c r="A1441" s="95">
        <f t="shared" si="22"/>
        <v>0</v>
      </c>
      <c r="B1441" s="106" t="s">
        <v>3185</v>
      </c>
      <c r="C1441" s="95" t="s">
        <v>3386</v>
      </c>
      <c r="D1441" s="106">
        <v>12</v>
      </c>
      <c r="E1441" s="107">
        <v>1</v>
      </c>
      <c r="F1441" s="107" t="s">
        <v>2959</v>
      </c>
      <c r="G1441" s="107" t="s">
        <v>2964</v>
      </c>
      <c r="H1441" s="107" t="s">
        <v>2976</v>
      </c>
      <c r="I1441" s="107" t="s">
        <v>2997</v>
      </c>
      <c r="J1441" s="107" t="s">
        <v>2997</v>
      </c>
      <c r="K1441" s="107" t="s">
        <v>2996</v>
      </c>
      <c r="L1441" s="107">
        <v>65.16</v>
      </c>
      <c r="M1441" s="107"/>
    </row>
    <row r="1442" spans="1:13" x14ac:dyDescent="0.3">
      <c r="A1442" s="95">
        <f t="shared" si="22"/>
        <v>0</v>
      </c>
      <c r="B1442" s="106" t="s">
        <v>1417</v>
      </c>
      <c r="C1442" s="95" t="s">
        <v>2846</v>
      </c>
      <c r="D1442" s="106">
        <v>12</v>
      </c>
      <c r="E1442" s="107">
        <v>1</v>
      </c>
      <c r="F1442" s="107" t="s">
        <v>2959</v>
      </c>
      <c r="G1442" s="107" t="s">
        <v>2966</v>
      </c>
      <c r="H1442" s="107" t="s">
        <v>2984</v>
      </c>
      <c r="I1442" s="107" t="s">
        <v>2996</v>
      </c>
      <c r="J1442" s="107" t="s">
        <v>2996</v>
      </c>
      <c r="K1442" s="107" t="s">
        <v>2996</v>
      </c>
      <c r="L1442" s="107">
        <v>110.24</v>
      </c>
      <c r="M1442" s="107">
        <v>1</v>
      </c>
    </row>
    <row r="1443" spans="1:13" x14ac:dyDescent="0.3">
      <c r="A1443" s="95">
        <f t="shared" si="22"/>
        <v>0</v>
      </c>
      <c r="B1443" s="106" t="s">
        <v>1418</v>
      </c>
      <c r="C1443" s="95" t="s">
        <v>2847</v>
      </c>
      <c r="D1443" s="106">
        <v>12</v>
      </c>
      <c r="E1443" s="107">
        <v>1</v>
      </c>
      <c r="F1443" s="107" t="s">
        <v>2959</v>
      </c>
      <c r="G1443" s="107" t="s">
        <v>2966</v>
      </c>
      <c r="H1443" s="107" t="s">
        <v>2984</v>
      </c>
      <c r="I1443" s="107" t="s">
        <v>2997</v>
      </c>
      <c r="J1443" s="107" t="s">
        <v>2997</v>
      </c>
      <c r="K1443" s="107" t="s">
        <v>2997</v>
      </c>
      <c r="L1443" s="107">
        <v>1007.31</v>
      </c>
      <c r="M1443" s="107">
        <v>5</v>
      </c>
    </row>
    <row r="1444" spans="1:13" x14ac:dyDescent="0.3">
      <c r="A1444" s="95">
        <f t="shared" si="22"/>
        <v>0</v>
      </c>
      <c r="B1444" s="106" t="s">
        <v>1419</v>
      </c>
      <c r="C1444" s="95" t="s">
        <v>2848</v>
      </c>
      <c r="D1444" s="106">
        <v>12</v>
      </c>
      <c r="E1444" s="107">
        <v>1</v>
      </c>
      <c r="F1444" s="107" t="s">
        <v>2959</v>
      </c>
      <c r="G1444" s="107" t="s">
        <v>2965</v>
      </c>
      <c r="H1444" s="107" t="s">
        <v>2965</v>
      </c>
      <c r="I1444" s="107" t="s">
        <v>2997</v>
      </c>
      <c r="J1444" s="107" t="s">
        <v>2997</v>
      </c>
      <c r="K1444" s="107" t="s">
        <v>2996</v>
      </c>
      <c r="L1444" s="107">
        <v>42.64</v>
      </c>
      <c r="M1444" s="107"/>
    </row>
    <row r="1445" spans="1:13" x14ac:dyDescent="0.3">
      <c r="A1445" s="95">
        <f t="shared" si="22"/>
        <v>0</v>
      </c>
      <c r="B1445" s="106" t="s">
        <v>1420</v>
      </c>
      <c r="C1445" s="95" t="s">
        <v>2849</v>
      </c>
      <c r="D1445" s="106">
        <v>12</v>
      </c>
      <c r="E1445" s="107">
        <v>1</v>
      </c>
      <c r="F1445" s="107" t="s">
        <v>2959</v>
      </c>
      <c r="G1445" s="107" t="s">
        <v>2966</v>
      </c>
      <c r="H1445" s="107" t="s">
        <v>2978</v>
      </c>
      <c r="I1445" s="107" t="s">
        <v>2996</v>
      </c>
      <c r="J1445" s="107" t="s">
        <v>2996</v>
      </c>
      <c r="K1445" s="107" t="s">
        <v>2996</v>
      </c>
      <c r="L1445" s="107">
        <v>97.72</v>
      </c>
      <c r="M1445" s="107">
        <v>1</v>
      </c>
    </row>
    <row r="1446" spans="1:13" x14ac:dyDescent="0.3">
      <c r="A1446" s="95">
        <f t="shared" si="22"/>
        <v>0</v>
      </c>
      <c r="B1446" s="106" t="s">
        <v>1421</v>
      </c>
      <c r="C1446" s="95" t="s">
        <v>2850</v>
      </c>
      <c r="D1446" s="106">
        <v>12</v>
      </c>
      <c r="E1446" s="107">
        <v>1</v>
      </c>
      <c r="F1446" s="107" t="s">
        <v>2959</v>
      </c>
      <c r="G1446" s="107" t="s">
        <v>2966</v>
      </c>
      <c r="H1446" s="107" t="s">
        <v>2985</v>
      </c>
      <c r="I1446" s="107" t="s">
        <v>2997</v>
      </c>
      <c r="J1446" s="107" t="s">
        <v>2997</v>
      </c>
      <c r="K1446" s="107" t="s">
        <v>2996</v>
      </c>
      <c r="L1446" s="107">
        <v>77.56</v>
      </c>
      <c r="M1446" s="107"/>
    </row>
    <row r="1447" spans="1:13" x14ac:dyDescent="0.3">
      <c r="A1447" s="95">
        <f t="shared" si="22"/>
        <v>0</v>
      </c>
      <c r="B1447" s="106" t="s">
        <v>1422</v>
      </c>
      <c r="C1447" s="95" t="s">
        <v>2851</v>
      </c>
      <c r="D1447" s="106">
        <v>12</v>
      </c>
      <c r="E1447" s="107">
        <v>1</v>
      </c>
      <c r="F1447" s="107" t="s">
        <v>2958</v>
      </c>
      <c r="G1447" s="107" t="s">
        <v>2961</v>
      </c>
      <c r="H1447" s="107" t="s">
        <v>2971</v>
      </c>
      <c r="I1447" s="107" t="s">
        <v>2997</v>
      </c>
      <c r="J1447" s="107" t="s">
        <v>2997</v>
      </c>
      <c r="K1447" s="107" t="s">
        <v>2997</v>
      </c>
      <c r="L1447" s="107">
        <v>98.3</v>
      </c>
      <c r="M1447" s="107"/>
    </row>
    <row r="1448" spans="1:13" x14ac:dyDescent="0.3">
      <c r="A1448" s="95">
        <f t="shared" si="22"/>
        <v>0</v>
      </c>
      <c r="B1448" s="106" t="s">
        <v>1423</v>
      </c>
      <c r="C1448" s="95" t="s">
        <v>2852</v>
      </c>
      <c r="D1448" s="106">
        <v>12</v>
      </c>
      <c r="E1448" s="107">
        <v>1</v>
      </c>
      <c r="F1448" s="107" t="s">
        <v>2958</v>
      </c>
      <c r="G1448" s="107" t="s">
        <v>2966</v>
      </c>
      <c r="H1448" s="107" t="s">
        <v>2978</v>
      </c>
      <c r="I1448" s="107" t="s">
        <v>2997</v>
      </c>
      <c r="J1448" s="107" t="s">
        <v>2997</v>
      </c>
      <c r="K1448" s="107" t="s">
        <v>2996</v>
      </c>
      <c r="L1448" s="107">
        <v>31.81</v>
      </c>
      <c r="M1448" s="107"/>
    </row>
    <row r="1449" spans="1:13" x14ac:dyDescent="0.3">
      <c r="A1449" s="95">
        <f t="shared" si="22"/>
        <v>0</v>
      </c>
      <c r="B1449" s="106" t="s">
        <v>1424</v>
      </c>
      <c r="C1449" s="95" t="s">
        <v>2853</v>
      </c>
      <c r="D1449" s="106">
        <v>12</v>
      </c>
      <c r="E1449" s="107">
        <v>1</v>
      </c>
      <c r="F1449" s="107" t="s">
        <v>2958</v>
      </c>
      <c r="G1449" s="107" t="s">
        <v>2965</v>
      </c>
      <c r="H1449" s="107" t="s">
        <v>2965</v>
      </c>
      <c r="I1449" s="107" t="s">
        <v>2997</v>
      </c>
      <c r="J1449" s="107" t="s">
        <v>2997</v>
      </c>
      <c r="K1449" s="107" t="s">
        <v>2996</v>
      </c>
      <c r="L1449" s="107">
        <v>194.33</v>
      </c>
      <c r="M1449" s="107"/>
    </row>
    <row r="1450" spans="1:13" x14ac:dyDescent="0.3">
      <c r="A1450" s="95">
        <f t="shared" si="22"/>
        <v>0</v>
      </c>
      <c r="B1450" s="106" t="s">
        <v>1425</v>
      </c>
      <c r="C1450" s="95" t="s">
        <v>2854</v>
      </c>
      <c r="D1450" s="106">
        <v>12</v>
      </c>
      <c r="E1450" s="107">
        <v>1</v>
      </c>
      <c r="F1450" s="107" t="s">
        <v>2959</v>
      </c>
      <c r="G1450" s="107" t="s">
        <v>2966</v>
      </c>
      <c r="H1450" s="107" t="s">
        <v>2984</v>
      </c>
      <c r="I1450" s="107" t="s">
        <v>2996</v>
      </c>
      <c r="J1450" s="107" t="s">
        <v>2996</v>
      </c>
      <c r="K1450" s="107" t="s">
        <v>2996</v>
      </c>
      <c r="L1450" s="107">
        <v>27.15</v>
      </c>
      <c r="M1450" s="107"/>
    </row>
    <row r="1451" spans="1:13" x14ac:dyDescent="0.3">
      <c r="A1451" s="95">
        <f t="shared" si="22"/>
        <v>0</v>
      </c>
      <c r="B1451" s="106" t="s">
        <v>1426</v>
      </c>
      <c r="C1451" s="95" t="s">
        <v>2855</v>
      </c>
      <c r="D1451" s="106">
        <v>3</v>
      </c>
      <c r="E1451" s="107">
        <v>1</v>
      </c>
      <c r="F1451" s="107" t="s">
        <v>2958</v>
      </c>
      <c r="G1451" s="107" t="s">
        <v>2964</v>
      </c>
      <c r="H1451" s="107" t="s">
        <v>2976</v>
      </c>
      <c r="I1451" s="107" t="s">
        <v>2997</v>
      </c>
      <c r="J1451" s="107" t="s">
        <v>2996</v>
      </c>
      <c r="K1451" s="107" t="s">
        <v>2997</v>
      </c>
      <c r="L1451" s="107">
        <v>183.08</v>
      </c>
      <c r="M1451" s="107">
        <v>1</v>
      </c>
    </row>
    <row r="1452" spans="1:13" x14ac:dyDescent="0.3">
      <c r="A1452" s="95">
        <f t="shared" si="22"/>
        <v>0</v>
      </c>
      <c r="B1452" s="106" t="s">
        <v>1427</v>
      </c>
      <c r="C1452" s="95" t="s">
        <v>2856</v>
      </c>
      <c r="D1452" s="106">
        <v>12</v>
      </c>
      <c r="E1452" s="107">
        <v>1</v>
      </c>
      <c r="F1452" s="107" t="s">
        <v>2959</v>
      </c>
      <c r="G1452" s="107" t="s">
        <v>2964</v>
      </c>
      <c r="H1452" s="107" t="s">
        <v>2976</v>
      </c>
      <c r="I1452" s="107" t="s">
        <v>2997</v>
      </c>
      <c r="J1452" s="107" t="s">
        <v>2997</v>
      </c>
      <c r="K1452" s="107" t="s">
        <v>2996</v>
      </c>
      <c r="L1452" s="107">
        <v>31.68</v>
      </c>
      <c r="M1452" s="107"/>
    </row>
    <row r="1453" spans="1:13" x14ac:dyDescent="0.3">
      <c r="A1453" s="95">
        <f t="shared" si="22"/>
        <v>0</v>
      </c>
      <c r="B1453" s="106" t="s">
        <v>1428</v>
      </c>
      <c r="C1453" s="95" t="s">
        <v>2857</v>
      </c>
      <c r="D1453" s="106">
        <v>12</v>
      </c>
      <c r="E1453" s="107">
        <v>1</v>
      </c>
      <c r="F1453" s="107" t="s">
        <v>2959</v>
      </c>
      <c r="G1453" s="107" t="s">
        <v>2966</v>
      </c>
      <c r="H1453" s="107" t="s">
        <v>2978</v>
      </c>
      <c r="I1453" s="107" t="s">
        <v>2997</v>
      </c>
      <c r="J1453" s="107" t="s">
        <v>2997</v>
      </c>
      <c r="K1453" s="107" t="s">
        <v>2996</v>
      </c>
      <c r="L1453" s="107">
        <v>60.1</v>
      </c>
      <c r="M1453" s="107"/>
    </row>
    <row r="1454" spans="1:13" x14ac:dyDescent="0.3">
      <c r="A1454" s="95">
        <f t="shared" si="22"/>
        <v>0</v>
      </c>
      <c r="B1454" s="106" t="s">
        <v>1429</v>
      </c>
      <c r="C1454" s="95" t="s">
        <v>2858</v>
      </c>
      <c r="D1454" s="106">
        <v>12</v>
      </c>
      <c r="E1454" s="107">
        <v>1</v>
      </c>
      <c r="F1454" s="107" t="s">
        <v>2959</v>
      </c>
      <c r="G1454" s="107" t="s">
        <v>2960</v>
      </c>
      <c r="H1454" s="107" t="s">
        <v>2970</v>
      </c>
      <c r="I1454" s="107" t="s">
        <v>2996</v>
      </c>
      <c r="J1454" s="107" t="s">
        <v>2996</v>
      </c>
      <c r="K1454" s="107" t="s">
        <v>2996</v>
      </c>
      <c r="L1454" s="107">
        <v>39.619999999999997</v>
      </c>
      <c r="M1454" s="107"/>
    </row>
    <row r="1455" spans="1:13" x14ac:dyDescent="0.3">
      <c r="A1455" s="95">
        <f t="shared" si="22"/>
        <v>1</v>
      </c>
      <c r="B1455" s="106" t="s">
        <v>1430</v>
      </c>
      <c r="C1455" s="95" t="s">
        <v>2859</v>
      </c>
      <c r="D1455" s="106">
        <v>12</v>
      </c>
      <c r="E1455" s="107">
        <v>1</v>
      </c>
      <c r="F1455" s="107" t="s">
        <v>2958</v>
      </c>
      <c r="G1455" s="107" t="s">
        <v>2961</v>
      </c>
      <c r="H1455" s="107" t="s">
        <v>2972</v>
      </c>
      <c r="I1455" s="107" t="s">
        <v>2997</v>
      </c>
      <c r="J1455" s="107" t="s">
        <v>2997</v>
      </c>
      <c r="K1455" s="107" t="s">
        <v>2997</v>
      </c>
      <c r="L1455" s="107">
        <v>824.57</v>
      </c>
      <c r="M1455" s="107">
        <v>9</v>
      </c>
    </row>
    <row r="1456" spans="1:13" x14ac:dyDescent="0.3">
      <c r="A1456" s="95">
        <f t="shared" si="22"/>
        <v>0</v>
      </c>
      <c r="B1456" s="106" t="s">
        <v>1431</v>
      </c>
      <c r="C1456" s="95" t="s">
        <v>2860</v>
      </c>
      <c r="D1456" s="106">
        <v>12</v>
      </c>
      <c r="E1456" s="107">
        <v>1</v>
      </c>
      <c r="F1456" s="107" t="s">
        <v>2959</v>
      </c>
      <c r="G1456" s="107" t="s">
        <v>2966</v>
      </c>
      <c r="H1456" s="107" t="s">
        <v>2984</v>
      </c>
      <c r="I1456" s="107" t="s">
        <v>2997</v>
      </c>
      <c r="J1456" s="107" t="s">
        <v>2997</v>
      </c>
      <c r="K1456" s="107" t="s">
        <v>2996</v>
      </c>
      <c r="L1456" s="107">
        <v>146.37</v>
      </c>
      <c r="M1456" s="107">
        <v>2</v>
      </c>
    </row>
    <row r="1457" spans="1:13" x14ac:dyDescent="0.3">
      <c r="A1457" s="95">
        <f t="shared" si="22"/>
        <v>0</v>
      </c>
      <c r="B1457" s="106" t="s">
        <v>1432</v>
      </c>
      <c r="C1457" s="95" t="s">
        <v>3611</v>
      </c>
      <c r="D1457" s="106">
        <v>12</v>
      </c>
      <c r="E1457" s="107">
        <v>1</v>
      </c>
      <c r="F1457" s="107" t="s">
        <v>2958</v>
      </c>
      <c r="G1457" s="107" t="s">
        <v>2966</v>
      </c>
      <c r="H1457" s="107" t="s">
        <v>2984</v>
      </c>
      <c r="I1457" s="107" t="s">
        <v>2997</v>
      </c>
      <c r="J1457" s="107" t="s">
        <v>2997</v>
      </c>
      <c r="K1457" s="107" t="s">
        <v>2996</v>
      </c>
      <c r="L1457" s="107">
        <v>43.36</v>
      </c>
      <c r="M1457" s="107"/>
    </row>
    <row r="1458" spans="1:13" x14ac:dyDescent="0.3">
      <c r="A1458" s="95">
        <f t="shared" si="22"/>
        <v>0</v>
      </c>
      <c r="B1458" s="106" t="s">
        <v>1433</v>
      </c>
      <c r="C1458" s="95" t="s">
        <v>2861</v>
      </c>
      <c r="D1458" s="106">
        <v>6</v>
      </c>
      <c r="E1458" s="107">
        <v>1</v>
      </c>
      <c r="F1458" s="107" t="s">
        <v>2958</v>
      </c>
      <c r="G1458" s="107" t="s">
        <v>2961</v>
      </c>
      <c r="H1458" s="107" t="s">
        <v>2972</v>
      </c>
      <c r="I1458" s="107" t="s">
        <v>2997</v>
      </c>
      <c r="J1458" s="107" t="s">
        <v>2996</v>
      </c>
      <c r="K1458" s="107" t="s">
        <v>2996</v>
      </c>
      <c r="L1458" s="107">
        <v>28.87</v>
      </c>
      <c r="M1458" s="107"/>
    </row>
    <row r="1459" spans="1:13" x14ac:dyDescent="0.3">
      <c r="A1459" s="95">
        <f t="shared" si="22"/>
        <v>0</v>
      </c>
      <c r="B1459" s="106" t="s">
        <v>3186</v>
      </c>
      <c r="C1459" s="95" t="s">
        <v>3387</v>
      </c>
      <c r="D1459" s="106">
        <v>12</v>
      </c>
      <c r="E1459" s="107">
        <v>1</v>
      </c>
      <c r="F1459" s="107" t="s">
        <v>2959</v>
      </c>
      <c r="G1459" s="107" t="s">
        <v>2966</v>
      </c>
      <c r="H1459" s="107" t="s">
        <v>2985</v>
      </c>
      <c r="I1459" s="107" t="s">
        <v>2997</v>
      </c>
      <c r="J1459" s="107" t="s">
        <v>2997</v>
      </c>
      <c r="K1459" s="107" t="s">
        <v>2997</v>
      </c>
      <c r="L1459" s="107">
        <v>77.84</v>
      </c>
      <c r="M1459" s="107">
        <v>1</v>
      </c>
    </row>
    <row r="1460" spans="1:13" x14ac:dyDescent="0.3">
      <c r="A1460" s="95">
        <f t="shared" si="22"/>
        <v>0</v>
      </c>
      <c r="B1460" s="106" t="s">
        <v>1434</v>
      </c>
      <c r="C1460" s="95" t="s">
        <v>2862</v>
      </c>
      <c r="D1460" s="106">
        <v>12</v>
      </c>
      <c r="E1460" s="107">
        <v>1</v>
      </c>
      <c r="F1460" s="107" t="s">
        <v>2958</v>
      </c>
      <c r="G1460" s="107" t="s">
        <v>2965</v>
      </c>
      <c r="H1460" s="107" t="s">
        <v>2965</v>
      </c>
      <c r="I1460" s="107" t="s">
        <v>2997</v>
      </c>
      <c r="J1460" s="107" t="s">
        <v>2997</v>
      </c>
      <c r="K1460" s="107" t="s">
        <v>2996</v>
      </c>
      <c r="L1460" s="107">
        <v>332.51</v>
      </c>
      <c r="M1460" s="107">
        <v>1</v>
      </c>
    </row>
    <row r="1461" spans="1:13" x14ac:dyDescent="0.3">
      <c r="A1461" s="95">
        <f t="shared" si="22"/>
        <v>0</v>
      </c>
      <c r="B1461" s="106" t="s">
        <v>1435</v>
      </c>
      <c r="C1461" s="95" t="s">
        <v>2863</v>
      </c>
      <c r="D1461" s="106">
        <v>8</v>
      </c>
      <c r="E1461" s="107">
        <v>1</v>
      </c>
      <c r="F1461" s="107" t="s">
        <v>2959</v>
      </c>
      <c r="G1461" s="107" t="s">
        <v>2961</v>
      </c>
      <c r="H1461" s="107" t="s">
        <v>2971</v>
      </c>
      <c r="I1461" s="107" t="s">
        <v>2996</v>
      </c>
      <c r="J1461" s="107" t="s">
        <v>2996</v>
      </c>
      <c r="K1461" s="107" t="s">
        <v>2996</v>
      </c>
      <c r="L1461" s="107">
        <v>27.02</v>
      </c>
      <c r="M1461" s="107"/>
    </row>
    <row r="1462" spans="1:13" x14ac:dyDescent="0.3">
      <c r="A1462" s="95">
        <f t="shared" si="22"/>
        <v>0</v>
      </c>
      <c r="B1462" s="106" t="s">
        <v>1436</v>
      </c>
      <c r="C1462" s="95" t="s">
        <v>2864</v>
      </c>
      <c r="D1462" s="106">
        <v>12</v>
      </c>
      <c r="E1462" s="107">
        <v>1</v>
      </c>
      <c r="F1462" s="107" t="s">
        <v>2959</v>
      </c>
      <c r="G1462" s="107" t="s">
        <v>2966</v>
      </c>
      <c r="H1462" s="107" t="s">
        <v>2984</v>
      </c>
      <c r="I1462" s="107" t="s">
        <v>2997</v>
      </c>
      <c r="J1462" s="107" t="s">
        <v>2997</v>
      </c>
      <c r="K1462" s="107" t="s">
        <v>2997</v>
      </c>
      <c r="L1462" s="107">
        <v>29.33</v>
      </c>
      <c r="M1462" s="107"/>
    </row>
    <row r="1463" spans="1:13" x14ac:dyDescent="0.3">
      <c r="A1463" s="95">
        <f t="shared" si="22"/>
        <v>0</v>
      </c>
      <c r="B1463" s="106" t="s">
        <v>1437</v>
      </c>
      <c r="C1463" s="95" t="s">
        <v>2865</v>
      </c>
      <c r="D1463" s="106">
        <v>12</v>
      </c>
      <c r="E1463" s="107">
        <v>1</v>
      </c>
      <c r="F1463" s="107" t="s">
        <v>2959</v>
      </c>
      <c r="G1463" s="107" t="s">
        <v>2966</v>
      </c>
      <c r="H1463" s="107" t="s">
        <v>2978</v>
      </c>
      <c r="I1463" s="107" t="s">
        <v>2996</v>
      </c>
      <c r="J1463" s="107" t="s">
        <v>2996</v>
      </c>
      <c r="K1463" s="107" t="s">
        <v>2996</v>
      </c>
      <c r="L1463" s="107">
        <v>33.72</v>
      </c>
      <c r="M1463" s="107"/>
    </row>
    <row r="1464" spans="1:13" x14ac:dyDescent="0.3">
      <c r="A1464" s="95">
        <f t="shared" si="22"/>
        <v>0</v>
      </c>
      <c r="B1464" s="106" t="s">
        <v>1438</v>
      </c>
      <c r="C1464" s="95" t="s">
        <v>2866</v>
      </c>
      <c r="D1464" s="106">
        <v>12</v>
      </c>
      <c r="E1464" s="107">
        <v>1</v>
      </c>
      <c r="F1464" s="107" t="s">
        <v>2959</v>
      </c>
      <c r="G1464" s="107" t="s">
        <v>2966</v>
      </c>
      <c r="H1464" s="107" t="s">
        <v>2984</v>
      </c>
      <c r="I1464" s="107" t="s">
        <v>2997</v>
      </c>
      <c r="J1464" s="107" t="s">
        <v>2997</v>
      </c>
      <c r="K1464" s="107" t="s">
        <v>2997</v>
      </c>
      <c r="L1464" s="107">
        <v>252.03</v>
      </c>
      <c r="M1464" s="107">
        <v>1</v>
      </c>
    </row>
    <row r="1465" spans="1:13" x14ac:dyDescent="0.3">
      <c r="A1465" s="95">
        <f t="shared" si="22"/>
        <v>0</v>
      </c>
      <c r="B1465" s="106" t="s">
        <v>1439</v>
      </c>
      <c r="C1465" s="95" t="s">
        <v>2867</v>
      </c>
      <c r="D1465" s="106">
        <v>12</v>
      </c>
      <c r="E1465" s="107">
        <v>1</v>
      </c>
      <c r="F1465" s="107" t="s">
        <v>2959</v>
      </c>
      <c r="G1465" s="107" t="s">
        <v>2966</v>
      </c>
      <c r="H1465" s="107" t="s">
        <v>2984</v>
      </c>
      <c r="I1465" s="107" t="s">
        <v>2997</v>
      </c>
      <c r="J1465" s="107" t="s">
        <v>2997</v>
      </c>
      <c r="K1465" s="107" t="s">
        <v>2997</v>
      </c>
      <c r="L1465" s="107">
        <v>144.07</v>
      </c>
      <c r="M1465" s="107">
        <v>2</v>
      </c>
    </row>
    <row r="1466" spans="1:13" x14ac:dyDescent="0.3">
      <c r="A1466" s="95">
        <f t="shared" si="22"/>
        <v>0</v>
      </c>
      <c r="B1466" s="106" t="s">
        <v>1440</v>
      </c>
      <c r="C1466" s="95" t="s">
        <v>2868</v>
      </c>
      <c r="D1466" s="106">
        <v>12</v>
      </c>
      <c r="E1466" s="107">
        <v>1</v>
      </c>
      <c r="F1466" s="107" t="s">
        <v>2958</v>
      </c>
      <c r="G1466" s="107" t="s">
        <v>2964</v>
      </c>
      <c r="H1466" s="107" t="s">
        <v>2987</v>
      </c>
      <c r="I1466" s="107" t="s">
        <v>2997</v>
      </c>
      <c r="J1466" s="107" t="s">
        <v>2997</v>
      </c>
      <c r="K1466" s="107" t="s">
        <v>2996</v>
      </c>
      <c r="L1466" s="107">
        <v>56.58</v>
      </c>
      <c r="M1466" s="107"/>
    </row>
    <row r="1467" spans="1:13" x14ac:dyDescent="0.3">
      <c r="A1467" s="95">
        <f t="shared" si="22"/>
        <v>0</v>
      </c>
      <c r="B1467" s="106" t="s">
        <v>1441</v>
      </c>
      <c r="C1467" s="95" t="s">
        <v>2869</v>
      </c>
      <c r="D1467" s="106">
        <v>12</v>
      </c>
      <c r="E1467" s="107">
        <v>1</v>
      </c>
      <c r="F1467" s="107" t="s">
        <v>2959</v>
      </c>
      <c r="G1467" s="107" t="s">
        <v>2966</v>
      </c>
      <c r="H1467" s="107" t="s">
        <v>2985</v>
      </c>
      <c r="I1467" s="107" t="s">
        <v>2997</v>
      </c>
      <c r="J1467" s="107" t="s">
        <v>2997</v>
      </c>
      <c r="K1467" s="107" t="s">
        <v>2996</v>
      </c>
      <c r="L1467" s="107">
        <v>46.8</v>
      </c>
      <c r="M1467" s="107"/>
    </row>
    <row r="1468" spans="1:13" x14ac:dyDescent="0.3">
      <c r="A1468" s="95">
        <f t="shared" si="22"/>
        <v>0</v>
      </c>
      <c r="B1468" s="106" t="s">
        <v>1442</v>
      </c>
      <c r="C1468" s="95" t="s">
        <v>2870</v>
      </c>
      <c r="D1468" s="106">
        <v>12</v>
      </c>
      <c r="E1468" s="107">
        <v>1</v>
      </c>
      <c r="F1468" s="107" t="s">
        <v>2959</v>
      </c>
      <c r="G1468" s="107" t="s">
        <v>2964</v>
      </c>
      <c r="H1468" s="107" t="s">
        <v>2976</v>
      </c>
      <c r="I1468" s="107" t="s">
        <v>2996</v>
      </c>
      <c r="J1468" s="107" t="s">
        <v>2996</v>
      </c>
      <c r="K1468" s="107" t="s">
        <v>2996</v>
      </c>
      <c r="L1468" s="107">
        <v>68.91</v>
      </c>
      <c r="M1468" s="107"/>
    </row>
    <row r="1469" spans="1:13" x14ac:dyDescent="0.3">
      <c r="A1469" s="95">
        <f t="shared" si="22"/>
        <v>0</v>
      </c>
      <c r="B1469" s="106" t="s">
        <v>1443</v>
      </c>
      <c r="C1469" s="95" t="s">
        <v>2871</v>
      </c>
      <c r="D1469" s="106">
        <v>12</v>
      </c>
      <c r="E1469" s="107">
        <v>1</v>
      </c>
      <c r="F1469" s="107" t="s">
        <v>2959</v>
      </c>
      <c r="G1469" s="107" t="s">
        <v>2966</v>
      </c>
      <c r="H1469" s="107" t="s">
        <v>2984</v>
      </c>
      <c r="I1469" s="107" t="s">
        <v>2997</v>
      </c>
      <c r="J1469" s="107" t="s">
        <v>2997</v>
      </c>
      <c r="K1469" s="107" t="s">
        <v>2997</v>
      </c>
      <c r="L1469" s="107">
        <v>359.36</v>
      </c>
      <c r="M1469" s="107">
        <v>1</v>
      </c>
    </row>
    <row r="1470" spans="1:13" x14ac:dyDescent="0.3">
      <c r="A1470" s="95">
        <f t="shared" si="22"/>
        <v>0</v>
      </c>
      <c r="B1470" s="106" t="s">
        <v>1444</v>
      </c>
      <c r="C1470" s="95" t="s">
        <v>2872</v>
      </c>
      <c r="D1470" s="106">
        <v>12</v>
      </c>
      <c r="E1470" s="107">
        <v>1</v>
      </c>
      <c r="F1470" s="107" t="s">
        <v>2959</v>
      </c>
      <c r="G1470" s="107" t="s">
        <v>2961</v>
      </c>
      <c r="H1470" s="107" t="s">
        <v>2972</v>
      </c>
      <c r="I1470" s="107" t="s">
        <v>2996</v>
      </c>
      <c r="J1470" s="107" t="s">
        <v>2996</v>
      </c>
      <c r="K1470" s="107" t="s">
        <v>2996</v>
      </c>
      <c r="L1470" s="107">
        <v>136.63999999999999</v>
      </c>
      <c r="M1470" s="107"/>
    </row>
    <row r="1471" spans="1:13" x14ac:dyDescent="0.3">
      <c r="A1471" s="95">
        <f t="shared" si="22"/>
        <v>0</v>
      </c>
      <c r="B1471" s="106" t="s">
        <v>1445</v>
      </c>
      <c r="C1471" s="95" t="s">
        <v>2873</v>
      </c>
      <c r="D1471" s="106">
        <v>12</v>
      </c>
      <c r="E1471" s="107">
        <v>1</v>
      </c>
      <c r="F1471" s="107" t="s">
        <v>2959</v>
      </c>
      <c r="G1471" s="107" t="s">
        <v>2966</v>
      </c>
      <c r="H1471" s="107" t="s">
        <v>2985</v>
      </c>
      <c r="I1471" s="107" t="s">
        <v>2996</v>
      </c>
      <c r="J1471" s="107" t="s">
        <v>2996</v>
      </c>
      <c r="K1471" s="107" t="s">
        <v>2996</v>
      </c>
      <c r="L1471" s="107">
        <v>36.4</v>
      </c>
      <c r="M1471" s="107"/>
    </row>
    <row r="1472" spans="1:13" x14ac:dyDescent="0.3">
      <c r="A1472" s="95">
        <f t="shared" si="22"/>
        <v>0</v>
      </c>
      <c r="B1472" s="106" t="s">
        <v>1446</v>
      </c>
      <c r="C1472" s="95" t="s">
        <v>2874</v>
      </c>
      <c r="D1472" s="106">
        <v>12</v>
      </c>
      <c r="E1472" s="107">
        <v>1</v>
      </c>
      <c r="F1472" s="107" t="s">
        <v>2959</v>
      </c>
      <c r="G1472" s="107" t="s">
        <v>2966</v>
      </c>
      <c r="H1472" s="107" t="s">
        <v>2984</v>
      </c>
      <c r="I1472" s="107" t="s">
        <v>2997</v>
      </c>
      <c r="J1472" s="107" t="s">
        <v>2997</v>
      </c>
      <c r="K1472" s="107" t="s">
        <v>2996</v>
      </c>
      <c r="L1472" s="107">
        <v>27.13</v>
      </c>
      <c r="M1472" s="107"/>
    </row>
    <row r="1473" spans="1:13" x14ac:dyDescent="0.3">
      <c r="A1473" s="95">
        <f t="shared" si="22"/>
        <v>0</v>
      </c>
      <c r="B1473" s="106" t="s">
        <v>1447</v>
      </c>
      <c r="C1473" s="95" t="s">
        <v>2875</v>
      </c>
      <c r="D1473" s="106">
        <v>12</v>
      </c>
      <c r="E1473" s="107">
        <v>1</v>
      </c>
      <c r="F1473" s="107" t="s">
        <v>2959</v>
      </c>
      <c r="G1473" s="107" t="s">
        <v>2966</v>
      </c>
      <c r="H1473" s="107" t="s">
        <v>2980</v>
      </c>
      <c r="I1473" s="107" t="s">
        <v>2997</v>
      </c>
      <c r="J1473" s="107" t="s">
        <v>2997</v>
      </c>
      <c r="K1473" s="107" t="s">
        <v>2996</v>
      </c>
      <c r="L1473" s="107">
        <v>35.92</v>
      </c>
      <c r="M1473" s="107"/>
    </row>
    <row r="1474" spans="1:13" x14ac:dyDescent="0.3">
      <c r="A1474" s="95">
        <f t="shared" si="22"/>
        <v>0</v>
      </c>
      <c r="B1474" s="106" t="s">
        <v>1448</v>
      </c>
      <c r="C1474" s="95" t="s">
        <v>2876</v>
      </c>
      <c r="D1474" s="106">
        <v>12</v>
      </c>
      <c r="E1474" s="107">
        <v>1</v>
      </c>
      <c r="F1474" s="107" t="s">
        <v>2959</v>
      </c>
      <c r="G1474" s="107" t="s">
        <v>2964</v>
      </c>
      <c r="H1474" s="107" t="s">
        <v>2976</v>
      </c>
      <c r="I1474" s="107" t="s">
        <v>2997</v>
      </c>
      <c r="J1474" s="107" t="s">
        <v>2997</v>
      </c>
      <c r="K1474" s="107" t="s">
        <v>2996</v>
      </c>
      <c r="L1474" s="107">
        <v>105.42</v>
      </c>
      <c r="M1474" s="107"/>
    </row>
    <row r="1475" spans="1:13" x14ac:dyDescent="0.3">
      <c r="A1475" s="95">
        <f t="shared" si="22"/>
        <v>0</v>
      </c>
      <c r="B1475" s="106" t="s">
        <v>1449</v>
      </c>
      <c r="C1475" s="95" t="s">
        <v>2877</v>
      </c>
      <c r="D1475" s="106">
        <v>12</v>
      </c>
      <c r="E1475" s="107">
        <v>1</v>
      </c>
      <c r="F1475" s="107" t="s">
        <v>2959</v>
      </c>
      <c r="G1475" s="107" t="s">
        <v>2966</v>
      </c>
      <c r="H1475" s="107" t="s">
        <v>2984</v>
      </c>
      <c r="I1475" s="107" t="s">
        <v>2997</v>
      </c>
      <c r="J1475" s="107" t="s">
        <v>2997</v>
      </c>
      <c r="K1475" s="107" t="s">
        <v>2996</v>
      </c>
      <c r="L1475" s="107">
        <v>192</v>
      </c>
      <c r="M1475" s="107"/>
    </row>
    <row r="1476" spans="1:13" x14ac:dyDescent="0.3">
      <c r="A1476" s="95">
        <f t="shared" si="22"/>
        <v>0</v>
      </c>
      <c r="B1476" s="106" t="s">
        <v>1450</v>
      </c>
      <c r="C1476" s="95" t="s">
        <v>2878</v>
      </c>
      <c r="D1476" s="106">
        <v>12</v>
      </c>
      <c r="E1476" s="107">
        <v>1</v>
      </c>
      <c r="F1476" s="107" t="s">
        <v>2959</v>
      </c>
      <c r="G1476" s="107" t="s">
        <v>2964</v>
      </c>
      <c r="H1476" s="107" t="s">
        <v>2976</v>
      </c>
      <c r="I1476" s="107" t="s">
        <v>2996</v>
      </c>
      <c r="J1476" s="107" t="s">
        <v>2996</v>
      </c>
      <c r="K1476" s="107" t="s">
        <v>2996</v>
      </c>
      <c r="L1476" s="107">
        <v>26.27</v>
      </c>
      <c r="M1476" s="107"/>
    </row>
    <row r="1477" spans="1:13" x14ac:dyDescent="0.3">
      <c r="A1477" s="95">
        <f t="shared" si="22"/>
        <v>0</v>
      </c>
      <c r="B1477" s="106" t="s">
        <v>1451</v>
      </c>
      <c r="C1477" s="95" t="s">
        <v>2879</v>
      </c>
      <c r="D1477" s="106">
        <v>12</v>
      </c>
      <c r="E1477" s="107">
        <v>1</v>
      </c>
      <c r="F1477" s="107" t="s">
        <v>2959</v>
      </c>
      <c r="G1477" s="107" t="s">
        <v>2966</v>
      </c>
      <c r="H1477" s="107" t="s">
        <v>2978</v>
      </c>
      <c r="I1477" s="107" t="s">
        <v>2997</v>
      </c>
      <c r="J1477" s="107" t="s">
        <v>2997</v>
      </c>
      <c r="K1477" s="107" t="s">
        <v>2996</v>
      </c>
      <c r="L1477" s="107">
        <v>126.12</v>
      </c>
      <c r="M1477" s="107">
        <v>2</v>
      </c>
    </row>
    <row r="1478" spans="1:13" x14ac:dyDescent="0.3">
      <c r="A1478" s="95">
        <f t="shared" si="22"/>
        <v>0</v>
      </c>
      <c r="B1478" s="106" t="s">
        <v>1452</v>
      </c>
      <c r="C1478" s="95" t="s">
        <v>2880</v>
      </c>
      <c r="D1478" s="106">
        <v>12</v>
      </c>
      <c r="E1478" s="107">
        <v>1</v>
      </c>
      <c r="F1478" s="107" t="s">
        <v>2959</v>
      </c>
      <c r="G1478" s="107" t="s">
        <v>2966</v>
      </c>
      <c r="H1478" s="107" t="s">
        <v>2980</v>
      </c>
      <c r="I1478" s="107" t="s">
        <v>2997</v>
      </c>
      <c r="J1478" s="107" t="s">
        <v>2997</v>
      </c>
      <c r="K1478" s="107" t="s">
        <v>2997</v>
      </c>
      <c r="L1478" s="107">
        <v>214.5</v>
      </c>
      <c r="M1478" s="107">
        <v>2</v>
      </c>
    </row>
    <row r="1479" spans="1:13" x14ac:dyDescent="0.3">
      <c r="A1479" s="95">
        <f t="shared" si="22"/>
        <v>0</v>
      </c>
      <c r="B1479" s="106" t="s">
        <v>1453</v>
      </c>
      <c r="C1479" s="95" t="s">
        <v>2881</v>
      </c>
      <c r="D1479" s="106">
        <v>12</v>
      </c>
      <c r="E1479" s="107">
        <v>1</v>
      </c>
      <c r="F1479" s="107" t="s">
        <v>2959</v>
      </c>
      <c r="G1479" s="107" t="s">
        <v>2966</v>
      </c>
      <c r="H1479" s="107" t="s">
        <v>2978</v>
      </c>
      <c r="I1479" s="107" t="s">
        <v>2996</v>
      </c>
      <c r="J1479" s="107" t="s">
        <v>2996</v>
      </c>
      <c r="K1479" s="107" t="s">
        <v>2996</v>
      </c>
      <c r="L1479" s="107">
        <v>79.11</v>
      </c>
      <c r="M1479" s="107">
        <v>4</v>
      </c>
    </row>
    <row r="1480" spans="1:13" x14ac:dyDescent="0.3">
      <c r="A1480" s="95">
        <f t="shared" si="22"/>
        <v>0</v>
      </c>
      <c r="B1480" s="106" t="s">
        <v>1454</v>
      </c>
      <c r="C1480" s="95" t="s">
        <v>2882</v>
      </c>
      <c r="D1480" s="106">
        <v>12</v>
      </c>
      <c r="E1480" s="107">
        <v>1</v>
      </c>
      <c r="F1480" s="107" t="s">
        <v>2959</v>
      </c>
      <c r="G1480" s="107" t="s">
        <v>2966</v>
      </c>
      <c r="H1480" s="107" t="s">
        <v>2985</v>
      </c>
      <c r="I1480" s="107" t="s">
        <v>2997</v>
      </c>
      <c r="J1480" s="107" t="s">
        <v>2997</v>
      </c>
      <c r="K1480" s="107" t="s">
        <v>2997</v>
      </c>
      <c r="L1480" s="107">
        <v>332.01</v>
      </c>
      <c r="M1480" s="107">
        <v>5</v>
      </c>
    </row>
    <row r="1481" spans="1:13" x14ac:dyDescent="0.3">
      <c r="A1481" s="95">
        <f t="shared" si="22"/>
        <v>0</v>
      </c>
      <c r="B1481" s="106" t="s">
        <v>1455</v>
      </c>
      <c r="C1481" s="95" t="s">
        <v>2883</v>
      </c>
      <c r="D1481" s="106">
        <v>12</v>
      </c>
      <c r="E1481" s="107">
        <v>1</v>
      </c>
      <c r="F1481" s="107" t="s">
        <v>2959</v>
      </c>
      <c r="G1481" s="107" t="s">
        <v>2960</v>
      </c>
      <c r="H1481" s="107" t="s">
        <v>2970</v>
      </c>
      <c r="I1481" s="107" t="s">
        <v>2997</v>
      </c>
      <c r="J1481" s="107" t="s">
        <v>2996</v>
      </c>
      <c r="K1481" s="107" t="s">
        <v>2996</v>
      </c>
      <c r="L1481" s="107">
        <v>92.7</v>
      </c>
      <c r="M1481" s="107"/>
    </row>
    <row r="1482" spans="1:13" x14ac:dyDescent="0.3">
      <c r="A1482" s="95">
        <f t="shared" si="22"/>
        <v>0</v>
      </c>
      <c r="B1482" s="106" t="s">
        <v>1456</v>
      </c>
      <c r="C1482" s="95" t="s">
        <v>2884</v>
      </c>
      <c r="D1482" s="106">
        <v>12</v>
      </c>
      <c r="E1482" s="107">
        <v>1</v>
      </c>
      <c r="F1482" s="107" t="s">
        <v>2958</v>
      </c>
      <c r="G1482" s="107" t="s">
        <v>2961</v>
      </c>
      <c r="H1482" s="107" t="s">
        <v>2991</v>
      </c>
      <c r="I1482" s="107" t="s">
        <v>2997</v>
      </c>
      <c r="J1482" s="107" t="s">
        <v>2997</v>
      </c>
      <c r="K1482" s="107" t="s">
        <v>2997</v>
      </c>
      <c r="L1482" s="107">
        <v>217.29</v>
      </c>
      <c r="M1482" s="107">
        <v>1</v>
      </c>
    </row>
    <row r="1483" spans="1:13" x14ac:dyDescent="0.3">
      <c r="A1483" s="95">
        <f t="shared" si="22"/>
        <v>0</v>
      </c>
      <c r="B1483" s="106" t="s">
        <v>1457</v>
      </c>
      <c r="C1483" s="95" t="s">
        <v>2885</v>
      </c>
      <c r="D1483" s="106">
        <v>12</v>
      </c>
      <c r="E1483" s="107">
        <v>1</v>
      </c>
      <c r="F1483" s="107" t="s">
        <v>2959</v>
      </c>
      <c r="G1483" s="107" t="s">
        <v>2967</v>
      </c>
      <c r="H1483" s="107" t="s">
        <v>2967</v>
      </c>
      <c r="I1483" s="107" t="s">
        <v>2997</v>
      </c>
      <c r="J1483" s="107" t="s">
        <v>2997</v>
      </c>
      <c r="K1483" s="107" t="s">
        <v>2997</v>
      </c>
      <c r="L1483" s="107">
        <v>106.9</v>
      </c>
      <c r="M1483" s="107">
        <v>1</v>
      </c>
    </row>
    <row r="1484" spans="1:13" x14ac:dyDescent="0.3">
      <c r="A1484" s="95">
        <f t="shared" si="22"/>
        <v>0</v>
      </c>
      <c r="B1484" s="106" t="s">
        <v>1458</v>
      </c>
      <c r="C1484" s="95" t="s">
        <v>2886</v>
      </c>
      <c r="D1484" s="106">
        <v>12</v>
      </c>
      <c r="E1484" s="107">
        <v>1</v>
      </c>
      <c r="F1484" s="107" t="s">
        <v>2959</v>
      </c>
      <c r="G1484" s="107" t="s">
        <v>2966</v>
      </c>
      <c r="H1484" s="107" t="s">
        <v>2985</v>
      </c>
      <c r="I1484" s="107" t="s">
        <v>2997</v>
      </c>
      <c r="J1484" s="107" t="s">
        <v>2997</v>
      </c>
      <c r="K1484" s="107" t="s">
        <v>2996</v>
      </c>
      <c r="L1484" s="107">
        <v>21.58</v>
      </c>
      <c r="M1484" s="107"/>
    </row>
    <row r="1485" spans="1:13" x14ac:dyDescent="0.3">
      <c r="A1485" s="95">
        <f t="shared" si="22"/>
        <v>0</v>
      </c>
      <c r="B1485" s="106" t="s">
        <v>1459</v>
      </c>
      <c r="C1485" s="95" t="s">
        <v>2887</v>
      </c>
      <c r="D1485" s="106">
        <v>12</v>
      </c>
      <c r="E1485" s="107">
        <v>1</v>
      </c>
      <c r="F1485" s="107" t="s">
        <v>2959</v>
      </c>
      <c r="G1485" s="107" t="s">
        <v>2961</v>
      </c>
      <c r="H1485" s="107" t="s">
        <v>2991</v>
      </c>
      <c r="I1485" s="107" t="s">
        <v>2997</v>
      </c>
      <c r="J1485" s="107" t="s">
        <v>2997</v>
      </c>
      <c r="K1485" s="107" t="s">
        <v>2997</v>
      </c>
      <c r="L1485" s="107">
        <v>90.1</v>
      </c>
      <c r="M1485" s="107">
        <v>1</v>
      </c>
    </row>
    <row r="1486" spans="1:13" x14ac:dyDescent="0.3">
      <c r="A1486" s="95">
        <f t="shared" si="22"/>
        <v>0</v>
      </c>
      <c r="B1486" s="106" t="s">
        <v>1460</v>
      </c>
      <c r="C1486" s="95" t="s">
        <v>3653</v>
      </c>
      <c r="D1486" s="106">
        <v>12</v>
      </c>
      <c r="E1486" s="107">
        <v>1</v>
      </c>
      <c r="F1486" s="107" t="s">
        <v>2959</v>
      </c>
      <c r="G1486" s="107" t="s">
        <v>2964</v>
      </c>
      <c r="H1486" s="107" t="s">
        <v>2976</v>
      </c>
      <c r="I1486" s="107" t="s">
        <v>2997</v>
      </c>
      <c r="J1486" s="107" t="s">
        <v>2997</v>
      </c>
      <c r="K1486" s="107" t="s">
        <v>2996</v>
      </c>
      <c r="L1486" s="107">
        <v>29.23</v>
      </c>
      <c r="M1486" s="107"/>
    </row>
    <row r="1487" spans="1:13" x14ac:dyDescent="0.3">
      <c r="A1487" s="95">
        <f t="shared" ref="A1487:A1550" si="23">IF(AND(E1487=1,J1487=K1487,M1487&gt;6),1,0)</f>
        <v>0</v>
      </c>
      <c r="B1487" s="106" t="s">
        <v>3187</v>
      </c>
      <c r="C1487" s="95" t="s">
        <v>3388</v>
      </c>
      <c r="D1487" s="106">
        <v>12</v>
      </c>
      <c r="E1487" s="107">
        <v>1</v>
      </c>
      <c r="F1487" s="107" t="s">
        <v>2959</v>
      </c>
      <c r="G1487" s="107" t="s">
        <v>2960</v>
      </c>
      <c r="H1487" s="107" t="s">
        <v>2970</v>
      </c>
      <c r="I1487" s="107" t="s">
        <v>2996</v>
      </c>
      <c r="J1487" s="107" t="s">
        <v>2996</v>
      </c>
      <c r="K1487" s="107" t="s">
        <v>2996</v>
      </c>
      <c r="L1487" s="107">
        <v>831</v>
      </c>
      <c r="M1487" s="107">
        <v>4</v>
      </c>
    </row>
    <row r="1488" spans="1:13" x14ac:dyDescent="0.3">
      <c r="A1488" s="95">
        <f t="shared" si="23"/>
        <v>0</v>
      </c>
      <c r="B1488" s="106" t="s">
        <v>1461</v>
      </c>
      <c r="C1488" s="95" t="s">
        <v>2888</v>
      </c>
      <c r="D1488" s="106">
        <v>12</v>
      </c>
      <c r="E1488" s="107">
        <v>1</v>
      </c>
      <c r="F1488" s="107" t="s">
        <v>2959</v>
      </c>
      <c r="G1488" s="107" t="s">
        <v>2966</v>
      </c>
      <c r="H1488" s="107" t="s">
        <v>2984</v>
      </c>
      <c r="I1488" s="107" t="s">
        <v>2997</v>
      </c>
      <c r="J1488" s="107" t="s">
        <v>2997</v>
      </c>
      <c r="K1488" s="107" t="s">
        <v>2997</v>
      </c>
      <c r="L1488" s="107">
        <v>99.48</v>
      </c>
      <c r="M1488" s="107">
        <v>2</v>
      </c>
    </row>
    <row r="1489" spans="1:13" x14ac:dyDescent="0.3">
      <c r="A1489" s="95">
        <f t="shared" si="23"/>
        <v>0</v>
      </c>
      <c r="B1489" s="106" t="s">
        <v>1462</v>
      </c>
      <c r="C1489" s="95" t="s">
        <v>2889</v>
      </c>
      <c r="D1489" s="106">
        <v>12</v>
      </c>
      <c r="E1489" s="107">
        <v>1</v>
      </c>
      <c r="F1489" s="107" t="s">
        <v>2959</v>
      </c>
      <c r="G1489" s="107" t="s">
        <v>2966</v>
      </c>
      <c r="H1489" s="107" t="s">
        <v>2984</v>
      </c>
      <c r="I1489" s="107" t="s">
        <v>2997</v>
      </c>
      <c r="J1489" s="107" t="s">
        <v>2997</v>
      </c>
      <c r="K1489" s="107" t="s">
        <v>2996</v>
      </c>
      <c r="L1489" s="107">
        <v>71.3</v>
      </c>
      <c r="M1489" s="107"/>
    </row>
    <row r="1490" spans="1:13" x14ac:dyDescent="0.3">
      <c r="A1490" s="95">
        <f t="shared" si="23"/>
        <v>0</v>
      </c>
      <c r="B1490" s="106" t="s">
        <v>3188</v>
      </c>
      <c r="C1490" s="95" t="s">
        <v>3389</v>
      </c>
      <c r="D1490" s="106">
        <v>12</v>
      </c>
      <c r="E1490" s="107">
        <v>1</v>
      </c>
      <c r="F1490" s="107" t="s">
        <v>2959</v>
      </c>
      <c r="G1490" s="107" t="s">
        <v>2966</v>
      </c>
      <c r="H1490" s="107" t="s">
        <v>2984</v>
      </c>
      <c r="I1490" s="107" t="s">
        <v>2996</v>
      </c>
      <c r="J1490" s="107" t="s">
        <v>2997</v>
      </c>
      <c r="K1490" s="107" t="s">
        <v>2996</v>
      </c>
      <c r="L1490" s="107">
        <v>231.91</v>
      </c>
      <c r="M1490" s="107">
        <v>5</v>
      </c>
    </row>
    <row r="1491" spans="1:13" x14ac:dyDescent="0.3">
      <c r="A1491" s="95">
        <f t="shared" si="23"/>
        <v>0</v>
      </c>
      <c r="B1491" s="106" t="s">
        <v>3189</v>
      </c>
      <c r="C1491" s="95" t="s">
        <v>3390</v>
      </c>
      <c r="D1491" s="106">
        <v>12</v>
      </c>
      <c r="E1491" s="107">
        <v>1</v>
      </c>
      <c r="F1491" s="107" t="s">
        <v>2959</v>
      </c>
      <c r="G1491" s="107" t="s">
        <v>2966</v>
      </c>
      <c r="H1491" s="107" t="s">
        <v>2984</v>
      </c>
      <c r="I1491" s="107" t="s">
        <v>2997</v>
      </c>
      <c r="J1491" s="107" t="s">
        <v>2997</v>
      </c>
      <c r="K1491" s="107" t="s">
        <v>2996</v>
      </c>
      <c r="L1491" s="107">
        <v>22.3</v>
      </c>
      <c r="M1491" s="107"/>
    </row>
    <row r="1492" spans="1:13" x14ac:dyDescent="0.3">
      <c r="A1492" s="95">
        <f t="shared" si="23"/>
        <v>0</v>
      </c>
      <c r="B1492" s="106" t="s">
        <v>1463</v>
      </c>
      <c r="C1492" s="95" t="s">
        <v>2890</v>
      </c>
      <c r="D1492" s="106">
        <v>12</v>
      </c>
      <c r="E1492" s="107">
        <v>1</v>
      </c>
      <c r="F1492" s="107" t="s">
        <v>2958</v>
      </c>
      <c r="G1492" s="107" t="s">
        <v>2960</v>
      </c>
      <c r="H1492" s="107" t="s">
        <v>2970</v>
      </c>
      <c r="I1492" s="107" t="s">
        <v>2997</v>
      </c>
      <c r="J1492" s="107" t="s">
        <v>2997</v>
      </c>
      <c r="K1492" s="107" t="s">
        <v>2996</v>
      </c>
      <c r="L1492" s="107">
        <v>128.76</v>
      </c>
      <c r="M1492" s="107"/>
    </row>
    <row r="1493" spans="1:13" x14ac:dyDescent="0.3">
      <c r="A1493" s="95">
        <f t="shared" si="23"/>
        <v>1</v>
      </c>
      <c r="B1493" s="106" t="s">
        <v>1464</v>
      </c>
      <c r="C1493" s="95" t="s">
        <v>2891</v>
      </c>
      <c r="D1493" s="106">
        <v>12</v>
      </c>
      <c r="E1493" s="107">
        <v>1</v>
      </c>
      <c r="F1493" s="107" t="s">
        <v>2958</v>
      </c>
      <c r="G1493" s="107" t="s">
        <v>2967</v>
      </c>
      <c r="H1493" s="107" t="s">
        <v>2967</v>
      </c>
      <c r="I1493" s="107" t="s">
        <v>2997</v>
      </c>
      <c r="J1493" s="107" t="s">
        <v>2997</v>
      </c>
      <c r="K1493" s="107" t="s">
        <v>2997</v>
      </c>
      <c r="L1493" s="107">
        <v>12529.08</v>
      </c>
      <c r="M1493" s="107">
        <v>26</v>
      </c>
    </row>
    <row r="1494" spans="1:13" x14ac:dyDescent="0.3">
      <c r="A1494" s="95">
        <f t="shared" si="23"/>
        <v>0</v>
      </c>
      <c r="B1494" s="106" t="s">
        <v>1465</v>
      </c>
      <c r="C1494" s="95" t="s">
        <v>2892</v>
      </c>
      <c r="D1494" s="106">
        <v>12</v>
      </c>
      <c r="E1494" s="107">
        <v>1</v>
      </c>
      <c r="F1494" s="107" t="s">
        <v>2959</v>
      </c>
      <c r="G1494" s="107" t="s">
        <v>2966</v>
      </c>
      <c r="H1494" s="107" t="s">
        <v>2980</v>
      </c>
      <c r="I1494" s="107" t="s">
        <v>2996</v>
      </c>
      <c r="J1494" s="107" t="s">
        <v>2996</v>
      </c>
      <c r="K1494" s="107" t="s">
        <v>2996</v>
      </c>
      <c r="L1494" s="107">
        <v>18.440000000000001</v>
      </c>
      <c r="M1494" s="107"/>
    </row>
    <row r="1495" spans="1:13" x14ac:dyDescent="0.3">
      <c r="A1495" s="95">
        <f t="shared" si="23"/>
        <v>0</v>
      </c>
      <c r="B1495" s="106" t="s">
        <v>1466</v>
      </c>
      <c r="C1495" s="95" t="s">
        <v>2893</v>
      </c>
      <c r="D1495" s="106">
        <v>12</v>
      </c>
      <c r="E1495" s="107">
        <v>1</v>
      </c>
      <c r="F1495" s="107" t="s">
        <v>2958</v>
      </c>
      <c r="G1495" s="107" t="s">
        <v>2964</v>
      </c>
      <c r="H1495" s="107" t="s">
        <v>2976</v>
      </c>
      <c r="I1495" s="107" t="s">
        <v>2997</v>
      </c>
      <c r="J1495" s="107" t="s">
        <v>2997</v>
      </c>
      <c r="K1495" s="107" t="s">
        <v>2997</v>
      </c>
      <c r="L1495" s="107">
        <v>699.81</v>
      </c>
      <c r="M1495" s="107">
        <v>5</v>
      </c>
    </row>
    <row r="1496" spans="1:13" x14ac:dyDescent="0.3">
      <c r="A1496" s="95">
        <f t="shared" si="23"/>
        <v>0</v>
      </c>
      <c r="B1496" s="106" t="s">
        <v>3190</v>
      </c>
      <c r="C1496" s="95" t="s">
        <v>3391</v>
      </c>
      <c r="D1496" s="106">
        <v>12</v>
      </c>
      <c r="E1496" s="107">
        <v>1</v>
      </c>
      <c r="F1496" s="107" t="s">
        <v>2959</v>
      </c>
      <c r="G1496" s="107" t="s">
        <v>2966</v>
      </c>
      <c r="H1496" s="107" t="s">
        <v>2984</v>
      </c>
      <c r="I1496" s="107" t="s">
        <v>2997</v>
      </c>
      <c r="J1496" s="107" t="s">
        <v>2997</v>
      </c>
      <c r="K1496" s="107" t="s">
        <v>2997</v>
      </c>
      <c r="L1496" s="107">
        <v>79.84</v>
      </c>
      <c r="M1496" s="107">
        <v>1</v>
      </c>
    </row>
    <row r="1497" spans="1:13" x14ac:dyDescent="0.3">
      <c r="A1497" s="95">
        <f t="shared" si="23"/>
        <v>0</v>
      </c>
      <c r="B1497" s="106" t="s">
        <v>1467</v>
      </c>
      <c r="C1497" s="95" t="s">
        <v>2894</v>
      </c>
      <c r="D1497" s="106">
        <v>12</v>
      </c>
      <c r="E1497" s="107">
        <v>1</v>
      </c>
      <c r="F1497" s="107" t="s">
        <v>2959</v>
      </c>
      <c r="G1497" s="107" t="s">
        <v>2966</v>
      </c>
      <c r="H1497" s="107" t="s">
        <v>2984</v>
      </c>
      <c r="I1497" s="107" t="s">
        <v>2997</v>
      </c>
      <c r="J1497" s="107" t="s">
        <v>2997</v>
      </c>
      <c r="K1497" s="107" t="s">
        <v>2997</v>
      </c>
      <c r="L1497" s="107">
        <v>205.4</v>
      </c>
      <c r="M1497" s="107">
        <v>6</v>
      </c>
    </row>
    <row r="1498" spans="1:13" x14ac:dyDescent="0.3">
      <c r="A1498" s="95">
        <f t="shared" si="23"/>
        <v>0</v>
      </c>
      <c r="B1498" s="106" t="s">
        <v>3624</v>
      </c>
      <c r="C1498" s="95" t="s">
        <v>3654</v>
      </c>
      <c r="D1498" s="106">
        <v>12</v>
      </c>
      <c r="E1498" s="107">
        <v>1</v>
      </c>
      <c r="F1498" s="107" t="s">
        <v>2959</v>
      </c>
      <c r="G1498" s="107" t="s">
        <v>2966</v>
      </c>
      <c r="H1498" s="107" t="s">
        <v>2978</v>
      </c>
      <c r="I1498" s="107" t="s">
        <v>2996</v>
      </c>
      <c r="J1498" s="107" t="s">
        <v>2996</v>
      </c>
      <c r="K1498" s="107" t="s">
        <v>2996</v>
      </c>
      <c r="L1498" s="107">
        <v>39.409999999999997</v>
      </c>
      <c r="M1498" s="107"/>
    </row>
    <row r="1499" spans="1:13" x14ac:dyDescent="0.3">
      <c r="A1499" s="95">
        <f t="shared" si="23"/>
        <v>0</v>
      </c>
      <c r="B1499" s="106" t="s">
        <v>1468</v>
      </c>
      <c r="C1499" s="95" t="s">
        <v>2895</v>
      </c>
      <c r="D1499" s="106">
        <v>6</v>
      </c>
      <c r="E1499" s="107">
        <v>1</v>
      </c>
      <c r="F1499" s="107" t="s">
        <v>2959</v>
      </c>
      <c r="G1499" s="107" t="s">
        <v>2965</v>
      </c>
      <c r="H1499" s="107" t="s">
        <v>2965</v>
      </c>
      <c r="I1499" s="107" t="s">
        <v>2997</v>
      </c>
      <c r="J1499" s="107" t="s">
        <v>2996</v>
      </c>
      <c r="K1499" s="107" t="s">
        <v>2996</v>
      </c>
      <c r="L1499" s="107">
        <v>38.69</v>
      </c>
      <c r="M1499" s="107"/>
    </row>
    <row r="1500" spans="1:13" x14ac:dyDescent="0.3">
      <c r="A1500" s="95">
        <f t="shared" si="23"/>
        <v>1</v>
      </c>
      <c r="B1500" s="106" t="s">
        <v>1469</v>
      </c>
      <c r="C1500" s="95" t="s">
        <v>2896</v>
      </c>
      <c r="D1500" s="106">
        <v>12</v>
      </c>
      <c r="E1500" s="107">
        <v>1</v>
      </c>
      <c r="F1500" s="107" t="s">
        <v>2958</v>
      </c>
      <c r="G1500" s="107" t="s">
        <v>2963</v>
      </c>
      <c r="H1500" s="107" t="s">
        <v>2974</v>
      </c>
      <c r="I1500" s="107" t="s">
        <v>2997</v>
      </c>
      <c r="J1500" s="107" t="s">
        <v>2997</v>
      </c>
      <c r="K1500" s="107" t="s">
        <v>2997</v>
      </c>
      <c r="L1500" s="107">
        <v>3399.07</v>
      </c>
      <c r="M1500" s="107">
        <v>16</v>
      </c>
    </row>
    <row r="1501" spans="1:13" x14ac:dyDescent="0.3">
      <c r="A1501" s="95">
        <f t="shared" si="23"/>
        <v>0</v>
      </c>
      <c r="B1501" s="106" t="s">
        <v>1470</v>
      </c>
      <c r="C1501" s="95" t="s">
        <v>2897</v>
      </c>
      <c r="D1501" s="106">
        <v>12</v>
      </c>
      <c r="E1501" s="107">
        <v>1</v>
      </c>
      <c r="F1501" s="107" t="s">
        <v>2959</v>
      </c>
      <c r="G1501" s="107" t="s">
        <v>2966</v>
      </c>
      <c r="H1501" s="107" t="s">
        <v>2978</v>
      </c>
      <c r="I1501" s="107" t="s">
        <v>2997</v>
      </c>
      <c r="J1501" s="107" t="s">
        <v>2997</v>
      </c>
      <c r="K1501" s="107" t="s">
        <v>2996</v>
      </c>
      <c r="L1501" s="107">
        <v>35.08</v>
      </c>
      <c r="M1501" s="107"/>
    </row>
    <row r="1502" spans="1:13" x14ac:dyDescent="0.3">
      <c r="A1502" s="95">
        <f t="shared" si="23"/>
        <v>0</v>
      </c>
      <c r="B1502" s="106" t="s">
        <v>1471</v>
      </c>
      <c r="C1502" s="95" t="s">
        <v>2898</v>
      </c>
      <c r="D1502" s="106">
        <v>12</v>
      </c>
      <c r="E1502" s="107">
        <v>1</v>
      </c>
      <c r="F1502" s="107" t="s">
        <v>2959</v>
      </c>
      <c r="G1502" s="107" t="s">
        <v>2966</v>
      </c>
      <c r="H1502" s="107" t="s">
        <v>2984</v>
      </c>
      <c r="I1502" s="107" t="s">
        <v>2997</v>
      </c>
      <c r="J1502" s="107" t="s">
        <v>2997</v>
      </c>
      <c r="K1502" s="107" t="s">
        <v>2997</v>
      </c>
      <c r="L1502" s="107">
        <v>277.18</v>
      </c>
      <c r="M1502" s="107">
        <v>2</v>
      </c>
    </row>
    <row r="1503" spans="1:13" x14ac:dyDescent="0.3">
      <c r="A1503" s="95">
        <f t="shared" si="23"/>
        <v>0</v>
      </c>
      <c r="B1503" s="106" t="s">
        <v>1472</v>
      </c>
      <c r="C1503" s="95" t="s">
        <v>2899</v>
      </c>
      <c r="D1503" s="106">
        <v>12</v>
      </c>
      <c r="E1503" s="107">
        <v>1</v>
      </c>
      <c r="F1503" s="107" t="s">
        <v>2959</v>
      </c>
      <c r="G1503" s="107" t="s">
        <v>2961</v>
      </c>
      <c r="H1503" s="107" t="s">
        <v>2972</v>
      </c>
      <c r="I1503" s="107" t="s">
        <v>2997</v>
      </c>
      <c r="J1503" s="107" t="s">
        <v>2997</v>
      </c>
      <c r="K1503" s="107" t="s">
        <v>2996</v>
      </c>
      <c r="L1503" s="107">
        <v>20.62</v>
      </c>
      <c r="M1503" s="107"/>
    </row>
    <row r="1504" spans="1:13" x14ac:dyDescent="0.3">
      <c r="A1504" s="95">
        <f t="shared" si="23"/>
        <v>0</v>
      </c>
      <c r="B1504" s="106" t="s">
        <v>3604</v>
      </c>
      <c r="C1504" s="95" t="s">
        <v>3612</v>
      </c>
      <c r="D1504" s="106">
        <v>12</v>
      </c>
      <c r="E1504" s="107">
        <v>1</v>
      </c>
      <c r="F1504" s="107" t="s">
        <v>2959</v>
      </c>
      <c r="G1504" s="107" t="s">
        <v>2960</v>
      </c>
      <c r="H1504" s="107" t="s">
        <v>2983</v>
      </c>
      <c r="I1504" s="107" t="s">
        <v>2997</v>
      </c>
      <c r="J1504" s="107" t="s">
        <v>2997</v>
      </c>
      <c r="K1504" s="107" t="s">
        <v>2996</v>
      </c>
      <c r="L1504" s="107">
        <v>311.38</v>
      </c>
      <c r="M1504" s="107">
        <v>1</v>
      </c>
    </row>
    <row r="1505" spans="1:13" x14ac:dyDescent="0.3">
      <c r="A1505" s="95">
        <f t="shared" si="23"/>
        <v>0</v>
      </c>
      <c r="B1505" s="106" t="s">
        <v>1473</v>
      </c>
      <c r="C1505" s="95" t="s">
        <v>2900</v>
      </c>
      <c r="D1505" s="106">
        <v>12</v>
      </c>
      <c r="E1505" s="107">
        <v>1</v>
      </c>
      <c r="F1505" s="107" t="s">
        <v>2959</v>
      </c>
      <c r="G1505" s="107" t="s">
        <v>2967</v>
      </c>
      <c r="H1505" s="107" t="s">
        <v>2967</v>
      </c>
      <c r="I1505" s="107" t="s">
        <v>2997</v>
      </c>
      <c r="J1505" s="107" t="s">
        <v>2997</v>
      </c>
      <c r="K1505" s="107" t="s">
        <v>2996</v>
      </c>
      <c r="L1505" s="107">
        <v>33.119999999999997</v>
      </c>
      <c r="M1505" s="107"/>
    </row>
    <row r="1506" spans="1:13" x14ac:dyDescent="0.3">
      <c r="A1506" s="95">
        <f t="shared" si="23"/>
        <v>0</v>
      </c>
      <c r="B1506" s="106" t="s">
        <v>1474</v>
      </c>
      <c r="C1506" s="95" t="s">
        <v>2901</v>
      </c>
      <c r="D1506" s="106">
        <v>12</v>
      </c>
      <c r="E1506" s="107">
        <v>1</v>
      </c>
      <c r="F1506" s="107" t="s">
        <v>2959</v>
      </c>
      <c r="G1506" s="107" t="s">
        <v>2964</v>
      </c>
      <c r="H1506" s="107" t="s">
        <v>2976</v>
      </c>
      <c r="I1506" s="107" t="s">
        <v>2996</v>
      </c>
      <c r="J1506" s="107" t="s">
        <v>2996</v>
      </c>
      <c r="K1506" s="107" t="s">
        <v>2996</v>
      </c>
      <c r="L1506" s="107">
        <v>71.739999999999995</v>
      </c>
      <c r="M1506" s="107"/>
    </row>
    <row r="1507" spans="1:13" x14ac:dyDescent="0.3">
      <c r="A1507" s="95">
        <f t="shared" si="23"/>
        <v>0</v>
      </c>
      <c r="B1507" s="106" t="s">
        <v>1475</v>
      </c>
      <c r="C1507" s="95" t="s">
        <v>2902</v>
      </c>
      <c r="D1507" s="106">
        <v>12</v>
      </c>
      <c r="E1507" s="107">
        <v>1</v>
      </c>
      <c r="F1507" s="107" t="s">
        <v>2959</v>
      </c>
      <c r="G1507" s="107" t="s">
        <v>2964</v>
      </c>
      <c r="H1507" s="107" t="s">
        <v>2976</v>
      </c>
      <c r="I1507" s="107" t="s">
        <v>2997</v>
      </c>
      <c r="J1507" s="107" t="s">
        <v>2997</v>
      </c>
      <c r="K1507" s="107" t="s">
        <v>2996</v>
      </c>
      <c r="L1507" s="107">
        <v>21.42</v>
      </c>
      <c r="M1507" s="107"/>
    </row>
    <row r="1508" spans="1:13" x14ac:dyDescent="0.3">
      <c r="A1508" s="95">
        <f t="shared" si="23"/>
        <v>0</v>
      </c>
      <c r="B1508" s="106" t="s">
        <v>1476</v>
      </c>
      <c r="C1508" s="95" t="s">
        <v>3534</v>
      </c>
      <c r="D1508" s="106">
        <v>12</v>
      </c>
      <c r="E1508" s="107">
        <v>1</v>
      </c>
      <c r="F1508" s="107" t="s">
        <v>2959</v>
      </c>
      <c r="G1508" s="107" t="s">
        <v>2964</v>
      </c>
      <c r="H1508" s="107" t="s">
        <v>2976</v>
      </c>
      <c r="I1508" s="107" t="s">
        <v>2996</v>
      </c>
      <c r="J1508" s="107" t="s">
        <v>2996</v>
      </c>
      <c r="K1508" s="107" t="s">
        <v>2996</v>
      </c>
      <c r="L1508" s="107">
        <v>56.75</v>
      </c>
      <c r="M1508" s="107"/>
    </row>
    <row r="1509" spans="1:13" x14ac:dyDescent="0.3">
      <c r="A1509" s="95">
        <f t="shared" si="23"/>
        <v>0</v>
      </c>
      <c r="B1509" s="106" t="s">
        <v>3191</v>
      </c>
      <c r="C1509" s="95" t="s">
        <v>3392</v>
      </c>
      <c r="D1509" s="106">
        <v>12</v>
      </c>
      <c r="E1509" s="107">
        <v>1</v>
      </c>
      <c r="F1509" s="107" t="s">
        <v>2959</v>
      </c>
      <c r="G1509" s="107" t="s">
        <v>2966</v>
      </c>
      <c r="H1509" s="107" t="s">
        <v>2984</v>
      </c>
      <c r="I1509" s="107" t="s">
        <v>2996</v>
      </c>
      <c r="J1509" s="107" t="s">
        <v>2996</v>
      </c>
      <c r="K1509" s="107" t="s">
        <v>2996</v>
      </c>
      <c r="L1509" s="107">
        <v>51.71</v>
      </c>
      <c r="M1509" s="107"/>
    </row>
    <row r="1510" spans="1:13" x14ac:dyDescent="0.3">
      <c r="A1510" s="95">
        <f t="shared" si="23"/>
        <v>0</v>
      </c>
      <c r="B1510" s="106" t="s">
        <v>1477</v>
      </c>
      <c r="C1510" s="95" t="s">
        <v>3655</v>
      </c>
      <c r="D1510" s="106">
        <v>12</v>
      </c>
      <c r="E1510" s="107">
        <v>1</v>
      </c>
      <c r="F1510" s="107" t="s">
        <v>2959</v>
      </c>
      <c r="G1510" s="107" t="s">
        <v>2964</v>
      </c>
      <c r="H1510" s="107" t="s">
        <v>2976</v>
      </c>
      <c r="I1510" s="107" t="s">
        <v>2997</v>
      </c>
      <c r="J1510" s="107" t="s">
        <v>2997</v>
      </c>
      <c r="K1510" s="107" t="s">
        <v>2997</v>
      </c>
      <c r="L1510" s="107">
        <v>155.80000000000001</v>
      </c>
      <c r="M1510" s="107"/>
    </row>
    <row r="1511" spans="1:13" x14ac:dyDescent="0.3">
      <c r="A1511" s="95">
        <f t="shared" si="23"/>
        <v>0</v>
      </c>
      <c r="B1511" s="106" t="s">
        <v>3192</v>
      </c>
      <c r="C1511" s="95" t="s">
        <v>3393</v>
      </c>
      <c r="D1511" s="106">
        <v>12</v>
      </c>
      <c r="E1511" s="107">
        <v>1</v>
      </c>
      <c r="F1511" s="107" t="s">
        <v>2959</v>
      </c>
      <c r="G1511" s="107" t="s">
        <v>2966</v>
      </c>
      <c r="H1511" s="107" t="s">
        <v>2985</v>
      </c>
      <c r="I1511" s="107" t="s">
        <v>2996</v>
      </c>
      <c r="J1511" s="107" t="s">
        <v>2997</v>
      </c>
      <c r="K1511" s="107" t="s">
        <v>2996</v>
      </c>
      <c r="L1511" s="107">
        <v>28.24</v>
      </c>
      <c r="M1511" s="107"/>
    </row>
    <row r="1512" spans="1:13" x14ac:dyDescent="0.3">
      <c r="A1512" s="95">
        <f t="shared" si="23"/>
        <v>0</v>
      </c>
      <c r="B1512" s="106" t="s">
        <v>3193</v>
      </c>
      <c r="C1512" s="95" t="s">
        <v>3394</v>
      </c>
      <c r="D1512" s="106">
        <v>12</v>
      </c>
      <c r="E1512" s="107">
        <v>1</v>
      </c>
      <c r="F1512" s="107" t="s">
        <v>2959</v>
      </c>
      <c r="G1512" s="107" t="s">
        <v>2966</v>
      </c>
      <c r="H1512" s="107" t="s">
        <v>2985</v>
      </c>
      <c r="I1512" s="107" t="s">
        <v>2997</v>
      </c>
      <c r="J1512" s="107" t="s">
        <v>2997</v>
      </c>
      <c r="K1512" s="107" t="s">
        <v>2996</v>
      </c>
      <c r="L1512" s="107">
        <v>35.46</v>
      </c>
      <c r="M1512" s="107"/>
    </row>
    <row r="1513" spans="1:13" x14ac:dyDescent="0.3">
      <c r="A1513" s="95">
        <f t="shared" si="23"/>
        <v>0</v>
      </c>
      <c r="B1513" s="106" t="s">
        <v>1478</v>
      </c>
      <c r="C1513" s="95" t="s">
        <v>2903</v>
      </c>
      <c r="D1513" s="106">
        <v>12</v>
      </c>
      <c r="E1513" s="107">
        <v>1</v>
      </c>
      <c r="F1513" s="107" t="s">
        <v>2959</v>
      </c>
      <c r="G1513" s="107" t="s">
        <v>2965</v>
      </c>
      <c r="H1513" s="107" t="s">
        <v>2965</v>
      </c>
      <c r="I1513" s="107" t="s">
        <v>2996</v>
      </c>
      <c r="J1513" s="107" t="s">
        <v>2996</v>
      </c>
      <c r="K1513" s="107" t="s">
        <v>2996</v>
      </c>
      <c r="L1513" s="107">
        <v>51.71</v>
      </c>
      <c r="M1513" s="107"/>
    </row>
    <row r="1514" spans="1:13" x14ac:dyDescent="0.3">
      <c r="A1514" s="95">
        <f t="shared" si="23"/>
        <v>0</v>
      </c>
      <c r="B1514" s="106" t="s">
        <v>1479</v>
      </c>
      <c r="C1514" s="95" t="s">
        <v>2904</v>
      </c>
      <c r="D1514" s="106">
        <v>12</v>
      </c>
      <c r="E1514" s="107">
        <v>1</v>
      </c>
      <c r="F1514" s="107" t="s">
        <v>2959</v>
      </c>
      <c r="G1514" s="107" t="s">
        <v>2960</v>
      </c>
      <c r="H1514" s="107" t="s">
        <v>2983</v>
      </c>
      <c r="I1514" s="107" t="s">
        <v>2997</v>
      </c>
      <c r="J1514" s="107" t="s">
        <v>2997</v>
      </c>
      <c r="K1514" s="107" t="s">
        <v>2997</v>
      </c>
      <c r="L1514" s="107">
        <v>161.53</v>
      </c>
      <c r="M1514" s="107">
        <v>2</v>
      </c>
    </row>
    <row r="1515" spans="1:13" x14ac:dyDescent="0.3">
      <c r="A1515" s="95">
        <f t="shared" si="23"/>
        <v>0</v>
      </c>
      <c r="B1515" s="106" t="s">
        <v>1480</v>
      </c>
      <c r="C1515" s="95" t="s">
        <v>2905</v>
      </c>
      <c r="D1515" s="106">
        <v>12</v>
      </c>
      <c r="E1515" s="107">
        <v>1</v>
      </c>
      <c r="F1515" s="107" t="s">
        <v>2959</v>
      </c>
      <c r="G1515" s="107" t="s">
        <v>2964</v>
      </c>
      <c r="H1515" s="107" t="s">
        <v>2976</v>
      </c>
      <c r="I1515" s="107" t="s">
        <v>2997</v>
      </c>
      <c r="J1515" s="107" t="s">
        <v>2997</v>
      </c>
      <c r="K1515" s="107" t="s">
        <v>2997</v>
      </c>
      <c r="L1515" s="107">
        <v>198.57</v>
      </c>
      <c r="M1515" s="107">
        <v>1</v>
      </c>
    </row>
    <row r="1516" spans="1:13" x14ac:dyDescent="0.3">
      <c r="A1516" s="95">
        <f t="shared" si="23"/>
        <v>0</v>
      </c>
      <c r="B1516" s="106" t="s">
        <v>1481</v>
      </c>
      <c r="C1516" s="95" t="s">
        <v>2906</v>
      </c>
      <c r="D1516" s="106">
        <v>12</v>
      </c>
      <c r="E1516" s="107">
        <v>1</v>
      </c>
      <c r="F1516" s="107" t="s">
        <v>2958</v>
      </c>
      <c r="G1516" s="107" t="s">
        <v>2961</v>
      </c>
      <c r="H1516" s="107" t="s">
        <v>2991</v>
      </c>
      <c r="I1516" s="107" t="s">
        <v>2997</v>
      </c>
      <c r="J1516" s="107" t="s">
        <v>2997</v>
      </c>
      <c r="K1516" s="107" t="s">
        <v>2997</v>
      </c>
      <c r="L1516" s="107">
        <v>186.5</v>
      </c>
      <c r="M1516" s="107"/>
    </row>
    <row r="1517" spans="1:13" x14ac:dyDescent="0.3">
      <c r="A1517" s="95">
        <f t="shared" si="23"/>
        <v>0</v>
      </c>
      <c r="B1517" s="106" t="s">
        <v>1482</v>
      </c>
      <c r="C1517" s="95" t="s">
        <v>2907</v>
      </c>
      <c r="D1517" s="106">
        <v>12</v>
      </c>
      <c r="E1517" s="107">
        <v>1</v>
      </c>
      <c r="F1517" s="107" t="s">
        <v>2958</v>
      </c>
      <c r="G1517" s="107" t="s">
        <v>2965</v>
      </c>
      <c r="H1517" s="107" t="s">
        <v>2965</v>
      </c>
      <c r="I1517" s="107" t="s">
        <v>2997</v>
      </c>
      <c r="J1517" s="107" t="s">
        <v>2997</v>
      </c>
      <c r="K1517" s="107" t="s">
        <v>2996</v>
      </c>
      <c r="L1517" s="107">
        <v>100.89</v>
      </c>
      <c r="M1517" s="107"/>
    </row>
    <row r="1518" spans="1:13" x14ac:dyDescent="0.3">
      <c r="A1518" s="95">
        <f t="shared" si="23"/>
        <v>0</v>
      </c>
      <c r="B1518" s="106" t="s">
        <v>3194</v>
      </c>
      <c r="C1518" s="95" t="s">
        <v>3395</v>
      </c>
      <c r="D1518" s="106">
        <v>12</v>
      </c>
      <c r="E1518" s="107">
        <v>1</v>
      </c>
      <c r="F1518" s="107" t="s">
        <v>2959</v>
      </c>
      <c r="G1518" s="107" t="s">
        <v>2964</v>
      </c>
      <c r="H1518" s="107" t="s">
        <v>2976</v>
      </c>
      <c r="I1518" s="107" t="s">
        <v>2996</v>
      </c>
      <c r="J1518" s="107" t="s">
        <v>2996</v>
      </c>
      <c r="K1518" s="107" t="s">
        <v>2996</v>
      </c>
      <c r="L1518" s="107">
        <v>41.52</v>
      </c>
      <c r="M1518" s="107">
        <v>1</v>
      </c>
    </row>
    <row r="1519" spans="1:13" x14ac:dyDescent="0.3">
      <c r="A1519" s="95">
        <f t="shared" si="23"/>
        <v>0</v>
      </c>
      <c r="B1519" s="106" t="s">
        <v>1483</v>
      </c>
      <c r="C1519" s="95" t="s">
        <v>2908</v>
      </c>
      <c r="D1519" s="106">
        <v>12</v>
      </c>
      <c r="E1519" s="107">
        <v>1</v>
      </c>
      <c r="F1519" s="107" t="s">
        <v>2959</v>
      </c>
      <c r="G1519" s="107" t="s">
        <v>2960</v>
      </c>
      <c r="H1519" s="107" t="s">
        <v>2983</v>
      </c>
      <c r="I1519" s="107" t="s">
        <v>2997</v>
      </c>
      <c r="J1519" s="107" t="s">
        <v>2997</v>
      </c>
      <c r="K1519" s="107" t="s">
        <v>2997</v>
      </c>
      <c r="L1519" s="107">
        <v>125.27</v>
      </c>
      <c r="M1519" s="107">
        <v>1</v>
      </c>
    </row>
    <row r="1520" spans="1:13" x14ac:dyDescent="0.3">
      <c r="A1520" s="95">
        <f t="shared" si="23"/>
        <v>0</v>
      </c>
      <c r="B1520" s="106" t="s">
        <v>1484</v>
      </c>
      <c r="C1520" s="95" t="s">
        <v>2909</v>
      </c>
      <c r="D1520" s="106">
        <v>12</v>
      </c>
      <c r="E1520" s="107">
        <v>1</v>
      </c>
      <c r="F1520" s="107" t="s">
        <v>2958</v>
      </c>
      <c r="G1520" s="107" t="s">
        <v>2964</v>
      </c>
      <c r="H1520" s="107" t="s">
        <v>2976</v>
      </c>
      <c r="I1520" s="107" t="s">
        <v>2996</v>
      </c>
      <c r="J1520" s="107" t="s">
        <v>2996</v>
      </c>
      <c r="K1520" s="107" t="s">
        <v>2996</v>
      </c>
      <c r="L1520" s="107">
        <v>139.21</v>
      </c>
      <c r="M1520" s="107">
        <v>2</v>
      </c>
    </row>
    <row r="1521" spans="1:13" x14ac:dyDescent="0.3">
      <c r="A1521" s="95">
        <f t="shared" si="23"/>
        <v>0</v>
      </c>
      <c r="B1521" s="106" t="s">
        <v>1485</v>
      </c>
      <c r="C1521" s="95" t="s">
        <v>2910</v>
      </c>
      <c r="D1521" s="106">
        <v>12</v>
      </c>
      <c r="E1521" s="107">
        <v>1</v>
      </c>
      <c r="F1521" s="107" t="s">
        <v>2959</v>
      </c>
      <c r="G1521" s="107" t="s">
        <v>2964</v>
      </c>
      <c r="H1521" s="107" t="s">
        <v>2976</v>
      </c>
      <c r="I1521" s="107" t="s">
        <v>2997</v>
      </c>
      <c r="J1521" s="107" t="s">
        <v>2997</v>
      </c>
      <c r="K1521" s="107" t="s">
        <v>2996</v>
      </c>
      <c r="L1521" s="107">
        <v>43.82</v>
      </c>
      <c r="M1521" s="107"/>
    </row>
    <row r="1522" spans="1:13" x14ac:dyDescent="0.3">
      <c r="A1522" s="95">
        <f t="shared" si="23"/>
        <v>0</v>
      </c>
      <c r="B1522" s="106" t="s">
        <v>1486</v>
      </c>
      <c r="C1522" s="95" t="s">
        <v>2911</v>
      </c>
      <c r="D1522" s="106">
        <v>12</v>
      </c>
      <c r="E1522" s="107">
        <v>1</v>
      </c>
      <c r="F1522" s="107" t="s">
        <v>2958</v>
      </c>
      <c r="G1522" s="107" t="s">
        <v>2961</v>
      </c>
      <c r="H1522" s="107" t="s">
        <v>2981</v>
      </c>
      <c r="I1522" s="107" t="s">
        <v>2997</v>
      </c>
      <c r="J1522" s="107" t="s">
        <v>2997</v>
      </c>
      <c r="K1522" s="107" t="s">
        <v>2997</v>
      </c>
      <c r="L1522" s="107">
        <v>696.68</v>
      </c>
      <c r="M1522" s="107">
        <v>1</v>
      </c>
    </row>
    <row r="1523" spans="1:13" x14ac:dyDescent="0.3">
      <c r="A1523" s="95">
        <f t="shared" si="23"/>
        <v>0</v>
      </c>
      <c r="B1523" s="106" t="s">
        <v>1487</v>
      </c>
      <c r="C1523" s="95" t="s">
        <v>2912</v>
      </c>
      <c r="D1523" s="106">
        <v>12</v>
      </c>
      <c r="E1523" s="107">
        <v>1</v>
      </c>
      <c r="F1523" s="107" t="s">
        <v>2958</v>
      </c>
      <c r="G1523" s="107" t="s">
        <v>2961</v>
      </c>
      <c r="H1523" s="107" t="s">
        <v>2972</v>
      </c>
      <c r="I1523" s="107" t="s">
        <v>2996</v>
      </c>
      <c r="J1523" s="107" t="s">
        <v>2996</v>
      </c>
      <c r="K1523" s="107" t="s">
        <v>2996</v>
      </c>
      <c r="L1523" s="107">
        <v>13.7</v>
      </c>
      <c r="M1523" s="107"/>
    </row>
    <row r="1524" spans="1:13" x14ac:dyDescent="0.3">
      <c r="A1524" s="95">
        <f t="shared" si="23"/>
        <v>0</v>
      </c>
      <c r="B1524" s="106" t="s">
        <v>1488</v>
      </c>
      <c r="C1524" s="95" t="s">
        <v>2913</v>
      </c>
      <c r="D1524" s="106">
        <v>12</v>
      </c>
      <c r="E1524" s="107">
        <v>1</v>
      </c>
      <c r="F1524" s="107" t="s">
        <v>2959</v>
      </c>
      <c r="G1524" s="107" t="s">
        <v>2966</v>
      </c>
      <c r="H1524" s="107" t="s">
        <v>2978</v>
      </c>
      <c r="I1524" s="107" t="s">
        <v>2997</v>
      </c>
      <c r="J1524" s="107" t="s">
        <v>2997</v>
      </c>
      <c r="K1524" s="107" t="s">
        <v>2996</v>
      </c>
      <c r="L1524" s="107">
        <v>30.77</v>
      </c>
      <c r="M1524" s="107"/>
    </row>
    <row r="1525" spans="1:13" x14ac:dyDescent="0.3">
      <c r="A1525" s="95">
        <f t="shared" si="23"/>
        <v>0</v>
      </c>
      <c r="B1525" s="106" t="s">
        <v>1489</v>
      </c>
      <c r="C1525" s="95" t="s">
        <v>2914</v>
      </c>
      <c r="D1525" s="106">
        <v>12</v>
      </c>
      <c r="E1525" s="107">
        <v>1</v>
      </c>
      <c r="F1525" s="107" t="s">
        <v>2959</v>
      </c>
      <c r="G1525" s="107" t="s">
        <v>2964</v>
      </c>
      <c r="H1525" s="107" t="s">
        <v>2976</v>
      </c>
      <c r="I1525" s="107" t="s">
        <v>2997</v>
      </c>
      <c r="J1525" s="107" t="s">
        <v>2997</v>
      </c>
      <c r="K1525" s="107" t="s">
        <v>2997</v>
      </c>
      <c r="L1525" s="107">
        <v>44.6</v>
      </c>
      <c r="M1525" s="107">
        <v>2</v>
      </c>
    </row>
    <row r="1526" spans="1:13" x14ac:dyDescent="0.3">
      <c r="A1526" s="95">
        <f t="shared" si="23"/>
        <v>0</v>
      </c>
      <c r="B1526" s="106" t="s">
        <v>3195</v>
      </c>
      <c r="C1526" s="95" t="s">
        <v>3396</v>
      </c>
      <c r="D1526" s="106">
        <v>12</v>
      </c>
      <c r="E1526" s="107">
        <v>1</v>
      </c>
      <c r="F1526" s="107" t="s">
        <v>2959</v>
      </c>
      <c r="G1526" s="107" t="s">
        <v>2965</v>
      </c>
      <c r="H1526" s="107" t="s">
        <v>2965</v>
      </c>
      <c r="I1526" s="107" t="s">
        <v>2996</v>
      </c>
      <c r="J1526" s="107" t="s">
        <v>2996</v>
      </c>
      <c r="K1526" s="107" t="s">
        <v>2996</v>
      </c>
      <c r="L1526" s="107">
        <v>31.1</v>
      </c>
      <c r="M1526" s="107">
        <v>1</v>
      </c>
    </row>
    <row r="1527" spans="1:13" x14ac:dyDescent="0.3">
      <c r="A1527" s="95">
        <f t="shared" si="23"/>
        <v>0</v>
      </c>
      <c r="B1527" s="106" t="s">
        <v>3196</v>
      </c>
      <c r="C1527" s="95" t="s">
        <v>3397</v>
      </c>
      <c r="D1527" s="106">
        <v>12</v>
      </c>
      <c r="E1527" s="107">
        <v>1</v>
      </c>
      <c r="F1527" s="107" t="s">
        <v>2959</v>
      </c>
      <c r="G1527" s="107" t="s">
        <v>2966</v>
      </c>
      <c r="H1527" s="107" t="s">
        <v>2984</v>
      </c>
      <c r="I1527" s="107" t="s">
        <v>2997</v>
      </c>
      <c r="J1527" s="107" t="s">
        <v>2997</v>
      </c>
      <c r="K1527" s="107" t="s">
        <v>2997</v>
      </c>
      <c r="L1527" s="107">
        <v>139.05000000000001</v>
      </c>
      <c r="M1527" s="107"/>
    </row>
    <row r="1528" spans="1:13" x14ac:dyDescent="0.3">
      <c r="A1528" s="95">
        <f t="shared" si="23"/>
        <v>0</v>
      </c>
      <c r="B1528" s="106" t="s">
        <v>1490</v>
      </c>
      <c r="C1528" s="95" t="s">
        <v>2915</v>
      </c>
      <c r="D1528" s="106">
        <v>12</v>
      </c>
      <c r="E1528" s="107">
        <v>1</v>
      </c>
      <c r="F1528" s="107" t="s">
        <v>2959</v>
      </c>
      <c r="G1528" s="107" t="s">
        <v>2966</v>
      </c>
      <c r="H1528" s="107" t="s">
        <v>2984</v>
      </c>
      <c r="I1528" s="107" t="s">
        <v>2997</v>
      </c>
      <c r="J1528" s="107" t="s">
        <v>2997</v>
      </c>
      <c r="K1528" s="107" t="s">
        <v>2997</v>
      </c>
      <c r="L1528" s="107">
        <v>106.24</v>
      </c>
      <c r="M1528" s="107">
        <v>3</v>
      </c>
    </row>
    <row r="1529" spans="1:13" x14ac:dyDescent="0.3">
      <c r="A1529" s="95">
        <f t="shared" si="23"/>
        <v>0</v>
      </c>
      <c r="B1529" s="106" t="s">
        <v>1491</v>
      </c>
      <c r="C1529" s="95" t="s">
        <v>2916</v>
      </c>
      <c r="D1529" s="106">
        <v>12</v>
      </c>
      <c r="E1529" s="107">
        <v>1</v>
      </c>
      <c r="F1529" s="107" t="s">
        <v>2959</v>
      </c>
      <c r="G1529" s="107" t="s">
        <v>2966</v>
      </c>
      <c r="H1529" s="107" t="s">
        <v>2978</v>
      </c>
      <c r="I1529" s="107" t="s">
        <v>2997</v>
      </c>
      <c r="J1529" s="107" t="s">
        <v>2997</v>
      </c>
      <c r="K1529" s="107" t="s">
        <v>2996</v>
      </c>
      <c r="L1529" s="107">
        <v>22.61</v>
      </c>
      <c r="M1529" s="107"/>
    </row>
    <row r="1530" spans="1:13" x14ac:dyDescent="0.3">
      <c r="A1530" s="95">
        <f t="shared" si="23"/>
        <v>0</v>
      </c>
      <c r="B1530" s="106" t="s">
        <v>1492</v>
      </c>
      <c r="C1530" s="95" t="s">
        <v>2917</v>
      </c>
      <c r="D1530" s="106">
        <v>12</v>
      </c>
      <c r="E1530" s="107">
        <v>1</v>
      </c>
      <c r="F1530" s="107" t="s">
        <v>2959</v>
      </c>
      <c r="G1530" s="107" t="s">
        <v>2966</v>
      </c>
      <c r="H1530" s="107" t="s">
        <v>2978</v>
      </c>
      <c r="I1530" s="107" t="s">
        <v>2997</v>
      </c>
      <c r="J1530" s="107" t="s">
        <v>2997</v>
      </c>
      <c r="K1530" s="107" t="s">
        <v>2996</v>
      </c>
      <c r="L1530" s="107">
        <v>54.24</v>
      </c>
      <c r="M1530" s="107"/>
    </row>
    <row r="1531" spans="1:13" x14ac:dyDescent="0.3">
      <c r="A1531" s="95">
        <f t="shared" si="23"/>
        <v>0</v>
      </c>
      <c r="B1531" s="106" t="s">
        <v>1493</v>
      </c>
      <c r="C1531" s="95" t="s">
        <v>2918</v>
      </c>
      <c r="D1531" s="106">
        <v>12</v>
      </c>
      <c r="E1531" s="107">
        <v>1</v>
      </c>
      <c r="F1531" s="107" t="s">
        <v>2959</v>
      </c>
      <c r="G1531" s="107" t="s">
        <v>2964</v>
      </c>
      <c r="H1531" s="107" t="s">
        <v>2976</v>
      </c>
      <c r="I1531" s="107" t="s">
        <v>2996</v>
      </c>
      <c r="J1531" s="107" t="s">
        <v>2996</v>
      </c>
      <c r="K1531" s="107" t="s">
        <v>2996</v>
      </c>
      <c r="L1531" s="107">
        <v>19.96</v>
      </c>
      <c r="M1531" s="107"/>
    </row>
    <row r="1532" spans="1:13" x14ac:dyDescent="0.3">
      <c r="A1532" s="95">
        <f t="shared" si="23"/>
        <v>0</v>
      </c>
      <c r="B1532" s="106" t="s">
        <v>1494</v>
      </c>
      <c r="C1532" s="95" t="s">
        <v>2919</v>
      </c>
      <c r="D1532" s="106">
        <v>12</v>
      </c>
      <c r="E1532" s="107">
        <v>1</v>
      </c>
      <c r="F1532" s="107" t="s">
        <v>2959</v>
      </c>
      <c r="G1532" s="107" t="s">
        <v>2964</v>
      </c>
      <c r="H1532" s="107" t="s">
        <v>2976</v>
      </c>
      <c r="I1532" s="107" t="s">
        <v>2996</v>
      </c>
      <c r="J1532" s="107" t="s">
        <v>2996</v>
      </c>
      <c r="K1532" s="107" t="s">
        <v>2996</v>
      </c>
      <c r="L1532" s="107">
        <v>73.03</v>
      </c>
      <c r="M1532" s="107">
        <v>1</v>
      </c>
    </row>
    <row r="1533" spans="1:13" x14ac:dyDescent="0.3">
      <c r="A1533" s="95">
        <f t="shared" si="23"/>
        <v>0</v>
      </c>
      <c r="B1533" s="106" t="s">
        <v>1495</v>
      </c>
      <c r="C1533" s="95" t="s">
        <v>2920</v>
      </c>
      <c r="D1533" s="106">
        <v>12</v>
      </c>
      <c r="E1533" s="107">
        <v>1</v>
      </c>
      <c r="F1533" s="107" t="s">
        <v>2959</v>
      </c>
      <c r="G1533" s="107" t="s">
        <v>2966</v>
      </c>
      <c r="H1533" s="107" t="s">
        <v>2985</v>
      </c>
      <c r="I1533" s="107" t="s">
        <v>2997</v>
      </c>
      <c r="J1533" s="107" t="s">
        <v>2997</v>
      </c>
      <c r="K1533" s="107" t="s">
        <v>2997</v>
      </c>
      <c r="L1533" s="107">
        <v>302.37</v>
      </c>
      <c r="M1533" s="107">
        <v>2</v>
      </c>
    </row>
    <row r="1534" spans="1:13" x14ac:dyDescent="0.3">
      <c r="A1534" s="95">
        <f t="shared" si="23"/>
        <v>0</v>
      </c>
      <c r="B1534" s="106" t="s">
        <v>3197</v>
      </c>
      <c r="C1534" s="95" t="s">
        <v>3398</v>
      </c>
      <c r="D1534" s="106">
        <v>12</v>
      </c>
      <c r="E1534" s="107">
        <v>1</v>
      </c>
      <c r="F1534" s="107" t="s">
        <v>2959</v>
      </c>
      <c r="G1534" s="107" t="s">
        <v>2964</v>
      </c>
      <c r="H1534" s="107" t="s">
        <v>2976</v>
      </c>
      <c r="I1534" s="107" t="s">
        <v>2997</v>
      </c>
      <c r="J1534" s="107" t="s">
        <v>2997</v>
      </c>
      <c r="K1534" s="107" t="s">
        <v>2997</v>
      </c>
      <c r="L1534" s="107">
        <v>55.24</v>
      </c>
      <c r="M1534" s="107"/>
    </row>
    <row r="1535" spans="1:13" x14ac:dyDescent="0.3">
      <c r="A1535" s="95">
        <f t="shared" si="23"/>
        <v>0</v>
      </c>
      <c r="B1535" s="106" t="s">
        <v>3198</v>
      </c>
      <c r="C1535" s="95" t="s">
        <v>3399</v>
      </c>
      <c r="D1535" s="106">
        <v>12</v>
      </c>
      <c r="E1535" s="107">
        <v>1</v>
      </c>
      <c r="F1535" s="107" t="s">
        <v>2959</v>
      </c>
      <c r="G1535" s="107" t="s">
        <v>2964</v>
      </c>
      <c r="H1535" s="107" t="s">
        <v>2976</v>
      </c>
      <c r="I1535" s="107" t="s">
        <v>2996</v>
      </c>
      <c r="J1535" s="107" t="s">
        <v>2996</v>
      </c>
      <c r="K1535" s="107" t="s">
        <v>2996</v>
      </c>
      <c r="L1535" s="107">
        <v>134.81</v>
      </c>
      <c r="M1535" s="107">
        <v>1</v>
      </c>
    </row>
    <row r="1536" spans="1:13" x14ac:dyDescent="0.3">
      <c r="A1536" s="95">
        <f t="shared" si="23"/>
        <v>0</v>
      </c>
      <c r="B1536" s="106" t="s">
        <v>1496</v>
      </c>
      <c r="C1536" s="95" t="s">
        <v>2921</v>
      </c>
      <c r="D1536" s="106">
        <v>12</v>
      </c>
      <c r="E1536" s="107">
        <v>1</v>
      </c>
      <c r="F1536" s="107" t="s">
        <v>2958</v>
      </c>
      <c r="G1536" s="107" t="s">
        <v>2961</v>
      </c>
      <c r="H1536" s="107" t="s">
        <v>2971</v>
      </c>
      <c r="I1536" s="107" t="s">
        <v>2997</v>
      </c>
      <c r="J1536" s="107" t="s">
        <v>2997</v>
      </c>
      <c r="K1536" s="107" t="s">
        <v>2997</v>
      </c>
      <c r="L1536" s="107">
        <v>26.36</v>
      </c>
      <c r="M1536" s="107"/>
    </row>
    <row r="1537" spans="1:13" x14ac:dyDescent="0.3">
      <c r="A1537" s="95">
        <f t="shared" si="23"/>
        <v>0</v>
      </c>
      <c r="B1537" s="106" t="s">
        <v>1497</v>
      </c>
      <c r="C1537" s="95" t="s">
        <v>2922</v>
      </c>
      <c r="D1537" s="106">
        <v>12</v>
      </c>
      <c r="E1537" s="107">
        <v>1</v>
      </c>
      <c r="F1537" s="107" t="s">
        <v>2959</v>
      </c>
      <c r="G1537" s="107" t="s">
        <v>2966</v>
      </c>
      <c r="H1537" s="107" t="s">
        <v>2978</v>
      </c>
      <c r="I1537" s="107" t="s">
        <v>2997</v>
      </c>
      <c r="J1537" s="107" t="s">
        <v>2997</v>
      </c>
      <c r="K1537" s="107" t="s">
        <v>2997</v>
      </c>
      <c r="L1537" s="107">
        <v>88.52</v>
      </c>
      <c r="M1537" s="107">
        <v>1</v>
      </c>
    </row>
    <row r="1538" spans="1:13" x14ac:dyDescent="0.3">
      <c r="A1538" s="95">
        <f t="shared" si="23"/>
        <v>0</v>
      </c>
      <c r="B1538" s="106" t="s">
        <v>1498</v>
      </c>
      <c r="C1538" s="95" t="s">
        <v>2923</v>
      </c>
      <c r="D1538" s="106">
        <v>12</v>
      </c>
      <c r="E1538" s="107">
        <v>1</v>
      </c>
      <c r="F1538" s="107" t="s">
        <v>2959</v>
      </c>
      <c r="G1538" s="107" t="s">
        <v>2964</v>
      </c>
      <c r="H1538" s="107" t="s">
        <v>2976</v>
      </c>
      <c r="I1538" s="107" t="s">
        <v>2996</v>
      </c>
      <c r="J1538" s="107" t="s">
        <v>2996</v>
      </c>
      <c r="K1538" s="107" t="s">
        <v>2996</v>
      </c>
      <c r="L1538" s="107">
        <v>72.19</v>
      </c>
      <c r="M1538" s="107"/>
    </row>
    <row r="1539" spans="1:13" x14ac:dyDescent="0.3">
      <c r="A1539" s="95">
        <f t="shared" si="23"/>
        <v>0</v>
      </c>
      <c r="B1539" s="106" t="s">
        <v>1499</v>
      </c>
      <c r="C1539" s="95" t="s">
        <v>2924</v>
      </c>
      <c r="D1539" s="106">
        <v>12</v>
      </c>
      <c r="E1539" s="107">
        <v>1</v>
      </c>
      <c r="F1539" s="107" t="s">
        <v>2958</v>
      </c>
      <c r="G1539" s="107" t="s">
        <v>2965</v>
      </c>
      <c r="H1539" s="107" t="s">
        <v>2965</v>
      </c>
      <c r="I1539" s="107" t="s">
        <v>2997</v>
      </c>
      <c r="J1539" s="107" t="s">
        <v>2997</v>
      </c>
      <c r="K1539" s="107" t="s">
        <v>2997</v>
      </c>
      <c r="L1539" s="107">
        <v>141.24</v>
      </c>
      <c r="M1539" s="107"/>
    </row>
    <row r="1540" spans="1:13" x14ac:dyDescent="0.3">
      <c r="A1540" s="95">
        <f t="shared" si="23"/>
        <v>0</v>
      </c>
      <c r="B1540" s="106" t="s">
        <v>1500</v>
      </c>
      <c r="C1540" s="95" t="s">
        <v>2925</v>
      </c>
      <c r="D1540" s="106">
        <v>12</v>
      </c>
      <c r="E1540" s="107">
        <v>1</v>
      </c>
      <c r="F1540" s="107" t="s">
        <v>2958</v>
      </c>
      <c r="G1540" s="107" t="s">
        <v>2961</v>
      </c>
      <c r="H1540" s="107" t="s">
        <v>2972</v>
      </c>
      <c r="I1540" s="107" t="s">
        <v>2997</v>
      </c>
      <c r="J1540" s="107" t="s">
        <v>2997</v>
      </c>
      <c r="K1540" s="107" t="s">
        <v>2996</v>
      </c>
      <c r="L1540" s="107">
        <v>78.88</v>
      </c>
      <c r="M1540" s="107"/>
    </row>
    <row r="1541" spans="1:13" x14ac:dyDescent="0.3">
      <c r="A1541" s="95">
        <f t="shared" si="23"/>
        <v>0</v>
      </c>
      <c r="B1541" s="106" t="s">
        <v>3199</v>
      </c>
      <c r="C1541" s="95" t="s">
        <v>3400</v>
      </c>
      <c r="D1541" s="106">
        <v>12</v>
      </c>
      <c r="E1541" s="107">
        <v>1</v>
      </c>
      <c r="F1541" s="107" t="s">
        <v>2958</v>
      </c>
      <c r="G1541" s="107" t="s">
        <v>2960</v>
      </c>
      <c r="H1541" s="107" t="s">
        <v>2970</v>
      </c>
      <c r="I1541" s="107" t="s">
        <v>2996</v>
      </c>
      <c r="J1541" s="107" t="s">
        <v>2996</v>
      </c>
      <c r="K1541" s="107" t="s">
        <v>2996</v>
      </c>
      <c r="L1541" s="107">
        <v>251.55</v>
      </c>
      <c r="M1541" s="107">
        <v>4</v>
      </c>
    </row>
    <row r="1542" spans="1:13" x14ac:dyDescent="0.3">
      <c r="A1542" s="95">
        <f t="shared" si="23"/>
        <v>0</v>
      </c>
      <c r="B1542" s="106" t="s">
        <v>1501</v>
      </c>
      <c r="C1542" s="95" t="s">
        <v>2926</v>
      </c>
      <c r="D1542" s="106">
        <v>12</v>
      </c>
      <c r="E1542" s="107">
        <v>1</v>
      </c>
      <c r="F1542" s="107" t="s">
        <v>2959</v>
      </c>
      <c r="G1542" s="107" t="s">
        <v>2965</v>
      </c>
      <c r="H1542" s="107" t="s">
        <v>2965</v>
      </c>
      <c r="I1542" s="107" t="s">
        <v>2997</v>
      </c>
      <c r="J1542" s="107" t="s">
        <v>2997</v>
      </c>
      <c r="K1542" s="107" t="s">
        <v>2997</v>
      </c>
      <c r="L1542" s="107">
        <v>132.91</v>
      </c>
      <c r="M1542" s="107">
        <v>3</v>
      </c>
    </row>
    <row r="1543" spans="1:13" x14ac:dyDescent="0.3">
      <c r="A1543" s="95">
        <f t="shared" si="23"/>
        <v>0</v>
      </c>
      <c r="B1543" s="106" t="s">
        <v>1502</v>
      </c>
      <c r="C1543" s="95" t="s">
        <v>2927</v>
      </c>
      <c r="D1543" s="106">
        <v>12</v>
      </c>
      <c r="E1543" s="107">
        <v>1</v>
      </c>
      <c r="F1543" s="107" t="s">
        <v>2959</v>
      </c>
      <c r="G1543" s="107" t="s">
        <v>2960</v>
      </c>
      <c r="H1543" s="107" t="s">
        <v>2970</v>
      </c>
      <c r="I1543" s="107" t="s">
        <v>2996</v>
      </c>
      <c r="J1543" s="107" t="s">
        <v>2996</v>
      </c>
      <c r="K1543" s="107" t="s">
        <v>2996</v>
      </c>
      <c r="L1543" s="107">
        <v>366.47</v>
      </c>
      <c r="M1543" s="107">
        <v>6</v>
      </c>
    </row>
    <row r="1544" spans="1:13" x14ac:dyDescent="0.3">
      <c r="A1544" s="95">
        <f t="shared" si="23"/>
        <v>0</v>
      </c>
      <c r="B1544" s="106" t="s">
        <v>3200</v>
      </c>
      <c r="C1544" s="95" t="s">
        <v>3401</v>
      </c>
      <c r="D1544" s="106">
        <v>12</v>
      </c>
      <c r="E1544" s="107">
        <v>1</v>
      </c>
      <c r="F1544" s="107" t="s">
        <v>2958</v>
      </c>
      <c r="G1544" s="107" t="s">
        <v>2965</v>
      </c>
      <c r="H1544" s="107" t="s">
        <v>2965</v>
      </c>
      <c r="I1544" s="107" t="s">
        <v>2996</v>
      </c>
      <c r="J1544" s="107" t="s">
        <v>2996</v>
      </c>
      <c r="K1544" s="107" t="s">
        <v>2996</v>
      </c>
      <c r="L1544" s="107">
        <v>122.78</v>
      </c>
      <c r="M1544" s="107"/>
    </row>
    <row r="1545" spans="1:13" x14ac:dyDescent="0.3">
      <c r="A1545" s="95">
        <f t="shared" si="23"/>
        <v>1</v>
      </c>
      <c r="B1545" s="106" t="s">
        <v>1503</v>
      </c>
      <c r="C1545" s="95" t="s">
        <v>2928</v>
      </c>
      <c r="D1545" s="106">
        <v>12</v>
      </c>
      <c r="E1545" s="107">
        <v>1</v>
      </c>
      <c r="F1545" s="107" t="s">
        <v>2958</v>
      </c>
      <c r="G1545" s="107" t="s">
        <v>2965</v>
      </c>
      <c r="H1545" s="107" t="s">
        <v>2965</v>
      </c>
      <c r="I1545" s="107" t="s">
        <v>2997</v>
      </c>
      <c r="J1545" s="107" t="s">
        <v>2997</v>
      </c>
      <c r="K1545" s="107" t="s">
        <v>2997</v>
      </c>
      <c r="L1545" s="107">
        <v>643.16</v>
      </c>
      <c r="M1545" s="107">
        <v>18</v>
      </c>
    </row>
    <row r="1546" spans="1:13" x14ac:dyDescent="0.3">
      <c r="A1546" s="95">
        <f t="shared" si="23"/>
        <v>0</v>
      </c>
      <c r="B1546" s="106" t="s">
        <v>1504</v>
      </c>
      <c r="C1546" s="95" t="s">
        <v>2929</v>
      </c>
      <c r="D1546" s="106">
        <v>12</v>
      </c>
      <c r="E1546" s="107">
        <v>1</v>
      </c>
      <c r="F1546" s="107" t="s">
        <v>2959</v>
      </c>
      <c r="G1546" s="107" t="s">
        <v>2964</v>
      </c>
      <c r="H1546" s="107" t="s">
        <v>2976</v>
      </c>
      <c r="I1546" s="107" t="s">
        <v>2996</v>
      </c>
      <c r="J1546" s="107" t="s">
        <v>2996</v>
      </c>
      <c r="K1546" s="107" t="s">
        <v>2996</v>
      </c>
      <c r="L1546" s="107">
        <v>17.57</v>
      </c>
      <c r="M1546" s="107"/>
    </row>
    <row r="1547" spans="1:13" x14ac:dyDescent="0.3">
      <c r="A1547" s="95">
        <f t="shared" si="23"/>
        <v>0</v>
      </c>
      <c r="B1547" s="106" t="s">
        <v>1505</v>
      </c>
      <c r="C1547" s="95" t="s">
        <v>2930</v>
      </c>
      <c r="D1547" s="106">
        <v>12</v>
      </c>
      <c r="E1547" s="107">
        <v>1</v>
      </c>
      <c r="F1547" s="107" t="s">
        <v>2958</v>
      </c>
      <c r="G1547" s="107" t="s">
        <v>2964</v>
      </c>
      <c r="H1547" s="107" t="s">
        <v>2976</v>
      </c>
      <c r="I1547" s="107" t="s">
        <v>2997</v>
      </c>
      <c r="J1547" s="107" t="s">
        <v>2997</v>
      </c>
      <c r="K1547" s="107" t="s">
        <v>2997</v>
      </c>
      <c r="L1547" s="107">
        <v>124.22</v>
      </c>
      <c r="M1547" s="107"/>
    </row>
    <row r="1548" spans="1:13" x14ac:dyDescent="0.3">
      <c r="A1548" s="95">
        <f t="shared" si="23"/>
        <v>0</v>
      </c>
      <c r="B1548" s="106" t="s">
        <v>1506</v>
      </c>
      <c r="C1548" s="95" t="s">
        <v>2931</v>
      </c>
      <c r="D1548" s="106">
        <v>12</v>
      </c>
      <c r="E1548" s="107">
        <v>1</v>
      </c>
      <c r="F1548" s="107" t="s">
        <v>2959</v>
      </c>
      <c r="G1548" s="107" t="s">
        <v>2961</v>
      </c>
      <c r="H1548" s="107" t="s">
        <v>2971</v>
      </c>
      <c r="I1548" s="107" t="s">
        <v>2997</v>
      </c>
      <c r="J1548" s="107" t="s">
        <v>2997</v>
      </c>
      <c r="K1548" s="107" t="s">
        <v>2996</v>
      </c>
      <c r="L1548" s="107">
        <v>20.420000000000002</v>
      </c>
      <c r="M1548" s="107"/>
    </row>
    <row r="1549" spans="1:13" x14ac:dyDescent="0.3">
      <c r="A1549" s="95">
        <f t="shared" si="23"/>
        <v>0</v>
      </c>
      <c r="B1549" s="106" t="s">
        <v>1507</v>
      </c>
      <c r="C1549" s="95" t="s">
        <v>2932</v>
      </c>
      <c r="D1549" s="106">
        <v>12</v>
      </c>
      <c r="E1549" s="107">
        <v>1</v>
      </c>
      <c r="F1549" s="107" t="s">
        <v>2958</v>
      </c>
      <c r="G1549" s="107" t="s">
        <v>2966</v>
      </c>
      <c r="H1549" s="107" t="s">
        <v>2978</v>
      </c>
      <c r="I1549" s="107" t="s">
        <v>2997</v>
      </c>
      <c r="J1549" s="107" t="s">
        <v>2997</v>
      </c>
      <c r="K1549" s="107" t="s">
        <v>2996</v>
      </c>
      <c r="L1549" s="107">
        <v>20.18</v>
      </c>
      <c r="M1549" s="107"/>
    </row>
    <row r="1550" spans="1:13" x14ac:dyDescent="0.3">
      <c r="A1550" s="95">
        <f t="shared" si="23"/>
        <v>0</v>
      </c>
      <c r="B1550" s="106" t="s">
        <v>1508</v>
      </c>
      <c r="C1550" s="95" t="s">
        <v>2933</v>
      </c>
      <c r="D1550" s="106">
        <v>12</v>
      </c>
      <c r="E1550" s="107">
        <v>1</v>
      </c>
      <c r="F1550" s="107" t="s">
        <v>2958</v>
      </c>
      <c r="G1550" s="107" t="s">
        <v>2966</v>
      </c>
      <c r="H1550" s="107" t="s">
        <v>2978</v>
      </c>
      <c r="I1550" s="107" t="s">
        <v>2996</v>
      </c>
      <c r="J1550" s="107" t="s">
        <v>2996</v>
      </c>
      <c r="K1550" s="107" t="s">
        <v>2996</v>
      </c>
      <c r="L1550" s="107">
        <v>13.77</v>
      </c>
      <c r="M1550" s="107"/>
    </row>
    <row r="1551" spans="1:13" x14ac:dyDescent="0.3">
      <c r="A1551" s="95">
        <f t="shared" ref="A1551:A1614" si="24">IF(AND(E1551=1,J1551=K1551,M1551&gt;6),1,0)</f>
        <v>0</v>
      </c>
      <c r="B1551" s="106" t="s">
        <v>1509</v>
      </c>
      <c r="C1551" s="95" t="s">
        <v>2934</v>
      </c>
      <c r="D1551" s="106">
        <v>12</v>
      </c>
      <c r="E1551" s="107">
        <v>1</v>
      </c>
      <c r="F1551" s="107" t="s">
        <v>2959</v>
      </c>
      <c r="G1551" s="107" t="s">
        <v>2961</v>
      </c>
      <c r="H1551" s="107" t="s">
        <v>2981</v>
      </c>
      <c r="I1551" s="107" t="s">
        <v>2997</v>
      </c>
      <c r="J1551" s="107" t="s">
        <v>2996</v>
      </c>
      <c r="K1551" s="107" t="s">
        <v>2996</v>
      </c>
      <c r="L1551" s="107">
        <v>96.72</v>
      </c>
      <c r="M1551" s="107"/>
    </row>
    <row r="1552" spans="1:13" x14ac:dyDescent="0.3">
      <c r="A1552" s="95">
        <f t="shared" si="24"/>
        <v>0</v>
      </c>
      <c r="B1552" s="106" t="s">
        <v>3201</v>
      </c>
      <c r="C1552" s="95" t="s">
        <v>3402</v>
      </c>
      <c r="D1552" s="106">
        <v>12</v>
      </c>
      <c r="E1552" s="107">
        <v>1</v>
      </c>
      <c r="F1552" s="107" t="s">
        <v>2959</v>
      </c>
      <c r="G1552" s="107" t="s">
        <v>2964</v>
      </c>
      <c r="H1552" s="107" t="s">
        <v>2976</v>
      </c>
      <c r="I1552" s="107" t="s">
        <v>2997</v>
      </c>
      <c r="J1552" s="107" t="s">
        <v>2997</v>
      </c>
      <c r="K1552" s="107" t="s">
        <v>2997</v>
      </c>
      <c r="L1552" s="107">
        <v>72.64</v>
      </c>
      <c r="M1552" s="107">
        <v>1</v>
      </c>
    </row>
    <row r="1553" spans="1:13" x14ac:dyDescent="0.3">
      <c r="A1553" s="95">
        <f t="shared" si="24"/>
        <v>0</v>
      </c>
      <c r="B1553" s="106" t="s">
        <v>3202</v>
      </c>
      <c r="C1553" s="95" t="s">
        <v>3403</v>
      </c>
      <c r="D1553" s="106">
        <v>12</v>
      </c>
      <c r="E1553" s="107">
        <v>1</v>
      </c>
      <c r="F1553" s="107" t="s">
        <v>2959</v>
      </c>
      <c r="G1553" s="107" t="s">
        <v>2965</v>
      </c>
      <c r="H1553" s="107" t="s">
        <v>2965</v>
      </c>
      <c r="I1553" s="107" t="s">
        <v>2996</v>
      </c>
      <c r="J1553" s="107" t="s">
        <v>2996</v>
      </c>
      <c r="K1553" s="107" t="s">
        <v>2996</v>
      </c>
      <c r="L1553" s="107">
        <v>131.4</v>
      </c>
      <c r="M1553" s="107">
        <v>1</v>
      </c>
    </row>
    <row r="1554" spans="1:13" x14ac:dyDescent="0.3">
      <c r="A1554" s="95">
        <f t="shared" si="24"/>
        <v>0</v>
      </c>
      <c r="B1554" s="106" t="s">
        <v>3625</v>
      </c>
      <c r="C1554" s="95" t="s">
        <v>3656</v>
      </c>
      <c r="D1554" s="106">
        <v>12</v>
      </c>
      <c r="E1554" s="107">
        <v>1</v>
      </c>
      <c r="F1554" s="107" t="s">
        <v>2959</v>
      </c>
      <c r="G1554" s="107" t="s">
        <v>2960</v>
      </c>
      <c r="H1554" s="107" t="s">
        <v>2983</v>
      </c>
      <c r="I1554" s="107" t="s">
        <v>2997</v>
      </c>
      <c r="J1554" s="107" t="s">
        <v>2997</v>
      </c>
      <c r="K1554" s="107" t="s">
        <v>2997</v>
      </c>
      <c r="L1554" s="107">
        <v>136.47999999999999</v>
      </c>
      <c r="M1554" s="107">
        <v>1</v>
      </c>
    </row>
    <row r="1555" spans="1:13" x14ac:dyDescent="0.3">
      <c r="A1555" s="95">
        <f t="shared" si="24"/>
        <v>0</v>
      </c>
      <c r="B1555" s="106" t="s">
        <v>1510</v>
      </c>
      <c r="C1555" s="95" t="s">
        <v>2935</v>
      </c>
      <c r="D1555" s="106">
        <v>12</v>
      </c>
      <c r="E1555" s="107">
        <v>1</v>
      </c>
      <c r="F1555" s="107" t="s">
        <v>2958</v>
      </c>
      <c r="G1555" s="107" t="s">
        <v>2965</v>
      </c>
      <c r="H1555" s="107" t="s">
        <v>2965</v>
      </c>
      <c r="I1555" s="107" t="s">
        <v>2996</v>
      </c>
      <c r="J1555" s="107" t="s">
        <v>2996</v>
      </c>
      <c r="K1555" s="107" t="s">
        <v>2996</v>
      </c>
      <c r="L1555" s="107">
        <v>244.07</v>
      </c>
      <c r="M1555" s="107">
        <v>3</v>
      </c>
    </row>
    <row r="1556" spans="1:13" x14ac:dyDescent="0.3">
      <c r="A1556" s="95">
        <f t="shared" si="24"/>
        <v>0</v>
      </c>
      <c r="B1556" s="106" t="s">
        <v>3203</v>
      </c>
      <c r="C1556" s="95" t="s">
        <v>3404</v>
      </c>
      <c r="D1556" s="106">
        <v>12</v>
      </c>
      <c r="E1556" s="107">
        <v>1</v>
      </c>
      <c r="F1556" s="107" t="s">
        <v>2959</v>
      </c>
      <c r="G1556" s="107" t="s">
        <v>2965</v>
      </c>
      <c r="H1556" s="107" t="s">
        <v>2965</v>
      </c>
      <c r="I1556" s="107" t="s">
        <v>2996</v>
      </c>
      <c r="J1556" s="107" t="s">
        <v>2997</v>
      </c>
      <c r="K1556" s="107" t="s">
        <v>2997</v>
      </c>
      <c r="L1556" s="107">
        <v>210.94</v>
      </c>
      <c r="M1556" s="107">
        <v>3</v>
      </c>
    </row>
    <row r="1557" spans="1:13" x14ac:dyDescent="0.3">
      <c r="A1557" s="95">
        <f t="shared" si="24"/>
        <v>0</v>
      </c>
      <c r="B1557" s="106" t="s">
        <v>1511</v>
      </c>
      <c r="C1557" s="95" t="s">
        <v>2936</v>
      </c>
      <c r="D1557" s="106">
        <v>12</v>
      </c>
      <c r="E1557" s="107">
        <v>1</v>
      </c>
      <c r="F1557" s="107" t="s">
        <v>2959</v>
      </c>
      <c r="G1557" s="107" t="s">
        <v>2966</v>
      </c>
      <c r="H1557" s="107" t="s">
        <v>2980</v>
      </c>
      <c r="I1557" s="107" t="s">
        <v>2997</v>
      </c>
      <c r="J1557" s="107" t="s">
        <v>2997</v>
      </c>
      <c r="K1557" s="107" t="s">
        <v>2996</v>
      </c>
      <c r="L1557" s="107">
        <v>27.23</v>
      </c>
      <c r="M1557" s="107"/>
    </row>
    <row r="1558" spans="1:13" x14ac:dyDescent="0.3">
      <c r="A1558" s="95">
        <f t="shared" si="24"/>
        <v>1</v>
      </c>
      <c r="B1558" s="106" t="s">
        <v>1512</v>
      </c>
      <c r="C1558" s="95" t="s">
        <v>2937</v>
      </c>
      <c r="D1558" s="106">
        <v>12</v>
      </c>
      <c r="E1558" s="107">
        <v>1</v>
      </c>
      <c r="F1558" s="107" t="s">
        <v>2958</v>
      </c>
      <c r="G1558" s="107" t="s">
        <v>2962</v>
      </c>
      <c r="H1558" s="107" t="s">
        <v>2986</v>
      </c>
      <c r="I1558" s="107" t="s">
        <v>2997</v>
      </c>
      <c r="J1558" s="107" t="s">
        <v>2997</v>
      </c>
      <c r="K1558" s="107" t="s">
        <v>2997</v>
      </c>
      <c r="L1558" s="107">
        <v>13213.23</v>
      </c>
      <c r="M1558" s="107">
        <v>25</v>
      </c>
    </row>
    <row r="1559" spans="1:13" x14ac:dyDescent="0.3">
      <c r="A1559" s="95">
        <f t="shared" si="24"/>
        <v>0</v>
      </c>
      <c r="B1559" s="106" t="s">
        <v>1513</v>
      </c>
      <c r="C1559" s="95" t="s">
        <v>2938</v>
      </c>
      <c r="D1559" s="106">
        <v>12</v>
      </c>
      <c r="E1559" s="107">
        <v>1</v>
      </c>
      <c r="F1559" s="107" t="s">
        <v>2958</v>
      </c>
      <c r="G1559" s="107" t="s">
        <v>2961</v>
      </c>
      <c r="H1559" s="107" t="s">
        <v>2972</v>
      </c>
      <c r="I1559" s="107" t="s">
        <v>2997</v>
      </c>
      <c r="J1559" s="107" t="s">
        <v>2997</v>
      </c>
      <c r="K1559" s="107" t="s">
        <v>2997</v>
      </c>
      <c r="L1559" s="107">
        <v>666</v>
      </c>
      <c r="M1559" s="107">
        <v>1</v>
      </c>
    </row>
    <row r="1560" spans="1:13" x14ac:dyDescent="0.3">
      <c r="A1560" s="95">
        <f t="shared" si="24"/>
        <v>0</v>
      </c>
      <c r="B1560" s="106" t="s">
        <v>3204</v>
      </c>
      <c r="C1560" s="95" t="s">
        <v>3405</v>
      </c>
      <c r="D1560" s="106">
        <v>12</v>
      </c>
      <c r="E1560" s="107">
        <v>1</v>
      </c>
      <c r="F1560" s="107" t="s">
        <v>2959</v>
      </c>
      <c r="G1560" s="107" t="s">
        <v>2964</v>
      </c>
      <c r="H1560" s="107" t="s">
        <v>2976</v>
      </c>
      <c r="I1560" s="107" t="s">
        <v>2996</v>
      </c>
      <c r="J1560" s="107" t="s">
        <v>2996</v>
      </c>
      <c r="K1560" s="107" t="s">
        <v>2996</v>
      </c>
      <c r="L1560" s="107">
        <v>74.94</v>
      </c>
      <c r="M1560" s="107">
        <v>2</v>
      </c>
    </row>
    <row r="1561" spans="1:13" x14ac:dyDescent="0.3">
      <c r="A1561" s="95">
        <f t="shared" si="24"/>
        <v>0</v>
      </c>
      <c r="B1561" s="106" t="s">
        <v>3205</v>
      </c>
      <c r="C1561" s="95" t="s">
        <v>3406</v>
      </c>
      <c r="D1561" s="106">
        <v>12</v>
      </c>
      <c r="E1561" s="107">
        <v>1</v>
      </c>
      <c r="F1561" s="107" t="s">
        <v>2958</v>
      </c>
      <c r="G1561" s="107" t="s">
        <v>2964</v>
      </c>
      <c r="H1561" s="107" t="s">
        <v>2976</v>
      </c>
      <c r="I1561" s="107" t="s">
        <v>2997</v>
      </c>
      <c r="J1561" s="107" t="s">
        <v>2997</v>
      </c>
      <c r="K1561" s="107" t="s">
        <v>2997</v>
      </c>
      <c r="L1561" s="107">
        <v>145.82</v>
      </c>
      <c r="M1561" s="107">
        <v>2</v>
      </c>
    </row>
    <row r="1562" spans="1:13" x14ac:dyDescent="0.3">
      <c r="A1562" s="95">
        <f t="shared" si="24"/>
        <v>0</v>
      </c>
      <c r="B1562" s="106" t="s">
        <v>3206</v>
      </c>
      <c r="C1562" s="95" t="s">
        <v>3407</v>
      </c>
      <c r="D1562" s="106">
        <v>12</v>
      </c>
      <c r="E1562" s="107">
        <v>1</v>
      </c>
      <c r="F1562" s="107" t="s">
        <v>2959</v>
      </c>
      <c r="G1562" s="107" t="s">
        <v>2966</v>
      </c>
      <c r="H1562" s="107" t="s">
        <v>2984</v>
      </c>
      <c r="I1562" s="107" t="s">
        <v>2997</v>
      </c>
      <c r="J1562" s="107" t="s">
        <v>2997</v>
      </c>
      <c r="K1562" s="107" t="s">
        <v>2997</v>
      </c>
      <c r="L1562" s="107">
        <v>85.15</v>
      </c>
      <c r="M1562" s="107">
        <v>1</v>
      </c>
    </row>
    <row r="1563" spans="1:13" x14ac:dyDescent="0.3">
      <c r="A1563" s="95">
        <f t="shared" si="24"/>
        <v>0</v>
      </c>
      <c r="B1563" s="106" t="s">
        <v>3207</v>
      </c>
      <c r="C1563" s="95" t="s">
        <v>3408</v>
      </c>
      <c r="D1563" s="106">
        <v>12</v>
      </c>
      <c r="E1563" s="107">
        <v>1</v>
      </c>
      <c r="F1563" s="107" t="s">
        <v>2959</v>
      </c>
      <c r="G1563" s="107" t="s">
        <v>2960</v>
      </c>
      <c r="H1563" s="107" t="s">
        <v>2970</v>
      </c>
      <c r="I1563" s="107" t="s">
        <v>2996</v>
      </c>
      <c r="J1563" s="107" t="s">
        <v>2996</v>
      </c>
      <c r="K1563" s="107" t="s">
        <v>2996</v>
      </c>
      <c r="L1563" s="107">
        <v>95.7</v>
      </c>
      <c r="M1563" s="107"/>
    </row>
    <row r="1564" spans="1:13" x14ac:dyDescent="0.3">
      <c r="A1564" s="95">
        <f t="shared" si="24"/>
        <v>0</v>
      </c>
      <c r="B1564" s="106" t="s">
        <v>1514</v>
      </c>
      <c r="C1564" s="95" t="s">
        <v>2939</v>
      </c>
      <c r="D1564" s="106">
        <v>12</v>
      </c>
      <c r="E1564" s="107">
        <v>1</v>
      </c>
      <c r="F1564" s="107" t="s">
        <v>2959</v>
      </c>
      <c r="G1564" s="107" t="s">
        <v>2966</v>
      </c>
      <c r="H1564" s="107" t="s">
        <v>2980</v>
      </c>
      <c r="I1564" s="107" t="s">
        <v>2997</v>
      </c>
      <c r="J1564" s="107" t="s">
        <v>2997</v>
      </c>
      <c r="K1564" s="107" t="s">
        <v>2997</v>
      </c>
      <c r="L1564" s="107">
        <v>50.58</v>
      </c>
      <c r="M1564" s="107"/>
    </row>
    <row r="1565" spans="1:13" x14ac:dyDescent="0.3">
      <c r="A1565" s="95">
        <f t="shared" si="24"/>
        <v>0</v>
      </c>
      <c r="B1565" s="106" t="s">
        <v>3208</v>
      </c>
      <c r="C1565" s="95" t="s">
        <v>3409</v>
      </c>
      <c r="D1565" s="106">
        <v>12</v>
      </c>
      <c r="E1565" s="107">
        <v>1</v>
      </c>
      <c r="F1565" s="107" t="s">
        <v>2959</v>
      </c>
      <c r="G1565" s="107" t="s">
        <v>2966</v>
      </c>
      <c r="H1565" s="107" t="s">
        <v>2984</v>
      </c>
      <c r="I1565" s="107" t="s">
        <v>2997</v>
      </c>
      <c r="J1565" s="107" t="s">
        <v>2997</v>
      </c>
      <c r="K1565" s="107" t="s">
        <v>2997</v>
      </c>
      <c r="L1565" s="107">
        <v>100.88</v>
      </c>
      <c r="M1565" s="107">
        <v>3</v>
      </c>
    </row>
    <row r="1566" spans="1:13" x14ac:dyDescent="0.3">
      <c r="A1566" s="95">
        <f t="shared" si="24"/>
        <v>0</v>
      </c>
      <c r="B1566" s="106" t="s">
        <v>1515</v>
      </c>
      <c r="C1566" s="95" t="s">
        <v>2940</v>
      </c>
      <c r="D1566" s="106">
        <v>12</v>
      </c>
      <c r="E1566" s="107">
        <v>1</v>
      </c>
      <c r="F1566" s="107" t="s">
        <v>2958</v>
      </c>
      <c r="G1566" s="107" t="s">
        <v>2965</v>
      </c>
      <c r="H1566" s="107" t="s">
        <v>2965</v>
      </c>
      <c r="I1566" s="107" t="s">
        <v>2997</v>
      </c>
      <c r="J1566" s="107" t="s">
        <v>2997</v>
      </c>
      <c r="K1566" s="107" t="s">
        <v>2996</v>
      </c>
      <c r="L1566" s="107">
        <v>250.72</v>
      </c>
      <c r="M1566" s="107">
        <v>1</v>
      </c>
    </row>
    <row r="1567" spans="1:13" x14ac:dyDescent="0.3">
      <c r="A1567" s="95">
        <f t="shared" si="24"/>
        <v>0</v>
      </c>
      <c r="B1567" s="106" t="s">
        <v>1516</v>
      </c>
      <c r="C1567" s="95" t="s">
        <v>2941</v>
      </c>
      <c r="D1567" s="106">
        <v>12</v>
      </c>
      <c r="E1567" s="107">
        <v>1</v>
      </c>
      <c r="F1567" s="107" t="s">
        <v>2959</v>
      </c>
      <c r="G1567" s="107" t="s">
        <v>2966</v>
      </c>
      <c r="H1567" s="107" t="s">
        <v>2980</v>
      </c>
      <c r="I1567" s="107" t="s">
        <v>2997</v>
      </c>
      <c r="J1567" s="107" t="s">
        <v>2997</v>
      </c>
      <c r="K1567" s="107" t="s">
        <v>2997</v>
      </c>
      <c r="L1567" s="107">
        <v>250.76</v>
      </c>
      <c r="M1567" s="107">
        <v>1</v>
      </c>
    </row>
    <row r="1568" spans="1:13" x14ac:dyDescent="0.3">
      <c r="A1568" s="95">
        <f t="shared" si="24"/>
        <v>0</v>
      </c>
      <c r="B1568" s="106" t="s">
        <v>3209</v>
      </c>
      <c r="C1568" s="95" t="s">
        <v>3410</v>
      </c>
      <c r="D1568" s="106">
        <v>12</v>
      </c>
      <c r="E1568" s="107">
        <v>1</v>
      </c>
      <c r="F1568" s="107" t="s">
        <v>2959</v>
      </c>
      <c r="G1568" s="107" t="s">
        <v>2966</v>
      </c>
      <c r="H1568" s="107" t="s">
        <v>2978</v>
      </c>
      <c r="I1568" s="107" t="s">
        <v>2997</v>
      </c>
      <c r="J1568" s="107" t="s">
        <v>2997</v>
      </c>
      <c r="K1568" s="107" t="s">
        <v>2996</v>
      </c>
      <c r="L1568" s="107">
        <v>354.56</v>
      </c>
      <c r="M1568" s="107">
        <v>4</v>
      </c>
    </row>
    <row r="1569" spans="1:13" x14ac:dyDescent="0.3">
      <c r="A1569" s="95">
        <f t="shared" si="24"/>
        <v>0</v>
      </c>
      <c r="B1569" s="106" t="s">
        <v>3210</v>
      </c>
      <c r="C1569" s="95" t="s">
        <v>3411</v>
      </c>
      <c r="D1569" s="106">
        <v>12</v>
      </c>
      <c r="E1569" s="107">
        <v>1</v>
      </c>
      <c r="F1569" s="107" t="s">
        <v>2959</v>
      </c>
      <c r="G1569" s="107" t="s">
        <v>2964</v>
      </c>
      <c r="H1569" s="107" t="s">
        <v>2976</v>
      </c>
      <c r="I1569" s="107" t="s">
        <v>2997</v>
      </c>
      <c r="J1569" s="107" t="s">
        <v>2997</v>
      </c>
      <c r="K1569" s="107" t="s">
        <v>2997</v>
      </c>
      <c r="L1569" s="107">
        <v>116.32</v>
      </c>
      <c r="M1569" s="107">
        <v>2</v>
      </c>
    </row>
    <row r="1570" spans="1:13" x14ac:dyDescent="0.3">
      <c r="A1570" s="95">
        <f t="shared" si="24"/>
        <v>0</v>
      </c>
      <c r="B1570" s="106" t="s">
        <v>1517</v>
      </c>
      <c r="C1570" s="95" t="s">
        <v>2942</v>
      </c>
      <c r="D1570" s="106">
        <v>12</v>
      </c>
      <c r="E1570" s="107">
        <v>1</v>
      </c>
      <c r="F1570" s="107" t="s">
        <v>2958</v>
      </c>
      <c r="G1570" s="107" t="s">
        <v>2964</v>
      </c>
      <c r="H1570" s="107" t="s">
        <v>2976</v>
      </c>
      <c r="I1570" s="107" t="s">
        <v>2997</v>
      </c>
      <c r="J1570" s="107" t="s">
        <v>2997</v>
      </c>
      <c r="K1570" s="107" t="s">
        <v>2997</v>
      </c>
      <c r="L1570" s="107">
        <v>950.57</v>
      </c>
      <c r="M1570" s="107">
        <v>5</v>
      </c>
    </row>
    <row r="1571" spans="1:13" x14ac:dyDescent="0.3">
      <c r="A1571" s="95">
        <f t="shared" si="24"/>
        <v>0</v>
      </c>
      <c r="B1571" s="106" t="s">
        <v>3211</v>
      </c>
      <c r="C1571" s="95" t="s">
        <v>3412</v>
      </c>
      <c r="D1571" s="106">
        <v>12</v>
      </c>
      <c r="E1571" s="107">
        <v>1</v>
      </c>
      <c r="F1571" s="107" t="s">
        <v>2959</v>
      </c>
      <c r="G1571" s="107" t="s">
        <v>2966</v>
      </c>
      <c r="H1571" s="107" t="s">
        <v>2985</v>
      </c>
      <c r="I1571" s="107" t="s">
        <v>2996</v>
      </c>
      <c r="J1571" s="107" t="s">
        <v>2996</v>
      </c>
      <c r="K1571" s="107" t="s">
        <v>2996</v>
      </c>
      <c r="L1571" s="107">
        <v>87.17</v>
      </c>
      <c r="M1571" s="107">
        <v>1</v>
      </c>
    </row>
    <row r="1572" spans="1:13" x14ac:dyDescent="0.3">
      <c r="A1572" s="95">
        <f t="shared" si="24"/>
        <v>0</v>
      </c>
      <c r="B1572" s="106" t="s">
        <v>1518</v>
      </c>
      <c r="C1572" s="95" t="s">
        <v>2943</v>
      </c>
      <c r="D1572" s="106">
        <v>12</v>
      </c>
      <c r="E1572" s="107">
        <v>1</v>
      </c>
      <c r="F1572" s="107" t="s">
        <v>2958</v>
      </c>
      <c r="G1572" s="107" t="s">
        <v>2965</v>
      </c>
      <c r="H1572" s="107" t="s">
        <v>2965</v>
      </c>
      <c r="I1572" s="107" t="s">
        <v>2996</v>
      </c>
      <c r="J1572" s="107" t="s">
        <v>2996</v>
      </c>
      <c r="K1572" s="107" t="s">
        <v>2996</v>
      </c>
      <c r="L1572" s="107">
        <v>8.9499999999999993</v>
      </c>
      <c r="M1572" s="107"/>
    </row>
    <row r="1573" spans="1:13" x14ac:dyDescent="0.3">
      <c r="A1573" s="95">
        <f t="shared" si="24"/>
        <v>0</v>
      </c>
      <c r="B1573" s="106" t="s">
        <v>3212</v>
      </c>
      <c r="C1573" s="95" t="s">
        <v>3413</v>
      </c>
      <c r="D1573" s="106">
        <v>12</v>
      </c>
      <c r="E1573" s="107">
        <v>1</v>
      </c>
      <c r="F1573" s="107" t="s">
        <v>2959</v>
      </c>
      <c r="G1573" s="107" t="s">
        <v>2966</v>
      </c>
      <c r="H1573" s="107" t="s">
        <v>2984</v>
      </c>
      <c r="I1573" s="107" t="s">
        <v>2996</v>
      </c>
      <c r="J1573" s="107" t="s">
        <v>2996</v>
      </c>
      <c r="K1573" s="107" t="s">
        <v>2996</v>
      </c>
      <c r="L1573" s="107">
        <v>41.42</v>
      </c>
      <c r="M1573" s="107">
        <v>1</v>
      </c>
    </row>
    <row r="1574" spans="1:13" x14ac:dyDescent="0.3">
      <c r="A1574" s="95">
        <f t="shared" si="24"/>
        <v>0</v>
      </c>
      <c r="B1574" s="106" t="s">
        <v>1519</v>
      </c>
      <c r="C1574" s="95" t="s">
        <v>2944</v>
      </c>
      <c r="D1574" s="106">
        <v>12</v>
      </c>
      <c r="E1574" s="107">
        <v>1</v>
      </c>
      <c r="F1574" s="107" t="s">
        <v>2959</v>
      </c>
      <c r="G1574" s="107" t="s">
        <v>2966</v>
      </c>
      <c r="H1574" s="107" t="s">
        <v>2980</v>
      </c>
      <c r="I1574" s="107" t="s">
        <v>2997</v>
      </c>
      <c r="J1574" s="107" t="s">
        <v>2997</v>
      </c>
      <c r="K1574" s="107" t="s">
        <v>2996</v>
      </c>
      <c r="L1574" s="107">
        <v>20.87</v>
      </c>
      <c r="M1574" s="107"/>
    </row>
    <row r="1575" spans="1:13" x14ac:dyDescent="0.3">
      <c r="A1575" s="95">
        <f t="shared" si="24"/>
        <v>0</v>
      </c>
      <c r="B1575" s="106" t="s">
        <v>1520</v>
      </c>
      <c r="C1575" s="95" t="s">
        <v>2945</v>
      </c>
      <c r="D1575" s="106">
        <v>12</v>
      </c>
      <c r="E1575" s="107">
        <v>1</v>
      </c>
      <c r="F1575" s="107" t="s">
        <v>2959</v>
      </c>
      <c r="G1575" s="107" t="s">
        <v>2960</v>
      </c>
      <c r="H1575" s="107" t="s">
        <v>2970</v>
      </c>
      <c r="I1575" s="107" t="s">
        <v>2997</v>
      </c>
      <c r="J1575" s="107" t="s">
        <v>2997</v>
      </c>
      <c r="K1575" s="107" t="s">
        <v>2996</v>
      </c>
      <c r="L1575" s="107">
        <v>22.83</v>
      </c>
      <c r="M1575" s="107"/>
    </row>
    <row r="1576" spans="1:13" x14ac:dyDescent="0.3">
      <c r="A1576" s="95">
        <f t="shared" si="24"/>
        <v>0</v>
      </c>
      <c r="B1576" s="106" t="s">
        <v>1521</v>
      </c>
      <c r="C1576" s="95" t="s">
        <v>2946</v>
      </c>
      <c r="D1576" s="106">
        <v>12</v>
      </c>
      <c r="E1576" s="107">
        <v>1</v>
      </c>
      <c r="F1576" s="107" t="s">
        <v>2959</v>
      </c>
      <c r="G1576" s="107" t="s">
        <v>2964</v>
      </c>
      <c r="H1576" s="107" t="s">
        <v>2976</v>
      </c>
      <c r="I1576" s="107" t="s">
        <v>2997</v>
      </c>
      <c r="J1576" s="107" t="s">
        <v>2997</v>
      </c>
      <c r="K1576" s="107" t="s">
        <v>2996</v>
      </c>
      <c r="L1576" s="107">
        <v>80.5</v>
      </c>
      <c r="M1576" s="107"/>
    </row>
    <row r="1577" spans="1:13" x14ac:dyDescent="0.3">
      <c r="A1577" s="95">
        <f t="shared" si="24"/>
        <v>0</v>
      </c>
      <c r="B1577" s="106" t="s">
        <v>1522</v>
      </c>
      <c r="C1577" s="95" t="s">
        <v>2947</v>
      </c>
      <c r="D1577" s="106">
        <v>12</v>
      </c>
      <c r="E1577" s="107">
        <v>1</v>
      </c>
      <c r="F1577" s="107" t="s">
        <v>2959</v>
      </c>
      <c r="G1577" s="107" t="s">
        <v>2966</v>
      </c>
      <c r="H1577" s="107" t="s">
        <v>2984</v>
      </c>
      <c r="I1577" s="107" t="s">
        <v>2996</v>
      </c>
      <c r="J1577" s="107" t="s">
        <v>2996</v>
      </c>
      <c r="K1577" s="107" t="s">
        <v>2996</v>
      </c>
      <c r="L1577" s="107">
        <v>15.18</v>
      </c>
      <c r="M1577" s="107"/>
    </row>
    <row r="1578" spans="1:13" x14ac:dyDescent="0.3">
      <c r="A1578" s="95">
        <f t="shared" si="24"/>
        <v>0</v>
      </c>
      <c r="B1578" s="106" t="s">
        <v>1523</v>
      </c>
      <c r="C1578" s="95" t="s">
        <v>2948</v>
      </c>
      <c r="D1578" s="106">
        <v>12</v>
      </c>
      <c r="E1578" s="107">
        <v>1</v>
      </c>
      <c r="F1578" s="107" t="s">
        <v>2959</v>
      </c>
      <c r="G1578" s="107" t="s">
        <v>2966</v>
      </c>
      <c r="H1578" s="107" t="s">
        <v>2984</v>
      </c>
      <c r="I1578" s="107" t="s">
        <v>2996</v>
      </c>
      <c r="J1578" s="107" t="s">
        <v>2996</v>
      </c>
      <c r="K1578" s="107" t="s">
        <v>2996</v>
      </c>
      <c r="L1578" s="107">
        <v>23.87</v>
      </c>
      <c r="M1578" s="107"/>
    </row>
    <row r="1579" spans="1:13" x14ac:dyDescent="0.3">
      <c r="A1579" s="95">
        <f t="shared" si="24"/>
        <v>0</v>
      </c>
      <c r="B1579" s="106" t="s">
        <v>3213</v>
      </c>
      <c r="C1579" s="95" t="s">
        <v>3414</v>
      </c>
      <c r="D1579" s="106">
        <v>12</v>
      </c>
      <c r="E1579" s="107">
        <v>1</v>
      </c>
      <c r="F1579" s="107" t="s">
        <v>2959</v>
      </c>
      <c r="G1579" s="107" t="s">
        <v>2966</v>
      </c>
      <c r="H1579" s="107" t="s">
        <v>2980</v>
      </c>
      <c r="I1579" s="107" t="s">
        <v>2997</v>
      </c>
      <c r="J1579" s="107" t="s">
        <v>2997</v>
      </c>
      <c r="K1579" s="107" t="s">
        <v>2996</v>
      </c>
      <c r="L1579" s="107">
        <v>20.66</v>
      </c>
      <c r="M1579" s="107">
        <v>1</v>
      </c>
    </row>
    <row r="1580" spans="1:13" x14ac:dyDescent="0.3">
      <c r="A1580" s="95">
        <f t="shared" si="24"/>
        <v>0</v>
      </c>
      <c r="B1580" s="106" t="s">
        <v>3214</v>
      </c>
      <c r="C1580" s="95" t="s">
        <v>3415</v>
      </c>
      <c r="D1580" s="106">
        <v>12</v>
      </c>
      <c r="E1580" s="107">
        <v>1</v>
      </c>
      <c r="F1580" s="107" t="s">
        <v>2958</v>
      </c>
      <c r="G1580" s="107" t="s">
        <v>2965</v>
      </c>
      <c r="H1580" s="107" t="s">
        <v>2965</v>
      </c>
      <c r="I1580" s="107" t="s">
        <v>2997</v>
      </c>
      <c r="J1580" s="107" t="s">
        <v>2997</v>
      </c>
      <c r="K1580" s="107" t="s">
        <v>2996</v>
      </c>
      <c r="L1580" s="107">
        <v>121.89</v>
      </c>
      <c r="M1580" s="107"/>
    </row>
    <row r="1581" spans="1:13" x14ac:dyDescent="0.3">
      <c r="A1581" s="95">
        <f t="shared" si="24"/>
        <v>0</v>
      </c>
      <c r="B1581" s="106" t="s">
        <v>3215</v>
      </c>
      <c r="C1581" s="95" t="s">
        <v>3667</v>
      </c>
      <c r="D1581" s="106">
        <v>12</v>
      </c>
      <c r="E1581" s="107">
        <v>1</v>
      </c>
      <c r="F1581" s="107" t="s">
        <v>2959</v>
      </c>
      <c r="G1581" s="107" t="s">
        <v>2964</v>
      </c>
      <c r="H1581" s="107" t="s">
        <v>2976</v>
      </c>
      <c r="I1581" s="107" t="s">
        <v>2997</v>
      </c>
      <c r="J1581" s="107" t="s">
        <v>2996</v>
      </c>
      <c r="K1581" s="107" t="s">
        <v>2996</v>
      </c>
      <c r="L1581" s="107">
        <v>24.91</v>
      </c>
      <c r="M1581" s="107"/>
    </row>
    <row r="1582" spans="1:13" x14ac:dyDescent="0.3">
      <c r="A1582" s="95">
        <f t="shared" si="24"/>
        <v>0</v>
      </c>
      <c r="B1582" s="106" t="s">
        <v>1524</v>
      </c>
      <c r="C1582" s="95" t="s">
        <v>2949</v>
      </c>
      <c r="D1582" s="106">
        <v>12</v>
      </c>
      <c r="E1582" s="107">
        <v>1</v>
      </c>
      <c r="F1582" s="107" t="s">
        <v>2958</v>
      </c>
      <c r="G1582" s="107" t="s">
        <v>2961</v>
      </c>
      <c r="H1582" s="107" t="s">
        <v>2972</v>
      </c>
      <c r="I1582" s="107" t="s">
        <v>2997</v>
      </c>
      <c r="J1582" s="107" t="s">
        <v>2997</v>
      </c>
      <c r="K1582" s="107" t="s">
        <v>2997</v>
      </c>
      <c r="L1582" s="107">
        <v>1737.01</v>
      </c>
      <c r="M1582" s="107">
        <v>6</v>
      </c>
    </row>
    <row r="1583" spans="1:13" x14ac:dyDescent="0.3">
      <c r="A1583" s="95">
        <f t="shared" si="24"/>
        <v>0</v>
      </c>
      <c r="B1583" s="106" t="s">
        <v>3216</v>
      </c>
      <c r="C1583" s="95" t="s">
        <v>3416</v>
      </c>
      <c r="D1583" s="106">
        <v>12</v>
      </c>
      <c r="E1583" s="107">
        <v>1</v>
      </c>
      <c r="F1583" s="107" t="s">
        <v>2959</v>
      </c>
      <c r="G1583" s="107" t="s">
        <v>2961</v>
      </c>
      <c r="H1583" s="107" t="s">
        <v>2982</v>
      </c>
      <c r="I1583" s="107" t="s">
        <v>2996</v>
      </c>
      <c r="J1583" s="107" t="s">
        <v>2996</v>
      </c>
      <c r="K1583" s="107" t="s">
        <v>2996</v>
      </c>
      <c r="L1583" s="107">
        <v>55.13</v>
      </c>
      <c r="M1583" s="107"/>
    </row>
    <row r="1584" spans="1:13" x14ac:dyDescent="0.3">
      <c r="A1584" s="95">
        <f t="shared" si="24"/>
        <v>0</v>
      </c>
      <c r="B1584" s="106" t="s">
        <v>3217</v>
      </c>
      <c r="C1584" s="95" t="s">
        <v>3417</v>
      </c>
      <c r="D1584" s="106">
        <v>12</v>
      </c>
      <c r="E1584" s="107">
        <v>1</v>
      </c>
      <c r="F1584" s="107" t="s">
        <v>2959</v>
      </c>
      <c r="G1584" s="107" t="s">
        <v>2961</v>
      </c>
      <c r="H1584" s="107" t="s">
        <v>2972</v>
      </c>
      <c r="I1584" s="107" t="s">
        <v>2997</v>
      </c>
      <c r="J1584" s="107" t="s">
        <v>2997</v>
      </c>
      <c r="K1584" s="107" t="s">
        <v>2997</v>
      </c>
      <c r="L1584" s="107">
        <v>74.58</v>
      </c>
      <c r="M1584" s="107"/>
    </row>
    <row r="1585" spans="1:13" x14ac:dyDescent="0.3">
      <c r="A1585" s="95">
        <f t="shared" si="24"/>
        <v>1</v>
      </c>
      <c r="B1585" s="106" t="s">
        <v>3218</v>
      </c>
      <c r="C1585" s="95" t="s">
        <v>3535</v>
      </c>
      <c r="D1585" s="106">
        <v>12</v>
      </c>
      <c r="E1585" s="107">
        <v>1</v>
      </c>
      <c r="F1585" s="107" t="s">
        <v>2959</v>
      </c>
      <c r="G1585" s="107" t="s">
        <v>2966</v>
      </c>
      <c r="H1585" s="107" t="s">
        <v>2985</v>
      </c>
      <c r="I1585" s="107" t="s">
        <v>2997</v>
      </c>
      <c r="J1585" s="107" t="s">
        <v>2997</v>
      </c>
      <c r="K1585" s="107" t="s">
        <v>2997</v>
      </c>
      <c r="L1585" s="107">
        <v>903.84</v>
      </c>
      <c r="M1585" s="107">
        <v>12</v>
      </c>
    </row>
    <row r="1586" spans="1:13" x14ac:dyDescent="0.3">
      <c r="A1586" s="95">
        <f t="shared" si="24"/>
        <v>0</v>
      </c>
      <c r="B1586" s="106" t="s">
        <v>3219</v>
      </c>
      <c r="C1586" s="95" t="s">
        <v>3418</v>
      </c>
      <c r="D1586" s="106">
        <v>12</v>
      </c>
      <c r="E1586" s="107">
        <v>1</v>
      </c>
      <c r="F1586" s="107" t="s">
        <v>2959</v>
      </c>
      <c r="G1586" s="107" t="s">
        <v>2965</v>
      </c>
      <c r="H1586" s="107" t="s">
        <v>2965</v>
      </c>
      <c r="I1586" s="107" t="s">
        <v>2996</v>
      </c>
      <c r="J1586" s="107" t="s">
        <v>2996</v>
      </c>
      <c r="K1586" s="107" t="s">
        <v>2996</v>
      </c>
      <c r="L1586" s="107">
        <v>68.16</v>
      </c>
      <c r="M1586" s="107"/>
    </row>
    <row r="1587" spans="1:13" x14ac:dyDescent="0.3">
      <c r="A1587" s="95">
        <f t="shared" si="24"/>
        <v>0</v>
      </c>
      <c r="B1587" s="106" t="s">
        <v>3543</v>
      </c>
      <c r="C1587" s="95" t="s">
        <v>3555</v>
      </c>
      <c r="D1587" s="106">
        <v>12</v>
      </c>
      <c r="E1587" s="107">
        <v>1</v>
      </c>
      <c r="F1587" s="107" t="s">
        <v>2959</v>
      </c>
      <c r="G1587" s="107" t="s">
        <v>2961</v>
      </c>
      <c r="H1587" s="107" t="s">
        <v>2971</v>
      </c>
      <c r="I1587" s="107" t="s">
        <v>2997</v>
      </c>
      <c r="J1587" s="107" t="s">
        <v>2997</v>
      </c>
      <c r="K1587" s="107" t="s">
        <v>2996</v>
      </c>
      <c r="L1587" s="107">
        <v>29.38</v>
      </c>
      <c r="M1587" s="107"/>
    </row>
    <row r="1588" spans="1:13" x14ac:dyDescent="0.3">
      <c r="A1588" s="95">
        <f t="shared" si="24"/>
        <v>1</v>
      </c>
      <c r="B1588" s="106" t="s">
        <v>1525</v>
      </c>
      <c r="C1588" s="95" t="s">
        <v>2950</v>
      </c>
      <c r="D1588" s="106">
        <v>12</v>
      </c>
      <c r="E1588" s="107">
        <v>1</v>
      </c>
      <c r="F1588" s="107" t="s">
        <v>2958</v>
      </c>
      <c r="G1588" s="107" t="s">
        <v>2961</v>
      </c>
      <c r="H1588" s="107" t="s">
        <v>2990</v>
      </c>
      <c r="I1588" s="107" t="s">
        <v>2996</v>
      </c>
      <c r="J1588" s="107" t="s">
        <v>2996</v>
      </c>
      <c r="K1588" s="107" t="s">
        <v>2996</v>
      </c>
      <c r="L1588" s="107">
        <v>2189.69</v>
      </c>
      <c r="M1588" s="107">
        <v>18</v>
      </c>
    </row>
    <row r="1589" spans="1:13" x14ac:dyDescent="0.3">
      <c r="A1589" s="95">
        <f t="shared" si="24"/>
        <v>0</v>
      </c>
      <c r="B1589" s="106" t="s">
        <v>3220</v>
      </c>
      <c r="C1589" s="95" t="s">
        <v>3419</v>
      </c>
      <c r="D1589" s="106">
        <v>12</v>
      </c>
      <c r="E1589" s="107">
        <v>1</v>
      </c>
      <c r="F1589" s="107" t="s">
        <v>2959</v>
      </c>
      <c r="G1589" s="107" t="s">
        <v>2966</v>
      </c>
      <c r="H1589" s="107" t="s">
        <v>2984</v>
      </c>
      <c r="I1589" s="107" t="s">
        <v>2997</v>
      </c>
      <c r="J1589" s="107" t="s">
        <v>2997</v>
      </c>
      <c r="K1589" s="107" t="s">
        <v>2997</v>
      </c>
      <c r="L1589" s="107">
        <v>409.6</v>
      </c>
      <c r="M1589" s="107"/>
    </row>
    <row r="1590" spans="1:13" x14ac:dyDescent="0.3">
      <c r="A1590" s="95">
        <f t="shared" si="24"/>
        <v>0</v>
      </c>
      <c r="B1590" s="106" t="s">
        <v>1526</v>
      </c>
      <c r="C1590" s="95" t="s">
        <v>2951</v>
      </c>
      <c r="D1590" s="106">
        <v>12</v>
      </c>
      <c r="E1590" s="107">
        <v>1</v>
      </c>
      <c r="F1590" s="107" t="s">
        <v>2959</v>
      </c>
      <c r="G1590" s="107" t="s">
        <v>2964</v>
      </c>
      <c r="H1590" s="107" t="s">
        <v>2976</v>
      </c>
      <c r="I1590" s="107" t="s">
        <v>2996</v>
      </c>
      <c r="J1590" s="107" t="s">
        <v>2996</v>
      </c>
      <c r="K1590" s="107" t="s">
        <v>2996</v>
      </c>
      <c r="L1590" s="107">
        <v>35.590000000000003</v>
      </c>
      <c r="M1590" s="107">
        <v>1</v>
      </c>
    </row>
    <row r="1591" spans="1:13" x14ac:dyDescent="0.3">
      <c r="A1591" s="95">
        <f t="shared" si="24"/>
        <v>0</v>
      </c>
      <c r="B1591" s="106" t="s">
        <v>3221</v>
      </c>
      <c r="C1591" s="95" t="s">
        <v>3420</v>
      </c>
      <c r="D1591" s="106">
        <v>12</v>
      </c>
      <c r="E1591" s="107">
        <v>1</v>
      </c>
      <c r="F1591" s="107" t="s">
        <v>2959</v>
      </c>
      <c r="G1591" s="107" t="s">
        <v>2960</v>
      </c>
      <c r="H1591" s="107" t="s">
        <v>2970</v>
      </c>
      <c r="I1591" s="107" t="s">
        <v>2996</v>
      </c>
      <c r="J1591" s="107" t="s">
        <v>2996</v>
      </c>
      <c r="K1591" s="107" t="s">
        <v>2996</v>
      </c>
      <c r="L1591" s="107">
        <v>61.95</v>
      </c>
      <c r="M1591" s="107"/>
    </row>
    <row r="1592" spans="1:13" x14ac:dyDescent="0.3">
      <c r="A1592" s="95">
        <f t="shared" si="24"/>
        <v>0</v>
      </c>
      <c r="B1592" s="106" t="s">
        <v>3222</v>
      </c>
      <c r="C1592" s="95" t="s">
        <v>3421</v>
      </c>
      <c r="D1592" s="106">
        <v>12</v>
      </c>
      <c r="E1592" s="107">
        <v>1</v>
      </c>
      <c r="F1592" s="107" t="s">
        <v>2959</v>
      </c>
      <c r="G1592" s="107" t="s">
        <v>2966</v>
      </c>
      <c r="H1592" s="107" t="s">
        <v>2978</v>
      </c>
      <c r="I1592" s="107" t="s">
        <v>2996</v>
      </c>
      <c r="J1592" s="107" t="s">
        <v>2996</v>
      </c>
      <c r="K1592" s="107" t="s">
        <v>2996</v>
      </c>
      <c r="L1592" s="107">
        <v>25.16</v>
      </c>
      <c r="M1592" s="107"/>
    </row>
    <row r="1593" spans="1:13" x14ac:dyDescent="0.3">
      <c r="A1593" s="95">
        <f t="shared" si="24"/>
        <v>0</v>
      </c>
      <c r="B1593" s="106" t="s">
        <v>3223</v>
      </c>
      <c r="C1593" s="95" t="s">
        <v>3422</v>
      </c>
      <c r="D1593" s="106">
        <v>12</v>
      </c>
      <c r="E1593" s="107">
        <v>1</v>
      </c>
      <c r="F1593" s="107" t="s">
        <v>2959</v>
      </c>
      <c r="G1593" s="107" t="s">
        <v>2965</v>
      </c>
      <c r="H1593" s="107" t="s">
        <v>2965</v>
      </c>
      <c r="I1593" s="107" t="s">
        <v>2996</v>
      </c>
      <c r="J1593" s="107" t="s">
        <v>2996</v>
      </c>
      <c r="K1593" s="107" t="s">
        <v>2996</v>
      </c>
      <c r="L1593" s="107">
        <v>58.56</v>
      </c>
      <c r="M1593" s="107"/>
    </row>
    <row r="1594" spans="1:13" x14ac:dyDescent="0.3">
      <c r="A1594" s="95">
        <f t="shared" si="24"/>
        <v>0</v>
      </c>
      <c r="B1594" s="106" t="s">
        <v>3605</v>
      </c>
      <c r="C1594" s="95" t="s">
        <v>3613</v>
      </c>
      <c r="D1594" s="106">
        <v>12</v>
      </c>
      <c r="E1594" s="107">
        <v>1</v>
      </c>
      <c r="F1594" s="107" t="s">
        <v>2959</v>
      </c>
      <c r="G1594" s="107" t="s">
        <v>2966</v>
      </c>
      <c r="H1594" s="107" t="s">
        <v>2978</v>
      </c>
      <c r="I1594" s="107" t="s">
        <v>2996</v>
      </c>
      <c r="J1594" s="107" t="s">
        <v>2996</v>
      </c>
      <c r="K1594" s="107" t="s">
        <v>2996</v>
      </c>
      <c r="L1594" s="107">
        <v>60.84</v>
      </c>
      <c r="M1594" s="107">
        <v>3</v>
      </c>
    </row>
    <row r="1595" spans="1:13" x14ac:dyDescent="0.3">
      <c r="A1595" s="95">
        <f t="shared" si="24"/>
        <v>0</v>
      </c>
      <c r="B1595" s="106" t="s">
        <v>1527</v>
      </c>
      <c r="C1595" s="95" t="s">
        <v>2952</v>
      </c>
      <c r="D1595" s="106">
        <v>12</v>
      </c>
      <c r="E1595" s="107">
        <v>1</v>
      </c>
      <c r="F1595" s="107" t="s">
        <v>2959</v>
      </c>
      <c r="G1595" s="107" t="s">
        <v>2966</v>
      </c>
      <c r="H1595" s="107" t="s">
        <v>2977</v>
      </c>
      <c r="I1595" s="107" t="s">
        <v>2997</v>
      </c>
      <c r="J1595" s="107" t="s">
        <v>2997</v>
      </c>
      <c r="K1595" s="107" t="s">
        <v>2997</v>
      </c>
      <c r="L1595" s="107">
        <v>279.20999999999998</v>
      </c>
      <c r="M1595" s="107">
        <v>1</v>
      </c>
    </row>
    <row r="1596" spans="1:13" x14ac:dyDescent="0.3">
      <c r="A1596" s="95">
        <f t="shared" si="24"/>
        <v>0</v>
      </c>
      <c r="B1596" s="106" t="s">
        <v>3224</v>
      </c>
      <c r="C1596" s="95" t="s">
        <v>3423</v>
      </c>
      <c r="D1596" s="106">
        <v>12</v>
      </c>
      <c r="E1596" s="107">
        <v>1</v>
      </c>
      <c r="F1596" s="107" t="s">
        <v>2959</v>
      </c>
      <c r="G1596" s="107" t="s">
        <v>2966</v>
      </c>
      <c r="H1596" s="107" t="s">
        <v>2985</v>
      </c>
      <c r="I1596" s="107" t="s">
        <v>2996</v>
      </c>
      <c r="J1596" s="107" t="s">
        <v>2996</v>
      </c>
      <c r="K1596" s="107" t="s">
        <v>2996</v>
      </c>
      <c r="L1596" s="107">
        <v>79.63</v>
      </c>
      <c r="M1596" s="107"/>
    </row>
    <row r="1597" spans="1:13" x14ac:dyDescent="0.3">
      <c r="A1597" s="95">
        <f t="shared" si="24"/>
        <v>0</v>
      </c>
      <c r="B1597" s="106" t="s">
        <v>3225</v>
      </c>
      <c r="C1597" s="95" t="s">
        <v>3424</v>
      </c>
      <c r="D1597" s="106">
        <v>12</v>
      </c>
      <c r="E1597" s="107">
        <v>1</v>
      </c>
      <c r="F1597" s="107" t="s">
        <v>2958</v>
      </c>
      <c r="G1597" s="107" t="s">
        <v>2965</v>
      </c>
      <c r="H1597" s="107" t="s">
        <v>2965</v>
      </c>
      <c r="I1597" s="107" t="s">
        <v>2997</v>
      </c>
      <c r="J1597" s="107" t="s">
        <v>2997</v>
      </c>
      <c r="K1597" s="107" t="s">
        <v>2997</v>
      </c>
      <c r="L1597" s="107">
        <v>1094.5</v>
      </c>
      <c r="M1597" s="107">
        <v>3</v>
      </c>
    </row>
    <row r="1598" spans="1:13" x14ac:dyDescent="0.3">
      <c r="A1598" s="95">
        <f t="shared" si="24"/>
        <v>0</v>
      </c>
      <c r="B1598" s="106" t="s">
        <v>3226</v>
      </c>
      <c r="C1598" s="95" t="s">
        <v>3425</v>
      </c>
      <c r="D1598" s="106">
        <v>12</v>
      </c>
      <c r="E1598" s="107">
        <v>1</v>
      </c>
      <c r="F1598" s="107" t="s">
        <v>2959</v>
      </c>
      <c r="G1598" s="107" t="s">
        <v>2966</v>
      </c>
      <c r="H1598" s="107" t="s">
        <v>2984</v>
      </c>
      <c r="I1598" s="107" t="s">
        <v>2996</v>
      </c>
      <c r="J1598" s="107" t="s">
        <v>2996</v>
      </c>
      <c r="K1598" s="107" t="s">
        <v>2996</v>
      </c>
      <c r="L1598" s="107">
        <v>22.5</v>
      </c>
      <c r="M1598" s="107"/>
    </row>
    <row r="1599" spans="1:13" x14ac:dyDescent="0.3">
      <c r="A1599" s="95">
        <f t="shared" si="24"/>
        <v>0</v>
      </c>
      <c r="B1599" s="106" t="s">
        <v>3227</v>
      </c>
      <c r="C1599" s="95" t="s">
        <v>3426</v>
      </c>
      <c r="D1599" s="106">
        <v>12</v>
      </c>
      <c r="E1599" s="107">
        <v>1</v>
      </c>
      <c r="F1599" s="107" t="s">
        <v>2959</v>
      </c>
      <c r="G1599" s="107" t="s">
        <v>2966</v>
      </c>
      <c r="H1599" s="107" t="s">
        <v>2985</v>
      </c>
      <c r="I1599" s="107" t="s">
        <v>2997</v>
      </c>
      <c r="J1599" s="107" t="s">
        <v>2997</v>
      </c>
      <c r="K1599" s="107" t="s">
        <v>2996</v>
      </c>
      <c r="L1599" s="107">
        <v>26.14</v>
      </c>
      <c r="M1599" s="107"/>
    </row>
    <row r="1600" spans="1:13" x14ac:dyDescent="0.3">
      <c r="A1600" s="95">
        <f t="shared" si="24"/>
        <v>0</v>
      </c>
      <c r="B1600" s="106" t="s">
        <v>3228</v>
      </c>
      <c r="C1600" s="95" t="s">
        <v>3536</v>
      </c>
      <c r="D1600" s="106">
        <v>12</v>
      </c>
      <c r="E1600" s="107">
        <v>1</v>
      </c>
      <c r="F1600" s="107" t="s">
        <v>2959</v>
      </c>
      <c r="G1600" s="107" t="s">
        <v>2960</v>
      </c>
      <c r="H1600" s="107" t="s">
        <v>2983</v>
      </c>
      <c r="I1600" s="107" t="s">
        <v>2997</v>
      </c>
      <c r="J1600" s="107" t="s">
        <v>2997</v>
      </c>
      <c r="K1600" s="107" t="s">
        <v>2997</v>
      </c>
      <c r="L1600" s="107">
        <v>69.27</v>
      </c>
      <c r="M1600" s="107">
        <v>1</v>
      </c>
    </row>
    <row r="1601" spans="1:13" x14ac:dyDescent="0.3">
      <c r="A1601" s="95">
        <f t="shared" si="24"/>
        <v>0</v>
      </c>
      <c r="B1601" s="106" t="s">
        <v>3229</v>
      </c>
      <c r="C1601" s="95" t="s">
        <v>3427</v>
      </c>
      <c r="D1601" s="106">
        <v>12</v>
      </c>
      <c r="E1601" s="107">
        <v>1</v>
      </c>
      <c r="F1601" s="107" t="s">
        <v>2959</v>
      </c>
      <c r="G1601" s="107" t="s">
        <v>2966</v>
      </c>
      <c r="H1601" s="107" t="s">
        <v>2985</v>
      </c>
      <c r="I1601" s="107" t="s">
        <v>2996</v>
      </c>
      <c r="J1601" s="107" t="s">
        <v>2996</v>
      </c>
      <c r="K1601" s="107" t="s">
        <v>2996</v>
      </c>
      <c r="L1601" s="107">
        <v>31.56</v>
      </c>
      <c r="M1601" s="107"/>
    </row>
    <row r="1602" spans="1:13" x14ac:dyDescent="0.3">
      <c r="A1602" s="95">
        <f t="shared" si="24"/>
        <v>0</v>
      </c>
      <c r="B1602" s="106" t="s">
        <v>3230</v>
      </c>
      <c r="C1602" s="95" t="s">
        <v>3428</v>
      </c>
      <c r="D1602" s="106">
        <v>12</v>
      </c>
      <c r="E1602" s="107">
        <v>1</v>
      </c>
      <c r="F1602" s="107" t="s">
        <v>2959</v>
      </c>
      <c r="G1602" s="107" t="s">
        <v>2966</v>
      </c>
      <c r="H1602" s="107" t="s">
        <v>2984</v>
      </c>
      <c r="I1602" s="107" t="s">
        <v>2997</v>
      </c>
      <c r="J1602" s="107" t="s">
        <v>2997</v>
      </c>
      <c r="K1602" s="107" t="s">
        <v>2997</v>
      </c>
      <c r="L1602" s="107">
        <v>43.12</v>
      </c>
      <c r="M1602" s="107"/>
    </row>
    <row r="1603" spans="1:13" x14ac:dyDescent="0.3">
      <c r="A1603" s="95">
        <f t="shared" si="24"/>
        <v>0</v>
      </c>
      <c r="B1603" s="106" t="s">
        <v>3231</v>
      </c>
      <c r="C1603" s="95" t="s">
        <v>3429</v>
      </c>
      <c r="D1603" s="106">
        <v>12</v>
      </c>
      <c r="E1603" s="107">
        <v>1</v>
      </c>
      <c r="F1603" s="107" t="s">
        <v>2959</v>
      </c>
      <c r="G1603" s="107" t="s">
        <v>2965</v>
      </c>
      <c r="H1603" s="107" t="s">
        <v>2965</v>
      </c>
      <c r="I1603" s="107" t="s">
        <v>2997</v>
      </c>
      <c r="J1603" s="107" t="s">
        <v>2997</v>
      </c>
      <c r="K1603" s="107" t="s">
        <v>2996</v>
      </c>
      <c r="L1603" s="107">
        <v>39.31</v>
      </c>
      <c r="M1603" s="107"/>
    </row>
    <row r="1604" spans="1:13" x14ac:dyDescent="0.3">
      <c r="A1604" s="95">
        <f t="shared" si="24"/>
        <v>0</v>
      </c>
      <c r="B1604" s="106" t="s">
        <v>3232</v>
      </c>
      <c r="C1604" s="95" t="s">
        <v>3537</v>
      </c>
      <c r="D1604" s="106">
        <v>12</v>
      </c>
      <c r="E1604" s="107">
        <v>1</v>
      </c>
      <c r="F1604" s="107" t="s">
        <v>2959</v>
      </c>
      <c r="G1604" s="107" t="s">
        <v>2966</v>
      </c>
      <c r="H1604" s="107" t="s">
        <v>2984</v>
      </c>
      <c r="I1604" s="107" t="s">
        <v>2996</v>
      </c>
      <c r="J1604" s="107" t="s">
        <v>2996</v>
      </c>
      <c r="K1604" s="107" t="s">
        <v>2996</v>
      </c>
      <c r="L1604" s="107">
        <v>51.33</v>
      </c>
      <c r="M1604" s="107"/>
    </row>
    <row r="1605" spans="1:13" x14ac:dyDescent="0.3">
      <c r="A1605" s="95">
        <f t="shared" si="24"/>
        <v>0</v>
      </c>
      <c r="B1605" s="106" t="s">
        <v>3233</v>
      </c>
      <c r="C1605" s="95" t="s">
        <v>3430</v>
      </c>
      <c r="D1605" s="106">
        <v>12</v>
      </c>
      <c r="E1605" s="107">
        <v>1</v>
      </c>
      <c r="F1605" s="107" t="s">
        <v>2958</v>
      </c>
      <c r="G1605" s="107" t="s">
        <v>2968</v>
      </c>
      <c r="H1605" s="107" t="s">
        <v>2968</v>
      </c>
      <c r="I1605" s="107" t="s">
        <v>2996</v>
      </c>
      <c r="J1605" s="107" t="s">
        <v>2996</v>
      </c>
      <c r="K1605" s="107" t="s">
        <v>2996</v>
      </c>
      <c r="L1605" s="107">
        <v>145.75</v>
      </c>
      <c r="M1605" s="107"/>
    </row>
    <row r="1606" spans="1:13" x14ac:dyDescent="0.3">
      <c r="A1606" s="95">
        <f t="shared" si="24"/>
        <v>0</v>
      </c>
      <c r="B1606" s="106" t="s">
        <v>3234</v>
      </c>
      <c r="C1606" s="95" t="s">
        <v>3431</v>
      </c>
      <c r="D1606" s="106">
        <v>12</v>
      </c>
      <c r="E1606" s="107">
        <v>1</v>
      </c>
      <c r="F1606" s="107" t="s">
        <v>2959</v>
      </c>
      <c r="G1606" s="107" t="s">
        <v>2966</v>
      </c>
      <c r="H1606" s="107" t="s">
        <v>2978</v>
      </c>
      <c r="I1606" s="107" t="s">
        <v>2997</v>
      </c>
      <c r="J1606" s="107" t="s">
        <v>2996</v>
      </c>
      <c r="K1606" s="107" t="s">
        <v>2996</v>
      </c>
      <c r="L1606" s="107">
        <v>40.57</v>
      </c>
      <c r="M1606" s="107"/>
    </row>
    <row r="1607" spans="1:13" x14ac:dyDescent="0.3">
      <c r="A1607" s="95">
        <f t="shared" si="24"/>
        <v>1</v>
      </c>
      <c r="B1607" s="106" t="s">
        <v>3235</v>
      </c>
      <c r="C1607" s="95" t="s">
        <v>3432</v>
      </c>
      <c r="D1607" s="106">
        <v>12</v>
      </c>
      <c r="E1607" s="107">
        <v>1</v>
      </c>
      <c r="F1607" s="107" t="s">
        <v>2958</v>
      </c>
      <c r="G1607" s="107" t="s">
        <v>2964</v>
      </c>
      <c r="H1607" s="107" t="s">
        <v>2975</v>
      </c>
      <c r="I1607" s="107" t="s">
        <v>2997</v>
      </c>
      <c r="J1607" s="107" t="s">
        <v>2997</v>
      </c>
      <c r="K1607" s="107" t="s">
        <v>2997</v>
      </c>
      <c r="L1607" s="107">
        <v>896.25</v>
      </c>
      <c r="M1607" s="107">
        <v>13</v>
      </c>
    </row>
    <row r="1608" spans="1:13" x14ac:dyDescent="0.3">
      <c r="A1608" s="95">
        <f t="shared" si="24"/>
        <v>0</v>
      </c>
      <c r="B1608" s="106" t="s">
        <v>3236</v>
      </c>
      <c r="C1608" s="95" t="s">
        <v>3433</v>
      </c>
      <c r="D1608" s="106">
        <v>12</v>
      </c>
      <c r="E1608" s="107">
        <v>1</v>
      </c>
      <c r="F1608" s="107" t="s">
        <v>2958</v>
      </c>
      <c r="G1608" s="107" t="s">
        <v>2960</v>
      </c>
      <c r="H1608" s="107" t="s">
        <v>2983</v>
      </c>
      <c r="I1608" s="107" t="s">
        <v>2996</v>
      </c>
      <c r="J1608" s="107" t="s">
        <v>2996</v>
      </c>
      <c r="K1608" s="107" t="s">
        <v>2996</v>
      </c>
      <c r="L1608" s="107">
        <v>42.08</v>
      </c>
      <c r="M1608" s="107"/>
    </row>
    <row r="1609" spans="1:13" x14ac:dyDescent="0.3">
      <c r="A1609" s="95">
        <f t="shared" si="24"/>
        <v>0</v>
      </c>
      <c r="B1609" s="106" t="s">
        <v>3237</v>
      </c>
      <c r="C1609" s="95" t="s">
        <v>3434</v>
      </c>
      <c r="D1609" s="106">
        <v>12</v>
      </c>
      <c r="E1609" s="107">
        <v>1</v>
      </c>
      <c r="F1609" s="107" t="s">
        <v>2959</v>
      </c>
      <c r="G1609" s="107" t="s">
        <v>2961</v>
      </c>
      <c r="H1609" s="107" t="s">
        <v>2971</v>
      </c>
      <c r="I1609" s="107" t="s">
        <v>2996</v>
      </c>
      <c r="J1609" s="107" t="s">
        <v>2996</v>
      </c>
      <c r="K1609" s="107" t="s">
        <v>2996</v>
      </c>
      <c r="L1609" s="107">
        <v>51.47</v>
      </c>
      <c r="M1609" s="107"/>
    </row>
    <row r="1610" spans="1:13" x14ac:dyDescent="0.3">
      <c r="A1610" s="95">
        <f t="shared" si="24"/>
        <v>0</v>
      </c>
      <c r="B1610" s="106" t="s">
        <v>3238</v>
      </c>
      <c r="C1610" s="95" t="s">
        <v>3435</v>
      </c>
      <c r="D1610" s="106">
        <v>12</v>
      </c>
      <c r="E1610" s="107">
        <v>1</v>
      </c>
      <c r="F1610" s="107" t="s">
        <v>2959</v>
      </c>
      <c r="G1610" s="107" t="s">
        <v>2960</v>
      </c>
      <c r="H1610" s="107" t="s">
        <v>2983</v>
      </c>
      <c r="I1610" s="107" t="s">
        <v>2996</v>
      </c>
      <c r="J1610" s="107" t="s">
        <v>2996</v>
      </c>
      <c r="K1610" s="107" t="s">
        <v>2996</v>
      </c>
      <c r="L1610" s="107">
        <v>158.9</v>
      </c>
      <c r="M1610" s="107">
        <v>2</v>
      </c>
    </row>
    <row r="1611" spans="1:13" x14ac:dyDescent="0.3">
      <c r="A1611" s="95">
        <f t="shared" si="24"/>
        <v>0</v>
      </c>
      <c r="B1611" s="106" t="s">
        <v>3239</v>
      </c>
      <c r="C1611" s="95" t="s">
        <v>3436</v>
      </c>
      <c r="D1611" s="106">
        <v>12</v>
      </c>
      <c r="E1611" s="107">
        <v>1</v>
      </c>
      <c r="F1611" s="107" t="s">
        <v>2958</v>
      </c>
      <c r="G1611" s="107" t="s">
        <v>2964</v>
      </c>
      <c r="H1611" s="107" t="s">
        <v>2976</v>
      </c>
      <c r="I1611" s="107" t="s">
        <v>2996</v>
      </c>
      <c r="J1611" s="107" t="s">
        <v>2996</v>
      </c>
      <c r="K1611" s="107" t="s">
        <v>2996</v>
      </c>
      <c r="L1611" s="107">
        <v>118</v>
      </c>
      <c r="M1611" s="107">
        <v>1</v>
      </c>
    </row>
    <row r="1612" spans="1:13" x14ac:dyDescent="0.3">
      <c r="A1612" s="95">
        <f t="shared" si="24"/>
        <v>0</v>
      </c>
      <c r="B1612" s="106" t="s">
        <v>3240</v>
      </c>
      <c r="C1612" s="95" t="s">
        <v>3437</v>
      </c>
      <c r="D1612" s="106">
        <v>12</v>
      </c>
      <c r="E1612" s="107">
        <v>1</v>
      </c>
      <c r="F1612" s="107" t="s">
        <v>2959</v>
      </c>
      <c r="G1612" s="107" t="s">
        <v>2966</v>
      </c>
      <c r="H1612" s="107" t="s">
        <v>2978</v>
      </c>
      <c r="I1612" s="107" t="s">
        <v>2996</v>
      </c>
      <c r="J1612" s="107" t="s">
        <v>2996</v>
      </c>
      <c r="K1612" s="107" t="s">
        <v>2996</v>
      </c>
      <c r="L1612" s="107">
        <v>14.85</v>
      </c>
      <c r="M1612" s="107"/>
    </row>
    <row r="1613" spans="1:13" x14ac:dyDescent="0.3">
      <c r="A1613" s="95">
        <f t="shared" si="24"/>
        <v>0</v>
      </c>
      <c r="B1613" s="106" t="s">
        <v>3241</v>
      </c>
      <c r="C1613" s="95" t="s">
        <v>3438</v>
      </c>
      <c r="D1613" s="106">
        <v>12</v>
      </c>
      <c r="E1613" s="107">
        <v>1</v>
      </c>
      <c r="F1613" s="107" t="s">
        <v>2959</v>
      </c>
      <c r="G1613" s="107" t="s">
        <v>2961</v>
      </c>
      <c r="H1613" s="107" t="s">
        <v>2982</v>
      </c>
      <c r="I1613" s="107" t="s">
        <v>2997</v>
      </c>
      <c r="J1613" s="107" t="s">
        <v>2997</v>
      </c>
      <c r="K1613" s="107" t="s">
        <v>2997</v>
      </c>
      <c r="L1613" s="107">
        <v>60.19</v>
      </c>
      <c r="M1613" s="107"/>
    </row>
    <row r="1614" spans="1:13" x14ac:dyDescent="0.3">
      <c r="A1614" s="95">
        <f t="shared" si="24"/>
        <v>0</v>
      </c>
      <c r="B1614" s="106" t="s">
        <v>3242</v>
      </c>
      <c r="C1614" s="95" t="s">
        <v>3439</v>
      </c>
      <c r="D1614" s="106">
        <v>12</v>
      </c>
      <c r="E1614" s="107">
        <v>1</v>
      </c>
      <c r="F1614" s="107" t="s">
        <v>2958</v>
      </c>
      <c r="G1614" s="107" t="s">
        <v>2965</v>
      </c>
      <c r="H1614" s="107" t="s">
        <v>2965</v>
      </c>
      <c r="I1614" s="107" t="s">
        <v>2996</v>
      </c>
      <c r="J1614" s="107" t="s">
        <v>2996</v>
      </c>
      <c r="K1614" s="107" t="s">
        <v>2996</v>
      </c>
      <c r="L1614" s="107">
        <v>41.25</v>
      </c>
      <c r="M1614" s="107"/>
    </row>
    <row r="1615" spans="1:13" x14ac:dyDescent="0.3">
      <c r="A1615" s="95">
        <f t="shared" ref="A1615:A1678" si="25">IF(AND(E1615=1,J1615=K1615,M1615&gt;6),1,0)</f>
        <v>1</v>
      </c>
      <c r="B1615" s="106" t="s">
        <v>3243</v>
      </c>
      <c r="C1615" s="95" t="s">
        <v>3440</v>
      </c>
      <c r="D1615" s="106">
        <v>12</v>
      </c>
      <c r="E1615" s="107">
        <v>1</v>
      </c>
      <c r="F1615" s="107" t="s">
        <v>2958</v>
      </c>
      <c r="G1615" s="107" t="s">
        <v>2965</v>
      </c>
      <c r="H1615" s="107" t="s">
        <v>2965</v>
      </c>
      <c r="I1615" s="107" t="s">
        <v>2997</v>
      </c>
      <c r="J1615" s="107" t="s">
        <v>2997</v>
      </c>
      <c r="K1615" s="107" t="s">
        <v>2997</v>
      </c>
      <c r="L1615" s="107">
        <v>1212.7</v>
      </c>
      <c r="M1615" s="107">
        <v>8</v>
      </c>
    </row>
    <row r="1616" spans="1:13" x14ac:dyDescent="0.3">
      <c r="A1616" s="95">
        <f t="shared" si="25"/>
        <v>0</v>
      </c>
      <c r="B1616" s="106" t="s">
        <v>3244</v>
      </c>
      <c r="C1616" s="95" t="s">
        <v>3441</v>
      </c>
      <c r="D1616" s="106">
        <v>12</v>
      </c>
      <c r="E1616" s="107">
        <v>1</v>
      </c>
      <c r="F1616" s="107" t="s">
        <v>2959</v>
      </c>
      <c r="G1616" s="107" t="s">
        <v>2965</v>
      </c>
      <c r="H1616" s="107" t="s">
        <v>2965</v>
      </c>
      <c r="I1616" s="107" t="s">
        <v>2996</v>
      </c>
      <c r="J1616" s="107" t="s">
        <v>2996</v>
      </c>
      <c r="K1616" s="107" t="s">
        <v>2996</v>
      </c>
      <c r="L1616" s="107">
        <v>59.38</v>
      </c>
      <c r="M1616" s="107">
        <v>2</v>
      </c>
    </row>
    <row r="1617" spans="1:13" x14ac:dyDescent="0.3">
      <c r="A1617" s="95">
        <f t="shared" si="25"/>
        <v>0</v>
      </c>
      <c r="B1617" s="106" t="s">
        <v>3245</v>
      </c>
      <c r="C1617" s="95" t="s">
        <v>3442</v>
      </c>
      <c r="D1617" s="106">
        <v>12</v>
      </c>
      <c r="E1617" s="107">
        <v>1</v>
      </c>
      <c r="F1617" s="107" t="s">
        <v>2959</v>
      </c>
      <c r="G1617" s="107" t="s">
        <v>2966</v>
      </c>
      <c r="H1617" s="107" t="s">
        <v>2985</v>
      </c>
      <c r="I1617" s="107" t="s">
        <v>2997</v>
      </c>
      <c r="J1617" s="107" t="s">
        <v>2997</v>
      </c>
      <c r="K1617" s="107" t="s">
        <v>2997</v>
      </c>
      <c r="L1617" s="107">
        <v>738.21</v>
      </c>
      <c r="M1617" s="107">
        <v>3</v>
      </c>
    </row>
    <row r="1618" spans="1:13" x14ac:dyDescent="0.3">
      <c r="A1618" s="95">
        <f t="shared" si="25"/>
        <v>0</v>
      </c>
      <c r="B1618" s="106" t="s">
        <v>3246</v>
      </c>
      <c r="C1618" s="95" t="s">
        <v>3443</v>
      </c>
      <c r="D1618" s="106">
        <v>12</v>
      </c>
      <c r="E1618" s="107">
        <v>1</v>
      </c>
      <c r="F1618" s="107" t="s">
        <v>2959</v>
      </c>
      <c r="G1618" s="107" t="s">
        <v>2965</v>
      </c>
      <c r="H1618" s="107" t="s">
        <v>2965</v>
      </c>
      <c r="I1618" s="107" t="s">
        <v>2997</v>
      </c>
      <c r="J1618" s="107" t="s">
        <v>2997</v>
      </c>
      <c r="K1618" s="107" t="s">
        <v>2997</v>
      </c>
      <c r="L1618" s="107">
        <v>105.59</v>
      </c>
      <c r="M1618" s="107"/>
    </row>
    <row r="1619" spans="1:13" x14ac:dyDescent="0.3">
      <c r="A1619" s="95">
        <f t="shared" si="25"/>
        <v>0</v>
      </c>
      <c r="B1619" s="106" t="s">
        <v>3247</v>
      </c>
      <c r="C1619" s="95" t="s">
        <v>3444</v>
      </c>
      <c r="D1619" s="106">
        <v>12</v>
      </c>
      <c r="E1619" s="107">
        <v>1</v>
      </c>
      <c r="F1619" s="107" t="s">
        <v>2959</v>
      </c>
      <c r="G1619" s="107" t="s">
        <v>2966</v>
      </c>
      <c r="H1619" s="107" t="s">
        <v>2984</v>
      </c>
      <c r="I1619" s="107" t="s">
        <v>2996</v>
      </c>
      <c r="J1619" s="107" t="s">
        <v>2996</v>
      </c>
      <c r="K1619" s="107" t="s">
        <v>2996</v>
      </c>
      <c r="L1619" s="107">
        <v>38.04</v>
      </c>
      <c r="M1619" s="107">
        <v>1</v>
      </c>
    </row>
    <row r="1620" spans="1:13" x14ac:dyDescent="0.3">
      <c r="A1620" s="95">
        <f t="shared" si="25"/>
        <v>0</v>
      </c>
      <c r="B1620" s="106" t="s">
        <v>3248</v>
      </c>
      <c r="C1620" s="95" t="s">
        <v>3445</v>
      </c>
      <c r="D1620" s="106">
        <v>12</v>
      </c>
      <c r="E1620" s="107">
        <v>1</v>
      </c>
      <c r="F1620" s="107" t="s">
        <v>2959</v>
      </c>
      <c r="G1620" s="107" t="s">
        <v>2966</v>
      </c>
      <c r="H1620" s="107" t="s">
        <v>2980</v>
      </c>
      <c r="I1620" s="107" t="s">
        <v>2997</v>
      </c>
      <c r="J1620" s="107" t="s">
        <v>2997</v>
      </c>
      <c r="K1620" s="107" t="s">
        <v>2996</v>
      </c>
      <c r="L1620" s="107">
        <v>56.51</v>
      </c>
      <c r="M1620" s="107">
        <v>2</v>
      </c>
    </row>
    <row r="1621" spans="1:13" x14ac:dyDescent="0.3">
      <c r="A1621" s="95">
        <f t="shared" si="25"/>
        <v>0</v>
      </c>
      <c r="B1621" s="106" t="s">
        <v>3249</v>
      </c>
      <c r="C1621" s="95" t="s">
        <v>3446</v>
      </c>
      <c r="D1621" s="106">
        <v>12</v>
      </c>
      <c r="E1621" s="107">
        <v>1</v>
      </c>
      <c r="F1621" s="107" t="s">
        <v>2959</v>
      </c>
      <c r="G1621" s="107" t="s">
        <v>2966</v>
      </c>
      <c r="H1621" s="107" t="s">
        <v>2984</v>
      </c>
      <c r="I1621" s="107" t="s">
        <v>2996</v>
      </c>
      <c r="J1621" s="107" t="s">
        <v>2996</v>
      </c>
      <c r="K1621" s="107" t="s">
        <v>2996</v>
      </c>
      <c r="L1621" s="107">
        <v>19.149999999999999</v>
      </c>
      <c r="M1621" s="107"/>
    </row>
    <row r="1622" spans="1:13" x14ac:dyDescent="0.3">
      <c r="A1622" s="95">
        <f t="shared" si="25"/>
        <v>0</v>
      </c>
      <c r="B1622" s="106" t="s">
        <v>3250</v>
      </c>
      <c r="C1622" s="95" t="s">
        <v>3447</v>
      </c>
      <c r="D1622" s="106">
        <v>12</v>
      </c>
      <c r="E1622" s="107">
        <v>1</v>
      </c>
      <c r="F1622" s="107" t="s">
        <v>2959</v>
      </c>
      <c r="G1622" s="107" t="s">
        <v>2961</v>
      </c>
      <c r="H1622" s="107" t="s">
        <v>2971</v>
      </c>
      <c r="I1622" s="107" t="s">
        <v>3618</v>
      </c>
      <c r="J1622" s="107" t="s">
        <v>3618</v>
      </c>
      <c r="K1622" s="107" t="s">
        <v>2998</v>
      </c>
      <c r="L1622" s="107">
        <v>76.22</v>
      </c>
      <c r="M1622" s="107"/>
    </row>
    <row r="1623" spans="1:13" x14ac:dyDescent="0.3">
      <c r="A1623" s="95">
        <f t="shared" si="25"/>
        <v>0</v>
      </c>
      <c r="B1623" s="106" t="s">
        <v>3251</v>
      </c>
      <c r="C1623" s="95" t="s">
        <v>3448</v>
      </c>
      <c r="D1623" s="106">
        <v>12</v>
      </c>
      <c r="E1623" s="107">
        <v>1</v>
      </c>
      <c r="F1623" s="107" t="s">
        <v>2959</v>
      </c>
      <c r="G1623" s="107" t="s">
        <v>2961</v>
      </c>
      <c r="H1623" s="107" t="s">
        <v>2981</v>
      </c>
      <c r="I1623" s="107" t="s">
        <v>2997</v>
      </c>
      <c r="J1623" s="107" t="s">
        <v>2997</v>
      </c>
      <c r="K1623" s="107" t="s">
        <v>2997</v>
      </c>
      <c r="L1623" s="107">
        <v>124.05</v>
      </c>
      <c r="M1623" s="107">
        <v>5</v>
      </c>
    </row>
    <row r="1624" spans="1:13" x14ac:dyDescent="0.3">
      <c r="A1624" s="95">
        <f t="shared" si="25"/>
        <v>0</v>
      </c>
      <c r="B1624" s="106" t="s">
        <v>3252</v>
      </c>
      <c r="C1624" s="95" t="s">
        <v>3449</v>
      </c>
      <c r="D1624" s="106">
        <v>12</v>
      </c>
      <c r="E1624" s="107">
        <v>1</v>
      </c>
      <c r="F1624" s="107" t="s">
        <v>2959</v>
      </c>
      <c r="G1624" s="107" t="s">
        <v>2961</v>
      </c>
      <c r="H1624" s="107" t="s">
        <v>2971</v>
      </c>
      <c r="I1624" s="107" t="s">
        <v>2997</v>
      </c>
      <c r="J1624" s="107" t="s">
        <v>2997</v>
      </c>
      <c r="K1624" s="107" t="s">
        <v>2997</v>
      </c>
      <c r="L1624" s="107">
        <v>37.33</v>
      </c>
      <c r="M1624" s="107"/>
    </row>
    <row r="1625" spans="1:13" x14ac:dyDescent="0.3">
      <c r="A1625" s="95">
        <f t="shared" si="25"/>
        <v>0</v>
      </c>
      <c r="B1625" s="106" t="s">
        <v>3253</v>
      </c>
      <c r="C1625" s="95" t="s">
        <v>3450</v>
      </c>
      <c r="D1625" s="106">
        <v>12</v>
      </c>
      <c r="E1625" s="107">
        <v>1</v>
      </c>
      <c r="F1625" s="107" t="s">
        <v>2959</v>
      </c>
      <c r="G1625" s="107" t="s">
        <v>2964</v>
      </c>
      <c r="H1625" s="107" t="s">
        <v>2976</v>
      </c>
      <c r="I1625" s="107" t="s">
        <v>2996</v>
      </c>
      <c r="J1625" s="107" t="s">
        <v>2996</v>
      </c>
      <c r="K1625" s="107" t="s">
        <v>2996</v>
      </c>
      <c r="L1625" s="107">
        <v>19.760000000000002</v>
      </c>
      <c r="M1625" s="107"/>
    </row>
    <row r="1626" spans="1:13" x14ac:dyDescent="0.3">
      <c r="A1626" s="95">
        <f t="shared" si="25"/>
        <v>1</v>
      </c>
      <c r="B1626" s="106" t="s">
        <v>3254</v>
      </c>
      <c r="C1626" s="95" t="s">
        <v>3451</v>
      </c>
      <c r="D1626" s="106">
        <v>12</v>
      </c>
      <c r="E1626" s="107">
        <v>1</v>
      </c>
      <c r="F1626" s="107" t="s">
        <v>2959</v>
      </c>
      <c r="G1626" s="107" t="s">
        <v>2961</v>
      </c>
      <c r="H1626" s="107" t="s">
        <v>2981</v>
      </c>
      <c r="I1626" s="107" t="s">
        <v>2997</v>
      </c>
      <c r="J1626" s="107" t="s">
        <v>2997</v>
      </c>
      <c r="K1626" s="107" t="s">
        <v>2997</v>
      </c>
      <c r="L1626" s="107">
        <v>539.78</v>
      </c>
      <c r="M1626" s="107">
        <v>9</v>
      </c>
    </row>
    <row r="1627" spans="1:13" x14ac:dyDescent="0.3">
      <c r="A1627" s="95">
        <f t="shared" si="25"/>
        <v>0</v>
      </c>
      <c r="B1627" s="106" t="s">
        <v>3255</v>
      </c>
      <c r="C1627" s="95" t="s">
        <v>3452</v>
      </c>
      <c r="D1627" s="106">
        <v>12</v>
      </c>
      <c r="E1627" s="107">
        <v>1</v>
      </c>
      <c r="F1627" s="107" t="s">
        <v>2958</v>
      </c>
      <c r="G1627" s="107" t="s">
        <v>2964</v>
      </c>
      <c r="H1627" s="107" t="s">
        <v>2987</v>
      </c>
      <c r="I1627" s="107" t="s">
        <v>2997</v>
      </c>
      <c r="J1627" s="107" t="s">
        <v>2997</v>
      </c>
      <c r="K1627" s="107" t="s">
        <v>2997</v>
      </c>
      <c r="L1627" s="107">
        <v>794.35</v>
      </c>
      <c r="M1627" s="107">
        <v>1</v>
      </c>
    </row>
    <row r="1628" spans="1:13" x14ac:dyDescent="0.3">
      <c r="A1628" s="95">
        <f t="shared" si="25"/>
        <v>0</v>
      </c>
      <c r="B1628" s="106" t="s">
        <v>3256</v>
      </c>
      <c r="C1628" s="95" t="s">
        <v>3453</v>
      </c>
      <c r="D1628" s="106">
        <v>12</v>
      </c>
      <c r="E1628" s="107">
        <v>1</v>
      </c>
      <c r="F1628" s="107" t="s">
        <v>2959</v>
      </c>
      <c r="G1628" s="107" t="s">
        <v>2966</v>
      </c>
      <c r="H1628" s="107" t="s">
        <v>2984</v>
      </c>
      <c r="I1628" s="107" t="s">
        <v>2997</v>
      </c>
      <c r="J1628" s="107" t="s">
        <v>2997</v>
      </c>
      <c r="K1628" s="107" t="s">
        <v>2997</v>
      </c>
      <c r="L1628" s="107">
        <v>185.18</v>
      </c>
      <c r="M1628" s="107">
        <v>2</v>
      </c>
    </row>
    <row r="1629" spans="1:13" x14ac:dyDescent="0.3">
      <c r="A1629" s="95">
        <f t="shared" si="25"/>
        <v>0</v>
      </c>
      <c r="B1629" s="106" t="s">
        <v>3257</v>
      </c>
      <c r="C1629" s="95" t="s">
        <v>3454</v>
      </c>
      <c r="D1629" s="106">
        <v>12</v>
      </c>
      <c r="E1629" s="107">
        <v>1</v>
      </c>
      <c r="F1629" s="107" t="s">
        <v>2959</v>
      </c>
      <c r="G1629" s="107" t="s">
        <v>2961</v>
      </c>
      <c r="H1629" s="107" t="s">
        <v>2971</v>
      </c>
      <c r="I1629" s="107" t="s">
        <v>2997</v>
      </c>
      <c r="J1629" s="107" t="s">
        <v>2997</v>
      </c>
      <c r="K1629" s="107" t="s">
        <v>2997</v>
      </c>
      <c r="L1629" s="107">
        <v>64.37</v>
      </c>
      <c r="M1629" s="107">
        <v>1</v>
      </c>
    </row>
    <row r="1630" spans="1:13" x14ac:dyDescent="0.3">
      <c r="A1630" s="95">
        <f t="shared" si="25"/>
        <v>0</v>
      </c>
      <c r="B1630" s="106" t="s">
        <v>3258</v>
      </c>
      <c r="C1630" s="95" t="s">
        <v>3455</v>
      </c>
      <c r="D1630" s="106">
        <v>12</v>
      </c>
      <c r="E1630" s="107">
        <v>1</v>
      </c>
      <c r="F1630" s="107" t="s">
        <v>2959</v>
      </c>
      <c r="G1630" s="107" t="s">
        <v>2966</v>
      </c>
      <c r="H1630" s="107" t="s">
        <v>2980</v>
      </c>
      <c r="I1630" s="107" t="s">
        <v>2996</v>
      </c>
      <c r="J1630" s="107" t="s">
        <v>2996</v>
      </c>
      <c r="K1630" s="107" t="s">
        <v>2996</v>
      </c>
      <c r="L1630" s="107">
        <v>159.55000000000001</v>
      </c>
      <c r="M1630" s="107">
        <v>4</v>
      </c>
    </row>
    <row r="1631" spans="1:13" x14ac:dyDescent="0.3">
      <c r="A1631" s="95">
        <f t="shared" si="25"/>
        <v>0</v>
      </c>
      <c r="B1631" s="106" t="s">
        <v>3259</v>
      </c>
      <c r="C1631" s="95" t="s">
        <v>3456</v>
      </c>
      <c r="D1631" s="106">
        <v>12</v>
      </c>
      <c r="E1631" s="107">
        <v>1</v>
      </c>
      <c r="F1631" s="107" t="s">
        <v>2959</v>
      </c>
      <c r="G1631" s="107" t="s">
        <v>2965</v>
      </c>
      <c r="H1631" s="107" t="s">
        <v>2965</v>
      </c>
      <c r="I1631" s="107" t="s">
        <v>2997</v>
      </c>
      <c r="J1631" s="107" t="s">
        <v>2997</v>
      </c>
      <c r="K1631" s="107" t="s">
        <v>2997</v>
      </c>
      <c r="L1631" s="107">
        <v>321.05</v>
      </c>
      <c r="M1631" s="107">
        <v>1</v>
      </c>
    </row>
    <row r="1632" spans="1:13" x14ac:dyDescent="0.3">
      <c r="A1632" s="95">
        <f t="shared" si="25"/>
        <v>0</v>
      </c>
      <c r="B1632" s="106" t="s">
        <v>3260</v>
      </c>
      <c r="C1632" s="95" t="s">
        <v>3457</v>
      </c>
      <c r="D1632" s="106">
        <v>12</v>
      </c>
      <c r="E1632" s="107">
        <v>1</v>
      </c>
      <c r="F1632" s="107" t="s">
        <v>2959</v>
      </c>
      <c r="G1632" s="107" t="s">
        <v>2961</v>
      </c>
      <c r="H1632" s="107" t="s">
        <v>2972</v>
      </c>
      <c r="I1632" s="107" t="s">
        <v>2997</v>
      </c>
      <c r="J1632" s="107" t="s">
        <v>2997</v>
      </c>
      <c r="K1632" s="107" t="s">
        <v>2997</v>
      </c>
      <c r="L1632" s="107">
        <v>110</v>
      </c>
      <c r="M1632" s="107"/>
    </row>
    <row r="1633" spans="1:13" x14ac:dyDescent="0.3">
      <c r="A1633" s="95">
        <f t="shared" si="25"/>
        <v>0</v>
      </c>
      <c r="B1633" s="106" t="s">
        <v>3261</v>
      </c>
      <c r="C1633" s="95" t="s">
        <v>3458</v>
      </c>
      <c r="D1633" s="106">
        <v>12</v>
      </c>
      <c r="E1633" s="107">
        <v>1</v>
      </c>
      <c r="F1633" s="107" t="s">
        <v>2959</v>
      </c>
      <c r="G1633" s="107" t="s">
        <v>2961</v>
      </c>
      <c r="H1633" s="107" t="s">
        <v>2971</v>
      </c>
      <c r="I1633" s="107" t="s">
        <v>2997</v>
      </c>
      <c r="J1633" s="107" t="s">
        <v>2997</v>
      </c>
      <c r="K1633" s="107" t="s">
        <v>2997</v>
      </c>
      <c r="L1633" s="107">
        <v>110.87</v>
      </c>
      <c r="M1633" s="107">
        <v>3</v>
      </c>
    </row>
    <row r="1634" spans="1:13" x14ac:dyDescent="0.3">
      <c r="A1634" s="95">
        <f t="shared" si="25"/>
        <v>0</v>
      </c>
      <c r="B1634" s="106" t="s">
        <v>3262</v>
      </c>
      <c r="C1634" s="95" t="s">
        <v>3459</v>
      </c>
      <c r="D1634" s="106">
        <v>12</v>
      </c>
      <c r="E1634" s="107">
        <v>1</v>
      </c>
      <c r="F1634" s="107" t="s">
        <v>2959</v>
      </c>
      <c r="G1634" s="107" t="s">
        <v>2961</v>
      </c>
      <c r="H1634" s="107" t="s">
        <v>2981</v>
      </c>
      <c r="I1634" s="107" t="s">
        <v>2997</v>
      </c>
      <c r="J1634" s="107" t="s">
        <v>2997</v>
      </c>
      <c r="K1634" s="107" t="s">
        <v>2997</v>
      </c>
      <c r="L1634" s="107">
        <v>59.4</v>
      </c>
      <c r="M1634" s="107">
        <v>2</v>
      </c>
    </row>
    <row r="1635" spans="1:13" x14ac:dyDescent="0.3">
      <c r="A1635" s="95">
        <f t="shared" si="25"/>
        <v>0</v>
      </c>
      <c r="B1635" s="106" t="s">
        <v>3263</v>
      </c>
      <c r="C1635" s="95" t="s">
        <v>3460</v>
      </c>
      <c r="D1635" s="106">
        <v>12</v>
      </c>
      <c r="E1635" s="107">
        <v>1</v>
      </c>
      <c r="F1635" s="107" t="s">
        <v>2958</v>
      </c>
      <c r="G1635" s="107" t="s">
        <v>2961</v>
      </c>
      <c r="H1635" s="107" t="s">
        <v>2972</v>
      </c>
      <c r="I1635" s="107" t="s">
        <v>2997</v>
      </c>
      <c r="J1635" s="107" t="s">
        <v>2997</v>
      </c>
      <c r="K1635" s="107" t="s">
        <v>2997</v>
      </c>
      <c r="L1635" s="107">
        <v>27.8</v>
      </c>
      <c r="M1635" s="107"/>
    </row>
    <row r="1636" spans="1:13" x14ac:dyDescent="0.3">
      <c r="A1636" s="95">
        <f t="shared" si="25"/>
        <v>0</v>
      </c>
      <c r="B1636" s="106" t="s">
        <v>3264</v>
      </c>
      <c r="C1636" s="95" t="s">
        <v>3461</v>
      </c>
      <c r="D1636" s="106">
        <v>12</v>
      </c>
      <c r="E1636" s="107">
        <v>1</v>
      </c>
      <c r="F1636" s="107" t="s">
        <v>2958</v>
      </c>
      <c r="G1636" s="107" t="s">
        <v>2961</v>
      </c>
      <c r="H1636" s="107" t="s">
        <v>2971</v>
      </c>
      <c r="I1636" s="107" t="s">
        <v>2997</v>
      </c>
      <c r="J1636" s="107" t="s">
        <v>2997</v>
      </c>
      <c r="K1636" s="107" t="s">
        <v>2997</v>
      </c>
      <c r="L1636" s="107">
        <v>187.26</v>
      </c>
      <c r="M1636" s="107">
        <v>1</v>
      </c>
    </row>
    <row r="1637" spans="1:13" x14ac:dyDescent="0.3">
      <c r="A1637" s="95">
        <f t="shared" si="25"/>
        <v>0</v>
      </c>
      <c r="B1637" s="106" t="s">
        <v>3265</v>
      </c>
      <c r="C1637" s="95" t="s">
        <v>3462</v>
      </c>
      <c r="D1637" s="106">
        <v>12</v>
      </c>
      <c r="E1637" s="107">
        <v>1</v>
      </c>
      <c r="F1637" s="107" t="s">
        <v>2959</v>
      </c>
      <c r="G1637" s="107" t="s">
        <v>2961</v>
      </c>
      <c r="H1637" s="107" t="s">
        <v>2972</v>
      </c>
      <c r="I1637" s="107" t="s">
        <v>2997</v>
      </c>
      <c r="J1637" s="107" t="s">
        <v>2997</v>
      </c>
      <c r="K1637" s="107" t="s">
        <v>2997</v>
      </c>
      <c r="L1637" s="107">
        <v>55.46</v>
      </c>
      <c r="M1637" s="107"/>
    </row>
    <row r="1638" spans="1:13" x14ac:dyDescent="0.3">
      <c r="A1638" s="95">
        <f t="shared" si="25"/>
        <v>0</v>
      </c>
      <c r="B1638" s="106" t="s">
        <v>3266</v>
      </c>
      <c r="C1638" s="95" t="s">
        <v>3463</v>
      </c>
      <c r="D1638" s="106">
        <v>12</v>
      </c>
      <c r="E1638" s="107">
        <v>1</v>
      </c>
      <c r="F1638" s="107" t="s">
        <v>2959</v>
      </c>
      <c r="G1638" s="107" t="s">
        <v>2966</v>
      </c>
      <c r="H1638" s="107" t="s">
        <v>2980</v>
      </c>
      <c r="I1638" s="107" t="s">
        <v>2996</v>
      </c>
      <c r="J1638" s="107" t="s">
        <v>2996</v>
      </c>
      <c r="K1638" s="107" t="s">
        <v>2996</v>
      </c>
      <c r="L1638" s="107">
        <v>146.35</v>
      </c>
      <c r="M1638" s="107"/>
    </row>
    <row r="1639" spans="1:13" x14ac:dyDescent="0.3">
      <c r="A1639" s="95">
        <f t="shared" si="25"/>
        <v>0</v>
      </c>
      <c r="B1639" s="106" t="s">
        <v>3267</v>
      </c>
      <c r="C1639" s="95" t="s">
        <v>3464</v>
      </c>
      <c r="D1639" s="106">
        <v>12</v>
      </c>
      <c r="E1639" s="107">
        <v>1</v>
      </c>
      <c r="F1639" s="107" t="s">
        <v>2958</v>
      </c>
      <c r="G1639" s="107" t="s">
        <v>2961</v>
      </c>
      <c r="H1639" s="107" t="s">
        <v>2981</v>
      </c>
      <c r="I1639" s="107" t="s">
        <v>2997</v>
      </c>
      <c r="J1639" s="107" t="s">
        <v>2997</v>
      </c>
      <c r="K1639" s="107" t="s">
        <v>2997</v>
      </c>
      <c r="L1639" s="107">
        <v>470.24</v>
      </c>
      <c r="M1639" s="107">
        <v>3</v>
      </c>
    </row>
    <row r="1640" spans="1:13" x14ac:dyDescent="0.3">
      <c r="A1640" s="95">
        <f t="shared" si="25"/>
        <v>0</v>
      </c>
      <c r="B1640" s="106" t="s">
        <v>3268</v>
      </c>
      <c r="C1640" s="95" t="s">
        <v>3465</v>
      </c>
      <c r="D1640" s="106">
        <v>12</v>
      </c>
      <c r="E1640" s="107">
        <v>1</v>
      </c>
      <c r="F1640" s="107" t="s">
        <v>2959</v>
      </c>
      <c r="G1640" s="107" t="s">
        <v>2961</v>
      </c>
      <c r="H1640" s="107" t="s">
        <v>2971</v>
      </c>
      <c r="I1640" s="107" t="s">
        <v>2996</v>
      </c>
      <c r="J1640" s="107" t="s">
        <v>2996</v>
      </c>
      <c r="K1640" s="107" t="s">
        <v>2996</v>
      </c>
      <c r="L1640" s="107">
        <v>75.599999999999994</v>
      </c>
      <c r="M1640" s="107"/>
    </row>
    <row r="1641" spans="1:13" x14ac:dyDescent="0.3">
      <c r="A1641" s="95">
        <f t="shared" si="25"/>
        <v>0</v>
      </c>
      <c r="B1641" s="106" t="s">
        <v>3269</v>
      </c>
      <c r="C1641" s="95" t="s">
        <v>3466</v>
      </c>
      <c r="D1641" s="106">
        <v>12</v>
      </c>
      <c r="E1641" s="107">
        <v>1</v>
      </c>
      <c r="F1641" s="107" t="s">
        <v>2959</v>
      </c>
      <c r="G1641" s="107" t="s">
        <v>2961</v>
      </c>
      <c r="H1641" s="107" t="s">
        <v>2971</v>
      </c>
      <c r="I1641" s="107" t="s">
        <v>2996</v>
      </c>
      <c r="J1641" s="107" t="s">
        <v>2996</v>
      </c>
      <c r="K1641" s="107" t="s">
        <v>2996</v>
      </c>
      <c r="L1641" s="107">
        <v>59.49</v>
      </c>
      <c r="M1641" s="107">
        <v>1</v>
      </c>
    </row>
    <row r="1642" spans="1:13" x14ac:dyDescent="0.3">
      <c r="A1642" s="95">
        <f t="shared" si="25"/>
        <v>0</v>
      </c>
      <c r="B1642" s="106" t="s">
        <v>3270</v>
      </c>
      <c r="C1642" s="95" t="s">
        <v>3467</v>
      </c>
      <c r="D1642" s="106">
        <v>12</v>
      </c>
      <c r="E1642" s="107">
        <v>1</v>
      </c>
      <c r="F1642" s="107" t="s">
        <v>2959</v>
      </c>
      <c r="G1642" s="107" t="s">
        <v>2966</v>
      </c>
      <c r="H1642" s="107" t="s">
        <v>2984</v>
      </c>
      <c r="I1642" s="107" t="s">
        <v>2996</v>
      </c>
      <c r="J1642" s="107" t="s">
        <v>2996</v>
      </c>
      <c r="K1642" s="107" t="s">
        <v>2996</v>
      </c>
      <c r="L1642" s="107">
        <v>132.31</v>
      </c>
      <c r="M1642" s="107"/>
    </row>
    <row r="1643" spans="1:13" x14ac:dyDescent="0.3">
      <c r="A1643" s="95">
        <f t="shared" si="25"/>
        <v>0</v>
      </c>
      <c r="B1643" s="106" t="s">
        <v>3271</v>
      </c>
      <c r="C1643" s="95" t="s">
        <v>3468</v>
      </c>
      <c r="D1643" s="106">
        <v>12</v>
      </c>
      <c r="E1643" s="107">
        <v>1</v>
      </c>
      <c r="F1643" s="107" t="s">
        <v>2959</v>
      </c>
      <c r="G1643" s="107" t="s">
        <v>2964</v>
      </c>
      <c r="H1643" s="107" t="s">
        <v>2976</v>
      </c>
      <c r="I1643" s="107" t="s">
        <v>2997</v>
      </c>
      <c r="J1643" s="107" t="s">
        <v>2997</v>
      </c>
      <c r="K1643" s="107" t="s">
        <v>2996</v>
      </c>
      <c r="L1643" s="107">
        <v>38.6</v>
      </c>
      <c r="M1643" s="107"/>
    </row>
    <row r="1644" spans="1:13" x14ac:dyDescent="0.3">
      <c r="A1644" s="95">
        <f t="shared" si="25"/>
        <v>0</v>
      </c>
      <c r="B1644" s="106" t="s">
        <v>3272</v>
      </c>
      <c r="C1644" s="95" t="s">
        <v>3469</v>
      </c>
      <c r="D1644" s="106">
        <v>12</v>
      </c>
      <c r="E1644" s="107">
        <v>1</v>
      </c>
      <c r="F1644" s="107" t="s">
        <v>2959</v>
      </c>
      <c r="G1644" s="107" t="s">
        <v>2964</v>
      </c>
      <c r="H1644" s="107" t="s">
        <v>2976</v>
      </c>
      <c r="I1644" s="107" t="s">
        <v>2997</v>
      </c>
      <c r="J1644" s="107" t="s">
        <v>2997</v>
      </c>
      <c r="K1644" s="107" t="s">
        <v>2997</v>
      </c>
      <c r="L1644" s="107">
        <v>65.680000000000007</v>
      </c>
      <c r="M1644" s="107">
        <v>1</v>
      </c>
    </row>
    <row r="1645" spans="1:13" x14ac:dyDescent="0.3">
      <c r="A1645" s="95">
        <f t="shared" si="25"/>
        <v>0</v>
      </c>
      <c r="B1645" s="106" t="s">
        <v>3273</v>
      </c>
      <c r="C1645" s="95" t="s">
        <v>3470</v>
      </c>
      <c r="D1645" s="106">
        <v>12</v>
      </c>
      <c r="E1645" s="107">
        <v>1</v>
      </c>
      <c r="F1645" s="107" t="s">
        <v>2959</v>
      </c>
      <c r="G1645" s="107" t="s">
        <v>2960</v>
      </c>
      <c r="H1645" s="107" t="s">
        <v>2970</v>
      </c>
      <c r="I1645" s="107" t="s">
        <v>2996</v>
      </c>
      <c r="J1645" s="107" t="s">
        <v>2996</v>
      </c>
      <c r="K1645" s="107" t="s">
        <v>2996</v>
      </c>
      <c r="L1645" s="107">
        <v>55.17</v>
      </c>
      <c r="M1645" s="107"/>
    </row>
    <row r="1646" spans="1:13" x14ac:dyDescent="0.3">
      <c r="A1646" s="95">
        <f t="shared" si="25"/>
        <v>0</v>
      </c>
      <c r="B1646" s="106" t="s">
        <v>3274</v>
      </c>
      <c r="C1646" s="95" t="s">
        <v>3471</v>
      </c>
      <c r="D1646" s="106">
        <v>12</v>
      </c>
      <c r="E1646" s="107">
        <v>1</v>
      </c>
      <c r="F1646" s="107" t="s">
        <v>2959</v>
      </c>
      <c r="G1646" s="107" t="s">
        <v>2965</v>
      </c>
      <c r="H1646" s="107" t="s">
        <v>2965</v>
      </c>
      <c r="I1646" s="107" t="s">
        <v>2996</v>
      </c>
      <c r="J1646" s="107" t="s">
        <v>2996</v>
      </c>
      <c r="K1646" s="107" t="s">
        <v>2996</v>
      </c>
      <c r="L1646" s="107">
        <v>41.27</v>
      </c>
      <c r="M1646" s="107"/>
    </row>
    <row r="1647" spans="1:13" x14ac:dyDescent="0.3">
      <c r="A1647" s="95">
        <f t="shared" si="25"/>
        <v>0</v>
      </c>
      <c r="B1647" s="106" t="s">
        <v>3275</v>
      </c>
      <c r="C1647" s="95" t="s">
        <v>3472</v>
      </c>
      <c r="D1647" s="106">
        <v>12</v>
      </c>
      <c r="E1647" s="107">
        <v>1</v>
      </c>
      <c r="F1647" s="107" t="s">
        <v>2958</v>
      </c>
      <c r="G1647" s="107" t="s">
        <v>2967</v>
      </c>
      <c r="H1647" s="107" t="s">
        <v>2967</v>
      </c>
      <c r="I1647" s="107" t="s">
        <v>2997</v>
      </c>
      <c r="J1647" s="107" t="s">
        <v>2997</v>
      </c>
      <c r="K1647" s="107" t="s">
        <v>2996</v>
      </c>
      <c r="L1647" s="107">
        <v>50.65</v>
      </c>
      <c r="M1647" s="107"/>
    </row>
    <row r="1648" spans="1:13" x14ac:dyDescent="0.3">
      <c r="A1648" s="95">
        <f t="shared" si="25"/>
        <v>1</v>
      </c>
      <c r="B1648" s="106" t="s">
        <v>3276</v>
      </c>
      <c r="C1648" s="95" t="s">
        <v>3473</v>
      </c>
      <c r="D1648" s="106">
        <v>12</v>
      </c>
      <c r="E1648" s="107">
        <v>1</v>
      </c>
      <c r="F1648" s="107" t="s">
        <v>2958</v>
      </c>
      <c r="G1648" s="107" t="s">
        <v>2960</v>
      </c>
      <c r="H1648" s="107" t="s">
        <v>2970</v>
      </c>
      <c r="I1648" s="107" t="s">
        <v>2997</v>
      </c>
      <c r="J1648" s="107" t="s">
        <v>2997</v>
      </c>
      <c r="K1648" s="107" t="s">
        <v>2997</v>
      </c>
      <c r="L1648" s="107">
        <v>1250.45</v>
      </c>
      <c r="M1648" s="107">
        <v>7</v>
      </c>
    </row>
    <row r="1649" spans="1:13" x14ac:dyDescent="0.3">
      <c r="A1649" s="95">
        <f t="shared" si="25"/>
        <v>0</v>
      </c>
      <c r="B1649" s="106" t="s">
        <v>3277</v>
      </c>
      <c r="C1649" s="95" t="s">
        <v>3474</v>
      </c>
      <c r="D1649" s="106">
        <v>12</v>
      </c>
      <c r="E1649" s="107">
        <v>1</v>
      </c>
      <c r="F1649" s="107" t="s">
        <v>2958</v>
      </c>
      <c r="G1649" s="107" t="s">
        <v>2964</v>
      </c>
      <c r="H1649" s="107" t="s">
        <v>2975</v>
      </c>
      <c r="I1649" s="107" t="s">
        <v>2997</v>
      </c>
      <c r="J1649" s="107" t="s">
        <v>2997</v>
      </c>
      <c r="K1649" s="107" t="s">
        <v>2997</v>
      </c>
      <c r="L1649" s="107">
        <v>106.48</v>
      </c>
      <c r="M1649" s="107"/>
    </row>
    <row r="1650" spans="1:13" x14ac:dyDescent="0.3">
      <c r="A1650" s="95">
        <f t="shared" si="25"/>
        <v>0</v>
      </c>
      <c r="B1650" s="106" t="s">
        <v>3278</v>
      </c>
      <c r="C1650" s="95" t="s">
        <v>3475</v>
      </c>
      <c r="D1650" s="106">
        <v>12</v>
      </c>
      <c r="E1650" s="107">
        <v>1</v>
      </c>
      <c r="F1650" s="107" t="s">
        <v>2959</v>
      </c>
      <c r="G1650" s="107" t="s">
        <v>2962</v>
      </c>
      <c r="H1650" s="107" t="s">
        <v>2995</v>
      </c>
      <c r="I1650" s="107" t="s">
        <v>2996</v>
      </c>
      <c r="J1650" s="107" t="s">
        <v>2996</v>
      </c>
      <c r="K1650" s="107" t="s">
        <v>2996</v>
      </c>
      <c r="L1650" s="107">
        <v>36.340000000000003</v>
      </c>
      <c r="M1650" s="107">
        <v>1</v>
      </c>
    </row>
    <row r="1651" spans="1:13" x14ac:dyDescent="0.3">
      <c r="A1651" s="95">
        <f t="shared" si="25"/>
        <v>0</v>
      </c>
      <c r="B1651" s="106" t="s">
        <v>3279</v>
      </c>
      <c r="C1651" s="95" t="s">
        <v>3476</v>
      </c>
      <c r="D1651" s="106">
        <v>12</v>
      </c>
      <c r="E1651" s="107">
        <v>1</v>
      </c>
      <c r="F1651" s="107" t="s">
        <v>2958</v>
      </c>
      <c r="G1651" s="107" t="s">
        <v>2968</v>
      </c>
      <c r="H1651" s="107" t="s">
        <v>2968</v>
      </c>
      <c r="I1651" s="107" t="s">
        <v>2997</v>
      </c>
      <c r="J1651" s="107" t="s">
        <v>2997</v>
      </c>
      <c r="K1651" s="107" t="s">
        <v>2996</v>
      </c>
      <c r="L1651" s="107">
        <v>125.02</v>
      </c>
      <c r="M1651" s="107"/>
    </row>
    <row r="1652" spans="1:13" x14ac:dyDescent="0.3">
      <c r="A1652" s="95">
        <f t="shared" si="25"/>
        <v>0</v>
      </c>
      <c r="B1652" s="106" t="s">
        <v>3280</v>
      </c>
      <c r="C1652" s="95" t="s">
        <v>3477</v>
      </c>
      <c r="D1652" s="106">
        <v>12</v>
      </c>
      <c r="E1652" s="107">
        <v>1</v>
      </c>
      <c r="F1652" s="107" t="s">
        <v>2959</v>
      </c>
      <c r="G1652" s="107" t="s">
        <v>2961</v>
      </c>
      <c r="H1652" s="107" t="s">
        <v>2971</v>
      </c>
      <c r="I1652" s="107" t="s">
        <v>2996</v>
      </c>
      <c r="J1652" s="107" t="s">
        <v>2996</v>
      </c>
      <c r="K1652" s="107" t="s">
        <v>2996</v>
      </c>
      <c r="L1652" s="107">
        <v>25.14</v>
      </c>
      <c r="M1652" s="107"/>
    </row>
    <row r="1653" spans="1:13" x14ac:dyDescent="0.3">
      <c r="A1653" s="95">
        <f t="shared" si="25"/>
        <v>1</v>
      </c>
      <c r="B1653" s="106" t="s">
        <v>3281</v>
      </c>
      <c r="C1653" s="95" t="s">
        <v>3478</v>
      </c>
      <c r="D1653" s="106">
        <v>12</v>
      </c>
      <c r="E1653" s="107">
        <v>1</v>
      </c>
      <c r="F1653" s="107" t="s">
        <v>2959</v>
      </c>
      <c r="G1653" s="107" t="s">
        <v>2961</v>
      </c>
      <c r="H1653" s="107" t="s">
        <v>2981</v>
      </c>
      <c r="I1653" s="107" t="s">
        <v>2997</v>
      </c>
      <c r="J1653" s="107" t="s">
        <v>2997</v>
      </c>
      <c r="K1653" s="107" t="s">
        <v>2997</v>
      </c>
      <c r="L1653" s="107">
        <v>1316.4</v>
      </c>
      <c r="M1653" s="107">
        <v>11</v>
      </c>
    </row>
    <row r="1654" spans="1:13" x14ac:dyDescent="0.3">
      <c r="A1654" s="95">
        <f t="shared" si="25"/>
        <v>0</v>
      </c>
      <c r="B1654" s="106" t="s">
        <v>3282</v>
      </c>
      <c r="C1654" s="95" t="s">
        <v>3479</v>
      </c>
      <c r="D1654" s="106">
        <v>12</v>
      </c>
      <c r="E1654" s="107">
        <v>1</v>
      </c>
      <c r="F1654" s="107" t="s">
        <v>2959</v>
      </c>
      <c r="G1654" s="107" t="s">
        <v>2966</v>
      </c>
      <c r="H1654" s="107" t="s">
        <v>2985</v>
      </c>
      <c r="I1654" s="107" t="s">
        <v>2996</v>
      </c>
      <c r="J1654" s="107" t="s">
        <v>2996</v>
      </c>
      <c r="K1654" s="107" t="s">
        <v>2996</v>
      </c>
      <c r="L1654" s="107">
        <v>40.549999999999997</v>
      </c>
      <c r="M1654" s="107">
        <v>1</v>
      </c>
    </row>
    <row r="1655" spans="1:13" x14ac:dyDescent="0.3">
      <c r="A1655" s="95">
        <f t="shared" si="25"/>
        <v>0</v>
      </c>
      <c r="B1655" s="106" t="s">
        <v>3283</v>
      </c>
      <c r="C1655" s="95" t="s">
        <v>3480</v>
      </c>
      <c r="D1655" s="106">
        <v>12</v>
      </c>
      <c r="E1655" s="107">
        <v>1</v>
      </c>
      <c r="F1655" s="107" t="s">
        <v>2959</v>
      </c>
      <c r="G1655" s="107" t="s">
        <v>2965</v>
      </c>
      <c r="H1655" s="107" t="s">
        <v>2965</v>
      </c>
      <c r="I1655" s="107" t="s">
        <v>2997</v>
      </c>
      <c r="J1655" s="107" t="s">
        <v>2997</v>
      </c>
      <c r="K1655" s="107" t="s">
        <v>2997</v>
      </c>
      <c r="L1655" s="107">
        <v>47.91</v>
      </c>
      <c r="M1655" s="107">
        <v>1</v>
      </c>
    </row>
    <row r="1656" spans="1:13" x14ac:dyDescent="0.3">
      <c r="A1656" s="95">
        <f t="shared" si="25"/>
        <v>0</v>
      </c>
      <c r="B1656" s="106" t="s">
        <v>3284</v>
      </c>
      <c r="C1656" s="95" t="s">
        <v>3481</v>
      </c>
      <c r="D1656" s="106">
        <v>12</v>
      </c>
      <c r="E1656" s="107">
        <v>1</v>
      </c>
      <c r="F1656" s="107" t="s">
        <v>2959</v>
      </c>
      <c r="G1656" s="107" t="s">
        <v>2966</v>
      </c>
      <c r="H1656" s="107" t="s">
        <v>2984</v>
      </c>
      <c r="I1656" s="107" t="s">
        <v>2997</v>
      </c>
      <c r="J1656" s="107" t="s">
        <v>2997</v>
      </c>
      <c r="K1656" s="107" t="s">
        <v>2996</v>
      </c>
      <c r="L1656" s="107">
        <v>43.14</v>
      </c>
      <c r="M1656" s="107"/>
    </row>
    <row r="1657" spans="1:13" x14ac:dyDescent="0.3">
      <c r="A1657" s="95">
        <f t="shared" si="25"/>
        <v>0</v>
      </c>
      <c r="B1657" s="106" t="s">
        <v>3285</v>
      </c>
      <c r="C1657" s="95" t="s">
        <v>3482</v>
      </c>
      <c r="D1657" s="106">
        <v>12</v>
      </c>
      <c r="E1657" s="107">
        <v>1</v>
      </c>
      <c r="F1657" s="107" t="s">
        <v>2959</v>
      </c>
      <c r="G1657" s="107" t="s">
        <v>2960</v>
      </c>
      <c r="H1657" s="107" t="s">
        <v>2970</v>
      </c>
      <c r="I1657" s="107" t="s">
        <v>2997</v>
      </c>
      <c r="J1657" s="107" t="s">
        <v>2997</v>
      </c>
      <c r="K1657" s="107" t="s">
        <v>2996</v>
      </c>
      <c r="L1657" s="107">
        <v>36.97</v>
      </c>
      <c r="M1657" s="107">
        <v>1</v>
      </c>
    </row>
    <row r="1658" spans="1:13" x14ac:dyDescent="0.3">
      <c r="A1658" s="95">
        <f t="shared" si="25"/>
        <v>0</v>
      </c>
      <c r="B1658" s="106" t="s">
        <v>3286</v>
      </c>
      <c r="C1658" s="95" t="s">
        <v>3483</v>
      </c>
      <c r="D1658" s="106">
        <v>12</v>
      </c>
      <c r="E1658" s="107">
        <v>1</v>
      </c>
      <c r="F1658" s="107" t="s">
        <v>2959</v>
      </c>
      <c r="G1658" s="107" t="s">
        <v>2966</v>
      </c>
      <c r="H1658" s="107" t="s">
        <v>2978</v>
      </c>
      <c r="I1658" s="107" t="s">
        <v>2997</v>
      </c>
      <c r="J1658" s="107" t="s">
        <v>2997</v>
      </c>
      <c r="K1658" s="107" t="s">
        <v>2997</v>
      </c>
      <c r="L1658" s="107">
        <v>101.27</v>
      </c>
      <c r="M1658" s="107"/>
    </row>
    <row r="1659" spans="1:13" x14ac:dyDescent="0.3">
      <c r="A1659" s="95">
        <f t="shared" si="25"/>
        <v>0</v>
      </c>
      <c r="B1659" s="106" t="s">
        <v>3287</v>
      </c>
      <c r="C1659" s="95" t="s">
        <v>3484</v>
      </c>
      <c r="D1659" s="106">
        <v>12</v>
      </c>
      <c r="E1659" s="107">
        <v>1</v>
      </c>
      <c r="F1659" s="107" t="s">
        <v>2959</v>
      </c>
      <c r="G1659" s="107" t="s">
        <v>2966</v>
      </c>
      <c r="H1659" s="107" t="s">
        <v>2977</v>
      </c>
      <c r="I1659" s="107" t="s">
        <v>2996</v>
      </c>
      <c r="J1659" s="107" t="s">
        <v>2996</v>
      </c>
      <c r="K1659" s="107" t="s">
        <v>2996</v>
      </c>
      <c r="L1659" s="107">
        <v>53.69</v>
      </c>
      <c r="M1659" s="107">
        <v>1</v>
      </c>
    </row>
    <row r="1660" spans="1:13" x14ac:dyDescent="0.3">
      <c r="A1660" s="95">
        <f t="shared" si="25"/>
        <v>0</v>
      </c>
      <c r="B1660" s="106" t="s">
        <v>3288</v>
      </c>
      <c r="C1660" s="95" t="s">
        <v>3485</v>
      </c>
      <c r="D1660" s="106">
        <v>12</v>
      </c>
      <c r="E1660" s="107">
        <v>1</v>
      </c>
      <c r="F1660" s="107" t="s">
        <v>2959</v>
      </c>
      <c r="G1660" s="107" t="s">
        <v>2966</v>
      </c>
      <c r="H1660" s="107" t="s">
        <v>2984</v>
      </c>
      <c r="I1660" s="107" t="s">
        <v>2997</v>
      </c>
      <c r="J1660" s="107" t="s">
        <v>2997</v>
      </c>
      <c r="K1660" s="107" t="s">
        <v>2996</v>
      </c>
      <c r="L1660" s="107">
        <v>51.68</v>
      </c>
      <c r="M1660" s="107"/>
    </row>
    <row r="1661" spans="1:13" x14ac:dyDescent="0.3">
      <c r="A1661" s="95">
        <f t="shared" si="25"/>
        <v>0</v>
      </c>
      <c r="B1661" s="106" t="s">
        <v>3289</v>
      </c>
      <c r="C1661" s="95" t="s">
        <v>3486</v>
      </c>
      <c r="D1661" s="106">
        <v>12</v>
      </c>
      <c r="E1661" s="107">
        <v>1</v>
      </c>
      <c r="F1661" s="107" t="s">
        <v>2959</v>
      </c>
      <c r="G1661" s="107" t="s">
        <v>2961</v>
      </c>
      <c r="H1661" s="107" t="s">
        <v>2991</v>
      </c>
      <c r="I1661" s="107" t="s">
        <v>2996</v>
      </c>
      <c r="J1661" s="107" t="s">
        <v>2996</v>
      </c>
      <c r="K1661" s="107" t="s">
        <v>2996</v>
      </c>
      <c r="L1661" s="107">
        <v>14.83</v>
      </c>
      <c r="M1661" s="107"/>
    </row>
    <row r="1662" spans="1:13" x14ac:dyDescent="0.3">
      <c r="A1662" s="95">
        <f t="shared" si="25"/>
        <v>0</v>
      </c>
      <c r="B1662" s="106" t="s">
        <v>3290</v>
      </c>
      <c r="C1662" s="95" t="s">
        <v>3487</v>
      </c>
      <c r="D1662" s="106">
        <v>12</v>
      </c>
      <c r="E1662" s="107">
        <v>1</v>
      </c>
      <c r="F1662" s="107" t="s">
        <v>2958</v>
      </c>
      <c r="G1662" s="107" t="s">
        <v>2965</v>
      </c>
      <c r="H1662" s="107" t="s">
        <v>2965</v>
      </c>
      <c r="I1662" s="107" t="s">
        <v>2996</v>
      </c>
      <c r="J1662" s="107" t="s">
        <v>2996</v>
      </c>
      <c r="K1662" s="107" t="s">
        <v>2996</v>
      </c>
      <c r="L1662" s="107">
        <v>70.900000000000006</v>
      </c>
      <c r="M1662" s="107"/>
    </row>
    <row r="1663" spans="1:13" x14ac:dyDescent="0.3">
      <c r="A1663" s="95">
        <f t="shared" si="25"/>
        <v>0</v>
      </c>
      <c r="B1663" s="106" t="s">
        <v>3291</v>
      </c>
      <c r="C1663" s="95" t="s">
        <v>3488</v>
      </c>
      <c r="D1663" s="106">
        <v>12</v>
      </c>
      <c r="E1663" s="107">
        <v>1</v>
      </c>
      <c r="F1663" s="107" t="s">
        <v>2959</v>
      </c>
      <c r="G1663" s="107" t="s">
        <v>2961</v>
      </c>
      <c r="H1663" s="107" t="s">
        <v>2971</v>
      </c>
      <c r="I1663" s="107" t="s">
        <v>2997</v>
      </c>
      <c r="J1663" s="107" t="s">
        <v>2997</v>
      </c>
      <c r="K1663" s="107" t="s">
        <v>2997</v>
      </c>
      <c r="L1663" s="107">
        <v>83.73</v>
      </c>
      <c r="M1663" s="107">
        <v>2</v>
      </c>
    </row>
    <row r="1664" spans="1:13" x14ac:dyDescent="0.3">
      <c r="A1664" s="95">
        <f t="shared" si="25"/>
        <v>0</v>
      </c>
      <c r="B1664" s="106" t="s">
        <v>3292</v>
      </c>
      <c r="C1664" s="95" t="s">
        <v>3489</v>
      </c>
      <c r="D1664" s="106">
        <v>12</v>
      </c>
      <c r="E1664" s="107">
        <v>1</v>
      </c>
      <c r="F1664" s="107" t="s">
        <v>2958</v>
      </c>
      <c r="G1664" s="107" t="s">
        <v>2964</v>
      </c>
      <c r="H1664" s="107" t="s">
        <v>2976</v>
      </c>
      <c r="I1664" s="107" t="s">
        <v>2996</v>
      </c>
      <c r="J1664" s="107" t="s">
        <v>2996</v>
      </c>
      <c r="K1664" s="107" t="s">
        <v>2996</v>
      </c>
      <c r="L1664" s="107">
        <v>25.5</v>
      </c>
      <c r="M1664" s="107"/>
    </row>
    <row r="1665" spans="1:13" x14ac:dyDescent="0.3">
      <c r="A1665" s="95">
        <f t="shared" si="25"/>
        <v>0</v>
      </c>
      <c r="B1665" s="106" t="s">
        <v>3293</v>
      </c>
      <c r="C1665" s="95" t="s">
        <v>3490</v>
      </c>
      <c r="D1665" s="106">
        <v>12</v>
      </c>
      <c r="E1665" s="107">
        <v>1</v>
      </c>
      <c r="F1665" s="107" t="s">
        <v>2959</v>
      </c>
      <c r="G1665" s="107" t="s">
        <v>2963</v>
      </c>
      <c r="H1665" s="107" t="s">
        <v>2974</v>
      </c>
      <c r="I1665" s="107" t="s">
        <v>2996</v>
      </c>
      <c r="J1665" s="107" t="s">
        <v>2996</v>
      </c>
      <c r="K1665" s="107" t="s">
        <v>2996</v>
      </c>
      <c r="L1665" s="107">
        <v>166.69</v>
      </c>
      <c r="M1665" s="107">
        <v>2</v>
      </c>
    </row>
    <row r="1666" spans="1:13" x14ac:dyDescent="0.3">
      <c r="A1666" s="95">
        <f t="shared" si="25"/>
        <v>0</v>
      </c>
      <c r="B1666" s="106" t="s">
        <v>3294</v>
      </c>
      <c r="C1666" s="95" t="s">
        <v>3491</v>
      </c>
      <c r="D1666" s="106">
        <v>12</v>
      </c>
      <c r="E1666" s="107">
        <v>1</v>
      </c>
      <c r="F1666" s="107" t="s">
        <v>2958</v>
      </c>
      <c r="G1666" s="107" t="s">
        <v>2963</v>
      </c>
      <c r="H1666" s="107" t="s">
        <v>2974</v>
      </c>
      <c r="I1666" s="107" t="s">
        <v>2996</v>
      </c>
      <c r="J1666" s="107" t="s">
        <v>2996</v>
      </c>
      <c r="K1666" s="107" t="s">
        <v>2996</v>
      </c>
      <c r="L1666" s="107">
        <v>137.97</v>
      </c>
      <c r="M1666" s="107"/>
    </row>
    <row r="1667" spans="1:13" x14ac:dyDescent="0.3">
      <c r="A1667" s="95">
        <f t="shared" si="25"/>
        <v>0</v>
      </c>
      <c r="B1667" s="106" t="s">
        <v>3295</v>
      </c>
      <c r="C1667" s="95" t="s">
        <v>3492</v>
      </c>
      <c r="D1667" s="106">
        <v>12</v>
      </c>
      <c r="E1667" s="107">
        <v>1</v>
      </c>
      <c r="F1667" s="107" t="s">
        <v>2959</v>
      </c>
      <c r="G1667" s="107" t="s">
        <v>2966</v>
      </c>
      <c r="H1667" s="107" t="s">
        <v>2980</v>
      </c>
      <c r="I1667" s="107" t="s">
        <v>2996</v>
      </c>
      <c r="J1667" s="107" t="s">
        <v>2996</v>
      </c>
      <c r="K1667" s="107" t="s">
        <v>2996</v>
      </c>
      <c r="L1667" s="107">
        <v>23.36</v>
      </c>
      <c r="M1667" s="107">
        <v>1</v>
      </c>
    </row>
    <row r="1668" spans="1:13" x14ac:dyDescent="0.3">
      <c r="A1668" s="95">
        <f t="shared" si="25"/>
        <v>0</v>
      </c>
      <c r="B1668" s="106" t="s">
        <v>3296</v>
      </c>
      <c r="C1668" s="95" t="s">
        <v>3493</v>
      </c>
      <c r="D1668" s="106">
        <v>12</v>
      </c>
      <c r="E1668" s="107">
        <v>1</v>
      </c>
      <c r="F1668" s="107" t="s">
        <v>2959</v>
      </c>
      <c r="G1668" s="107" t="s">
        <v>2966</v>
      </c>
      <c r="H1668" s="107" t="s">
        <v>2985</v>
      </c>
      <c r="I1668" s="107" t="s">
        <v>2996</v>
      </c>
      <c r="J1668" s="107" t="s">
        <v>2996</v>
      </c>
      <c r="K1668" s="107" t="s">
        <v>2996</v>
      </c>
      <c r="L1668" s="107">
        <v>229.67</v>
      </c>
      <c r="M1668" s="107">
        <v>3</v>
      </c>
    </row>
    <row r="1669" spans="1:13" x14ac:dyDescent="0.3">
      <c r="A1669" s="95">
        <f t="shared" si="25"/>
        <v>0</v>
      </c>
      <c r="B1669" s="106" t="s">
        <v>3297</v>
      </c>
      <c r="C1669" s="95" t="s">
        <v>3494</v>
      </c>
      <c r="D1669" s="106">
        <v>12</v>
      </c>
      <c r="E1669" s="107">
        <v>1</v>
      </c>
      <c r="F1669" s="107" t="s">
        <v>2959</v>
      </c>
      <c r="G1669" s="107" t="s">
        <v>2966</v>
      </c>
      <c r="H1669" s="107" t="s">
        <v>2980</v>
      </c>
      <c r="I1669" s="107" t="s">
        <v>2997</v>
      </c>
      <c r="J1669" s="107" t="s">
        <v>2997</v>
      </c>
      <c r="K1669" s="107" t="s">
        <v>2997</v>
      </c>
      <c r="L1669" s="107">
        <v>55.02</v>
      </c>
      <c r="M1669" s="107">
        <v>2</v>
      </c>
    </row>
    <row r="1670" spans="1:13" x14ac:dyDescent="0.3">
      <c r="A1670" s="95">
        <f t="shared" si="25"/>
        <v>0</v>
      </c>
      <c r="B1670" s="106" t="s">
        <v>3298</v>
      </c>
      <c r="C1670" s="95" t="s">
        <v>3495</v>
      </c>
      <c r="D1670" s="106">
        <v>12</v>
      </c>
      <c r="E1670" s="107">
        <v>1</v>
      </c>
      <c r="F1670" s="107" t="s">
        <v>2959</v>
      </c>
      <c r="G1670" s="107" t="s">
        <v>2966</v>
      </c>
      <c r="H1670" s="107" t="s">
        <v>2980</v>
      </c>
      <c r="I1670" s="107" t="s">
        <v>2997</v>
      </c>
      <c r="J1670" s="107" t="s">
        <v>2997</v>
      </c>
      <c r="K1670" s="107" t="s">
        <v>2997</v>
      </c>
      <c r="L1670" s="107">
        <v>68.05</v>
      </c>
      <c r="M1670" s="107">
        <v>1</v>
      </c>
    </row>
    <row r="1671" spans="1:13" x14ac:dyDescent="0.3">
      <c r="A1671" s="95">
        <f t="shared" si="25"/>
        <v>0</v>
      </c>
      <c r="B1671" s="106" t="s">
        <v>3299</v>
      </c>
      <c r="C1671" s="95" t="s">
        <v>3496</v>
      </c>
      <c r="D1671" s="106">
        <v>12</v>
      </c>
      <c r="E1671" s="107">
        <v>1</v>
      </c>
      <c r="F1671" s="107" t="s">
        <v>2959</v>
      </c>
      <c r="G1671" s="107" t="s">
        <v>2965</v>
      </c>
      <c r="H1671" s="107" t="s">
        <v>2965</v>
      </c>
      <c r="I1671" s="107" t="s">
        <v>2997</v>
      </c>
      <c r="J1671" s="107" t="s">
        <v>2997</v>
      </c>
      <c r="K1671" s="107" t="s">
        <v>2997</v>
      </c>
      <c r="L1671" s="107">
        <v>40.020000000000003</v>
      </c>
      <c r="M1671" s="107"/>
    </row>
    <row r="1672" spans="1:13" x14ac:dyDescent="0.3">
      <c r="A1672" s="95">
        <f t="shared" si="25"/>
        <v>0</v>
      </c>
      <c r="B1672" s="106" t="s">
        <v>3300</v>
      </c>
      <c r="C1672" s="95" t="s">
        <v>3497</v>
      </c>
      <c r="D1672" s="106">
        <v>3</v>
      </c>
      <c r="E1672" s="107">
        <v>1</v>
      </c>
      <c r="F1672" s="107" t="s">
        <v>2958</v>
      </c>
      <c r="G1672" s="107" t="s">
        <v>2962</v>
      </c>
      <c r="H1672" s="107" t="s">
        <v>2973</v>
      </c>
      <c r="I1672" s="107" t="s">
        <v>2997</v>
      </c>
      <c r="J1672" s="107" t="s">
        <v>2997</v>
      </c>
      <c r="K1672" s="107" t="s">
        <v>2996</v>
      </c>
      <c r="L1672" s="107">
        <v>548.47</v>
      </c>
      <c r="M1672" s="107"/>
    </row>
    <row r="1673" spans="1:13" x14ac:dyDescent="0.3">
      <c r="A1673" s="95">
        <f t="shared" si="25"/>
        <v>0</v>
      </c>
      <c r="B1673" s="106" t="s">
        <v>3301</v>
      </c>
      <c r="C1673" s="95" t="s">
        <v>3498</v>
      </c>
      <c r="D1673" s="106">
        <v>12</v>
      </c>
      <c r="E1673" s="107">
        <v>1</v>
      </c>
      <c r="F1673" s="107" t="s">
        <v>2959</v>
      </c>
      <c r="G1673" s="107" t="s">
        <v>2964</v>
      </c>
      <c r="H1673" s="107" t="s">
        <v>2976</v>
      </c>
      <c r="I1673" s="107" t="s">
        <v>2997</v>
      </c>
      <c r="J1673" s="107" t="s">
        <v>2997</v>
      </c>
      <c r="K1673" s="107" t="s">
        <v>2997</v>
      </c>
      <c r="L1673" s="107">
        <v>125.16</v>
      </c>
      <c r="M1673" s="107">
        <v>1</v>
      </c>
    </row>
    <row r="1674" spans="1:13" x14ac:dyDescent="0.3">
      <c r="A1674" s="95">
        <f t="shared" si="25"/>
        <v>0</v>
      </c>
      <c r="B1674" s="106" t="s">
        <v>3302</v>
      </c>
      <c r="C1674" s="95" t="s">
        <v>3499</v>
      </c>
      <c r="D1674" s="106">
        <v>12</v>
      </c>
      <c r="E1674" s="107">
        <v>1</v>
      </c>
      <c r="F1674" s="107" t="s">
        <v>2958</v>
      </c>
      <c r="G1674" s="107" t="s">
        <v>2965</v>
      </c>
      <c r="H1674" s="107" t="s">
        <v>2965</v>
      </c>
      <c r="I1674" s="107" t="s">
        <v>2997</v>
      </c>
      <c r="J1674" s="107" t="s">
        <v>2997</v>
      </c>
      <c r="K1674" s="107" t="s">
        <v>2996</v>
      </c>
      <c r="L1674" s="107">
        <v>140.36000000000001</v>
      </c>
      <c r="M1674" s="107">
        <v>1</v>
      </c>
    </row>
    <row r="1675" spans="1:13" x14ac:dyDescent="0.3">
      <c r="A1675" s="95">
        <f t="shared" si="25"/>
        <v>0</v>
      </c>
      <c r="B1675" s="106" t="s">
        <v>3303</v>
      </c>
      <c r="C1675" s="95" t="s">
        <v>3500</v>
      </c>
      <c r="D1675" s="106">
        <v>12</v>
      </c>
      <c r="E1675" s="107">
        <v>1</v>
      </c>
      <c r="F1675" s="107" t="s">
        <v>2959</v>
      </c>
      <c r="G1675" s="107" t="s">
        <v>2963</v>
      </c>
      <c r="H1675" s="107" t="s">
        <v>2992</v>
      </c>
      <c r="I1675" s="107" t="s">
        <v>2996</v>
      </c>
      <c r="J1675" s="107" t="s">
        <v>2996</v>
      </c>
      <c r="K1675" s="107" t="s">
        <v>2996</v>
      </c>
      <c r="L1675" s="107">
        <v>15.91</v>
      </c>
      <c r="M1675" s="107"/>
    </row>
    <row r="1676" spans="1:13" x14ac:dyDescent="0.3">
      <c r="A1676" s="95">
        <f t="shared" si="25"/>
        <v>0</v>
      </c>
      <c r="B1676" s="106" t="s">
        <v>3304</v>
      </c>
      <c r="C1676" s="95" t="s">
        <v>3501</v>
      </c>
      <c r="D1676" s="106">
        <v>12</v>
      </c>
      <c r="E1676" s="107">
        <v>1</v>
      </c>
      <c r="F1676" s="107" t="s">
        <v>2959</v>
      </c>
      <c r="G1676" s="107" t="s">
        <v>2966</v>
      </c>
      <c r="H1676" s="107" t="s">
        <v>2980</v>
      </c>
      <c r="I1676" s="107" t="s">
        <v>2997</v>
      </c>
      <c r="J1676" s="107" t="s">
        <v>2997</v>
      </c>
      <c r="K1676" s="107" t="s">
        <v>2996</v>
      </c>
      <c r="L1676" s="107">
        <v>77.040000000000006</v>
      </c>
      <c r="M1676" s="107"/>
    </row>
    <row r="1677" spans="1:13" x14ac:dyDescent="0.3">
      <c r="A1677" s="95">
        <f t="shared" si="25"/>
        <v>1</v>
      </c>
      <c r="B1677" s="106" t="s">
        <v>3305</v>
      </c>
      <c r="C1677" s="95" t="s">
        <v>3502</v>
      </c>
      <c r="D1677" s="106">
        <v>12</v>
      </c>
      <c r="E1677" s="107">
        <v>1</v>
      </c>
      <c r="F1677" s="107" t="s">
        <v>2958</v>
      </c>
      <c r="G1677" s="107" t="s">
        <v>2962</v>
      </c>
      <c r="H1677" s="107" t="s">
        <v>2986</v>
      </c>
      <c r="I1677" s="107" t="s">
        <v>2997</v>
      </c>
      <c r="J1677" s="107" t="s">
        <v>2997</v>
      </c>
      <c r="K1677" s="107" t="s">
        <v>2997</v>
      </c>
      <c r="L1677" s="107">
        <v>2794.34</v>
      </c>
      <c r="M1677" s="107">
        <v>23</v>
      </c>
    </row>
    <row r="1678" spans="1:13" x14ac:dyDescent="0.3">
      <c r="A1678" s="95">
        <f t="shared" si="25"/>
        <v>0</v>
      </c>
      <c r="B1678" s="106" t="s">
        <v>3306</v>
      </c>
      <c r="C1678" s="95" t="s">
        <v>3503</v>
      </c>
      <c r="D1678" s="106">
        <v>12</v>
      </c>
      <c r="E1678" s="107">
        <v>1</v>
      </c>
      <c r="F1678" s="107" t="s">
        <v>2959</v>
      </c>
      <c r="G1678" s="107" t="s">
        <v>2966</v>
      </c>
      <c r="H1678" s="107" t="s">
        <v>2985</v>
      </c>
      <c r="I1678" s="107" t="s">
        <v>2996</v>
      </c>
      <c r="J1678" s="107" t="s">
        <v>2996</v>
      </c>
      <c r="K1678" s="107" t="s">
        <v>2996</v>
      </c>
      <c r="L1678" s="107">
        <v>43.71</v>
      </c>
      <c r="M1678" s="107">
        <v>1</v>
      </c>
    </row>
    <row r="1679" spans="1:13" x14ac:dyDescent="0.3">
      <c r="A1679" s="95">
        <f t="shared" ref="A1679:A1742" si="26">IF(AND(E1679=1,J1679=K1679,M1679&gt;6),1,0)</f>
        <v>1</v>
      </c>
      <c r="B1679" s="106" t="s">
        <v>3307</v>
      </c>
      <c r="C1679" s="95" t="s">
        <v>3504</v>
      </c>
      <c r="D1679" s="106">
        <v>12</v>
      </c>
      <c r="E1679" s="107">
        <v>1</v>
      </c>
      <c r="F1679" s="107" t="s">
        <v>2958</v>
      </c>
      <c r="G1679" s="107" t="s">
        <v>2962</v>
      </c>
      <c r="H1679" s="107" t="s">
        <v>2986</v>
      </c>
      <c r="I1679" s="107" t="s">
        <v>2997</v>
      </c>
      <c r="J1679" s="107" t="s">
        <v>2997</v>
      </c>
      <c r="K1679" s="107" t="s">
        <v>2997</v>
      </c>
      <c r="L1679" s="107">
        <v>2091.23</v>
      </c>
      <c r="M1679" s="107">
        <v>22</v>
      </c>
    </row>
    <row r="1680" spans="1:13" x14ac:dyDescent="0.3">
      <c r="A1680" s="95">
        <f t="shared" si="26"/>
        <v>1</v>
      </c>
      <c r="B1680" s="106" t="s">
        <v>3308</v>
      </c>
      <c r="C1680" s="95" t="s">
        <v>3505</v>
      </c>
      <c r="D1680" s="106">
        <v>12</v>
      </c>
      <c r="E1680" s="107">
        <v>1</v>
      </c>
      <c r="F1680" s="107" t="s">
        <v>2958</v>
      </c>
      <c r="G1680" s="107" t="s">
        <v>2961</v>
      </c>
      <c r="H1680" s="107" t="s">
        <v>2982</v>
      </c>
      <c r="I1680" s="107" t="s">
        <v>2997</v>
      </c>
      <c r="J1680" s="107" t="s">
        <v>2997</v>
      </c>
      <c r="K1680" s="107" t="s">
        <v>2997</v>
      </c>
      <c r="L1680" s="107">
        <v>5603.04</v>
      </c>
      <c r="M1680" s="107">
        <v>16</v>
      </c>
    </row>
    <row r="1681" spans="1:13" x14ac:dyDescent="0.3">
      <c r="A1681" s="95">
        <f t="shared" si="26"/>
        <v>0</v>
      </c>
      <c r="B1681" s="106" t="s">
        <v>3309</v>
      </c>
      <c r="C1681" s="95" t="s">
        <v>3506</v>
      </c>
      <c r="D1681" s="106">
        <v>12</v>
      </c>
      <c r="E1681" s="107">
        <v>1</v>
      </c>
      <c r="F1681" s="107" t="s">
        <v>2959</v>
      </c>
      <c r="G1681" s="107" t="s">
        <v>2966</v>
      </c>
      <c r="H1681" s="107" t="s">
        <v>2985</v>
      </c>
      <c r="I1681" s="107" t="s">
        <v>2996</v>
      </c>
      <c r="J1681" s="107" t="s">
        <v>2996</v>
      </c>
      <c r="K1681" s="107" t="s">
        <v>2996</v>
      </c>
      <c r="L1681" s="107">
        <v>60.42</v>
      </c>
      <c r="M1681" s="107">
        <v>1</v>
      </c>
    </row>
    <row r="1682" spans="1:13" x14ac:dyDescent="0.3">
      <c r="A1682" s="95">
        <f t="shared" si="26"/>
        <v>0</v>
      </c>
      <c r="B1682" s="106" t="s">
        <v>3310</v>
      </c>
      <c r="C1682" s="95" t="s">
        <v>3657</v>
      </c>
      <c r="D1682" s="106">
        <v>12</v>
      </c>
      <c r="E1682" s="107">
        <v>1</v>
      </c>
      <c r="F1682" s="107" t="s">
        <v>2959</v>
      </c>
      <c r="G1682" s="107" t="s">
        <v>2960</v>
      </c>
      <c r="H1682" s="107" t="s">
        <v>2970</v>
      </c>
      <c r="I1682" s="107" t="s">
        <v>2996</v>
      </c>
      <c r="J1682" s="107" t="s">
        <v>2996</v>
      </c>
      <c r="K1682" s="107" t="s">
        <v>2996</v>
      </c>
      <c r="L1682" s="107">
        <v>124.83</v>
      </c>
      <c r="M1682" s="107"/>
    </row>
    <row r="1683" spans="1:13" x14ac:dyDescent="0.3">
      <c r="A1683" s="95">
        <f t="shared" si="26"/>
        <v>0</v>
      </c>
      <c r="B1683" s="106" t="s">
        <v>3311</v>
      </c>
      <c r="C1683" s="95" t="s">
        <v>3507</v>
      </c>
      <c r="D1683" s="106">
        <v>12</v>
      </c>
      <c r="E1683" s="107">
        <v>1</v>
      </c>
      <c r="F1683" s="107" t="s">
        <v>2959</v>
      </c>
      <c r="G1683" s="107" t="s">
        <v>2966</v>
      </c>
      <c r="H1683" s="107" t="s">
        <v>2980</v>
      </c>
      <c r="I1683" s="107" t="s">
        <v>2996</v>
      </c>
      <c r="J1683" s="107" t="s">
        <v>2996</v>
      </c>
      <c r="K1683" s="107" t="s">
        <v>2996</v>
      </c>
      <c r="L1683" s="107">
        <v>169.88</v>
      </c>
      <c r="M1683" s="107">
        <v>3</v>
      </c>
    </row>
    <row r="1684" spans="1:13" x14ac:dyDescent="0.3">
      <c r="A1684" s="95">
        <f t="shared" si="26"/>
        <v>0</v>
      </c>
      <c r="B1684" s="106" t="s">
        <v>3606</v>
      </c>
      <c r="C1684" s="95" t="s">
        <v>3614</v>
      </c>
      <c r="D1684" s="106">
        <v>12</v>
      </c>
      <c r="E1684" s="107">
        <v>1</v>
      </c>
      <c r="F1684" s="107" t="s">
        <v>2959</v>
      </c>
      <c r="G1684" s="107" t="s">
        <v>2966</v>
      </c>
      <c r="H1684" s="107" t="s">
        <v>2977</v>
      </c>
      <c r="I1684" s="107" t="s">
        <v>2996</v>
      </c>
      <c r="J1684" s="107" t="s">
        <v>2996</v>
      </c>
      <c r="K1684" s="107" t="s">
        <v>2996</v>
      </c>
      <c r="L1684" s="107">
        <v>23.99</v>
      </c>
      <c r="M1684" s="107"/>
    </row>
    <row r="1685" spans="1:13" x14ac:dyDescent="0.3">
      <c r="A1685" s="95">
        <f t="shared" si="26"/>
        <v>0</v>
      </c>
      <c r="B1685" s="106" t="s">
        <v>3544</v>
      </c>
      <c r="C1685" s="95" t="s">
        <v>3556</v>
      </c>
      <c r="D1685" s="106">
        <v>12</v>
      </c>
      <c r="E1685" s="107">
        <v>1</v>
      </c>
      <c r="F1685" s="107" t="s">
        <v>2959</v>
      </c>
      <c r="G1685" s="107" t="s">
        <v>2964</v>
      </c>
      <c r="H1685" s="107" t="s">
        <v>2976</v>
      </c>
      <c r="I1685" s="107" t="s">
        <v>2996</v>
      </c>
      <c r="J1685" s="107" t="s">
        <v>2996</v>
      </c>
      <c r="K1685" s="107" t="s">
        <v>2996</v>
      </c>
      <c r="L1685" s="107">
        <v>26.2</v>
      </c>
      <c r="M1685" s="107"/>
    </row>
    <row r="1686" spans="1:13" x14ac:dyDescent="0.3">
      <c r="A1686" s="95">
        <f t="shared" si="26"/>
        <v>0</v>
      </c>
      <c r="B1686" s="106" t="s">
        <v>3660</v>
      </c>
      <c r="C1686" s="95" t="s">
        <v>3668</v>
      </c>
      <c r="D1686" s="106">
        <v>12</v>
      </c>
      <c r="E1686" s="107">
        <v>1</v>
      </c>
      <c r="F1686" s="107" t="s">
        <v>2959</v>
      </c>
      <c r="G1686" s="107" t="s">
        <v>2960</v>
      </c>
      <c r="H1686" s="107" t="s">
        <v>2970</v>
      </c>
      <c r="I1686" s="107" t="s">
        <v>2996</v>
      </c>
      <c r="J1686" s="107" t="s">
        <v>2996</v>
      </c>
      <c r="K1686" s="107" t="s">
        <v>2996</v>
      </c>
      <c r="L1686" s="107">
        <v>86.33</v>
      </c>
      <c r="M1686" s="107">
        <v>1</v>
      </c>
    </row>
    <row r="1687" spans="1:13" x14ac:dyDescent="0.3">
      <c r="A1687" s="95">
        <f t="shared" si="26"/>
        <v>0</v>
      </c>
      <c r="B1687" s="106" t="s">
        <v>3312</v>
      </c>
      <c r="C1687" s="95" t="s">
        <v>3508</v>
      </c>
      <c r="D1687" s="106">
        <v>12</v>
      </c>
      <c r="E1687" s="107">
        <v>1</v>
      </c>
      <c r="F1687" s="107" t="s">
        <v>2959</v>
      </c>
      <c r="G1687" s="107" t="s">
        <v>2966</v>
      </c>
      <c r="H1687" s="107" t="s">
        <v>2984</v>
      </c>
      <c r="I1687" s="107" t="s">
        <v>2997</v>
      </c>
      <c r="J1687" s="107" t="s">
        <v>2997</v>
      </c>
      <c r="K1687" s="107" t="s">
        <v>2997</v>
      </c>
      <c r="L1687" s="107">
        <v>250.76</v>
      </c>
      <c r="M1687" s="107"/>
    </row>
    <row r="1688" spans="1:13" x14ac:dyDescent="0.3">
      <c r="A1688" s="95">
        <f t="shared" si="26"/>
        <v>0</v>
      </c>
      <c r="B1688" s="106" t="s">
        <v>3313</v>
      </c>
      <c r="C1688" s="95" t="s">
        <v>3509</v>
      </c>
      <c r="D1688" s="106">
        <v>12</v>
      </c>
      <c r="E1688" s="107">
        <v>1</v>
      </c>
      <c r="F1688" s="107" t="s">
        <v>2959</v>
      </c>
      <c r="G1688" s="107" t="s">
        <v>2964</v>
      </c>
      <c r="H1688" s="107" t="s">
        <v>2987</v>
      </c>
      <c r="I1688" s="107" t="s">
        <v>2996</v>
      </c>
      <c r="J1688" s="107" t="s">
        <v>2996</v>
      </c>
      <c r="K1688" s="107" t="s">
        <v>2996</v>
      </c>
      <c r="L1688" s="107">
        <v>137.28</v>
      </c>
      <c r="M1688" s="107"/>
    </row>
    <row r="1689" spans="1:13" x14ac:dyDescent="0.3">
      <c r="A1689" s="95">
        <f t="shared" si="26"/>
        <v>0</v>
      </c>
      <c r="B1689" s="106" t="s">
        <v>3314</v>
      </c>
      <c r="C1689" s="95" t="s">
        <v>3510</v>
      </c>
      <c r="D1689" s="106">
        <v>12</v>
      </c>
      <c r="E1689" s="107">
        <v>1</v>
      </c>
      <c r="F1689" s="107" t="s">
        <v>2958</v>
      </c>
      <c r="G1689" s="107" t="s">
        <v>2961</v>
      </c>
      <c r="H1689" s="107" t="s">
        <v>2972</v>
      </c>
      <c r="I1689" s="107" t="s">
        <v>2996</v>
      </c>
      <c r="J1689" s="107" t="s">
        <v>2996</v>
      </c>
      <c r="K1689" s="107" t="s">
        <v>2996</v>
      </c>
      <c r="L1689" s="107">
        <v>108.45</v>
      </c>
      <c r="M1689" s="107">
        <v>1</v>
      </c>
    </row>
    <row r="1690" spans="1:13" x14ac:dyDescent="0.3">
      <c r="A1690" s="95">
        <f t="shared" si="26"/>
        <v>0</v>
      </c>
      <c r="B1690" s="106" t="s">
        <v>3315</v>
      </c>
      <c r="C1690" s="95" t="s">
        <v>3511</v>
      </c>
      <c r="D1690" s="106">
        <v>12</v>
      </c>
      <c r="E1690" s="107">
        <v>1</v>
      </c>
      <c r="F1690" s="107" t="s">
        <v>2958</v>
      </c>
      <c r="G1690" s="107" t="s">
        <v>2963</v>
      </c>
      <c r="H1690" s="107" t="s">
        <v>2974</v>
      </c>
      <c r="I1690" s="107" t="s">
        <v>2997</v>
      </c>
      <c r="J1690" s="107" t="s">
        <v>2997</v>
      </c>
      <c r="K1690" s="107" t="s">
        <v>2996</v>
      </c>
      <c r="L1690" s="107">
        <v>173.46</v>
      </c>
      <c r="M1690" s="107"/>
    </row>
    <row r="1691" spans="1:13" x14ac:dyDescent="0.3">
      <c r="A1691" s="95">
        <f t="shared" si="26"/>
        <v>0</v>
      </c>
      <c r="B1691" s="106" t="s">
        <v>3316</v>
      </c>
      <c r="C1691" s="95" t="s">
        <v>3512</v>
      </c>
      <c r="D1691" s="106">
        <v>12</v>
      </c>
      <c r="E1691" s="107">
        <v>1</v>
      </c>
      <c r="F1691" s="107" t="s">
        <v>2959</v>
      </c>
      <c r="G1691" s="107" t="s">
        <v>2964</v>
      </c>
      <c r="H1691" s="107" t="s">
        <v>2976</v>
      </c>
      <c r="I1691" s="107" t="s">
        <v>2996</v>
      </c>
      <c r="J1691" s="107" t="s">
        <v>2996</v>
      </c>
      <c r="K1691" s="107" t="s">
        <v>2996</v>
      </c>
      <c r="L1691" s="107">
        <v>49.81</v>
      </c>
      <c r="M1691" s="107"/>
    </row>
    <row r="1692" spans="1:13" x14ac:dyDescent="0.3">
      <c r="A1692" s="95">
        <f t="shared" si="26"/>
        <v>0</v>
      </c>
      <c r="B1692" s="106" t="s">
        <v>3317</v>
      </c>
      <c r="C1692" s="95" t="s">
        <v>3513</v>
      </c>
      <c r="D1692" s="106">
        <v>12</v>
      </c>
      <c r="E1692" s="107">
        <v>1</v>
      </c>
      <c r="F1692" s="107" t="s">
        <v>2959</v>
      </c>
      <c r="G1692" s="107" t="s">
        <v>2966</v>
      </c>
      <c r="H1692" s="107" t="s">
        <v>2984</v>
      </c>
      <c r="I1692" s="107" t="s">
        <v>2996</v>
      </c>
      <c r="J1692" s="107" t="s">
        <v>2996</v>
      </c>
      <c r="K1692" s="107" t="s">
        <v>2996</v>
      </c>
      <c r="L1692" s="107">
        <v>38.229999999999997</v>
      </c>
      <c r="M1692" s="107"/>
    </row>
    <row r="1693" spans="1:13" x14ac:dyDescent="0.3">
      <c r="A1693" s="95">
        <f t="shared" si="26"/>
        <v>0</v>
      </c>
      <c r="B1693" s="106" t="s">
        <v>3545</v>
      </c>
      <c r="C1693" s="95" t="s">
        <v>3557</v>
      </c>
      <c r="D1693" s="106">
        <v>12</v>
      </c>
      <c r="E1693" s="107">
        <v>1</v>
      </c>
      <c r="F1693" s="107" t="s">
        <v>2959</v>
      </c>
      <c r="G1693" s="107" t="s">
        <v>2966</v>
      </c>
      <c r="H1693" s="107" t="s">
        <v>2980</v>
      </c>
      <c r="I1693" s="107" t="s">
        <v>2997</v>
      </c>
      <c r="J1693" s="107" t="s">
        <v>2997</v>
      </c>
      <c r="K1693" s="107" t="s">
        <v>2996</v>
      </c>
      <c r="L1693" s="107">
        <v>159.97999999999999</v>
      </c>
      <c r="M1693" s="107">
        <v>2</v>
      </c>
    </row>
    <row r="1694" spans="1:13" x14ac:dyDescent="0.3">
      <c r="A1694" s="95">
        <f t="shared" si="26"/>
        <v>0</v>
      </c>
      <c r="B1694" s="106" t="s">
        <v>3318</v>
      </c>
      <c r="C1694" s="95" t="s">
        <v>3514</v>
      </c>
      <c r="D1694" s="106">
        <v>12</v>
      </c>
      <c r="E1694" s="107">
        <v>1</v>
      </c>
      <c r="F1694" s="107" t="s">
        <v>2959</v>
      </c>
      <c r="G1694" s="107" t="s">
        <v>2966</v>
      </c>
      <c r="H1694" s="107" t="s">
        <v>2984</v>
      </c>
      <c r="I1694" s="107" t="s">
        <v>2997</v>
      </c>
      <c r="J1694" s="107" t="s">
        <v>2997</v>
      </c>
      <c r="K1694" s="107" t="s">
        <v>2997</v>
      </c>
      <c r="L1694" s="107">
        <v>140.13999999999999</v>
      </c>
      <c r="M1694" s="107">
        <v>1</v>
      </c>
    </row>
    <row r="1695" spans="1:13" x14ac:dyDescent="0.3">
      <c r="A1695" s="95">
        <f t="shared" si="26"/>
        <v>0</v>
      </c>
      <c r="B1695" s="106" t="s">
        <v>3319</v>
      </c>
      <c r="C1695" s="95" t="s">
        <v>3515</v>
      </c>
      <c r="D1695" s="106">
        <v>12</v>
      </c>
      <c r="E1695" s="107">
        <v>1</v>
      </c>
      <c r="F1695" s="107" t="s">
        <v>2959</v>
      </c>
      <c r="G1695" s="107" t="s">
        <v>2966</v>
      </c>
      <c r="H1695" s="107" t="s">
        <v>2985</v>
      </c>
      <c r="I1695" s="107" t="s">
        <v>2996</v>
      </c>
      <c r="J1695" s="107" t="s">
        <v>2996</v>
      </c>
      <c r="K1695" s="107" t="s">
        <v>2996</v>
      </c>
      <c r="L1695" s="107">
        <v>60.76</v>
      </c>
      <c r="M1695" s="107">
        <v>2</v>
      </c>
    </row>
    <row r="1696" spans="1:13" x14ac:dyDescent="0.3">
      <c r="A1696" s="95">
        <f t="shared" si="26"/>
        <v>0</v>
      </c>
      <c r="B1696" s="106" t="s">
        <v>3607</v>
      </c>
      <c r="C1696" s="95" t="s">
        <v>3615</v>
      </c>
      <c r="D1696" s="106">
        <v>12</v>
      </c>
      <c r="E1696" s="107">
        <v>1</v>
      </c>
      <c r="F1696" s="107" t="s">
        <v>2959</v>
      </c>
      <c r="G1696" s="107" t="s">
        <v>2966</v>
      </c>
      <c r="H1696" s="107" t="s">
        <v>2980</v>
      </c>
      <c r="I1696" s="107" t="s">
        <v>2997</v>
      </c>
      <c r="J1696" s="107" t="s">
        <v>2997</v>
      </c>
      <c r="K1696" s="107" t="s">
        <v>2997</v>
      </c>
      <c r="L1696" s="107">
        <v>131.84</v>
      </c>
      <c r="M1696" s="107">
        <v>1</v>
      </c>
    </row>
    <row r="1697" spans="1:13" x14ac:dyDescent="0.3">
      <c r="A1697" s="95">
        <f t="shared" si="26"/>
        <v>0</v>
      </c>
      <c r="B1697" s="106" t="s">
        <v>3546</v>
      </c>
      <c r="C1697" s="95" t="s">
        <v>3558</v>
      </c>
      <c r="D1697" s="106">
        <v>12</v>
      </c>
      <c r="E1697" s="107">
        <v>1</v>
      </c>
      <c r="F1697" s="107" t="s">
        <v>2959</v>
      </c>
      <c r="G1697" s="107" t="s">
        <v>2966</v>
      </c>
      <c r="H1697" s="107" t="s">
        <v>2980</v>
      </c>
      <c r="I1697" s="107" t="s">
        <v>2996</v>
      </c>
      <c r="J1697" s="107" t="s">
        <v>2996</v>
      </c>
      <c r="K1697" s="107" t="s">
        <v>2996</v>
      </c>
      <c r="L1697" s="107">
        <v>59.27</v>
      </c>
      <c r="M1697" s="107"/>
    </row>
    <row r="1698" spans="1:13" x14ac:dyDescent="0.3">
      <c r="A1698" s="95">
        <f t="shared" si="26"/>
        <v>0</v>
      </c>
      <c r="B1698" s="106" t="s">
        <v>3661</v>
      </c>
      <c r="C1698" s="95" t="s">
        <v>3669</v>
      </c>
      <c r="D1698" s="106">
        <v>12</v>
      </c>
      <c r="E1698" s="107">
        <v>1</v>
      </c>
      <c r="F1698" s="107" t="s">
        <v>2958</v>
      </c>
      <c r="G1698" s="107" t="s">
        <v>2965</v>
      </c>
      <c r="H1698" s="107" t="s">
        <v>2965</v>
      </c>
      <c r="I1698" s="107" t="s">
        <v>2997</v>
      </c>
      <c r="J1698" s="107" t="s">
        <v>2996</v>
      </c>
      <c r="K1698" s="107" t="s">
        <v>2996</v>
      </c>
      <c r="L1698" s="107">
        <v>76.400000000000006</v>
      </c>
      <c r="M1698" s="107"/>
    </row>
    <row r="1699" spans="1:13" x14ac:dyDescent="0.3">
      <c r="A1699" s="95">
        <f t="shared" si="26"/>
        <v>0</v>
      </c>
      <c r="B1699" s="106" t="s">
        <v>3608</v>
      </c>
      <c r="C1699" s="95" t="s">
        <v>3616</v>
      </c>
      <c r="D1699" s="106">
        <v>12</v>
      </c>
      <c r="E1699" s="107">
        <v>1</v>
      </c>
      <c r="F1699" s="107" t="s">
        <v>2959</v>
      </c>
      <c r="G1699" s="107" t="s">
        <v>2966</v>
      </c>
      <c r="H1699" s="107" t="s">
        <v>2980</v>
      </c>
      <c r="I1699" s="107" t="s">
        <v>2996</v>
      </c>
      <c r="J1699" s="107" t="s">
        <v>2996</v>
      </c>
      <c r="K1699" s="107" t="s">
        <v>2996</v>
      </c>
      <c r="L1699" s="107">
        <v>241.16</v>
      </c>
      <c r="M1699" s="107">
        <v>4</v>
      </c>
    </row>
    <row r="1700" spans="1:13" x14ac:dyDescent="0.3">
      <c r="A1700" s="95">
        <f t="shared" si="26"/>
        <v>0</v>
      </c>
      <c r="B1700" s="106" t="s">
        <v>3626</v>
      </c>
      <c r="C1700" s="95" t="s">
        <v>3658</v>
      </c>
      <c r="D1700" s="106">
        <v>12</v>
      </c>
      <c r="E1700" s="107">
        <v>1</v>
      </c>
      <c r="F1700" s="107" t="s">
        <v>2959</v>
      </c>
      <c r="G1700" s="107" t="s">
        <v>2964</v>
      </c>
      <c r="H1700" s="107" t="s">
        <v>2976</v>
      </c>
      <c r="I1700" s="107" t="s">
        <v>2996</v>
      </c>
      <c r="J1700" s="107" t="s">
        <v>2996</v>
      </c>
      <c r="K1700" s="107" t="s">
        <v>2996</v>
      </c>
      <c r="L1700" s="107">
        <v>63.53</v>
      </c>
      <c r="M1700" s="107">
        <v>2</v>
      </c>
    </row>
    <row r="1701" spans="1:13" x14ac:dyDescent="0.3">
      <c r="A1701" s="95">
        <f t="shared" si="26"/>
        <v>0</v>
      </c>
      <c r="B1701" s="106" t="s">
        <v>3662</v>
      </c>
      <c r="C1701" s="95" t="s">
        <v>3670</v>
      </c>
      <c r="D1701" s="106">
        <v>12</v>
      </c>
      <c r="E1701" s="107">
        <v>1</v>
      </c>
      <c r="F1701" s="107" t="s">
        <v>2959</v>
      </c>
      <c r="G1701" s="107" t="s">
        <v>2961</v>
      </c>
      <c r="H1701" s="107" t="s">
        <v>2971</v>
      </c>
      <c r="I1701" s="107" t="s">
        <v>2996</v>
      </c>
      <c r="J1701" s="107" t="s">
        <v>2996</v>
      </c>
      <c r="K1701" s="107" t="s">
        <v>2996</v>
      </c>
      <c r="L1701" s="107">
        <v>53.65</v>
      </c>
      <c r="M1701" s="107"/>
    </row>
    <row r="1702" spans="1:13" x14ac:dyDescent="0.3">
      <c r="A1702" s="95">
        <f t="shared" si="26"/>
        <v>0</v>
      </c>
      <c r="B1702" s="106" t="s">
        <v>3609</v>
      </c>
      <c r="C1702" s="95" t="s">
        <v>3617</v>
      </c>
      <c r="D1702" s="106">
        <v>12</v>
      </c>
      <c r="E1702" s="107">
        <v>1</v>
      </c>
      <c r="F1702" s="107" t="s">
        <v>2959</v>
      </c>
      <c r="G1702" s="107" t="s">
        <v>2961</v>
      </c>
      <c r="H1702" s="107" t="s">
        <v>2972</v>
      </c>
      <c r="I1702" s="107" t="s">
        <v>2997</v>
      </c>
      <c r="J1702" s="107" t="s">
        <v>2997</v>
      </c>
      <c r="K1702" s="107" t="s">
        <v>2997</v>
      </c>
      <c r="L1702" s="107">
        <v>139.06</v>
      </c>
      <c r="M1702" s="107">
        <v>2</v>
      </c>
    </row>
    <row r="1703" spans="1:13" x14ac:dyDescent="0.3">
      <c r="A1703" s="95">
        <f t="shared" si="26"/>
        <v>0</v>
      </c>
      <c r="B1703" s="106" t="s">
        <v>3599</v>
      </c>
      <c r="C1703" s="95" t="s">
        <v>3600</v>
      </c>
      <c r="D1703" s="106">
        <v>12</v>
      </c>
      <c r="E1703" s="107">
        <v>1</v>
      </c>
      <c r="F1703" s="107" t="s">
        <v>2959</v>
      </c>
      <c r="G1703" s="107" t="s">
        <v>2966</v>
      </c>
      <c r="H1703" s="107" t="s">
        <v>2980</v>
      </c>
      <c r="I1703" s="107" t="s">
        <v>2996</v>
      </c>
      <c r="J1703" s="107" t="s">
        <v>2996</v>
      </c>
      <c r="K1703" s="107" t="s">
        <v>2996</v>
      </c>
      <c r="L1703" s="107">
        <v>78.58</v>
      </c>
      <c r="M1703" s="107"/>
    </row>
    <row r="1704" spans="1:13" x14ac:dyDescent="0.3">
      <c r="A1704" s="95">
        <f t="shared" si="26"/>
        <v>0</v>
      </c>
      <c r="B1704" s="106" t="s">
        <v>3320</v>
      </c>
      <c r="C1704" s="95" t="s">
        <v>3516</v>
      </c>
      <c r="D1704" s="106">
        <v>12</v>
      </c>
      <c r="E1704" s="107">
        <v>1</v>
      </c>
      <c r="F1704" s="107" t="s">
        <v>2958</v>
      </c>
      <c r="G1704" s="107" t="s">
        <v>2965</v>
      </c>
      <c r="H1704" s="107" t="s">
        <v>2965</v>
      </c>
      <c r="I1704" s="107" t="s">
        <v>2997</v>
      </c>
      <c r="J1704" s="107" t="s">
        <v>2997</v>
      </c>
      <c r="K1704" s="107" t="s">
        <v>2996</v>
      </c>
      <c r="L1704" s="107">
        <v>184.55</v>
      </c>
      <c r="M1704" s="107"/>
    </row>
    <row r="1705" spans="1:13" x14ac:dyDescent="0.3">
      <c r="A1705" s="95">
        <f t="shared" si="26"/>
        <v>1</v>
      </c>
      <c r="B1705" s="106" t="s">
        <v>3547</v>
      </c>
      <c r="C1705" s="95" t="s">
        <v>3559</v>
      </c>
      <c r="D1705" s="106">
        <v>12</v>
      </c>
      <c r="E1705" s="107">
        <v>1</v>
      </c>
      <c r="F1705" s="107" t="s">
        <v>2958</v>
      </c>
      <c r="G1705" s="107" t="s">
        <v>2961</v>
      </c>
      <c r="H1705" s="107" t="s">
        <v>2971</v>
      </c>
      <c r="I1705" s="107" t="s">
        <v>2997</v>
      </c>
      <c r="J1705" s="107" t="s">
        <v>2997</v>
      </c>
      <c r="K1705" s="107" t="s">
        <v>2997</v>
      </c>
      <c r="L1705" s="107">
        <v>6540.6</v>
      </c>
      <c r="M1705" s="107">
        <v>20</v>
      </c>
    </row>
    <row r="1706" spans="1:13" x14ac:dyDescent="0.3">
      <c r="A1706" s="95">
        <f t="shared" si="26"/>
        <v>0</v>
      </c>
      <c r="B1706" s="106" t="s">
        <v>3548</v>
      </c>
      <c r="C1706" s="95" t="s">
        <v>3560</v>
      </c>
      <c r="D1706" s="106">
        <v>3</v>
      </c>
      <c r="E1706" s="107">
        <v>1</v>
      </c>
      <c r="F1706" s="107" t="s">
        <v>2958</v>
      </c>
      <c r="G1706" s="107" t="s">
        <v>2961</v>
      </c>
      <c r="H1706" s="107" t="s">
        <v>2972</v>
      </c>
      <c r="I1706" s="107" t="s">
        <v>2997</v>
      </c>
      <c r="J1706" s="107" t="s">
        <v>2996</v>
      </c>
      <c r="K1706" s="107" t="s">
        <v>2997</v>
      </c>
      <c r="L1706" s="107">
        <v>500.73</v>
      </c>
      <c r="M1706" s="107">
        <v>2</v>
      </c>
    </row>
    <row r="1707" spans="1:13" x14ac:dyDescent="0.3">
      <c r="A1707" s="95">
        <f t="shared" si="26"/>
        <v>0</v>
      </c>
      <c r="B1707" s="106" t="s">
        <v>3549</v>
      </c>
      <c r="C1707" s="95" t="s">
        <v>3561</v>
      </c>
      <c r="D1707" s="106">
        <v>12</v>
      </c>
      <c r="E1707" s="107">
        <v>1</v>
      </c>
      <c r="F1707" s="107" t="s">
        <v>2958</v>
      </c>
      <c r="G1707" s="107" t="s">
        <v>2961</v>
      </c>
      <c r="H1707" s="107" t="s">
        <v>2971</v>
      </c>
      <c r="I1707" s="107" t="s">
        <v>2996</v>
      </c>
      <c r="J1707" s="107" t="s">
        <v>2996</v>
      </c>
      <c r="K1707" s="107" t="s">
        <v>2996</v>
      </c>
      <c r="L1707" s="107">
        <v>90.02</v>
      </c>
      <c r="M1707" s="107"/>
    </row>
    <row r="1708" spans="1:13" x14ac:dyDescent="0.3">
      <c r="A1708" s="95">
        <f t="shared" si="26"/>
        <v>1</v>
      </c>
      <c r="B1708" s="106" t="s">
        <v>3627</v>
      </c>
      <c r="C1708" s="95" t="s">
        <v>3659</v>
      </c>
      <c r="D1708" s="106">
        <v>12</v>
      </c>
      <c r="E1708" s="107">
        <v>1</v>
      </c>
      <c r="F1708" s="107" t="s">
        <v>2958</v>
      </c>
      <c r="G1708" s="107" t="s">
        <v>2960</v>
      </c>
      <c r="H1708" s="107" t="s">
        <v>2970</v>
      </c>
      <c r="I1708" s="107" t="s">
        <v>3618</v>
      </c>
      <c r="J1708" s="107" t="s">
        <v>2996</v>
      </c>
      <c r="K1708" s="107" t="s">
        <v>2996</v>
      </c>
      <c r="L1708" s="107">
        <v>874.76</v>
      </c>
      <c r="M1708" s="107">
        <v>10</v>
      </c>
    </row>
    <row r="1709" spans="1:13" x14ac:dyDescent="0.3">
      <c r="A1709" s="95">
        <f t="shared" si="26"/>
        <v>0</v>
      </c>
      <c r="B1709" s="106" t="s">
        <v>1528</v>
      </c>
      <c r="C1709" s="95" t="s">
        <v>2954</v>
      </c>
      <c r="D1709" s="106">
        <v>12</v>
      </c>
      <c r="E1709" s="107">
        <v>1</v>
      </c>
      <c r="F1709" s="107" t="s">
        <v>2959</v>
      </c>
      <c r="G1709" s="107" t="s">
        <v>2961</v>
      </c>
      <c r="H1709" s="107" t="s">
        <v>2972</v>
      </c>
      <c r="I1709" s="107" t="s">
        <v>2997</v>
      </c>
      <c r="J1709" s="107" t="s">
        <v>2997</v>
      </c>
      <c r="K1709" s="107" t="s">
        <v>2997</v>
      </c>
      <c r="L1709" s="107">
        <v>156.5</v>
      </c>
      <c r="M1709" s="107"/>
    </row>
    <row r="1710" spans="1:13" x14ac:dyDescent="0.3">
      <c r="A1710" s="95">
        <f t="shared" si="26"/>
        <v>0</v>
      </c>
      <c r="B1710" s="106" t="s">
        <v>1529</v>
      </c>
      <c r="C1710" s="95" t="s">
        <v>2955</v>
      </c>
      <c r="D1710" s="106">
        <v>12</v>
      </c>
      <c r="E1710" s="107">
        <v>1</v>
      </c>
      <c r="F1710" s="107" t="s">
        <v>2958</v>
      </c>
      <c r="G1710" s="107" t="s">
        <v>2963</v>
      </c>
      <c r="H1710" s="107" t="s">
        <v>2974</v>
      </c>
      <c r="I1710" s="107" t="s">
        <v>2997</v>
      </c>
      <c r="J1710" s="107" t="s">
        <v>2997</v>
      </c>
      <c r="K1710" s="107" t="s">
        <v>2997</v>
      </c>
      <c r="L1710" s="107">
        <v>216.24</v>
      </c>
      <c r="M1710" s="107"/>
    </row>
    <row r="1711" spans="1:13" x14ac:dyDescent="0.3">
      <c r="A1711" s="95">
        <f t="shared" si="26"/>
        <v>0</v>
      </c>
      <c r="B1711" s="106" t="s">
        <v>1530</v>
      </c>
      <c r="C1711" s="95" t="s">
        <v>2956</v>
      </c>
      <c r="D1711" s="106">
        <v>3</v>
      </c>
      <c r="E1711" s="107">
        <v>1</v>
      </c>
      <c r="F1711" s="107" t="s">
        <v>2959</v>
      </c>
      <c r="G1711" s="107" t="s">
        <v>2965</v>
      </c>
      <c r="H1711" s="107" t="s">
        <v>2965</v>
      </c>
      <c r="I1711" s="107" t="s">
        <v>2997</v>
      </c>
      <c r="J1711" s="107" t="s">
        <v>2997</v>
      </c>
      <c r="K1711" s="107" t="s">
        <v>2997</v>
      </c>
      <c r="L1711" s="107">
        <v>106.27</v>
      </c>
      <c r="M1711" s="107"/>
    </row>
    <row r="1712" spans="1:13" x14ac:dyDescent="0.3">
      <c r="A1712" s="95">
        <f t="shared" si="26"/>
        <v>0</v>
      </c>
      <c r="B1712" s="106" t="s">
        <v>3321</v>
      </c>
      <c r="C1712" s="95" t="s">
        <v>3517</v>
      </c>
      <c r="D1712" s="106">
        <v>12</v>
      </c>
      <c r="E1712" s="107">
        <v>1</v>
      </c>
      <c r="F1712" s="107" t="s">
        <v>2959</v>
      </c>
      <c r="G1712" s="107" t="s">
        <v>2964</v>
      </c>
      <c r="H1712" s="107" t="s">
        <v>2976</v>
      </c>
      <c r="I1712" s="107" t="s">
        <v>2997</v>
      </c>
      <c r="J1712" s="107" t="s">
        <v>2997</v>
      </c>
      <c r="K1712" s="107" t="s">
        <v>2997</v>
      </c>
      <c r="L1712" s="107">
        <v>40.270000000000003</v>
      </c>
      <c r="M1712" s="107"/>
    </row>
    <row r="1713" spans="1:13" x14ac:dyDescent="0.3">
      <c r="A1713" s="95">
        <f t="shared" si="26"/>
        <v>0</v>
      </c>
      <c r="B1713" s="106" t="s">
        <v>3322</v>
      </c>
      <c r="C1713" s="95" t="s">
        <v>3518</v>
      </c>
      <c r="D1713" s="106">
        <v>12</v>
      </c>
      <c r="E1713" s="107">
        <v>1</v>
      </c>
      <c r="F1713" s="107" t="s">
        <v>2959</v>
      </c>
      <c r="G1713" s="107" t="s">
        <v>2961</v>
      </c>
      <c r="H1713" s="107" t="s">
        <v>2971</v>
      </c>
      <c r="I1713" s="107" t="s">
        <v>2997</v>
      </c>
      <c r="J1713" s="107" t="s">
        <v>2997</v>
      </c>
      <c r="K1713" s="107" t="s">
        <v>2997</v>
      </c>
      <c r="L1713" s="107">
        <v>118.54</v>
      </c>
      <c r="M1713" s="107"/>
    </row>
    <row r="1714" spans="1:13" x14ac:dyDescent="0.3">
      <c r="A1714" s="95">
        <f t="shared" si="26"/>
        <v>0</v>
      </c>
      <c r="B1714" s="106" t="s">
        <v>3323</v>
      </c>
      <c r="C1714" s="95" t="s">
        <v>3519</v>
      </c>
      <c r="D1714" s="106">
        <v>12</v>
      </c>
      <c r="E1714" s="107">
        <v>1</v>
      </c>
      <c r="F1714" s="107" t="s">
        <v>2959</v>
      </c>
      <c r="G1714" s="107" t="s">
        <v>2965</v>
      </c>
      <c r="H1714" s="107" t="s">
        <v>2965</v>
      </c>
      <c r="I1714" s="107" t="s">
        <v>2997</v>
      </c>
      <c r="J1714" s="107" t="s">
        <v>2997</v>
      </c>
      <c r="K1714" s="107" t="s">
        <v>2997</v>
      </c>
      <c r="L1714" s="107">
        <v>53.6</v>
      </c>
      <c r="M1714" s="107"/>
    </row>
    <row r="1715" spans="1:13" x14ac:dyDescent="0.3">
      <c r="A1715" s="95">
        <f t="shared" si="26"/>
        <v>0</v>
      </c>
      <c r="B1715" s="106" t="s">
        <v>3324</v>
      </c>
      <c r="C1715" s="95" t="s">
        <v>3520</v>
      </c>
      <c r="D1715" s="106">
        <v>12</v>
      </c>
      <c r="E1715" s="107">
        <v>1</v>
      </c>
      <c r="F1715" s="107" t="s">
        <v>2959</v>
      </c>
      <c r="G1715" s="107" t="s">
        <v>2961</v>
      </c>
      <c r="H1715" s="107" t="s">
        <v>2971</v>
      </c>
      <c r="I1715" s="107" t="s">
        <v>2997</v>
      </c>
      <c r="J1715" s="107" t="s">
        <v>2997</v>
      </c>
      <c r="K1715" s="107" t="s">
        <v>2997</v>
      </c>
      <c r="L1715" s="107">
        <v>22.12</v>
      </c>
      <c r="M1715" s="107"/>
    </row>
    <row r="1716" spans="1:13" x14ac:dyDescent="0.3">
      <c r="A1716" s="95">
        <f t="shared" si="26"/>
        <v>0</v>
      </c>
      <c r="B1716" s="106" t="s">
        <v>3325</v>
      </c>
      <c r="C1716" s="95" t="s">
        <v>3521</v>
      </c>
      <c r="D1716" s="106">
        <v>12</v>
      </c>
      <c r="E1716" s="107">
        <v>1</v>
      </c>
      <c r="F1716" s="107" t="s">
        <v>2959</v>
      </c>
      <c r="G1716" s="107" t="s">
        <v>2961</v>
      </c>
      <c r="H1716" s="107" t="s">
        <v>2972</v>
      </c>
      <c r="I1716" s="107" t="s">
        <v>2997</v>
      </c>
      <c r="J1716" s="107" t="s">
        <v>2997</v>
      </c>
      <c r="K1716" s="107" t="s">
        <v>2997</v>
      </c>
      <c r="L1716" s="107">
        <v>42.5</v>
      </c>
      <c r="M1716" s="107"/>
    </row>
    <row r="1717" spans="1:13" x14ac:dyDescent="0.3">
      <c r="A1717" s="95">
        <f t="shared" si="26"/>
        <v>0</v>
      </c>
      <c r="B1717" s="106" t="s">
        <v>3326</v>
      </c>
      <c r="C1717" s="95" t="s">
        <v>3522</v>
      </c>
      <c r="D1717" s="106">
        <v>6</v>
      </c>
      <c r="E1717" s="107">
        <v>1</v>
      </c>
      <c r="F1717" s="107" t="s">
        <v>2959</v>
      </c>
      <c r="G1717" s="107" t="s">
        <v>2963</v>
      </c>
      <c r="H1717" s="107" t="s">
        <v>2974</v>
      </c>
      <c r="I1717" s="107" t="s">
        <v>2997</v>
      </c>
      <c r="J1717" s="107" t="s">
        <v>2997</v>
      </c>
      <c r="K1717" s="107" t="s">
        <v>2997</v>
      </c>
      <c r="L1717" s="107">
        <v>175.2</v>
      </c>
      <c r="M1717" s="107"/>
    </row>
    <row r="1718" spans="1:13" x14ac:dyDescent="0.3">
      <c r="A1718" s="95">
        <f t="shared" si="26"/>
        <v>0</v>
      </c>
      <c r="B1718" s="106" t="s">
        <v>3327</v>
      </c>
      <c r="C1718" s="95" t="s">
        <v>3538</v>
      </c>
      <c r="D1718" s="106">
        <v>12</v>
      </c>
      <c r="E1718" s="107">
        <v>1</v>
      </c>
      <c r="F1718" s="107" t="s">
        <v>2959</v>
      </c>
      <c r="G1718" s="107" t="s">
        <v>2964</v>
      </c>
      <c r="H1718" s="107" t="s">
        <v>2976</v>
      </c>
      <c r="I1718" s="107" t="s">
        <v>2997</v>
      </c>
      <c r="J1718" s="107" t="s">
        <v>2997</v>
      </c>
      <c r="K1718" s="107" t="s">
        <v>2996</v>
      </c>
      <c r="L1718" s="107">
        <v>25.54</v>
      </c>
      <c r="M1718" s="107"/>
    </row>
    <row r="1719" spans="1:13" x14ac:dyDescent="0.3">
      <c r="A1719" s="95">
        <f t="shared" si="26"/>
        <v>0</v>
      </c>
      <c r="B1719" s="106" t="s">
        <v>3328</v>
      </c>
      <c r="C1719" s="95" t="s">
        <v>3523</v>
      </c>
      <c r="D1719" s="106">
        <v>12</v>
      </c>
      <c r="E1719" s="107">
        <v>1</v>
      </c>
      <c r="F1719" s="107" t="s">
        <v>2958</v>
      </c>
      <c r="G1719" s="107" t="s">
        <v>2961</v>
      </c>
      <c r="H1719" s="107" t="s">
        <v>2971</v>
      </c>
      <c r="I1719" s="107" t="s">
        <v>2997</v>
      </c>
      <c r="J1719" s="107" t="s">
        <v>2997</v>
      </c>
      <c r="K1719" s="107" t="s">
        <v>2997</v>
      </c>
      <c r="L1719" s="107">
        <v>1187.42</v>
      </c>
      <c r="M1719" s="107">
        <v>3</v>
      </c>
    </row>
    <row r="1720" spans="1:13" x14ac:dyDescent="0.3">
      <c r="A1720" s="95">
        <f t="shared" si="26"/>
        <v>0</v>
      </c>
      <c r="B1720" s="106" t="s">
        <v>3329</v>
      </c>
      <c r="C1720" s="95" t="s">
        <v>3524</v>
      </c>
      <c r="D1720" s="106">
        <v>12</v>
      </c>
      <c r="E1720" s="107">
        <v>1</v>
      </c>
      <c r="F1720" s="107" t="s">
        <v>2959</v>
      </c>
      <c r="G1720" s="107" t="s">
        <v>2964</v>
      </c>
      <c r="H1720" s="107" t="s">
        <v>2976</v>
      </c>
      <c r="I1720" s="107" t="s">
        <v>2997</v>
      </c>
      <c r="J1720" s="107" t="s">
        <v>2997</v>
      </c>
      <c r="K1720" s="107" t="s">
        <v>2997</v>
      </c>
      <c r="L1720" s="107">
        <v>109.81</v>
      </c>
      <c r="M1720" s="107"/>
    </row>
    <row r="1721" spans="1:13" x14ac:dyDescent="0.3">
      <c r="A1721" s="95">
        <f t="shared" si="26"/>
        <v>0</v>
      </c>
      <c r="B1721" s="106" t="s">
        <v>1531</v>
      </c>
      <c r="C1721" s="95" t="s">
        <v>2957</v>
      </c>
      <c r="D1721" s="106">
        <v>9</v>
      </c>
      <c r="E1721" s="107">
        <v>1</v>
      </c>
      <c r="F1721" s="107" t="s">
        <v>2958</v>
      </c>
      <c r="G1721" s="107" t="s">
        <v>2961</v>
      </c>
      <c r="H1721" s="107" t="s">
        <v>2972</v>
      </c>
      <c r="I1721" s="107" t="s">
        <v>2997</v>
      </c>
      <c r="J1721" s="107" t="s">
        <v>2997</v>
      </c>
      <c r="K1721" s="107" t="s">
        <v>2996</v>
      </c>
      <c r="L1721" s="107">
        <v>6.82</v>
      </c>
      <c r="M1721" s="107"/>
    </row>
    <row r="1722" spans="1:13" x14ac:dyDescent="0.3">
      <c r="A1722" s="95">
        <f t="shared" si="26"/>
        <v>0</v>
      </c>
      <c r="B1722" s="106" t="s">
        <v>3330</v>
      </c>
      <c r="C1722" s="95" t="s">
        <v>3525</v>
      </c>
      <c r="D1722" s="106">
        <v>12</v>
      </c>
      <c r="E1722" s="107">
        <v>1</v>
      </c>
      <c r="F1722" s="107" t="s">
        <v>2958</v>
      </c>
      <c r="G1722" s="107" t="s">
        <v>2961</v>
      </c>
      <c r="H1722" s="107" t="s">
        <v>2972</v>
      </c>
      <c r="I1722" s="107" t="s">
        <v>2997</v>
      </c>
      <c r="J1722" s="107" t="s">
        <v>2997</v>
      </c>
      <c r="K1722" s="107" t="s">
        <v>2997</v>
      </c>
      <c r="L1722" s="107">
        <v>124.95</v>
      </c>
      <c r="M1722" s="107"/>
    </row>
    <row r="1723" spans="1:13" x14ac:dyDescent="0.3">
      <c r="A1723" s="95">
        <f t="shared" si="26"/>
        <v>0</v>
      </c>
      <c r="B1723" s="106" t="s">
        <v>3331</v>
      </c>
      <c r="C1723" s="95" t="s">
        <v>3539</v>
      </c>
      <c r="D1723" s="106">
        <v>3</v>
      </c>
      <c r="E1723" s="107">
        <v>1</v>
      </c>
      <c r="F1723" s="107" t="s">
        <v>2958</v>
      </c>
      <c r="G1723" s="107" t="s">
        <v>2962</v>
      </c>
      <c r="H1723" s="107" t="s">
        <v>2993</v>
      </c>
      <c r="I1723" s="107" t="s">
        <v>2997</v>
      </c>
      <c r="J1723" s="107" t="s">
        <v>2996</v>
      </c>
      <c r="K1723" s="107" t="s">
        <v>2996</v>
      </c>
      <c r="L1723" s="107">
        <v>348.99</v>
      </c>
      <c r="M1723" s="107">
        <v>3</v>
      </c>
    </row>
    <row r="1724" spans="1:13" x14ac:dyDescent="0.3">
      <c r="A1724" s="95">
        <f t="shared" si="26"/>
        <v>0</v>
      </c>
      <c r="B1724" s="106" t="s">
        <v>3597</v>
      </c>
      <c r="C1724" s="95" t="s">
        <v>3598</v>
      </c>
      <c r="D1724" s="106">
        <v>3</v>
      </c>
      <c r="E1724" s="107">
        <v>1</v>
      </c>
      <c r="F1724" s="107" t="s">
        <v>2959</v>
      </c>
      <c r="G1724" s="107" t="s">
        <v>2966</v>
      </c>
      <c r="H1724" s="107" t="s">
        <v>2985</v>
      </c>
      <c r="I1724" s="107" t="s">
        <v>2997</v>
      </c>
      <c r="J1724" s="107" t="s">
        <v>2997</v>
      </c>
      <c r="K1724" s="107" t="s">
        <v>2997</v>
      </c>
      <c r="L1724" s="107">
        <v>94.65</v>
      </c>
      <c r="M1724" s="107"/>
    </row>
    <row r="1725" spans="1:13" x14ac:dyDescent="0.3">
      <c r="A1725" s="95">
        <f t="shared" si="26"/>
        <v>0</v>
      </c>
      <c r="B1725" s="106" t="s">
        <v>3708</v>
      </c>
      <c r="C1725" s="95" t="s">
        <v>3709</v>
      </c>
      <c r="D1725" s="106">
        <v>12</v>
      </c>
      <c r="E1725" s="107">
        <v>1</v>
      </c>
      <c r="F1725" s="107" t="s">
        <v>2959</v>
      </c>
      <c r="G1725" s="107" t="s">
        <v>2960</v>
      </c>
      <c r="H1725" s="107" t="s">
        <v>2970</v>
      </c>
      <c r="I1725" s="107" t="s">
        <v>2997</v>
      </c>
      <c r="J1725" s="107" t="s">
        <v>2997</v>
      </c>
      <c r="K1725" s="107" t="s">
        <v>2996</v>
      </c>
      <c r="L1725" s="107">
        <v>262.60000000000002</v>
      </c>
      <c r="M1725" s="107">
        <v>3</v>
      </c>
    </row>
    <row r="1726" spans="1:13" x14ac:dyDescent="0.3">
      <c r="A1726" s="95">
        <f t="shared" si="26"/>
        <v>0</v>
      </c>
      <c r="B1726" s="106"/>
      <c r="D1726" s="106"/>
      <c r="E1726" s="107"/>
      <c r="F1726" s="107"/>
      <c r="G1726" s="107"/>
      <c r="H1726" s="107"/>
      <c r="I1726" s="107"/>
      <c r="J1726" s="107"/>
      <c r="K1726" s="107"/>
      <c r="L1726" s="107"/>
      <c r="M1726" s="107"/>
    </row>
    <row r="1727" spans="1:13" x14ac:dyDescent="0.3">
      <c r="A1727" s="95">
        <f t="shared" si="26"/>
        <v>0</v>
      </c>
      <c r="B1727" s="106"/>
      <c r="D1727" s="106"/>
      <c r="E1727" s="107"/>
      <c r="F1727" s="107"/>
      <c r="G1727" s="107"/>
      <c r="H1727" s="107"/>
      <c r="I1727" s="107"/>
      <c r="J1727" s="107"/>
      <c r="K1727" s="107"/>
      <c r="L1727" s="107"/>
      <c r="M1727" s="107"/>
    </row>
    <row r="1728" spans="1:13" x14ac:dyDescent="0.3">
      <c r="A1728" s="95">
        <f t="shared" si="26"/>
        <v>0</v>
      </c>
      <c r="B1728" s="106"/>
      <c r="D1728" s="106"/>
      <c r="E1728" s="107"/>
      <c r="F1728" s="107"/>
      <c r="G1728" s="107"/>
      <c r="H1728" s="107"/>
      <c r="I1728" s="107"/>
      <c r="J1728" s="107"/>
      <c r="K1728" s="107"/>
      <c r="L1728" s="107"/>
      <c r="M1728" s="107"/>
    </row>
    <row r="1729" spans="1:13" x14ac:dyDescent="0.3">
      <c r="A1729" s="95">
        <f t="shared" si="26"/>
        <v>0</v>
      </c>
      <c r="B1729" s="106"/>
      <c r="D1729" s="106"/>
      <c r="E1729" s="107"/>
      <c r="F1729" s="107"/>
      <c r="G1729" s="107"/>
      <c r="H1729" s="107"/>
      <c r="I1729" s="107"/>
      <c r="J1729" s="107"/>
      <c r="K1729" s="107"/>
      <c r="L1729" s="107"/>
      <c r="M1729" s="107"/>
    </row>
    <row r="1730" spans="1:13" x14ac:dyDescent="0.3">
      <c r="A1730" s="95">
        <f t="shared" si="26"/>
        <v>0</v>
      </c>
      <c r="B1730" s="106"/>
      <c r="D1730" s="106"/>
      <c r="E1730" s="107"/>
      <c r="F1730" s="107"/>
      <c r="G1730" s="107"/>
      <c r="H1730" s="107"/>
      <c r="I1730" s="107"/>
      <c r="J1730" s="107"/>
      <c r="K1730" s="107"/>
      <c r="L1730" s="107"/>
      <c r="M1730" s="107"/>
    </row>
    <row r="1731" spans="1:13" x14ac:dyDescent="0.3">
      <c r="A1731" s="95">
        <f t="shared" si="26"/>
        <v>0</v>
      </c>
      <c r="B1731" s="106"/>
      <c r="D1731" s="106"/>
      <c r="E1731" s="107"/>
      <c r="F1731" s="107"/>
      <c r="G1731" s="107"/>
      <c r="H1731" s="107"/>
      <c r="I1731" s="107"/>
      <c r="J1731" s="107"/>
      <c r="K1731" s="107"/>
      <c r="L1731" s="107"/>
      <c r="M1731" s="107"/>
    </row>
    <row r="1732" spans="1:13" x14ac:dyDescent="0.3">
      <c r="A1732" s="95">
        <f t="shared" si="26"/>
        <v>0</v>
      </c>
      <c r="B1732" s="106"/>
      <c r="D1732" s="106"/>
      <c r="E1732" s="107"/>
      <c r="F1732" s="107"/>
      <c r="G1732" s="107"/>
      <c r="H1732" s="107"/>
      <c r="I1732" s="107"/>
      <c r="J1732" s="107"/>
      <c r="K1732" s="107"/>
      <c r="L1732" s="107"/>
      <c r="M1732" s="107"/>
    </row>
    <row r="1733" spans="1:13" x14ac:dyDescent="0.3">
      <c r="A1733" s="95">
        <f t="shared" si="26"/>
        <v>0</v>
      </c>
      <c r="B1733" s="106"/>
      <c r="D1733" s="106"/>
      <c r="E1733" s="107"/>
      <c r="F1733" s="107"/>
      <c r="G1733" s="107"/>
      <c r="H1733" s="107"/>
      <c r="I1733" s="107"/>
      <c r="J1733" s="107"/>
      <c r="K1733" s="107"/>
      <c r="L1733" s="107"/>
      <c r="M1733" s="107"/>
    </row>
    <row r="1734" spans="1:13" x14ac:dyDescent="0.3">
      <c r="A1734" s="95">
        <f t="shared" si="26"/>
        <v>0</v>
      </c>
      <c r="B1734" s="106"/>
      <c r="D1734" s="106"/>
      <c r="E1734" s="107"/>
      <c r="F1734" s="107"/>
      <c r="G1734" s="107"/>
      <c r="H1734" s="107"/>
      <c r="I1734" s="107"/>
      <c r="J1734" s="107"/>
      <c r="K1734" s="107"/>
      <c r="L1734" s="107"/>
      <c r="M1734" s="107"/>
    </row>
    <row r="1735" spans="1:13" x14ac:dyDescent="0.3">
      <c r="A1735" s="95">
        <f t="shared" si="26"/>
        <v>0</v>
      </c>
      <c r="B1735" s="106"/>
      <c r="D1735" s="106"/>
      <c r="E1735" s="107"/>
      <c r="F1735" s="107"/>
      <c r="G1735" s="107"/>
      <c r="H1735" s="107"/>
      <c r="I1735" s="107"/>
      <c r="J1735" s="107"/>
      <c r="K1735" s="107"/>
      <c r="L1735" s="107"/>
      <c r="M1735" s="107"/>
    </row>
    <row r="1736" spans="1:13" x14ac:dyDescent="0.3">
      <c r="A1736" s="95">
        <f t="shared" si="26"/>
        <v>0</v>
      </c>
      <c r="B1736" s="106"/>
      <c r="D1736" s="106"/>
      <c r="E1736" s="107"/>
      <c r="F1736" s="107"/>
      <c r="G1736" s="107"/>
      <c r="H1736" s="107"/>
      <c r="I1736" s="107"/>
      <c r="J1736" s="107"/>
      <c r="K1736" s="107"/>
      <c r="L1736" s="107"/>
      <c r="M1736" s="107"/>
    </row>
    <row r="1737" spans="1:13" x14ac:dyDescent="0.3">
      <c r="A1737" s="95">
        <f t="shared" si="26"/>
        <v>0</v>
      </c>
      <c r="B1737" s="106"/>
      <c r="D1737" s="106"/>
      <c r="E1737" s="107"/>
      <c r="F1737" s="107"/>
      <c r="G1737" s="107"/>
      <c r="H1737" s="107"/>
      <c r="I1737" s="107"/>
      <c r="J1737" s="107"/>
      <c r="K1737" s="107"/>
      <c r="L1737" s="107"/>
      <c r="M1737" s="107"/>
    </row>
    <row r="1738" spans="1:13" x14ac:dyDescent="0.3">
      <c r="A1738" s="95">
        <f t="shared" si="26"/>
        <v>0</v>
      </c>
      <c r="B1738" s="106"/>
      <c r="D1738" s="106"/>
      <c r="E1738" s="107"/>
      <c r="F1738" s="107"/>
      <c r="G1738" s="107"/>
      <c r="H1738" s="107"/>
      <c r="I1738" s="107"/>
      <c r="J1738" s="107"/>
      <c r="K1738" s="107"/>
      <c r="L1738" s="107"/>
      <c r="M1738" s="107"/>
    </row>
    <row r="1739" spans="1:13" x14ac:dyDescent="0.3">
      <c r="A1739" s="95">
        <f t="shared" si="26"/>
        <v>0</v>
      </c>
      <c r="B1739" s="106"/>
      <c r="D1739" s="106"/>
      <c r="E1739" s="107"/>
      <c r="F1739" s="107"/>
      <c r="G1739" s="107"/>
      <c r="H1739" s="107"/>
      <c r="I1739" s="107"/>
      <c r="J1739" s="107"/>
      <c r="K1739" s="107"/>
      <c r="L1739" s="107"/>
      <c r="M1739" s="107"/>
    </row>
    <row r="1740" spans="1:13" x14ac:dyDescent="0.3">
      <c r="A1740" s="95">
        <f t="shared" si="26"/>
        <v>0</v>
      </c>
      <c r="B1740" s="106"/>
      <c r="D1740" s="106"/>
      <c r="E1740" s="107"/>
      <c r="F1740" s="107"/>
      <c r="G1740" s="107"/>
      <c r="H1740" s="107"/>
      <c r="I1740" s="107"/>
      <c r="J1740" s="107"/>
      <c r="K1740" s="107"/>
      <c r="L1740" s="107"/>
      <c r="M1740" s="107"/>
    </row>
    <row r="1741" spans="1:13" x14ac:dyDescent="0.3">
      <c r="A1741" s="95">
        <f t="shared" si="26"/>
        <v>0</v>
      </c>
      <c r="B1741" s="106"/>
      <c r="D1741" s="106"/>
      <c r="E1741" s="107"/>
      <c r="F1741" s="107"/>
      <c r="G1741" s="107"/>
      <c r="H1741" s="107"/>
      <c r="I1741" s="107"/>
      <c r="J1741" s="107"/>
      <c r="K1741" s="107"/>
      <c r="L1741" s="107"/>
      <c r="M1741" s="107"/>
    </row>
    <row r="1742" spans="1:13" x14ac:dyDescent="0.3">
      <c r="A1742" s="95">
        <f t="shared" si="26"/>
        <v>0</v>
      </c>
      <c r="B1742" s="106"/>
      <c r="D1742" s="106"/>
      <c r="E1742" s="107"/>
      <c r="F1742" s="107"/>
      <c r="G1742" s="107"/>
      <c r="H1742" s="107"/>
      <c r="I1742" s="107"/>
      <c r="J1742" s="107"/>
      <c r="K1742" s="107"/>
      <c r="L1742" s="107"/>
      <c r="M1742" s="107"/>
    </row>
    <row r="1743" spans="1:13" x14ac:dyDescent="0.3">
      <c r="A1743" s="95">
        <f t="shared" ref="A1743:A1806" si="27">IF(AND(E1743=1,J1743=K1743,M1743&gt;6),1,0)</f>
        <v>0</v>
      </c>
      <c r="B1743" s="106"/>
      <c r="D1743" s="106"/>
      <c r="E1743" s="107"/>
      <c r="F1743" s="107"/>
      <c r="G1743" s="107"/>
      <c r="H1743" s="107"/>
      <c r="I1743" s="107"/>
      <c r="J1743" s="107"/>
      <c r="K1743" s="107"/>
      <c r="L1743" s="107"/>
      <c r="M1743" s="107"/>
    </row>
    <row r="1744" spans="1:13" x14ac:dyDescent="0.3">
      <c r="A1744" s="95">
        <f t="shared" si="27"/>
        <v>0</v>
      </c>
      <c r="B1744" s="106"/>
      <c r="D1744" s="106"/>
      <c r="E1744" s="107"/>
      <c r="F1744" s="107"/>
      <c r="G1744" s="107"/>
      <c r="H1744" s="107"/>
      <c r="I1744" s="107"/>
      <c r="J1744" s="107"/>
      <c r="K1744" s="107"/>
      <c r="L1744" s="107"/>
      <c r="M1744" s="107"/>
    </row>
    <row r="1745" spans="1:13" x14ac:dyDescent="0.3">
      <c r="A1745" s="95">
        <f t="shared" si="27"/>
        <v>0</v>
      </c>
      <c r="B1745" s="106"/>
      <c r="D1745" s="106"/>
      <c r="E1745" s="107"/>
      <c r="F1745" s="107"/>
      <c r="G1745" s="107"/>
      <c r="H1745" s="107"/>
      <c r="I1745" s="107"/>
      <c r="J1745" s="107"/>
      <c r="K1745" s="107"/>
      <c r="L1745" s="107"/>
      <c r="M1745" s="107">
        <v>2</v>
      </c>
    </row>
    <row r="1746" spans="1:13" x14ac:dyDescent="0.3">
      <c r="A1746" s="95">
        <f t="shared" si="27"/>
        <v>0</v>
      </c>
      <c r="B1746" s="106"/>
      <c r="D1746" s="106"/>
      <c r="E1746" s="107"/>
      <c r="F1746" s="107"/>
      <c r="G1746" s="107"/>
      <c r="H1746" s="107"/>
      <c r="I1746" s="107"/>
      <c r="J1746" s="107"/>
      <c r="K1746" s="107"/>
      <c r="L1746" s="107"/>
      <c r="M1746" s="107"/>
    </row>
    <row r="1747" spans="1:13" x14ac:dyDescent="0.3">
      <c r="A1747" s="95">
        <f t="shared" si="27"/>
        <v>0</v>
      </c>
      <c r="B1747" s="106"/>
      <c r="D1747" s="106"/>
      <c r="E1747" s="107"/>
      <c r="F1747" s="107"/>
      <c r="G1747" s="107"/>
      <c r="H1747" s="107"/>
      <c r="I1747" s="107"/>
      <c r="J1747" s="107"/>
      <c r="K1747" s="107"/>
      <c r="L1747" s="107"/>
      <c r="M1747" s="107">
        <v>3</v>
      </c>
    </row>
    <row r="1748" spans="1:13" x14ac:dyDescent="0.3">
      <c r="A1748" s="95">
        <f t="shared" si="27"/>
        <v>0</v>
      </c>
      <c r="B1748" s="106"/>
      <c r="D1748" s="106"/>
      <c r="E1748" s="107"/>
      <c r="F1748" s="107"/>
      <c r="G1748" s="107"/>
      <c r="H1748" s="107"/>
      <c r="I1748" s="107"/>
      <c r="J1748" s="107"/>
      <c r="K1748" s="107"/>
      <c r="L1748" s="107"/>
      <c r="M1748" s="107"/>
    </row>
    <row r="1749" spans="1:13" x14ac:dyDescent="0.3">
      <c r="A1749" s="95">
        <f t="shared" si="27"/>
        <v>0</v>
      </c>
      <c r="B1749" s="106"/>
      <c r="D1749" s="106"/>
      <c r="E1749" s="107"/>
      <c r="F1749" s="107"/>
      <c r="G1749" s="107"/>
      <c r="H1749" s="107"/>
      <c r="I1749" s="107"/>
      <c r="J1749" s="107"/>
      <c r="K1749" s="107"/>
      <c r="L1749" s="107"/>
      <c r="M1749" s="107"/>
    </row>
    <row r="1750" spans="1:13" x14ac:dyDescent="0.3">
      <c r="A1750" s="95">
        <f t="shared" si="27"/>
        <v>0</v>
      </c>
      <c r="B1750" s="106"/>
      <c r="D1750" s="106"/>
      <c r="E1750" s="107"/>
      <c r="F1750" s="107"/>
      <c r="G1750" s="107"/>
      <c r="H1750" s="107"/>
      <c r="I1750" s="107"/>
      <c r="J1750" s="107"/>
      <c r="K1750" s="107"/>
      <c r="L1750" s="107"/>
      <c r="M1750" s="107"/>
    </row>
    <row r="1751" spans="1:13" x14ac:dyDescent="0.3">
      <c r="A1751" s="95">
        <f t="shared" si="27"/>
        <v>0</v>
      </c>
      <c r="B1751" s="106"/>
      <c r="D1751" s="106"/>
      <c r="E1751" s="107"/>
      <c r="F1751" s="107"/>
      <c r="G1751" s="107"/>
      <c r="H1751" s="107"/>
      <c r="I1751" s="107"/>
      <c r="J1751" s="107"/>
      <c r="K1751" s="107"/>
      <c r="L1751" s="107"/>
      <c r="M1751" s="107">
        <v>3</v>
      </c>
    </row>
    <row r="1752" spans="1:13" x14ac:dyDescent="0.3">
      <c r="A1752" s="95">
        <f t="shared" si="27"/>
        <v>0</v>
      </c>
      <c r="B1752" s="106"/>
      <c r="D1752" s="106"/>
      <c r="E1752" s="107"/>
      <c r="F1752" s="107"/>
      <c r="G1752" s="107"/>
      <c r="H1752" s="107"/>
      <c r="I1752" s="107"/>
      <c r="J1752" s="107"/>
      <c r="K1752" s="107"/>
      <c r="L1752" s="107"/>
      <c r="M1752" s="107"/>
    </row>
    <row r="1753" spans="1:13" x14ac:dyDescent="0.3">
      <c r="A1753" s="95">
        <f t="shared" si="27"/>
        <v>0</v>
      </c>
      <c r="B1753" s="106"/>
      <c r="D1753" s="106"/>
      <c r="E1753" s="107"/>
      <c r="F1753" s="107"/>
      <c r="G1753" s="107"/>
      <c r="H1753" s="107"/>
      <c r="I1753" s="107"/>
      <c r="J1753" s="107"/>
      <c r="K1753" s="107"/>
      <c r="L1753" s="107"/>
      <c r="M1753" s="107"/>
    </row>
    <row r="1754" spans="1:13" x14ac:dyDescent="0.3">
      <c r="A1754" s="95">
        <f t="shared" si="27"/>
        <v>0</v>
      </c>
      <c r="B1754" s="106"/>
      <c r="D1754" s="106"/>
      <c r="E1754" s="107"/>
      <c r="F1754" s="107"/>
      <c r="G1754" s="107"/>
      <c r="H1754" s="107"/>
      <c r="I1754" s="107"/>
      <c r="J1754" s="107"/>
      <c r="K1754" s="107"/>
      <c r="L1754" s="107"/>
      <c r="M1754" s="107"/>
    </row>
    <row r="1755" spans="1:13" x14ac:dyDescent="0.3">
      <c r="A1755" s="95">
        <f t="shared" si="27"/>
        <v>0</v>
      </c>
      <c r="B1755" s="106"/>
      <c r="D1755" s="106"/>
      <c r="E1755" s="107"/>
      <c r="F1755" s="107"/>
      <c r="G1755" s="107"/>
      <c r="H1755" s="107"/>
      <c r="I1755" s="107"/>
      <c r="J1755" s="107"/>
      <c r="K1755" s="107"/>
      <c r="L1755" s="107"/>
      <c r="M1755" s="107"/>
    </row>
    <row r="1756" spans="1:13" x14ac:dyDescent="0.3">
      <c r="A1756" s="95">
        <f t="shared" si="27"/>
        <v>0</v>
      </c>
      <c r="B1756" s="106"/>
      <c r="D1756" s="106"/>
      <c r="E1756" s="107"/>
      <c r="F1756" s="107"/>
      <c r="G1756" s="107"/>
      <c r="H1756" s="107"/>
      <c r="I1756" s="107"/>
      <c r="J1756" s="107"/>
      <c r="K1756" s="107"/>
      <c r="L1756" s="107"/>
      <c r="M1756" s="107"/>
    </row>
    <row r="1757" spans="1:13" x14ac:dyDescent="0.3">
      <c r="A1757" s="95">
        <f t="shared" si="27"/>
        <v>0</v>
      </c>
      <c r="B1757" s="106"/>
      <c r="D1757" s="106"/>
      <c r="E1757" s="107"/>
      <c r="F1757" s="107"/>
      <c r="G1757" s="107"/>
      <c r="H1757" s="107"/>
      <c r="I1757" s="107"/>
      <c r="J1757" s="107"/>
      <c r="K1757" s="107"/>
      <c r="L1757" s="107"/>
      <c r="M1757" s="107"/>
    </row>
    <row r="1758" spans="1:13" x14ac:dyDescent="0.3">
      <c r="A1758" s="95">
        <f t="shared" si="27"/>
        <v>0</v>
      </c>
      <c r="B1758" s="106"/>
      <c r="D1758" s="106"/>
      <c r="E1758" s="107"/>
      <c r="F1758" s="107"/>
      <c r="G1758" s="107"/>
      <c r="H1758" s="107"/>
      <c r="I1758" s="107"/>
      <c r="J1758" s="107"/>
      <c r="K1758" s="107"/>
      <c r="L1758" s="107"/>
      <c r="M1758" s="107"/>
    </row>
    <row r="1759" spans="1:13" x14ac:dyDescent="0.3">
      <c r="A1759" s="95">
        <f t="shared" si="27"/>
        <v>0</v>
      </c>
      <c r="B1759" s="106"/>
      <c r="D1759" s="106"/>
      <c r="E1759" s="107"/>
      <c r="F1759" s="107"/>
      <c r="G1759" s="107"/>
      <c r="H1759" s="107"/>
      <c r="I1759" s="107"/>
      <c r="J1759" s="107"/>
      <c r="K1759" s="107"/>
      <c r="L1759" s="107"/>
      <c r="M1759" s="107"/>
    </row>
    <row r="1760" spans="1:13" x14ac:dyDescent="0.3">
      <c r="A1760" s="95">
        <f t="shared" si="27"/>
        <v>0</v>
      </c>
      <c r="B1760" s="106"/>
      <c r="D1760" s="106"/>
      <c r="E1760" s="107"/>
      <c r="F1760" s="107"/>
      <c r="G1760" s="107"/>
      <c r="H1760" s="107"/>
      <c r="I1760" s="107"/>
      <c r="J1760" s="107"/>
      <c r="K1760" s="107"/>
      <c r="L1760" s="107"/>
      <c r="M1760" s="107"/>
    </row>
    <row r="1761" spans="1:13" x14ac:dyDescent="0.3">
      <c r="A1761" s="95">
        <f t="shared" si="27"/>
        <v>0</v>
      </c>
      <c r="B1761" s="106"/>
      <c r="D1761" s="106"/>
      <c r="E1761" s="107"/>
      <c r="F1761" s="107"/>
      <c r="G1761" s="107"/>
      <c r="H1761" s="107"/>
      <c r="I1761" s="107"/>
      <c r="J1761" s="107"/>
      <c r="K1761" s="107"/>
      <c r="L1761" s="107"/>
      <c r="M1761" s="107"/>
    </row>
    <row r="1762" spans="1:13" x14ac:dyDescent="0.3">
      <c r="A1762" s="95">
        <f t="shared" si="27"/>
        <v>0</v>
      </c>
      <c r="B1762" s="106"/>
      <c r="D1762" s="106"/>
      <c r="E1762" s="107"/>
      <c r="F1762" s="107"/>
      <c r="G1762" s="107"/>
      <c r="H1762" s="107"/>
      <c r="I1762" s="107"/>
      <c r="J1762" s="107"/>
      <c r="K1762" s="107"/>
      <c r="L1762" s="107"/>
      <c r="M1762" s="107"/>
    </row>
    <row r="1763" spans="1:13" x14ac:dyDescent="0.3">
      <c r="A1763" s="95">
        <f t="shared" si="27"/>
        <v>0</v>
      </c>
      <c r="B1763" s="106"/>
      <c r="D1763" s="106"/>
      <c r="E1763" s="107"/>
      <c r="F1763" s="107"/>
      <c r="G1763" s="107"/>
      <c r="H1763" s="107"/>
      <c r="I1763" s="107"/>
      <c r="J1763" s="107"/>
      <c r="K1763" s="107"/>
      <c r="L1763" s="107"/>
      <c r="M1763" s="107"/>
    </row>
    <row r="1764" spans="1:13" x14ac:dyDescent="0.3">
      <c r="A1764" s="95">
        <f t="shared" si="27"/>
        <v>0</v>
      </c>
      <c r="B1764" s="106"/>
      <c r="D1764" s="106"/>
      <c r="E1764" s="107"/>
      <c r="F1764" s="107"/>
      <c r="G1764" s="107"/>
      <c r="H1764" s="107"/>
      <c r="I1764" s="107"/>
      <c r="J1764" s="107"/>
      <c r="K1764" s="107"/>
      <c r="L1764" s="107"/>
      <c r="M1764" s="107"/>
    </row>
    <row r="1765" spans="1:13" x14ac:dyDescent="0.3">
      <c r="A1765" s="95">
        <f t="shared" si="27"/>
        <v>0</v>
      </c>
      <c r="B1765" s="106"/>
      <c r="D1765" s="106"/>
      <c r="E1765" s="107"/>
      <c r="F1765" s="107"/>
      <c r="G1765" s="107"/>
      <c r="H1765" s="107"/>
      <c r="I1765" s="107"/>
      <c r="J1765" s="107"/>
      <c r="K1765" s="107"/>
      <c r="L1765" s="107"/>
      <c r="M1765" s="107"/>
    </row>
    <row r="1766" spans="1:13" x14ac:dyDescent="0.3">
      <c r="A1766" s="95">
        <f t="shared" si="27"/>
        <v>0</v>
      </c>
      <c r="B1766" s="106"/>
      <c r="D1766" s="106"/>
      <c r="E1766" s="107"/>
      <c r="F1766" s="107"/>
      <c r="G1766" s="107"/>
      <c r="H1766" s="107"/>
      <c r="I1766" s="107"/>
      <c r="J1766" s="107"/>
      <c r="K1766" s="107"/>
      <c r="L1766" s="107"/>
      <c r="M1766" s="107"/>
    </row>
    <row r="1767" spans="1:13" x14ac:dyDescent="0.3">
      <c r="A1767" s="95">
        <f t="shared" si="27"/>
        <v>0</v>
      </c>
      <c r="B1767" s="106"/>
      <c r="D1767" s="106"/>
      <c r="E1767" s="107"/>
      <c r="F1767" s="107"/>
      <c r="G1767" s="107"/>
      <c r="H1767" s="107"/>
      <c r="I1767" s="107"/>
      <c r="J1767" s="107"/>
      <c r="K1767" s="107"/>
      <c r="L1767" s="107"/>
      <c r="M1767" s="107"/>
    </row>
    <row r="1768" spans="1:13" x14ac:dyDescent="0.3">
      <c r="A1768" s="95">
        <f t="shared" si="27"/>
        <v>0</v>
      </c>
      <c r="B1768" s="106"/>
      <c r="D1768" s="106"/>
      <c r="E1768" s="107"/>
      <c r="F1768" s="107"/>
      <c r="G1768" s="107"/>
      <c r="H1768" s="107"/>
      <c r="I1768" s="107"/>
      <c r="J1768" s="107"/>
      <c r="K1768" s="107"/>
      <c r="L1768" s="107"/>
      <c r="M1768" s="107"/>
    </row>
    <row r="1769" spans="1:13" x14ac:dyDescent="0.3">
      <c r="A1769" s="95">
        <f t="shared" si="27"/>
        <v>0</v>
      </c>
      <c r="B1769" s="106"/>
      <c r="D1769" s="106"/>
      <c r="E1769" s="107"/>
      <c r="F1769" s="107"/>
      <c r="G1769" s="107"/>
      <c r="H1769" s="107"/>
      <c r="I1769" s="107"/>
      <c r="J1769" s="107"/>
      <c r="K1769" s="107"/>
      <c r="L1769" s="107"/>
      <c r="M1769" s="107"/>
    </row>
    <row r="1770" spans="1:13" x14ac:dyDescent="0.3">
      <c r="A1770" s="95">
        <f t="shared" si="27"/>
        <v>0</v>
      </c>
      <c r="B1770" s="106"/>
      <c r="D1770" s="106"/>
      <c r="E1770" s="107"/>
      <c r="F1770" s="107"/>
      <c r="G1770" s="107"/>
      <c r="H1770" s="107"/>
      <c r="I1770" s="107"/>
      <c r="J1770" s="107"/>
      <c r="K1770" s="107"/>
      <c r="L1770" s="107"/>
      <c r="M1770" s="107"/>
    </row>
    <row r="1771" spans="1:13" x14ac:dyDescent="0.3">
      <c r="A1771" s="95">
        <f t="shared" si="27"/>
        <v>0</v>
      </c>
      <c r="B1771" s="106"/>
      <c r="D1771" s="106"/>
      <c r="E1771" s="107"/>
      <c r="F1771" s="107"/>
      <c r="G1771" s="107"/>
      <c r="H1771" s="107"/>
      <c r="I1771" s="107"/>
      <c r="J1771" s="107"/>
      <c r="K1771" s="107"/>
      <c r="L1771" s="107"/>
      <c r="M1771" s="107"/>
    </row>
    <row r="1772" spans="1:13" x14ac:dyDescent="0.3">
      <c r="A1772" s="95">
        <f t="shared" si="27"/>
        <v>0</v>
      </c>
      <c r="B1772" s="106"/>
      <c r="D1772" s="106"/>
      <c r="E1772" s="107"/>
      <c r="F1772" s="107"/>
      <c r="G1772" s="107"/>
      <c r="H1772" s="107"/>
      <c r="I1772" s="107"/>
      <c r="J1772" s="107"/>
      <c r="K1772" s="107"/>
      <c r="L1772" s="107"/>
      <c r="M1772" s="107"/>
    </row>
    <row r="1773" spans="1:13" x14ac:dyDescent="0.3">
      <c r="A1773" s="95">
        <f t="shared" si="27"/>
        <v>0</v>
      </c>
      <c r="B1773" s="106"/>
      <c r="D1773" s="106"/>
      <c r="E1773" s="107"/>
      <c r="F1773" s="107"/>
      <c r="G1773" s="107"/>
      <c r="H1773" s="107"/>
      <c r="I1773" s="107"/>
      <c r="J1773" s="107"/>
      <c r="K1773" s="107"/>
      <c r="L1773" s="107"/>
      <c r="M1773" s="107"/>
    </row>
    <row r="1774" spans="1:13" x14ac:dyDescent="0.3">
      <c r="A1774" s="95">
        <f t="shared" si="27"/>
        <v>0</v>
      </c>
      <c r="B1774" s="106"/>
      <c r="D1774" s="106"/>
      <c r="E1774" s="107"/>
      <c r="F1774" s="107"/>
      <c r="G1774" s="107"/>
      <c r="H1774" s="107"/>
      <c r="I1774" s="107"/>
      <c r="J1774" s="107"/>
      <c r="K1774" s="107"/>
      <c r="L1774" s="107"/>
      <c r="M1774" s="107"/>
    </row>
    <row r="1775" spans="1:13" x14ac:dyDescent="0.3">
      <c r="A1775" s="95">
        <f t="shared" si="27"/>
        <v>0</v>
      </c>
      <c r="B1775" s="106"/>
      <c r="D1775" s="106"/>
      <c r="E1775" s="107"/>
      <c r="F1775" s="107"/>
      <c r="G1775" s="107"/>
      <c r="H1775" s="107"/>
      <c r="I1775" s="107"/>
      <c r="J1775" s="107"/>
      <c r="K1775" s="107"/>
      <c r="L1775" s="107"/>
      <c r="M1775" s="107"/>
    </row>
    <row r="1776" spans="1:13" x14ac:dyDescent="0.3">
      <c r="A1776" s="95">
        <f t="shared" si="27"/>
        <v>0</v>
      </c>
      <c r="B1776" s="106"/>
      <c r="D1776" s="106"/>
      <c r="E1776" s="107"/>
      <c r="F1776" s="107"/>
      <c r="G1776" s="107"/>
      <c r="H1776" s="107"/>
      <c r="I1776" s="107"/>
      <c r="J1776" s="107"/>
      <c r="K1776" s="107"/>
      <c r="L1776" s="107"/>
      <c r="M1776" s="107"/>
    </row>
    <row r="1777" spans="1:13" x14ac:dyDescent="0.3">
      <c r="A1777" s="95">
        <f t="shared" si="27"/>
        <v>0</v>
      </c>
      <c r="B1777" s="106"/>
      <c r="D1777" s="106"/>
      <c r="E1777" s="107"/>
      <c r="F1777" s="107"/>
      <c r="G1777" s="107"/>
      <c r="H1777" s="107"/>
      <c r="I1777" s="107"/>
      <c r="J1777" s="107"/>
      <c r="K1777" s="107"/>
      <c r="L1777" s="107"/>
      <c r="M1777" s="107"/>
    </row>
    <row r="1778" spans="1:13" x14ac:dyDescent="0.3">
      <c r="A1778" s="95">
        <f t="shared" si="27"/>
        <v>0</v>
      </c>
      <c r="B1778" s="106"/>
      <c r="D1778" s="106"/>
      <c r="E1778" s="107"/>
      <c r="F1778" s="107"/>
      <c r="G1778" s="107"/>
      <c r="H1778" s="107"/>
      <c r="I1778" s="107"/>
      <c r="J1778" s="107"/>
      <c r="K1778" s="107"/>
      <c r="L1778" s="107"/>
      <c r="M1778" s="107"/>
    </row>
    <row r="1779" spans="1:13" x14ac:dyDescent="0.3">
      <c r="A1779" s="95">
        <f t="shared" si="27"/>
        <v>0</v>
      </c>
      <c r="B1779" s="106"/>
      <c r="D1779" s="106"/>
      <c r="E1779" s="107"/>
      <c r="F1779" s="107"/>
      <c r="G1779" s="107"/>
      <c r="H1779" s="107"/>
      <c r="I1779" s="107"/>
      <c r="J1779" s="107"/>
      <c r="K1779" s="107"/>
      <c r="L1779" s="107"/>
      <c r="M1779" s="107"/>
    </row>
    <row r="1780" spans="1:13" x14ac:dyDescent="0.3">
      <c r="A1780" s="95">
        <f t="shared" si="27"/>
        <v>0</v>
      </c>
      <c r="B1780" s="106"/>
      <c r="D1780" s="106"/>
      <c r="E1780" s="107"/>
      <c r="F1780" s="107"/>
      <c r="G1780" s="107"/>
      <c r="H1780" s="107"/>
      <c r="I1780" s="107"/>
      <c r="J1780" s="107"/>
      <c r="K1780" s="107"/>
      <c r="L1780" s="107"/>
      <c r="M1780" s="107"/>
    </row>
    <row r="1781" spans="1:13" x14ac:dyDescent="0.3">
      <c r="A1781" s="95">
        <f t="shared" si="27"/>
        <v>0</v>
      </c>
      <c r="B1781" s="106"/>
      <c r="D1781" s="106"/>
      <c r="E1781" s="107"/>
      <c r="F1781" s="107"/>
      <c r="G1781" s="107"/>
      <c r="H1781" s="107"/>
      <c r="I1781" s="107"/>
      <c r="J1781" s="107"/>
      <c r="K1781" s="107"/>
      <c r="L1781" s="107"/>
      <c r="M1781" s="107"/>
    </row>
    <row r="1782" spans="1:13" x14ac:dyDescent="0.3">
      <c r="A1782" s="95">
        <f t="shared" si="27"/>
        <v>0</v>
      </c>
      <c r="B1782" s="106"/>
      <c r="D1782" s="106"/>
      <c r="E1782" s="107"/>
      <c r="F1782" s="107"/>
      <c r="G1782" s="107"/>
      <c r="H1782" s="107"/>
      <c r="I1782" s="107"/>
      <c r="J1782" s="107"/>
      <c r="K1782" s="107"/>
      <c r="L1782" s="107"/>
      <c r="M1782" s="107"/>
    </row>
    <row r="1783" spans="1:13" x14ac:dyDescent="0.3">
      <c r="A1783" s="95">
        <f t="shared" si="27"/>
        <v>0</v>
      </c>
      <c r="B1783" s="106"/>
      <c r="D1783" s="106"/>
      <c r="E1783" s="107"/>
      <c r="F1783" s="107"/>
      <c r="G1783" s="107"/>
      <c r="H1783" s="107"/>
      <c r="I1783" s="107"/>
      <c r="J1783" s="107"/>
      <c r="K1783" s="107"/>
      <c r="L1783" s="107"/>
      <c r="M1783" s="107"/>
    </row>
    <row r="1784" spans="1:13" x14ac:dyDescent="0.3">
      <c r="A1784" s="95">
        <f t="shared" si="27"/>
        <v>0</v>
      </c>
      <c r="B1784" s="106"/>
      <c r="D1784" s="106"/>
      <c r="E1784" s="107"/>
      <c r="F1784" s="107"/>
      <c r="G1784" s="107"/>
      <c r="H1784" s="107"/>
      <c r="I1784" s="107"/>
      <c r="J1784" s="107"/>
      <c r="K1784" s="107"/>
      <c r="L1784" s="107"/>
      <c r="M1784" s="107"/>
    </row>
    <row r="1785" spans="1:13" x14ac:dyDescent="0.3">
      <c r="A1785" s="95">
        <f t="shared" si="27"/>
        <v>0</v>
      </c>
      <c r="B1785" s="106"/>
      <c r="D1785" s="106"/>
      <c r="E1785" s="107"/>
      <c r="F1785" s="107"/>
    </row>
    <row r="1786" spans="1:13" x14ac:dyDescent="0.3">
      <c r="A1786" s="95">
        <f t="shared" si="27"/>
        <v>0</v>
      </c>
      <c r="B1786" s="106"/>
      <c r="D1786" s="106"/>
      <c r="E1786" s="107"/>
      <c r="F1786" s="107"/>
    </row>
    <row r="1787" spans="1:13" x14ac:dyDescent="0.3">
      <c r="A1787" s="95">
        <f t="shared" si="27"/>
        <v>0</v>
      </c>
      <c r="B1787" s="106"/>
      <c r="D1787" s="106"/>
      <c r="E1787" s="107"/>
      <c r="F1787" s="107"/>
    </row>
    <row r="1788" spans="1:13" x14ac:dyDescent="0.3">
      <c r="A1788" s="95">
        <f t="shared" si="27"/>
        <v>0</v>
      </c>
      <c r="B1788" s="106"/>
      <c r="D1788" s="106"/>
      <c r="E1788" s="107"/>
      <c r="F1788" s="107"/>
    </row>
    <row r="1789" spans="1:13" x14ac:dyDescent="0.3">
      <c r="A1789" s="95">
        <f t="shared" si="27"/>
        <v>0</v>
      </c>
      <c r="B1789" s="106"/>
      <c r="D1789" s="106"/>
      <c r="E1789" s="107"/>
      <c r="F1789" s="107"/>
    </row>
    <row r="1790" spans="1:13" x14ac:dyDescent="0.3">
      <c r="A1790" s="95">
        <f t="shared" si="27"/>
        <v>0</v>
      </c>
      <c r="B1790" s="106"/>
      <c r="D1790" s="106"/>
      <c r="E1790" s="107"/>
      <c r="F1790" s="107"/>
    </row>
    <row r="1791" spans="1:13" x14ac:dyDescent="0.3">
      <c r="A1791" s="95">
        <f t="shared" si="27"/>
        <v>0</v>
      </c>
      <c r="B1791" s="106"/>
      <c r="D1791" s="106"/>
      <c r="E1791" s="107"/>
      <c r="F1791" s="107"/>
    </row>
    <row r="1792" spans="1:13" x14ac:dyDescent="0.3">
      <c r="A1792" s="95">
        <f t="shared" si="27"/>
        <v>0</v>
      </c>
      <c r="B1792" s="106"/>
      <c r="D1792" s="106"/>
      <c r="E1792" s="107"/>
      <c r="F1792" s="107"/>
    </row>
    <row r="1793" spans="1:6" x14ac:dyDescent="0.3">
      <c r="A1793" s="95">
        <f t="shared" si="27"/>
        <v>0</v>
      </c>
      <c r="B1793" s="106"/>
      <c r="D1793" s="106"/>
      <c r="E1793" s="107"/>
      <c r="F1793" s="107"/>
    </row>
    <row r="1794" spans="1:6" x14ac:dyDescent="0.3">
      <c r="A1794" s="95">
        <f t="shared" si="27"/>
        <v>0</v>
      </c>
      <c r="B1794" s="106"/>
      <c r="D1794" s="106"/>
      <c r="E1794" s="107"/>
      <c r="F1794" s="107"/>
    </row>
    <row r="1795" spans="1:6" x14ac:dyDescent="0.3">
      <c r="A1795" s="95">
        <f t="shared" si="27"/>
        <v>0</v>
      </c>
      <c r="B1795" s="106"/>
      <c r="D1795" s="106"/>
      <c r="E1795" s="107"/>
      <c r="F1795" s="107"/>
    </row>
    <row r="1796" spans="1:6" x14ac:dyDescent="0.3">
      <c r="A1796" s="95">
        <f t="shared" si="27"/>
        <v>0</v>
      </c>
      <c r="B1796" s="106"/>
      <c r="D1796" s="106"/>
      <c r="E1796" s="107"/>
      <c r="F1796" s="107"/>
    </row>
    <row r="1797" spans="1:6" x14ac:dyDescent="0.3">
      <c r="A1797" s="95">
        <f t="shared" si="27"/>
        <v>0</v>
      </c>
      <c r="B1797" s="106"/>
      <c r="D1797" s="106"/>
      <c r="E1797" s="107"/>
      <c r="F1797" s="107"/>
    </row>
    <row r="1798" spans="1:6" x14ac:dyDescent="0.3">
      <c r="A1798" s="95">
        <f t="shared" si="27"/>
        <v>0</v>
      </c>
      <c r="B1798" s="106"/>
      <c r="D1798" s="106"/>
      <c r="E1798" s="107"/>
      <c r="F1798" s="107"/>
    </row>
    <row r="1799" spans="1:6" x14ac:dyDescent="0.3">
      <c r="A1799" s="95">
        <f t="shared" si="27"/>
        <v>0</v>
      </c>
      <c r="B1799" s="106"/>
      <c r="D1799" s="106"/>
      <c r="E1799" s="107"/>
      <c r="F1799" s="107"/>
    </row>
    <row r="1800" spans="1:6" x14ac:dyDescent="0.3">
      <c r="A1800" s="95">
        <f t="shared" si="27"/>
        <v>0</v>
      </c>
      <c r="B1800" s="106"/>
      <c r="D1800" s="106"/>
      <c r="E1800" s="107"/>
      <c r="F1800" s="107"/>
    </row>
    <row r="1801" spans="1:6" x14ac:dyDescent="0.3">
      <c r="A1801" s="95">
        <f t="shared" si="27"/>
        <v>0</v>
      </c>
      <c r="B1801" s="106"/>
      <c r="D1801" s="106"/>
      <c r="E1801" s="107"/>
      <c r="F1801" s="107"/>
    </row>
    <row r="1802" spans="1:6" x14ac:dyDescent="0.3">
      <c r="A1802" s="95">
        <f t="shared" si="27"/>
        <v>0</v>
      </c>
      <c r="B1802" s="106"/>
      <c r="D1802" s="106"/>
      <c r="E1802" s="107"/>
      <c r="F1802" s="107"/>
    </row>
    <row r="1803" spans="1:6" x14ac:dyDescent="0.3">
      <c r="A1803" s="95">
        <f t="shared" si="27"/>
        <v>0</v>
      </c>
      <c r="B1803" s="106"/>
      <c r="D1803" s="106"/>
      <c r="E1803" s="107"/>
      <c r="F1803" s="107"/>
    </row>
    <row r="1804" spans="1:6" x14ac:dyDescent="0.3">
      <c r="A1804" s="95">
        <f t="shared" si="27"/>
        <v>0</v>
      </c>
      <c r="B1804" s="106"/>
      <c r="D1804" s="106"/>
      <c r="E1804" s="107"/>
      <c r="F1804" s="107"/>
    </row>
    <row r="1805" spans="1:6" x14ac:dyDescent="0.3">
      <c r="A1805" s="95">
        <f t="shared" si="27"/>
        <v>0</v>
      </c>
      <c r="B1805" s="106"/>
      <c r="D1805" s="106"/>
      <c r="E1805" s="107"/>
      <c r="F1805" s="107"/>
    </row>
    <row r="1806" spans="1:6" x14ac:dyDescent="0.3">
      <c r="A1806" s="95">
        <f t="shared" si="27"/>
        <v>0</v>
      </c>
      <c r="B1806" s="106"/>
      <c r="D1806" s="106"/>
      <c r="E1806" s="107"/>
      <c r="F1806" s="107"/>
    </row>
    <row r="1807" spans="1:6" x14ac:dyDescent="0.3">
      <c r="A1807" s="95">
        <f t="shared" ref="A1807:A1870" si="28">IF(AND(E1807=1,J1807=K1807,M1807&gt;6),1,0)</f>
        <v>0</v>
      </c>
      <c r="B1807" s="106"/>
      <c r="D1807" s="106"/>
      <c r="E1807" s="107"/>
      <c r="F1807" s="107"/>
    </row>
    <row r="1808" spans="1:6" x14ac:dyDescent="0.3">
      <c r="A1808" s="95">
        <f t="shared" si="28"/>
        <v>0</v>
      </c>
      <c r="B1808" s="106"/>
      <c r="D1808" s="106"/>
      <c r="E1808" s="107"/>
      <c r="F1808" s="107"/>
    </row>
    <row r="1809" spans="1:6" x14ac:dyDescent="0.3">
      <c r="A1809" s="95">
        <f t="shared" si="28"/>
        <v>0</v>
      </c>
      <c r="B1809" s="106"/>
      <c r="D1809" s="106"/>
      <c r="E1809" s="107"/>
      <c r="F1809" s="107"/>
    </row>
    <row r="1810" spans="1:6" x14ac:dyDescent="0.3">
      <c r="A1810" s="95">
        <f t="shared" si="28"/>
        <v>0</v>
      </c>
      <c r="B1810" s="106"/>
      <c r="D1810" s="106"/>
      <c r="E1810" s="107"/>
      <c r="F1810" s="107"/>
    </row>
    <row r="1811" spans="1:6" x14ac:dyDescent="0.3">
      <c r="A1811" s="95">
        <f t="shared" si="28"/>
        <v>0</v>
      </c>
      <c r="B1811" s="106"/>
      <c r="D1811" s="106"/>
      <c r="E1811" s="107"/>
      <c r="F1811" s="107"/>
    </row>
    <row r="1812" spans="1:6" x14ac:dyDescent="0.3">
      <c r="A1812" s="95">
        <f t="shared" si="28"/>
        <v>0</v>
      </c>
      <c r="B1812" s="106"/>
      <c r="D1812" s="106"/>
      <c r="E1812" s="107"/>
      <c r="F1812" s="107"/>
    </row>
    <row r="1813" spans="1:6" x14ac:dyDescent="0.3">
      <c r="A1813" s="95">
        <f t="shared" si="28"/>
        <v>0</v>
      </c>
      <c r="B1813" s="106"/>
      <c r="D1813" s="106"/>
      <c r="E1813" s="107"/>
      <c r="F1813" s="107"/>
    </row>
    <row r="1814" spans="1:6" x14ac:dyDescent="0.3">
      <c r="A1814" s="95">
        <f t="shared" si="28"/>
        <v>0</v>
      </c>
      <c r="B1814" s="106"/>
      <c r="D1814" s="106"/>
      <c r="E1814" s="107"/>
      <c r="F1814" s="107"/>
    </row>
    <row r="1815" spans="1:6" x14ac:dyDescent="0.3">
      <c r="A1815" s="95">
        <f t="shared" si="28"/>
        <v>0</v>
      </c>
      <c r="B1815" s="106"/>
      <c r="D1815" s="106"/>
      <c r="E1815" s="107"/>
      <c r="F1815" s="107"/>
    </row>
    <row r="1816" spans="1:6" x14ac:dyDescent="0.3">
      <c r="A1816" s="95">
        <f t="shared" si="28"/>
        <v>0</v>
      </c>
      <c r="B1816" s="106"/>
      <c r="D1816" s="106"/>
      <c r="E1816" s="107"/>
      <c r="F1816" s="107"/>
    </row>
    <row r="1817" spans="1:6" x14ac:dyDescent="0.3">
      <c r="A1817" s="95">
        <f t="shared" si="28"/>
        <v>0</v>
      </c>
      <c r="B1817" s="106"/>
      <c r="D1817" s="106"/>
      <c r="E1817" s="107"/>
      <c r="F1817" s="107"/>
    </row>
    <row r="1818" spans="1:6" x14ac:dyDescent="0.3">
      <c r="A1818" s="95">
        <f t="shared" si="28"/>
        <v>0</v>
      </c>
      <c r="B1818" s="106"/>
      <c r="D1818" s="106"/>
      <c r="E1818" s="107"/>
      <c r="F1818" s="107"/>
    </row>
    <row r="1819" spans="1:6" x14ac:dyDescent="0.3">
      <c r="A1819" s="95">
        <f t="shared" si="28"/>
        <v>0</v>
      </c>
      <c r="B1819" s="106"/>
      <c r="D1819" s="106"/>
      <c r="E1819" s="107"/>
      <c r="F1819" s="107"/>
    </row>
    <row r="1820" spans="1:6" x14ac:dyDescent="0.3">
      <c r="A1820" s="95">
        <f t="shared" si="28"/>
        <v>0</v>
      </c>
      <c r="B1820" s="106"/>
      <c r="D1820" s="106"/>
      <c r="E1820" s="107"/>
      <c r="F1820" s="107"/>
    </row>
    <row r="1821" spans="1:6" x14ac:dyDescent="0.3">
      <c r="A1821" s="95">
        <f t="shared" si="28"/>
        <v>0</v>
      </c>
      <c r="B1821" s="106"/>
      <c r="D1821" s="106"/>
      <c r="E1821" s="107"/>
      <c r="F1821" s="107"/>
    </row>
    <row r="1822" spans="1:6" x14ac:dyDescent="0.3">
      <c r="A1822" s="95">
        <f t="shared" si="28"/>
        <v>0</v>
      </c>
      <c r="B1822" s="106"/>
      <c r="D1822" s="106"/>
      <c r="E1822" s="107"/>
      <c r="F1822" s="107"/>
    </row>
    <row r="1823" spans="1:6" x14ac:dyDescent="0.3">
      <c r="A1823" s="95">
        <f t="shared" si="28"/>
        <v>0</v>
      </c>
      <c r="B1823" s="106"/>
      <c r="D1823" s="106"/>
      <c r="E1823" s="107"/>
      <c r="F1823" s="107"/>
    </row>
    <row r="1824" spans="1:6" x14ac:dyDescent="0.3">
      <c r="A1824" s="95">
        <f t="shared" si="28"/>
        <v>0</v>
      </c>
      <c r="B1824" s="106"/>
      <c r="D1824" s="106"/>
      <c r="E1824" s="107"/>
      <c r="F1824" s="107"/>
    </row>
    <row r="1825" spans="1:6" x14ac:dyDescent="0.3">
      <c r="A1825" s="95">
        <f t="shared" si="28"/>
        <v>0</v>
      </c>
      <c r="B1825" s="106"/>
      <c r="D1825" s="106"/>
      <c r="E1825" s="107"/>
      <c r="F1825" s="107"/>
    </row>
    <row r="1826" spans="1:6" x14ac:dyDescent="0.3">
      <c r="A1826" s="95">
        <f t="shared" si="28"/>
        <v>0</v>
      </c>
      <c r="B1826" s="106"/>
      <c r="D1826" s="106"/>
      <c r="E1826" s="107"/>
      <c r="F1826" s="107"/>
    </row>
    <row r="1827" spans="1:6" x14ac:dyDescent="0.3">
      <c r="A1827" s="95">
        <f t="shared" si="28"/>
        <v>0</v>
      </c>
      <c r="B1827" s="106"/>
      <c r="D1827" s="106"/>
      <c r="E1827" s="107"/>
      <c r="F1827" s="107"/>
    </row>
    <row r="1828" spans="1:6" x14ac:dyDescent="0.3">
      <c r="A1828" s="95">
        <f t="shared" si="28"/>
        <v>0</v>
      </c>
      <c r="B1828" s="106"/>
      <c r="D1828" s="106"/>
      <c r="E1828" s="107"/>
      <c r="F1828" s="107"/>
    </row>
    <row r="1829" spans="1:6" x14ac:dyDescent="0.3">
      <c r="A1829" s="95">
        <f t="shared" si="28"/>
        <v>0</v>
      </c>
      <c r="B1829" s="106"/>
      <c r="D1829" s="106"/>
      <c r="E1829" s="107"/>
      <c r="F1829" s="107"/>
    </row>
    <row r="1830" spans="1:6" x14ac:dyDescent="0.3">
      <c r="A1830" s="95">
        <f t="shared" si="28"/>
        <v>0</v>
      </c>
      <c r="B1830" s="106"/>
      <c r="D1830" s="106"/>
      <c r="E1830" s="107"/>
      <c r="F1830" s="107"/>
    </row>
    <row r="1831" spans="1:6" x14ac:dyDescent="0.3">
      <c r="A1831" s="95">
        <f t="shared" si="28"/>
        <v>0</v>
      </c>
      <c r="B1831" s="106"/>
      <c r="D1831" s="106"/>
      <c r="E1831" s="107"/>
      <c r="F1831" s="107"/>
    </row>
    <row r="1832" spans="1:6" x14ac:dyDescent="0.3">
      <c r="A1832" s="95">
        <f t="shared" si="28"/>
        <v>0</v>
      </c>
      <c r="B1832" s="106"/>
      <c r="D1832" s="106"/>
      <c r="E1832" s="107"/>
      <c r="F1832" s="107"/>
    </row>
    <row r="1833" spans="1:6" x14ac:dyDescent="0.3">
      <c r="A1833" s="95">
        <f t="shared" si="28"/>
        <v>0</v>
      </c>
      <c r="B1833" s="106"/>
      <c r="D1833" s="106"/>
      <c r="E1833" s="107"/>
      <c r="F1833" s="107"/>
    </row>
    <row r="1834" spans="1:6" x14ac:dyDescent="0.3">
      <c r="A1834" s="95">
        <f t="shared" si="28"/>
        <v>0</v>
      </c>
      <c r="B1834" s="106"/>
      <c r="D1834" s="106"/>
      <c r="E1834" s="107"/>
      <c r="F1834" s="107"/>
    </row>
    <row r="1835" spans="1:6" x14ac:dyDescent="0.3">
      <c r="A1835" s="95">
        <f t="shared" si="28"/>
        <v>0</v>
      </c>
      <c r="B1835" s="106"/>
      <c r="D1835" s="106"/>
      <c r="E1835" s="107"/>
      <c r="F1835" s="107"/>
    </row>
    <row r="1836" spans="1:6" x14ac:dyDescent="0.3">
      <c r="A1836" s="95">
        <f t="shared" si="28"/>
        <v>0</v>
      </c>
      <c r="B1836" s="106"/>
      <c r="D1836" s="106"/>
      <c r="E1836" s="107"/>
      <c r="F1836" s="107"/>
    </row>
    <row r="1837" spans="1:6" x14ac:dyDescent="0.3">
      <c r="A1837" s="95">
        <f t="shared" si="28"/>
        <v>0</v>
      </c>
      <c r="B1837" s="106"/>
      <c r="D1837" s="106"/>
      <c r="E1837" s="107"/>
      <c r="F1837" s="107"/>
    </row>
    <row r="1838" spans="1:6" x14ac:dyDescent="0.3">
      <c r="A1838" s="95">
        <f t="shared" si="28"/>
        <v>0</v>
      </c>
      <c r="B1838" s="106"/>
      <c r="D1838" s="106"/>
      <c r="E1838" s="107"/>
      <c r="F1838" s="107"/>
    </row>
    <row r="1839" spans="1:6" x14ac:dyDescent="0.3">
      <c r="A1839" s="95">
        <f t="shared" si="28"/>
        <v>0</v>
      </c>
      <c r="B1839" s="106"/>
      <c r="D1839" s="106"/>
      <c r="E1839" s="107"/>
      <c r="F1839" s="107"/>
    </row>
    <row r="1840" spans="1:6" x14ac:dyDescent="0.3">
      <c r="A1840" s="95">
        <f t="shared" si="28"/>
        <v>0</v>
      </c>
      <c r="B1840" s="106"/>
      <c r="D1840" s="106"/>
      <c r="E1840" s="107"/>
      <c r="F1840" s="107"/>
    </row>
    <row r="1841" spans="1:12" x14ac:dyDescent="0.3">
      <c r="A1841" s="95">
        <f t="shared" si="28"/>
        <v>0</v>
      </c>
      <c r="B1841" s="106"/>
      <c r="D1841" s="106"/>
      <c r="E1841" s="107"/>
      <c r="F1841" s="107"/>
    </row>
    <row r="1842" spans="1:12" x14ac:dyDescent="0.3">
      <c r="A1842" s="95">
        <f t="shared" si="28"/>
        <v>0</v>
      </c>
      <c r="B1842" s="106"/>
      <c r="D1842" s="106"/>
      <c r="E1842" s="107"/>
      <c r="F1842" s="107"/>
    </row>
    <row r="1843" spans="1:12" x14ac:dyDescent="0.3">
      <c r="A1843" s="95">
        <f t="shared" si="28"/>
        <v>0</v>
      </c>
      <c r="B1843" s="106"/>
      <c r="D1843" s="106"/>
      <c r="E1843" s="107"/>
      <c r="F1843" s="107"/>
    </row>
    <row r="1844" spans="1:12" x14ac:dyDescent="0.3">
      <c r="A1844" s="95">
        <f t="shared" si="28"/>
        <v>0</v>
      </c>
      <c r="B1844" s="106"/>
      <c r="D1844" s="106"/>
      <c r="E1844" s="107"/>
      <c r="F1844" s="107"/>
    </row>
    <row r="1845" spans="1:12" x14ac:dyDescent="0.3">
      <c r="A1845" s="95">
        <f t="shared" si="28"/>
        <v>0</v>
      </c>
      <c r="B1845" s="106"/>
      <c r="D1845" s="106"/>
      <c r="E1845" s="107"/>
      <c r="F1845" s="107"/>
    </row>
    <row r="1846" spans="1:12" x14ac:dyDescent="0.3">
      <c r="A1846" s="95">
        <f t="shared" si="28"/>
        <v>0</v>
      </c>
      <c r="B1846" s="106"/>
      <c r="D1846" s="106"/>
      <c r="E1846" s="107"/>
      <c r="F1846" s="107"/>
    </row>
    <row r="1847" spans="1:12" x14ac:dyDescent="0.3">
      <c r="A1847" s="95">
        <f t="shared" si="28"/>
        <v>0</v>
      </c>
      <c r="B1847" s="106"/>
      <c r="D1847" s="106"/>
      <c r="E1847" s="107"/>
      <c r="F1847" s="107"/>
    </row>
    <row r="1848" spans="1:12" x14ac:dyDescent="0.3">
      <c r="A1848" s="95">
        <f t="shared" si="28"/>
        <v>0</v>
      </c>
      <c r="B1848" s="106"/>
      <c r="D1848" s="106"/>
      <c r="E1848" s="107"/>
      <c r="F1848" s="107"/>
    </row>
    <row r="1849" spans="1:12" x14ac:dyDescent="0.3">
      <c r="A1849" s="95">
        <f t="shared" si="28"/>
        <v>0</v>
      </c>
      <c r="B1849" s="106"/>
      <c r="D1849" s="106"/>
      <c r="E1849" s="107"/>
      <c r="F1849" s="107"/>
    </row>
    <row r="1850" spans="1:12" x14ac:dyDescent="0.3">
      <c r="A1850" s="95">
        <f t="shared" si="28"/>
        <v>0</v>
      </c>
      <c r="B1850" s="106"/>
      <c r="D1850" s="106"/>
      <c r="E1850" s="107"/>
      <c r="F1850" s="107"/>
    </row>
    <row r="1851" spans="1:12" x14ac:dyDescent="0.3">
      <c r="A1851" s="95">
        <f t="shared" si="28"/>
        <v>0</v>
      </c>
      <c r="B1851" s="106"/>
      <c r="D1851" s="106"/>
      <c r="E1851" s="107"/>
      <c r="F1851" s="107"/>
    </row>
    <row r="1852" spans="1:12" x14ac:dyDescent="0.3">
      <c r="A1852" s="95">
        <f t="shared" si="28"/>
        <v>0</v>
      </c>
      <c r="B1852" s="106"/>
      <c r="D1852" s="106"/>
      <c r="E1852" s="107"/>
      <c r="F1852" s="107"/>
    </row>
    <row r="1853" spans="1:12" x14ac:dyDescent="0.3">
      <c r="A1853" s="95">
        <f t="shared" si="28"/>
        <v>0</v>
      </c>
      <c r="B1853" s="106"/>
      <c r="D1853" s="106"/>
      <c r="E1853" s="107"/>
      <c r="F1853" s="107"/>
    </row>
    <row r="1854" spans="1:12" x14ac:dyDescent="0.3">
      <c r="A1854" s="95">
        <f t="shared" si="28"/>
        <v>0</v>
      </c>
      <c r="B1854" s="106"/>
      <c r="D1854" s="106"/>
      <c r="E1854" s="107"/>
      <c r="F1854" s="107"/>
      <c r="L1854" s="108"/>
    </row>
    <row r="1855" spans="1:12" x14ac:dyDescent="0.3">
      <c r="A1855" s="95">
        <f t="shared" si="28"/>
        <v>0</v>
      </c>
      <c r="B1855" s="106"/>
      <c r="D1855" s="106"/>
      <c r="E1855" s="107"/>
      <c r="F1855" s="107"/>
    </row>
    <row r="1856" spans="1:12" x14ac:dyDescent="0.3">
      <c r="A1856" s="95">
        <f t="shared" si="28"/>
        <v>0</v>
      </c>
      <c r="B1856" s="106"/>
      <c r="D1856" s="106"/>
      <c r="E1856" s="107"/>
      <c r="F1856" s="107"/>
    </row>
    <row r="1857" spans="1:12" x14ac:dyDescent="0.3">
      <c r="A1857" s="95">
        <f t="shared" si="28"/>
        <v>0</v>
      </c>
      <c r="B1857" s="106"/>
      <c r="D1857" s="106"/>
      <c r="E1857" s="107"/>
      <c r="F1857" s="107"/>
    </row>
    <row r="1858" spans="1:12" x14ac:dyDescent="0.3">
      <c r="A1858" s="95">
        <f t="shared" si="28"/>
        <v>0</v>
      </c>
      <c r="B1858" s="106"/>
      <c r="D1858" s="106"/>
      <c r="E1858" s="107"/>
      <c r="F1858" s="107"/>
    </row>
    <row r="1859" spans="1:12" x14ac:dyDescent="0.3">
      <c r="A1859" s="95">
        <f t="shared" si="28"/>
        <v>0</v>
      </c>
      <c r="B1859" s="106"/>
      <c r="D1859" s="106"/>
      <c r="E1859" s="107"/>
      <c r="F1859" s="107"/>
    </row>
    <row r="1860" spans="1:12" x14ac:dyDescent="0.3">
      <c r="A1860" s="95">
        <f t="shared" si="28"/>
        <v>0</v>
      </c>
      <c r="B1860" s="106"/>
      <c r="D1860" s="106"/>
      <c r="E1860" s="107"/>
      <c r="F1860" s="107"/>
    </row>
    <row r="1861" spans="1:12" x14ac:dyDescent="0.3">
      <c r="A1861" s="95">
        <f t="shared" si="28"/>
        <v>0</v>
      </c>
      <c r="B1861" s="106"/>
      <c r="D1861" s="106"/>
      <c r="E1861" s="107"/>
      <c r="F1861" s="107"/>
    </row>
    <row r="1862" spans="1:12" x14ac:dyDescent="0.3">
      <c r="A1862" s="95">
        <f t="shared" si="28"/>
        <v>0</v>
      </c>
      <c r="B1862" s="106"/>
      <c r="D1862" s="106"/>
      <c r="E1862" s="107"/>
      <c r="F1862" s="107"/>
      <c r="L1862" s="108"/>
    </row>
    <row r="1863" spans="1:12" x14ac:dyDescent="0.3">
      <c r="A1863" s="95">
        <f t="shared" si="28"/>
        <v>0</v>
      </c>
      <c r="B1863" s="106"/>
      <c r="D1863" s="106"/>
      <c r="E1863" s="107"/>
      <c r="F1863" s="107"/>
    </row>
    <row r="1864" spans="1:12" x14ac:dyDescent="0.3">
      <c r="A1864" s="95">
        <f t="shared" si="28"/>
        <v>0</v>
      </c>
      <c r="B1864" s="106"/>
      <c r="D1864" s="106"/>
      <c r="E1864" s="107"/>
      <c r="F1864" s="107"/>
    </row>
    <row r="1865" spans="1:12" x14ac:dyDescent="0.3">
      <c r="A1865" s="95">
        <f t="shared" si="28"/>
        <v>0</v>
      </c>
      <c r="B1865" s="106"/>
      <c r="D1865" s="106"/>
      <c r="E1865" s="107"/>
      <c r="F1865" s="107"/>
      <c r="L1865" s="108"/>
    </row>
    <row r="1866" spans="1:12" x14ac:dyDescent="0.3">
      <c r="A1866" s="95">
        <f t="shared" si="28"/>
        <v>0</v>
      </c>
      <c r="B1866" s="106"/>
      <c r="D1866" s="106"/>
      <c r="E1866" s="107"/>
      <c r="F1866" s="107"/>
      <c r="L1866" s="108"/>
    </row>
    <row r="1867" spans="1:12" x14ac:dyDescent="0.3">
      <c r="A1867" s="95">
        <f t="shared" si="28"/>
        <v>0</v>
      </c>
      <c r="B1867" s="106"/>
      <c r="D1867" s="106"/>
      <c r="E1867" s="107"/>
      <c r="F1867" s="107"/>
    </row>
    <row r="1868" spans="1:12" x14ac:dyDescent="0.3">
      <c r="A1868" s="95">
        <f t="shared" si="28"/>
        <v>0</v>
      </c>
      <c r="B1868" s="106"/>
      <c r="D1868" s="106"/>
      <c r="E1868" s="107"/>
      <c r="F1868" s="107"/>
    </row>
    <row r="1869" spans="1:12" x14ac:dyDescent="0.3">
      <c r="A1869" s="95">
        <f t="shared" si="28"/>
        <v>0</v>
      </c>
      <c r="B1869" s="106"/>
      <c r="D1869" s="106"/>
      <c r="E1869" s="107"/>
      <c r="F1869" s="107"/>
    </row>
    <row r="1870" spans="1:12" x14ac:dyDescent="0.3">
      <c r="A1870" s="95">
        <f t="shared" si="28"/>
        <v>0</v>
      </c>
      <c r="B1870" s="106"/>
      <c r="D1870" s="106"/>
      <c r="E1870" s="107"/>
      <c r="F1870" s="107"/>
    </row>
    <row r="1871" spans="1:12" x14ac:dyDescent="0.3">
      <c r="A1871" s="95">
        <f t="shared" ref="A1871:A1934" si="29">IF(AND(E1871=1,J1871=K1871,M1871&gt;6),1,0)</f>
        <v>0</v>
      </c>
      <c r="B1871" s="106"/>
      <c r="D1871" s="106"/>
      <c r="E1871" s="107"/>
      <c r="F1871" s="107"/>
    </row>
    <row r="1872" spans="1:12" x14ac:dyDescent="0.3">
      <c r="A1872" s="95">
        <f t="shared" si="29"/>
        <v>0</v>
      </c>
      <c r="B1872" s="106"/>
      <c r="D1872" s="106"/>
      <c r="E1872" s="107"/>
      <c r="F1872" s="107"/>
      <c r="L1872" s="108"/>
    </row>
    <row r="1873" spans="1:12" x14ac:dyDescent="0.3">
      <c r="A1873" s="95">
        <f t="shared" si="29"/>
        <v>0</v>
      </c>
      <c r="B1873" s="106"/>
      <c r="D1873" s="106"/>
      <c r="E1873" s="107"/>
      <c r="F1873" s="107"/>
    </row>
    <row r="1874" spans="1:12" x14ac:dyDescent="0.3">
      <c r="A1874" s="95">
        <f t="shared" si="29"/>
        <v>0</v>
      </c>
      <c r="B1874" s="106"/>
      <c r="D1874" s="106"/>
      <c r="E1874" s="107"/>
      <c r="F1874" s="107"/>
    </row>
    <row r="1875" spans="1:12" x14ac:dyDescent="0.3">
      <c r="A1875" s="95">
        <f t="shared" si="29"/>
        <v>0</v>
      </c>
      <c r="B1875" s="106"/>
      <c r="D1875" s="106"/>
      <c r="E1875" s="107"/>
      <c r="F1875" s="107"/>
      <c r="L1875" s="108"/>
    </row>
    <row r="1876" spans="1:12" x14ac:dyDescent="0.3">
      <c r="A1876" s="95">
        <f t="shared" si="29"/>
        <v>0</v>
      </c>
      <c r="B1876" s="106"/>
      <c r="D1876" s="106"/>
      <c r="E1876" s="107"/>
      <c r="F1876" s="107"/>
    </row>
    <row r="1877" spans="1:12" x14ac:dyDescent="0.3">
      <c r="A1877" s="95">
        <f t="shared" si="29"/>
        <v>0</v>
      </c>
      <c r="B1877" s="106"/>
      <c r="D1877" s="106"/>
      <c r="E1877" s="107"/>
      <c r="F1877" s="107"/>
    </row>
    <row r="1878" spans="1:12" x14ac:dyDescent="0.3">
      <c r="A1878" s="95">
        <f t="shared" si="29"/>
        <v>0</v>
      </c>
      <c r="B1878" s="106"/>
      <c r="D1878" s="106"/>
      <c r="E1878" s="107"/>
      <c r="F1878" s="107"/>
      <c r="L1878" s="108"/>
    </row>
    <row r="1879" spans="1:12" x14ac:dyDescent="0.3">
      <c r="A1879" s="95">
        <f t="shared" si="29"/>
        <v>0</v>
      </c>
      <c r="B1879" s="106"/>
      <c r="D1879" s="106"/>
      <c r="E1879" s="107"/>
      <c r="F1879" s="107"/>
      <c r="L1879" s="108"/>
    </row>
    <row r="1880" spans="1:12" x14ac:dyDescent="0.3">
      <c r="A1880" s="95">
        <f t="shared" si="29"/>
        <v>0</v>
      </c>
      <c r="B1880" s="106"/>
      <c r="D1880" s="106"/>
      <c r="E1880" s="107"/>
      <c r="F1880" s="107"/>
    </row>
    <row r="1881" spans="1:12" x14ac:dyDescent="0.3">
      <c r="A1881" s="95">
        <f t="shared" si="29"/>
        <v>0</v>
      </c>
      <c r="B1881" s="106"/>
      <c r="D1881" s="106"/>
      <c r="E1881" s="107"/>
      <c r="F1881" s="107"/>
    </row>
    <row r="1882" spans="1:12" x14ac:dyDescent="0.3">
      <c r="A1882" s="95">
        <f t="shared" si="29"/>
        <v>0</v>
      </c>
      <c r="B1882" s="106"/>
      <c r="D1882" s="106"/>
      <c r="E1882" s="107"/>
      <c r="F1882" s="107"/>
    </row>
    <row r="1883" spans="1:12" x14ac:dyDescent="0.3">
      <c r="A1883" s="95">
        <f t="shared" si="29"/>
        <v>0</v>
      </c>
      <c r="B1883" s="106"/>
      <c r="D1883" s="106"/>
      <c r="E1883" s="107"/>
      <c r="F1883" s="107"/>
    </row>
    <row r="1884" spans="1:12" x14ac:dyDescent="0.3">
      <c r="A1884" s="95">
        <f t="shared" si="29"/>
        <v>0</v>
      </c>
      <c r="B1884" s="106"/>
      <c r="D1884" s="106"/>
      <c r="E1884" s="107"/>
      <c r="F1884" s="107"/>
    </row>
    <row r="1885" spans="1:12" x14ac:dyDescent="0.3">
      <c r="A1885" s="95">
        <f t="shared" si="29"/>
        <v>0</v>
      </c>
      <c r="B1885" s="106"/>
      <c r="D1885" s="106"/>
      <c r="E1885" s="107"/>
      <c r="F1885" s="107"/>
      <c r="L1885" s="108"/>
    </row>
    <row r="1886" spans="1:12" x14ac:dyDescent="0.3">
      <c r="A1886" s="95">
        <f t="shared" si="29"/>
        <v>0</v>
      </c>
      <c r="B1886" s="106"/>
      <c r="D1886" s="106"/>
      <c r="E1886" s="107"/>
      <c r="F1886" s="107"/>
    </row>
    <row r="1887" spans="1:12" x14ac:dyDescent="0.3">
      <c r="A1887" s="95">
        <f t="shared" si="29"/>
        <v>0</v>
      </c>
      <c r="B1887" s="106"/>
      <c r="D1887" s="106"/>
      <c r="E1887" s="107"/>
      <c r="F1887" s="107"/>
      <c r="L1887" s="108"/>
    </row>
    <row r="1888" spans="1:12" x14ac:dyDescent="0.3">
      <c r="A1888" s="95">
        <f t="shared" si="29"/>
        <v>0</v>
      </c>
      <c r="B1888" s="106"/>
      <c r="D1888" s="106"/>
      <c r="E1888" s="107"/>
      <c r="F1888" s="107"/>
    </row>
    <row r="1889" spans="1:12" x14ac:dyDescent="0.3">
      <c r="A1889" s="95">
        <f t="shared" si="29"/>
        <v>0</v>
      </c>
      <c r="B1889" s="106"/>
      <c r="D1889" s="106"/>
      <c r="E1889" s="107"/>
      <c r="F1889" s="107"/>
    </row>
    <row r="1890" spans="1:12" x14ac:dyDescent="0.3">
      <c r="A1890" s="95">
        <f t="shared" si="29"/>
        <v>0</v>
      </c>
      <c r="B1890" s="106"/>
      <c r="D1890" s="106"/>
      <c r="E1890" s="107"/>
      <c r="F1890" s="107"/>
    </row>
    <row r="1891" spans="1:12" x14ac:dyDescent="0.3">
      <c r="A1891" s="95">
        <f t="shared" si="29"/>
        <v>0</v>
      </c>
      <c r="B1891" s="106"/>
      <c r="D1891" s="106"/>
      <c r="E1891" s="107"/>
      <c r="F1891" s="107"/>
    </row>
    <row r="1892" spans="1:12" x14ac:dyDescent="0.3">
      <c r="A1892" s="95">
        <f t="shared" si="29"/>
        <v>0</v>
      </c>
      <c r="B1892" s="106"/>
      <c r="D1892" s="106"/>
      <c r="E1892" s="107"/>
      <c r="F1892" s="107"/>
    </row>
    <row r="1893" spans="1:12" x14ac:dyDescent="0.3">
      <c r="A1893" s="95">
        <f t="shared" si="29"/>
        <v>0</v>
      </c>
      <c r="B1893" s="106"/>
      <c r="D1893" s="106"/>
      <c r="E1893" s="107"/>
      <c r="F1893" s="107"/>
    </row>
    <row r="1894" spans="1:12" x14ac:dyDescent="0.3">
      <c r="A1894" s="95">
        <f t="shared" si="29"/>
        <v>0</v>
      </c>
      <c r="B1894" s="106"/>
      <c r="D1894" s="106"/>
      <c r="E1894" s="107"/>
      <c r="F1894" s="107"/>
    </row>
    <row r="1895" spans="1:12" x14ac:dyDescent="0.3">
      <c r="A1895" s="95">
        <f t="shared" si="29"/>
        <v>0</v>
      </c>
      <c r="B1895" s="106"/>
      <c r="D1895" s="106"/>
      <c r="E1895" s="107"/>
      <c r="F1895" s="107"/>
    </row>
    <row r="1896" spans="1:12" x14ac:dyDescent="0.3">
      <c r="A1896" s="95">
        <f t="shared" si="29"/>
        <v>0</v>
      </c>
      <c r="B1896" s="106"/>
      <c r="D1896" s="106"/>
      <c r="E1896" s="107"/>
      <c r="F1896" s="107"/>
    </row>
    <row r="1897" spans="1:12" x14ac:dyDescent="0.3">
      <c r="A1897" s="95">
        <f t="shared" si="29"/>
        <v>0</v>
      </c>
      <c r="B1897" s="106"/>
      <c r="D1897" s="106"/>
      <c r="E1897" s="107"/>
      <c r="F1897" s="107"/>
    </row>
    <row r="1898" spans="1:12" x14ac:dyDescent="0.3">
      <c r="A1898" s="95">
        <f t="shared" si="29"/>
        <v>0</v>
      </c>
      <c r="B1898" s="106"/>
      <c r="D1898" s="106"/>
      <c r="E1898" s="107"/>
      <c r="F1898" s="107"/>
      <c r="L1898" s="108"/>
    </row>
    <row r="1899" spans="1:12" x14ac:dyDescent="0.3">
      <c r="A1899" s="95">
        <f t="shared" si="29"/>
        <v>0</v>
      </c>
      <c r="B1899" s="106"/>
      <c r="D1899" s="106"/>
      <c r="E1899" s="107"/>
      <c r="F1899" s="107"/>
    </row>
    <row r="1900" spans="1:12" x14ac:dyDescent="0.3">
      <c r="A1900" s="95">
        <f t="shared" si="29"/>
        <v>0</v>
      </c>
      <c r="B1900" s="106"/>
      <c r="D1900" s="106"/>
      <c r="E1900" s="107"/>
      <c r="F1900" s="107"/>
    </row>
    <row r="1901" spans="1:12" x14ac:dyDescent="0.3">
      <c r="A1901" s="95">
        <f t="shared" si="29"/>
        <v>0</v>
      </c>
      <c r="B1901" s="106"/>
      <c r="D1901" s="106"/>
      <c r="E1901" s="107"/>
      <c r="F1901" s="107"/>
    </row>
    <row r="1902" spans="1:12" x14ac:dyDescent="0.3">
      <c r="A1902" s="95">
        <f t="shared" si="29"/>
        <v>0</v>
      </c>
      <c r="B1902" s="106"/>
      <c r="D1902" s="106"/>
      <c r="E1902" s="107"/>
      <c r="F1902" s="107"/>
    </row>
    <row r="1903" spans="1:12" x14ac:dyDescent="0.3">
      <c r="A1903" s="95">
        <f t="shared" si="29"/>
        <v>0</v>
      </c>
      <c r="B1903" s="106"/>
      <c r="D1903" s="106"/>
      <c r="E1903" s="107"/>
      <c r="F1903" s="107"/>
    </row>
    <row r="1904" spans="1:12" x14ac:dyDescent="0.3">
      <c r="A1904" s="95">
        <f t="shared" si="29"/>
        <v>0</v>
      </c>
      <c r="B1904" s="106"/>
      <c r="D1904" s="106"/>
      <c r="E1904" s="107"/>
      <c r="F1904" s="107"/>
    </row>
    <row r="1905" spans="1:12" x14ac:dyDescent="0.3">
      <c r="A1905" s="95">
        <f t="shared" si="29"/>
        <v>0</v>
      </c>
      <c r="B1905" s="106"/>
      <c r="D1905" s="106"/>
      <c r="E1905" s="107"/>
      <c r="F1905" s="107"/>
    </row>
    <row r="1906" spans="1:12" x14ac:dyDescent="0.3">
      <c r="A1906" s="95">
        <f t="shared" si="29"/>
        <v>0</v>
      </c>
      <c r="B1906" s="106"/>
      <c r="D1906" s="106"/>
      <c r="E1906" s="107"/>
      <c r="F1906" s="107"/>
    </row>
    <row r="1907" spans="1:12" x14ac:dyDescent="0.3">
      <c r="A1907" s="95">
        <f t="shared" si="29"/>
        <v>0</v>
      </c>
      <c r="B1907" s="106"/>
      <c r="D1907" s="106"/>
      <c r="E1907" s="107"/>
      <c r="F1907" s="107"/>
    </row>
    <row r="1908" spans="1:12" x14ac:dyDescent="0.3">
      <c r="A1908" s="95">
        <f t="shared" si="29"/>
        <v>0</v>
      </c>
      <c r="B1908" s="106"/>
      <c r="D1908" s="106"/>
      <c r="E1908" s="107"/>
      <c r="F1908" s="107"/>
    </row>
    <row r="1909" spans="1:12" x14ac:dyDescent="0.3">
      <c r="A1909" s="95">
        <f t="shared" si="29"/>
        <v>0</v>
      </c>
      <c r="B1909" s="106"/>
      <c r="D1909" s="106"/>
      <c r="E1909" s="107"/>
      <c r="F1909" s="107"/>
      <c r="L1909" s="108"/>
    </row>
    <row r="1910" spans="1:12" x14ac:dyDescent="0.3">
      <c r="A1910" s="95">
        <f t="shared" si="29"/>
        <v>0</v>
      </c>
      <c r="B1910" s="106"/>
      <c r="D1910" s="106"/>
      <c r="E1910" s="107"/>
      <c r="F1910" s="107"/>
      <c r="L1910" s="108"/>
    </row>
    <row r="1911" spans="1:12" x14ac:dyDescent="0.3">
      <c r="A1911" s="95">
        <f t="shared" si="29"/>
        <v>0</v>
      </c>
      <c r="B1911" s="106"/>
      <c r="D1911" s="106"/>
      <c r="E1911" s="107"/>
      <c r="F1911" s="107"/>
    </row>
    <row r="1912" spans="1:12" x14ac:dyDescent="0.3">
      <c r="A1912" s="95">
        <f t="shared" si="29"/>
        <v>0</v>
      </c>
      <c r="B1912" s="106"/>
      <c r="D1912" s="106"/>
      <c r="E1912" s="107"/>
      <c r="F1912" s="107"/>
    </row>
    <row r="1913" spans="1:12" x14ac:dyDescent="0.3">
      <c r="A1913" s="95">
        <f t="shared" si="29"/>
        <v>0</v>
      </c>
      <c r="B1913" s="106"/>
      <c r="D1913" s="106"/>
      <c r="E1913" s="107"/>
      <c r="F1913" s="107"/>
    </row>
    <row r="1914" spans="1:12" x14ac:dyDescent="0.3">
      <c r="A1914" s="95">
        <f t="shared" si="29"/>
        <v>0</v>
      </c>
      <c r="B1914" s="106"/>
      <c r="D1914" s="106"/>
      <c r="E1914" s="107"/>
      <c r="F1914" s="107"/>
    </row>
    <row r="1915" spans="1:12" x14ac:dyDescent="0.3">
      <c r="A1915" s="95">
        <f t="shared" si="29"/>
        <v>0</v>
      </c>
      <c r="B1915" s="106"/>
      <c r="D1915" s="106"/>
      <c r="E1915" s="107"/>
      <c r="F1915" s="107"/>
    </row>
    <row r="1916" spans="1:12" x14ac:dyDescent="0.3">
      <c r="A1916" s="95">
        <f t="shared" si="29"/>
        <v>0</v>
      </c>
      <c r="B1916" s="106"/>
      <c r="D1916" s="106"/>
      <c r="E1916" s="107"/>
      <c r="F1916" s="107"/>
    </row>
    <row r="1917" spans="1:12" x14ac:dyDescent="0.3">
      <c r="A1917" s="95">
        <f t="shared" si="29"/>
        <v>0</v>
      </c>
      <c r="B1917" s="106"/>
      <c r="D1917" s="106"/>
      <c r="E1917" s="107"/>
      <c r="F1917" s="107"/>
    </row>
    <row r="1918" spans="1:12" x14ac:dyDescent="0.3">
      <c r="A1918" s="95">
        <f t="shared" si="29"/>
        <v>0</v>
      </c>
      <c r="B1918" s="106"/>
      <c r="D1918" s="106"/>
      <c r="E1918" s="107"/>
      <c r="F1918" s="107"/>
    </row>
    <row r="1919" spans="1:12" x14ac:dyDescent="0.3">
      <c r="A1919" s="95">
        <f t="shared" si="29"/>
        <v>0</v>
      </c>
      <c r="B1919" s="106"/>
      <c r="D1919" s="106"/>
      <c r="E1919" s="107"/>
      <c r="F1919" s="107"/>
      <c r="L1919" s="108"/>
    </row>
    <row r="1920" spans="1:12" x14ac:dyDescent="0.3">
      <c r="A1920" s="95">
        <f t="shared" si="29"/>
        <v>0</v>
      </c>
      <c r="B1920" s="106"/>
      <c r="D1920" s="106"/>
      <c r="E1920" s="107"/>
      <c r="F1920" s="107"/>
      <c r="L1920" s="108"/>
    </row>
    <row r="1921" spans="1:12" x14ac:dyDescent="0.3">
      <c r="A1921" s="95">
        <f t="shared" si="29"/>
        <v>0</v>
      </c>
      <c r="B1921" s="106"/>
      <c r="D1921" s="106"/>
      <c r="E1921" s="107"/>
      <c r="F1921" s="107"/>
      <c r="L1921" s="108"/>
    </row>
    <row r="1922" spans="1:12" x14ac:dyDescent="0.3">
      <c r="A1922" s="95">
        <f t="shared" si="29"/>
        <v>0</v>
      </c>
      <c r="B1922" s="106"/>
      <c r="D1922" s="106"/>
      <c r="E1922" s="107"/>
      <c r="F1922" s="107"/>
      <c r="L1922" s="108"/>
    </row>
    <row r="1923" spans="1:12" x14ac:dyDescent="0.3">
      <c r="A1923" s="95">
        <f t="shared" si="29"/>
        <v>0</v>
      </c>
      <c r="B1923" s="106"/>
      <c r="D1923" s="106"/>
      <c r="E1923" s="107"/>
      <c r="F1923" s="107"/>
      <c r="L1923" s="108"/>
    </row>
    <row r="1924" spans="1:12" x14ac:dyDescent="0.3">
      <c r="A1924" s="95">
        <f t="shared" si="29"/>
        <v>0</v>
      </c>
      <c r="B1924" s="106"/>
      <c r="D1924" s="106"/>
      <c r="E1924" s="107"/>
      <c r="F1924" s="107"/>
      <c r="L1924" s="108"/>
    </row>
    <row r="1925" spans="1:12" x14ac:dyDescent="0.3">
      <c r="A1925" s="95">
        <f t="shared" si="29"/>
        <v>0</v>
      </c>
      <c r="B1925" s="106"/>
      <c r="D1925" s="106"/>
      <c r="E1925" s="107"/>
      <c r="F1925" s="107"/>
      <c r="L1925" s="108"/>
    </row>
    <row r="1926" spans="1:12" x14ac:dyDescent="0.3">
      <c r="A1926" s="95">
        <f t="shared" si="29"/>
        <v>0</v>
      </c>
      <c r="B1926" s="106"/>
      <c r="D1926" s="106"/>
      <c r="E1926" s="107"/>
      <c r="F1926" s="107"/>
      <c r="L1926" s="108"/>
    </row>
    <row r="1927" spans="1:12" x14ac:dyDescent="0.3">
      <c r="A1927" s="95">
        <f t="shared" si="29"/>
        <v>0</v>
      </c>
      <c r="B1927" s="106"/>
      <c r="D1927" s="106"/>
      <c r="E1927" s="107"/>
      <c r="F1927" s="107"/>
      <c r="L1927" s="108"/>
    </row>
    <row r="1928" spans="1:12" x14ac:dyDescent="0.3">
      <c r="A1928" s="95">
        <f t="shared" si="29"/>
        <v>0</v>
      </c>
      <c r="B1928" s="106"/>
      <c r="D1928" s="106"/>
      <c r="E1928" s="107"/>
      <c r="F1928" s="107"/>
      <c r="L1928" s="108"/>
    </row>
    <row r="1929" spans="1:12" x14ac:dyDescent="0.3">
      <c r="A1929" s="95">
        <f t="shared" si="29"/>
        <v>0</v>
      </c>
      <c r="B1929" s="106"/>
      <c r="D1929" s="106"/>
      <c r="E1929" s="107"/>
      <c r="F1929" s="107"/>
      <c r="L1929" s="108"/>
    </row>
    <row r="1930" spans="1:12" x14ac:dyDescent="0.3">
      <c r="A1930" s="95">
        <f t="shared" si="29"/>
        <v>0</v>
      </c>
      <c r="B1930" s="106"/>
      <c r="D1930" s="106"/>
      <c r="E1930" s="107"/>
      <c r="F1930" s="107"/>
      <c r="L1930" s="108"/>
    </row>
    <row r="1931" spans="1:12" x14ac:dyDescent="0.3">
      <c r="A1931" s="95">
        <f t="shared" si="29"/>
        <v>0</v>
      </c>
      <c r="B1931" s="106"/>
      <c r="D1931" s="106"/>
      <c r="E1931" s="107"/>
      <c r="F1931" s="107"/>
      <c r="L1931" s="108"/>
    </row>
    <row r="1932" spans="1:12" x14ac:dyDescent="0.3">
      <c r="A1932" s="95">
        <f t="shared" si="29"/>
        <v>0</v>
      </c>
      <c r="B1932" s="106"/>
      <c r="D1932" s="106"/>
      <c r="E1932" s="107"/>
      <c r="F1932" s="107"/>
      <c r="L1932" s="108"/>
    </row>
    <row r="1933" spans="1:12" x14ac:dyDescent="0.3">
      <c r="A1933" s="95">
        <f t="shared" si="29"/>
        <v>0</v>
      </c>
      <c r="B1933" s="106"/>
      <c r="D1933" s="106"/>
      <c r="E1933" s="107"/>
      <c r="F1933" s="107"/>
      <c r="L1933" s="108"/>
    </row>
    <row r="1934" spans="1:12" x14ac:dyDescent="0.3">
      <c r="A1934" s="95">
        <f t="shared" si="29"/>
        <v>0</v>
      </c>
      <c r="B1934" s="106"/>
      <c r="D1934" s="106"/>
      <c r="E1934" s="107"/>
      <c r="F1934" s="107"/>
      <c r="L1934" s="108"/>
    </row>
    <row r="1935" spans="1:12" x14ac:dyDescent="0.3">
      <c r="B1935" s="106"/>
      <c r="D1935" s="106"/>
      <c r="E1935" s="107"/>
      <c r="F1935" s="107"/>
    </row>
    <row r="1936" spans="1:12" x14ac:dyDescent="0.3">
      <c r="B1936" s="106"/>
      <c r="D1936" s="106"/>
      <c r="E1936" s="107"/>
      <c r="F1936" s="107"/>
    </row>
    <row r="1937" spans="2:6" x14ac:dyDescent="0.3">
      <c r="B1937" s="106"/>
      <c r="D1937" s="106"/>
      <c r="E1937" s="107"/>
      <c r="F1937" s="107"/>
    </row>
    <row r="1938" spans="2:6" x14ac:dyDescent="0.3">
      <c r="B1938" s="106"/>
      <c r="D1938" s="106"/>
      <c r="E1938" s="107"/>
      <c r="F1938" s="107"/>
    </row>
    <row r="1939" spans="2:6" x14ac:dyDescent="0.3">
      <c r="B1939" s="106"/>
      <c r="D1939" s="106"/>
      <c r="E1939" s="107"/>
      <c r="F1939" s="107"/>
    </row>
    <row r="1940" spans="2:6" x14ac:dyDescent="0.3">
      <c r="B1940" s="106"/>
      <c r="D1940" s="106"/>
      <c r="E1940" s="107"/>
      <c r="F1940" s="107"/>
    </row>
    <row r="1941" spans="2:6" x14ac:dyDescent="0.3">
      <c r="B1941" s="106"/>
      <c r="D1941" s="106"/>
      <c r="E1941" s="107"/>
      <c r="F1941" s="107"/>
    </row>
    <row r="1942" spans="2:6" x14ac:dyDescent="0.3">
      <c r="B1942" s="106"/>
      <c r="D1942" s="106"/>
      <c r="E1942" s="107"/>
      <c r="F1942" s="107"/>
    </row>
    <row r="1943" spans="2:6" x14ac:dyDescent="0.3">
      <c r="B1943" s="106"/>
      <c r="D1943" s="106"/>
      <c r="E1943" s="107"/>
      <c r="F1943" s="107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RefreshBtn1">
          <controlPr defaultSize="0" autoLine="0" autoPict="0" r:id="rId5">
            <anchor moveWithCells="1">
              <from>
                <xdr:col>1</xdr:col>
                <xdr:colOff>9525</xdr:colOff>
                <xdr:row>0</xdr:row>
                <xdr:rowOff>9525</xdr:rowOff>
              </from>
              <to>
                <xdr:col>1</xdr:col>
                <xdr:colOff>647700</xdr:colOff>
                <xdr:row>1</xdr:row>
                <xdr:rowOff>9525</xdr:rowOff>
              </to>
            </anchor>
          </controlPr>
        </control>
      </mc:Choice>
      <mc:Fallback>
        <control shapeId="9217" r:id="rId4" name="RefreshBt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P1943"/>
  <sheetViews>
    <sheetView showGridLines="0" workbookViewId="0">
      <pane xSplit="7" ySplit="13" topLeftCell="H927" activePane="bottomRight" state="frozen"/>
      <selection pane="topRight" activeCell="D1" sqref="D1"/>
      <selection pane="bottomLeft" activeCell="A14" sqref="A14"/>
      <selection pane="bottomRight" activeCell="D931" sqref="D931"/>
    </sheetView>
  </sheetViews>
  <sheetFormatPr defaultColWidth="9" defaultRowHeight="12" x14ac:dyDescent="0.3"/>
  <cols>
    <col min="1" max="1" width="8.75" style="58" bestFit="1" customWidth="1"/>
    <col min="2" max="3" width="11.125" style="58" bestFit="1" customWidth="1"/>
    <col min="4" max="4" width="9" style="58"/>
    <col min="5" max="14" width="14.625" style="58" customWidth="1"/>
    <col min="15" max="15" width="18.375" style="58" bestFit="1" customWidth="1"/>
    <col min="16" max="16" width="14.625" style="58" customWidth="1"/>
    <col min="17" max="16384" width="9" style="58"/>
  </cols>
  <sheetData>
    <row r="1" spans="1:16" ht="15" customHeight="1" x14ac:dyDescent="0.3">
      <c r="E1" s="93" t="s">
        <v>50</v>
      </c>
      <c r="F1" s="94" t="s">
        <v>3720</v>
      </c>
    </row>
    <row r="3" spans="1:16" x14ac:dyDescent="0.3">
      <c r="E3" s="3" t="s">
        <v>3721</v>
      </c>
    </row>
    <row r="4" spans="1:16" x14ac:dyDescent="0.3">
      <c r="E4" s="96" t="s">
        <v>3722</v>
      </c>
      <c r="F4" s="96" t="s">
        <v>37</v>
      </c>
      <c r="G4" s="96" t="s">
        <v>2</v>
      </c>
      <c r="H4" s="93"/>
    </row>
    <row r="5" spans="1:16" x14ac:dyDescent="0.3">
      <c r="E5" s="98" t="s">
        <v>3723</v>
      </c>
      <c r="F5" s="98">
        <v>0</v>
      </c>
      <c r="G5" s="98" t="s">
        <v>38</v>
      </c>
    </row>
    <row r="6" spans="1:16" x14ac:dyDescent="0.3">
      <c r="E6" s="98" t="s">
        <v>3724</v>
      </c>
      <c r="F6" s="101" t="str">
        <f ca="1">Main!C3</f>
        <v>20170411</v>
      </c>
      <c r="G6" s="98" t="s">
        <v>3577</v>
      </c>
    </row>
    <row r="7" spans="1:16" x14ac:dyDescent="0.3">
      <c r="E7" s="99"/>
      <c r="F7" s="99"/>
      <c r="G7" s="99">
        <v>0</v>
      </c>
    </row>
    <row r="9" spans="1:16" x14ac:dyDescent="0.3">
      <c r="E9" s="96"/>
      <c r="F9" s="96" t="s">
        <v>3725</v>
      </c>
      <c r="G9" s="96" t="s">
        <v>31</v>
      </c>
      <c r="H9" s="96" t="s">
        <v>3038</v>
      </c>
      <c r="I9" s="96" t="s">
        <v>3036</v>
      </c>
      <c r="J9" s="96" t="s">
        <v>3037</v>
      </c>
      <c r="K9" s="96"/>
      <c r="L9" s="96"/>
      <c r="M9" s="96"/>
      <c r="N9" s="96"/>
      <c r="O9" s="96"/>
      <c r="P9" s="96"/>
    </row>
    <row r="10" spans="1:16" x14ac:dyDescent="0.3">
      <c r="E10" s="98"/>
      <c r="F10" s="98" t="s">
        <v>3744</v>
      </c>
      <c r="G10" s="98"/>
      <c r="H10" s="98">
        <f>Main!B4</f>
        <v>201306</v>
      </c>
      <c r="I10" s="98">
        <f>H10</f>
        <v>201306</v>
      </c>
      <c r="J10" s="98">
        <f>H10</f>
        <v>201306</v>
      </c>
      <c r="K10" s="98"/>
      <c r="L10" s="98"/>
      <c r="M10" s="98"/>
      <c r="N10" s="98"/>
      <c r="O10" s="98"/>
      <c r="P10" s="98"/>
    </row>
    <row r="11" spans="1:16" x14ac:dyDescent="0.3">
      <c r="E11" s="98"/>
      <c r="F11" s="98" t="s">
        <v>3745</v>
      </c>
      <c r="G11" s="98" t="s">
        <v>35</v>
      </c>
      <c r="H11" s="98" t="s">
        <v>35</v>
      </c>
      <c r="I11" s="98" t="s">
        <v>35</v>
      </c>
      <c r="J11" s="98" t="s">
        <v>3579</v>
      </c>
      <c r="K11" s="98"/>
      <c r="L11" s="98"/>
      <c r="M11" s="98"/>
      <c r="N11" s="98"/>
      <c r="O11" s="98"/>
      <c r="P11" s="98"/>
    </row>
    <row r="12" spans="1:16" x14ac:dyDescent="0.3">
      <c r="E12" s="102"/>
      <c r="F12" s="102" t="s">
        <v>3747</v>
      </c>
      <c r="G12" s="98"/>
      <c r="H12" s="98"/>
      <c r="I12" s="98"/>
      <c r="J12" s="98"/>
      <c r="K12" s="98"/>
      <c r="L12" s="98"/>
      <c r="M12" s="98"/>
      <c r="N12" s="98"/>
      <c r="O12" s="98"/>
      <c r="P12" s="98"/>
    </row>
    <row r="13" spans="1:16" x14ac:dyDescent="0.3">
      <c r="A13" s="103" t="s">
        <v>3581</v>
      </c>
      <c r="B13" s="103" t="s">
        <v>3582</v>
      </c>
      <c r="C13" s="103" t="s">
        <v>3583</v>
      </c>
      <c r="D13" s="103" t="s">
        <v>3584</v>
      </c>
      <c r="E13" s="104" t="s">
        <v>3729</v>
      </c>
      <c r="F13" s="105" t="s">
        <v>3746</v>
      </c>
      <c r="G13" s="105" t="s">
        <v>3748</v>
      </c>
      <c r="H13" s="105" t="s">
        <v>3749</v>
      </c>
      <c r="I13" s="105" t="s">
        <v>3750</v>
      </c>
      <c r="J13" s="105" t="s">
        <v>3751</v>
      </c>
      <c r="K13" s="105"/>
      <c r="L13" s="105"/>
      <c r="M13" s="105"/>
      <c r="N13" s="105"/>
      <c r="O13" s="105"/>
      <c r="P13" s="105"/>
    </row>
    <row r="14" spans="1:16" x14ac:dyDescent="0.3">
      <c r="A14" s="58" t="str">
        <f>E14</f>
        <v>A000020</v>
      </c>
      <c r="B14" s="59" t="str">
        <f>IFERROR(IF(ISNUMBER(H14),DATE(LEFT(H14,4),MID(H14,5,2),RIGHT(H14,2)),NA()),"")</f>
        <v/>
      </c>
      <c r="C14" s="59" t="str">
        <f>IFERROR(IF(ISNUMBER(I14),DATE(LEFT(I14,4),MID(I14,5,2),RIGHT(I14,2)),NA()),"")</f>
        <v/>
      </c>
      <c r="D14" s="109" t="str">
        <f>IFERROR(IF(ISNUMBER(J14),J14,NA()),"")</f>
        <v/>
      </c>
      <c r="E14" s="106" t="s">
        <v>51</v>
      </c>
      <c r="F14" s="58" t="s">
        <v>1532</v>
      </c>
      <c r="G14" s="106">
        <v>12</v>
      </c>
      <c r="H14" s="107"/>
      <c r="I14" s="107"/>
      <c r="J14" s="107"/>
      <c r="K14" s="107"/>
      <c r="L14" s="107"/>
      <c r="M14" s="107"/>
      <c r="N14" s="107"/>
      <c r="O14" s="107"/>
      <c r="P14" s="107"/>
    </row>
    <row r="15" spans="1:16" x14ac:dyDescent="0.3">
      <c r="A15" s="58" t="str">
        <f t="shared" ref="A15:A21" si="0">E15</f>
        <v>A000040</v>
      </c>
      <c r="B15" s="59" t="str">
        <f t="shared" ref="B15:B78" si="1">IFERROR(IF(ISNUMBER(H15),DATE(LEFT(H15,4),MID(H15,5,2),RIGHT(H15,2)),NA()),"")</f>
        <v/>
      </c>
      <c r="C15" s="59" t="str">
        <f t="shared" ref="C15:C78" si="2">IFERROR(IF(ISNUMBER(I15),DATE(LEFT(I15,4),MID(I15,5,2),RIGHT(I15,2)),NA()),"")</f>
        <v/>
      </c>
      <c r="D15" s="109" t="str">
        <f t="shared" ref="D15:D78" si="3">IFERROR(IF(ISNUMBER(J15),J15,NA()),"")</f>
        <v/>
      </c>
      <c r="E15" s="106" t="s">
        <v>52</v>
      </c>
      <c r="F15" s="58" t="s">
        <v>1533</v>
      </c>
      <c r="G15" s="106">
        <v>12</v>
      </c>
      <c r="H15" s="107"/>
      <c r="I15" s="107"/>
      <c r="J15" s="107"/>
      <c r="K15" s="107"/>
      <c r="L15" s="107"/>
      <c r="M15" s="107"/>
      <c r="N15" s="107"/>
      <c r="O15" s="107"/>
      <c r="P15" s="107"/>
    </row>
    <row r="16" spans="1:16" x14ac:dyDescent="0.3">
      <c r="A16" s="58" t="str">
        <f t="shared" si="0"/>
        <v>A000050</v>
      </c>
      <c r="B16" s="59" t="str">
        <f t="shared" si="1"/>
        <v/>
      </c>
      <c r="C16" s="59" t="str">
        <f t="shared" si="2"/>
        <v/>
      </c>
      <c r="D16" s="109" t="str">
        <f t="shared" si="3"/>
        <v/>
      </c>
      <c r="E16" s="106" t="s">
        <v>53</v>
      </c>
      <c r="F16" s="58" t="s">
        <v>1534</v>
      </c>
      <c r="G16" s="106">
        <v>12</v>
      </c>
      <c r="H16" s="107"/>
      <c r="I16" s="107"/>
      <c r="J16" s="107"/>
      <c r="K16" s="107"/>
      <c r="L16" s="107"/>
      <c r="M16" s="107"/>
      <c r="N16" s="107"/>
      <c r="O16" s="107"/>
      <c r="P16" s="107"/>
    </row>
    <row r="17" spans="1:16" x14ac:dyDescent="0.3">
      <c r="A17" s="58" t="str">
        <f t="shared" si="0"/>
        <v>A000060</v>
      </c>
      <c r="B17" s="59" t="str">
        <f t="shared" si="1"/>
        <v/>
      </c>
      <c r="C17" s="59" t="str">
        <f t="shared" si="2"/>
        <v/>
      </c>
      <c r="D17" s="109" t="str">
        <f t="shared" si="3"/>
        <v/>
      </c>
      <c r="E17" s="106" t="s">
        <v>54</v>
      </c>
      <c r="F17" s="58" t="s">
        <v>1535</v>
      </c>
      <c r="G17" s="106">
        <v>3</v>
      </c>
      <c r="H17" s="107"/>
      <c r="I17" s="107"/>
      <c r="J17" s="107"/>
      <c r="K17" s="107"/>
      <c r="L17" s="107"/>
      <c r="M17" s="107"/>
      <c r="N17" s="107"/>
      <c r="O17" s="107"/>
      <c r="P17" s="107"/>
    </row>
    <row r="18" spans="1:16" x14ac:dyDescent="0.3">
      <c r="A18" s="58" t="str">
        <f t="shared" si="0"/>
        <v>A000070</v>
      </c>
      <c r="B18" s="59" t="str">
        <f t="shared" si="1"/>
        <v/>
      </c>
      <c r="C18" s="59" t="str">
        <f t="shared" si="2"/>
        <v/>
      </c>
      <c r="D18" s="109" t="str">
        <f t="shared" si="3"/>
        <v/>
      </c>
      <c r="E18" s="106" t="s">
        <v>55</v>
      </c>
      <c r="F18" s="58" t="s">
        <v>1536</v>
      </c>
      <c r="G18" s="106">
        <v>12</v>
      </c>
      <c r="H18" s="107"/>
      <c r="I18" s="107"/>
      <c r="J18" s="107"/>
      <c r="K18" s="107"/>
      <c r="L18" s="107"/>
      <c r="M18" s="107"/>
      <c r="N18" s="107"/>
      <c r="O18" s="107"/>
      <c r="P18" s="107"/>
    </row>
    <row r="19" spans="1:16" x14ac:dyDescent="0.3">
      <c r="A19" s="58" t="str">
        <f t="shared" si="0"/>
        <v>A000080</v>
      </c>
      <c r="B19" s="59" t="str">
        <f t="shared" si="1"/>
        <v/>
      </c>
      <c r="C19" s="59" t="str">
        <f t="shared" si="2"/>
        <v/>
      </c>
      <c r="D19" s="109" t="str">
        <f t="shared" si="3"/>
        <v/>
      </c>
      <c r="E19" s="106" t="s">
        <v>56</v>
      </c>
      <c r="F19" s="58" t="s">
        <v>1537</v>
      </c>
      <c r="G19" s="106">
        <v>12</v>
      </c>
      <c r="H19" s="107"/>
      <c r="I19" s="107"/>
      <c r="J19" s="107"/>
      <c r="K19" s="107"/>
      <c r="L19" s="107"/>
      <c r="M19" s="107"/>
      <c r="N19" s="107"/>
      <c r="O19" s="107"/>
      <c r="P19" s="107"/>
    </row>
    <row r="20" spans="1:16" x14ac:dyDescent="0.3">
      <c r="A20" s="58" t="str">
        <f t="shared" si="0"/>
        <v>A000100</v>
      </c>
      <c r="B20" s="59" t="str">
        <f t="shared" si="1"/>
        <v/>
      </c>
      <c r="C20" s="59" t="str">
        <f t="shared" si="2"/>
        <v/>
      </c>
      <c r="D20" s="109" t="str">
        <f t="shared" si="3"/>
        <v/>
      </c>
      <c r="E20" s="106" t="s">
        <v>0</v>
      </c>
      <c r="F20" s="58" t="s">
        <v>4</v>
      </c>
      <c r="G20" s="106">
        <v>12</v>
      </c>
      <c r="H20" s="107"/>
      <c r="I20" s="107"/>
      <c r="J20" s="107"/>
      <c r="K20" s="107"/>
      <c r="L20" s="107"/>
      <c r="M20" s="107"/>
      <c r="N20" s="107"/>
      <c r="O20" s="107"/>
      <c r="P20" s="107"/>
    </row>
    <row r="21" spans="1:16" x14ac:dyDescent="0.3">
      <c r="A21" s="58" t="str">
        <f t="shared" si="0"/>
        <v>A000120</v>
      </c>
      <c r="B21" s="59">
        <f t="shared" si="1"/>
        <v>41487</v>
      </c>
      <c r="C21" s="59" t="str">
        <f t="shared" si="2"/>
        <v/>
      </c>
      <c r="D21" s="109" t="str">
        <f t="shared" si="3"/>
        <v/>
      </c>
      <c r="E21" s="106" t="s">
        <v>57</v>
      </c>
      <c r="F21" s="58" t="s">
        <v>1538</v>
      </c>
      <c r="G21" s="106">
        <v>12</v>
      </c>
      <c r="H21" s="107">
        <v>20130801</v>
      </c>
      <c r="I21" s="107"/>
      <c r="J21" s="107"/>
      <c r="K21" s="107"/>
      <c r="L21" s="107"/>
      <c r="M21" s="107"/>
      <c r="N21" s="107"/>
      <c r="O21" s="107"/>
      <c r="P21" s="107"/>
    </row>
    <row r="22" spans="1:16" x14ac:dyDescent="0.3">
      <c r="A22" s="58" t="str">
        <f t="shared" ref="A22:A85" si="4">E22</f>
        <v>A000140</v>
      </c>
      <c r="B22" s="59" t="str">
        <f t="shared" si="1"/>
        <v/>
      </c>
      <c r="C22" s="59" t="str">
        <f t="shared" si="2"/>
        <v/>
      </c>
      <c r="D22" s="109" t="str">
        <f t="shared" si="3"/>
        <v/>
      </c>
      <c r="E22" s="106" t="s">
        <v>58</v>
      </c>
      <c r="F22" s="58" t="s">
        <v>1539</v>
      </c>
      <c r="G22" s="106">
        <v>12</v>
      </c>
      <c r="H22" s="107"/>
      <c r="I22" s="107"/>
      <c r="J22" s="107"/>
      <c r="K22" s="107"/>
      <c r="L22" s="107"/>
      <c r="M22" s="107"/>
      <c r="N22" s="107"/>
      <c r="O22" s="107"/>
      <c r="P22" s="107"/>
    </row>
    <row r="23" spans="1:16" x14ac:dyDescent="0.3">
      <c r="A23" s="58" t="str">
        <f t="shared" si="4"/>
        <v>A000150</v>
      </c>
      <c r="B23" s="59">
        <f t="shared" si="1"/>
        <v>41481</v>
      </c>
      <c r="C23" s="59">
        <f t="shared" si="2"/>
        <v>41481</v>
      </c>
      <c r="D23" s="109">
        <f t="shared" si="3"/>
        <v>382</v>
      </c>
      <c r="E23" s="106" t="s">
        <v>59</v>
      </c>
      <c r="F23" s="58" t="s">
        <v>1540</v>
      </c>
      <c r="G23" s="106">
        <v>12</v>
      </c>
      <c r="H23" s="107">
        <v>20130726</v>
      </c>
      <c r="I23" s="107">
        <v>20130726</v>
      </c>
      <c r="J23" s="107">
        <v>382</v>
      </c>
      <c r="K23" s="107"/>
      <c r="L23" s="107"/>
      <c r="M23" s="107"/>
      <c r="N23" s="107"/>
      <c r="O23" s="107"/>
      <c r="P23" s="107"/>
    </row>
    <row r="24" spans="1:16" x14ac:dyDescent="0.3">
      <c r="A24" s="58" t="str">
        <f t="shared" si="4"/>
        <v>A000180</v>
      </c>
      <c r="B24" s="59" t="str">
        <f t="shared" si="1"/>
        <v/>
      </c>
      <c r="C24" s="59" t="str">
        <f t="shared" si="2"/>
        <v/>
      </c>
      <c r="D24" s="109" t="str">
        <f t="shared" si="3"/>
        <v/>
      </c>
      <c r="E24" s="106" t="s">
        <v>60</v>
      </c>
      <c r="F24" s="58" t="s">
        <v>1541</v>
      </c>
      <c r="G24" s="106">
        <v>12</v>
      </c>
      <c r="H24" s="107"/>
      <c r="I24" s="107"/>
      <c r="J24" s="107"/>
      <c r="K24" s="107"/>
      <c r="L24" s="107"/>
      <c r="M24" s="107"/>
      <c r="N24" s="107"/>
      <c r="O24" s="107"/>
      <c r="P24" s="107"/>
    </row>
    <row r="25" spans="1:16" x14ac:dyDescent="0.3">
      <c r="A25" s="58" t="str">
        <f t="shared" si="4"/>
        <v>A000210</v>
      </c>
      <c r="B25" s="59">
        <f t="shared" si="1"/>
        <v>41478</v>
      </c>
      <c r="C25" s="59">
        <f t="shared" si="2"/>
        <v>41478</v>
      </c>
      <c r="D25" s="109">
        <f t="shared" si="3"/>
        <v>111.73</v>
      </c>
      <c r="E25" s="106" t="s">
        <v>61</v>
      </c>
      <c r="F25" s="58" t="s">
        <v>1542</v>
      </c>
      <c r="G25" s="106">
        <v>12</v>
      </c>
      <c r="H25" s="107">
        <v>20130723</v>
      </c>
      <c r="I25" s="107">
        <v>20130723</v>
      </c>
      <c r="J25" s="107">
        <v>111.73</v>
      </c>
      <c r="K25" s="107"/>
      <c r="L25" s="107"/>
      <c r="M25" s="107"/>
      <c r="N25" s="107"/>
      <c r="O25" s="107"/>
      <c r="P25" s="107"/>
    </row>
    <row r="26" spans="1:16" x14ac:dyDescent="0.3">
      <c r="A26" s="58" t="str">
        <f t="shared" si="4"/>
        <v>A000220</v>
      </c>
      <c r="B26" s="59" t="str">
        <f t="shared" si="1"/>
        <v/>
      </c>
      <c r="C26" s="59" t="str">
        <f t="shared" si="2"/>
        <v/>
      </c>
      <c r="D26" s="109" t="str">
        <f t="shared" si="3"/>
        <v/>
      </c>
      <c r="E26" s="106" t="s">
        <v>62</v>
      </c>
      <c r="F26" s="58" t="s">
        <v>1543</v>
      </c>
      <c r="G26" s="106">
        <v>3</v>
      </c>
      <c r="H26" s="107"/>
      <c r="I26" s="107"/>
      <c r="J26" s="107"/>
      <c r="K26" s="107"/>
      <c r="L26" s="107"/>
      <c r="M26" s="107"/>
      <c r="N26" s="107"/>
      <c r="O26" s="107"/>
      <c r="P26" s="107"/>
    </row>
    <row r="27" spans="1:16" x14ac:dyDescent="0.3">
      <c r="A27" s="58" t="str">
        <f t="shared" si="4"/>
        <v>A000230</v>
      </c>
      <c r="B27" s="59" t="str">
        <f t="shared" si="1"/>
        <v/>
      </c>
      <c r="C27" s="59" t="str">
        <f t="shared" si="2"/>
        <v/>
      </c>
      <c r="D27" s="109" t="str">
        <f t="shared" si="3"/>
        <v/>
      </c>
      <c r="E27" s="106" t="s">
        <v>63</v>
      </c>
      <c r="F27" s="58" t="s">
        <v>1544</v>
      </c>
      <c r="G27" s="106">
        <v>12</v>
      </c>
      <c r="H27" s="107"/>
      <c r="I27" s="107"/>
      <c r="J27" s="107"/>
      <c r="K27" s="107"/>
      <c r="L27" s="107"/>
      <c r="M27" s="107"/>
      <c r="N27" s="107"/>
      <c r="O27" s="107"/>
      <c r="P27" s="107"/>
    </row>
    <row r="28" spans="1:16" x14ac:dyDescent="0.3">
      <c r="A28" s="58" t="str">
        <f t="shared" si="4"/>
        <v>A000240</v>
      </c>
      <c r="B28" s="59">
        <f t="shared" si="1"/>
        <v>41485</v>
      </c>
      <c r="C28" s="59">
        <f t="shared" si="2"/>
        <v>41485</v>
      </c>
      <c r="D28" s="109">
        <f t="shared" si="3"/>
        <v>14.75</v>
      </c>
      <c r="E28" s="106" t="s">
        <v>64</v>
      </c>
      <c r="F28" s="58" t="s">
        <v>1545</v>
      </c>
      <c r="G28" s="106">
        <v>12</v>
      </c>
      <c r="H28" s="107">
        <v>20130730</v>
      </c>
      <c r="I28" s="107">
        <v>20130730</v>
      </c>
      <c r="J28" s="107">
        <v>14.75</v>
      </c>
      <c r="K28" s="107"/>
      <c r="L28" s="107"/>
      <c r="M28" s="107"/>
      <c r="N28" s="107"/>
      <c r="O28" s="107"/>
      <c r="P28" s="107"/>
    </row>
    <row r="29" spans="1:16" x14ac:dyDescent="0.3">
      <c r="A29" s="58" t="str">
        <f t="shared" si="4"/>
        <v>A000250</v>
      </c>
      <c r="B29" s="59" t="str">
        <f t="shared" si="1"/>
        <v/>
      </c>
      <c r="C29" s="59" t="str">
        <f t="shared" si="2"/>
        <v/>
      </c>
      <c r="D29" s="109" t="str">
        <f t="shared" si="3"/>
        <v/>
      </c>
      <c r="E29" s="106" t="s">
        <v>65</v>
      </c>
      <c r="F29" s="58" t="s">
        <v>1546</v>
      </c>
      <c r="G29" s="106">
        <v>12</v>
      </c>
      <c r="H29" s="107"/>
      <c r="I29" s="107"/>
      <c r="J29" s="107"/>
      <c r="K29" s="107"/>
      <c r="L29" s="107"/>
      <c r="M29" s="107"/>
      <c r="N29" s="107"/>
      <c r="O29" s="107"/>
      <c r="P29" s="107"/>
    </row>
    <row r="30" spans="1:16" x14ac:dyDescent="0.3">
      <c r="A30" s="58" t="str">
        <f t="shared" si="4"/>
        <v>A000270</v>
      </c>
      <c r="B30" s="59">
        <f t="shared" si="1"/>
        <v>41481</v>
      </c>
      <c r="C30" s="59">
        <f t="shared" si="2"/>
        <v>41481</v>
      </c>
      <c r="D30" s="109">
        <f t="shared" si="3"/>
        <v>1126.3699999999999</v>
      </c>
      <c r="E30" s="106" t="s">
        <v>66</v>
      </c>
      <c r="F30" s="58" t="s">
        <v>1547</v>
      </c>
      <c r="G30" s="106">
        <v>12</v>
      </c>
      <c r="H30" s="107">
        <v>20130726</v>
      </c>
      <c r="I30" s="107">
        <v>20130726</v>
      </c>
      <c r="J30" s="107">
        <v>1126.3699999999999</v>
      </c>
      <c r="K30" s="107"/>
      <c r="L30" s="107"/>
      <c r="M30" s="107"/>
      <c r="N30" s="107"/>
      <c r="O30" s="107"/>
      <c r="P30" s="107"/>
    </row>
    <row r="31" spans="1:16" x14ac:dyDescent="0.3">
      <c r="A31" s="58" t="str">
        <f t="shared" si="4"/>
        <v>A000300</v>
      </c>
      <c r="B31" s="59" t="str">
        <f t="shared" si="1"/>
        <v/>
      </c>
      <c r="C31" s="59" t="str">
        <f t="shared" si="2"/>
        <v/>
      </c>
      <c r="D31" s="109" t="str">
        <f t="shared" si="3"/>
        <v/>
      </c>
      <c r="E31" s="106" t="s">
        <v>67</v>
      </c>
      <c r="F31" s="58" t="s">
        <v>1548</v>
      </c>
      <c r="G31" s="106">
        <v>12</v>
      </c>
      <c r="H31" s="107"/>
      <c r="I31" s="107"/>
      <c r="J31" s="107"/>
      <c r="K31" s="107"/>
      <c r="L31" s="107"/>
      <c r="M31" s="107"/>
      <c r="N31" s="107"/>
      <c r="O31" s="107"/>
      <c r="P31" s="107"/>
    </row>
    <row r="32" spans="1:16" x14ac:dyDescent="0.3">
      <c r="A32" s="58" t="str">
        <f t="shared" si="4"/>
        <v>A000320</v>
      </c>
      <c r="B32" s="59" t="str">
        <f t="shared" si="1"/>
        <v/>
      </c>
      <c r="C32" s="59" t="str">
        <f t="shared" si="2"/>
        <v/>
      </c>
      <c r="D32" s="109" t="str">
        <f t="shared" si="3"/>
        <v/>
      </c>
      <c r="E32" s="106" t="s">
        <v>68</v>
      </c>
      <c r="F32" s="58" t="s">
        <v>1549</v>
      </c>
      <c r="G32" s="106">
        <v>12</v>
      </c>
      <c r="H32" s="107"/>
      <c r="I32" s="107"/>
      <c r="J32" s="107"/>
      <c r="K32" s="107"/>
      <c r="L32" s="107"/>
      <c r="M32" s="107"/>
      <c r="N32" s="107"/>
      <c r="O32" s="107"/>
      <c r="P32" s="107"/>
    </row>
    <row r="33" spans="1:16" x14ac:dyDescent="0.3">
      <c r="A33" s="58" t="str">
        <f t="shared" si="4"/>
        <v>A000360</v>
      </c>
      <c r="B33" s="59" t="str">
        <f t="shared" si="1"/>
        <v/>
      </c>
      <c r="C33" s="59" t="str">
        <f t="shared" si="2"/>
        <v/>
      </c>
      <c r="D33" s="109" t="str">
        <f t="shared" si="3"/>
        <v/>
      </c>
      <c r="E33" s="106" t="s">
        <v>69</v>
      </c>
      <c r="F33" s="58" t="s">
        <v>1550</v>
      </c>
      <c r="G33" s="106">
        <v>12</v>
      </c>
      <c r="H33" s="107"/>
      <c r="I33" s="107"/>
      <c r="J33" s="107"/>
      <c r="K33" s="107"/>
      <c r="L33" s="107"/>
      <c r="M33" s="107"/>
      <c r="N33" s="107"/>
      <c r="O33" s="107"/>
      <c r="P33" s="107"/>
    </row>
    <row r="34" spans="1:16" x14ac:dyDescent="0.3">
      <c r="A34" s="58" t="str">
        <f t="shared" si="4"/>
        <v>A000370</v>
      </c>
      <c r="B34" s="59" t="str">
        <f t="shared" si="1"/>
        <v/>
      </c>
      <c r="C34" s="59" t="str">
        <f t="shared" si="2"/>
        <v/>
      </c>
      <c r="D34" s="109" t="str">
        <f t="shared" si="3"/>
        <v/>
      </c>
      <c r="E34" s="106" t="s">
        <v>70</v>
      </c>
      <c r="F34" s="58" t="s">
        <v>1551</v>
      </c>
      <c r="G34" s="106">
        <v>3</v>
      </c>
      <c r="H34" s="107"/>
      <c r="I34" s="107"/>
      <c r="J34" s="107"/>
      <c r="K34" s="107"/>
      <c r="L34" s="107"/>
      <c r="M34" s="107"/>
      <c r="N34" s="107"/>
      <c r="O34" s="107"/>
      <c r="P34" s="107"/>
    </row>
    <row r="35" spans="1:16" x14ac:dyDescent="0.3">
      <c r="A35" s="58" t="str">
        <f t="shared" si="4"/>
        <v>A000390</v>
      </c>
      <c r="B35" s="59" t="str">
        <f t="shared" si="1"/>
        <v/>
      </c>
      <c r="C35" s="59" t="str">
        <f t="shared" si="2"/>
        <v/>
      </c>
      <c r="D35" s="109" t="str">
        <f t="shared" si="3"/>
        <v/>
      </c>
      <c r="E35" s="106" t="s">
        <v>71</v>
      </c>
      <c r="F35" s="58" t="s">
        <v>1552</v>
      </c>
      <c r="G35" s="106">
        <v>12</v>
      </c>
      <c r="H35" s="107"/>
      <c r="I35" s="107"/>
      <c r="J35" s="107"/>
      <c r="K35" s="107"/>
      <c r="L35" s="107"/>
      <c r="M35" s="107"/>
      <c r="N35" s="107"/>
      <c r="O35" s="107"/>
      <c r="P35" s="107"/>
    </row>
    <row r="36" spans="1:16" x14ac:dyDescent="0.3">
      <c r="A36" s="58" t="str">
        <f t="shared" si="4"/>
        <v>A000400</v>
      </c>
      <c r="B36" s="59" t="str">
        <f t="shared" si="1"/>
        <v/>
      </c>
      <c r="C36" s="59" t="str">
        <f t="shared" si="2"/>
        <v/>
      </c>
      <c r="D36" s="109" t="str">
        <f t="shared" si="3"/>
        <v/>
      </c>
      <c r="E36" s="106" t="s">
        <v>72</v>
      </c>
      <c r="F36" s="58" t="s">
        <v>1553</v>
      </c>
      <c r="G36" s="106">
        <v>3</v>
      </c>
      <c r="H36" s="107"/>
      <c r="I36" s="107"/>
      <c r="J36" s="107"/>
      <c r="K36" s="107"/>
      <c r="L36" s="107"/>
      <c r="M36" s="107"/>
      <c r="N36" s="107"/>
      <c r="O36" s="107"/>
      <c r="P36" s="107"/>
    </row>
    <row r="37" spans="1:16" x14ac:dyDescent="0.3">
      <c r="A37" s="58" t="str">
        <f t="shared" si="4"/>
        <v>A000420</v>
      </c>
      <c r="B37" s="59" t="str">
        <f t="shared" si="1"/>
        <v/>
      </c>
      <c r="C37" s="59" t="str">
        <f t="shared" si="2"/>
        <v/>
      </c>
      <c r="D37" s="109" t="str">
        <f t="shared" si="3"/>
        <v/>
      </c>
      <c r="E37" s="106" t="s">
        <v>73</v>
      </c>
      <c r="F37" s="58" t="s">
        <v>1554</v>
      </c>
      <c r="G37" s="106">
        <v>12</v>
      </c>
      <c r="H37" s="107"/>
      <c r="I37" s="107"/>
      <c r="J37" s="107"/>
      <c r="K37" s="107"/>
      <c r="L37" s="107"/>
      <c r="M37" s="107"/>
      <c r="N37" s="107"/>
      <c r="O37" s="107"/>
      <c r="P37" s="107"/>
    </row>
    <row r="38" spans="1:16" x14ac:dyDescent="0.3">
      <c r="A38" s="58" t="str">
        <f t="shared" si="4"/>
        <v>A000430</v>
      </c>
      <c r="B38" s="59" t="str">
        <f t="shared" si="1"/>
        <v/>
      </c>
      <c r="C38" s="59" t="str">
        <f t="shared" si="2"/>
        <v/>
      </c>
      <c r="D38" s="109" t="str">
        <f t="shared" si="3"/>
        <v/>
      </c>
      <c r="E38" s="106" t="s">
        <v>74</v>
      </c>
      <c r="F38" s="58" t="s">
        <v>1555</v>
      </c>
      <c r="G38" s="106">
        <v>12</v>
      </c>
      <c r="H38" s="107"/>
      <c r="I38" s="107"/>
      <c r="J38" s="107"/>
      <c r="K38" s="107"/>
      <c r="L38" s="107"/>
      <c r="M38" s="107"/>
      <c r="N38" s="107"/>
      <c r="O38" s="107"/>
      <c r="P38" s="107"/>
    </row>
    <row r="39" spans="1:16" x14ac:dyDescent="0.3">
      <c r="A39" s="58" t="str">
        <f t="shared" si="4"/>
        <v>A000440</v>
      </c>
      <c r="B39" s="59" t="str">
        <f t="shared" si="1"/>
        <v/>
      </c>
      <c r="C39" s="59" t="str">
        <f t="shared" si="2"/>
        <v/>
      </c>
      <c r="D39" s="109" t="str">
        <f t="shared" si="3"/>
        <v/>
      </c>
      <c r="E39" s="106" t="s">
        <v>75</v>
      </c>
      <c r="F39" s="58" t="s">
        <v>1556</v>
      </c>
      <c r="G39" s="106">
        <v>9</v>
      </c>
      <c r="H39" s="107"/>
      <c r="I39" s="107"/>
      <c r="J39" s="107"/>
      <c r="K39" s="107"/>
      <c r="L39" s="107"/>
      <c r="M39" s="107"/>
      <c r="N39" s="107"/>
      <c r="O39" s="107"/>
      <c r="P39" s="107"/>
    </row>
    <row r="40" spans="1:16" x14ac:dyDescent="0.3">
      <c r="A40" s="58" t="str">
        <f t="shared" si="4"/>
        <v>A000480</v>
      </c>
      <c r="B40" s="59" t="str">
        <f t="shared" si="1"/>
        <v/>
      </c>
      <c r="C40" s="59" t="str">
        <f t="shared" si="2"/>
        <v/>
      </c>
      <c r="D40" s="109" t="str">
        <f t="shared" si="3"/>
        <v/>
      </c>
      <c r="E40" s="106" t="s">
        <v>76</v>
      </c>
      <c r="F40" s="58" t="s">
        <v>1557</v>
      </c>
      <c r="G40" s="106">
        <v>12</v>
      </c>
      <c r="H40" s="107"/>
      <c r="I40" s="107"/>
      <c r="J40" s="107"/>
      <c r="K40" s="107"/>
      <c r="L40" s="107"/>
      <c r="M40" s="107"/>
      <c r="N40" s="107"/>
      <c r="O40" s="107"/>
      <c r="P40" s="107"/>
    </row>
    <row r="41" spans="1:16" x14ac:dyDescent="0.3">
      <c r="A41" s="58" t="str">
        <f t="shared" si="4"/>
        <v>A000490</v>
      </c>
      <c r="B41" s="59" t="str">
        <f t="shared" si="1"/>
        <v/>
      </c>
      <c r="C41" s="59" t="str">
        <f t="shared" si="2"/>
        <v/>
      </c>
      <c r="D41" s="109" t="str">
        <f t="shared" si="3"/>
        <v/>
      </c>
      <c r="E41" s="106" t="s">
        <v>77</v>
      </c>
      <c r="F41" s="58" t="s">
        <v>1558</v>
      </c>
      <c r="G41" s="106">
        <v>12</v>
      </c>
      <c r="H41" s="107"/>
      <c r="I41" s="107"/>
      <c r="J41" s="107"/>
      <c r="K41" s="107"/>
      <c r="L41" s="107"/>
      <c r="M41" s="107"/>
      <c r="N41" s="107"/>
      <c r="O41" s="107"/>
      <c r="P41" s="107"/>
    </row>
    <row r="42" spans="1:16" x14ac:dyDescent="0.3">
      <c r="A42" s="58" t="str">
        <f t="shared" si="4"/>
        <v>A000500</v>
      </c>
      <c r="B42" s="59" t="str">
        <f t="shared" si="1"/>
        <v/>
      </c>
      <c r="C42" s="59" t="str">
        <f t="shared" si="2"/>
        <v/>
      </c>
      <c r="D42" s="109" t="str">
        <f t="shared" si="3"/>
        <v/>
      </c>
      <c r="E42" s="106" t="s">
        <v>78</v>
      </c>
      <c r="F42" s="58" t="s">
        <v>1559</v>
      </c>
      <c r="G42" s="106">
        <v>12</v>
      </c>
      <c r="H42" s="107"/>
      <c r="I42" s="107"/>
      <c r="J42" s="107"/>
      <c r="K42" s="107"/>
      <c r="L42" s="107"/>
      <c r="M42" s="107"/>
      <c r="N42" s="107"/>
      <c r="O42" s="107"/>
      <c r="P42" s="107"/>
    </row>
    <row r="43" spans="1:16" x14ac:dyDescent="0.3">
      <c r="A43" s="58" t="str">
        <f t="shared" si="4"/>
        <v>A000520</v>
      </c>
      <c r="B43" s="59" t="str">
        <f t="shared" si="1"/>
        <v/>
      </c>
      <c r="C43" s="59" t="str">
        <f t="shared" si="2"/>
        <v/>
      </c>
      <c r="D43" s="109" t="str">
        <f t="shared" si="3"/>
        <v/>
      </c>
      <c r="E43" s="106" t="s">
        <v>79</v>
      </c>
      <c r="F43" s="58" t="s">
        <v>1560</v>
      </c>
      <c r="G43" s="106">
        <v>12</v>
      </c>
      <c r="H43" s="107"/>
      <c r="I43" s="107"/>
      <c r="J43" s="107"/>
      <c r="K43" s="107"/>
      <c r="L43" s="107"/>
      <c r="M43" s="107"/>
      <c r="N43" s="107"/>
      <c r="O43" s="107"/>
      <c r="P43" s="107"/>
    </row>
    <row r="44" spans="1:16" x14ac:dyDescent="0.3">
      <c r="A44" s="58" t="str">
        <f t="shared" si="4"/>
        <v>A000540</v>
      </c>
      <c r="B44" s="59" t="str">
        <f t="shared" si="1"/>
        <v/>
      </c>
      <c r="C44" s="59" t="str">
        <f t="shared" si="2"/>
        <v/>
      </c>
      <c r="D44" s="109" t="str">
        <f t="shared" si="3"/>
        <v/>
      </c>
      <c r="E44" s="106" t="s">
        <v>80</v>
      </c>
      <c r="F44" s="58" t="s">
        <v>1561</v>
      </c>
      <c r="G44" s="106">
        <v>3</v>
      </c>
      <c r="H44" s="107"/>
      <c r="I44" s="107"/>
      <c r="J44" s="107"/>
      <c r="K44" s="107"/>
      <c r="L44" s="107"/>
      <c r="M44" s="107"/>
      <c r="N44" s="107"/>
      <c r="O44" s="107"/>
      <c r="P44" s="107"/>
    </row>
    <row r="45" spans="1:16" x14ac:dyDescent="0.3">
      <c r="A45" s="58" t="str">
        <f t="shared" si="4"/>
        <v>A000590</v>
      </c>
      <c r="B45" s="59" t="str">
        <f t="shared" si="1"/>
        <v/>
      </c>
      <c r="C45" s="59" t="str">
        <f t="shared" si="2"/>
        <v/>
      </c>
      <c r="D45" s="109" t="str">
        <f t="shared" si="3"/>
        <v/>
      </c>
      <c r="E45" s="106" t="s">
        <v>81</v>
      </c>
      <c r="F45" s="58" t="s">
        <v>1562</v>
      </c>
      <c r="G45" s="106">
        <v>12</v>
      </c>
      <c r="H45" s="107"/>
      <c r="I45" s="107"/>
      <c r="J45" s="107"/>
      <c r="K45" s="107"/>
      <c r="L45" s="107"/>
      <c r="M45" s="107"/>
      <c r="N45" s="107"/>
      <c r="O45" s="107"/>
      <c r="P45" s="107"/>
    </row>
    <row r="46" spans="1:16" x14ac:dyDescent="0.3">
      <c r="A46" s="58" t="str">
        <f t="shared" si="4"/>
        <v>A000640</v>
      </c>
      <c r="B46" s="59" t="str">
        <f t="shared" si="1"/>
        <v/>
      </c>
      <c r="C46" s="59" t="str">
        <f t="shared" si="2"/>
        <v/>
      </c>
      <c r="D46" s="109" t="str">
        <f t="shared" si="3"/>
        <v/>
      </c>
      <c r="E46" s="106" t="s">
        <v>82</v>
      </c>
      <c r="F46" s="58" t="s">
        <v>3628</v>
      </c>
      <c r="G46" s="106">
        <v>12</v>
      </c>
      <c r="H46" s="107"/>
      <c r="I46" s="107"/>
      <c r="J46" s="107"/>
      <c r="K46" s="107"/>
      <c r="L46" s="107"/>
      <c r="M46" s="107"/>
      <c r="N46" s="107"/>
      <c r="O46" s="107"/>
      <c r="P46" s="107"/>
    </row>
    <row r="47" spans="1:16" x14ac:dyDescent="0.3">
      <c r="A47" s="58" t="str">
        <f t="shared" si="4"/>
        <v>A000650</v>
      </c>
      <c r="B47" s="59" t="str">
        <f t="shared" si="1"/>
        <v/>
      </c>
      <c r="C47" s="59" t="str">
        <f t="shared" si="2"/>
        <v/>
      </c>
      <c r="D47" s="109" t="str">
        <f t="shared" si="3"/>
        <v/>
      </c>
      <c r="E47" s="106" t="s">
        <v>83</v>
      </c>
      <c r="F47" s="58" t="s">
        <v>1563</v>
      </c>
      <c r="G47" s="106">
        <v>12</v>
      </c>
      <c r="H47" s="107"/>
      <c r="I47" s="107"/>
      <c r="J47" s="107"/>
      <c r="K47" s="107"/>
      <c r="L47" s="107"/>
      <c r="M47" s="107"/>
      <c r="N47" s="107"/>
      <c r="O47" s="107"/>
      <c r="P47" s="107"/>
    </row>
    <row r="48" spans="1:16" x14ac:dyDescent="0.3">
      <c r="A48" s="58" t="str">
        <f t="shared" si="4"/>
        <v>A000660</v>
      </c>
      <c r="B48" s="59">
        <f t="shared" si="1"/>
        <v>41480</v>
      </c>
      <c r="C48" s="59">
        <f t="shared" si="2"/>
        <v>41480</v>
      </c>
      <c r="D48" s="109">
        <f t="shared" si="3"/>
        <v>1113.5999999999999</v>
      </c>
      <c r="E48" s="106" t="s">
        <v>84</v>
      </c>
      <c r="F48" s="58" t="s">
        <v>1564</v>
      </c>
      <c r="G48" s="106">
        <v>12</v>
      </c>
      <c r="H48" s="107">
        <v>20130725</v>
      </c>
      <c r="I48" s="107">
        <v>20130725</v>
      </c>
      <c r="J48" s="107">
        <v>1113.5999999999999</v>
      </c>
      <c r="K48" s="107"/>
      <c r="L48" s="107"/>
      <c r="M48" s="107"/>
      <c r="N48" s="107"/>
      <c r="O48" s="107"/>
      <c r="P48" s="107"/>
    </row>
    <row r="49" spans="1:16" x14ac:dyDescent="0.3">
      <c r="A49" s="58" t="str">
        <f t="shared" si="4"/>
        <v>A000670</v>
      </c>
      <c r="B49" s="59" t="str">
        <f t="shared" si="1"/>
        <v/>
      </c>
      <c r="C49" s="59" t="str">
        <f t="shared" si="2"/>
        <v/>
      </c>
      <c r="D49" s="109" t="str">
        <f t="shared" si="3"/>
        <v/>
      </c>
      <c r="E49" s="106" t="s">
        <v>85</v>
      </c>
      <c r="F49" s="58" t="s">
        <v>1565</v>
      </c>
      <c r="G49" s="106">
        <v>12</v>
      </c>
      <c r="H49" s="107"/>
      <c r="I49" s="107"/>
      <c r="J49" s="107"/>
      <c r="K49" s="107"/>
      <c r="L49" s="107"/>
      <c r="M49" s="107"/>
      <c r="N49" s="107"/>
      <c r="O49" s="107"/>
      <c r="P49" s="107"/>
    </row>
    <row r="50" spans="1:16" x14ac:dyDescent="0.3">
      <c r="A50" s="58" t="str">
        <f t="shared" si="4"/>
        <v>A000680</v>
      </c>
      <c r="B50" s="59" t="str">
        <f t="shared" si="1"/>
        <v/>
      </c>
      <c r="C50" s="59" t="str">
        <f t="shared" si="2"/>
        <v/>
      </c>
      <c r="D50" s="109" t="str">
        <f t="shared" si="3"/>
        <v/>
      </c>
      <c r="E50" s="106" t="s">
        <v>86</v>
      </c>
      <c r="F50" s="58" t="s">
        <v>1566</v>
      </c>
      <c r="G50" s="106">
        <v>12</v>
      </c>
      <c r="H50" s="107"/>
      <c r="I50" s="107"/>
      <c r="J50" s="107"/>
      <c r="K50" s="107"/>
      <c r="L50" s="107"/>
      <c r="M50" s="107"/>
      <c r="N50" s="107"/>
      <c r="O50" s="107"/>
      <c r="P50" s="107"/>
    </row>
    <row r="51" spans="1:16" x14ac:dyDescent="0.3">
      <c r="A51" s="58" t="str">
        <f t="shared" si="4"/>
        <v>A000700</v>
      </c>
      <c r="B51" s="59" t="str">
        <f t="shared" si="1"/>
        <v/>
      </c>
      <c r="C51" s="59" t="str">
        <f t="shared" si="2"/>
        <v/>
      </c>
      <c r="D51" s="109" t="str">
        <f t="shared" si="3"/>
        <v/>
      </c>
      <c r="E51" s="106" t="s">
        <v>87</v>
      </c>
      <c r="F51" s="58" t="s">
        <v>1567</v>
      </c>
      <c r="G51" s="106">
        <v>12</v>
      </c>
      <c r="H51" s="107"/>
      <c r="I51" s="107"/>
      <c r="J51" s="107"/>
      <c r="K51" s="107"/>
      <c r="L51" s="107"/>
      <c r="M51" s="107"/>
      <c r="N51" s="107"/>
      <c r="O51" s="107"/>
      <c r="P51" s="107"/>
    </row>
    <row r="52" spans="1:16" x14ac:dyDescent="0.3">
      <c r="A52" s="58" t="str">
        <f t="shared" si="4"/>
        <v>A000720</v>
      </c>
      <c r="B52" s="59">
        <f t="shared" si="1"/>
        <v>41481</v>
      </c>
      <c r="C52" s="59">
        <f t="shared" si="2"/>
        <v>41481</v>
      </c>
      <c r="D52" s="109">
        <f t="shared" si="3"/>
        <v>200.65</v>
      </c>
      <c r="E52" s="106" t="s">
        <v>88</v>
      </c>
      <c r="F52" s="58" t="s">
        <v>1568</v>
      </c>
      <c r="G52" s="106">
        <v>12</v>
      </c>
      <c r="H52" s="107">
        <v>20130726</v>
      </c>
      <c r="I52" s="107">
        <v>20130726</v>
      </c>
      <c r="J52" s="107">
        <v>200.65</v>
      </c>
      <c r="K52" s="107"/>
      <c r="L52" s="107"/>
      <c r="M52" s="107"/>
      <c r="N52" s="107"/>
      <c r="O52" s="107"/>
      <c r="P52" s="107"/>
    </row>
    <row r="53" spans="1:16" x14ac:dyDescent="0.3">
      <c r="A53" s="58" t="str">
        <f t="shared" si="4"/>
        <v>A000760</v>
      </c>
      <c r="B53" s="59" t="str">
        <f t="shared" si="1"/>
        <v/>
      </c>
      <c r="C53" s="59" t="str">
        <f t="shared" si="2"/>
        <v/>
      </c>
      <c r="D53" s="109" t="str">
        <f t="shared" si="3"/>
        <v/>
      </c>
      <c r="E53" s="106" t="s">
        <v>89</v>
      </c>
      <c r="F53" s="58" t="s">
        <v>1569</v>
      </c>
      <c r="G53" s="106">
        <v>3</v>
      </c>
      <c r="H53" s="107"/>
      <c r="I53" s="107"/>
      <c r="J53" s="107"/>
      <c r="K53" s="107"/>
      <c r="L53" s="107"/>
      <c r="M53" s="107"/>
      <c r="N53" s="107"/>
      <c r="O53" s="107"/>
      <c r="P53" s="107"/>
    </row>
    <row r="54" spans="1:16" x14ac:dyDescent="0.3">
      <c r="A54" s="58" t="str">
        <f t="shared" si="4"/>
        <v>A000800</v>
      </c>
      <c r="B54" s="59" t="str">
        <f t="shared" si="1"/>
        <v/>
      </c>
      <c r="C54" s="59" t="str">
        <f t="shared" si="2"/>
        <v/>
      </c>
      <c r="D54" s="109" t="str">
        <f t="shared" si="3"/>
        <v/>
      </c>
      <c r="E54" s="106" t="s">
        <v>90</v>
      </c>
      <c r="F54" s="58" t="s">
        <v>1570</v>
      </c>
      <c r="G54" s="106">
        <v>12</v>
      </c>
      <c r="H54" s="107"/>
      <c r="I54" s="107"/>
      <c r="J54" s="107"/>
      <c r="K54" s="107"/>
      <c r="L54" s="107"/>
      <c r="M54" s="107"/>
      <c r="N54" s="107"/>
      <c r="O54" s="107"/>
      <c r="P54" s="107"/>
    </row>
    <row r="55" spans="1:16" x14ac:dyDescent="0.3">
      <c r="A55" s="58" t="str">
        <f t="shared" si="4"/>
        <v>A000810</v>
      </c>
      <c r="B55" s="59">
        <f t="shared" si="1"/>
        <v>41486</v>
      </c>
      <c r="C55" s="59" t="str">
        <f t="shared" si="2"/>
        <v/>
      </c>
      <c r="D55" s="109" t="str">
        <f t="shared" si="3"/>
        <v/>
      </c>
      <c r="E55" s="106" t="s">
        <v>91</v>
      </c>
      <c r="F55" s="58" t="s">
        <v>1571</v>
      </c>
      <c r="G55" s="106">
        <v>3</v>
      </c>
      <c r="H55" s="107">
        <v>20130731</v>
      </c>
      <c r="I55" s="107"/>
      <c r="J55" s="107"/>
      <c r="K55" s="107"/>
      <c r="L55" s="107"/>
      <c r="M55" s="107"/>
      <c r="N55" s="107"/>
      <c r="O55" s="107"/>
      <c r="P55" s="107"/>
    </row>
    <row r="56" spans="1:16" x14ac:dyDescent="0.3">
      <c r="A56" s="58" t="str">
        <f t="shared" si="4"/>
        <v>A000830</v>
      </c>
      <c r="B56" s="59">
        <f t="shared" si="1"/>
        <v>41480</v>
      </c>
      <c r="C56" s="59">
        <f t="shared" si="2"/>
        <v>41480</v>
      </c>
      <c r="D56" s="109">
        <f t="shared" si="3"/>
        <v>99.3</v>
      </c>
      <c r="E56" s="106" t="s">
        <v>92</v>
      </c>
      <c r="F56" s="58" t="s">
        <v>1572</v>
      </c>
      <c r="G56" s="106">
        <v>12</v>
      </c>
      <c r="H56" s="107">
        <v>20130725</v>
      </c>
      <c r="I56" s="107">
        <v>20130725</v>
      </c>
      <c r="J56" s="107">
        <v>99.3</v>
      </c>
      <c r="K56" s="107"/>
      <c r="L56" s="107"/>
      <c r="M56" s="107"/>
      <c r="N56" s="107"/>
      <c r="O56" s="107"/>
      <c r="P56" s="107"/>
    </row>
    <row r="57" spans="1:16" x14ac:dyDescent="0.3">
      <c r="A57" s="58" t="str">
        <f t="shared" si="4"/>
        <v>A000850</v>
      </c>
      <c r="B57" s="59" t="str">
        <f t="shared" si="1"/>
        <v/>
      </c>
      <c r="C57" s="59" t="str">
        <f t="shared" si="2"/>
        <v/>
      </c>
      <c r="D57" s="109" t="str">
        <f t="shared" si="3"/>
        <v/>
      </c>
      <c r="E57" s="106" t="s">
        <v>93</v>
      </c>
      <c r="F57" s="58" t="s">
        <v>1573</v>
      </c>
      <c r="G57" s="106">
        <v>12</v>
      </c>
      <c r="H57" s="107"/>
      <c r="I57" s="107"/>
      <c r="J57" s="107"/>
      <c r="K57" s="107"/>
      <c r="L57" s="107"/>
      <c r="M57" s="107"/>
      <c r="N57" s="107"/>
      <c r="O57" s="107"/>
      <c r="P57" s="107"/>
    </row>
    <row r="58" spans="1:16" x14ac:dyDescent="0.3">
      <c r="A58" s="58" t="str">
        <f t="shared" si="4"/>
        <v>A000860</v>
      </c>
      <c r="B58" s="59" t="str">
        <f t="shared" si="1"/>
        <v/>
      </c>
      <c r="C58" s="59" t="str">
        <f t="shared" si="2"/>
        <v/>
      </c>
      <c r="D58" s="109" t="str">
        <f t="shared" si="3"/>
        <v/>
      </c>
      <c r="E58" s="106" t="s">
        <v>94</v>
      </c>
      <c r="F58" s="58" t="s">
        <v>1574</v>
      </c>
      <c r="G58" s="106">
        <v>12</v>
      </c>
      <c r="H58" s="107"/>
      <c r="I58" s="107"/>
      <c r="J58" s="107"/>
      <c r="K58" s="107"/>
      <c r="L58" s="107"/>
      <c r="M58" s="107"/>
      <c r="N58" s="107"/>
      <c r="O58" s="107"/>
      <c r="P58" s="107"/>
    </row>
    <row r="59" spans="1:16" x14ac:dyDescent="0.3">
      <c r="A59" s="58" t="str">
        <f t="shared" si="4"/>
        <v>A000880</v>
      </c>
      <c r="B59" s="59" t="str">
        <f t="shared" si="1"/>
        <v/>
      </c>
      <c r="C59" s="59" t="str">
        <f t="shared" si="2"/>
        <v/>
      </c>
      <c r="D59" s="109" t="str">
        <f t="shared" si="3"/>
        <v/>
      </c>
      <c r="E59" s="106" t="s">
        <v>95</v>
      </c>
      <c r="F59" s="58" t="s">
        <v>1575</v>
      </c>
      <c r="G59" s="106">
        <v>12</v>
      </c>
      <c r="H59" s="107"/>
      <c r="I59" s="107"/>
      <c r="J59" s="107"/>
      <c r="K59" s="107"/>
      <c r="L59" s="107"/>
      <c r="M59" s="107"/>
      <c r="N59" s="107"/>
      <c r="O59" s="107"/>
      <c r="P59" s="107"/>
    </row>
    <row r="60" spans="1:16" x14ac:dyDescent="0.3">
      <c r="A60" s="58" t="str">
        <f t="shared" si="4"/>
        <v>A000890</v>
      </c>
      <c r="B60" s="59" t="str">
        <f t="shared" si="1"/>
        <v/>
      </c>
      <c r="C60" s="59" t="str">
        <f t="shared" si="2"/>
        <v/>
      </c>
      <c r="D60" s="109" t="str">
        <f t="shared" si="3"/>
        <v/>
      </c>
      <c r="E60" s="106" t="s">
        <v>96</v>
      </c>
      <c r="F60" s="58" t="s">
        <v>1576</v>
      </c>
      <c r="G60" s="106">
        <v>12</v>
      </c>
      <c r="H60" s="107"/>
      <c r="I60" s="107"/>
      <c r="J60" s="107"/>
      <c r="K60" s="107"/>
      <c r="L60" s="107"/>
      <c r="M60" s="107"/>
      <c r="N60" s="107"/>
      <c r="O60" s="107"/>
      <c r="P60" s="107"/>
    </row>
    <row r="61" spans="1:16" x14ac:dyDescent="0.3">
      <c r="A61" s="58" t="str">
        <f t="shared" si="4"/>
        <v>A000910</v>
      </c>
      <c r="B61" s="59" t="str">
        <f t="shared" si="1"/>
        <v/>
      </c>
      <c r="C61" s="59" t="str">
        <f t="shared" si="2"/>
        <v/>
      </c>
      <c r="D61" s="109" t="str">
        <f t="shared" si="3"/>
        <v/>
      </c>
      <c r="E61" s="106" t="s">
        <v>97</v>
      </c>
      <c r="F61" s="58" t="s">
        <v>1577</v>
      </c>
      <c r="G61" s="106">
        <v>12</v>
      </c>
      <c r="H61" s="107"/>
      <c r="I61" s="107"/>
      <c r="J61" s="107"/>
      <c r="K61" s="107"/>
      <c r="L61" s="107"/>
      <c r="M61" s="107"/>
      <c r="N61" s="107"/>
      <c r="O61" s="107"/>
      <c r="P61" s="107"/>
    </row>
    <row r="62" spans="1:16" x14ac:dyDescent="0.3">
      <c r="A62" s="58" t="str">
        <f t="shared" si="4"/>
        <v>A000950</v>
      </c>
      <c r="B62" s="59" t="str">
        <f t="shared" si="1"/>
        <v/>
      </c>
      <c r="C62" s="59" t="str">
        <f t="shared" si="2"/>
        <v/>
      </c>
      <c r="D62" s="109" t="str">
        <f t="shared" si="3"/>
        <v/>
      </c>
      <c r="E62" s="106" t="s">
        <v>98</v>
      </c>
      <c r="F62" s="58" t="s">
        <v>1578</v>
      </c>
      <c r="G62" s="106">
        <v>12</v>
      </c>
      <c r="H62" s="107"/>
      <c r="I62" s="107"/>
      <c r="J62" s="107"/>
      <c r="K62" s="107"/>
      <c r="L62" s="107"/>
      <c r="M62" s="107"/>
      <c r="N62" s="107"/>
      <c r="O62" s="107"/>
      <c r="P62" s="107"/>
    </row>
    <row r="63" spans="1:16" x14ac:dyDescent="0.3">
      <c r="A63" s="58" t="str">
        <f t="shared" si="4"/>
        <v>A000970</v>
      </c>
      <c r="B63" s="59" t="str">
        <f t="shared" si="1"/>
        <v/>
      </c>
      <c r="C63" s="59" t="str">
        <f t="shared" si="2"/>
        <v/>
      </c>
      <c r="D63" s="109" t="str">
        <f t="shared" si="3"/>
        <v/>
      </c>
      <c r="E63" s="106" t="s">
        <v>99</v>
      </c>
      <c r="F63" s="58" t="s">
        <v>1579</v>
      </c>
      <c r="G63" s="106">
        <v>3</v>
      </c>
      <c r="H63" s="107"/>
      <c r="I63" s="107"/>
      <c r="J63" s="107"/>
      <c r="K63" s="107"/>
      <c r="L63" s="107"/>
      <c r="M63" s="107"/>
      <c r="N63" s="107"/>
      <c r="O63" s="107"/>
      <c r="P63" s="107"/>
    </row>
    <row r="64" spans="1:16" x14ac:dyDescent="0.3">
      <c r="A64" s="58" t="str">
        <f t="shared" si="4"/>
        <v>A000990</v>
      </c>
      <c r="B64" s="59" t="str">
        <f t="shared" si="1"/>
        <v/>
      </c>
      <c r="C64" s="59" t="str">
        <f t="shared" si="2"/>
        <v/>
      </c>
      <c r="D64" s="109" t="str">
        <f t="shared" si="3"/>
        <v/>
      </c>
      <c r="E64" s="106" t="s">
        <v>100</v>
      </c>
      <c r="F64" s="58" t="s">
        <v>1580</v>
      </c>
      <c r="G64" s="106">
        <v>12</v>
      </c>
      <c r="H64" s="107"/>
      <c r="I64" s="107"/>
      <c r="J64" s="107"/>
      <c r="K64" s="107"/>
      <c r="L64" s="107"/>
      <c r="M64" s="107"/>
      <c r="N64" s="107"/>
      <c r="O64" s="107"/>
      <c r="P64" s="107"/>
    </row>
    <row r="65" spans="1:16" x14ac:dyDescent="0.3">
      <c r="A65" s="58" t="str">
        <f t="shared" si="4"/>
        <v>A001000</v>
      </c>
      <c r="B65" s="59" t="str">
        <f t="shared" si="1"/>
        <v/>
      </c>
      <c r="C65" s="59" t="str">
        <f t="shared" si="2"/>
        <v/>
      </c>
      <c r="D65" s="109" t="str">
        <f t="shared" si="3"/>
        <v/>
      </c>
      <c r="E65" s="106" t="s">
        <v>101</v>
      </c>
      <c r="F65" s="58" t="s">
        <v>1581</v>
      </c>
      <c r="G65" s="106">
        <v>12</v>
      </c>
      <c r="H65" s="107"/>
      <c r="I65" s="107"/>
      <c r="J65" s="107"/>
      <c r="K65" s="107"/>
      <c r="L65" s="107"/>
      <c r="M65" s="107"/>
      <c r="N65" s="107"/>
      <c r="O65" s="107"/>
      <c r="P65" s="107"/>
    </row>
    <row r="66" spans="1:16" x14ac:dyDescent="0.3">
      <c r="A66" s="58" t="str">
        <f t="shared" si="4"/>
        <v>A001020</v>
      </c>
      <c r="B66" s="59" t="str">
        <f t="shared" si="1"/>
        <v/>
      </c>
      <c r="C66" s="59" t="str">
        <f t="shared" si="2"/>
        <v/>
      </c>
      <c r="D66" s="109" t="str">
        <f t="shared" si="3"/>
        <v/>
      </c>
      <c r="E66" s="106" t="s">
        <v>102</v>
      </c>
      <c r="F66" s="58" t="s">
        <v>1582</v>
      </c>
      <c r="G66" s="106">
        <v>12</v>
      </c>
      <c r="H66" s="107"/>
      <c r="I66" s="107"/>
      <c r="J66" s="107"/>
      <c r="K66" s="107"/>
      <c r="L66" s="107"/>
      <c r="M66" s="107"/>
      <c r="N66" s="107"/>
      <c r="O66" s="107"/>
      <c r="P66" s="107"/>
    </row>
    <row r="67" spans="1:16" x14ac:dyDescent="0.3">
      <c r="A67" s="58" t="str">
        <f t="shared" si="4"/>
        <v>A001040</v>
      </c>
      <c r="B67" s="59" t="str">
        <f t="shared" si="1"/>
        <v/>
      </c>
      <c r="C67" s="59" t="str">
        <f t="shared" si="2"/>
        <v/>
      </c>
      <c r="D67" s="109" t="str">
        <f t="shared" si="3"/>
        <v/>
      </c>
      <c r="E67" s="106" t="s">
        <v>103</v>
      </c>
      <c r="F67" s="58" t="s">
        <v>1583</v>
      </c>
      <c r="G67" s="106">
        <v>12</v>
      </c>
      <c r="H67" s="107"/>
      <c r="I67" s="107"/>
      <c r="J67" s="107"/>
      <c r="K67" s="107"/>
      <c r="L67" s="107"/>
      <c r="M67" s="107"/>
      <c r="N67" s="107"/>
      <c r="O67" s="107"/>
      <c r="P67" s="107"/>
    </row>
    <row r="68" spans="1:16" x14ac:dyDescent="0.3">
      <c r="A68" s="58" t="str">
        <f t="shared" si="4"/>
        <v>A001060</v>
      </c>
      <c r="B68" s="59" t="str">
        <f t="shared" si="1"/>
        <v/>
      </c>
      <c r="C68" s="59" t="str">
        <f t="shared" si="2"/>
        <v/>
      </c>
      <c r="D68" s="109" t="str">
        <f t="shared" si="3"/>
        <v/>
      </c>
      <c r="E68" s="106" t="s">
        <v>104</v>
      </c>
      <c r="F68" s="58" t="s">
        <v>1584</v>
      </c>
      <c r="G68" s="106">
        <v>12</v>
      </c>
      <c r="H68" s="107"/>
      <c r="I68" s="107"/>
      <c r="J68" s="107"/>
      <c r="K68" s="107"/>
      <c r="L68" s="107"/>
      <c r="M68" s="107"/>
      <c r="N68" s="107"/>
      <c r="O68" s="107"/>
      <c r="P68" s="107"/>
    </row>
    <row r="69" spans="1:16" x14ac:dyDescent="0.3">
      <c r="A69" s="58" t="str">
        <f t="shared" si="4"/>
        <v>A001070</v>
      </c>
      <c r="B69" s="59" t="str">
        <f t="shared" si="1"/>
        <v/>
      </c>
      <c r="C69" s="59" t="str">
        <f t="shared" si="2"/>
        <v/>
      </c>
      <c r="D69" s="109" t="str">
        <f t="shared" si="3"/>
        <v/>
      </c>
      <c r="E69" s="106" t="s">
        <v>105</v>
      </c>
      <c r="F69" s="58" t="s">
        <v>1585</v>
      </c>
      <c r="G69" s="106">
        <v>12</v>
      </c>
      <c r="H69" s="107"/>
      <c r="I69" s="107"/>
      <c r="J69" s="107"/>
      <c r="K69" s="107"/>
      <c r="L69" s="107"/>
      <c r="M69" s="107"/>
      <c r="N69" s="107"/>
      <c r="O69" s="107"/>
      <c r="P69" s="107"/>
    </row>
    <row r="70" spans="1:16" x14ac:dyDescent="0.3">
      <c r="A70" s="58" t="str">
        <f t="shared" si="4"/>
        <v>A001080</v>
      </c>
      <c r="B70" s="59" t="str">
        <f t="shared" si="1"/>
        <v/>
      </c>
      <c r="C70" s="59" t="str">
        <f t="shared" si="2"/>
        <v/>
      </c>
      <c r="D70" s="109" t="str">
        <f t="shared" si="3"/>
        <v/>
      </c>
      <c r="E70" s="106" t="s">
        <v>106</v>
      </c>
      <c r="F70" s="58" t="s">
        <v>1586</v>
      </c>
      <c r="G70" s="106">
        <v>6</v>
      </c>
      <c r="H70" s="107"/>
      <c r="I70" s="107"/>
      <c r="J70" s="107"/>
      <c r="K70" s="107"/>
      <c r="L70" s="107"/>
      <c r="M70" s="107"/>
      <c r="N70" s="107"/>
      <c r="O70" s="107"/>
      <c r="P70" s="107"/>
    </row>
    <row r="71" spans="1:16" x14ac:dyDescent="0.3">
      <c r="A71" s="58" t="str">
        <f t="shared" si="4"/>
        <v>A001120</v>
      </c>
      <c r="B71" s="59">
        <f t="shared" si="1"/>
        <v>41479</v>
      </c>
      <c r="C71" s="59">
        <f t="shared" si="2"/>
        <v>41479</v>
      </c>
      <c r="D71" s="109">
        <f t="shared" si="3"/>
        <v>14.84</v>
      </c>
      <c r="E71" s="106" t="s">
        <v>107</v>
      </c>
      <c r="F71" s="58" t="s">
        <v>1587</v>
      </c>
      <c r="G71" s="106">
        <v>12</v>
      </c>
      <c r="H71" s="107">
        <v>20130724</v>
      </c>
      <c r="I71" s="107">
        <v>20130724</v>
      </c>
      <c r="J71" s="107">
        <v>14.84</v>
      </c>
      <c r="K71" s="107"/>
      <c r="L71" s="107"/>
      <c r="M71" s="107"/>
      <c r="N71" s="107"/>
      <c r="O71" s="107"/>
      <c r="P71" s="107"/>
    </row>
    <row r="72" spans="1:16" x14ac:dyDescent="0.3">
      <c r="A72" s="58" t="str">
        <f t="shared" si="4"/>
        <v>A001130</v>
      </c>
      <c r="B72" s="59" t="str">
        <f t="shared" si="1"/>
        <v/>
      </c>
      <c r="C72" s="59" t="str">
        <f t="shared" si="2"/>
        <v/>
      </c>
      <c r="D72" s="109" t="str">
        <f t="shared" si="3"/>
        <v/>
      </c>
      <c r="E72" s="106" t="s">
        <v>108</v>
      </c>
      <c r="F72" s="58" t="s">
        <v>1588</v>
      </c>
      <c r="G72" s="106">
        <v>12</v>
      </c>
      <c r="H72" s="107"/>
      <c r="I72" s="107"/>
      <c r="J72" s="107"/>
      <c r="K72" s="107"/>
      <c r="L72" s="107"/>
      <c r="M72" s="107"/>
      <c r="N72" s="107"/>
      <c r="O72" s="107"/>
      <c r="P72" s="107"/>
    </row>
    <row r="73" spans="1:16" x14ac:dyDescent="0.3">
      <c r="A73" s="58" t="str">
        <f t="shared" si="4"/>
        <v>A001140</v>
      </c>
      <c r="B73" s="59" t="str">
        <f t="shared" si="1"/>
        <v/>
      </c>
      <c r="C73" s="59" t="str">
        <f t="shared" si="2"/>
        <v/>
      </c>
      <c r="D73" s="109" t="str">
        <f t="shared" si="3"/>
        <v/>
      </c>
      <c r="E73" s="106" t="s">
        <v>109</v>
      </c>
      <c r="F73" s="58" t="s">
        <v>1589</v>
      </c>
      <c r="G73" s="106">
        <v>12</v>
      </c>
      <c r="H73" s="107"/>
      <c r="I73" s="107"/>
      <c r="J73" s="107"/>
      <c r="K73" s="107"/>
      <c r="L73" s="107"/>
      <c r="M73" s="107"/>
      <c r="N73" s="107"/>
      <c r="O73" s="107"/>
      <c r="P73" s="107"/>
    </row>
    <row r="74" spans="1:16" x14ac:dyDescent="0.3">
      <c r="A74" s="58" t="str">
        <f t="shared" si="4"/>
        <v>A001200</v>
      </c>
      <c r="B74" s="59" t="str">
        <f t="shared" si="1"/>
        <v/>
      </c>
      <c r="C74" s="59" t="str">
        <f t="shared" si="2"/>
        <v/>
      </c>
      <c r="D74" s="109" t="str">
        <f t="shared" si="3"/>
        <v/>
      </c>
      <c r="E74" s="106" t="s">
        <v>110</v>
      </c>
      <c r="F74" s="58" t="s">
        <v>1590</v>
      </c>
      <c r="G74" s="106">
        <v>3</v>
      </c>
      <c r="H74" s="107"/>
      <c r="I74" s="107"/>
      <c r="J74" s="107"/>
      <c r="K74" s="107"/>
      <c r="L74" s="107"/>
      <c r="M74" s="107"/>
      <c r="N74" s="107"/>
      <c r="O74" s="107"/>
      <c r="P74" s="107"/>
    </row>
    <row r="75" spans="1:16" x14ac:dyDescent="0.3">
      <c r="A75" s="58" t="str">
        <f t="shared" si="4"/>
        <v>A001210</v>
      </c>
      <c r="B75" s="59" t="str">
        <f t="shared" si="1"/>
        <v/>
      </c>
      <c r="C75" s="59" t="str">
        <f t="shared" si="2"/>
        <v/>
      </c>
      <c r="D75" s="109" t="str">
        <f t="shared" si="3"/>
        <v/>
      </c>
      <c r="E75" s="106" t="s">
        <v>111</v>
      </c>
      <c r="F75" s="58" t="s">
        <v>1591</v>
      </c>
      <c r="G75" s="106">
        <v>12</v>
      </c>
      <c r="H75" s="107"/>
      <c r="I75" s="107"/>
      <c r="J75" s="107"/>
      <c r="K75" s="107"/>
      <c r="L75" s="107"/>
      <c r="M75" s="107"/>
      <c r="N75" s="107"/>
      <c r="O75" s="107"/>
      <c r="P75" s="107"/>
    </row>
    <row r="76" spans="1:16" x14ac:dyDescent="0.3">
      <c r="A76" s="58" t="str">
        <f t="shared" si="4"/>
        <v>A001230</v>
      </c>
      <c r="B76" s="59" t="str">
        <f t="shared" si="1"/>
        <v/>
      </c>
      <c r="C76" s="59" t="str">
        <f t="shared" si="2"/>
        <v/>
      </c>
      <c r="D76" s="109" t="str">
        <f t="shared" si="3"/>
        <v/>
      </c>
      <c r="E76" s="106" t="s">
        <v>112</v>
      </c>
      <c r="F76" s="58" t="s">
        <v>1592</v>
      </c>
      <c r="G76" s="106">
        <v>12</v>
      </c>
      <c r="H76" s="107"/>
      <c r="I76" s="107"/>
      <c r="J76" s="107"/>
      <c r="K76" s="107"/>
      <c r="L76" s="107"/>
      <c r="M76" s="107"/>
      <c r="N76" s="107"/>
      <c r="O76" s="107"/>
      <c r="P76" s="107"/>
    </row>
    <row r="77" spans="1:16" x14ac:dyDescent="0.3">
      <c r="A77" s="58" t="str">
        <f t="shared" si="4"/>
        <v>A001250</v>
      </c>
      <c r="B77" s="59" t="str">
        <f t="shared" si="1"/>
        <v/>
      </c>
      <c r="C77" s="59" t="str">
        <f t="shared" si="2"/>
        <v/>
      </c>
      <c r="D77" s="109" t="str">
        <f t="shared" si="3"/>
        <v/>
      </c>
      <c r="E77" s="106" t="s">
        <v>113</v>
      </c>
      <c r="F77" s="58" t="s">
        <v>1593</v>
      </c>
      <c r="G77" s="106">
        <v>12</v>
      </c>
      <c r="H77" s="107"/>
      <c r="I77" s="107"/>
      <c r="J77" s="107"/>
      <c r="K77" s="107"/>
      <c r="L77" s="107"/>
      <c r="M77" s="107"/>
      <c r="N77" s="107"/>
      <c r="O77" s="107"/>
      <c r="P77" s="107"/>
    </row>
    <row r="78" spans="1:16" x14ac:dyDescent="0.3">
      <c r="A78" s="58" t="str">
        <f t="shared" si="4"/>
        <v>A001260</v>
      </c>
      <c r="B78" s="59" t="str">
        <f t="shared" si="1"/>
        <v/>
      </c>
      <c r="C78" s="59" t="str">
        <f t="shared" si="2"/>
        <v/>
      </c>
      <c r="D78" s="109" t="str">
        <f t="shared" si="3"/>
        <v/>
      </c>
      <c r="E78" s="106" t="s">
        <v>114</v>
      </c>
      <c r="F78" s="58" t="s">
        <v>1594</v>
      </c>
      <c r="G78" s="106">
        <v>12</v>
      </c>
      <c r="H78" s="107"/>
      <c r="I78" s="107"/>
      <c r="J78" s="107"/>
      <c r="K78" s="107"/>
      <c r="L78" s="107"/>
      <c r="M78" s="107"/>
      <c r="N78" s="107"/>
      <c r="O78" s="107"/>
      <c r="P78" s="107"/>
    </row>
    <row r="79" spans="1:16" x14ac:dyDescent="0.3">
      <c r="A79" s="58" t="str">
        <f t="shared" si="4"/>
        <v>A001270</v>
      </c>
      <c r="B79" s="59" t="str">
        <f t="shared" ref="B79:B142" si="5">IFERROR(IF(ISNUMBER(H79),DATE(LEFT(H79,4),MID(H79,5,2),RIGHT(H79,2)),NA()),"")</f>
        <v/>
      </c>
      <c r="C79" s="59" t="str">
        <f t="shared" ref="C79:C142" si="6">IFERROR(IF(ISNUMBER(I79),DATE(LEFT(I79,4),MID(I79,5,2),RIGHT(I79,2)),NA()),"")</f>
        <v/>
      </c>
      <c r="D79" s="109" t="str">
        <f t="shared" ref="D79:D142" si="7">IFERROR(IF(ISNUMBER(J79),J79,NA()),"")</f>
        <v/>
      </c>
      <c r="E79" s="106" t="s">
        <v>115</v>
      </c>
      <c r="F79" s="58" t="s">
        <v>1595</v>
      </c>
      <c r="G79" s="106">
        <v>3</v>
      </c>
      <c r="H79" s="107"/>
      <c r="I79" s="107"/>
      <c r="J79" s="107"/>
      <c r="K79" s="107"/>
      <c r="L79" s="107"/>
      <c r="M79" s="107"/>
      <c r="N79" s="107"/>
      <c r="O79" s="107"/>
      <c r="P79" s="107"/>
    </row>
    <row r="80" spans="1:16" x14ac:dyDescent="0.3">
      <c r="A80" s="58" t="str">
        <f t="shared" si="4"/>
        <v>A001290</v>
      </c>
      <c r="B80" s="59" t="str">
        <f t="shared" si="5"/>
        <v/>
      </c>
      <c r="C80" s="59" t="str">
        <f t="shared" si="6"/>
        <v/>
      </c>
      <c r="D80" s="109" t="str">
        <f t="shared" si="7"/>
        <v/>
      </c>
      <c r="E80" s="106" t="s">
        <v>116</v>
      </c>
      <c r="F80" s="58" t="s">
        <v>1596</v>
      </c>
      <c r="G80" s="106">
        <v>3</v>
      </c>
      <c r="H80" s="107"/>
      <c r="I80" s="107"/>
      <c r="J80" s="107"/>
      <c r="K80" s="107"/>
      <c r="L80" s="107"/>
      <c r="M80" s="107"/>
      <c r="N80" s="107"/>
      <c r="O80" s="107"/>
      <c r="P80" s="107"/>
    </row>
    <row r="81" spans="1:16" x14ac:dyDescent="0.3">
      <c r="A81" s="58" t="str">
        <f t="shared" si="4"/>
        <v>A001300</v>
      </c>
      <c r="B81" s="59">
        <f t="shared" si="5"/>
        <v>41485</v>
      </c>
      <c r="C81" s="59">
        <f t="shared" si="6"/>
        <v>41485</v>
      </c>
      <c r="D81" s="109">
        <f t="shared" si="7"/>
        <v>72.73</v>
      </c>
      <c r="E81" s="106" t="s">
        <v>117</v>
      </c>
      <c r="F81" s="58" t="s">
        <v>1597</v>
      </c>
      <c r="G81" s="106">
        <v>12</v>
      </c>
      <c r="H81" s="107">
        <v>20130730</v>
      </c>
      <c r="I81" s="107">
        <v>20130730</v>
      </c>
      <c r="J81" s="107">
        <v>72.73</v>
      </c>
      <c r="K81" s="107"/>
      <c r="L81" s="107"/>
      <c r="M81" s="107"/>
      <c r="N81" s="107"/>
      <c r="O81" s="107"/>
      <c r="P81" s="107"/>
    </row>
    <row r="82" spans="1:16" x14ac:dyDescent="0.3">
      <c r="A82" s="58" t="str">
        <f t="shared" si="4"/>
        <v>A001340</v>
      </c>
      <c r="B82" s="59" t="str">
        <f t="shared" si="5"/>
        <v/>
      </c>
      <c r="C82" s="59" t="str">
        <f t="shared" si="6"/>
        <v/>
      </c>
      <c r="D82" s="109" t="str">
        <f t="shared" si="7"/>
        <v/>
      </c>
      <c r="E82" s="106" t="s">
        <v>118</v>
      </c>
      <c r="F82" s="58" t="s">
        <v>1598</v>
      </c>
      <c r="G82" s="106">
        <v>12</v>
      </c>
      <c r="H82" s="107"/>
      <c r="I82" s="107"/>
      <c r="J82" s="107"/>
      <c r="K82" s="107"/>
      <c r="L82" s="107"/>
      <c r="M82" s="107"/>
      <c r="N82" s="107"/>
      <c r="O82" s="107"/>
      <c r="P82" s="107"/>
    </row>
    <row r="83" spans="1:16" x14ac:dyDescent="0.3">
      <c r="A83" s="58" t="str">
        <f t="shared" si="4"/>
        <v>A001360</v>
      </c>
      <c r="B83" s="59" t="str">
        <f t="shared" si="5"/>
        <v/>
      </c>
      <c r="C83" s="59" t="str">
        <f t="shared" si="6"/>
        <v/>
      </c>
      <c r="D83" s="109" t="str">
        <f t="shared" si="7"/>
        <v/>
      </c>
      <c r="E83" s="106" t="s">
        <v>119</v>
      </c>
      <c r="F83" s="58" t="s">
        <v>1599</v>
      </c>
      <c r="G83" s="106">
        <v>12</v>
      </c>
      <c r="H83" s="107"/>
      <c r="I83" s="107"/>
      <c r="J83" s="107"/>
      <c r="K83" s="107"/>
      <c r="L83" s="107"/>
      <c r="M83" s="107"/>
      <c r="N83" s="107"/>
      <c r="O83" s="107"/>
      <c r="P83" s="107"/>
    </row>
    <row r="84" spans="1:16" x14ac:dyDescent="0.3">
      <c r="A84" s="58" t="str">
        <f t="shared" si="4"/>
        <v>A001380</v>
      </c>
      <c r="B84" s="59" t="str">
        <f t="shared" si="5"/>
        <v/>
      </c>
      <c r="C84" s="59" t="str">
        <f t="shared" si="6"/>
        <v/>
      </c>
      <c r="D84" s="109" t="str">
        <f t="shared" si="7"/>
        <v/>
      </c>
      <c r="E84" s="106" t="s">
        <v>120</v>
      </c>
      <c r="F84" s="58" t="s">
        <v>1600</v>
      </c>
      <c r="G84" s="106">
        <v>12</v>
      </c>
      <c r="H84" s="107"/>
      <c r="I84" s="107"/>
      <c r="J84" s="107"/>
      <c r="K84" s="107"/>
      <c r="L84" s="107"/>
      <c r="M84" s="107"/>
      <c r="N84" s="107"/>
      <c r="O84" s="107"/>
      <c r="P84" s="107"/>
    </row>
    <row r="85" spans="1:16" x14ac:dyDescent="0.3">
      <c r="A85" s="58" t="str">
        <f t="shared" si="4"/>
        <v>A001390</v>
      </c>
      <c r="B85" s="59" t="str">
        <f t="shared" si="5"/>
        <v/>
      </c>
      <c r="C85" s="59" t="str">
        <f t="shared" si="6"/>
        <v/>
      </c>
      <c r="D85" s="109" t="str">
        <f t="shared" si="7"/>
        <v/>
      </c>
      <c r="E85" s="106" t="s">
        <v>121</v>
      </c>
      <c r="F85" s="58" t="s">
        <v>1601</v>
      </c>
      <c r="G85" s="106">
        <v>12</v>
      </c>
      <c r="H85" s="107"/>
      <c r="I85" s="107"/>
      <c r="J85" s="107"/>
      <c r="K85" s="107"/>
      <c r="L85" s="107"/>
      <c r="M85" s="107"/>
      <c r="N85" s="107"/>
      <c r="O85" s="107"/>
      <c r="P85" s="107"/>
    </row>
    <row r="86" spans="1:16" x14ac:dyDescent="0.3">
      <c r="A86" s="58" t="str">
        <f t="shared" ref="A86:A149" si="8">E86</f>
        <v>A001420</v>
      </c>
      <c r="B86" s="59" t="str">
        <f t="shared" si="5"/>
        <v/>
      </c>
      <c r="C86" s="59" t="str">
        <f t="shared" si="6"/>
        <v/>
      </c>
      <c r="D86" s="109" t="str">
        <f t="shared" si="7"/>
        <v/>
      </c>
      <c r="E86" s="106" t="s">
        <v>122</v>
      </c>
      <c r="F86" s="58" t="s">
        <v>1602</v>
      </c>
      <c r="G86" s="106">
        <v>12</v>
      </c>
      <c r="H86" s="107"/>
      <c r="I86" s="107"/>
      <c r="J86" s="107"/>
      <c r="K86" s="107"/>
      <c r="L86" s="107"/>
      <c r="M86" s="107"/>
      <c r="N86" s="107"/>
      <c r="O86" s="107"/>
      <c r="P86" s="107"/>
    </row>
    <row r="87" spans="1:16" x14ac:dyDescent="0.3">
      <c r="A87" s="58" t="str">
        <f t="shared" si="8"/>
        <v>A001430</v>
      </c>
      <c r="B87" s="59" t="str">
        <f t="shared" si="5"/>
        <v/>
      </c>
      <c r="C87" s="59" t="str">
        <f t="shared" si="6"/>
        <v/>
      </c>
      <c r="D87" s="109" t="str">
        <f t="shared" si="7"/>
        <v/>
      </c>
      <c r="E87" s="106" t="s">
        <v>123</v>
      </c>
      <c r="F87" s="58" t="s">
        <v>1603</v>
      </c>
      <c r="G87" s="106">
        <v>12</v>
      </c>
      <c r="H87" s="107"/>
      <c r="I87" s="107"/>
      <c r="J87" s="107"/>
      <c r="K87" s="107"/>
      <c r="L87" s="107"/>
      <c r="M87" s="107"/>
      <c r="N87" s="107"/>
      <c r="O87" s="107"/>
      <c r="P87" s="107"/>
    </row>
    <row r="88" spans="1:16" x14ac:dyDescent="0.3">
      <c r="A88" s="58" t="str">
        <f t="shared" si="8"/>
        <v>A001440</v>
      </c>
      <c r="B88" s="59" t="str">
        <f t="shared" si="5"/>
        <v/>
      </c>
      <c r="C88" s="59" t="str">
        <f t="shared" si="6"/>
        <v/>
      </c>
      <c r="D88" s="109" t="str">
        <f t="shared" si="7"/>
        <v/>
      </c>
      <c r="E88" s="106" t="s">
        <v>124</v>
      </c>
      <c r="F88" s="58" t="s">
        <v>1604</v>
      </c>
      <c r="G88" s="106">
        <v>12</v>
      </c>
      <c r="H88" s="107"/>
      <c r="I88" s="107"/>
      <c r="J88" s="107"/>
      <c r="K88" s="107"/>
      <c r="L88" s="107"/>
      <c r="M88" s="107"/>
      <c r="N88" s="107"/>
      <c r="O88" s="107"/>
      <c r="P88" s="107"/>
    </row>
    <row r="89" spans="1:16" x14ac:dyDescent="0.3">
      <c r="A89" s="58" t="str">
        <f t="shared" si="8"/>
        <v>A001450</v>
      </c>
      <c r="B89" s="59" t="str">
        <f t="shared" si="5"/>
        <v/>
      </c>
      <c r="C89" s="59" t="str">
        <f t="shared" si="6"/>
        <v/>
      </c>
      <c r="D89" s="109" t="str">
        <f t="shared" si="7"/>
        <v/>
      </c>
      <c r="E89" s="106" t="s">
        <v>125</v>
      </c>
      <c r="F89" s="58" t="s">
        <v>1605</v>
      </c>
      <c r="G89" s="106">
        <v>3</v>
      </c>
      <c r="H89" s="107"/>
      <c r="I89" s="107"/>
      <c r="J89" s="107"/>
      <c r="K89" s="107"/>
      <c r="L89" s="107"/>
      <c r="M89" s="107"/>
      <c r="N89" s="107"/>
      <c r="O89" s="107"/>
      <c r="P89" s="107"/>
    </row>
    <row r="90" spans="1:16" x14ac:dyDescent="0.3">
      <c r="A90" s="58" t="str">
        <f t="shared" si="8"/>
        <v>A001460</v>
      </c>
      <c r="B90" s="59" t="str">
        <f t="shared" si="5"/>
        <v/>
      </c>
      <c r="C90" s="59" t="str">
        <f t="shared" si="6"/>
        <v/>
      </c>
      <c r="D90" s="109" t="str">
        <f t="shared" si="7"/>
        <v/>
      </c>
      <c r="E90" s="106" t="s">
        <v>126</v>
      </c>
      <c r="F90" s="58" t="s">
        <v>1606</v>
      </c>
      <c r="G90" s="106">
        <v>12</v>
      </c>
      <c r="H90" s="107"/>
      <c r="I90" s="107"/>
      <c r="J90" s="107"/>
      <c r="K90" s="107"/>
      <c r="L90" s="107"/>
      <c r="M90" s="107"/>
      <c r="N90" s="107"/>
      <c r="O90" s="107"/>
      <c r="P90" s="107"/>
    </row>
    <row r="91" spans="1:16" x14ac:dyDescent="0.3">
      <c r="A91" s="58" t="str">
        <f t="shared" si="8"/>
        <v>A001470</v>
      </c>
      <c r="B91" s="59" t="str">
        <f t="shared" si="5"/>
        <v/>
      </c>
      <c r="C91" s="59" t="str">
        <f t="shared" si="6"/>
        <v/>
      </c>
      <c r="D91" s="109" t="str">
        <f t="shared" si="7"/>
        <v/>
      </c>
      <c r="E91" s="106" t="s">
        <v>127</v>
      </c>
      <c r="F91" s="58" t="s">
        <v>1607</v>
      </c>
      <c r="G91" s="106">
        <v>12</v>
      </c>
      <c r="H91" s="107"/>
      <c r="I91" s="107"/>
      <c r="J91" s="107"/>
      <c r="K91" s="107"/>
      <c r="L91" s="107"/>
      <c r="M91" s="107"/>
      <c r="N91" s="107"/>
      <c r="O91" s="107"/>
      <c r="P91" s="107"/>
    </row>
    <row r="92" spans="1:16" x14ac:dyDescent="0.3">
      <c r="A92" s="58" t="str">
        <f t="shared" si="8"/>
        <v>A001500</v>
      </c>
      <c r="B92" s="59">
        <f t="shared" si="5"/>
        <v>41480</v>
      </c>
      <c r="C92" s="59">
        <f t="shared" si="6"/>
        <v>41480</v>
      </c>
      <c r="D92" s="109">
        <f t="shared" si="7"/>
        <v>0.12</v>
      </c>
      <c r="E92" s="106" t="s">
        <v>128</v>
      </c>
      <c r="F92" s="58" t="s">
        <v>1608</v>
      </c>
      <c r="G92" s="106">
        <v>3</v>
      </c>
      <c r="H92" s="107">
        <v>20130725</v>
      </c>
      <c r="I92" s="107">
        <v>20130725</v>
      </c>
      <c r="J92" s="107">
        <v>0.12</v>
      </c>
      <c r="K92" s="107"/>
      <c r="L92" s="107"/>
      <c r="M92" s="107"/>
      <c r="N92" s="107"/>
      <c r="O92" s="107"/>
      <c r="P92" s="107"/>
    </row>
    <row r="93" spans="1:16" x14ac:dyDescent="0.3">
      <c r="A93" s="58" t="str">
        <f t="shared" si="8"/>
        <v>A001510</v>
      </c>
      <c r="B93" s="59" t="str">
        <f t="shared" si="5"/>
        <v/>
      </c>
      <c r="C93" s="59" t="str">
        <f t="shared" si="6"/>
        <v/>
      </c>
      <c r="D93" s="109" t="str">
        <f t="shared" si="7"/>
        <v/>
      </c>
      <c r="E93" s="106" t="s">
        <v>129</v>
      </c>
      <c r="F93" s="58" t="s">
        <v>18</v>
      </c>
      <c r="G93" s="106">
        <v>3</v>
      </c>
      <c r="H93" s="107"/>
      <c r="I93" s="107"/>
      <c r="J93" s="107"/>
      <c r="K93" s="107"/>
      <c r="L93" s="107"/>
      <c r="M93" s="107"/>
      <c r="N93" s="107"/>
      <c r="O93" s="107"/>
      <c r="P93" s="107"/>
    </row>
    <row r="94" spans="1:16" x14ac:dyDescent="0.3">
      <c r="A94" s="58" t="str">
        <f t="shared" si="8"/>
        <v>A001520</v>
      </c>
      <c r="B94" s="59" t="str">
        <f t="shared" si="5"/>
        <v/>
      </c>
      <c r="C94" s="59" t="str">
        <f t="shared" si="6"/>
        <v/>
      </c>
      <c r="D94" s="109" t="str">
        <f t="shared" si="7"/>
        <v/>
      </c>
      <c r="E94" s="106" t="s">
        <v>130</v>
      </c>
      <c r="F94" s="58" t="s">
        <v>1609</v>
      </c>
      <c r="G94" s="106">
        <v>12</v>
      </c>
      <c r="H94" s="107"/>
      <c r="I94" s="107"/>
      <c r="J94" s="107"/>
      <c r="K94" s="107"/>
      <c r="L94" s="107"/>
      <c r="M94" s="107"/>
      <c r="N94" s="107"/>
      <c r="O94" s="107"/>
      <c r="P94" s="107"/>
    </row>
    <row r="95" spans="1:16" x14ac:dyDescent="0.3">
      <c r="A95" s="58" t="str">
        <f t="shared" si="8"/>
        <v>A001530</v>
      </c>
      <c r="B95" s="59" t="str">
        <f t="shared" si="5"/>
        <v/>
      </c>
      <c r="C95" s="59" t="str">
        <f t="shared" si="6"/>
        <v/>
      </c>
      <c r="D95" s="109" t="str">
        <f t="shared" si="7"/>
        <v/>
      </c>
      <c r="E95" s="106" t="s">
        <v>131</v>
      </c>
      <c r="F95" s="58" t="s">
        <v>1610</v>
      </c>
      <c r="G95" s="106">
        <v>12</v>
      </c>
      <c r="H95" s="107"/>
      <c r="I95" s="107"/>
      <c r="J95" s="107"/>
      <c r="K95" s="107"/>
      <c r="L95" s="107"/>
      <c r="M95" s="107"/>
      <c r="N95" s="107"/>
      <c r="O95" s="107"/>
      <c r="P95" s="107"/>
    </row>
    <row r="96" spans="1:16" x14ac:dyDescent="0.3">
      <c r="A96" s="58" t="str">
        <f t="shared" si="8"/>
        <v>A001540</v>
      </c>
      <c r="B96" s="59" t="str">
        <f t="shared" si="5"/>
        <v/>
      </c>
      <c r="C96" s="59" t="str">
        <f t="shared" si="6"/>
        <v/>
      </c>
      <c r="D96" s="109" t="str">
        <f t="shared" si="7"/>
        <v/>
      </c>
      <c r="E96" s="106" t="s">
        <v>132</v>
      </c>
      <c r="F96" s="58" t="s">
        <v>1611</v>
      </c>
      <c r="G96" s="106">
        <v>12</v>
      </c>
      <c r="H96" s="107"/>
      <c r="I96" s="107"/>
      <c r="J96" s="107"/>
      <c r="K96" s="107"/>
      <c r="L96" s="107"/>
      <c r="M96" s="107"/>
      <c r="N96" s="107"/>
      <c r="O96" s="107"/>
      <c r="P96" s="107"/>
    </row>
    <row r="97" spans="1:16" x14ac:dyDescent="0.3">
      <c r="A97" s="58" t="str">
        <f t="shared" si="8"/>
        <v>A001550</v>
      </c>
      <c r="B97" s="59" t="str">
        <f t="shared" si="5"/>
        <v/>
      </c>
      <c r="C97" s="59" t="str">
        <f t="shared" si="6"/>
        <v/>
      </c>
      <c r="D97" s="109" t="str">
        <f t="shared" si="7"/>
        <v/>
      </c>
      <c r="E97" s="106" t="s">
        <v>133</v>
      </c>
      <c r="F97" s="58" t="s">
        <v>1612</v>
      </c>
      <c r="G97" s="106">
        <v>12</v>
      </c>
      <c r="H97" s="107"/>
      <c r="I97" s="107"/>
      <c r="J97" s="107"/>
      <c r="K97" s="107"/>
      <c r="L97" s="107"/>
      <c r="M97" s="107"/>
      <c r="N97" s="107"/>
      <c r="O97" s="107"/>
      <c r="P97" s="107"/>
    </row>
    <row r="98" spans="1:16" x14ac:dyDescent="0.3">
      <c r="A98" s="58" t="str">
        <f t="shared" si="8"/>
        <v>A001560</v>
      </c>
      <c r="B98" s="59" t="str">
        <f t="shared" si="5"/>
        <v/>
      </c>
      <c r="C98" s="59" t="str">
        <f t="shared" si="6"/>
        <v/>
      </c>
      <c r="D98" s="109" t="str">
        <f t="shared" si="7"/>
        <v/>
      </c>
      <c r="E98" s="106" t="s">
        <v>134</v>
      </c>
      <c r="F98" s="58" t="s">
        <v>1613</v>
      </c>
      <c r="G98" s="106">
        <v>12</v>
      </c>
      <c r="H98" s="107"/>
      <c r="I98" s="107"/>
      <c r="J98" s="107"/>
      <c r="K98" s="107"/>
      <c r="L98" s="107"/>
      <c r="M98" s="107"/>
      <c r="N98" s="107"/>
      <c r="O98" s="107"/>
      <c r="P98" s="107"/>
    </row>
    <row r="99" spans="1:16" x14ac:dyDescent="0.3">
      <c r="A99" s="58" t="str">
        <f t="shared" si="8"/>
        <v>A001570</v>
      </c>
      <c r="B99" s="59" t="str">
        <f t="shared" si="5"/>
        <v/>
      </c>
      <c r="C99" s="59" t="str">
        <f t="shared" si="6"/>
        <v/>
      </c>
      <c r="D99" s="109" t="str">
        <f t="shared" si="7"/>
        <v/>
      </c>
      <c r="E99" s="106" t="s">
        <v>135</v>
      </c>
      <c r="F99" s="58" t="s">
        <v>1614</v>
      </c>
      <c r="G99" s="106">
        <v>12</v>
      </c>
      <c r="H99" s="107"/>
      <c r="I99" s="107"/>
      <c r="J99" s="107"/>
      <c r="K99" s="107"/>
      <c r="L99" s="107"/>
      <c r="M99" s="107"/>
      <c r="N99" s="107"/>
      <c r="O99" s="107"/>
      <c r="P99" s="107"/>
    </row>
    <row r="100" spans="1:16" x14ac:dyDescent="0.3">
      <c r="A100" s="58" t="str">
        <f t="shared" si="8"/>
        <v>A001620</v>
      </c>
      <c r="B100" s="59" t="str">
        <f t="shared" si="5"/>
        <v/>
      </c>
      <c r="C100" s="59" t="str">
        <f t="shared" si="6"/>
        <v/>
      </c>
      <c r="D100" s="109" t="str">
        <f t="shared" si="7"/>
        <v/>
      </c>
      <c r="E100" s="106" t="s">
        <v>136</v>
      </c>
      <c r="F100" s="58" t="s">
        <v>1615</v>
      </c>
      <c r="G100" s="106">
        <v>12</v>
      </c>
      <c r="H100" s="107"/>
      <c r="I100" s="107"/>
      <c r="J100" s="107"/>
      <c r="K100" s="107"/>
      <c r="L100" s="107"/>
      <c r="M100" s="107"/>
      <c r="N100" s="107"/>
      <c r="O100" s="107"/>
      <c r="P100" s="107"/>
    </row>
    <row r="101" spans="1:16" x14ac:dyDescent="0.3">
      <c r="A101" s="58" t="str">
        <f t="shared" si="8"/>
        <v>A001630</v>
      </c>
      <c r="B101" s="59" t="str">
        <f t="shared" si="5"/>
        <v/>
      </c>
      <c r="C101" s="59" t="str">
        <f t="shared" si="6"/>
        <v/>
      </c>
      <c r="D101" s="109" t="str">
        <f t="shared" si="7"/>
        <v/>
      </c>
      <c r="E101" s="106" t="s">
        <v>137</v>
      </c>
      <c r="F101" s="58" t="s">
        <v>1616</v>
      </c>
      <c r="G101" s="106">
        <v>12</v>
      </c>
      <c r="H101" s="107"/>
      <c r="I101" s="107"/>
      <c r="J101" s="107"/>
      <c r="K101" s="107"/>
      <c r="L101" s="107"/>
      <c r="M101" s="107"/>
      <c r="N101" s="107"/>
      <c r="O101" s="107"/>
      <c r="P101" s="107"/>
    </row>
    <row r="102" spans="1:16" x14ac:dyDescent="0.3">
      <c r="A102" s="58" t="str">
        <f t="shared" si="8"/>
        <v>A001680</v>
      </c>
      <c r="B102" s="59" t="str">
        <f t="shared" si="5"/>
        <v/>
      </c>
      <c r="C102" s="59" t="str">
        <f t="shared" si="6"/>
        <v/>
      </c>
      <c r="D102" s="109" t="str">
        <f t="shared" si="7"/>
        <v/>
      </c>
      <c r="E102" s="106" t="s">
        <v>138</v>
      </c>
      <c r="F102" s="58" t="s">
        <v>1617</v>
      </c>
      <c r="G102" s="106">
        <v>12</v>
      </c>
      <c r="H102" s="107"/>
      <c r="I102" s="107"/>
      <c r="J102" s="107"/>
      <c r="K102" s="107"/>
      <c r="L102" s="107"/>
      <c r="M102" s="107"/>
      <c r="N102" s="107"/>
      <c r="O102" s="107"/>
      <c r="P102" s="107"/>
    </row>
    <row r="103" spans="1:16" x14ac:dyDescent="0.3">
      <c r="A103" s="58" t="str">
        <f t="shared" si="8"/>
        <v>A001720</v>
      </c>
      <c r="B103" s="59" t="str">
        <f t="shared" si="5"/>
        <v/>
      </c>
      <c r="C103" s="59" t="str">
        <f t="shared" si="6"/>
        <v/>
      </c>
      <c r="D103" s="109" t="str">
        <f t="shared" si="7"/>
        <v/>
      </c>
      <c r="E103" s="106" t="s">
        <v>139</v>
      </c>
      <c r="F103" s="58" t="s">
        <v>19</v>
      </c>
      <c r="G103" s="106">
        <v>3</v>
      </c>
      <c r="H103" s="107"/>
      <c r="I103" s="107"/>
      <c r="J103" s="107"/>
      <c r="K103" s="107"/>
      <c r="L103" s="107"/>
      <c r="M103" s="107"/>
      <c r="N103" s="107"/>
      <c r="O103" s="107"/>
      <c r="P103" s="107"/>
    </row>
    <row r="104" spans="1:16" x14ac:dyDescent="0.3">
      <c r="A104" s="58" t="str">
        <f t="shared" si="8"/>
        <v>A001740</v>
      </c>
      <c r="B104" s="59" t="str">
        <f t="shared" si="5"/>
        <v/>
      </c>
      <c r="C104" s="59" t="str">
        <f t="shared" si="6"/>
        <v/>
      </c>
      <c r="D104" s="109" t="str">
        <f t="shared" si="7"/>
        <v/>
      </c>
      <c r="E104" s="106" t="s">
        <v>140</v>
      </c>
      <c r="F104" s="58" t="s">
        <v>1618</v>
      </c>
      <c r="G104" s="106">
        <v>12</v>
      </c>
      <c r="H104" s="107"/>
      <c r="I104" s="107"/>
      <c r="J104" s="107"/>
      <c r="K104" s="107"/>
      <c r="L104" s="107"/>
      <c r="M104" s="107"/>
      <c r="N104" s="107"/>
      <c r="O104" s="107"/>
      <c r="P104" s="107"/>
    </row>
    <row r="105" spans="1:16" x14ac:dyDescent="0.3">
      <c r="A105" s="58" t="str">
        <f t="shared" si="8"/>
        <v>A001750</v>
      </c>
      <c r="B105" s="59" t="str">
        <f t="shared" si="5"/>
        <v/>
      </c>
      <c r="C105" s="59" t="str">
        <f t="shared" si="6"/>
        <v/>
      </c>
      <c r="D105" s="109" t="str">
        <f t="shared" si="7"/>
        <v/>
      </c>
      <c r="E105" s="106" t="s">
        <v>141</v>
      </c>
      <c r="F105" s="58" t="s">
        <v>1619</v>
      </c>
      <c r="G105" s="106">
        <v>3</v>
      </c>
      <c r="H105" s="107"/>
      <c r="I105" s="107"/>
      <c r="J105" s="107"/>
      <c r="K105" s="107"/>
      <c r="L105" s="107"/>
      <c r="M105" s="107"/>
      <c r="N105" s="107"/>
      <c r="O105" s="107"/>
      <c r="P105" s="107"/>
    </row>
    <row r="106" spans="1:16" x14ac:dyDescent="0.3">
      <c r="A106" s="58" t="str">
        <f t="shared" si="8"/>
        <v>A001770</v>
      </c>
      <c r="B106" s="59" t="str">
        <f t="shared" si="5"/>
        <v/>
      </c>
      <c r="C106" s="59" t="str">
        <f t="shared" si="6"/>
        <v/>
      </c>
      <c r="D106" s="109" t="str">
        <f t="shared" si="7"/>
        <v/>
      </c>
      <c r="E106" s="106" t="s">
        <v>142</v>
      </c>
      <c r="F106" s="58" t="s">
        <v>1620</v>
      </c>
      <c r="G106" s="106">
        <v>12</v>
      </c>
      <c r="H106" s="107"/>
      <c r="I106" s="107"/>
      <c r="J106" s="107"/>
      <c r="K106" s="107"/>
      <c r="L106" s="107"/>
      <c r="M106" s="107"/>
      <c r="N106" s="107"/>
      <c r="O106" s="107"/>
      <c r="P106" s="107"/>
    </row>
    <row r="107" spans="1:16" x14ac:dyDescent="0.3">
      <c r="A107" s="58" t="str">
        <f t="shared" si="8"/>
        <v>A001780</v>
      </c>
      <c r="B107" s="59" t="str">
        <f t="shared" si="5"/>
        <v/>
      </c>
      <c r="C107" s="59" t="str">
        <f t="shared" si="6"/>
        <v/>
      </c>
      <c r="D107" s="109" t="str">
        <f t="shared" si="7"/>
        <v/>
      </c>
      <c r="E107" s="106" t="s">
        <v>143</v>
      </c>
      <c r="F107" s="58" t="s">
        <v>1621</v>
      </c>
      <c r="G107" s="106">
        <v>12</v>
      </c>
      <c r="H107" s="107"/>
      <c r="I107" s="107"/>
      <c r="J107" s="107"/>
      <c r="K107" s="107"/>
      <c r="L107" s="107"/>
      <c r="M107" s="107"/>
      <c r="N107" s="107"/>
      <c r="O107" s="107"/>
      <c r="P107" s="107"/>
    </row>
    <row r="108" spans="1:16" x14ac:dyDescent="0.3">
      <c r="A108" s="58" t="str">
        <f t="shared" si="8"/>
        <v>A001790</v>
      </c>
      <c r="B108" s="59" t="str">
        <f t="shared" si="5"/>
        <v/>
      </c>
      <c r="C108" s="59" t="str">
        <f t="shared" si="6"/>
        <v/>
      </c>
      <c r="D108" s="109" t="str">
        <f t="shared" si="7"/>
        <v/>
      </c>
      <c r="E108" s="106" t="s">
        <v>144</v>
      </c>
      <c r="F108" s="58" t="s">
        <v>1622</v>
      </c>
      <c r="G108" s="106">
        <v>12</v>
      </c>
      <c r="H108" s="107"/>
      <c r="I108" s="107"/>
      <c r="J108" s="107"/>
      <c r="K108" s="107"/>
      <c r="L108" s="107"/>
      <c r="M108" s="107"/>
      <c r="N108" s="107"/>
      <c r="O108" s="107"/>
      <c r="P108" s="107"/>
    </row>
    <row r="109" spans="1:16" x14ac:dyDescent="0.3">
      <c r="A109" s="58" t="str">
        <f t="shared" si="8"/>
        <v>A001800</v>
      </c>
      <c r="B109" s="59">
        <f t="shared" si="5"/>
        <v>41500</v>
      </c>
      <c r="C109" s="59" t="str">
        <f t="shared" si="6"/>
        <v/>
      </c>
      <c r="D109" s="109" t="str">
        <f t="shared" si="7"/>
        <v/>
      </c>
      <c r="E109" s="106" t="s">
        <v>145</v>
      </c>
      <c r="F109" s="58" t="s">
        <v>1623</v>
      </c>
      <c r="G109" s="106">
        <v>12</v>
      </c>
      <c r="H109" s="107">
        <v>20130814</v>
      </c>
      <c r="I109" s="107"/>
      <c r="J109" s="107"/>
      <c r="K109" s="107"/>
      <c r="L109" s="107"/>
      <c r="M109" s="107"/>
      <c r="N109" s="107"/>
      <c r="O109" s="107"/>
      <c r="P109" s="107"/>
    </row>
    <row r="110" spans="1:16" x14ac:dyDescent="0.3">
      <c r="A110" s="58" t="str">
        <f t="shared" si="8"/>
        <v>A001810</v>
      </c>
      <c r="B110" s="59" t="str">
        <f t="shared" si="5"/>
        <v/>
      </c>
      <c r="C110" s="59" t="str">
        <f t="shared" si="6"/>
        <v/>
      </c>
      <c r="D110" s="109" t="str">
        <f t="shared" si="7"/>
        <v/>
      </c>
      <c r="E110" s="106" t="s">
        <v>146</v>
      </c>
      <c r="F110" s="58" t="s">
        <v>1624</v>
      </c>
      <c r="G110" s="106">
        <v>12</v>
      </c>
      <c r="H110" s="107"/>
      <c r="I110" s="107"/>
      <c r="J110" s="107"/>
      <c r="K110" s="107"/>
      <c r="L110" s="107"/>
      <c r="M110" s="107"/>
      <c r="N110" s="107"/>
      <c r="O110" s="107"/>
      <c r="P110" s="107"/>
    </row>
    <row r="111" spans="1:16" x14ac:dyDescent="0.3">
      <c r="A111" s="58" t="str">
        <f t="shared" si="8"/>
        <v>A001820</v>
      </c>
      <c r="B111" s="59" t="str">
        <f t="shared" si="5"/>
        <v/>
      </c>
      <c r="C111" s="59" t="str">
        <f t="shared" si="6"/>
        <v/>
      </c>
      <c r="D111" s="109" t="str">
        <f t="shared" si="7"/>
        <v/>
      </c>
      <c r="E111" s="106" t="s">
        <v>147</v>
      </c>
      <c r="F111" s="58" t="s">
        <v>1625</v>
      </c>
      <c r="G111" s="106">
        <v>12</v>
      </c>
      <c r="H111" s="107"/>
      <c r="I111" s="107"/>
      <c r="J111" s="107"/>
      <c r="K111" s="107"/>
      <c r="L111" s="107"/>
      <c r="M111" s="107"/>
      <c r="N111" s="107"/>
      <c r="O111" s="107"/>
      <c r="P111" s="107"/>
    </row>
    <row r="112" spans="1:16" x14ac:dyDescent="0.3">
      <c r="A112" s="58" t="str">
        <f t="shared" si="8"/>
        <v>A001840</v>
      </c>
      <c r="B112" s="59" t="str">
        <f t="shared" si="5"/>
        <v/>
      </c>
      <c r="C112" s="59" t="str">
        <f t="shared" si="6"/>
        <v/>
      </c>
      <c r="D112" s="109" t="str">
        <f t="shared" si="7"/>
        <v/>
      </c>
      <c r="E112" s="106" t="s">
        <v>148</v>
      </c>
      <c r="F112" s="58" t="s">
        <v>1626</v>
      </c>
      <c r="G112" s="106">
        <v>12</v>
      </c>
      <c r="H112" s="107"/>
      <c r="I112" s="107"/>
      <c r="J112" s="107"/>
      <c r="K112" s="107"/>
      <c r="L112" s="107"/>
      <c r="M112" s="107"/>
      <c r="N112" s="107"/>
      <c r="O112" s="107"/>
      <c r="P112" s="107"/>
    </row>
    <row r="113" spans="1:16" x14ac:dyDescent="0.3">
      <c r="A113" s="58" t="str">
        <f t="shared" si="8"/>
        <v>A001880</v>
      </c>
      <c r="B113" s="59" t="str">
        <f t="shared" si="5"/>
        <v/>
      </c>
      <c r="C113" s="59" t="str">
        <f t="shared" si="6"/>
        <v/>
      </c>
      <c r="D113" s="109" t="str">
        <f t="shared" si="7"/>
        <v/>
      </c>
      <c r="E113" s="106" t="s">
        <v>149</v>
      </c>
      <c r="F113" s="58" t="s">
        <v>1627</v>
      </c>
      <c r="G113" s="106">
        <v>12</v>
      </c>
      <c r="H113" s="107"/>
      <c r="I113" s="107"/>
      <c r="J113" s="107"/>
      <c r="K113" s="107"/>
      <c r="L113" s="107"/>
      <c r="M113" s="107"/>
      <c r="N113" s="107"/>
      <c r="O113" s="107"/>
      <c r="P113" s="107"/>
    </row>
    <row r="114" spans="1:16" x14ac:dyDescent="0.3">
      <c r="A114" s="58" t="str">
        <f t="shared" si="8"/>
        <v>A001940</v>
      </c>
      <c r="B114" s="59" t="str">
        <f t="shared" si="5"/>
        <v/>
      </c>
      <c r="C114" s="59" t="str">
        <f t="shared" si="6"/>
        <v/>
      </c>
      <c r="D114" s="109" t="str">
        <f t="shared" si="7"/>
        <v/>
      </c>
      <c r="E114" s="106" t="s">
        <v>150</v>
      </c>
      <c r="F114" s="58" t="s">
        <v>1628</v>
      </c>
      <c r="G114" s="106">
        <v>12</v>
      </c>
      <c r="H114" s="107"/>
      <c r="I114" s="107"/>
      <c r="J114" s="107"/>
      <c r="K114" s="107"/>
      <c r="L114" s="107"/>
      <c r="M114" s="107"/>
      <c r="N114" s="107"/>
      <c r="O114" s="107"/>
      <c r="P114" s="107"/>
    </row>
    <row r="115" spans="1:16" x14ac:dyDescent="0.3">
      <c r="A115" s="58" t="str">
        <f t="shared" si="8"/>
        <v>A002000</v>
      </c>
      <c r="B115" s="59" t="str">
        <f t="shared" si="5"/>
        <v/>
      </c>
      <c r="C115" s="59" t="str">
        <f t="shared" si="6"/>
        <v/>
      </c>
      <c r="D115" s="109" t="str">
        <f t="shared" si="7"/>
        <v/>
      </c>
      <c r="E115" s="106" t="s">
        <v>151</v>
      </c>
      <c r="F115" s="58" t="s">
        <v>1629</v>
      </c>
      <c r="G115" s="106">
        <v>12</v>
      </c>
      <c r="H115" s="107"/>
      <c r="I115" s="107"/>
      <c r="J115" s="107"/>
      <c r="K115" s="107"/>
      <c r="L115" s="107"/>
      <c r="M115" s="107"/>
      <c r="N115" s="107"/>
      <c r="O115" s="107"/>
      <c r="P115" s="107"/>
    </row>
    <row r="116" spans="1:16" x14ac:dyDescent="0.3">
      <c r="A116" s="58" t="str">
        <f t="shared" si="8"/>
        <v>A002020</v>
      </c>
      <c r="B116" s="59" t="str">
        <f t="shared" si="5"/>
        <v/>
      </c>
      <c r="C116" s="59" t="str">
        <f t="shared" si="6"/>
        <v/>
      </c>
      <c r="D116" s="109" t="str">
        <f t="shared" si="7"/>
        <v/>
      </c>
      <c r="E116" s="106" t="s">
        <v>152</v>
      </c>
      <c r="F116" s="58" t="s">
        <v>1630</v>
      </c>
      <c r="G116" s="106">
        <v>12</v>
      </c>
      <c r="H116" s="107"/>
      <c r="I116" s="107"/>
      <c r="J116" s="107"/>
      <c r="K116" s="107"/>
      <c r="L116" s="107"/>
      <c r="M116" s="107"/>
      <c r="N116" s="107"/>
      <c r="O116" s="107"/>
      <c r="P116" s="107"/>
    </row>
    <row r="117" spans="1:16" x14ac:dyDescent="0.3">
      <c r="A117" s="58" t="str">
        <f t="shared" si="8"/>
        <v>A002030</v>
      </c>
      <c r="B117" s="59" t="str">
        <f t="shared" si="5"/>
        <v/>
      </c>
      <c r="C117" s="59" t="str">
        <f t="shared" si="6"/>
        <v/>
      </c>
      <c r="D117" s="109" t="str">
        <f t="shared" si="7"/>
        <v/>
      </c>
      <c r="E117" s="106" t="s">
        <v>153</v>
      </c>
      <c r="F117" s="58" t="s">
        <v>1631</v>
      </c>
      <c r="G117" s="106">
        <v>12</v>
      </c>
      <c r="H117" s="107"/>
      <c r="I117" s="107"/>
      <c r="J117" s="107"/>
      <c r="K117" s="107"/>
      <c r="L117" s="107"/>
      <c r="M117" s="107"/>
      <c r="N117" s="107"/>
      <c r="O117" s="107"/>
      <c r="P117" s="107"/>
    </row>
    <row r="118" spans="1:16" x14ac:dyDescent="0.3">
      <c r="A118" s="58" t="str">
        <f t="shared" si="8"/>
        <v>A002070</v>
      </c>
      <c r="B118" s="59" t="str">
        <f t="shared" si="5"/>
        <v/>
      </c>
      <c r="C118" s="59" t="str">
        <f t="shared" si="6"/>
        <v/>
      </c>
      <c r="D118" s="109" t="str">
        <f t="shared" si="7"/>
        <v/>
      </c>
      <c r="E118" s="106" t="s">
        <v>154</v>
      </c>
      <c r="F118" s="58" t="s">
        <v>1632</v>
      </c>
      <c r="G118" s="106">
        <v>12</v>
      </c>
      <c r="H118" s="107"/>
      <c r="I118" s="107"/>
      <c r="J118" s="107"/>
      <c r="K118" s="107"/>
      <c r="L118" s="107"/>
      <c r="M118" s="107"/>
      <c r="N118" s="107"/>
      <c r="O118" s="107"/>
      <c r="P118" s="107"/>
    </row>
    <row r="119" spans="1:16" x14ac:dyDescent="0.3">
      <c r="A119" s="58" t="str">
        <f t="shared" si="8"/>
        <v>A002100</v>
      </c>
      <c r="B119" s="59" t="str">
        <f t="shared" si="5"/>
        <v/>
      </c>
      <c r="C119" s="59" t="str">
        <f t="shared" si="6"/>
        <v/>
      </c>
      <c r="D119" s="109" t="str">
        <f t="shared" si="7"/>
        <v/>
      </c>
      <c r="E119" s="106" t="s">
        <v>155</v>
      </c>
      <c r="F119" s="58" t="s">
        <v>1633</v>
      </c>
      <c r="G119" s="106">
        <v>12</v>
      </c>
      <c r="H119" s="107"/>
      <c r="I119" s="107"/>
      <c r="J119" s="107"/>
      <c r="K119" s="107"/>
      <c r="L119" s="107"/>
      <c r="M119" s="107"/>
      <c r="N119" s="107"/>
      <c r="O119" s="107"/>
      <c r="P119" s="107"/>
    </row>
    <row r="120" spans="1:16" x14ac:dyDescent="0.3">
      <c r="A120" s="58" t="str">
        <f t="shared" si="8"/>
        <v>A002140</v>
      </c>
      <c r="B120" s="59" t="str">
        <f t="shared" si="5"/>
        <v/>
      </c>
      <c r="C120" s="59" t="str">
        <f t="shared" si="6"/>
        <v/>
      </c>
      <c r="D120" s="109" t="str">
        <f t="shared" si="7"/>
        <v/>
      </c>
      <c r="E120" s="106" t="s">
        <v>156</v>
      </c>
      <c r="F120" s="58" t="s">
        <v>1634</v>
      </c>
      <c r="G120" s="106">
        <v>12</v>
      </c>
      <c r="H120" s="107"/>
      <c r="I120" s="107"/>
      <c r="J120" s="107"/>
      <c r="K120" s="107"/>
      <c r="L120" s="107"/>
      <c r="M120" s="107"/>
      <c r="N120" s="107"/>
      <c r="O120" s="107"/>
      <c r="P120" s="107"/>
    </row>
    <row r="121" spans="1:16" x14ac:dyDescent="0.3">
      <c r="A121" s="58" t="str">
        <f t="shared" si="8"/>
        <v>A002150</v>
      </c>
      <c r="B121" s="59" t="str">
        <f t="shared" si="5"/>
        <v/>
      </c>
      <c r="C121" s="59" t="str">
        <f t="shared" si="6"/>
        <v/>
      </c>
      <c r="D121" s="109" t="str">
        <f t="shared" si="7"/>
        <v/>
      </c>
      <c r="E121" s="106" t="s">
        <v>3129</v>
      </c>
      <c r="F121" s="58" t="s">
        <v>3332</v>
      </c>
      <c r="G121" s="106">
        <v>12</v>
      </c>
      <c r="H121" s="107"/>
      <c r="I121" s="107"/>
      <c r="J121" s="107"/>
      <c r="K121" s="107"/>
      <c r="L121" s="107"/>
      <c r="M121" s="107"/>
      <c r="N121" s="107"/>
      <c r="O121" s="107"/>
      <c r="P121" s="107"/>
    </row>
    <row r="122" spans="1:16" x14ac:dyDescent="0.3">
      <c r="A122" s="58" t="str">
        <f t="shared" si="8"/>
        <v>A002170</v>
      </c>
      <c r="B122" s="59" t="str">
        <f t="shared" si="5"/>
        <v/>
      </c>
      <c r="C122" s="59" t="str">
        <f t="shared" si="6"/>
        <v/>
      </c>
      <c r="D122" s="109" t="str">
        <f t="shared" si="7"/>
        <v/>
      </c>
      <c r="E122" s="106" t="s">
        <v>157</v>
      </c>
      <c r="F122" s="58" t="s">
        <v>1635</v>
      </c>
      <c r="G122" s="106">
        <v>12</v>
      </c>
      <c r="H122" s="107"/>
      <c r="I122" s="107"/>
      <c r="J122" s="107"/>
      <c r="K122" s="107"/>
      <c r="L122" s="107"/>
      <c r="M122" s="107"/>
      <c r="N122" s="107"/>
      <c r="O122" s="107"/>
      <c r="P122" s="107"/>
    </row>
    <row r="123" spans="1:16" x14ac:dyDescent="0.3">
      <c r="A123" s="58" t="str">
        <f t="shared" si="8"/>
        <v>A002200</v>
      </c>
      <c r="B123" s="59" t="str">
        <f t="shared" si="5"/>
        <v/>
      </c>
      <c r="C123" s="59" t="str">
        <f t="shared" si="6"/>
        <v/>
      </c>
      <c r="D123" s="109" t="str">
        <f t="shared" si="7"/>
        <v/>
      </c>
      <c r="E123" s="106" t="s">
        <v>158</v>
      </c>
      <c r="F123" s="58" t="s">
        <v>1636</v>
      </c>
      <c r="G123" s="106">
        <v>12</v>
      </c>
      <c r="H123" s="107"/>
      <c r="I123" s="107"/>
      <c r="J123" s="107"/>
      <c r="K123" s="107"/>
      <c r="L123" s="107"/>
      <c r="M123" s="107"/>
      <c r="N123" s="107"/>
      <c r="O123" s="107"/>
      <c r="P123" s="107"/>
    </row>
    <row r="124" spans="1:16" x14ac:dyDescent="0.3">
      <c r="A124" s="58" t="str">
        <f t="shared" si="8"/>
        <v>A002210</v>
      </c>
      <c r="B124" s="59" t="str">
        <f t="shared" si="5"/>
        <v/>
      </c>
      <c r="C124" s="59" t="str">
        <f t="shared" si="6"/>
        <v/>
      </c>
      <c r="D124" s="109" t="str">
        <f t="shared" si="7"/>
        <v/>
      </c>
      <c r="E124" s="106" t="s">
        <v>159</v>
      </c>
      <c r="F124" s="58" t="s">
        <v>1637</v>
      </c>
      <c r="G124" s="106">
        <v>12</v>
      </c>
      <c r="H124" s="107"/>
      <c r="I124" s="107"/>
      <c r="J124" s="107"/>
      <c r="K124" s="107"/>
      <c r="L124" s="107"/>
      <c r="M124" s="107"/>
      <c r="N124" s="107"/>
      <c r="O124" s="107"/>
      <c r="P124" s="107"/>
    </row>
    <row r="125" spans="1:16" x14ac:dyDescent="0.3">
      <c r="A125" s="58" t="str">
        <f t="shared" si="8"/>
        <v>A002220</v>
      </c>
      <c r="B125" s="59" t="str">
        <f t="shared" si="5"/>
        <v/>
      </c>
      <c r="C125" s="59" t="str">
        <f t="shared" si="6"/>
        <v/>
      </c>
      <c r="D125" s="109" t="str">
        <f t="shared" si="7"/>
        <v/>
      </c>
      <c r="E125" s="106" t="s">
        <v>160</v>
      </c>
      <c r="F125" s="58" t="s">
        <v>1638</v>
      </c>
      <c r="G125" s="106">
        <v>12</v>
      </c>
      <c r="H125" s="107"/>
      <c r="I125" s="107"/>
      <c r="J125" s="107"/>
      <c r="K125" s="107"/>
      <c r="L125" s="107"/>
      <c r="M125" s="107"/>
      <c r="N125" s="107"/>
      <c r="O125" s="107"/>
      <c r="P125" s="107"/>
    </row>
    <row r="126" spans="1:16" x14ac:dyDescent="0.3">
      <c r="A126" s="58" t="str">
        <f t="shared" si="8"/>
        <v>A002230</v>
      </c>
      <c r="B126" s="59" t="str">
        <f t="shared" si="5"/>
        <v/>
      </c>
      <c r="C126" s="59" t="str">
        <f t="shared" si="6"/>
        <v/>
      </c>
      <c r="D126" s="109" t="str">
        <f t="shared" si="7"/>
        <v/>
      </c>
      <c r="E126" s="106" t="s">
        <v>161</v>
      </c>
      <c r="F126" s="58" t="s">
        <v>1639</v>
      </c>
      <c r="G126" s="106">
        <v>12</v>
      </c>
      <c r="H126" s="107"/>
      <c r="I126" s="107"/>
      <c r="J126" s="107"/>
      <c r="K126" s="107"/>
      <c r="L126" s="107"/>
      <c r="M126" s="107"/>
      <c r="N126" s="107"/>
      <c r="O126" s="107"/>
      <c r="P126" s="107"/>
    </row>
    <row r="127" spans="1:16" x14ac:dyDescent="0.3">
      <c r="A127" s="58" t="str">
        <f t="shared" si="8"/>
        <v>A002240</v>
      </c>
      <c r="B127" s="59" t="str">
        <f t="shared" si="5"/>
        <v/>
      </c>
      <c r="C127" s="59" t="str">
        <f t="shared" si="6"/>
        <v/>
      </c>
      <c r="D127" s="109" t="str">
        <f t="shared" si="7"/>
        <v/>
      </c>
      <c r="E127" s="106" t="s">
        <v>162</v>
      </c>
      <c r="F127" s="58" t="s">
        <v>1640</v>
      </c>
      <c r="G127" s="106">
        <v>12</v>
      </c>
      <c r="H127" s="107"/>
      <c r="I127" s="107"/>
      <c r="J127" s="107"/>
      <c r="K127" s="107"/>
      <c r="L127" s="107"/>
      <c r="M127" s="107"/>
      <c r="N127" s="107"/>
      <c r="O127" s="107"/>
      <c r="P127" s="107"/>
    </row>
    <row r="128" spans="1:16" x14ac:dyDescent="0.3">
      <c r="A128" s="58" t="str">
        <f t="shared" si="8"/>
        <v>A002250</v>
      </c>
      <c r="B128" s="59" t="str">
        <f t="shared" si="5"/>
        <v/>
      </c>
      <c r="C128" s="59" t="str">
        <f t="shared" si="6"/>
        <v/>
      </c>
      <c r="D128" s="109" t="str">
        <f t="shared" si="7"/>
        <v/>
      </c>
      <c r="E128" s="106" t="s">
        <v>163</v>
      </c>
      <c r="F128" s="58" t="s">
        <v>1641</v>
      </c>
      <c r="G128" s="106">
        <v>12</v>
      </c>
      <c r="H128" s="107"/>
      <c r="I128" s="107"/>
      <c r="J128" s="107"/>
      <c r="K128" s="107"/>
      <c r="L128" s="107"/>
      <c r="M128" s="107"/>
      <c r="N128" s="107"/>
      <c r="O128" s="107"/>
      <c r="P128" s="107"/>
    </row>
    <row r="129" spans="1:16" x14ac:dyDescent="0.3">
      <c r="A129" s="58" t="str">
        <f t="shared" si="8"/>
        <v>A002270</v>
      </c>
      <c r="B129" s="59" t="str">
        <f t="shared" si="5"/>
        <v/>
      </c>
      <c r="C129" s="59" t="str">
        <f t="shared" si="6"/>
        <v/>
      </c>
      <c r="D129" s="109" t="str">
        <f t="shared" si="7"/>
        <v/>
      </c>
      <c r="E129" s="106" t="s">
        <v>164</v>
      </c>
      <c r="F129" s="58" t="s">
        <v>3629</v>
      </c>
      <c r="G129" s="106">
        <v>12</v>
      </c>
      <c r="H129" s="107"/>
      <c r="I129" s="107"/>
      <c r="J129" s="107"/>
      <c r="K129" s="107"/>
      <c r="L129" s="107"/>
      <c r="M129" s="107"/>
      <c r="N129" s="107"/>
      <c r="O129" s="107"/>
      <c r="P129" s="107"/>
    </row>
    <row r="130" spans="1:16" x14ac:dyDescent="0.3">
      <c r="A130" s="58" t="str">
        <f t="shared" si="8"/>
        <v>A002290</v>
      </c>
      <c r="B130" s="59" t="str">
        <f t="shared" si="5"/>
        <v/>
      </c>
      <c r="C130" s="59" t="str">
        <f t="shared" si="6"/>
        <v/>
      </c>
      <c r="D130" s="109" t="str">
        <f t="shared" si="7"/>
        <v/>
      </c>
      <c r="E130" s="106" t="s">
        <v>165</v>
      </c>
      <c r="F130" s="58" t="s">
        <v>1642</v>
      </c>
      <c r="G130" s="106">
        <v>12</v>
      </c>
      <c r="H130" s="107"/>
      <c r="I130" s="107"/>
      <c r="J130" s="107"/>
      <c r="K130" s="107"/>
      <c r="L130" s="107"/>
      <c r="M130" s="107"/>
      <c r="N130" s="107"/>
      <c r="O130" s="107"/>
      <c r="P130" s="107"/>
    </row>
    <row r="131" spans="1:16" x14ac:dyDescent="0.3">
      <c r="A131" s="58" t="str">
        <f t="shared" si="8"/>
        <v>A002300</v>
      </c>
      <c r="B131" s="59" t="str">
        <f t="shared" si="5"/>
        <v/>
      </c>
      <c r="C131" s="59" t="str">
        <f t="shared" si="6"/>
        <v/>
      </c>
      <c r="D131" s="109" t="str">
        <f t="shared" si="7"/>
        <v/>
      </c>
      <c r="E131" s="106" t="s">
        <v>166</v>
      </c>
      <c r="F131" s="58" t="s">
        <v>1643</v>
      </c>
      <c r="G131" s="106">
        <v>12</v>
      </c>
      <c r="H131" s="107"/>
      <c r="I131" s="107"/>
      <c r="J131" s="107"/>
      <c r="K131" s="107"/>
      <c r="L131" s="107"/>
      <c r="M131" s="107"/>
      <c r="N131" s="107"/>
      <c r="O131" s="107"/>
      <c r="P131" s="107"/>
    </row>
    <row r="132" spans="1:16" x14ac:dyDescent="0.3">
      <c r="A132" s="58" t="str">
        <f t="shared" si="8"/>
        <v>A002310</v>
      </c>
      <c r="B132" s="59" t="str">
        <f t="shared" si="5"/>
        <v/>
      </c>
      <c r="C132" s="59" t="str">
        <f t="shared" si="6"/>
        <v/>
      </c>
      <c r="D132" s="109" t="str">
        <f t="shared" si="7"/>
        <v/>
      </c>
      <c r="E132" s="106" t="s">
        <v>167</v>
      </c>
      <c r="F132" s="58" t="s">
        <v>1644</v>
      </c>
      <c r="G132" s="106">
        <v>12</v>
      </c>
      <c r="H132" s="107"/>
      <c r="I132" s="107"/>
      <c r="J132" s="107"/>
      <c r="K132" s="107"/>
      <c r="L132" s="107"/>
      <c r="M132" s="107"/>
      <c r="N132" s="107"/>
      <c r="O132" s="107"/>
      <c r="P132" s="107"/>
    </row>
    <row r="133" spans="1:16" x14ac:dyDescent="0.3">
      <c r="A133" s="58" t="str">
        <f t="shared" si="8"/>
        <v>A002320</v>
      </c>
      <c r="B133" s="59" t="str">
        <f t="shared" si="5"/>
        <v/>
      </c>
      <c r="C133" s="59" t="str">
        <f t="shared" si="6"/>
        <v/>
      </c>
      <c r="D133" s="109" t="str">
        <f t="shared" si="7"/>
        <v/>
      </c>
      <c r="E133" s="106" t="s">
        <v>168</v>
      </c>
      <c r="F133" s="58" t="s">
        <v>1645</v>
      </c>
      <c r="G133" s="106">
        <v>12</v>
      </c>
      <c r="H133" s="107"/>
      <c r="I133" s="107"/>
      <c r="J133" s="107"/>
      <c r="K133" s="107"/>
      <c r="L133" s="107"/>
      <c r="M133" s="107"/>
      <c r="N133" s="107"/>
      <c r="O133" s="107"/>
      <c r="P133" s="107"/>
    </row>
    <row r="134" spans="1:16" x14ac:dyDescent="0.3">
      <c r="A134" s="58" t="str">
        <f t="shared" si="8"/>
        <v>A002350</v>
      </c>
      <c r="B134" s="59" t="str">
        <f t="shared" si="5"/>
        <v/>
      </c>
      <c r="C134" s="59" t="str">
        <f t="shared" si="6"/>
        <v/>
      </c>
      <c r="D134" s="109" t="str">
        <f t="shared" si="7"/>
        <v/>
      </c>
      <c r="E134" s="106" t="s">
        <v>169</v>
      </c>
      <c r="F134" s="58" t="s">
        <v>1646</v>
      </c>
      <c r="G134" s="106">
        <v>12</v>
      </c>
      <c r="H134" s="107"/>
      <c r="I134" s="107"/>
      <c r="J134" s="107"/>
      <c r="K134" s="107"/>
      <c r="L134" s="107"/>
      <c r="M134" s="107"/>
      <c r="N134" s="107"/>
      <c r="O134" s="107"/>
      <c r="P134" s="107"/>
    </row>
    <row r="135" spans="1:16" x14ac:dyDescent="0.3">
      <c r="A135" s="58" t="str">
        <f t="shared" si="8"/>
        <v>A002360</v>
      </c>
      <c r="B135" s="59" t="str">
        <f t="shared" si="5"/>
        <v/>
      </c>
      <c r="C135" s="59" t="str">
        <f t="shared" si="6"/>
        <v/>
      </c>
      <c r="D135" s="109" t="str">
        <f t="shared" si="7"/>
        <v/>
      </c>
      <c r="E135" s="106" t="s">
        <v>170</v>
      </c>
      <c r="F135" s="58" t="s">
        <v>1647</v>
      </c>
      <c r="G135" s="106">
        <v>12</v>
      </c>
      <c r="H135" s="107"/>
      <c r="I135" s="107"/>
      <c r="J135" s="107"/>
      <c r="K135" s="107"/>
      <c r="L135" s="107"/>
      <c r="M135" s="107"/>
      <c r="N135" s="107"/>
      <c r="O135" s="107"/>
      <c r="P135" s="107"/>
    </row>
    <row r="136" spans="1:16" x14ac:dyDescent="0.3">
      <c r="A136" s="58" t="str">
        <f t="shared" si="8"/>
        <v>A002380</v>
      </c>
      <c r="B136" s="59" t="str">
        <f t="shared" si="5"/>
        <v/>
      </c>
      <c r="C136" s="59" t="str">
        <f t="shared" si="6"/>
        <v/>
      </c>
      <c r="D136" s="109" t="str">
        <f t="shared" si="7"/>
        <v/>
      </c>
      <c r="E136" s="106" t="s">
        <v>171</v>
      </c>
      <c r="F136" s="58" t="s">
        <v>1648</v>
      </c>
      <c r="G136" s="106">
        <v>12</v>
      </c>
      <c r="H136" s="107"/>
      <c r="I136" s="107"/>
      <c r="J136" s="107"/>
      <c r="K136" s="107"/>
      <c r="L136" s="107"/>
      <c r="M136" s="107"/>
      <c r="N136" s="107"/>
      <c r="O136" s="107"/>
      <c r="P136" s="107"/>
    </row>
    <row r="137" spans="1:16" x14ac:dyDescent="0.3">
      <c r="A137" s="58" t="str">
        <f t="shared" si="8"/>
        <v>A002390</v>
      </c>
      <c r="B137" s="59" t="str">
        <f t="shared" si="5"/>
        <v/>
      </c>
      <c r="C137" s="59" t="str">
        <f t="shared" si="6"/>
        <v/>
      </c>
      <c r="D137" s="109" t="str">
        <f t="shared" si="7"/>
        <v/>
      </c>
      <c r="E137" s="106" t="s">
        <v>172</v>
      </c>
      <c r="F137" s="58" t="s">
        <v>3741</v>
      </c>
      <c r="G137" s="106">
        <v>12</v>
      </c>
      <c r="H137" s="107"/>
      <c r="I137" s="107"/>
      <c r="J137" s="107"/>
      <c r="K137" s="107"/>
      <c r="L137" s="107"/>
      <c r="M137" s="107"/>
      <c r="N137" s="107"/>
      <c r="O137" s="107"/>
      <c r="P137" s="107"/>
    </row>
    <row r="138" spans="1:16" x14ac:dyDescent="0.3">
      <c r="A138" s="58" t="str">
        <f t="shared" si="8"/>
        <v>A002410</v>
      </c>
      <c r="B138" s="59" t="str">
        <f t="shared" si="5"/>
        <v/>
      </c>
      <c r="C138" s="59" t="str">
        <f t="shared" si="6"/>
        <v/>
      </c>
      <c r="D138" s="109" t="str">
        <f t="shared" si="7"/>
        <v/>
      </c>
      <c r="E138" s="106" t="s">
        <v>173</v>
      </c>
      <c r="F138" s="58" t="s">
        <v>1650</v>
      </c>
      <c r="G138" s="106">
        <v>12</v>
      </c>
      <c r="H138" s="107"/>
      <c r="I138" s="107"/>
      <c r="J138" s="107"/>
      <c r="K138" s="107"/>
      <c r="L138" s="107"/>
      <c r="M138" s="107"/>
      <c r="N138" s="107"/>
      <c r="O138" s="107"/>
      <c r="P138" s="107"/>
    </row>
    <row r="139" spans="1:16" x14ac:dyDescent="0.3">
      <c r="A139" s="58" t="str">
        <f t="shared" si="8"/>
        <v>A002420</v>
      </c>
      <c r="B139" s="59" t="str">
        <f t="shared" si="5"/>
        <v/>
      </c>
      <c r="C139" s="59" t="str">
        <f t="shared" si="6"/>
        <v/>
      </c>
      <c r="D139" s="109" t="str">
        <f t="shared" si="7"/>
        <v/>
      </c>
      <c r="E139" s="106" t="s">
        <v>174</v>
      </c>
      <c r="F139" s="58" t="s">
        <v>1651</v>
      </c>
      <c r="G139" s="106">
        <v>12</v>
      </c>
      <c r="H139" s="107"/>
      <c r="I139" s="107"/>
      <c r="J139" s="107"/>
      <c r="K139" s="107"/>
      <c r="L139" s="107"/>
      <c r="M139" s="107"/>
      <c r="N139" s="107"/>
      <c r="O139" s="107"/>
      <c r="P139" s="107"/>
    </row>
    <row r="140" spans="1:16" x14ac:dyDescent="0.3">
      <c r="A140" s="58" t="str">
        <f t="shared" si="8"/>
        <v>A002450</v>
      </c>
      <c r="B140" s="59" t="str">
        <f t="shared" si="5"/>
        <v/>
      </c>
      <c r="C140" s="59" t="str">
        <f t="shared" si="6"/>
        <v/>
      </c>
      <c r="D140" s="109" t="str">
        <f t="shared" si="7"/>
        <v/>
      </c>
      <c r="E140" s="106" t="s">
        <v>175</v>
      </c>
      <c r="F140" s="58" t="s">
        <v>1652</v>
      </c>
      <c r="G140" s="106">
        <v>12</v>
      </c>
      <c r="H140" s="107"/>
      <c r="I140" s="107"/>
      <c r="J140" s="107"/>
      <c r="K140" s="107"/>
      <c r="L140" s="107"/>
      <c r="M140" s="107"/>
      <c r="N140" s="107"/>
      <c r="O140" s="107"/>
      <c r="P140" s="107"/>
    </row>
    <row r="141" spans="1:16" x14ac:dyDescent="0.3">
      <c r="A141" s="58" t="str">
        <f t="shared" si="8"/>
        <v>A002460</v>
      </c>
      <c r="B141" s="59" t="str">
        <f t="shared" si="5"/>
        <v/>
      </c>
      <c r="C141" s="59" t="str">
        <f t="shared" si="6"/>
        <v/>
      </c>
      <c r="D141" s="109" t="str">
        <f t="shared" si="7"/>
        <v/>
      </c>
      <c r="E141" s="106" t="s">
        <v>176</v>
      </c>
      <c r="F141" s="58" t="s">
        <v>1653</v>
      </c>
      <c r="G141" s="106">
        <v>12</v>
      </c>
      <c r="H141" s="107"/>
      <c r="I141" s="107"/>
      <c r="J141" s="107"/>
      <c r="K141" s="107"/>
      <c r="L141" s="107"/>
      <c r="M141" s="107"/>
      <c r="N141" s="107"/>
      <c r="O141" s="107"/>
      <c r="P141" s="107"/>
    </row>
    <row r="142" spans="1:16" x14ac:dyDescent="0.3">
      <c r="A142" s="58" t="str">
        <f t="shared" si="8"/>
        <v>A002530</v>
      </c>
      <c r="B142" s="59" t="str">
        <f t="shared" si="5"/>
        <v/>
      </c>
      <c r="C142" s="59" t="str">
        <f t="shared" si="6"/>
        <v/>
      </c>
      <c r="D142" s="109" t="str">
        <f t="shared" si="7"/>
        <v/>
      </c>
      <c r="E142" s="106" t="s">
        <v>177</v>
      </c>
      <c r="F142" s="58" t="s">
        <v>1654</v>
      </c>
      <c r="G142" s="106">
        <v>12</v>
      </c>
      <c r="H142" s="107"/>
      <c r="I142" s="107"/>
      <c r="J142" s="107"/>
      <c r="K142" s="107"/>
      <c r="L142" s="107"/>
      <c r="M142" s="107"/>
      <c r="N142" s="107"/>
      <c r="O142" s="107"/>
      <c r="P142" s="107"/>
    </row>
    <row r="143" spans="1:16" x14ac:dyDescent="0.3">
      <c r="A143" s="58" t="str">
        <f t="shared" si="8"/>
        <v>A002550</v>
      </c>
      <c r="B143" s="59" t="str">
        <f t="shared" ref="B143:B206" si="9">IFERROR(IF(ISNUMBER(H143),DATE(LEFT(H143,4),MID(H143,5,2),RIGHT(H143,2)),NA()),"")</f>
        <v/>
      </c>
      <c r="C143" s="59" t="str">
        <f t="shared" ref="C143:C206" si="10">IFERROR(IF(ISNUMBER(I143),DATE(LEFT(I143,4),MID(I143,5,2),RIGHT(I143,2)),NA()),"")</f>
        <v/>
      </c>
      <c r="D143" s="109" t="str">
        <f t="shared" ref="D143:D206" si="11">IFERROR(IF(ISNUMBER(J143),J143,NA()),"")</f>
        <v/>
      </c>
      <c r="E143" s="106" t="s">
        <v>178</v>
      </c>
      <c r="F143" s="58" t="s">
        <v>1655</v>
      </c>
      <c r="G143" s="106">
        <v>3</v>
      </c>
      <c r="H143" s="107"/>
      <c r="I143" s="107"/>
      <c r="J143" s="107"/>
      <c r="K143" s="107"/>
      <c r="L143" s="107"/>
      <c r="M143" s="107"/>
      <c r="N143" s="107"/>
      <c r="O143" s="107"/>
      <c r="P143" s="107"/>
    </row>
    <row r="144" spans="1:16" x14ac:dyDescent="0.3">
      <c r="A144" s="58" t="str">
        <f t="shared" si="8"/>
        <v>A002600</v>
      </c>
      <c r="B144" s="59" t="str">
        <f t="shared" si="9"/>
        <v/>
      </c>
      <c r="C144" s="59" t="str">
        <f t="shared" si="10"/>
        <v/>
      </c>
      <c r="D144" s="109" t="str">
        <f t="shared" si="11"/>
        <v/>
      </c>
      <c r="E144" s="106" t="s">
        <v>179</v>
      </c>
      <c r="F144" s="58" t="s">
        <v>1656</v>
      </c>
      <c r="G144" s="106">
        <v>12</v>
      </c>
      <c r="H144" s="107"/>
      <c r="I144" s="107"/>
      <c r="J144" s="107"/>
      <c r="K144" s="107"/>
      <c r="L144" s="107"/>
      <c r="M144" s="107"/>
      <c r="N144" s="107"/>
      <c r="O144" s="107"/>
      <c r="P144" s="107"/>
    </row>
    <row r="145" spans="1:16" x14ac:dyDescent="0.3">
      <c r="A145" s="58" t="str">
        <f t="shared" si="8"/>
        <v>A002620</v>
      </c>
      <c r="B145" s="59" t="str">
        <f t="shared" si="9"/>
        <v/>
      </c>
      <c r="C145" s="59" t="str">
        <f t="shared" si="10"/>
        <v/>
      </c>
      <c r="D145" s="109" t="str">
        <f t="shared" si="11"/>
        <v/>
      </c>
      <c r="E145" s="106" t="s">
        <v>180</v>
      </c>
      <c r="F145" s="58" t="s">
        <v>1657</v>
      </c>
      <c r="G145" s="106">
        <v>12</v>
      </c>
      <c r="H145" s="107"/>
      <c r="I145" s="107"/>
      <c r="J145" s="107"/>
      <c r="K145" s="107"/>
      <c r="L145" s="107"/>
      <c r="M145" s="107"/>
      <c r="N145" s="107"/>
      <c r="O145" s="107"/>
      <c r="P145" s="107"/>
    </row>
    <row r="146" spans="1:16" x14ac:dyDescent="0.3">
      <c r="A146" s="58" t="str">
        <f t="shared" si="8"/>
        <v>A002630</v>
      </c>
      <c r="B146" s="59" t="str">
        <f t="shared" si="9"/>
        <v/>
      </c>
      <c r="C146" s="59" t="str">
        <f t="shared" si="10"/>
        <v/>
      </c>
      <c r="D146" s="109" t="str">
        <f t="shared" si="11"/>
        <v/>
      </c>
      <c r="E146" s="106" t="s">
        <v>181</v>
      </c>
      <c r="F146" s="58" t="s">
        <v>1658</v>
      </c>
      <c r="G146" s="106">
        <v>3</v>
      </c>
      <c r="H146" s="107"/>
      <c r="I146" s="107"/>
      <c r="J146" s="107"/>
      <c r="K146" s="107"/>
      <c r="L146" s="107"/>
      <c r="M146" s="107"/>
      <c r="N146" s="107"/>
      <c r="O146" s="107"/>
      <c r="P146" s="107"/>
    </row>
    <row r="147" spans="1:16" x14ac:dyDescent="0.3">
      <c r="A147" s="58" t="str">
        <f t="shared" si="8"/>
        <v>A002680</v>
      </c>
      <c r="B147" s="59" t="str">
        <f t="shared" si="9"/>
        <v/>
      </c>
      <c r="C147" s="59" t="str">
        <f t="shared" si="10"/>
        <v/>
      </c>
      <c r="D147" s="109" t="str">
        <f t="shared" si="11"/>
        <v/>
      </c>
      <c r="E147" s="106" t="s">
        <v>182</v>
      </c>
      <c r="F147" s="58" t="s">
        <v>1659</v>
      </c>
      <c r="G147" s="106">
        <v>12</v>
      </c>
      <c r="H147" s="107"/>
      <c r="I147" s="107"/>
      <c r="J147" s="107"/>
      <c r="K147" s="107"/>
      <c r="L147" s="107"/>
      <c r="M147" s="107"/>
      <c r="N147" s="107"/>
      <c r="O147" s="107"/>
      <c r="P147" s="107"/>
    </row>
    <row r="148" spans="1:16" x14ac:dyDescent="0.3">
      <c r="A148" s="58" t="str">
        <f t="shared" si="8"/>
        <v>A002700</v>
      </c>
      <c r="B148" s="59" t="str">
        <f t="shared" si="9"/>
        <v/>
      </c>
      <c r="C148" s="59" t="str">
        <f t="shared" si="10"/>
        <v/>
      </c>
      <c r="D148" s="109" t="str">
        <f t="shared" si="11"/>
        <v/>
      </c>
      <c r="E148" s="106" t="s">
        <v>183</v>
      </c>
      <c r="F148" s="58" t="s">
        <v>1660</v>
      </c>
      <c r="G148" s="106">
        <v>12</v>
      </c>
      <c r="H148" s="107"/>
      <c r="I148" s="107"/>
      <c r="J148" s="107"/>
      <c r="K148" s="107"/>
      <c r="L148" s="107"/>
      <c r="M148" s="107"/>
      <c r="N148" s="107"/>
      <c r="O148" s="107"/>
      <c r="P148" s="107"/>
    </row>
    <row r="149" spans="1:16" x14ac:dyDescent="0.3">
      <c r="A149" s="58" t="str">
        <f t="shared" si="8"/>
        <v>A002710</v>
      </c>
      <c r="B149" s="59" t="str">
        <f t="shared" si="9"/>
        <v/>
      </c>
      <c r="C149" s="59" t="str">
        <f t="shared" si="10"/>
        <v/>
      </c>
      <c r="D149" s="109" t="str">
        <f t="shared" si="11"/>
        <v/>
      </c>
      <c r="E149" s="106" t="s">
        <v>184</v>
      </c>
      <c r="F149" s="58" t="s">
        <v>1661</v>
      </c>
      <c r="G149" s="106">
        <v>12</v>
      </c>
      <c r="H149" s="107"/>
      <c r="I149" s="107"/>
      <c r="J149" s="107"/>
      <c r="K149" s="107"/>
      <c r="L149" s="107"/>
      <c r="M149" s="107"/>
      <c r="N149" s="107"/>
      <c r="O149" s="107"/>
      <c r="P149" s="107"/>
    </row>
    <row r="150" spans="1:16" x14ac:dyDescent="0.3">
      <c r="A150" s="58" t="str">
        <f t="shared" ref="A150:A213" si="12">E150</f>
        <v>A002720</v>
      </c>
      <c r="B150" s="59" t="str">
        <f t="shared" si="9"/>
        <v/>
      </c>
      <c r="C150" s="59" t="str">
        <f t="shared" si="10"/>
        <v/>
      </c>
      <c r="D150" s="109" t="str">
        <f t="shared" si="11"/>
        <v/>
      </c>
      <c r="E150" s="106" t="s">
        <v>185</v>
      </c>
      <c r="F150" s="58" t="s">
        <v>1662</v>
      </c>
      <c r="G150" s="106">
        <v>12</v>
      </c>
      <c r="H150" s="107"/>
      <c r="I150" s="107"/>
      <c r="J150" s="107"/>
      <c r="K150" s="107"/>
      <c r="L150" s="107"/>
      <c r="M150" s="107"/>
      <c r="N150" s="107"/>
      <c r="O150" s="107"/>
      <c r="P150" s="107"/>
    </row>
    <row r="151" spans="1:16" x14ac:dyDescent="0.3">
      <c r="A151" s="58" t="str">
        <f t="shared" si="12"/>
        <v>A002760</v>
      </c>
      <c r="B151" s="59" t="str">
        <f t="shared" si="9"/>
        <v/>
      </c>
      <c r="C151" s="59" t="str">
        <f t="shared" si="10"/>
        <v/>
      </c>
      <c r="D151" s="109" t="str">
        <f t="shared" si="11"/>
        <v/>
      </c>
      <c r="E151" s="106" t="s">
        <v>186</v>
      </c>
      <c r="F151" s="58" t="s">
        <v>1663</v>
      </c>
      <c r="G151" s="106">
        <v>12</v>
      </c>
      <c r="H151" s="107"/>
      <c r="I151" s="107"/>
      <c r="J151" s="107"/>
      <c r="K151" s="107"/>
      <c r="L151" s="107"/>
      <c r="M151" s="107"/>
      <c r="N151" s="107"/>
      <c r="O151" s="107"/>
      <c r="P151" s="107"/>
    </row>
    <row r="152" spans="1:16" x14ac:dyDescent="0.3">
      <c r="A152" s="58" t="str">
        <f t="shared" si="12"/>
        <v>A002780</v>
      </c>
      <c r="B152" s="59" t="str">
        <f t="shared" si="9"/>
        <v/>
      </c>
      <c r="C152" s="59" t="str">
        <f t="shared" si="10"/>
        <v/>
      </c>
      <c r="D152" s="109" t="str">
        <f t="shared" si="11"/>
        <v/>
      </c>
      <c r="E152" s="106" t="s">
        <v>187</v>
      </c>
      <c r="F152" s="58" t="s">
        <v>1664</v>
      </c>
      <c r="G152" s="106">
        <v>12</v>
      </c>
      <c r="H152" s="107"/>
      <c r="I152" s="107"/>
      <c r="J152" s="107"/>
      <c r="K152" s="107"/>
      <c r="L152" s="107"/>
      <c r="M152" s="107"/>
      <c r="N152" s="107"/>
      <c r="O152" s="107"/>
      <c r="P152" s="107"/>
    </row>
    <row r="153" spans="1:16" x14ac:dyDescent="0.3">
      <c r="A153" s="58" t="str">
        <f t="shared" si="12"/>
        <v>A002790</v>
      </c>
      <c r="B153" s="59">
        <f t="shared" si="9"/>
        <v>41492</v>
      </c>
      <c r="C153" s="59" t="str">
        <f t="shared" si="10"/>
        <v/>
      </c>
      <c r="D153" s="109" t="str">
        <f t="shared" si="11"/>
        <v/>
      </c>
      <c r="E153" s="106" t="s">
        <v>188</v>
      </c>
      <c r="F153" s="58" t="s">
        <v>1665</v>
      </c>
      <c r="G153" s="106">
        <v>12</v>
      </c>
      <c r="H153" s="107">
        <v>20130806</v>
      </c>
      <c r="I153" s="107"/>
      <c r="J153" s="107"/>
      <c r="K153" s="107"/>
      <c r="L153" s="107"/>
      <c r="M153" s="107"/>
      <c r="N153" s="107"/>
      <c r="O153" s="107"/>
      <c r="P153" s="107"/>
    </row>
    <row r="154" spans="1:16" x14ac:dyDescent="0.3">
      <c r="A154" s="58" t="str">
        <f t="shared" si="12"/>
        <v>A002810</v>
      </c>
      <c r="B154" s="59" t="str">
        <f t="shared" si="9"/>
        <v/>
      </c>
      <c r="C154" s="59" t="str">
        <f t="shared" si="10"/>
        <v/>
      </c>
      <c r="D154" s="109" t="str">
        <f t="shared" si="11"/>
        <v/>
      </c>
      <c r="E154" s="106" t="s">
        <v>189</v>
      </c>
      <c r="F154" s="58" t="s">
        <v>1666</v>
      </c>
      <c r="G154" s="106">
        <v>12</v>
      </c>
      <c r="H154" s="107"/>
      <c r="I154" s="107"/>
      <c r="J154" s="107"/>
      <c r="K154" s="107"/>
      <c r="L154" s="107"/>
      <c r="M154" s="107"/>
      <c r="N154" s="107"/>
      <c r="O154" s="107"/>
      <c r="P154" s="107"/>
    </row>
    <row r="155" spans="1:16" x14ac:dyDescent="0.3">
      <c r="A155" s="58" t="str">
        <f t="shared" si="12"/>
        <v>A002820</v>
      </c>
      <c r="B155" s="59" t="str">
        <f t="shared" si="9"/>
        <v/>
      </c>
      <c r="C155" s="59" t="str">
        <f t="shared" si="10"/>
        <v/>
      </c>
      <c r="D155" s="109" t="str">
        <f t="shared" si="11"/>
        <v/>
      </c>
      <c r="E155" s="106" t="s">
        <v>190</v>
      </c>
      <c r="F155" s="58" t="s">
        <v>1667</v>
      </c>
      <c r="G155" s="106">
        <v>12</v>
      </c>
      <c r="H155" s="107"/>
      <c r="I155" s="107"/>
      <c r="J155" s="107"/>
      <c r="K155" s="107"/>
      <c r="L155" s="107"/>
      <c r="M155" s="107"/>
      <c r="N155" s="107"/>
      <c r="O155" s="107"/>
      <c r="P155" s="107"/>
    </row>
    <row r="156" spans="1:16" x14ac:dyDescent="0.3">
      <c r="A156" s="58" t="str">
        <f t="shared" si="12"/>
        <v>A002840</v>
      </c>
      <c r="B156" s="59" t="str">
        <f t="shared" si="9"/>
        <v/>
      </c>
      <c r="C156" s="59" t="str">
        <f t="shared" si="10"/>
        <v/>
      </c>
      <c r="D156" s="109" t="str">
        <f t="shared" si="11"/>
        <v/>
      </c>
      <c r="E156" s="106" t="s">
        <v>191</v>
      </c>
      <c r="F156" s="58" t="s">
        <v>1668</v>
      </c>
      <c r="G156" s="106">
        <v>12</v>
      </c>
      <c r="H156" s="107"/>
      <c r="I156" s="107"/>
      <c r="J156" s="107"/>
      <c r="K156" s="107"/>
      <c r="L156" s="107"/>
      <c r="M156" s="107"/>
      <c r="N156" s="107"/>
      <c r="O156" s="107"/>
      <c r="P156" s="107"/>
    </row>
    <row r="157" spans="1:16" x14ac:dyDescent="0.3">
      <c r="A157" s="58" t="str">
        <f t="shared" si="12"/>
        <v>A002870</v>
      </c>
      <c r="B157" s="59" t="str">
        <f t="shared" si="9"/>
        <v/>
      </c>
      <c r="C157" s="59" t="str">
        <f t="shared" si="10"/>
        <v/>
      </c>
      <c r="D157" s="109" t="str">
        <f t="shared" si="11"/>
        <v/>
      </c>
      <c r="E157" s="106" t="s">
        <v>192</v>
      </c>
      <c r="F157" s="58" t="s">
        <v>1669</v>
      </c>
      <c r="G157" s="106">
        <v>12</v>
      </c>
      <c r="H157" s="107"/>
      <c r="I157" s="107"/>
      <c r="J157" s="107"/>
      <c r="K157" s="107"/>
      <c r="L157" s="107"/>
      <c r="M157" s="107"/>
      <c r="N157" s="107"/>
      <c r="O157" s="107"/>
      <c r="P157" s="107"/>
    </row>
    <row r="158" spans="1:16" x14ac:dyDescent="0.3">
      <c r="A158" s="58" t="str">
        <f t="shared" si="12"/>
        <v>A002880</v>
      </c>
      <c r="B158" s="59" t="str">
        <f t="shared" si="9"/>
        <v/>
      </c>
      <c r="C158" s="59" t="str">
        <f t="shared" si="10"/>
        <v/>
      </c>
      <c r="D158" s="109" t="str">
        <f t="shared" si="11"/>
        <v/>
      </c>
      <c r="E158" s="106" t="s">
        <v>193</v>
      </c>
      <c r="F158" s="58" t="s">
        <v>1670</v>
      </c>
      <c r="G158" s="106">
        <v>12</v>
      </c>
      <c r="H158" s="107"/>
      <c r="I158" s="107"/>
      <c r="J158" s="107"/>
      <c r="K158" s="107"/>
      <c r="L158" s="107"/>
      <c r="M158" s="107"/>
      <c r="N158" s="107"/>
      <c r="O158" s="107"/>
      <c r="P158" s="107"/>
    </row>
    <row r="159" spans="1:16" x14ac:dyDescent="0.3">
      <c r="A159" s="58" t="str">
        <f t="shared" si="12"/>
        <v>A002900</v>
      </c>
      <c r="B159" s="59" t="str">
        <f t="shared" si="9"/>
        <v/>
      </c>
      <c r="C159" s="59" t="str">
        <f t="shared" si="10"/>
        <v/>
      </c>
      <c r="D159" s="109" t="str">
        <f t="shared" si="11"/>
        <v/>
      </c>
      <c r="E159" s="106" t="s">
        <v>194</v>
      </c>
      <c r="F159" s="58" t="s">
        <v>1671</v>
      </c>
      <c r="G159" s="106">
        <v>12</v>
      </c>
      <c r="H159" s="107"/>
      <c r="I159" s="107"/>
      <c r="J159" s="107"/>
      <c r="K159" s="107"/>
      <c r="L159" s="107"/>
      <c r="M159" s="107"/>
      <c r="N159" s="107"/>
      <c r="O159" s="107"/>
      <c r="P159" s="107"/>
    </row>
    <row r="160" spans="1:16" x14ac:dyDescent="0.3">
      <c r="A160" s="58" t="str">
        <f t="shared" si="12"/>
        <v>A002920</v>
      </c>
      <c r="B160" s="59" t="str">
        <f t="shared" si="9"/>
        <v/>
      </c>
      <c r="C160" s="59" t="str">
        <f t="shared" si="10"/>
        <v/>
      </c>
      <c r="D160" s="109" t="str">
        <f t="shared" si="11"/>
        <v/>
      </c>
      <c r="E160" s="106" t="s">
        <v>195</v>
      </c>
      <c r="F160" s="58" t="s">
        <v>1672</v>
      </c>
      <c r="G160" s="106">
        <v>12</v>
      </c>
      <c r="H160" s="107"/>
      <c r="I160" s="107"/>
      <c r="J160" s="107"/>
      <c r="K160" s="107"/>
      <c r="L160" s="107"/>
      <c r="M160" s="107"/>
      <c r="N160" s="107"/>
      <c r="O160" s="107"/>
      <c r="P160" s="107"/>
    </row>
    <row r="161" spans="1:16" x14ac:dyDescent="0.3">
      <c r="A161" s="58" t="str">
        <f t="shared" si="12"/>
        <v>A002960</v>
      </c>
      <c r="B161" s="59" t="str">
        <f t="shared" si="9"/>
        <v/>
      </c>
      <c r="C161" s="59" t="str">
        <f t="shared" si="10"/>
        <v/>
      </c>
      <c r="D161" s="109" t="str">
        <f t="shared" si="11"/>
        <v/>
      </c>
      <c r="E161" s="106" t="s">
        <v>196</v>
      </c>
      <c r="F161" s="58" t="s">
        <v>1673</v>
      </c>
      <c r="G161" s="106">
        <v>12</v>
      </c>
      <c r="H161" s="107"/>
      <c r="I161" s="107"/>
      <c r="J161" s="107"/>
      <c r="K161" s="107"/>
      <c r="L161" s="107"/>
      <c r="M161" s="107"/>
      <c r="N161" s="107"/>
      <c r="O161" s="107"/>
      <c r="P161" s="107"/>
    </row>
    <row r="162" spans="1:16" x14ac:dyDescent="0.3">
      <c r="A162" s="58" t="str">
        <f t="shared" si="12"/>
        <v>A002990</v>
      </c>
      <c r="B162" s="59" t="str">
        <f t="shared" si="9"/>
        <v/>
      </c>
      <c r="C162" s="59" t="str">
        <f t="shared" si="10"/>
        <v/>
      </c>
      <c r="D162" s="109" t="str">
        <f t="shared" si="11"/>
        <v/>
      </c>
      <c r="E162" s="106" t="s">
        <v>197</v>
      </c>
      <c r="F162" s="58" t="s">
        <v>1674</v>
      </c>
      <c r="G162" s="106">
        <v>12</v>
      </c>
      <c r="H162" s="107"/>
      <c r="I162" s="107"/>
      <c r="J162" s="107"/>
      <c r="K162" s="107"/>
      <c r="L162" s="107"/>
      <c r="M162" s="107"/>
      <c r="N162" s="107"/>
      <c r="O162" s="107"/>
      <c r="P162" s="107"/>
    </row>
    <row r="163" spans="1:16" x14ac:dyDescent="0.3">
      <c r="A163" s="58" t="str">
        <f t="shared" si="12"/>
        <v>A003000</v>
      </c>
      <c r="B163" s="59" t="str">
        <f t="shared" si="9"/>
        <v/>
      </c>
      <c r="C163" s="59" t="str">
        <f t="shared" si="10"/>
        <v/>
      </c>
      <c r="D163" s="109" t="str">
        <f t="shared" si="11"/>
        <v/>
      </c>
      <c r="E163" s="106" t="s">
        <v>198</v>
      </c>
      <c r="F163" s="58" t="s">
        <v>1675</v>
      </c>
      <c r="G163" s="106">
        <v>12</v>
      </c>
      <c r="H163" s="107"/>
      <c r="I163" s="107"/>
      <c r="J163" s="107"/>
      <c r="K163" s="107"/>
      <c r="L163" s="107"/>
      <c r="M163" s="107"/>
      <c r="N163" s="107"/>
      <c r="O163" s="107"/>
      <c r="P163" s="107"/>
    </row>
    <row r="164" spans="1:16" x14ac:dyDescent="0.3">
      <c r="A164" s="58" t="str">
        <f t="shared" si="12"/>
        <v>A003010</v>
      </c>
      <c r="B164" s="59" t="str">
        <f t="shared" si="9"/>
        <v/>
      </c>
      <c r="C164" s="59" t="str">
        <f t="shared" si="10"/>
        <v/>
      </c>
      <c r="D164" s="109" t="str">
        <f t="shared" si="11"/>
        <v/>
      </c>
      <c r="E164" s="106" t="s">
        <v>199</v>
      </c>
      <c r="F164" s="58" t="s">
        <v>1676</v>
      </c>
      <c r="G164" s="106">
        <v>12</v>
      </c>
      <c r="H164" s="107"/>
      <c r="I164" s="107"/>
      <c r="J164" s="107"/>
      <c r="K164" s="107"/>
      <c r="L164" s="107"/>
      <c r="M164" s="107"/>
      <c r="N164" s="107"/>
      <c r="O164" s="107"/>
      <c r="P164" s="107"/>
    </row>
    <row r="165" spans="1:16" x14ac:dyDescent="0.3">
      <c r="A165" s="58" t="str">
        <f t="shared" si="12"/>
        <v>A003030</v>
      </c>
      <c r="B165" s="59" t="str">
        <f t="shared" si="9"/>
        <v/>
      </c>
      <c r="C165" s="59" t="str">
        <f t="shared" si="10"/>
        <v/>
      </c>
      <c r="D165" s="109" t="str">
        <f t="shared" si="11"/>
        <v/>
      </c>
      <c r="E165" s="106" t="s">
        <v>200</v>
      </c>
      <c r="F165" s="58" t="s">
        <v>1677</v>
      </c>
      <c r="G165" s="106">
        <v>12</v>
      </c>
      <c r="H165" s="107"/>
      <c r="I165" s="107"/>
      <c r="J165" s="107"/>
      <c r="K165" s="107"/>
      <c r="L165" s="107"/>
      <c r="M165" s="107"/>
      <c r="N165" s="107"/>
      <c r="O165" s="107"/>
      <c r="P165" s="107"/>
    </row>
    <row r="166" spans="1:16" x14ac:dyDescent="0.3">
      <c r="A166" s="58" t="str">
        <f t="shared" si="12"/>
        <v>A003060</v>
      </c>
      <c r="B166" s="59" t="str">
        <f t="shared" si="9"/>
        <v/>
      </c>
      <c r="C166" s="59" t="str">
        <f t="shared" si="10"/>
        <v/>
      </c>
      <c r="D166" s="109" t="str">
        <f t="shared" si="11"/>
        <v/>
      </c>
      <c r="E166" s="106" t="s">
        <v>201</v>
      </c>
      <c r="F166" s="58" t="s">
        <v>1678</v>
      </c>
      <c r="G166" s="106">
        <v>12</v>
      </c>
      <c r="H166" s="107"/>
      <c r="I166" s="107"/>
      <c r="J166" s="107"/>
      <c r="K166" s="107"/>
      <c r="L166" s="107"/>
      <c r="M166" s="107"/>
      <c r="N166" s="107"/>
      <c r="O166" s="107"/>
      <c r="P166" s="107"/>
    </row>
    <row r="167" spans="1:16" x14ac:dyDescent="0.3">
      <c r="A167" s="58" t="str">
        <f t="shared" si="12"/>
        <v>A003070</v>
      </c>
      <c r="B167" s="59" t="str">
        <f t="shared" si="9"/>
        <v/>
      </c>
      <c r="C167" s="59" t="str">
        <f t="shared" si="10"/>
        <v/>
      </c>
      <c r="D167" s="109" t="str">
        <f t="shared" si="11"/>
        <v/>
      </c>
      <c r="E167" s="106" t="s">
        <v>202</v>
      </c>
      <c r="F167" s="58" t="s">
        <v>1679</v>
      </c>
      <c r="G167" s="106">
        <v>12</v>
      </c>
      <c r="H167" s="107"/>
      <c r="I167" s="107"/>
      <c r="J167" s="107"/>
      <c r="K167" s="107"/>
      <c r="L167" s="107"/>
      <c r="M167" s="107"/>
      <c r="N167" s="107"/>
      <c r="O167" s="107"/>
      <c r="P167" s="107"/>
    </row>
    <row r="168" spans="1:16" x14ac:dyDescent="0.3">
      <c r="A168" s="58" t="str">
        <f t="shared" si="12"/>
        <v>A003080</v>
      </c>
      <c r="B168" s="59" t="str">
        <f t="shared" si="9"/>
        <v/>
      </c>
      <c r="C168" s="59" t="str">
        <f t="shared" si="10"/>
        <v/>
      </c>
      <c r="D168" s="109" t="str">
        <f t="shared" si="11"/>
        <v/>
      </c>
      <c r="E168" s="106" t="s">
        <v>203</v>
      </c>
      <c r="F168" s="58" t="s">
        <v>1680</v>
      </c>
      <c r="G168" s="106">
        <v>12</v>
      </c>
      <c r="H168" s="107"/>
      <c r="I168" s="107"/>
      <c r="J168" s="107"/>
      <c r="K168" s="107"/>
      <c r="L168" s="107"/>
      <c r="M168" s="107"/>
      <c r="N168" s="107"/>
      <c r="O168" s="107"/>
      <c r="P168" s="107"/>
    </row>
    <row r="169" spans="1:16" x14ac:dyDescent="0.3">
      <c r="A169" s="58" t="str">
        <f t="shared" si="12"/>
        <v>A003090</v>
      </c>
      <c r="B169" s="59" t="str">
        <f t="shared" si="9"/>
        <v/>
      </c>
      <c r="C169" s="59" t="str">
        <f t="shared" si="10"/>
        <v/>
      </c>
      <c r="D169" s="109" t="str">
        <f t="shared" si="11"/>
        <v/>
      </c>
      <c r="E169" s="106" t="s">
        <v>204</v>
      </c>
      <c r="F169" s="58" t="s">
        <v>1681</v>
      </c>
      <c r="G169" s="106">
        <v>12</v>
      </c>
      <c r="H169" s="107"/>
      <c r="I169" s="107"/>
      <c r="J169" s="107"/>
      <c r="K169" s="107"/>
      <c r="L169" s="107"/>
      <c r="M169" s="107"/>
      <c r="N169" s="107"/>
      <c r="O169" s="107"/>
      <c r="P169" s="107"/>
    </row>
    <row r="170" spans="1:16" x14ac:dyDescent="0.3">
      <c r="A170" s="58" t="str">
        <f t="shared" si="12"/>
        <v>A003100</v>
      </c>
      <c r="B170" s="59" t="str">
        <f t="shared" si="9"/>
        <v/>
      </c>
      <c r="C170" s="59" t="str">
        <f t="shared" si="10"/>
        <v/>
      </c>
      <c r="D170" s="109" t="str">
        <f t="shared" si="11"/>
        <v/>
      </c>
      <c r="E170" s="106" t="s">
        <v>205</v>
      </c>
      <c r="F170" s="58" t="s">
        <v>1682</v>
      </c>
      <c r="G170" s="106">
        <v>12</v>
      </c>
      <c r="H170" s="107"/>
      <c r="I170" s="107"/>
      <c r="J170" s="107"/>
      <c r="K170" s="107"/>
      <c r="L170" s="107"/>
      <c r="M170" s="107"/>
      <c r="N170" s="107"/>
      <c r="O170" s="107"/>
      <c r="P170" s="107"/>
    </row>
    <row r="171" spans="1:16" x14ac:dyDescent="0.3">
      <c r="A171" s="58" t="str">
        <f t="shared" si="12"/>
        <v>A003120</v>
      </c>
      <c r="B171" s="59" t="str">
        <f t="shared" si="9"/>
        <v/>
      </c>
      <c r="C171" s="59" t="str">
        <f t="shared" si="10"/>
        <v/>
      </c>
      <c r="D171" s="109" t="str">
        <f t="shared" si="11"/>
        <v/>
      </c>
      <c r="E171" s="106" t="s">
        <v>206</v>
      </c>
      <c r="F171" s="58" t="s">
        <v>1683</v>
      </c>
      <c r="G171" s="106">
        <v>12</v>
      </c>
      <c r="H171" s="107"/>
      <c r="I171" s="107"/>
      <c r="J171" s="107"/>
      <c r="K171" s="107"/>
      <c r="L171" s="107"/>
      <c r="M171" s="107"/>
      <c r="N171" s="107"/>
      <c r="O171" s="107"/>
      <c r="P171" s="107"/>
    </row>
    <row r="172" spans="1:16" x14ac:dyDescent="0.3">
      <c r="A172" s="58" t="str">
        <f t="shared" si="12"/>
        <v>A003160</v>
      </c>
      <c r="B172" s="59" t="str">
        <f t="shared" si="9"/>
        <v/>
      </c>
      <c r="C172" s="59" t="str">
        <f t="shared" si="10"/>
        <v/>
      </c>
      <c r="D172" s="109" t="str">
        <f t="shared" si="11"/>
        <v/>
      </c>
      <c r="E172" s="106" t="s">
        <v>207</v>
      </c>
      <c r="F172" s="58" t="s">
        <v>1684</v>
      </c>
      <c r="G172" s="106">
        <v>12</v>
      </c>
      <c r="H172" s="107"/>
      <c r="I172" s="107"/>
      <c r="J172" s="107"/>
      <c r="K172" s="107"/>
      <c r="L172" s="107"/>
      <c r="M172" s="107"/>
      <c r="N172" s="107"/>
      <c r="O172" s="107"/>
      <c r="P172" s="107"/>
    </row>
    <row r="173" spans="1:16" x14ac:dyDescent="0.3">
      <c r="A173" s="58" t="str">
        <f t="shared" si="12"/>
        <v>A003200</v>
      </c>
      <c r="B173" s="59" t="str">
        <f t="shared" si="9"/>
        <v/>
      </c>
      <c r="C173" s="59" t="str">
        <f t="shared" si="10"/>
        <v/>
      </c>
      <c r="D173" s="109" t="str">
        <f t="shared" si="11"/>
        <v/>
      </c>
      <c r="E173" s="106" t="s">
        <v>208</v>
      </c>
      <c r="F173" s="58" t="s">
        <v>1685</v>
      </c>
      <c r="G173" s="106">
        <v>12</v>
      </c>
      <c r="H173" s="107"/>
      <c r="I173" s="107"/>
      <c r="J173" s="107"/>
      <c r="K173" s="107"/>
      <c r="L173" s="107"/>
      <c r="M173" s="107"/>
      <c r="N173" s="107"/>
      <c r="O173" s="107"/>
      <c r="P173" s="107"/>
    </row>
    <row r="174" spans="1:16" x14ac:dyDescent="0.3">
      <c r="A174" s="58" t="str">
        <f t="shared" si="12"/>
        <v>A003220</v>
      </c>
      <c r="B174" s="59" t="str">
        <f t="shared" si="9"/>
        <v/>
      </c>
      <c r="C174" s="59" t="str">
        <f t="shared" si="10"/>
        <v/>
      </c>
      <c r="D174" s="109" t="str">
        <f t="shared" si="11"/>
        <v/>
      </c>
      <c r="E174" s="106" t="s">
        <v>209</v>
      </c>
      <c r="F174" s="58" t="s">
        <v>1686</v>
      </c>
      <c r="G174" s="106">
        <v>12</v>
      </c>
      <c r="H174" s="107"/>
      <c r="I174" s="107"/>
      <c r="J174" s="107"/>
      <c r="K174" s="107"/>
      <c r="L174" s="107"/>
      <c r="M174" s="107"/>
      <c r="N174" s="107"/>
      <c r="O174" s="107"/>
      <c r="P174" s="107"/>
    </row>
    <row r="175" spans="1:16" x14ac:dyDescent="0.3">
      <c r="A175" s="58" t="str">
        <f t="shared" si="12"/>
        <v>A003230</v>
      </c>
      <c r="B175" s="59" t="str">
        <f t="shared" si="9"/>
        <v/>
      </c>
      <c r="C175" s="59" t="str">
        <f t="shared" si="10"/>
        <v/>
      </c>
      <c r="D175" s="109" t="str">
        <f t="shared" si="11"/>
        <v/>
      </c>
      <c r="E175" s="106" t="s">
        <v>210</v>
      </c>
      <c r="F175" s="58" t="s">
        <v>1687</v>
      </c>
      <c r="G175" s="106">
        <v>12</v>
      </c>
      <c r="H175" s="107"/>
      <c r="I175" s="107"/>
      <c r="J175" s="107"/>
      <c r="K175" s="107"/>
      <c r="L175" s="107"/>
      <c r="M175" s="107"/>
      <c r="N175" s="107"/>
      <c r="O175" s="107"/>
      <c r="P175" s="107"/>
    </row>
    <row r="176" spans="1:16" x14ac:dyDescent="0.3">
      <c r="A176" s="58" t="str">
        <f t="shared" si="12"/>
        <v>A003240</v>
      </c>
      <c r="B176" s="59" t="str">
        <f t="shared" si="9"/>
        <v/>
      </c>
      <c r="C176" s="59" t="str">
        <f t="shared" si="10"/>
        <v/>
      </c>
      <c r="D176" s="109" t="str">
        <f t="shared" si="11"/>
        <v/>
      </c>
      <c r="E176" s="106" t="s">
        <v>211</v>
      </c>
      <c r="F176" s="58" t="s">
        <v>1688</v>
      </c>
      <c r="G176" s="106">
        <v>12</v>
      </c>
      <c r="H176" s="107"/>
      <c r="I176" s="107"/>
      <c r="J176" s="107"/>
      <c r="K176" s="107"/>
      <c r="L176" s="107"/>
      <c r="M176" s="107"/>
      <c r="N176" s="107"/>
      <c r="O176" s="107"/>
      <c r="P176" s="107"/>
    </row>
    <row r="177" spans="1:16" x14ac:dyDescent="0.3">
      <c r="A177" s="58" t="str">
        <f t="shared" si="12"/>
        <v>A003280</v>
      </c>
      <c r="B177" s="59" t="str">
        <f t="shared" si="9"/>
        <v/>
      </c>
      <c r="C177" s="59" t="str">
        <f t="shared" si="10"/>
        <v/>
      </c>
      <c r="D177" s="109" t="str">
        <f t="shared" si="11"/>
        <v/>
      </c>
      <c r="E177" s="106" t="s">
        <v>212</v>
      </c>
      <c r="F177" s="58" t="s">
        <v>1689</v>
      </c>
      <c r="G177" s="106">
        <v>12</v>
      </c>
      <c r="H177" s="107"/>
      <c r="I177" s="107"/>
      <c r="J177" s="107"/>
      <c r="K177" s="107"/>
      <c r="L177" s="107"/>
      <c r="M177" s="107"/>
      <c r="N177" s="107"/>
      <c r="O177" s="107"/>
      <c r="P177" s="107"/>
    </row>
    <row r="178" spans="1:16" x14ac:dyDescent="0.3">
      <c r="A178" s="58" t="str">
        <f t="shared" si="12"/>
        <v>A003300</v>
      </c>
      <c r="B178" s="59" t="str">
        <f t="shared" si="9"/>
        <v/>
      </c>
      <c r="C178" s="59" t="str">
        <f t="shared" si="10"/>
        <v/>
      </c>
      <c r="D178" s="109" t="str">
        <f t="shared" si="11"/>
        <v/>
      </c>
      <c r="E178" s="106" t="s">
        <v>213</v>
      </c>
      <c r="F178" s="58" t="s">
        <v>1690</v>
      </c>
      <c r="G178" s="106">
        <v>12</v>
      </c>
      <c r="H178" s="107"/>
      <c r="I178" s="107"/>
      <c r="J178" s="107"/>
      <c r="K178" s="107"/>
      <c r="L178" s="107"/>
      <c r="M178" s="107"/>
      <c r="N178" s="107"/>
      <c r="O178" s="107"/>
      <c r="P178" s="107"/>
    </row>
    <row r="179" spans="1:16" x14ac:dyDescent="0.3">
      <c r="A179" s="58" t="str">
        <f t="shared" si="12"/>
        <v>A003310</v>
      </c>
      <c r="B179" s="59" t="str">
        <f t="shared" si="9"/>
        <v/>
      </c>
      <c r="C179" s="59" t="str">
        <f t="shared" si="10"/>
        <v/>
      </c>
      <c r="D179" s="109" t="str">
        <f t="shared" si="11"/>
        <v/>
      </c>
      <c r="E179" s="106" t="s">
        <v>214</v>
      </c>
      <c r="F179" s="58" t="s">
        <v>1691</v>
      </c>
      <c r="G179" s="106">
        <v>12</v>
      </c>
      <c r="H179" s="107"/>
      <c r="I179" s="107"/>
      <c r="J179" s="107"/>
      <c r="K179" s="107"/>
      <c r="L179" s="107"/>
      <c r="M179" s="107"/>
      <c r="N179" s="107"/>
      <c r="O179" s="107"/>
      <c r="P179" s="107"/>
    </row>
    <row r="180" spans="1:16" x14ac:dyDescent="0.3">
      <c r="A180" s="58" t="str">
        <f t="shared" si="12"/>
        <v>A003350</v>
      </c>
      <c r="B180" s="59" t="str">
        <f t="shared" si="9"/>
        <v/>
      </c>
      <c r="C180" s="59" t="str">
        <f t="shared" si="10"/>
        <v/>
      </c>
      <c r="D180" s="109" t="str">
        <f t="shared" si="11"/>
        <v/>
      </c>
      <c r="E180" s="106" t="s">
        <v>215</v>
      </c>
      <c r="F180" s="58" t="s">
        <v>1692</v>
      </c>
      <c r="G180" s="106">
        <v>12</v>
      </c>
      <c r="H180" s="107"/>
      <c r="I180" s="107"/>
      <c r="J180" s="107"/>
      <c r="K180" s="107"/>
      <c r="L180" s="107"/>
      <c r="M180" s="107"/>
      <c r="N180" s="107"/>
      <c r="O180" s="107"/>
      <c r="P180" s="107"/>
    </row>
    <row r="181" spans="1:16" x14ac:dyDescent="0.3">
      <c r="A181" s="58" t="str">
        <f t="shared" si="12"/>
        <v>A003410</v>
      </c>
      <c r="B181" s="59" t="str">
        <f t="shared" si="9"/>
        <v/>
      </c>
      <c r="C181" s="59" t="str">
        <f t="shared" si="10"/>
        <v/>
      </c>
      <c r="D181" s="109" t="str">
        <f t="shared" si="11"/>
        <v/>
      </c>
      <c r="E181" s="106" t="s">
        <v>216</v>
      </c>
      <c r="F181" s="58" t="s">
        <v>1693</v>
      </c>
      <c r="G181" s="106">
        <v>12</v>
      </c>
      <c r="H181" s="107"/>
      <c r="I181" s="107"/>
      <c r="J181" s="107"/>
      <c r="K181" s="107"/>
      <c r="L181" s="107"/>
      <c r="M181" s="107"/>
      <c r="N181" s="107"/>
      <c r="O181" s="107"/>
      <c r="P181" s="107"/>
    </row>
    <row r="182" spans="1:16" x14ac:dyDescent="0.3">
      <c r="A182" s="58" t="str">
        <f t="shared" si="12"/>
        <v>A003450</v>
      </c>
      <c r="B182" s="59" t="str">
        <f t="shared" si="9"/>
        <v/>
      </c>
      <c r="C182" s="59" t="str">
        <f t="shared" si="10"/>
        <v/>
      </c>
      <c r="D182" s="109" t="str">
        <f t="shared" si="11"/>
        <v/>
      </c>
      <c r="E182" s="106" t="s">
        <v>217</v>
      </c>
      <c r="F182" s="58" t="s">
        <v>8</v>
      </c>
      <c r="G182" s="106">
        <v>3</v>
      </c>
      <c r="H182" s="107"/>
      <c r="I182" s="107"/>
      <c r="J182" s="107"/>
      <c r="K182" s="107"/>
      <c r="L182" s="107"/>
      <c r="M182" s="107"/>
      <c r="N182" s="107"/>
      <c r="O182" s="107"/>
      <c r="P182" s="107"/>
    </row>
    <row r="183" spans="1:16" x14ac:dyDescent="0.3">
      <c r="A183" s="58" t="str">
        <f t="shared" si="12"/>
        <v>A003460</v>
      </c>
      <c r="B183" s="59" t="str">
        <f t="shared" si="9"/>
        <v/>
      </c>
      <c r="C183" s="59" t="str">
        <f t="shared" si="10"/>
        <v/>
      </c>
      <c r="D183" s="109" t="str">
        <f t="shared" si="11"/>
        <v/>
      </c>
      <c r="E183" s="106" t="s">
        <v>218</v>
      </c>
      <c r="F183" s="58" t="s">
        <v>1694</v>
      </c>
      <c r="G183" s="106">
        <v>3</v>
      </c>
      <c r="H183" s="107"/>
      <c r="I183" s="107"/>
      <c r="J183" s="107"/>
      <c r="K183" s="107"/>
      <c r="L183" s="107"/>
      <c r="M183" s="107"/>
      <c r="N183" s="107"/>
      <c r="O183" s="107"/>
      <c r="P183" s="107"/>
    </row>
    <row r="184" spans="1:16" x14ac:dyDescent="0.3">
      <c r="A184" s="58" t="str">
        <f t="shared" si="12"/>
        <v>A003470</v>
      </c>
      <c r="B184" s="59" t="str">
        <f t="shared" si="9"/>
        <v/>
      </c>
      <c r="C184" s="59" t="str">
        <f t="shared" si="10"/>
        <v/>
      </c>
      <c r="D184" s="109" t="str">
        <f t="shared" si="11"/>
        <v/>
      </c>
      <c r="E184" s="106" t="s">
        <v>219</v>
      </c>
      <c r="F184" s="58" t="s">
        <v>11</v>
      </c>
      <c r="G184" s="106">
        <v>3</v>
      </c>
      <c r="H184" s="107"/>
      <c r="I184" s="107"/>
      <c r="J184" s="107"/>
      <c r="K184" s="107"/>
      <c r="L184" s="107"/>
      <c r="M184" s="107"/>
      <c r="N184" s="107"/>
      <c r="O184" s="107"/>
      <c r="P184" s="107"/>
    </row>
    <row r="185" spans="1:16" x14ac:dyDescent="0.3">
      <c r="A185" s="58" t="str">
        <f t="shared" si="12"/>
        <v>A003480</v>
      </c>
      <c r="B185" s="59" t="str">
        <f t="shared" si="9"/>
        <v/>
      </c>
      <c r="C185" s="59" t="str">
        <f t="shared" si="10"/>
        <v/>
      </c>
      <c r="D185" s="109" t="str">
        <f t="shared" si="11"/>
        <v/>
      </c>
      <c r="E185" s="106" t="s">
        <v>220</v>
      </c>
      <c r="F185" s="58" t="s">
        <v>1695</v>
      </c>
      <c r="G185" s="106">
        <v>12</v>
      </c>
      <c r="H185" s="107"/>
      <c r="I185" s="107"/>
      <c r="J185" s="107"/>
      <c r="K185" s="107"/>
      <c r="L185" s="107"/>
      <c r="M185" s="107"/>
      <c r="N185" s="107"/>
      <c r="O185" s="107"/>
      <c r="P185" s="107"/>
    </row>
    <row r="186" spans="1:16" x14ac:dyDescent="0.3">
      <c r="A186" s="58" t="str">
        <f t="shared" si="12"/>
        <v>A003490</v>
      </c>
      <c r="B186" s="59">
        <f t="shared" si="9"/>
        <v>41487</v>
      </c>
      <c r="C186" s="59" t="str">
        <f t="shared" si="10"/>
        <v/>
      </c>
      <c r="D186" s="109" t="str">
        <f t="shared" si="11"/>
        <v/>
      </c>
      <c r="E186" s="106" t="s">
        <v>221</v>
      </c>
      <c r="F186" s="58" t="s">
        <v>1696</v>
      </c>
      <c r="G186" s="106">
        <v>12</v>
      </c>
      <c r="H186" s="107">
        <v>20130801</v>
      </c>
      <c r="I186" s="107"/>
      <c r="J186" s="107"/>
      <c r="K186" s="107"/>
      <c r="L186" s="107"/>
      <c r="M186" s="107"/>
      <c r="N186" s="107"/>
      <c r="O186" s="107"/>
      <c r="P186" s="107"/>
    </row>
    <row r="187" spans="1:16" x14ac:dyDescent="0.3">
      <c r="A187" s="58" t="str">
        <f t="shared" si="12"/>
        <v>A003520</v>
      </c>
      <c r="B187" s="59">
        <f t="shared" si="9"/>
        <v>41472</v>
      </c>
      <c r="C187" s="59">
        <f t="shared" si="10"/>
        <v>41472</v>
      </c>
      <c r="D187" s="109">
        <f t="shared" si="11"/>
        <v>4.2300000000000004</v>
      </c>
      <c r="E187" s="106" t="s">
        <v>222</v>
      </c>
      <c r="F187" s="58" t="s">
        <v>1697</v>
      </c>
      <c r="G187" s="106">
        <v>12</v>
      </c>
      <c r="H187" s="107">
        <v>20130717</v>
      </c>
      <c r="I187" s="107">
        <v>20130717</v>
      </c>
      <c r="J187" s="107">
        <v>4.2300000000000004</v>
      </c>
      <c r="K187" s="107"/>
      <c r="L187" s="107"/>
      <c r="M187" s="107"/>
      <c r="N187" s="107"/>
      <c r="O187" s="107"/>
      <c r="P187" s="107"/>
    </row>
    <row r="188" spans="1:16" x14ac:dyDescent="0.3">
      <c r="A188" s="58" t="str">
        <f t="shared" si="12"/>
        <v>A003530</v>
      </c>
      <c r="B188" s="59" t="str">
        <f t="shared" si="9"/>
        <v/>
      </c>
      <c r="C188" s="59" t="str">
        <f t="shared" si="10"/>
        <v/>
      </c>
      <c r="D188" s="109" t="str">
        <f t="shared" si="11"/>
        <v/>
      </c>
      <c r="E188" s="106" t="s">
        <v>223</v>
      </c>
      <c r="F188" s="58" t="s">
        <v>1698</v>
      </c>
      <c r="G188" s="106">
        <v>3</v>
      </c>
      <c r="H188" s="107"/>
      <c r="I188" s="107"/>
      <c r="J188" s="107"/>
      <c r="K188" s="107"/>
      <c r="L188" s="107"/>
      <c r="M188" s="107"/>
      <c r="N188" s="107"/>
      <c r="O188" s="107"/>
      <c r="P188" s="107"/>
    </row>
    <row r="189" spans="1:16" x14ac:dyDescent="0.3">
      <c r="A189" s="58" t="str">
        <f t="shared" si="12"/>
        <v>A003540</v>
      </c>
      <c r="B189" s="59" t="str">
        <f t="shared" si="9"/>
        <v/>
      </c>
      <c r="C189" s="59" t="str">
        <f t="shared" si="10"/>
        <v/>
      </c>
      <c r="D189" s="109" t="str">
        <f t="shared" si="11"/>
        <v/>
      </c>
      <c r="E189" s="106" t="s">
        <v>224</v>
      </c>
      <c r="F189" s="58" t="s">
        <v>20</v>
      </c>
      <c r="G189" s="106">
        <v>3</v>
      </c>
      <c r="H189" s="107"/>
      <c r="I189" s="107"/>
      <c r="J189" s="107"/>
      <c r="K189" s="107"/>
      <c r="L189" s="107"/>
      <c r="M189" s="107"/>
      <c r="N189" s="107"/>
      <c r="O189" s="107"/>
      <c r="P189" s="107"/>
    </row>
    <row r="190" spans="1:16" x14ac:dyDescent="0.3">
      <c r="A190" s="58" t="str">
        <f t="shared" si="12"/>
        <v>A003550</v>
      </c>
      <c r="B190" s="59" t="str">
        <f t="shared" si="9"/>
        <v/>
      </c>
      <c r="C190" s="59" t="str">
        <f t="shared" si="10"/>
        <v/>
      </c>
      <c r="D190" s="109" t="str">
        <f t="shared" si="11"/>
        <v/>
      </c>
      <c r="E190" s="106" t="s">
        <v>225</v>
      </c>
      <c r="F190" s="58" t="s">
        <v>1699</v>
      </c>
      <c r="G190" s="106">
        <v>12</v>
      </c>
      <c r="H190" s="107"/>
      <c r="I190" s="107"/>
      <c r="J190" s="107"/>
      <c r="K190" s="107"/>
      <c r="L190" s="107"/>
      <c r="M190" s="107"/>
      <c r="N190" s="107"/>
      <c r="O190" s="107"/>
      <c r="P190" s="107"/>
    </row>
    <row r="191" spans="1:16" x14ac:dyDescent="0.3">
      <c r="A191" s="58" t="str">
        <f t="shared" si="12"/>
        <v>A003560</v>
      </c>
      <c r="B191" s="59" t="str">
        <f t="shared" si="9"/>
        <v/>
      </c>
      <c r="C191" s="59" t="str">
        <f t="shared" si="10"/>
        <v/>
      </c>
      <c r="D191" s="109" t="str">
        <f t="shared" si="11"/>
        <v/>
      </c>
      <c r="E191" s="106" t="s">
        <v>226</v>
      </c>
      <c r="F191" s="58" t="s">
        <v>1700</v>
      </c>
      <c r="G191" s="106">
        <v>12</v>
      </c>
      <c r="H191" s="107"/>
      <c r="I191" s="107"/>
      <c r="J191" s="107"/>
      <c r="K191" s="107"/>
      <c r="L191" s="107"/>
      <c r="M191" s="107"/>
      <c r="N191" s="107"/>
      <c r="O191" s="107"/>
      <c r="P191" s="107"/>
    </row>
    <row r="192" spans="1:16" x14ac:dyDescent="0.3">
      <c r="A192" s="58" t="str">
        <f t="shared" si="12"/>
        <v>A003570</v>
      </c>
      <c r="B192" s="59" t="str">
        <f t="shared" si="9"/>
        <v/>
      </c>
      <c r="C192" s="59" t="str">
        <f t="shared" si="10"/>
        <v/>
      </c>
      <c r="D192" s="109" t="str">
        <f t="shared" si="11"/>
        <v/>
      </c>
      <c r="E192" s="106" t="s">
        <v>227</v>
      </c>
      <c r="F192" s="58" t="s">
        <v>1701</v>
      </c>
      <c r="G192" s="106">
        <v>12</v>
      </c>
      <c r="H192" s="107"/>
      <c r="I192" s="107"/>
      <c r="J192" s="107"/>
      <c r="K192" s="107"/>
      <c r="L192" s="107"/>
      <c r="M192" s="107"/>
      <c r="N192" s="107"/>
      <c r="O192" s="107"/>
      <c r="P192" s="107"/>
    </row>
    <row r="193" spans="1:16" x14ac:dyDescent="0.3">
      <c r="A193" s="58" t="str">
        <f t="shared" si="12"/>
        <v>A003580</v>
      </c>
      <c r="B193" s="59" t="str">
        <f t="shared" si="9"/>
        <v/>
      </c>
      <c r="C193" s="59" t="str">
        <f t="shared" si="10"/>
        <v/>
      </c>
      <c r="D193" s="109" t="str">
        <f t="shared" si="11"/>
        <v/>
      </c>
      <c r="E193" s="106" t="s">
        <v>228</v>
      </c>
      <c r="F193" s="58" t="s">
        <v>1702</v>
      </c>
      <c r="G193" s="106">
        <v>12</v>
      </c>
      <c r="H193" s="107"/>
      <c r="I193" s="107"/>
      <c r="J193" s="107"/>
      <c r="K193" s="107"/>
      <c r="L193" s="107"/>
      <c r="M193" s="107"/>
      <c r="N193" s="107"/>
      <c r="O193" s="107"/>
      <c r="P193" s="107"/>
    </row>
    <row r="194" spans="1:16" x14ac:dyDescent="0.3">
      <c r="A194" s="58" t="str">
        <f t="shared" si="12"/>
        <v>A003600</v>
      </c>
      <c r="B194" s="59" t="str">
        <f t="shared" si="9"/>
        <v/>
      </c>
      <c r="C194" s="59" t="str">
        <f t="shared" si="10"/>
        <v/>
      </c>
      <c r="D194" s="109" t="str">
        <f t="shared" si="11"/>
        <v/>
      </c>
      <c r="E194" s="106" t="s">
        <v>229</v>
      </c>
      <c r="F194" s="58" t="s">
        <v>1703</v>
      </c>
      <c r="G194" s="106">
        <v>12</v>
      </c>
      <c r="H194" s="107"/>
      <c r="I194" s="107"/>
      <c r="J194" s="107"/>
      <c r="K194" s="107"/>
      <c r="L194" s="107"/>
      <c r="M194" s="107"/>
      <c r="N194" s="107"/>
      <c r="O194" s="107"/>
      <c r="P194" s="107"/>
    </row>
    <row r="195" spans="1:16" x14ac:dyDescent="0.3">
      <c r="A195" s="58" t="str">
        <f t="shared" si="12"/>
        <v>A003610</v>
      </c>
      <c r="B195" s="59" t="str">
        <f t="shared" si="9"/>
        <v/>
      </c>
      <c r="C195" s="59" t="str">
        <f t="shared" si="10"/>
        <v/>
      </c>
      <c r="D195" s="109" t="str">
        <f t="shared" si="11"/>
        <v/>
      </c>
      <c r="E195" s="106" t="s">
        <v>230</v>
      </c>
      <c r="F195" s="58" t="s">
        <v>1704</v>
      </c>
      <c r="G195" s="106">
        <v>9</v>
      </c>
      <c r="H195" s="107"/>
      <c r="I195" s="107"/>
      <c r="J195" s="107"/>
      <c r="K195" s="107"/>
      <c r="L195" s="107"/>
      <c r="M195" s="107"/>
      <c r="N195" s="107"/>
      <c r="O195" s="107"/>
      <c r="P195" s="107"/>
    </row>
    <row r="196" spans="1:16" x14ac:dyDescent="0.3">
      <c r="A196" s="58" t="str">
        <f t="shared" si="12"/>
        <v>A003620</v>
      </c>
      <c r="B196" s="59" t="str">
        <f t="shared" si="9"/>
        <v/>
      </c>
      <c r="C196" s="59" t="str">
        <f t="shared" si="10"/>
        <v/>
      </c>
      <c r="D196" s="109" t="str">
        <f t="shared" si="11"/>
        <v/>
      </c>
      <c r="E196" s="106" t="s">
        <v>231</v>
      </c>
      <c r="F196" s="58" t="s">
        <v>1705</v>
      </c>
      <c r="G196" s="106">
        <v>12</v>
      </c>
      <c r="H196" s="107"/>
      <c r="I196" s="107"/>
      <c r="J196" s="107"/>
      <c r="K196" s="107"/>
      <c r="L196" s="107"/>
      <c r="M196" s="107"/>
      <c r="N196" s="107"/>
      <c r="O196" s="107"/>
      <c r="P196" s="107"/>
    </row>
    <row r="197" spans="1:16" x14ac:dyDescent="0.3">
      <c r="A197" s="58" t="str">
        <f t="shared" si="12"/>
        <v>A003640</v>
      </c>
      <c r="B197" s="59" t="str">
        <f t="shared" si="9"/>
        <v/>
      </c>
      <c r="C197" s="59" t="str">
        <f t="shared" si="10"/>
        <v/>
      </c>
      <c r="D197" s="109" t="str">
        <f t="shared" si="11"/>
        <v/>
      </c>
      <c r="E197" s="106" t="s">
        <v>232</v>
      </c>
      <c r="F197" s="58" t="s">
        <v>1706</v>
      </c>
      <c r="G197" s="106">
        <v>12</v>
      </c>
      <c r="H197" s="107"/>
      <c r="I197" s="107"/>
      <c r="J197" s="107"/>
      <c r="K197" s="107"/>
      <c r="L197" s="107"/>
      <c r="M197" s="107"/>
      <c r="N197" s="107"/>
      <c r="O197" s="107"/>
      <c r="P197" s="107"/>
    </row>
    <row r="198" spans="1:16" x14ac:dyDescent="0.3">
      <c r="A198" s="58" t="str">
        <f t="shared" si="12"/>
        <v>A003650</v>
      </c>
      <c r="B198" s="59" t="str">
        <f t="shared" si="9"/>
        <v/>
      </c>
      <c r="C198" s="59" t="str">
        <f t="shared" si="10"/>
        <v/>
      </c>
      <c r="D198" s="109" t="str">
        <f t="shared" si="11"/>
        <v/>
      </c>
      <c r="E198" s="106" t="s">
        <v>233</v>
      </c>
      <c r="F198" s="58" t="s">
        <v>1707</v>
      </c>
      <c r="G198" s="106">
        <v>12</v>
      </c>
      <c r="H198" s="107"/>
      <c r="I198" s="107"/>
      <c r="J198" s="107"/>
      <c r="K198" s="107"/>
      <c r="L198" s="107"/>
      <c r="M198" s="107"/>
      <c r="N198" s="107"/>
      <c r="O198" s="107"/>
      <c r="P198" s="107"/>
    </row>
    <row r="199" spans="1:16" x14ac:dyDescent="0.3">
      <c r="A199" s="58" t="str">
        <f t="shared" si="12"/>
        <v>A003670</v>
      </c>
      <c r="B199" s="59" t="str">
        <f t="shared" si="9"/>
        <v/>
      </c>
      <c r="C199" s="59" t="str">
        <f t="shared" si="10"/>
        <v/>
      </c>
      <c r="D199" s="109" t="str">
        <f t="shared" si="11"/>
        <v/>
      </c>
      <c r="E199" s="106" t="s">
        <v>234</v>
      </c>
      <c r="F199" s="58" t="s">
        <v>1708</v>
      </c>
      <c r="G199" s="106">
        <v>12</v>
      </c>
      <c r="H199" s="107"/>
      <c r="I199" s="107"/>
      <c r="J199" s="107"/>
      <c r="K199" s="107"/>
      <c r="L199" s="107"/>
      <c r="M199" s="107"/>
      <c r="N199" s="107"/>
      <c r="O199" s="107"/>
      <c r="P199" s="107"/>
    </row>
    <row r="200" spans="1:16" x14ac:dyDescent="0.3">
      <c r="A200" s="58" t="str">
        <f t="shared" si="12"/>
        <v>A003680</v>
      </c>
      <c r="B200" s="59" t="str">
        <f t="shared" si="9"/>
        <v/>
      </c>
      <c r="C200" s="59" t="str">
        <f t="shared" si="10"/>
        <v/>
      </c>
      <c r="D200" s="109" t="str">
        <f t="shared" si="11"/>
        <v/>
      </c>
      <c r="E200" s="106" t="s">
        <v>235</v>
      </c>
      <c r="F200" s="58" t="s">
        <v>1709</v>
      </c>
      <c r="G200" s="106">
        <v>12</v>
      </c>
      <c r="H200" s="107"/>
      <c r="I200" s="107"/>
      <c r="J200" s="107"/>
      <c r="K200" s="107"/>
      <c r="L200" s="107"/>
      <c r="M200" s="107"/>
      <c r="N200" s="107"/>
      <c r="O200" s="107"/>
      <c r="P200" s="107"/>
    </row>
    <row r="201" spans="1:16" x14ac:dyDescent="0.3">
      <c r="A201" s="58" t="str">
        <f t="shared" si="12"/>
        <v>A003690</v>
      </c>
      <c r="B201" s="59" t="str">
        <f t="shared" si="9"/>
        <v/>
      </c>
      <c r="C201" s="59" t="str">
        <f t="shared" si="10"/>
        <v/>
      </c>
      <c r="D201" s="109" t="str">
        <f t="shared" si="11"/>
        <v/>
      </c>
      <c r="E201" s="106" t="s">
        <v>236</v>
      </c>
      <c r="F201" s="58" t="s">
        <v>1710</v>
      </c>
      <c r="G201" s="106">
        <v>3</v>
      </c>
      <c r="H201" s="107"/>
      <c r="I201" s="107"/>
      <c r="J201" s="107"/>
      <c r="K201" s="107"/>
      <c r="L201" s="107"/>
      <c r="M201" s="107"/>
      <c r="N201" s="107"/>
      <c r="O201" s="107"/>
      <c r="P201" s="107"/>
    </row>
    <row r="202" spans="1:16" x14ac:dyDescent="0.3">
      <c r="A202" s="58" t="str">
        <f t="shared" si="12"/>
        <v>A003720</v>
      </c>
      <c r="B202" s="59" t="str">
        <f t="shared" si="9"/>
        <v/>
      </c>
      <c r="C202" s="59" t="str">
        <f t="shared" si="10"/>
        <v/>
      </c>
      <c r="D202" s="109" t="str">
        <f t="shared" si="11"/>
        <v/>
      </c>
      <c r="E202" s="106" t="s">
        <v>237</v>
      </c>
      <c r="F202" s="58" t="s">
        <v>1711</v>
      </c>
      <c r="G202" s="106">
        <v>12</v>
      </c>
      <c r="H202" s="107"/>
      <c r="I202" s="107"/>
      <c r="J202" s="107"/>
      <c r="K202" s="107"/>
      <c r="L202" s="107"/>
      <c r="M202" s="107"/>
      <c r="N202" s="107"/>
      <c r="O202" s="107"/>
      <c r="P202" s="107"/>
    </row>
    <row r="203" spans="1:16" x14ac:dyDescent="0.3">
      <c r="A203" s="58" t="str">
        <f t="shared" si="12"/>
        <v>A003780</v>
      </c>
      <c r="B203" s="59" t="str">
        <f t="shared" si="9"/>
        <v/>
      </c>
      <c r="C203" s="59" t="str">
        <f t="shared" si="10"/>
        <v/>
      </c>
      <c r="D203" s="109" t="str">
        <f t="shared" si="11"/>
        <v/>
      </c>
      <c r="E203" s="106" t="s">
        <v>238</v>
      </c>
      <c r="F203" s="58" t="s">
        <v>1712</v>
      </c>
      <c r="G203" s="106">
        <v>12</v>
      </c>
      <c r="H203" s="107"/>
      <c r="I203" s="107"/>
      <c r="J203" s="107"/>
      <c r="K203" s="107"/>
      <c r="L203" s="107"/>
      <c r="M203" s="107"/>
      <c r="N203" s="107"/>
      <c r="O203" s="107"/>
      <c r="P203" s="107"/>
    </row>
    <row r="204" spans="1:16" x14ac:dyDescent="0.3">
      <c r="A204" s="58" t="str">
        <f t="shared" si="12"/>
        <v>A003800</v>
      </c>
      <c r="B204" s="59" t="str">
        <f t="shared" si="9"/>
        <v/>
      </c>
      <c r="C204" s="59" t="str">
        <f t="shared" si="10"/>
        <v/>
      </c>
      <c r="D204" s="109" t="str">
        <f t="shared" si="11"/>
        <v/>
      </c>
      <c r="E204" s="106" t="s">
        <v>239</v>
      </c>
      <c r="F204" s="58" t="s">
        <v>1713</v>
      </c>
      <c r="G204" s="106">
        <v>12</v>
      </c>
      <c r="H204" s="107"/>
      <c r="I204" s="107"/>
      <c r="J204" s="107"/>
      <c r="K204" s="107"/>
      <c r="L204" s="107"/>
      <c r="M204" s="107"/>
      <c r="N204" s="107"/>
      <c r="O204" s="107"/>
      <c r="P204" s="107"/>
    </row>
    <row r="205" spans="1:16" x14ac:dyDescent="0.3">
      <c r="A205" s="58" t="str">
        <f t="shared" si="12"/>
        <v>A003830</v>
      </c>
      <c r="B205" s="59" t="str">
        <f t="shared" si="9"/>
        <v/>
      </c>
      <c r="C205" s="59" t="str">
        <f t="shared" si="10"/>
        <v/>
      </c>
      <c r="D205" s="109" t="str">
        <f t="shared" si="11"/>
        <v/>
      </c>
      <c r="E205" s="106" t="s">
        <v>240</v>
      </c>
      <c r="F205" s="58" t="s">
        <v>1714</v>
      </c>
      <c r="G205" s="106">
        <v>12</v>
      </c>
      <c r="H205" s="107"/>
      <c r="I205" s="107"/>
      <c r="J205" s="107"/>
      <c r="K205" s="107"/>
      <c r="L205" s="107"/>
      <c r="M205" s="107"/>
      <c r="N205" s="107"/>
      <c r="O205" s="107"/>
      <c r="P205" s="107"/>
    </row>
    <row r="206" spans="1:16" x14ac:dyDescent="0.3">
      <c r="A206" s="58" t="str">
        <f t="shared" si="12"/>
        <v>A003850</v>
      </c>
      <c r="B206" s="59" t="str">
        <f t="shared" si="9"/>
        <v/>
      </c>
      <c r="C206" s="59" t="str">
        <f t="shared" si="10"/>
        <v/>
      </c>
      <c r="D206" s="109" t="str">
        <f t="shared" si="11"/>
        <v/>
      </c>
      <c r="E206" s="106" t="s">
        <v>241</v>
      </c>
      <c r="F206" s="58" t="s">
        <v>1715</v>
      </c>
      <c r="G206" s="106">
        <v>12</v>
      </c>
      <c r="H206" s="107"/>
      <c r="I206" s="107"/>
      <c r="J206" s="107"/>
      <c r="K206" s="107"/>
      <c r="L206" s="107"/>
      <c r="M206" s="107"/>
      <c r="N206" s="107"/>
      <c r="O206" s="107"/>
      <c r="P206" s="107"/>
    </row>
    <row r="207" spans="1:16" x14ac:dyDescent="0.3">
      <c r="A207" s="58" t="str">
        <f t="shared" si="12"/>
        <v>A003920</v>
      </c>
      <c r="B207" s="59" t="str">
        <f t="shared" ref="B207:B270" si="13">IFERROR(IF(ISNUMBER(H207),DATE(LEFT(H207,4),MID(H207,5,2),RIGHT(H207,2)),NA()),"")</f>
        <v/>
      </c>
      <c r="C207" s="59" t="str">
        <f t="shared" ref="C207:C270" si="14">IFERROR(IF(ISNUMBER(I207),DATE(LEFT(I207,4),MID(I207,5,2),RIGHT(I207,2)),NA()),"")</f>
        <v/>
      </c>
      <c r="D207" s="109" t="str">
        <f t="shared" ref="D207:D270" si="15">IFERROR(IF(ISNUMBER(J207),J207,NA()),"")</f>
        <v/>
      </c>
      <c r="E207" s="106" t="s">
        <v>242</v>
      </c>
      <c r="F207" s="58" t="s">
        <v>1716</v>
      </c>
      <c r="G207" s="106">
        <v>12</v>
      </c>
      <c r="H207" s="107"/>
      <c r="I207" s="107"/>
      <c r="J207" s="107"/>
      <c r="K207" s="107"/>
      <c r="L207" s="107"/>
      <c r="M207" s="107"/>
      <c r="N207" s="107"/>
      <c r="O207" s="107"/>
      <c r="P207" s="107"/>
    </row>
    <row r="208" spans="1:16" x14ac:dyDescent="0.3">
      <c r="A208" s="58" t="str">
        <f t="shared" si="12"/>
        <v>A003940</v>
      </c>
      <c r="B208" s="59" t="str">
        <f t="shared" si="13"/>
        <v/>
      </c>
      <c r="C208" s="59" t="str">
        <f t="shared" si="14"/>
        <v/>
      </c>
      <c r="D208" s="109" t="str">
        <f t="shared" si="15"/>
        <v/>
      </c>
      <c r="E208" s="106" t="s">
        <v>243</v>
      </c>
      <c r="F208" s="58" t="s">
        <v>1717</v>
      </c>
      <c r="G208" s="106">
        <v>12</v>
      </c>
      <c r="H208" s="107"/>
      <c r="I208" s="107"/>
      <c r="J208" s="107"/>
      <c r="K208" s="107"/>
      <c r="L208" s="107"/>
      <c r="M208" s="107"/>
      <c r="N208" s="107"/>
      <c r="O208" s="107"/>
      <c r="P208" s="107"/>
    </row>
    <row r="209" spans="1:16" x14ac:dyDescent="0.3">
      <c r="A209" s="58" t="str">
        <f t="shared" si="12"/>
        <v>A003960</v>
      </c>
      <c r="B209" s="59" t="str">
        <f t="shared" si="13"/>
        <v/>
      </c>
      <c r="C209" s="59" t="str">
        <f t="shared" si="14"/>
        <v/>
      </c>
      <c r="D209" s="109" t="str">
        <f t="shared" si="15"/>
        <v/>
      </c>
      <c r="E209" s="106" t="s">
        <v>244</v>
      </c>
      <c r="F209" s="58" t="s">
        <v>1718</v>
      </c>
      <c r="G209" s="106">
        <v>12</v>
      </c>
      <c r="H209" s="107"/>
      <c r="I209" s="107"/>
      <c r="J209" s="107"/>
      <c r="K209" s="107"/>
      <c r="L209" s="107"/>
      <c r="M209" s="107"/>
      <c r="N209" s="107"/>
      <c r="O209" s="107"/>
      <c r="P209" s="107"/>
    </row>
    <row r="210" spans="1:16" x14ac:dyDescent="0.3">
      <c r="A210" s="58" t="str">
        <f t="shared" si="12"/>
        <v>A004000</v>
      </c>
      <c r="B210" s="59">
        <f t="shared" si="13"/>
        <v>41481</v>
      </c>
      <c r="C210" s="59">
        <f t="shared" si="14"/>
        <v>41481</v>
      </c>
      <c r="D210" s="109">
        <f t="shared" si="15"/>
        <v>8.6199999999999992</v>
      </c>
      <c r="E210" s="106" t="s">
        <v>245</v>
      </c>
      <c r="F210" s="58" t="s">
        <v>1719</v>
      </c>
      <c r="G210" s="106">
        <v>12</v>
      </c>
      <c r="H210" s="107">
        <v>20130726</v>
      </c>
      <c r="I210" s="107">
        <v>20130726</v>
      </c>
      <c r="J210" s="107">
        <v>8.6199999999999992</v>
      </c>
      <c r="K210" s="107"/>
      <c r="L210" s="107"/>
      <c r="M210" s="107"/>
      <c r="N210" s="107"/>
      <c r="O210" s="107"/>
      <c r="P210" s="107"/>
    </row>
    <row r="211" spans="1:16" x14ac:dyDescent="0.3">
      <c r="A211" s="58" t="str">
        <f t="shared" si="12"/>
        <v>A004020</v>
      </c>
      <c r="B211" s="59">
        <f t="shared" si="13"/>
        <v>41481</v>
      </c>
      <c r="C211" s="59">
        <f t="shared" si="14"/>
        <v>41481</v>
      </c>
      <c r="D211" s="109">
        <f t="shared" si="15"/>
        <v>196.6</v>
      </c>
      <c r="E211" s="106" t="s">
        <v>246</v>
      </c>
      <c r="F211" s="58" t="s">
        <v>1720</v>
      </c>
      <c r="G211" s="106">
        <v>12</v>
      </c>
      <c r="H211" s="107">
        <v>20130726</v>
      </c>
      <c r="I211" s="107">
        <v>20130726</v>
      </c>
      <c r="J211" s="107">
        <v>196.6</v>
      </c>
      <c r="K211" s="107"/>
      <c r="L211" s="107"/>
      <c r="M211" s="107"/>
      <c r="N211" s="107"/>
      <c r="O211" s="107"/>
      <c r="P211" s="107"/>
    </row>
    <row r="212" spans="1:16" x14ac:dyDescent="0.3">
      <c r="A212" s="58" t="str">
        <f t="shared" si="12"/>
        <v>A004060</v>
      </c>
      <c r="B212" s="59" t="str">
        <f t="shared" si="13"/>
        <v/>
      </c>
      <c r="C212" s="59" t="str">
        <f t="shared" si="14"/>
        <v/>
      </c>
      <c r="D212" s="109" t="str">
        <f t="shared" si="15"/>
        <v/>
      </c>
      <c r="E212" s="106" t="s">
        <v>247</v>
      </c>
      <c r="F212" s="58" t="s">
        <v>1721</v>
      </c>
      <c r="G212" s="106">
        <v>12</v>
      </c>
      <c r="H212" s="107"/>
      <c r="I212" s="107"/>
      <c r="J212" s="107"/>
      <c r="K212" s="107"/>
      <c r="L212" s="107"/>
      <c r="M212" s="107"/>
      <c r="N212" s="107"/>
      <c r="O212" s="107"/>
      <c r="P212" s="107"/>
    </row>
    <row r="213" spans="1:16" x14ac:dyDescent="0.3">
      <c r="A213" s="58" t="str">
        <f t="shared" si="12"/>
        <v>A004080</v>
      </c>
      <c r="B213" s="59" t="str">
        <f t="shared" si="13"/>
        <v/>
      </c>
      <c r="C213" s="59" t="str">
        <f t="shared" si="14"/>
        <v/>
      </c>
      <c r="D213" s="109" t="str">
        <f t="shared" si="15"/>
        <v/>
      </c>
      <c r="E213" s="106" t="s">
        <v>248</v>
      </c>
      <c r="F213" s="58" t="s">
        <v>1722</v>
      </c>
      <c r="G213" s="106">
        <v>12</v>
      </c>
      <c r="H213" s="107"/>
      <c r="I213" s="107"/>
      <c r="J213" s="107"/>
      <c r="K213" s="107"/>
      <c r="L213" s="107"/>
      <c r="M213" s="107"/>
      <c r="N213" s="107"/>
      <c r="O213" s="107"/>
      <c r="P213" s="107"/>
    </row>
    <row r="214" spans="1:16" x14ac:dyDescent="0.3">
      <c r="A214" s="58" t="str">
        <f t="shared" ref="A214:A277" si="16">E214</f>
        <v>A004090</v>
      </c>
      <c r="B214" s="59" t="str">
        <f t="shared" si="13"/>
        <v/>
      </c>
      <c r="C214" s="59" t="str">
        <f t="shared" si="14"/>
        <v/>
      </c>
      <c r="D214" s="109" t="str">
        <f t="shared" si="15"/>
        <v/>
      </c>
      <c r="E214" s="106" t="s">
        <v>249</v>
      </c>
      <c r="F214" s="58" t="s">
        <v>1723</v>
      </c>
      <c r="G214" s="106">
        <v>12</v>
      </c>
      <c r="H214" s="107"/>
      <c r="I214" s="107"/>
      <c r="J214" s="107"/>
      <c r="K214" s="107"/>
      <c r="L214" s="107"/>
      <c r="M214" s="107"/>
      <c r="N214" s="107"/>
      <c r="O214" s="107"/>
      <c r="P214" s="107"/>
    </row>
    <row r="215" spans="1:16" x14ac:dyDescent="0.3">
      <c r="A215" s="58" t="str">
        <f t="shared" si="16"/>
        <v>A004100</v>
      </c>
      <c r="B215" s="59" t="str">
        <f t="shared" si="13"/>
        <v/>
      </c>
      <c r="C215" s="59" t="str">
        <f t="shared" si="14"/>
        <v/>
      </c>
      <c r="D215" s="109" t="str">
        <f t="shared" si="15"/>
        <v/>
      </c>
      <c r="E215" s="106" t="s">
        <v>250</v>
      </c>
      <c r="F215" s="58" t="s">
        <v>1724</v>
      </c>
      <c r="G215" s="106">
        <v>12</v>
      </c>
      <c r="H215" s="107"/>
      <c r="I215" s="107"/>
      <c r="J215" s="107"/>
      <c r="K215" s="107"/>
      <c r="L215" s="107"/>
      <c r="M215" s="107"/>
      <c r="N215" s="107"/>
      <c r="O215" s="107"/>
      <c r="P215" s="107"/>
    </row>
    <row r="216" spans="1:16" x14ac:dyDescent="0.3">
      <c r="A216" s="58" t="str">
        <f t="shared" si="16"/>
        <v>A004130</v>
      </c>
      <c r="B216" s="59" t="str">
        <f t="shared" si="13"/>
        <v/>
      </c>
      <c r="C216" s="59" t="str">
        <f t="shared" si="14"/>
        <v/>
      </c>
      <c r="D216" s="109" t="str">
        <f t="shared" si="15"/>
        <v/>
      </c>
      <c r="E216" s="106" t="s">
        <v>251</v>
      </c>
      <c r="F216" s="58" t="s">
        <v>1725</v>
      </c>
      <c r="G216" s="106">
        <v>12</v>
      </c>
      <c r="H216" s="107"/>
      <c r="I216" s="107"/>
      <c r="J216" s="107"/>
      <c r="K216" s="107"/>
      <c r="L216" s="107"/>
      <c r="M216" s="107"/>
      <c r="N216" s="107"/>
      <c r="O216" s="107"/>
      <c r="P216" s="107"/>
    </row>
    <row r="217" spans="1:16" x14ac:dyDescent="0.3">
      <c r="A217" s="58" t="str">
        <f t="shared" si="16"/>
        <v>A004140</v>
      </c>
      <c r="B217" s="59" t="str">
        <f t="shared" si="13"/>
        <v/>
      </c>
      <c r="C217" s="59" t="str">
        <f t="shared" si="14"/>
        <v/>
      </c>
      <c r="D217" s="109" t="str">
        <f t="shared" si="15"/>
        <v/>
      </c>
      <c r="E217" s="106" t="s">
        <v>252</v>
      </c>
      <c r="F217" s="58" t="s">
        <v>1726</v>
      </c>
      <c r="G217" s="106">
        <v>12</v>
      </c>
      <c r="H217" s="107"/>
      <c r="I217" s="107"/>
      <c r="J217" s="107"/>
      <c r="K217" s="107"/>
      <c r="L217" s="107"/>
      <c r="M217" s="107"/>
      <c r="N217" s="107"/>
      <c r="O217" s="107"/>
      <c r="P217" s="107"/>
    </row>
    <row r="218" spans="1:16" x14ac:dyDescent="0.3">
      <c r="A218" s="58" t="str">
        <f t="shared" si="16"/>
        <v>A004150</v>
      </c>
      <c r="B218" s="59" t="str">
        <f t="shared" si="13"/>
        <v/>
      </c>
      <c r="C218" s="59" t="str">
        <f t="shared" si="14"/>
        <v/>
      </c>
      <c r="D218" s="109" t="str">
        <f t="shared" si="15"/>
        <v/>
      </c>
      <c r="E218" s="106" t="s">
        <v>253</v>
      </c>
      <c r="F218" s="58" t="s">
        <v>1727</v>
      </c>
      <c r="G218" s="106">
        <v>12</v>
      </c>
      <c r="H218" s="107"/>
      <c r="I218" s="107"/>
      <c r="J218" s="107"/>
      <c r="K218" s="107"/>
      <c r="L218" s="107"/>
      <c r="M218" s="107"/>
      <c r="N218" s="107"/>
      <c r="O218" s="107"/>
      <c r="P218" s="107"/>
    </row>
    <row r="219" spans="1:16" x14ac:dyDescent="0.3">
      <c r="A219" s="58" t="str">
        <f t="shared" si="16"/>
        <v>A004170</v>
      </c>
      <c r="B219" s="59" t="str">
        <f t="shared" si="13"/>
        <v/>
      </c>
      <c r="C219" s="59" t="str">
        <f t="shared" si="14"/>
        <v/>
      </c>
      <c r="D219" s="109" t="str">
        <f t="shared" si="15"/>
        <v/>
      </c>
      <c r="E219" s="106" t="s">
        <v>254</v>
      </c>
      <c r="F219" s="58" t="s">
        <v>1728</v>
      </c>
      <c r="G219" s="106">
        <v>12</v>
      </c>
      <c r="H219" s="107"/>
      <c r="I219" s="107"/>
      <c r="J219" s="107"/>
      <c r="K219" s="107"/>
      <c r="L219" s="107"/>
      <c r="M219" s="107"/>
      <c r="N219" s="107"/>
      <c r="O219" s="107"/>
      <c r="P219" s="107"/>
    </row>
    <row r="220" spans="1:16" x14ac:dyDescent="0.3">
      <c r="A220" s="58" t="str">
        <f t="shared" si="16"/>
        <v>A004200</v>
      </c>
      <c r="B220" s="59" t="str">
        <f t="shared" si="13"/>
        <v/>
      </c>
      <c r="C220" s="59" t="str">
        <f t="shared" si="14"/>
        <v/>
      </c>
      <c r="D220" s="109" t="str">
        <f t="shared" si="15"/>
        <v/>
      </c>
      <c r="E220" s="106" t="s">
        <v>255</v>
      </c>
      <c r="F220" s="58" t="s">
        <v>1729</v>
      </c>
      <c r="G220" s="106">
        <v>12</v>
      </c>
      <c r="H220" s="107"/>
      <c r="I220" s="107"/>
      <c r="J220" s="107"/>
      <c r="K220" s="107"/>
      <c r="L220" s="107"/>
      <c r="M220" s="107"/>
      <c r="N220" s="107"/>
      <c r="O220" s="107"/>
      <c r="P220" s="107"/>
    </row>
    <row r="221" spans="1:16" x14ac:dyDescent="0.3">
      <c r="A221" s="58" t="str">
        <f t="shared" si="16"/>
        <v>A004250</v>
      </c>
      <c r="B221" s="59" t="str">
        <f t="shared" si="13"/>
        <v/>
      </c>
      <c r="C221" s="59" t="str">
        <f t="shared" si="14"/>
        <v/>
      </c>
      <c r="D221" s="109" t="str">
        <f t="shared" si="15"/>
        <v/>
      </c>
      <c r="E221" s="106" t="s">
        <v>256</v>
      </c>
      <c r="F221" s="58" t="s">
        <v>1730</v>
      </c>
      <c r="G221" s="106">
        <v>12</v>
      </c>
      <c r="H221" s="107"/>
      <c r="I221" s="107"/>
      <c r="J221" s="107"/>
      <c r="K221" s="107"/>
      <c r="L221" s="107"/>
      <c r="M221" s="107"/>
      <c r="N221" s="107"/>
      <c r="O221" s="107"/>
      <c r="P221" s="107"/>
    </row>
    <row r="222" spans="1:16" x14ac:dyDescent="0.3">
      <c r="A222" s="58" t="str">
        <f t="shared" si="16"/>
        <v>A004270</v>
      </c>
      <c r="B222" s="59" t="str">
        <f t="shared" si="13"/>
        <v/>
      </c>
      <c r="C222" s="59" t="str">
        <f t="shared" si="14"/>
        <v/>
      </c>
      <c r="D222" s="109" t="str">
        <f t="shared" si="15"/>
        <v/>
      </c>
      <c r="E222" s="106" t="s">
        <v>257</v>
      </c>
      <c r="F222" s="58" t="s">
        <v>1731</v>
      </c>
      <c r="G222" s="106">
        <v>12</v>
      </c>
      <c r="H222" s="107"/>
      <c r="I222" s="107"/>
      <c r="J222" s="107"/>
      <c r="K222" s="107"/>
      <c r="L222" s="107"/>
      <c r="M222" s="107"/>
      <c r="N222" s="107"/>
      <c r="O222" s="107"/>
      <c r="P222" s="107"/>
    </row>
    <row r="223" spans="1:16" x14ac:dyDescent="0.3">
      <c r="A223" s="58" t="str">
        <f t="shared" si="16"/>
        <v>A004310</v>
      </c>
      <c r="B223" s="59" t="str">
        <f t="shared" si="13"/>
        <v/>
      </c>
      <c r="C223" s="59" t="str">
        <f t="shared" si="14"/>
        <v/>
      </c>
      <c r="D223" s="109" t="str">
        <f t="shared" si="15"/>
        <v/>
      </c>
      <c r="E223" s="106" t="s">
        <v>258</v>
      </c>
      <c r="F223" s="58" t="s">
        <v>1732</v>
      </c>
      <c r="G223" s="106">
        <v>11</v>
      </c>
      <c r="H223" s="107"/>
      <c r="I223" s="107"/>
      <c r="J223" s="107"/>
      <c r="K223" s="107"/>
      <c r="L223" s="107"/>
      <c r="M223" s="107"/>
      <c r="N223" s="107"/>
      <c r="O223" s="107"/>
      <c r="P223" s="107"/>
    </row>
    <row r="224" spans="1:16" x14ac:dyDescent="0.3">
      <c r="A224" s="58" t="str">
        <f t="shared" si="16"/>
        <v>A004320</v>
      </c>
      <c r="B224" s="59" t="str">
        <f t="shared" si="13"/>
        <v/>
      </c>
      <c r="C224" s="59" t="str">
        <f t="shared" si="14"/>
        <v/>
      </c>
      <c r="D224" s="109" t="str">
        <f t="shared" si="15"/>
        <v/>
      </c>
      <c r="E224" s="106" t="s">
        <v>259</v>
      </c>
      <c r="F224" s="58" t="s">
        <v>1733</v>
      </c>
      <c r="G224" s="106">
        <v>12</v>
      </c>
      <c r="H224" s="107"/>
      <c r="I224" s="107"/>
      <c r="J224" s="107"/>
      <c r="K224" s="107"/>
      <c r="L224" s="107"/>
      <c r="M224" s="107"/>
      <c r="N224" s="107"/>
      <c r="O224" s="107"/>
      <c r="P224" s="107"/>
    </row>
    <row r="225" spans="1:16" x14ac:dyDescent="0.3">
      <c r="A225" s="58" t="str">
        <f t="shared" si="16"/>
        <v>A004360</v>
      </c>
      <c r="B225" s="59" t="str">
        <f t="shared" si="13"/>
        <v/>
      </c>
      <c r="C225" s="59" t="str">
        <f t="shared" si="14"/>
        <v/>
      </c>
      <c r="D225" s="109" t="str">
        <f t="shared" si="15"/>
        <v/>
      </c>
      <c r="E225" s="106" t="s">
        <v>260</v>
      </c>
      <c r="F225" s="58" t="s">
        <v>1734</v>
      </c>
      <c r="G225" s="106">
        <v>12</v>
      </c>
      <c r="H225" s="107"/>
      <c r="I225" s="107"/>
      <c r="J225" s="107"/>
      <c r="K225" s="107"/>
      <c r="L225" s="107"/>
      <c r="M225" s="107"/>
      <c r="N225" s="107"/>
      <c r="O225" s="107"/>
      <c r="P225" s="107"/>
    </row>
    <row r="226" spans="1:16" x14ac:dyDescent="0.3">
      <c r="A226" s="58" t="str">
        <f t="shared" si="16"/>
        <v>A004370</v>
      </c>
      <c r="B226" s="59" t="str">
        <f t="shared" si="13"/>
        <v/>
      </c>
      <c r="C226" s="59" t="str">
        <f t="shared" si="14"/>
        <v/>
      </c>
      <c r="D226" s="109" t="str">
        <f t="shared" si="15"/>
        <v/>
      </c>
      <c r="E226" s="106" t="s">
        <v>261</v>
      </c>
      <c r="F226" s="58" t="s">
        <v>1735</v>
      </c>
      <c r="G226" s="106">
        <v>12</v>
      </c>
      <c r="H226" s="107"/>
      <c r="I226" s="107"/>
      <c r="J226" s="107"/>
      <c r="K226" s="107"/>
      <c r="L226" s="107"/>
      <c r="M226" s="107"/>
      <c r="N226" s="107"/>
      <c r="O226" s="107"/>
      <c r="P226" s="107"/>
    </row>
    <row r="227" spans="1:16" x14ac:dyDescent="0.3">
      <c r="A227" s="58" t="str">
        <f t="shared" si="16"/>
        <v>A004380</v>
      </c>
      <c r="B227" s="59" t="str">
        <f t="shared" si="13"/>
        <v/>
      </c>
      <c r="C227" s="59" t="str">
        <f t="shared" si="14"/>
        <v/>
      </c>
      <c r="D227" s="109" t="str">
        <f t="shared" si="15"/>
        <v/>
      </c>
      <c r="E227" s="106" t="s">
        <v>262</v>
      </c>
      <c r="F227" s="58" t="s">
        <v>1736</v>
      </c>
      <c r="G227" s="106">
        <v>12</v>
      </c>
      <c r="H227" s="107"/>
      <c r="I227" s="107"/>
      <c r="J227" s="107"/>
      <c r="K227" s="107"/>
      <c r="L227" s="107"/>
      <c r="M227" s="107"/>
      <c r="N227" s="107"/>
      <c r="O227" s="107"/>
      <c r="P227" s="107"/>
    </row>
    <row r="228" spans="1:16" x14ac:dyDescent="0.3">
      <c r="A228" s="58" t="str">
        <f t="shared" si="16"/>
        <v>A004410</v>
      </c>
      <c r="B228" s="59" t="str">
        <f t="shared" si="13"/>
        <v/>
      </c>
      <c r="C228" s="59" t="str">
        <f t="shared" si="14"/>
        <v/>
      </c>
      <c r="D228" s="109" t="str">
        <f t="shared" si="15"/>
        <v/>
      </c>
      <c r="E228" s="106" t="s">
        <v>263</v>
      </c>
      <c r="F228" s="58" t="s">
        <v>1737</v>
      </c>
      <c r="G228" s="106">
        <v>12</v>
      </c>
      <c r="H228" s="107"/>
      <c r="I228" s="107"/>
      <c r="J228" s="107"/>
      <c r="K228" s="107"/>
      <c r="L228" s="107"/>
      <c r="M228" s="107"/>
      <c r="N228" s="107"/>
      <c r="O228" s="107"/>
      <c r="P228" s="107"/>
    </row>
    <row r="229" spans="1:16" x14ac:dyDescent="0.3">
      <c r="A229" s="58" t="str">
        <f t="shared" si="16"/>
        <v>A004430</v>
      </c>
      <c r="B229" s="59" t="str">
        <f t="shared" si="13"/>
        <v/>
      </c>
      <c r="C229" s="59" t="str">
        <f t="shared" si="14"/>
        <v/>
      </c>
      <c r="D229" s="109" t="str">
        <f t="shared" si="15"/>
        <v/>
      </c>
      <c r="E229" s="106" t="s">
        <v>264</v>
      </c>
      <c r="F229" s="58" t="s">
        <v>1738</v>
      </c>
      <c r="G229" s="106">
        <v>12</v>
      </c>
      <c r="H229" s="107"/>
      <c r="I229" s="107"/>
      <c r="J229" s="107"/>
      <c r="K229" s="107"/>
      <c r="L229" s="107"/>
      <c r="M229" s="107"/>
      <c r="N229" s="107"/>
      <c r="O229" s="107"/>
      <c r="P229" s="107"/>
    </row>
    <row r="230" spans="1:16" x14ac:dyDescent="0.3">
      <c r="A230" s="58" t="str">
        <f t="shared" si="16"/>
        <v>A004450</v>
      </c>
      <c r="B230" s="59" t="str">
        <f t="shared" si="13"/>
        <v/>
      </c>
      <c r="C230" s="59" t="str">
        <f t="shared" si="14"/>
        <v/>
      </c>
      <c r="D230" s="109" t="str">
        <f t="shared" si="15"/>
        <v/>
      </c>
      <c r="E230" s="106" t="s">
        <v>265</v>
      </c>
      <c r="F230" s="58" t="s">
        <v>1739</v>
      </c>
      <c r="G230" s="106">
        <v>12</v>
      </c>
      <c r="H230" s="107"/>
      <c r="I230" s="107"/>
      <c r="J230" s="107"/>
      <c r="K230" s="107"/>
      <c r="L230" s="107"/>
      <c r="M230" s="107"/>
      <c r="N230" s="107"/>
      <c r="O230" s="107"/>
      <c r="P230" s="107"/>
    </row>
    <row r="231" spans="1:16" x14ac:dyDescent="0.3">
      <c r="A231" s="58" t="str">
        <f t="shared" si="16"/>
        <v>A004490</v>
      </c>
      <c r="B231" s="59" t="str">
        <f t="shared" si="13"/>
        <v/>
      </c>
      <c r="C231" s="59" t="str">
        <f t="shared" si="14"/>
        <v/>
      </c>
      <c r="D231" s="109" t="str">
        <f t="shared" si="15"/>
        <v/>
      </c>
      <c r="E231" s="106" t="s">
        <v>266</v>
      </c>
      <c r="F231" s="58" t="s">
        <v>1740</v>
      </c>
      <c r="G231" s="106">
        <v>12</v>
      </c>
      <c r="H231" s="107"/>
      <c r="I231" s="107"/>
      <c r="J231" s="107"/>
      <c r="K231" s="107"/>
      <c r="L231" s="107"/>
      <c r="M231" s="107"/>
      <c r="N231" s="107"/>
      <c r="O231" s="107"/>
      <c r="P231" s="107"/>
    </row>
    <row r="232" spans="1:16" x14ac:dyDescent="0.3">
      <c r="A232" s="58" t="str">
        <f t="shared" si="16"/>
        <v>A004540</v>
      </c>
      <c r="B232" s="59" t="str">
        <f t="shared" si="13"/>
        <v/>
      </c>
      <c r="C232" s="59" t="str">
        <f t="shared" si="14"/>
        <v/>
      </c>
      <c r="D232" s="109" t="str">
        <f t="shared" si="15"/>
        <v/>
      </c>
      <c r="E232" s="106" t="s">
        <v>267</v>
      </c>
      <c r="F232" s="58" t="s">
        <v>1741</v>
      </c>
      <c r="G232" s="106">
        <v>12</v>
      </c>
      <c r="H232" s="107"/>
      <c r="I232" s="107"/>
      <c r="J232" s="107"/>
      <c r="K232" s="107"/>
      <c r="L232" s="107"/>
      <c r="M232" s="107"/>
      <c r="N232" s="107"/>
      <c r="O232" s="107"/>
      <c r="P232" s="107"/>
    </row>
    <row r="233" spans="1:16" x14ac:dyDescent="0.3">
      <c r="A233" s="58" t="str">
        <f t="shared" si="16"/>
        <v>A004560</v>
      </c>
      <c r="B233" s="59" t="str">
        <f t="shared" si="13"/>
        <v/>
      </c>
      <c r="C233" s="59" t="str">
        <f t="shared" si="14"/>
        <v/>
      </c>
      <c r="D233" s="109" t="str">
        <f t="shared" si="15"/>
        <v/>
      </c>
      <c r="E233" s="106" t="s">
        <v>268</v>
      </c>
      <c r="F233" s="58" t="s">
        <v>1742</v>
      </c>
      <c r="G233" s="106">
        <v>12</v>
      </c>
      <c r="H233" s="107"/>
      <c r="I233" s="107"/>
      <c r="J233" s="107"/>
      <c r="K233" s="107"/>
      <c r="L233" s="107"/>
      <c r="M233" s="107"/>
      <c r="N233" s="107"/>
      <c r="O233" s="107"/>
      <c r="P233" s="107"/>
    </row>
    <row r="234" spans="1:16" x14ac:dyDescent="0.3">
      <c r="A234" s="58" t="str">
        <f t="shared" si="16"/>
        <v>A004590</v>
      </c>
      <c r="B234" s="59" t="str">
        <f t="shared" si="13"/>
        <v/>
      </c>
      <c r="C234" s="59" t="str">
        <f t="shared" si="14"/>
        <v/>
      </c>
      <c r="D234" s="109" t="str">
        <f t="shared" si="15"/>
        <v/>
      </c>
      <c r="E234" s="106" t="s">
        <v>269</v>
      </c>
      <c r="F234" s="58" t="s">
        <v>1743</v>
      </c>
      <c r="G234" s="106">
        <v>12</v>
      </c>
      <c r="H234" s="107"/>
      <c r="I234" s="107"/>
      <c r="J234" s="107"/>
      <c r="K234" s="107"/>
      <c r="L234" s="107"/>
      <c r="M234" s="107"/>
      <c r="N234" s="107"/>
      <c r="O234" s="107"/>
      <c r="P234" s="107"/>
    </row>
    <row r="235" spans="1:16" x14ac:dyDescent="0.3">
      <c r="A235" s="58" t="str">
        <f t="shared" si="16"/>
        <v>A004690</v>
      </c>
      <c r="B235" s="59" t="str">
        <f t="shared" si="13"/>
        <v/>
      </c>
      <c r="C235" s="59" t="str">
        <f t="shared" si="14"/>
        <v/>
      </c>
      <c r="D235" s="109" t="str">
        <f t="shared" si="15"/>
        <v/>
      </c>
      <c r="E235" s="106" t="s">
        <v>270</v>
      </c>
      <c r="F235" s="58" t="s">
        <v>1744</v>
      </c>
      <c r="G235" s="106">
        <v>12</v>
      </c>
      <c r="H235" s="107"/>
      <c r="I235" s="107"/>
      <c r="J235" s="107"/>
      <c r="K235" s="107"/>
      <c r="L235" s="107"/>
      <c r="M235" s="107"/>
      <c r="N235" s="107"/>
      <c r="O235" s="107"/>
      <c r="P235" s="107"/>
    </row>
    <row r="236" spans="1:16" x14ac:dyDescent="0.3">
      <c r="A236" s="58" t="str">
        <f t="shared" si="16"/>
        <v>A004700</v>
      </c>
      <c r="B236" s="59" t="str">
        <f t="shared" si="13"/>
        <v/>
      </c>
      <c r="C236" s="59" t="str">
        <f t="shared" si="14"/>
        <v/>
      </c>
      <c r="D236" s="109" t="str">
        <f t="shared" si="15"/>
        <v/>
      </c>
      <c r="E236" s="106" t="s">
        <v>271</v>
      </c>
      <c r="F236" s="58" t="s">
        <v>1745</v>
      </c>
      <c r="G236" s="106">
        <v>12</v>
      </c>
      <c r="H236" s="107"/>
      <c r="I236" s="107"/>
      <c r="J236" s="107"/>
      <c r="K236" s="107"/>
      <c r="L236" s="107"/>
      <c r="M236" s="107"/>
      <c r="N236" s="107"/>
      <c r="O236" s="107"/>
      <c r="P236" s="107"/>
    </row>
    <row r="237" spans="1:16" x14ac:dyDescent="0.3">
      <c r="A237" s="58" t="str">
        <f t="shared" si="16"/>
        <v>A004710</v>
      </c>
      <c r="B237" s="59" t="str">
        <f t="shared" si="13"/>
        <v/>
      </c>
      <c r="C237" s="59" t="str">
        <f t="shared" si="14"/>
        <v/>
      </c>
      <c r="D237" s="109" t="str">
        <f t="shared" si="15"/>
        <v/>
      </c>
      <c r="E237" s="106" t="s">
        <v>272</v>
      </c>
      <c r="F237" s="58" t="s">
        <v>1746</v>
      </c>
      <c r="G237" s="106">
        <v>12</v>
      </c>
      <c r="H237" s="107"/>
      <c r="I237" s="107"/>
      <c r="J237" s="107"/>
      <c r="K237" s="107"/>
      <c r="L237" s="107"/>
      <c r="M237" s="107"/>
      <c r="N237" s="107"/>
      <c r="O237" s="107"/>
      <c r="P237" s="107"/>
    </row>
    <row r="238" spans="1:16" x14ac:dyDescent="0.3">
      <c r="A238" s="58" t="str">
        <f t="shared" si="16"/>
        <v>A004720</v>
      </c>
      <c r="B238" s="59" t="str">
        <f t="shared" si="13"/>
        <v/>
      </c>
      <c r="C238" s="59" t="str">
        <f t="shared" si="14"/>
        <v/>
      </c>
      <c r="D238" s="109" t="str">
        <f t="shared" si="15"/>
        <v/>
      </c>
      <c r="E238" s="106" t="s">
        <v>273</v>
      </c>
      <c r="F238" s="58" t="s">
        <v>1747</v>
      </c>
      <c r="G238" s="106">
        <v>12</v>
      </c>
      <c r="H238" s="107"/>
      <c r="I238" s="107"/>
      <c r="J238" s="107"/>
      <c r="K238" s="107"/>
      <c r="L238" s="107"/>
      <c r="M238" s="107"/>
      <c r="N238" s="107"/>
      <c r="O238" s="107"/>
      <c r="P238" s="107"/>
    </row>
    <row r="239" spans="1:16" x14ac:dyDescent="0.3">
      <c r="A239" s="58" t="str">
        <f t="shared" si="16"/>
        <v>A004740</v>
      </c>
      <c r="B239" s="59" t="str">
        <f t="shared" si="13"/>
        <v/>
      </c>
      <c r="C239" s="59" t="str">
        <f t="shared" si="14"/>
        <v/>
      </c>
      <c r="D239" s="109" t="str">
        <f t="shared" si="15"/>
        <v/>
      </c>
      <c r="E239" s="106" t="s">
        <v>274</v>
      </c>
      <c r="F239" s="58" t="s">
        <v>1748</v>
      </c>
      <c r="G239" s="106">
        <v>12</v>
      </c>
      <c r="H239" s="107"/>
      <c r="I239" s="107"/>
      <c r="J239" s="107"/>
      <c r="K239" s="107"/>
      <c r="L239" s="107"/>
      <c r="M239" s="107"/>
      <c r="N239" s="107"/>
      <c r="O239" s="107"/>
      <c r="P239" s="107"/>
    </row>
    <row r="240" spans="1:16" x14ac:dyDescent="0.3">
      <c r="A240" s="58" t="str">
        <f t="shared" si="16"/>
        <v>A004770</v>
      </c>
      <c r="B240" s="59" t="str">
        <f t="shared" si="13"/>
        <v/>
      </c>
      <c r="C240" s="59" t="str">
        <f t="shared" si="14"/>
        <v/>
      </c>
      <c r="D240" s="109" t="str">
        <f t="shared" si="15"/>
        <v/>
      </c>
      <c r="E240" s="106" t="s">
        <v>275</v>
      </c>
      <c r="F240" s="58" t="s">
        <v>1749</v>
      </c>
      <c r="G240" s="106">
        <v>12</v>
      </c>
      <c r="H240" s="107"/>
      <c r="I240" s="107"/>
      <c r="J240" s="107"/>
      <c r="K240" s="107"/>
      <c r="L240" s="107"/>
      <c r="M240" s="107"/>
      <c r="N240" s="107"/>
      <c r="O240" s="107"/>
      <c r="P240" s="107"/>
    </row>
    <row r="241" spans="1:16" x14ac:dyDescent="0.3">
      <c r="A241" s="58" t="str">
        <f t="shared" si="16"/>
        <v>A004780</v>
      </c>
      <c r="B241" s="59" t="str">
        <f t="shared" si="13"/>
        <v/>
      </c>
      <c r="C241" s="59" t="str">
        <f t="shared" si="14"/>
        <v/>
      </c>
      <c r="D241" s="109" t="str">
        <f t="shared" si="15"/>
        <v/>
      </c>
      <c r="E241" s="106" t="s">
        <v>276</v>
      </c>
      <c r="F241" s="58" t="s">
        <v>1750</v>
      </c>
      <c r="G241" s="106">
        <v>12</v>
      </c>
      <c r="H241" s="107"/>
      <c r="I241" s="107"/>
      <c r="J241" s="107"/>
      <c r="K241" s="107"/>
      <c r="L241" s="107"/>
      <c r="M241" s="107"/>
      <c r="N241" s="107"/>
      <c r="O241" s="107"/>
      <c r="P241" s="107"/>
    </row>
    <row r="242" spans="1:16" x14ac:dyDescent="0.3">
      <c r="A242" s="58" t="str">
        <f t="shared" si="16"/>
        <v>A004790</v>
      </c>
      <c r="B242" s="59" t="str">
        <f t="shared" si="13"/>
        <v/>
      </c>
      <c r="C242" s="59" t="str">
        <f t="shared" si="14"/>
        <v/>
      </c>
      <c r="D242" s="109" t="str">
        <f t="shared" si="15"/>
        <v/>
      </c>
      <c r="E242" s="106" t="s">
        <v>277</v>
      </c>
      <c r="F242" s="58" t="s">
        <v>1751</v>
      </c>
      <c r="G242" s="106">
        <v>12</v>
      </c>
      <c r="H242" s="107"/>
      <c r="I242" s="107"/>
      <c r="J242" s="107"/>
      <c r="K242" s="107"/>
      <c r="L242" s="107"/>
      <c r="M242" s="107"/>
      <c r="N242" s="107"/>
      <c r="O242" s="107"/>
      <c r="P242" s="107"/>
    </row>
    <row r="243" spans="1:16" x14ac:dyDescent="0.3">
      <c r="A243" s="58" t="str">
        <f t="shared" si="16"/>
        <v>A004800</v>
      </c>
      <c r="B243" s="59" t="str">
        <f t="shared" si="13"/>
        <v/>
      </c>
      <c r="C243" s="59" t="str">
        <f t="shared" si="14"/>
        <v/>
      </c>
      <c r="D243" s="109" t="str">
        <f t="shared" si="15"/>
        <v/>
      </c>
      <c r="E243" s="106" t="s">
        <v>278</v>
      </c>
      <c r="F243" s="58" t="s">
        <v>1752</v>
      </c>
      <c r="G243" s="106">
        <v>12</v>
      </c>
      <c r="H243" s="107"/>
      <c r="I243" s="107"/>
      <c r="J243" s="107"/>
      <c r="K243" s="107"/>
      <c r="L243" s="107"/>
      <c r="M243" s="107"/>
      <c r="N243" s="107"/>
      <c r="O243" s="107"/>
      <c r="P243" s="107"/>
    </row>
    <row r="244" spans="1:16" x14ac:dyDescent="0.3">
      <c r="A244" s="58" t="str">
        <f t="shared" si="16"/>
        <v>A004830</v>
      </c>
      <c r="B244" s="59" t="str">
        <f t="shared" si="13"/>
        <v/>
      </c>
      <c r="C244" s="59" t="str">
        <f t="shared" si="14"/>
        <v/>
      </c>
      <c r="D244" s="109" t="str">
        <f t="shared" si="15"/>
        <v/>
      </c>
      <c r="E244" s="106" t="s">
        <v>279</v>
      </c>
      <c r="F244" s="58" t="s">
        <v>1753</v>
      </c>
      <c r="G244" s="106">
        <v>12</v>
      </c>
      <c r="H244" s="107"/>
      <c r="I244" s="107"/>
      <c r="J244" s="107"/>
      <c r="K244" s="107"/>
      <c r="L244" s="107"/>
      <c r="M244" s="107"/>
      <c r="N244" s="107"/>
      <c r="O244" s="107"/>
      <c r="P244" s="107"/>
    </row>
    <row r="245" spans="1:16" x14ac:dyDescent="0.3">
      <c r="A245" s="58" t="str">
        <f t="shared" si="16"/>
        <v>A004840</v>
      </c>
      <c r="B245" s="59" t="str">
        <f t="shared" si="13"/>
        <v/>
      </c>
      <c r="C245" s="59" t="str">
        <f t="shared" si="14"/>
        <v/>
      </c>
      <c r="D245" s="109" t="str">
        <f t="shared" si="15"/>
        <v/>
      </c>
      <c r="E245" s="106" t="s">
        <v>280</v>
      </c>
      <c r="F245" s="58" t="s">
        <v>3093</v>
      </c>
      <c r="G245" s="106">
        <v>12</v>
      </c>
      <c r="H245" s="107"/>
      <c r="I245" s="107"/>
      <c r="J245" s="107"/>
      <c r="K245" s="107"/>
      <c r="L245" s="107"/>
      <c r="M245" s="107"/>
      <c r="N245" s="107"/>
      <c r="O245" s="107"/>
      <c r="P245" s="107"/>
    </row>
    <row r="246" spans="1:16" x14ac:dyDescent="0.3">
      <c r="A246" s="58" t="str">
        <f t="shared" si="16"/>
        <v>A004870</v>
      </c>
      <c r="B246" s="59" t="str">
        <f t="shared" si="13"/>
        <v/>
      </c>
      <c r="C246" s="59" t="str">
        <f t="shared" si="14"/>
        <v/>
      </c>
      <c r="D246" s="109" t="str">
        <f t="shared" si="15"/>
        <v/>
      </c>
      <c r="E246" s="106" t="s">
        <v>281</v>
      </c>
      <c r="F246" s="58" t="s">
        <v>3630</v>
      </c>
      <c r="G246" s="106">
        <v>12</v>
      </c>
      <c r="H246" s="107"/>
      <c r="I246" s="107"/>
      <c r="J246" s="107"/>
      <c r="K246" s="107"/>
      <c r="L246" s="107"/>
      <c r="M246" s="107"/>
      <c r="N246" s="107"/>
      <c r="O246" s="107"/>
      <c r="P246" s="107"/>
    </row>
    <row r="247" spans="1:16" x14ac:dyDescent="0.3">
      <c r="A247" s="58" t="str">
        <f t="shared" si="16"/>
        <v>A004890</v>
      </c>
      <c r="B247" s="59" t="str">
        <f t="shared" si="13"/>
        <v/>
      </c>
      <c r="C247" s="59" t="str">
        <f t="shared" si="14"/>
        <v/>
      </c>
      <c r="D247" s="109" t="str">
        <f t="shared" si="15"/>
        <v/>
      </c>
      <c r="E247" s="106" t="s">
        <v>282</v>
      </c>
      <c r="F247" s="58" t="s">
        <v>1754</v>
      </c>
      <c r="G247" s="106">
        <v>12</v>
      </c>
      <c r="H247" s="107"/>
      <c r="I247" s="107"/>
      <c r="J247" s="107"/>
      <c r="K247" s="107"/>
      <c r="L247" s="107"/>
      <c r="M247" s="107"/>
      <c r="N247" s="107"/>
      <c r="O247" s="107"/>
      <c r="P247" s="107"/>
    </row>
    <row r="248" spans="1:16" x14ac:dyDescent="0.3">
      <c r="A248" s="58" t="str">
        <f t="shared" si="16"/>
        <v>A004910</v>
      </c>
      <c r="B248" s="59" t="str">
        <f t="shared" si="13"/>
        <v/>
      </c>
      <c r="C248" s="59" t="str">
        <f t="shared" si="14"/>
        <v/>
      </c>
      <c r="D248" s="109" t="str">
        <f t="shared" si="15"/>
        <v/>
      </c>
      <c r="E248" s="106" t="s">
        <v>283</v>
      </c>
      <c r="F248" s="58" t="s">
        <v>1755</v>
      </c>
      <c r="G248" s="106">
        <v>12</v>
      </c>
      <c r="H248" s="107"/>
      <c r="I248" s="107"/>
      <c r="J248" s="107"/>
      <c r="K248" s="107"/>
      <c r="L248" s="107"/>
      <c r="M248" s="107"/>
      <c r="N248" s="107"/>
      <c r="O248" s="107"/>
      <c r="P248" s="107"/>
    </row>
    <row r="249" spans="1:16" x14ac:dyDescent="0.3">
      <c r="A249" s="58" t="str">
        <f t="shared" si="16"/>
        <v>A004920</v>
      </c>
      <c r="B249" s="59" t="str">
        <f t="shared" si="13"/>
        <v/>
      </c>
      <c r="C249" s="59" t="str">
        <f t="shared" si="14"/>
        <v/>
      </c>
      <c r="D249" s="109" t="str">
        <f t="shared" si="15"/>
        <v/>
      </c>
      <c r="E249" s="106" t="s">
        <v>284</v>
      </c>
      <c r="F249" s="58" t="s">
        <v>1756</v>
      </c>
      <c r="G249" s="106">
        <v>12</v>
      </c>
      <c r="H249" s="107"/>
      <c r="I249" s="107"/>
      <c r="J249" s="107"/>
      <c r="K249" s="107"/>
      <c r="L249" s="107"/>
      <c r="M249" s="107"/>
      <c r="N249" s="107"/>
      <c r="O249" s="107"/>
      <c r="P249" s="107"/>
    </row>
    <row r="250" spans="1:16" x14ac:dyDescent="0.3">
      <c r="A250" s="58" t="str">
        <f t="shared" si="16"/>
        <v>A004960</v>
      </c>
      <c r="B250" s="59" t="str">
        <f t="shared" si="13"/>
        <v/>
      </c>
      <c r="C250" s="59" t="str">
        <f t="shared" si="14"/>
        <v/>
      </c>
      <c r="D250" s="109" t="str">
        <f t="shared" si="15"/>
        <v/>
      </c>
      <c r="E250" s="106" t="s">
        <v>285</v>
      </c>
      <c r="F250" s="58" t="s">
        <v>1757</v>
      </c>
      <c r="G250" s="106">
        <v>12</v>
      </c>
      <c r="H250" s="107"/>
      <c r="I250" s="107"/>
      <c r="J250" s="107"/>
      <c r="K250" s="107"/>
      <c r="L250" s="107"/>
      <c r="M250" s="107"/>
      <c r="N250" s="107"/>
      <c r="O250" s="107"/>
      <c r="P250" s="107"/>
    </row>
    <row r="251" spans="1:16" x14ac:dyDescent="0.3">
      <c r="A251" s="58" t="str">
        <f t="shared" si="16"/>
        <v>A004970</v>
      </c>
      <c r="B251" s="59" t="str">
        <f t="shared" si="13"/>
        <v/>
      </c>
      <c r="C251" s="59" t="str">
        <f t="shared" si="14"/>
        <v/>
      </c>
      <c r="D251" s="109" t="str">
        <f t="shared" si="15"/>
        <v/>
      </c>
      <c r="E251" s="106" t="s">
        <v>286</v>
      </c>
      <c r="F251" s="58" t="s">
        <v>1758</v>
      </c>
      <c r="G251" s="106">
        <v>12</v>
      </c>
      <c r="H251" s="107"/>
      <c r="I251" s="107"/>
      <c r="J251" s="107"/>
      <c r="K251" s="107"/>
      <c r="L251" s="107"/>
      <c r="M251" s="107"/>
      <c r="N251" s="107"/>
      <c r="O251" s="107"/>
      <c r="P251" s="107"/>
    </row>
    <row r="252" spans="1:16" x14ac:dyDescent="0.3">
      <c r="A252" s="58" t="str">
        <f t="shared" si="16"/>
        <v>A004980</v>
      </c>
      <c r="B252" s="59" t="str">
        <f t="shared" si="13"/>
        <v/>
      </c>
      <c r="C252" s="59" t="str">
        <f t="shared" si="14"/>
        <v/>
      </c>
      <c r="D252" s="109" t="str">
        <f t="shared" si="15"/>
        <v/>
      </c>
      <c r="E252" s="106" t="s">
        <v>287</v>
      </c>
      <c r="F252" s="58" t="s">
        <v>1759</v>
      </c>
      <c r="G252" s="106">
        <v>12</v>
      </c>
      <c r="H252" s="107"/>
      <c r="I252" s="107"/>
      <c r="J252" s="107"/>
      <c r="K252" s="107"/>
      <c r="L252" s="107"/>
      <c r="M252" s="107"/>
      <c r="N252" s="107"/>
      <c r="O252" s="107"/>
      <c r="P252" s="107"/>
    </row>
    <row r="253" spans="1:16" x14ac:dyDescent="0.3">
      <c r="A253" s="58" t="str">
        <f t="shared" si="16"/>
        <v>A004990</v>
      </c>
      <c r="B253" s="59">
        <f t="shared" si="13"/>
        <v>41500</v>
      </c>
      <c r="C253" s="59" t="str">
        <f t="shared" si="14"/>
        <v/>
      </c>
      <c r="D253" s="109" t="str">
        <f t="shared" si="15"/>
        <v/>
      </c>
      <c r="E253" s="106" t="s">
        <v>288</v>
      </c>
      <c r="F253" s="58" t="s">
        <v>1760</v>
      </c>
      <c r="G253" s="106">
        <v>12</v>
      </c>
      <c r="H253" s="107">
        <v>20130814</v>
      </c>
      <c r="I253" s="107"/>
      <c r="J253" s="107"/>
      <c r="K253" s="107"/>
      <c r="L253" s="107"/>
      <c r="M253" s="107"/>
      <c r="N253" s="107"/>
      <c r="O253" s="107"/>
      <c r="P253" s="107"/>
    </row>
    <row r="254" spans="1:16" x14ac:dyDescent="0.3">
      <c r="A254" s="58" t="str">
        <f t="shared" si="16"/>
        <v>A005010</v>
      </c>
      <c r="B254" s="59" t="str">
        <f t="shared" si="13"/>
        <v/>
      </c>
      <c r="C254" s="59" t="str">
        <f t="shared" si="14"/>
        <v/>
      </c>
      <c r="D254" s="109" t="str">
        <f t="shared" si="15"/>
        <v/>
      </c>
      <c r="E254" s="106" t="s">
        <v>289</v>
      </c>
      <c r="F254" s="58" t="s">
        <v>1761</v>
      </c>
      <c r="G254" s="106">
        <v>12</v>
      </c>
      <c r="H254" s="107"/>
      <c r="I254" s="107"/>
      <c r="J254" s="107"/>
      <c r="K254" s="107"/>
      <c r="L254" s="107"/>
      <c r="M254" s="107"/>
      <c r="N254" s="107"/>
      <c r="O254" s="107"/>
      <c r="P254" s="107"/>
    </row>
    <row r="255" spans="1:16" x14ac:dyDescent="0.3">
      <c r="A255" s="58" t="str">
        <f t="shared" si="16"/>
        <v>A005030</v>
      </c>
      <c r="B255" s="59" t="str">
        <f t="shared" si="13"/>
        <v/>
      </c>
      <c r="C255" s="59" t="str">
        <f t="shared" si="14"/>
        <v/>
      </c>
      <c r="D255" s="109" t="str">
        <f t="shared" si="15"/>
        <v/>
      </c>
      <c r="E255" s="106" t="s">
        <v>290</v>
      </c>
      <c r="F255" s="58" t="s">
        <v>1762</v>
      </c>
      <c r="G255" s="106">
        <v>12</v>
      </c>
      <c r="H255" s="107"/>
      <c r="I255" s="107"/>
      <c r="J255" s="107"/>
      <c r="K255" s="107"/>
      <c r="L255" s="107"/>
      <c r="M255" s="107"/>
      <c r="N255" s="107"/>
      <c r="O255" s="107"/>
      <c r="P255" s="107"/>
    </row>
    <row r="256" spans="1:16" x14ac:dyDescent="0.3">
      <c r="A256" s="58" t="str">
        <f t="shared" si="16"/>
        <v>A005070</v>
      </c>
      <c r="B256" s="59" t="str">
        <f t="shared" si="13"/>
        <v/>
      </c>
      <c r="C256" s="59" t="str">
        <f t="shared" si="14"/>
        <v/>
      </c>
      <c r="D256" s="109" t="str">
        <f t="shared" si="15"/>
        <v/>
      </c>
      <c r="E256" s="106" t="s">
        <v>291</v>
      </c>
      <c r="F256" s="58" t="s">
        <v>1763</v>
      </c>
      <c r="G256" s="106">
        <v>12</v>
      </c>
      <c r="H256" s="107"/>
      <c r="I256" s="107"/>
      <c r="J256" s="107"/>
      <c r="K256" s="107"/>
      <c r="L256" s="107"/>
      <c r="M256" s="107"/>
      <c r="N256" s="107"/>
      <c r="O256" s="107"/>
      <c r="P256" s="107"/>
    </row>
    <row r="257" spans="1:16" x14ac:dyDescent="0.3">
      <c r="A257" s="58" t="str">
        <f t="shared" si="16"/>
        <v>A005090</v>
      </c>
      <c r="B257" s="59" t="str">
        <f t="shared" si="13"/>
        <v/>
      </c>
      <c r="C257" s="59" t="str">
        <f t="shared" si="14"/>
        <v/>
      </c>
      <c r="D257" s="109" t="str">
        <f t="shared" si="15"/>
        <v/>
      </c>
      <c r="E257" s="106" t="s">
        <v>292</v>
      </c>
      <c r="F257" s="58" t="s">
        <v>3610</v>
      </c>
      <c r="G257" s="106">
        <v>12</v>
      </c>
      <c r="H257" s="107"/>
      <c r="I257" s="107"/>
      <c r="J257" s="107"/>
      <c r="K257" s="107"/>
      <c r="L257" s="107"/>
      <c r="M257" s="107"/>
      <c r="N257" s="107"/>
      <c r="O257" s="107"/>
      <c r="P257" s="107"/>
    </row>
    <row r="258" spans="1:16" x14ac:dyDescent="0.3">
      <c r="A258" s="58" t="str">
        <f t="shared" si="16"/>
        <v>A005110</v>
      </c>
      <c r="B258" s="59" t="str">
        <f t="shared" si="13"/>
        <v/>
      </c>
      <c r="C258" s="59" t="str">
        <f t="shared" si="14"/>
        <v/>
      </c>
      <c r="D258" s="109" t="str">
        <f t="shared" si="15"/>
        <v/>
      </c>
      <c r="E258" s="106" t="s">
        <v>293</v>
      </c>
      <c r="F258" s="58" t="s">
        <v>1764</v>
      </c>
      <c r="G258" s="106">
        <v>12</v>
      </c>
      <c r="H258" s="107"/>
      <c r="I258" s="107"/>
      <c r="J258" s="107"/>
      <c r="K258" s="107"/>
      <c r="L258" s="107"/>
      <c r="M258" s="107"/>
      <c r="N258" s="107"/>
      <c r="O258" s="107"/>
      <c r="P258" s="107"/>
    </row>
    <row r="259" spans="1:16" x14ac:dyDescent="0.3">
      <c r="A259" s="58" t="str">
        <f t="shared" si="16"/>
        <v>A005160</v>
      </c>
      <c r="B259" s="59" t="str">
        <f t="shared" si="13"/>
        <v/>
      </c>
      <c r="C259" s="59" t="str">
        <f t="shared" si="14"/>
        <v/>
      </c>
      <c r="D259" s="109" t="str">
        <f t="shared" si="15"/>
        <v/>
      </c>
      <c r="E259" s="106" t="s">
        <v>294</v>
      </c>
      <c r="F259" s="58" t="s">
        <v>1765</v>
      </c>
      <c r="G259" s="106">
        <v>12</v>
      </c>
      <c r="H259" s="107"/>
      <c r="I259" s="107"/>
      <c r="J259" s="107"/>
      <c r="K259" s="107"/>
      <c r="L259" s="107"/>
      <c r="M259" s="107"/>
      <c r="N259" s="107"/>
      <c r="O259" s="107"/>
      <c r="P259" s="107"/>
    </row>
    <row r="260" spans="1:16" x14ac:dyDescent="0.3">
      <c r="A260" s="58" t="str">
        <f t="shared" si="16"/>
        <v>A005180</v>
      </c>
      <c r="B260" s="59" t="str">
        <f t="shared" si="13"/>
        <v/>
      </c>
      <c r="C260" s="59" t="str">
        <f t="shared" si="14"/>
        <v/>
      </c>
      <c r="D260" s="109" t="str">
        <f t="shared" si="15"/>
        <v/>
      </c>
      <c r="E260" s="106" t="s">
        <v>295</v>
      </c>
      <c r="F260" s="58" t="s">
        <v>1766</v>
      </c>
      <c r="G260" s="106">
        <v>12</v>
      </c>
      <c r="H260" s="107"/>
      <c r="I260" s="107"/>
      <c r="J260" s="107"/>
      <c r="K260" s="107"/>
      <c r="L260" s="107"/>
      <c r="M260" s="107"/>
      <c r="N260" s="107"/>
      <c r="O260" s="107"/>
      <c r="P260" s="107"/>
    </row>
    <row r="261" spans="1:16" x14ac:dyDescent="0.3">
      <c r="A261" s="58" t="str">
        <f t="shared" si="16"/>
        <v>A005190</v>
      </c>
      <c r="B261" s="59" t="str">
        <f t="shared" si="13"/>
        <v/>
      </c>
      <c r="C261" s="59" t="str">
        <f t="shared" si="14"/>
        <v/>
      </c>
      <c r="D261" s="109" t="str">
        <f t="shared" si="15"/>
        <v/>
      </c>
      <c r="E261" s="106" t="s">
        <v>296</v>
      </c>
      <c r="F261" s="58" t="s">
        <v>1767</v>
      </c>
      <c r="G261" s="106">
        <v>12</v>
      </c>
      <c r="H261" s="107"/>
      <c r="I261" s="107"/>
      <c r="J261" s="107"/>
      <c r="K261" s="107"/>
      <c r="L261" s="107"/>
      <c r="M261" s="107"/>
      <c r="N261" s="107"/>
      <c r="O261" s="107"/>
      <c r="P261" s="107"/>
    </row>
    <row r="262" spans="1:16" x14ac:dyDescent="0.3">
      <c r="A262" s="58" t="str">
        <f t="shared" si="16"/>
        <v>A005250</v>
      </c>
      <c r="B262" s="59" t="str">
        <f t="shared" si="13"/>
        <v/>
      </c>
      <c r="C262" s="59" t="str">
        <f t="shared" si="14"/>
        <v/>
      </c>
      <c r="D262" s="109" t="str">
        <f t="shared" si="15"/>
        <v/>
      </c>
      <c r="E262" s="106" t="s">
        <v>297</v>
      </c>
      <c r="F262" s="58" t="s">
        <v>1768</v>
      </c>
      <c r="G262" s="106">
        <v>12</v>
      </c>
      <c r="H262" s="107"/>
      <c r="I262" s="107"/>
      <c r="J262" s="107"/>
      <c r="K262" s="107"/>
      <c r="L262" s="107"/>
      <c r="M262" s="107"/>
      <c r="N262" s="107"/>
      <c r="O262" s="107"/>
      <c r="P262" s="107"/>
    </row>
    <row r="263" spans="1:16" x14ac:dyDescent="0.3">
      <c r="A263" s="58" t="str">
        <f t="shared" si="16"/>
        <v>A005290</v>
      </c>
      <c r="B263" s="59" t="str">
        <f t="shared" si="13"/>
        <v/>
      </c>
      <c r="C263" s="59" t="str">
        <f t="shared" si="14"/>
        <v/>
      </c>
      <c r="D263" s="109" t="str">
        <f t="shared" si="15"/>
        <v/>
      </c>
      <c r="E263" s="106" t="s">
        <v>298</v>
      </c>
      <c r="F263" s="58" t="s">
        <v>1769</v>
      </c>
      <c r="G263" s="106">
        <v>12</v>
      </c>
      <c r="H263" s="107"/>
      <c r="I263" s="107"/>
      <c r="J263" s="107"/>
      <c r="K263" s="107"/>
      <c r="L263" s="107"/>
      <c r="M263" s="107"/>
      <c r="N263" s="107"/>
      <c r="O263" s="107"/>
      <c r="P263" s="107"/>
    </row>
    <row r="264" spans="1:16" x14ac:dyDescent="0.3">
      <c r="A264" s="58" t="str">
        <f t="shared" si="16"/>
        <v>A005300</v>
      </c>
      <c r="B264" s="59" t="str">
        <f t="shared" si="13"/>
        <v/>
      </c>
      <c r="C264" s="59" t="str">
        <f t="shared" si="14"/>
        <v/>
      </c>
      <c r="D264" s="109" t="str">
        <f t="shared" si="15"/>
        <v/>
      </c>
      <c r="E264" s="106" t="s">
        <v>299</v>
      </c>
      <c r="F264" s="58" t="s">
        <v>1770</v>
      </c>
      <c r="G264" s="106">
        <v>12</v>
      </c>
      <c r="H264" s="107"/>
      <c r="I264" s="107"/>
      <c r="J264" s="107"/>
      <c r="K264" s="107"/>
      <c r="L264" s="107"/>
      <c r="M264" s="107"/>
      <c r="N264" s="107"/>
      <c r="O264" s="107"/>
      <c r="P264" s="107"/>
    </row>
    <row r="265" spans="1:16" x14ac:dyDescent="0.3">
      <c r="A265" s="58" t="str">
        <f t="shared" si="16"/>
        <v>A005320</v>
      </c>
      <c r="B265" s="59" t="str">
        <f t="shared" si="13"/>
        <v/>
      </c>
      <c r="C265" s="59" t="str">
        <f t="shared" si="14"/>
        <v/>
      </c>
      <c r="D265" s="109" t="str">
        <f t="shared" si="15"/>
        <v/>
      </c>
      <c r="E265" s="106" t="s">
        <v>300</v>
      </c>
      <c r="F265" s="58" t="s">
        <v>1771</v>
      </c>
      <c r="G265" s="106">
        <v>12</v>
      </c>
      <c r="H265" s="107"/>
      <c r="I265" s="107"/>
      <c r="J265" s="107"/>
      <c r="K265" s="107"/>
      <c r="L265" s="107"/>
      <c r="M265" s="107"/>
      <c r="N265" s="107"/>
      <c r="O265" s="107"/>
      <c r="P265" s="107"/>
    </row>
    <row r="266" spans="1:16" x14ac:dyDescent="0.3">
      <c r="A266" s="58" t="str">
        <f t="shared" si="16"/>
        <v>A005360</v>
      </c>
      <c r="B266" s="59" t="str">
        <f t="shared" si="13"/>
        <v/>
      </c>
      <c r="C266" s="59" t="str">
        <f t="shared" si="14"/>
        <v/>
      </c>
      <c r="D266" s="109" t="str">
        <f t="shared" si="15"/>
        <v/>
      </c>
      <c r="E266" s="106" t="s">
        <v>301</v>
      </c>
      <c r="F266" s="58" t="s">
        <v>1772</v>
      </c>
      <c r="G266" s="106">
        <v>12</v>
      </c>
      <c r="H266" s="107"/>
      <c r="I266" s="107"/>
      <c r="J266" s="107"/>
      <c r="K266" s="107"/>
      <c r="L266" s="107"/>
      <c r="M266" s="107"/>
      <c r="N266" s="107"/>
      <c r="O266" s="107"/>
      <c r="P266" s="107"/>
    </row>
    <row r="267" spans="1:16" x14ac:dyDescent="0.3">
      <c r="A267" s="58" t="str">
        <f t="shared" si="16"/>
        <v>A005380</v>
      </c>
      <c r="B267" s="59">
        <f t="shared" si="13"/>
        <v>41480</v>
      </c>
      <c r="C267" s="59">
        <f t="shared" si="14"/>
        <v>41480</v>
      </c>
      <c r="D267" s="109">
        <f t="shared" si="15"/>
        <v>2406.4899999999998</v>
      </c>
      <c r="E267" s="106" t="s">
        <v>302</v>
      </c>
      <c r="F267" s="58" t="s">
        <v>1773</v>
      </c>
      <c r="G267" s="106">
        <v>12</v>
      </c>
      <c r="H267" s="107">
        <v>20130725</v>
      </c>
      <c r="I267" s="107">
        <v>20130725</v>
      </c>
      <c r="J267" s="107">
        <v>2406.4899999999998</v>
      </c>
      <c r="K267" s="107"/>
      <c r="L267" s="107"/>
      <c r="M267" s="107"/>
      <c r="N267" s="107"/>
      <c r="O267" s="107"/>
      <c r="P267" s="107"/>
    </row>
    <row r="268" spans="1:16" x14ac:dyDescent="0.3">
      <c r="A268" s="58" t="str">
        <f t="shared" si="16"/>
        <v>A005390</v>
      </c>
      <c r="B268" s="59" t="str">
        <f t="shared" si="13"/>
        <v/>
      </c>
      <c r="C268" s="59" t="str">
        <f t="shared" si="14"/>
        <v/>
      </c>
      <c r="D268" s="109" t="str">
        <f t="shared" si="15"/>
        <v/>
      </c>
      <c r="E268" s="106" t="s">
        <v>303</v>
      </c>
      <c r="F268" s="58" t="s">
        <v>1774</v>
      </c>
      <c r="G268" s="106">
        <v>6</v>
      </c>
      <c r="H268" s="107"/>
      <c r="I268" s="107"/>
      <c r="J268" s="107"/>
      <c r="K268" s="107"/>
      <c r="L268" s="107"/>
      <c r="M268" s="107"/>
      <c r="N268" s="107"/>
      <c r="O268" s="107"/>
      <c r="P268" s="107"/>
    </row>
    <row r="269" spans="1:16" x14ac:dyDescent="0.3">
      <c r="A269" s="58" t="str">
        <f t="shared" si="16"/>
        <v>A005420</v>
      </c>
      <c r="B269" s="59" t="str">
        <f t="shared" si="13"/>
        <v/>
      </c>
      <c r="C269" s="59" t="str">
        <f t="shared" si="14"/>
        <v/>
      </c>
      <c r="D269" s="109" t="str">
        <f t="shared" si="15"/>
        <v/>
      </c>
      <c r="E269" s="106" t="s">
        <v>304</v>
      </c>
      <c r="F269" s="58" t="s">
        <v>1775</v>
      </c>
      <c r="G269" s="106">
        <v>12</v>
      </c>
      <c r="H269" s="107"/>
      <c r="I269" s="107"/>
      <c r="J269" s="107"/>
      <c r="K269" s="107"/>
      <c r="L269" s="107"/>
      <c r="M269" s="107"/>
      <c r="N269" s="107"/>
      <c r="O269" s="107"/>
      <c r="P269" s="107"/>
    </row>
    <row r="270" spans="1:16" x14ac:dyDescent="0.3">
      <c r="A270" s="58" t="str">
        <f t="shared" si="16"/>
        <v>A005430</v>
      </c>
      <c r="B270" s="59" t="str">
        <f t="shared" si="13"/>
        <v/>
      </c>
      <c r="C270" s="59" t="str">
        <f t="shared" si="14"/>
        <v/>
      </c>
      <c r="D270" s="109" t="str">
        <f t="shared" si="15"/>
        <v/>
      </c>
      <c r="E270" s="106" t="s">
        <v>305</v>
      </c>
      <c r="F270" s="58" t="s">
        <v>1776</v>
      </c>
      <c r="G270" s="106">
        <v>12</v>
      </c>
      <c r="H270" s="107"/>
      <c r="I270" s="107"/>
      <c r="J270" s="107"/>
      <c r="K270" s="107"/>
      <c r="L270" s="107"/>
      <c r="M270" s="107"/>
      <c r="N270" s="107"/>
      <c r="O270" s="107"/>
      <c r="P270" s="107"/>
    </row>
    <row r="271" spans="1:16" x14ac:dyDescent="0.3">
      <c r="A271" s="58" t="str">
        <f t="shared" si="16"/>
        <v>A005440</v>
      </c>
      <c r="B271" s="59" t="str">
        <f t="shared" ref="B271:B334" si="17">IFERROR(IF(ISNUMBER(H271),DATE(LEFT(H271,4),MID(H271,5,2),RIGHT(H271,2)),NA()),"")</f>
        <v/>
      </c>
      <c r="C271" s="59" t="str">
        <f t="shared" ref="C271:C334" si="18">IFERROR(IF(ISNUMBER(I271),DATE(LEFT(I271,4),MID(I271,5,2),RIGHT(I271,2)),NA()),"")</f>
        <v/>
      </c>
      <c r="D271" s="109" t="str">
        <f t="shared" ref="D271:D334" si="19">IFERROR(IF(ISNUMBER(J271),J271,NA()),"")</f>
        <v/>
      </c>
      <c r="E271" s="106" t="s">
        <v>306</v>
      </c>
      <c r="F271" s="58" t="s">
        <v>1777</v>
      </c>
      <c r="G271" s="106">
        <v>12</v>
      </c>
      <c r="H271" s="107"/>
      <c r="I271" s="107"/>
      <c r="J271" s="107"/>
      <c r="K271" s="107"/>
      <c r="L271" s="107"/>
      <c r="M271" s="107"/>
      <c r="N271" s="107"/>
      <c r="O271" s="107"/>
      <c r="P271" s="107"/>
    </row>
    <row r="272" spans="1:16" x14ac:dyDescent="0.3">
      <c r="A272" s="58" t="str">
        <f t="shared" si="16"/>
        <v>A005450</v>
      </c>
      <c r="B272" s="59" t="str">
        <f t="shared" si="17"/>
        <v/>
      </c>
      <c r="C272" s="59" t="str">
        <f t="shared" si="18"/>
        <v/>
      </c>
      <c r="D272" s="109" t="str">
        <f t="shared" si="19"/>
        <v/>
      </c>
      <c r="E272" s="106" t="s">
        <v>307</v>
      </c>
      <c r="F272" s="58" t="s">
        <v>1778</v>
      </c>
      <c r="G272" s="106">
        <v>12</v>
      </c>
      <c r="H272" s="107"/>
      <c r="I272" s="107"/>
      <c r="J272" s="107"/>
      <c r="K272" s="107"/>
      <c r="L272" s="107"/>
      <c r="M272" s="107"/>
      <c r="N272" s="107"/>
      <c r="O272" s="107"/>
      <c r="P272" s="107"/>
    </row>
    <row r="273" spans="1:16" x14ac:dyDescent="0.3">
      <c r="A273" s="58" t="str">
        <f t="shared" si="16"/>
        <v>A005490</v>
      </c>
      <c r="B273" s="59">
        <f t="shared" si="17"/>
        <v>41480</v>
      </c>
      <c r="C273" s="59">
        <f t="shared" si="18"/>
        <v>41480</v>
      </c>
      <c r="D273" s="109">
        <f t="shared" si="19"/>
        <v>902.59</v>
      </c>
      <c r="E273" s="106" t="s">
        <v>308</v>
      </c>
      <c r="F273" s="58" t="s">
        <v>1779</v>
      </c>
      <c r="G273" s="106">
        <v>12</v>
      </c>
      <c r="H273" s="107">
        <v>20130725</v>
      </c>
      <c r="I273" s="107">
        <v>20130725</v>
      </c>
      <c r="J273" s="107">
        <v>902.59</v>
      </c>
      <c r="K273" s="107"/>
      <c r="L273" s="107"/>
      <c r="M273" s="107"/>
      <c r="N273" s="107"/>
      <c r="O273" s="107"/>
      <c r="P273" s="107"/>
    </row>
    <row r="274" spans="1:16" x14ac:dyDescent="0.3">
      <c r="A274" s="58" t="str">
        <f t="shared" si="16"/>
        <v>A005500</v>
      </c>
      <c r="B274" s="59" t="str">
        <f t="shared" si="17"/>
        <v/>
      </c>
      <c r="C274" s="59" t="str">
        <f t="shared" si="18"/>
        <v/>
      </c>
      <c r="D274" s="109" t="str">
        <f t="shared" si="19"/>
        <v/>
      </c>
      <c r="E274" s="106" t="s">
        <v>309</v>
      </c>
      <c r="F274" s="58" t="s">
        <v>1780</v>
      </c>
      <c r="G274" s="106">
        <v>12</v>
      </c>
      <c r="H274" s="107"/>
      <c r="I274" s="107"/>
      <c r="J274" s="107"/>
      <c r="K274" s="107"/>
      <c r="L274" s="107"/>
      <c r="M274" s="107"/>
      <c r="N274" s="107"/>
      <c r="O274" s="107"/>
      <c r="P274" s="107"/>
    </row>
    <row r="275" spans="1:16" x14ac:dyDescent="0.3">
      <c r="A275" s="58" t="str">
        <f t="shared" si="16"/>
        <v>A005560</v>
      </c>
      <c r="B275" s="59" t="str">
        <f t="shared" si="17"/>
        <v/>
      </c>
      <c r="C275" s="59" t="str">
        <f t="shared" si="18"/>
        <v/>
      </c>
      <c r="D275" s="109" t="str">
        <f t="shared" si="19"/>
        <v/>
      </c>
      <c r="E275" s="106" t="s">
        <v>310</v>
      </c>
      <c r="F275" s="58" t="s">
        <v>1781</v>
      </c>
      <c r="G275" s="106">
        <v>12</v>
      </c>
      <c r="H275" s="107"/>
      <c r="I275" s="107"/>
      <c r="J275" s="107"/>
      <c r="K275" s="107"/>
      <c r="L275" s="107"/>
      <c r="M275" s="107"/>
      <c r="N275" s="107"/>
      <c r="O275" s="107"/>
      <c r="P275" s="107"/>
    </row>
    <row r="276" spans="1:16" x14ac:dyDescent="0.3">
      <c r="A276" s="58" t="str">
        <f t="shared" si="16"/>
        <v>A005610</v>
      </c>
      <c r="B276" s="59" t="str">
        <f t="shared" si="17"/>
        <v/>
      </c>
      <c r="C276" s="59" t="str">
        <f t="shared" si="18"/>
        <v/>
      </c>
      <c r="D276" s="109" t="str">
        <f t="shared" si="19"/>
        <v/>
      </c>
      <c r="E276" s="106" t="s">
        <v>311</v>
      </c>
      <c r="F276" s="58" t="s">
        <v>1782</v>
      </c>
      <c r="G276" s="106">
        <v>12</v>
      </c>
      <c r="H276" s="107"/>
      <c r="I276" s="107"/>
      <c r="J276" s="107"/>
      <c r="K276" s="107"/>
      <c r="L276" s="107"/>
      <c r="M276" s="107"/>
      <c r="N276" s="107"/>
      <c r="O276" s="107"/>
      <c r="P276" s="107"/>
    </row>
    <row r="277" spans="1:16" x14ac:dyDescent="0.3">
      <c r="A277" s="58" t="str">
        <f t="shared" si="16"/>
        <v>A005620</v>
      </c>
      <c r="B277" s="59" t="str">
        <f t="shared" si="17"/>
        <v/>
      </c>
      <c r="C277" s="59" t="str">
        <f t="shared" si="18"/>
        <v/>
      </c>
      <c r="D277" s="109" t="str">
        <f t="shared" si="19"/>
        <v/>
      </c>
      <c r="E277" s="106" t="s">
        <v>312</v>
      </c>
      <c r="F277" s="58" t="s">
        <v>1783</v>
      </c>
      <c r="G277" s="106">
        <v>12</v>
      </c>
      <c r="H277" s="107"/>
      <c r="I277" s="107"/>
      <c r="J277" s="107"/>
      <c r="K277" s="107"/>
      <c r="L277" s="107"/>
      <c r="M277" s="107"/>
      <c r="N277" s="107"/>
      <c r="O277" s="107"/>
      <c r="P277" s="107"/>
    </row>
    <row r="278" spans="1:16" x14ac:dyDescent="0.3">
      <c r="A278" s="58" t="str">
        <f t="shared" ref="A278:A341" si="20">E278</f>
        <v>A005670</v>
      </c>
      <c r="B278" s="59" t="str">
        <f t="shared" si="17"/>
        <v/>
      </c>
      <c r="C278" s="59" t="str">
        <f t="shared" si="18"/>
        <v/>
      </c>
      <c r="D278" s="109" t="str">
        <f t="shared" si="19"/>
        <v/>
      </c>
      <c r="E278" s="106" t="s">
        <v>313</v>
      </c>
      <c r="F278" s="58" t="s">
        <v>1784</v>
      </c>
      <c r="G278" s="106">
        <v>12</v>
      </c>
      <c r="H278" s="107"/>
      <c r="I278" s="107"/>
      <c r="J278" s="107"/>
      <c r="K278" s="107"/>
      <c r="L278" s="107"/>
      <c r="M278" s="107"/>
      <c r="N278" s="107"/>
      <c r="O278" s="107"/>
      <c r="P278" s="107"/>
    </row>
    <row r="279" spans="1:16" x14ac:dyDescent="0.3">
      <c r="A279" s="58" t="str">
        <f t="shared" si="20"/>
        <v>A005680</v>
      </c>
      <c r="B279" s="59" t="str">
        <f t="shared" si="17"/>
        <v/>
      </c>
      <c r="C279" s="59" t="str">
        <f t="shared" si="18"/>
        <v/>
      </c>
      <c r="D279" s="109" t="str">
        <f t="shared" si="19"/>
        <v/>
      </c>
      <c r="E279" s="106" t="s">
        <v>314</v>
      </c>
      <c r="F279" s="58" t="s">
        <v>1785</v>
      </c>
      <c r="G279" s="106">
        <v>12</v>
      </c>
      <c r="H279" s="107"/>
      <c r="I279" s="107"/>
      <c r="J279" s="107"/>
      <c r="K279" s="107"/>
      <c r="L279" s="107"/>
      <c r="M279" s="107"/>
      <c r="N279" s="107"/>
      <c r="O279" s="107"/>
      <c r="P279" s="107"/>
    </row>
    <row r="280" spans="1:16" x14ac:dyDescent="0.3">
      <c r="A280" s="58" t="str">
        <f t="shared" si="20"/>
        <v>A005690</v>
      </c>
      <c r="B280" s="59" t="str">
        <f t="shared" si="17"/>
        <v/>
      </c>
      <c r="C280" s="59" t="str">
        <f t="shared" si="18"/>
        <v/>
      </c>
      <c r="D280" s="109" t="str">
        <f t="shared" si="19"/>
        <v/>
      </c>
      <c r="E280" s="106" t="s">
        <v>315</v>
      </c>
      <c r="F280" s="58" t="s">
        <v>1786</v>
      </c>
      <c r="G280" s="106">
        <v>12</v>
      </c>
      <c r="H280" s="107"/>
      <c r="I280" s="107"/>
      <c r="J280" s="107"/>
      <c r="K280" s="107"/>
      <c r="L280" s="107"/>
      <c r="M280" s="107"/>
      <c r="N280" s="107"/>
      <c r="O280" s="107"/>
      <c r="P280" s="107"/>
    </row>
    <row r="281" spans="1:16" x14ac:dyDescent="0.3">
      <c r="A281" s="58" t="str">
        <f t="shared" si="20"/>
        <v>A005710</v>
      </c>
      <c r="B281" s="59" t="str">
        <f t="shared" si="17"/>
        <v/>
      </c>
      <c r="C281" s="59" t="str">
        <f t="shared" si="18"/>
        <v/>
      </c>
      <c r="D281" s="109" t="str">
        <f t="shared" si="19"/>
        <v/>
      </c>
      <c r="E281" s="106" t="s">
        <v>316</v>
      </c>
      <c r="F281" s="58" t="s">
        <v>1787</v>
      </c>
      <c r="G281" s="106">
        <v>12</v>
      </c>
      <c r="H281" s="107"/>
      <c r="I281" s="107"/>
      <c r="J281" s="107"/>
      <c r="K281" s="107"/>
      <c r="L281" s="107"/>
      <c r="M281" s="107"/>
      <c r="N281" s="107"/>
      <c r="O281" s="107"/>
      <c r="P281" s="107"/>
    </row>
    <row r="282" spans="1:16" x14ac:dyDescent="0.3">
      <c r="A282" s="58" t="str">
        <f t="shared" si="20"/>
        <v>A005720</v>
      </c>
      <c r="B282" s="59" t="str">
        <f t="shared" si="17"/>
        <v/>
      </c>
      <c r="C282" s="59" t="str">
        <f t="shared" si="18"/>
        <v/>
      </c>
      <c r="D282" s="109" t="str">
        <f t="shared" si="19"/>
        <v/>
      </c>
      <c r="E282" s="106" t="s">
        <v>317</v>
      </c>
      <c r="F282" s="58" t="s">
        <v>1788</v>
      </c>
      <c r="G282" s="106">
        <v>12</v>
      </c>
      <c r="H282" s="107"/>
      <c r="I282" s="107"/>
      <c r="J282" s="107"/>
      <c r="K282" s="107"/>
      <c r="L282" s="107"/>
      <c r="M282" s="107"/>
      <c r="N282" s="107"/>
      <c r="O282" s="107"/>
      <c r="P282" s="107"/>
    </row>
    <row r="283" spans="1:16" x14ac:dyDescent="0.3">
      <c r="A283" s="58" t="str">
        <f t="shared" si="20"/>
        <v>A005740</v>
      </c>
      <c r="B283" s="59" t="str">
        <f t="shared" si="17"/>
        <v/>
      </c>
      <c r="C283" s="59" t="str">
        <f t="shared" si="18"/>
        <v/>
      </c>
      <c r="D283" s="109" t="str">
        <f t="shared" si="19"/>
        <v/>
      </c>
      <c r="E283" s="106" t="s">
        <v>318</v>
      </c>
      <c r="F283" s="58" t="s">
        <v>1789</v>
      </c>
      <c r="G283" s="106">
        <v>12</v>
      </c>
      <c r="H283" s="107"/>
      <c r="I283" s="107"/>
      <c r="J283" s="107"/>
      <c r="K283" s="107"/>
      <c r="L283" s="107"/>
      <c r="M283" s="107"/>
      <c r="N283" s="107"/>
      <c r="O283" s="107"/>
      <c r="P283" s="107"/>
    </row>
    <row r="284" spans="1:16" x14ac:dyDescent="0.3">
      <c r="A284" s="58" t="str">
        <f t="shared" si="20"/>
        <v>A005750</v>
      </c>
      <c r="B284" s="59" t="str">
        <f t="shared" si="17"/>
        <v/>
      </c>
      <c r="C284" s="59" t="str">
        <f t="shared" si="18"/>
        <v/>
      </c>
      <c r="D284" s="109" t="str">
        <f t="shared" si="19"/>
        <v/>
      </c>
      <c r="E284" s="106" t="s">
        <v>319</v>
      </c>
      <c r="F284" s="58" t="s">
        <v>1790</v>
      </c>
      <c r="G284" s="106">
        <v>12</v>
      </c>
      <c r="H284" s="107"/>
      <c r="I284" s="107"/>
      <c r="J284" s="107"/>
      <c r="K284" s="107"/>
      <c r="L284" s="107"/>
      <c r="M284" s="107"/>
      <c r="N284" s="107"/>
      <c r="O284" s="107"/>
      <c r="P284" s="107"/>
    </row>
    <row r="285" spans="1:16" x14ac:dyDescent="0.3">
      <c r="A285" s="58" t="str">
        <f t="shared" si="20"/>
        <v>A005800</v>
      </c>
      <c r="B285" s="59" t="str">
        <f t="shared" si="17"/>
        <v/>
      </c>
      <c r="C285" s="59" t="str">
        <f t="shared" si="18"/>
        <v/>
      </c>
      <c r="D285" s="109" t="str">
        <f t="shared" si="19"/>
        <v/>
      </c>
      <c r="E285" s="106" t="s">
        <v>320</v>
      </c>
      <c r="F285" s="58" t="s">
        <v>1791</v>
      </c>
      <c r="G285" s="106">
        <v>9</v>
      </c>
      <c r="H285" s="107"/>
      <c r="I285" s="107"/>
      <c r="J285" s="107"/>
      <c r="K285" s="107"/>
      <c r="L285" s="107"/>
      <c r="M285" s="107"/>
      <c r="N285" s="107"/>
      <c r="O285" s="107"/>
      <c r="P285" s="107"/>
    </row>
    <row r="286" spans="1:16" x14ac:dyDescent="0.3">
      <c r="A286" s="58" t="str">
        <f t="shared" si="20"/>
        <v>A005810</v>
      </c>
      <c r="B286" s="59" t="str">
        <f t="shared" si="17"/>
        <v/>
      </c>
      <c r="C286" s="59" t="str">
        <f t="shared" si="18"/>
        <v/>
      </c>
      <c r="D286" s="109" t="str">
        <f t="shared" si="19"/>
        <v/>
      </c>
      <c r="E286" s="106" t="s">
        <v>321</v>
      </c>
      <c r="F286" s="58" t="s">
        <v>1792</v>
      </c>
      <c r="G286" s="106">
        <v>12</v>
      </c>
      <c r="H286" s="107"/>
      <c r="I286" s="107"/>
      <c r="J286" s="107"/>
      <c r="K286" s="107"/>
      <c r="L286" s="107"/>
      <c r="M286" s="107"/>
      <c r="N286" s="107"/>
      <c r="O286" s="107"/>
      <c r="P286" s="107"/>
    </row>
    <row r="287" spans="1:16" x14ac:dyDescent="0.3">
      <c r="A287" s="58" t="str">
        <f t="shared" si="20"/>
        <v>A005820</v>
      </c>
      <c r="B287" s="59" t="str">
        <f t="shared" si="17"/>
        <v/>
      </c>
      <c r="C287" s="59" t="str">
        <f t="shared" si="18"/>
        <v/>
      </c>
      <c r="D287" s="109" t="str">
        <f t="shared" si="19"/>
        <v/>
      </c>
      <c r="E287" s="106" t="s">
        <v>322</v>
      </c>
      <c r="F287" s="58" t="s">
        <v>1793</v>
      </c>
      <c r="G287" s="106">
        <v>12</v>
      </c>
      <c r="H287" s="107"/>
      <c r="I287" s="107"/>
      <c r="J287" s="107"/>
      <c r="K287" s="107"/>
      <c r="L287" s="107"/>
      <c r="M287" s="107"/>
      <c r="N287" s="107"/>
      <c r="O287" s="107"/>
      <c r="P287" s="107"/>
    </row>
    <row r="288" spans="1:16" x14ac:dyDescent="0.3">
      <c r="A288" s="58" t="str">
        <f t="shared" si="20"/>
        <v>A005830</v>
      </c>
      <c r="B288" s="59" t="str">
        <f t="shared" si="17"/>
        <v/>
      </c>
      <c r="C288" s="59" t="str">
        <f t="shared" si="18"/>
        <v/>
      </c>
      <c r="D288" s="109" t="str">
        <f t="shared" si="19"/>
        <v/>
      </c>
      <c r="E288" s="106" t="s">
        <v>323</v>
      </c>
      <c r="F288" s="58" t="s">
        <v>1794</v>
      </c>
      <c r="G288" s="106">
        <v>3</v>
      </c>
      <c r="H288" s="107"/>
      <c r="I288" s="107"/>
      <c r="J288" s="107"/>
      <c r="K288" s="107"/>
      <c r="L288" s="107"/>
      <c r="M288" s="107"/>
      <c r="N288" s="107"/>
      <c r="O288" s="107"/>
      <c r="P288" s="107"/>
    </row>
    <row r="289" spans="1:16" x14ac:dyDescent="0.3">
      <c r="A289" s="58" t="str">
        <f t="shared" si="20"/>
        <v>A005850</v>
      </c>
      <c r="B289" s="59" t="str">
        <f t="shared" si="17"/>
        <v/>
      </c>
      <c r="C289" s="59" t="str">
        <f t="shared" si="18"/>
        <v/>
      </c>
      <c r="D289" s="109" t="str">
        <f t="shared" si="19"/>
        <v/>
      </c>
      <c r="E289" s="106" t="s">
        <v>324</v>
      </c>
      <c r="F289" s="58" t="s">
        <v>1795</v>
      </c>
      <c r="G289" s="106">
        <v>12</v>
      </c>
      <c r="H289" s="107"/>
      <c r="I289" s="107"/>
      <c r="J289" s="107"/>
      <c r="K289" s="107"/>
      <c r="L289" s="107"/>
      <c r="M289" s="107"/>
      <c r="N289" s="107"/>
      <c r="O289" s="107"/>
      <c r="P289" s="107"/>
    </row>
    <row r="290" spans="1:16" x14ac:dyDescent="0.3">
      <c r="A290" s="58" t="str">
        <f t="shared" si="20"/>
        <v>A005860</v>
      </c>
      <c r="B290" s="59" t="str">
        <f t="shared" si="17"/>
        <v/>
      </c>
      <c r="C290" s="59" t="str">
        <f t="shared" si="18"/>
        <v/>
      </c>
      <c r="D290" s="109" t="str">
        <f t="shared" si="19"/>
        <v/>
      </c>
      <c r="E290" s="106" t="s">
        <v>325</v>
      </c>
      <c r="F290" s="58" t="s">
        <v>1796</v>
      </c>
      <c r="G290" s="106">
        <v>12</v>
      </c>
      <c r="H290" s="107"/>
      <c r="I290" s="107"/>
      <c r="J290" s="107"/>
      <c r="K290" s="107"/>
      <c r="L290" s="107"/>
      <c r="M290" s="107"/>
      <c r="N290" s="107"/>
      <c r="O290" s="107"/>
      <c r="P290" s="107"/>
    </row>
    <row r="291" spans="1:16" x14ac:dyDescent="0.3">
      <c r="A291" s="58" t="str">
        <f t="shared" si="20"/>
        <v>A005870</v>
      </c>
      <c r="B291" s="59" t="str">
        <f t="shared" si="17"/>
        <v/>
      </c>
      <c r="C291" s="59" t="str">
        <f t="shared" si="18"/>
        <v/>
      </c>
      <c r="D291" s="109" t="str">
        <f t="shared" si="19"/>
        <v/>
      </c>
      <c r="E291" s="106" t="s">
        <v>326</v>
      </c>
      <c r="F291" s="58" t="s">
        <v>1797</v>
      </c>
      <c r="G291" s="106">
        <v>12</v>
      </c>
      <c r="H291" s="107"/>
      <c r="I291" s="107"/>
      <c r="J291" s="107"/>
      <c r="K291" s="107"/>
      <c r="L291" s="107"/>
      <c r="M291" s="107"/>
      <c r="N291" s="107"/>
      <c r="O291" s="107"/>
      <c r="P291" s="107"/>
    </row>
    <row r="292" spans="1:16" x14ac:dyDescent="0.3">
      <c r="A292" s="58" t="str">
        <f t="shared" si="20"/>
        <v>A005880</v>
      </c>
      <c r="B292" s="59">
        <f t="shared" si="17"/>
        <v>41484</v>
      </c>
      <c r="C292" s="59">
        <f t="shared" si="18"/>
        <v>41484</v>
      </c>
      <c r="D292" s="109">
        <f t="shared" si="19"/>
        <v>26.22</v>
      </c>
      <c r="E292" s="106" t="s">
        <v>327</v>
      </c>
      <c r="F292" s="58" t="s">
        <v>1798</v>
      </c>
      <c r="G292" s="106">
        <v>12</v>
      </c>
      <c r="H292" s="107">
        <v>20130729</v>
      </c>
      <c r="I292" s="107">
        <v>20130729</v>
      </c>
      <c r="J292" s="107">
        <v>26.22</v>
      </c>
      <c r="K292" s="107"/>
      <c r="L292" s="107"/>
      <c r="M292" s="107"/>
      <c r="N292" s="107"/>
      <c r="O292" s="107"/>
      <c r="P292" s="107"/>
    </row>
    <row r="293" spans="1:16" x14ac:dyDescent="0.3">
      <c r="A293" s="58" t="str">
        <f t="shared" si="20"/>
        <v>A005900</v>
      </c>
      <c r="B293" s="59" t="str">
        <f t="shared" si="17"/>
        <v/>
      </c>
      <c r="C293" s="59" t="str">
        <f t="shared" si="18"/>
        <v/>
      </c>
      <c r="D293" s="109" t="str">
        <f t="shared" si="19"/>
        <v/>
      </c>
      <c r="E293" s="106" t="s">
        <v>328</v>
      </c>
      <c r="F293" s="58" t="s">
        <v>1799</v>
      </c>
      <c r="G293" s="106">
        <v>12</v>
      </c>
      <c r="H293" s="107"/>
      <c r="I293" s="107"/>
      <c r="J293" s="107"/>
      <c r="K293" s="107"/>
      <c r="L293" s="107"/>
      <c r="M293" s="107"/>
      <c r="N293" s="107"/>
      <c r="O293" s="107"/>
      <c r="P293" s="107"/>
    </row>
    <row r="294" spans="1:16" x14ac:dyDescent="0.3">
      <c r="A294" s="58" t="str">
        <f t="shared" si="20"/>
        <v>A005930</v>
      </c>
      <c r="B294" s="59">
        <f t="shared" si="17"/>
        <v>41460</v>
      </c>
      <c r="C294" s="59">
        <f t="shared" si="18"/>
        <v>41460</v>
      </c>
      <c r="D294" s="109">
        <f t="shared" si="19"/>
        <v>9530.68</v>
      </c>
      <c r="E294" s="106" t="s">
        <v>329</v>
      </c>
      <c r="F294" s="58" t="s">
        <v>1800</v>
      </c>
      <c r="G294" s="106">
        <v>12</v>
      </c>
      <c r="H294" s="107">
        <v>20130705</v>
      </c>
      <c r="I294" s="107">
        <v>20130705</v>
      </c>
      <c r="J294" s="107">
        <v>9530.68</v>
      </c>
      <c r="K294" s="107"/>
      <c r="L294" s="107"/>
      <c r="M294" s="107"/>
      <c r="N294" s="107"/>
      <c r="O294" s="107"/>
      <c r="P294" s="107"/>
    </row>
    <row r="295" spans="1:16" x14ac:dyDescent="0.3">
      <c r="A295" s="58" t="str">
        <f t="shared" si="20"/>
        <v>A005940</v>
      </c>
      <c r="B295" s="59" t="str">
        <f t="shared" si="17"/>
        <v/>
      </c>
      <c r="C295" s="59" t="str">
        <f t="shared" si="18"/>
        <v/>
      </c>
      <c r="D295" s="109" t="str">
        <f t="shared" si="19"/>
        <v/>
      </c>
      <c r="E295" s="106" t="s">
        <v>330</v>
      </c>
      <c r="F295" s="58" t="s">
        <v>5</v>
      </c>
      <c r="G295" s="106">
        <v>3</v>
      </c>
      <c r="H295" s="107"/>
      <c r="I295" s="107"/>
      <c r="J295" s="107"/>
      <c r="K295" s="107"/>
      <c r="L295" s="107"/>
      <c r="M295" s="107"/>
      <c r="N295" s="107"/>
      <c r="O295" s="107"/>
      <c r="P295" s="107"/>
    </row>
    <row r="296" spans="1:16" x14ac:dyDescent="0.3">
      <c r="A296" s="58" t="str">
        <f t="shared" si="20"/>
        <v>A005950</v>
      </c>
      <c r="B296" s="59" t="str">
        <f t="shared" si="17"/>
        <v/>
      </c>
      <c r="C296" s="59" t="str">
        <f t="shared" si="18"/>
        <v/>
      </c>
      <c r="D296" s="109" t="str">
        <f t="shared" si="19"/>
        <v/>
      </c>
      <c r="E296" s="106" t="s">
        <v>331</v>
      </c>
      <c r="F296" s="58" t="s">
        <v>1801</v>
      </c>
      <c r="G296" s="106">
        <v>12</v>
      </c>
      <c r="H296" s="107"/>
      <c r="I296" s="107"/>
      <c r="J296" s="107"/>
      <c r="K296" s="107"/>
      <c r="L296" s="107"/>
      <c r="M296" s="107"/>
      <c r="N296" s="107"/>
      <c r="O296" s="107"/>
      <c r="P296" s="107"/>
    </row>
    <row r="297" spans="1:16" x14ac:dyDescent="0.3">
      <c r="A297" s="58" t="str">
        <f t="shared" si="20"/>
        <v>A005960</v>
      </c>
      <c r="B297" s="59" t="str">
        <f t="shared" si="17"/>
        <v/>
      </c>
      <c r="C297" s="59" t="str">
        <f t="shared" si="18"/>
        <v/>
      </c>
      <c r="D297" s="109" t="str">
        <f t="shared" si="19"/>
        <v/>
      </c>
      <c r="E297" s="106" t="s">
        <v>332</v>
      </c>
      <c r="F297" s="58" t="s">
        <v>1802</v>
      </c>
      <c r="G297" s="106">
        <v>12</v>
      </c>
      <c r="H297" s="107"/>
      <c r="I297" s="107"/>
      <c r="J297" s="107"/>
      <c r="K297" s="107"/>
      <c r="L297" s="107"/>
      <c r="M297" s="107"/>
      <c r="N297" s="107"/>
      <c r="O297" s="107"/>
      <c r="P297" s="107"/>
    </row>
    <row r="298" spans="1:16" x14ac:dyDescent="0.3">
      <c r="A298" s="58" t="str">
        <f t="shared" si="20"/>
        <v>A005980</v>
      </c>
      <c r="B298" s="59" t="str">
        <f t="shared" si="17"/>
        <v/>
      </c>
      <c r="C298" s="59" t="str">
        <f t="shared" si="18"/>
        <v/>
      </c>
      <c r="D298" s="109" t="str">
        <f t="shared" si="19"/>
        <v/>
      </c>
      <c r="E298" s="106" t="s">
        <v>333</v>
      </c>
      <c r="F298" s="58" t="s">
        <v>1803</v>
      </c>
      <c r="G298" s="106">
        <v>12</v>
      </c>
      <c r="H298" s="107"/>
      <c r="I298" s="107"/>
      <c r="J298" s="107"/>
      <c r="K298" s="107"/>
      <c r="L298" s="107"/>
      <c r="M298" s="107"/>
      <c r="N298" s="107"/>
      <c r="O298" s="107"/>
      <c r="P298" s="107"/>
    </row>
    <row r="299" spans="1:16" x14ac:dyDescent="0.3">
      <c r="A299" s="58" t="str">
        <f t="shared" si="20"/>
        <v>A005990</v>
      </c>
      <c r="B299" s="59" t="str">
        <f t="shared" si="17"/>
        <v/>
      </c>
      <c r="C299" s="59" t="str">
        <f t="shared" si="18"/>
        <v/>
      </c>
      <c r="D299" s="109" t="str">
        <f t="shared" si="19"/>
        <v/>
      </c>
      <c r="E299" s="106" t="s">
        <v>334</v>
      </c>
      <c r="F299" s="58" t="s">
        <v>1804</v>
      </c>
      <c r="G299" s="106">
        <v>12</v>
      </c>
      <c r="H299" s="107"/>
      <c r="I299" s="107"/>
      <c r="J299" s="107"/>
      <c r="K299" s="107"/>
      <c r="L299" s="107"/>
      <c r="M299" s="107"/>
      <c r="N299" s="107"/>
      <c r="O299" s="107"/>
      <c r="P299" s="107"/>
    </row>
    <row r="300" spans="1:16" x14ac:dyDescent="0.3">
      <c r="A300" s="58" t="str">
        <f t="shared" si="20"/>
        <v>A006040</v>
      </c>
      <c r="B300" s="59" t="str">
        <f t="shared" si="17"/>
        <v/>
      </c>
      <c r="C300" s="59" t="str">
        <f t="shared" si="18"/>
        <v/>
      </c>
      <c r="D300" s="109" t="str">
        <f t="shared" si="19"/>
        <v/>
      </c>
      <c r="E300" s="106" t="s">
        <v>335</v>
      </c>
      <c r="F300" s="58" t="s">
        <v>1805</v>
      </c>
      <c r="G300" s="106">
        <v>12</v>
      </c>
      <c r="H300" s="107"/>
      <c r="I300" s="107"/>
      <c r="J300" s="107"/>
      <c r="K300" s="107"/>
      <c r="L300" s="107"/>
      <c r="M300" s="107"/>
      <c r="N300" s="107"/>
      <c r="O300" s="107"/>
      <c r="P300" s="107"/>
    </row>
    <row r="301" spans="1:16" x14ac:dyDescent="0.3">
      <c r="A301" s="58" t="str">
        <f t="shared" si="20"/>
        <v>A006050</v>
      </c>
      <c r="B301" s="59" t="str">
        <f t="shared" si="17"/>
        <v/>
      </c>
      <c r="C301" s="59" t="str">
        <f t="shared" si="18"/>
        <v/>
      </c>
      <c r="D301" s="109" t="str">
        <f t="shared" si="19"/>
        <v/>
      </c>
      <c r="E301" s="106" t="s">
        <v>336</v>
      </c>
      <c r="F301" s="58" t="s">
        <v>1806</v>
      </c>
      <c r="G301" s="106">
        <v>12</v>
      </c>
      <c r="H301" s="107"/>
      <c r="I301" s="107"/>
      <c r="J301" s="107"/>
      <c r="K301" s="107"/>
      <c r="L301" s="107"/>
      <c r="M301" s="107"/>
      <c r="N301" s="107"/>
      <c r="O301" s="107"/>
      <c r="P301" s="107"/>
    </row>
    <row r="302" spans="1:16" x14ac:dyDescent="0.3">
      <c r="A302" s="58" t="str">
        <f t="shared" si="20"/>
        <v>A006060</v>
      </c>
      <c r="B302" s="59" t="str">
        <f t="shared" si="17"/>
        <v/>
      </c>
      <c r="C302" s="59" t="str">
        <f t="shared" si="18"/>
        <v/>
      </c>
      <c r="D302" s="109" t="str">
        <f t="shared" si="19"/>
        <v/>
      </c>
      <c r="E302" s="106" t="s">
        <v>337</v>
      </c>
      <c r="F302" s="58" t="s">
        <v>1807</v>
      </c>
      <c r="G302" s="106">
        <v>12</v>
      </c>
      <c r="H302" s="107"/>
      <c r="I302" s="107"/>
      <c r="J302" s="107"/>
      <c r="K302" s="107"/>
      <c r="L302" s="107"/>
      <c r="M302" s="107"/>
      <c r="N302" s="107"/>
      <c r="O302" s="107"/>
      <c r="P302" s="107"/>
    </row>
    <row r="303" spans="1:16" x14ac:dyDescent="0.3">
      <c r="A303" s="58" t="str">
        <f t="shared" si="20"/>
        <v>A006090</v>
      </c>
      <c r="B303" s="59" t="str">
        <f t="shared" si="17"/>
        <v/>
      </c>
      <c r="C303" s="59" t="str">
        <f t="shared" si="18"/>
        <v/>
      </c>
      <c r="D303" s="109" t="str">
        <f t="shared" si="19"/>
        <v/>
      </c>
      <c r="E303" s="106" t="s">
        <v>338</v>
      </c>
      <c r="F303" s="58" t="s">
        <v>1808</v>
      </c>
      <c r="G303" s="106">
        <v>12</v>
      </c>
      <c r="H303" s="107"/>
      <c r="I303" s="107"/>
      <c r="J303" s="107"/>
      <c r="K303" s="107"/>
      <c r="L303" s="107"/>
      <c r="M303" s="107"/>
      <c r="N303" s="107"/>
      <c r="O303" s="107"/>
      <c r="P303" s="107"/>
    </row>
    <row r="304" spans="1:16" x14ac:dyDescent="0.3">
      <c r="A304" s="58" t="str">
        <f t="shared" si="20"/>
        <v>A006110</v>
      </c>
      <c r="B304" s="59" t="str">
        <f t="shared" si="17"/>
        <v/>
      </c>
      <c r="C304" s="59" t="str">
        <f t="shared" si="18"/>
        <v/>
      </c>
      <c r="D304" s="109" t="str">
        <f t="shared" si="19"/>
        <v/>
      </c>
      <c r="E304" s="106" t="s">
        <v>339</v>
      </c>
      <c r="F304" s="58" t="s">
        <v>1809</v>
      </c>
      <c r="G304" s="106">
        <v>12</v>
      </c>
      <c r="H304" s="107"/>
      <c r="I304" s="107"/>
      <c r="J304" s="107"/>
      <c r="K304" s="107"/>
      <c r="L304" s="107"/>
      <c r="M304" s="107"/>
      <c r="N304" s="107"/>
      <c r="O304" s="107"/>
      <c r="P304" s="107"/>
    </row>
    <row r="305" spans="1:16" x14ac:dyDescent="0.3">
      <c r="A305" s="58" t="str">
        <f t="shared" si="20"/>
        <v>A006120</v>
      </c>
      <c r="B305" s="59" t="str">
        <f t="shared" si="17"/>
        <v/>
      </c>
      <c r="C305" s="59" t="str">
        <f t="shared" si="18"/>
        <v/>
      </c>
      <c r="D305" s="109" t="str">
        <f t="shared" si="19"/>
        <v/>
      </c>
      <c r="E305" s="106" t="s">
        <v>340</v>
      </c>
      <c r="F305" s="58" t="s">
        <v>1810</v>
      </c>
      <c r="G305" s="106">
        <v>12</v>
      </c>
      <c r="H305" s="107"/>
      <c r="I305" s="107"/>
      <c r="J305" s="107"/>
      <c r="K305" s="107"/>
      <c r="L305" s="107"/>
      <c r="M305" s="107"/>
      <c r="N305" s="107"/>
      <c r="O305" s="107"/>
      <c r="P305" s="107"/>
    </row>
    <row r="306" spans="1:16" x14ac:dyDescent="0.3">
      <c r="A306" s="58" t="str">
        <f t="shared" si="20"/>
        <v>A006140</v>
      </c>
      <c r="B306" s="59" t="str">
        <f t="shared" si="17"/>
        <v/>
      </c>
      <c r="C306" s="59" t="str">
        <f t="shared" si="18"/>
        <v/>
      </c>
      <c r="D306" s="109" t="str">
        <f t="shared" si="19"/>
        <v/>
      </c>
      <c r="E306" s="106" t="s">
        <v>341</v>
      </c>
      <c r="F306" s="58" t="s">
        <v>1811</v>
      </c>
      <c r="G306" s="106">
        <v>12</v>
      </c>
      <c r="H306" s="107"/>
      <c r="I306" s="107"/>
      <c r="J306" s="107"/>
      <c r="K306" s="107"/>
      <c r="L306" s="107"/>
      <c r="M306" s="107"/>
      <c r="N306" s="107"/>
      <c r="O306" s="107"/>
      <c r="P306" s="107"/>
    </row>
    <row r="307" spans="1:16" x14ac:dyDescent="0.3">
      <c r="A307" s="58" t="str">
        <f t="shared" si="20"/>
        <v>A006200</v>
      </c>
      <c r="B307" s="59" t="str">
        <f t="shared" si="17"/>
        <v/>
      </c>
      <c r="C307" s="59" t="str">
        <f t="shared" si="18"/>
        <v/>
      </c>
      <c r="D307" s="109" t="str">
        <f t="shared" si="19"/>
        <v/>
      </c>
      <c r="E307" s="106" t="s">
        <v>342</v>
      </c>
      <c r="F307" s="58" t="s">
        <v>1812</v>
      </c>
      <c r="G307" s="106">
        <v>12</v>
      </c>
      <c r="H307" s="107"/>
      <c r="I307" s="107"/>
      <c r="J307" s="107"/>
      <c r="K307" s="107"/>
      <c r="L307" s="107"/>
      <c r="M307" s="107"/>
      <c r="N307" s="107"/>
      <c r="O307" s="107"/>
      <c r="P307" s="107"/>
    </row>
    <row r="308" spans="1:16" x14ac:dyDescent="0.3">
      <c r="A308" s="58" t="str">
        <f t="shared" si="20"/>
        <v>A006220</v>
      </c>
      <c r="B308" s="59" t="str">
        <f t="shared" si="17"/>
        <v/>
      </c>
      <c r="C308" s="59" t="str">
        <f t="shared" si="18"/>
        <v/>
      </c>
      <c r="D308" s="109" t="str">
        <f t="shared" si="19"/>
        <v/>
      </c>
      <c r="E308" s="106" t="s">
        <v>343</v>
      </c>
      <c r="F308" s="58" t="s">
        <v>1813</v>
      </c>
      <c r="G308" s="106">
        <v>12</v>
      </c>
      <c r="H308" s="107"/>
      <c r="I308" s="107"/>
      <c r="J308" s="107"/>
      <c r="K308" s="107"/>
      <c r="L308" s="107"/>
      <c r="M308" s="107"/>
      <c r="N308" s="107"/>
      <c r="O308" s="107"/>
      <c r="P308" s="107"/>
    </row>
    <row r="309" spans="1:16" x14ac:dyDescent="0.3">
      <c r="A309" s="58" t="str">
        <f t="shared" si="20"/>
        <v>A006260</v>
      </c>
      <c r="B309" s="59">
        <f t="shared" si="17"/>
        <v>41494</v>
      </c>
      <c r="C309" s="59" t="str">
        <f t="shared" si="18"/>
        <v/>
      </c>
      <c r="D309" s="109" t="str">
        <f t="shared" si="19"/>
        <v/>
      </c>
      <c r="E309" s="106" t="s">
        <v>344</v>
      </c>
      <c r="F309" s="58" t="s">
        <v>1814</v>
      </c>
      <c r="G309" s="106">
        <v>12</v>
      </c>
      <c r="H309" s="107">
        <v>20130808</v>
      </c>
      <c r="I309" s="107"/>
      <c r="J309" s="107"/>
      <c r="K309" s="107"/>
      <c r="L309" s="107"/>
      <c r="M309" s="107"/>
      <c r="N309" s="107"/>
      <c r="O309" s="107"/>
      <c r="P309" s="107"/>
    </row>
    <row r="310" spans="1:16" x14ac:dyDescent="0.3">
      <c r="A310" s="58" t="str">
        <f t="shared" si="20"/>
        <v>A006280</v>
      </c>
      <c r="B310" s="59">
        <f t="shared" si="17"/>
        <v>41484</v>
      </c>
      <c r="C310" s="59">
        <f t="shared" si="18"/>
        <v>41484</v>
      </c>
      <c r="D310" s="109">
        <f t="shared" si="19"/>
        <v>17.07</v>
      </c>
      <c r="E310" s="106" t="s">
        <v>345</v>
      </c>
      <c r="F310" s="58" t="s">
        <v>1815</v>
      </c>
      <c r="G310" s="106">
        <v>12</v>
      </c>
      <c r="H310" s="107">
        <v>20130729</v>
      </c>
      <c r="I310" s="107">
        <v>20130729</v>
      </c>
      <c r="J310" s="107">
        <v>17.07</v>
      </c>
      <c r="K310" s="107"/>
      <c r="L310" s="107"/>
      <c r="M310" s="107"/>
      <c r="N310" s="107"/>
      <c r="O310" s="107"/>
      <c r="P310" s="107"/>
    </row>
    <row r="311" spans="1:16" x14ac:dyDescent="0.3">
      <c r="A311" s="58" t="str">
        <f t="shared" si="20"/>
        <v>A006340</v>
      </c>
      <c r="B311" s="59" t="str">
        <f t="shared" si="17"/>
        <v/>
      </c>
      <c r="C311" s="59" t="str">
        <f t="shared" si="18"/>
        <v/>
      </c>
      <c r="D311" s="109" t="str">
        <f t="shared" si="19"/>
        <v/>
      </c>
      <c r="E311" s="106" t="s">
        <v>346</v>
      </c>
      <c r="F311" s="58" t="s">
        <v>1816</v>
      </c>
      <c r="G311" s="106">
        <v>12</v>
      </c>
      <c r="H311" s="107"/>
      <c r="I311" s="107"/>
      <c r="J311" s="107"/>
      <c r="K311" s="107"/>
      <c r="L311" s="107"/>
      <c r="M311" s="107"/>
      <c r="N311" s="107"/>
      <c r="O311" s="107"/>
      <c r="P311" s="107"/>
    </row>
    <row r="312" spans="1:16" x14ac:dyDescent="0.3">
      <c r="A312" s="58" t="str">
        <f t="shared" si="20"/>
        <v>A006350</v>
      </c>
      <c r="B312" s="59" t="str">
        <f t="shared" si="17"/>
        <v/>
      </c>
      <c r="C312" s="59" t="str">
        <f t="shared" si="18"/>
        <v/>
      </c>
      <c r="D312" s="109" t="str">
        <f t="shared" si="19"/>
        <v/>
      </c>
      <c r="E312" s="106" t="s">
        <v>347</v>
      </c>
      <c r="F312" s="58" t="s">
        <v>1817</v>
      </c>
      <c r="G312" s="106">
        <v>12</v>
      </c>
      <c r="H312" s="107"/>
      <c r="I312" s="107"/>
      <c r="J312" s="107"/>
      <c r="K312" s="107"/>
      <c r="L312" s="107"/>
      <c r="M312" s="107"/>
      <c r="N312" s="107"/>
      <c r="O312" s="107"/>
      <c r="P312" s="107"/>
    </row>
    <row r="313" spans="1:16" x14ac:dyDescent="0.3">
      <c r="A313" s="58" t="str">
        <f t="shared" si="20"/>
        <v>A006360</v>
      </c>
      <c r="B313" s="59">
        <f t="shared" si="17"/>
        <v>41480</v>
      </c>
      <c r="C313" s="59">
        <f t="shared" si="18"/>
        <v>41480</v>
      </c>
      <c r="D313" s="109">
        <f t="shared" si="19"/>
        <v>-150.31</v>
      </c>
      <c r="E313" s="106" t="s">
        <v>348</v>
      </c>
      <c r="F313" s="58" t="s">
        <v>1818</v>
      </c>
      <c r="G313" s="106">
        <v>12</v>
      </c>
      <c r="H313" s="107">
        <v>20130725</v>
      </c>
      <c r="I313" s="107">
        <v>20130725</v>
      </c>
      <c r="J313" s="107">
        <v>-150.31</v>
      </c>
      <c r="K313" s="107"/>
      <c r="L313" s="107"/>
      <c r="M313" s="107"/>
      <c r="N313" s="107"/>
      <c r="O313" s="107"/>
      <c r="P313" s="107"/>
    </row>
    <row r="314" spans="1:16" x14ac:dyDescent="0.3">
      <c r="A314" s="58" t="str">
        <f t="shared" si="20"/>
        <v>A006370</v>
      </c>
      <c r="B314" s="59" t="str">
        <f t="shared" si="17"/>
        <v/>
      </c>
      <c r="C314" s="59" t="str">
        <f t="shared" si="18"/>
        <v/>
      </c>
      <c r="D314" s="109" t="str">
        <f t="shared" si="19"/>
        <v/>
      </c>
      <c r="E314" s="106" t="s">
        <v>349</v>
      </c>
      <c r="F314" s="58" t="s">
        <v>1819</v>
      </c>
      <c r="G314" s="106">
        <v>3</v>
      </c>
      <c r="H314" s="107"/>
      <c r="I314" s="107"/>
      <c r="J314" s="107"/>
      <c r="K314" s="107"/>
      <c r="L314" s="107"/>
      <c r="M314" s="107"/>
      <c r="N314" s="107"/>
      <c r="O314" s="107"/>
      <c r="P314" s="107"/>
    </row>
    <row r="315" spans="1:16" x14ac:dyDescent="0.3">
      <c r="A315" s="58" t="str">
        <f t="shared" si="20"/>
        <v>A006380</v>
      </c>
      <c r="B315" s="59" t="str">
        <f t="shared" si="17"/>
        <v/>
      </c>
      <c r="C315" s="59" t="str">
        <f t="shared" si="18"/>
        <v/>
      </c>
      <c r="D315" s="109" t="str">
        <f t="shared" si="19"/>
        <v/>
      </c>
      <c r="E315" s="106" t="s">
        <v>350</v>
      </c>
      <c r="F315" s="58" t="s">
        <v>1820</v>
      </c>
      <c r="G315" s="106">
        <v>12</v>
      </c>
      <c r="H315" s="107"/>
      <c r="I315" s="107"/>
      <c r="J315" s="107"/>
      <c r="K315" s="107"/>
      <c r="L315" s="107"/>
      <c r="M315" s="107"/>
      <c r="N315" s="107"/>
      <c r="O315" s="107"/>
      <c r="P315" s="107"/>
    </row>
    <row r="316" spans="1:16" x14ac:dyDescent="0.3">
      <c r="A316" s="58" t="str">
        <f t="shared" si="20"/>
        <v>A006390</v>
      </c>
      <c r="B316" s="59" t="str">
        <f t="shared" si="17"/>
        <v/>
      </c>
      <c r="C316" s="59" t="str">
        <f t="shared" si="18"/>
        <v/>
      </c>
      <c r="D316" s="109" t="str">
        <f t="shared" si="19"/>
        <v/>
      </c>
      <c r="E316" s="106" t="s">
        <v>351</v>
      </c>
      <c r="F316" s="58" t="s">
        <v>1821</v>
      </c>
      <c r="G316" s="106">
        <v>12</v>
      </c>
      <c r="H316" s="107"/>
      <c r="I316" s="107"/>
      <c r="J316" s="107"/>
      <c r="K316" s="107"/>
      <c r="L316" s="107"/>
      <c r="M316" s="107"/>
      <c r="N316" s="107"/>
      <c r="O316" s="107"/>
      <c r="P316" s="107"/>
    </row>
    <row r="317" spans="1:16" x14ac:dyDescent="0.3">
      <c r="A317" s="58" t="str">
        <f t="shared" si="20"/>
        <v>A006400</v>
      </c>
      <c r="B317" s="59">
        <f t="shared" si="17"/>
        <v>41481</v>
      </c>
      <c r="C317" s="59">
        <f t="shared" si="18"/>
        <v>41481</v>
      </c>
      <c r="D317" s="109">
        <f t="shared" si="19"/>
        <v>32.270000000000003</v>
      </c>
      <c r="E317" s="106" t="s">
        <v>352</v>
      </c>
      <c r="F317" s="58" t="s">
        <v>1822</v>
      </c>
      <c r="G317" s="106">
        <v>12</v>
      </c>
      <c r="H317" s="107">
        <v>20130726</v>
      </c>
      <c r="I317" s="107">
        <v>20130726</v>
      </c>
      <c r="J317" s="107">
        <v>32.270000000000003</v>
      </c>
      <c r="K317" s="107"/>
      <c r="L317" s="107"/>
      <c r="M317" s="107"/>
      <c r="N317" s="107"/>
      <c r="O317" s="107"/>
      <c r="P317" s="107"/>
    </row>
    <row r="318" spans="1:16" x14ac:dyDescent="0.3">
      <c r="A318" s="58" t="str">
        <f t="shared" si="20"/>
        <v>A006490</v>
      </c>
      <c r="B318" s="59" t="str">
        <f t="shared" si="17"/>
        <v/>
      </c>
      <c r="C318" s="59" t="str">
        <f t="shared" si="18"/>
        <v/>
      </c>
      <c r="D318" s="109" t="str">
        <f t="shared" si="19"/>
        <v/>
      </c>
      <c r="E318" s="106" t="s">
        <v>353</v>
      </c>
      <c r="F318" s="58" t="s">
        <v>1823</v>
      </c>
      <c r="G318" s="106">
        <v>12</v>
      </c>
      <c r="H318" s="107"/>
      <c r="I318" s="107"/>
      <c r="J318" s="107"/>
      <c r="K318" s="107"/>
      <c r="L318" s="107"/>
      <c r="M318" s="107"/>
      <c r="N318" s="107"/>
      <c r="O318" s="107"/>
      <c r="P318" s="107"/>
    </row>
    <row r="319" spans="1:16" x14ac:dyDescent="0.3">
      <c r="A319" s="58" t="str">
        <f t="shared" si="20"/>
        <v>A006570</v>
      </c>
      <c r="B319" s="59" t="str">
        <f t="shared" si="17"/>
        <v/>
      </c>
      <c r="C319" s="59" t="str">
        <f t="shared" si="18"/>
        <v/>
      </c>
      <c r="D319" s="109" t="str">
        <f t="shared" si="19"/>
        <v/>
      </c>
      <c r="E319" s="106" t="s">
        <v>354</v>
      </c>
      <c r="F319" s="58" t="s">
        <v>1824</v>
      </c>
      <c r="G319" s="106">
        <v>12</v>
      </c>
      <c r="H319" s="107"/>
      <c r="I319" s="107"/>
      <c r="J319" s="107"/>
      <c r="K319" s="107"/>
      <c r="L319" s="107"/>
      <c r="M319" s="107"/>
      <c r="N319" s="107"/>
      <c r="O319" s="107"/>
      <c r="P319" s="107"/>
    </row>
    <row r="320" spans="1:16" x14ac:dyDescent="0.3">
      <c r="A320" s="58" t="str">
        <f t="shared" si="20"/>
        <v>A006580</v>
      </c>
      <c r="B320" s="59" t="str">
        <f t="shared" si="17"/>
        <v/>
      </c>
      <c r="C320" s="59" t="str">
        <f t="shared" si="18"/>
        <v/>
      </c>
      <c r="D320" s="109" t="str">
        <f t="shared" si="19"/>
        <v/>
      </c>
      <c r="E320" s="106" t="s">
        <v>355</v>
      </c>
      <c r="F320" s="58" t="s">
        <v>1825</v>
      </c>
      <c r="G320" s="106">
        <v>12</v>
      </c>
      <c r="H320" s="107"/>
      <c r="I320" s="107"/>
      <c r="J320" s="107"/>
      <c r="K320" s="107"/>
      <c r="L320" s="107"/>
      <c r="M320" s="107"/>
      <c r="N320" s="107"/>
      <c r="O320" s="107"/>
      <c r="P320" s="107"/>
    </row>
    <row r="321" spans="1:16" x14ac:dyDescent="0.3">
      <c r="A321" s="58" t="str">
        <f t="shared" si="20"/>
        <v>A006650</v>
      </c>
      <c r="B321" s="59" t="str">
        <f t="shared" si="17"/>
        <v/>
      </c>
      <c r="C321" s="59" t="str">
        <f t="shared" si="18"/>
        <v/>
      </c>
      <c r="D321" s="109" t="str">
        <f t="shared" si="19"/>
        <v/>
      </c>
      <c r="E321" s="106" t="s">
        <v>356</v>
      </c>
      <c r="F321" s="58" t="s">
        <v>1826</v>
      </c>
      <c r="G321" s="106">
        <v>12</v>
      </c>
      <c r="H321" s="107"/>
      <c r="I321" s="107"/>
      <c r="J321" s="107"/>
      <c r="K321" s="107"/>
      <c r="L321" s="107"/>
      <c r="M321" s="107"/>
      <c r="N321" s="107"/>
      <c r="O321" s="107"/>
      <c r="P321" s="107"/>
    </row>
    <row r="322" spans="1:16" x14ac:dyDescent="0.3">
      <c r="A322" s="58" t="str">
        <f t="shared" si="20"/>
        <v>A006660</v>
      </c>
      <c r="B322" s="59" t="str">
        <f t="shared" si="17"/>
        <v/>
      </c>
      <c r="C322" s="59" t="str">
        <f t="shared" si="18"/>
        <v/>
      </c>
      <c r="D322" s="109" t="str">
        <f t="shared" si="19"/>
        <v/>
      </c>
      <c r="E322" s="106" t="s">
        <v>357</v>
      </c>
      <c r="F322" s="58" t="s">
        <v>1827</v>
      </c>
      <c r="G322" s="106">
        <v>12</v>
      </c>
      <c r="H322" s="107"/>
      <c r="I322" s="107"/>
      <c r="J322" s="107"/>
      <c r="K322" s="107"/>
      <c r="L322" s="107"/>
      <c r="M322" s="107"/>
      <c r="N322" s="107"/>
      <c r="O322" s="107"/>
      <c r="P322" s="107"/>
    </row>
    <row r="323" spans="1:16" x14ac:dyDescent="0.3">
      <c r="A323" s="58" t="str">
        <f t="shared" si="20"/>
        <v>A006730</v>
      </c>
      <c r="B323" s="59" t="str">
        <f t="shared" si="17"/>
        <v/>
      </c>
      <c r="C323" s="59" t="str">
        <f t="shared" si="18"/>
        <v/>
      </c>
      <c r="D323" s="109" t="str">
        <f t="shared" si="19"/>
        <v/>
      </c>
      <c r="E323" s="106" t="s">
        <v>358</v>
      </c>
      <c r="F323" s="58" t="s">
        <v>3528</v>
      </c>
      <c r="G323" s="106">
        <v>12</v>
      </c>
      <c r="H323" s="107"/>
      <c r="I323" s="107"/>
      <c r="J323" s="107"/>
      <c r="K323" s="107"/>
      <c r="L323" s="107"/>
      <c r="M323" s="107"/>
      <c r="N323" s="107"/>
      <c r="O323" s="107"/>
      <c r="P323" s="107"/>
    </row>
    <row r="324" spans="1:16" x14ac:dyDescent="0.3">
      <c r="A324" s="58" t="str">
        <f t="shared" si="20"/>
        <v>A006740</v>
      </c>
      <c r="B324" s="59" t="str">
        <f t="shared" si="17"/>
        <v/>
      </c>
      <c r="C324" s="59" t="str">
        <f t="shared" si="18"/>
        <v/>
      </c>
      <c r="D324" s="109" t="str">
        <f t="shared" si="19"/>
        <v/>
      </c>
      <c r="E324" s="106" t="s">
        <v>359</v>
      </c>
      <c r="F324" s="58" t="s">
        <v>1828</v>
      </c>
      <c r="G324" s="106">
        <v>12</v>
      </c>
      <c r="H324" s="107"/>
      <c r="I324" s="107"/>
      <c r="J324" s="107"/>
      <c r="K324" s="107"/>
      <c r="L324" s="107"/>
      <c r="M324" s="107"/>
      <c r="N324" s="107"/>
      <c r="O324" s="107"/>
      <c r="P324" s="107"/>
    </row>
    <row r="325" spans="1:16" x14ac:dyDescent="0.3">
      <c r="A325" s="58" t="str">
        <f t="shared" si="20"/>
        <v>A006800</v>
      </c>
      <c r="B325" s="59" t="str">
        <f t="shared" si="17"/>
        <v/>
      </c>
      <c r="C325" s="59" t="str">
        <f t="shared" si="18"/>
        <v/>
      </c>
      <c r="D325" s="109" t="str">
        <f t="shared" si="19"/>
        <v/>
      </c>
      <c r="E325" s="106" t="s">
        <v>360</v>
      </c>
      <c r="F325" s="58" t="s">
        <v>17</v>
      </c>
      <c r="G325" s="106">
        <v>3</v>
      </c>
      <c r="H325" s="107"/>
      <c r="I325" s="107"/>
      <c r="J325" s="107"/>
      <c r="K325" s="107"/>
      <c r="L325" s="107"/>
      <c r="M325" s="107"/>
      <c r="N325" s="107"/>
      <c r="O325" s="107"/>
      <c r="P325" s="107"/>
    </row>
    <row r="326" spans="1:16" x14ac:dyDescent="0.3">
      <c r="A326" s="58" t="str">
        <f t="shared" si="20"/>
        <v>A006840</v>
      </c>
      <c r="B326" s="59" t="str">
        <f t="shared" si="17"/>
        <v/>
      </c>
      <c r="C326" s="59" t="str">
        <f t="shared" si="18"/>
        <v/>
      </c>
      <c r="D326" s="109" t="str">
        <f t="shared" si="19"/>
        <v/>
      </c>
      <c r="E326" s="106" t="s">
        <v>361</v>
      </c>
      <c r="F326" s="58" t="s">
        <v>1829</v>
      </c>
      <c r="G326" s="106">
        <v>12</v>
      </c>
      <c r="H326" s="107"/>
      <c r="I326" s="107"/>
      <c r="J326" s="107"/>
      <c r="K326" s="107"/>
      <c r="L326" s="107"/>
      <c r="M326" s="107"/>
      <c r="N326" s="107"/>
      <c r="O326" s="107"/>
      <c r="P326" s="107"/>
    </row>
    <row r="327" spans="1:16" x14ac:dyDescent="0.3">
      <c r="A327" s="58" t="str">
        <f t="shared" si="20"/>
        <v>A006890</v>
      </c>
      <c r="B327" s="59" t="str">
        <f t="shared" si="17"/>
        <v/>
      </c>
      <c r="C327" s="59" t="str">
        <f t="shared" si="18"/>
        <v/>
      </c>
      <c r="D327" s="109" t="str">
        <f t="shared" si="19"/>
        <v/>
      </c>
      <c r="E327" s="106" t="s">
        <v>362</v>
      </c>
      <c r="F327" s="58" t="s">
        <v>1830</v>
      </c>
      <c r="G327" s="106">
        <v>12</v>
      </c>
      <c r="H327" s="107"/>
      <c r="I327" s="107"/>
      <c r="J327" s="107"/>
      <c r="K327" s="107"/>
      <c r="L327" s="107"/>
      <c r="M327" s="107"/>
      <c r="N327" s="107"/>
      <c r="O327" s="107"/>
      <c r="P327" s="107"/>
    </row>
    <row r="328" spans="1:16" x14ac:dyDescent="0.3">
      <c r="A328" s="58" t="str">
        <f t="shared" si="20"/>
        <v>A006910</v>
      </c>
      <c r="B328" s="59" t="str">
        <f t="shared" si="17"/>
        <v/>
      </c>
      <c r="C328" s="59" t="str">
        <f t="shared" si="18"/>
        <v/>
      </c>
      <c r="D328" s="109" t="str">
        <f t="shared" si="19"/>
        <v/>
      </c>
      <c r="E328" s="106" t="s">
        <v>363</v>
      </c>
      <c r="F328" s="58" t="s">
        <v>1831</v>
      </c>
      <c r="G328" s="106">
        <v>12</v>
      </c>
      <c r="H328" s="107"/>
      <c r="I328" s="107"/>
      <c r="J328" s="107"/>
      <c r="K328" s="107"/>
      <c r="L328" s="107"/>
      <c r="M328" s="107"/>
      <c r="N328" s="107"/>
      <c r="O328" s="107"/>
      <c r="P328" s="107"/>
    </row>
    <row r="329" spans="1:16" x14ac:dyDescent="0.3">
      <c r="A329" s="58" t="str">
        <f t="shared" si="20"/>
        <v>A006920</v>
      </c>
      <c r="B329" s="59" t="str">
        <f t="shared" si="17"/>
        <v/>
      </c>
      <c r="C329" s="59" t="str">
        <f t="shared" si="18"/>
        <v/>
      </c>
      <c r="D329" s="109" t="str">
        <f t="shared" si="19"/>
        <v/>
      </c>
      <c r="E329" s="106" t="s">
        <v>364</v>
      </c>
      <c r="F329" s="58" t="s">
        <v>1832</v>
      </c>
      <c r="G329" s="106">
        <v>12</v>
      </c>
      <c r="H329" s="107"/>
      <c r="I329" s="107"/>
      <c r="J329" s="107"/>
      <c r="K329" s="107"/>
      <c r="L329" s="107"/>
      <c r="M329" s="107"/>
      <c r="N329" s="107"/>
      <c r="O329" s="107"/>
      <c r="P329" s="107"/>
    </row>
    <row r="330" spans="1:16" x14ac:dyDescent="0.3">
      <c r="A330" s="58" t="str">
        <f t="shared" si="20"/>
        <v>A006980</v>
      </c>
      <c r="B330" s="59" t="str">
        <f t="shared" si="17"/>
        <v/>
      </c>
      <c r="C330" s="59" t="str">
        <f t="shared" si="18"/>
        <v/>
      </c>
      <c r="D330" s="109" t="str">
        <f t="shared" si="19"/>
        <v/>
      </c>
      <c r="E330" s="106" t="s">
        <v>365</v>
      </c>
      <c r="F330" s="58" t="s">
        <v>1833</v>
      </c>
      <c r="G330" s="106">
        <v>12</v>
      </c>
      <c r="H330" s="107"/>
      <c r="I330" s="107"/>
      <c r="J330" s="107"/>
      <c r="K330" s="107"/>
      <c r="L330" s="107"/>
      <c r="M330" s="107"/>
      <c r="N330" s="107"/>
      <c r="O330" s="107"/>
      <c r="P330" s="107"/>
    </row>
    <row r="331" spans="1:16" x14ac:dyDescent="0.3">
      <c r="A331" s="58" t="str">
        <f t="shared" si="20"/>
        <v>A007070</v>
      </c>
      <c r="B331" s="59" t="str">
        <f t="shared" si="17"/>
        <v/>
      </c>
      <c r="C331" s="59" t="str">
        <f t="shared" si="18"/>
        <v/>
      </c>
      <c r="D331" s="109" t="str">
        <f t="shared" si="19"/>
        <v/>
      </c>
      <c r="E331" s="106" t="s">
        <v>3130</v>
      </c>
      <c r="F331" s="58" t="s">
        <v>3333</v>
      </c>
      <c r="G331" s="106">
        <v>12</v>
      </c>
      <c r="H331" s="107"/>
      <c r="I331" s="107"/>
      <c r="J331" s="107"/>
      <c r="K331" s="107"/>
      <c r="L331" s="107"/>
      <c r="M331" s="107"/>
      <c r="N331" s="107"/>
      <c r="O331" s="107"/>
      <c r="P331" s="107"/>
    </row>
    <row r="332" spans="1:16" x14ac:dyDescent="0.3">
      <c r="A332" s="58" t="str">
        <f t="shared" si="20"/>
        <v>A007110</v>
      </c>
      <c r="B332" s="59" t="str">
        <f t="shared" si="17"/>
        <v/>
      </c>
      <c r="C332" s="59" t="str">
        <f t="shared" si="18"/>
        <v/>
      </c>
      <c r="D332" s="109" t="str">
        <f t="shared" si="19"/>
        <v/>
      </c>
      <c r="E332" s="106" t="s">
        <v>366</v>
      </c>
      <c r="F332" s="58" t="s">
        <v>1834</v>
      </c>
      <c r="G332" s="106">
        <v>12</v>
      </c>
      <c r="H332" s="107"/>
      <c r="I332" s="107"/>
      <c r="J332" s="107"/>
      <c r="K332" s="107"/>
      <c r="L332" s="107"/>
      <c r="M332" s="107"/>
      <c r="N332" s="107"/>
      <c r="O332" s="107"/>
      <c r="P332" s="107"/>
    </row>
    <row r="333" spans="1:16" x14ac:dyDescent="0.3">
      <c r="A333" s="58" t="str">
        <f t="shared" si="20"/>
        <v>A007120</v>
      </c>
      <c r="B333" s="59" t="str">
        <f t="shared" si="17"/>
        <v/>
      </c>
      <c r="C333" s="59" t="str">
        <f t="shared" si="18"/>
        <v/>
      </c>
      <c r="D333" s="109" t="str">
        <f t="shared" si="19"/>
        <v/>
      </c>
      <c r="E333" s="106" t="s">
        <v>367</v>
      </c>
      <c r="F333" s="58" t="s">
        <v>3603</v>
      </c>
      <c r="G333" s="106">
        <v>12</v>
      </c>
      <c r="H333" s="107"/>
      <c r="I333" s="107"/>
      <c r="J333" s="107"/>
      <c r="K333" s="107"/>
      <c r="L333" s="107"/>
      <c r="M333" s="107"/>
      <c r="N333" s="107"/>
      <c r="O333" s="107"/>
      <c r="P333" s="107"/>
    </row>
    <row r="334" spans="1:16" x14ac:dyDescent="0.3">
      <c r="A334" s="58" t="str">
        <f t="shared" si="20"/>
        <v>A007160</v>
      </c>
      <c r="B334" s="59" t="str">
        <f t="shared" si="17"/>
        <v/>
      </c>
      <c r="C334" s="59" t="str">
        <f t="shared" si="18"/>
        <v/>
      </c>
      <c r="D334" s="109" t="str">
        <f t="shared" si="19"/>
        <v/>
      </c>
      <c r="E334" s="106" t="s">
        <v>368</v>
      </c>
      <c r="F334" s="58" t="s">
        <v>1835</v>
      </c>
      <c r="G334" s="106">
        <v>12</v>
      </c>
      <c r="H334" s="107"/>
      <c r="I334" s="107"/>
      <c r="J334" s="107"/>
      <c r="K334" s="107"/>
      <c r="L334" s="107"/>
      <c r="M334" s="107"/>
      <c r="N334" s="107"/>
      <c r="O334" s="107"/>
      <c r="P334" s="107"/>
    </row>
    <row r="335" spans="1:16" x14ac:dyDescent="0.3">
      <c r="A335" s="58" t="str">
        <f t="shared" si="20"/>
        <v>A007190</v>
      </c>
      <c r="B335" s="59" t="str">
        <f t="shared" ref="B335:B398" si="21">IFERROR(IF(ISNUMBER(H335),DATE(LEFT(H335,4),MID(H335,5,2),RIGHT(H335,2)),NA()),"")</f>
        <v/>
      </c>
      <c r="C335" s="59" t="str">
        <f t="shared" ref="C335:C398" si="22">IFERROR(IF(ISNUMBER(I335),DATE(LEFT(I335,4),MID(I335,5,2),RIGHT(I335,2)),NA()),"")</f>
        <v/>
      </c>
      <c r="D335" s="109" t="str">
        <f t="shared" ref="D335:D398" si="23">IFERROR(IF(ISNUMBER(J335),J335,NA()),"")</f>
        <v/>
      </c>
      <c r="E335" s="106" t="s">
        <v>369</v>
      </c>
      <c r="F335" s="58" t="s">
        <v>3663</v>
      </c>
      <c r="G335" s="106">
        <v>12</v>
      </c>
      <c r="H335" s="107"/>
      <c r="I335" s="107"/>
      <c r="J335" s="107"/>
      <c r="K335" s="107"/>
      <c r="L335" s="107"/>
      <c r="M335" s="107"/>
      <c r="N335" s="107"/>
      <c r="O335" s="107"/>
      <c r="P335" s="107"/>
    </row>
    <row r="336" spans="1:16" x14ac:dyDescent="0.3">
      <c r="A336" s="58" t="str">
        <f t="shared" si="20"/>
        <v>A007210</v>
      </c>
      <c r="B336" s="59" t="str">
        <f t="shared" si="21"/>
        <v/>
      </c>
      <c r="C336" s="59" t="str">
        <f t="shared" si="22"/>
        <v/>
      </c>
      <c r="D336" s="109" t="str">
        <f t="shared" si="23"/>
        <v/>
      </c>
      <c r="E336" s="106" t="s">
        <v>370</v>
      </c>
      <c r="F336" s="58" t="s">
        <v>1836</v>
      </c>
      <c r="G336" s="106">
        <v>12</v>
      </c>
      <c r="H336" s="107"/>
      <c r="I336" s="107"/>
      <c r="J336" s="107"/>
      <c r="K336" s="107"/>
      <c r="L336" s="107"/>
      <c r="M336" s="107"/>
      <c r="N336" s="107"/>
      <c r="O336" s="107"/>
      <c r="P336" s="107"/>
    </row>
    <row r="337" spans="1:16" x14ac:dyDescent="0.3">
      <c r="A337" s="58" t="str">
        <f t="shared" si="20"/>
        <v>A007280</v>
      </c>
      <c r="B337" s="59" t="str">
        <f t="shared" si="21"/>
        <v/>
      </c>
      <c r="C337" s="59" t="str">
        <f t="shared" si="22"/>
        <v/>
      </c>
      <c r="D337" s="109" t="str">
        <f t="shared" si="23"/>
        <v/>
      </c>
      <c r="E337" s="106" t="s">
        <v>371</v>
      </c>
      <c r="F337" s="58" t="s">
        <v>1837</v>
      </c>
      <c r="G337" s="106">
        <v>12</v>
      </c>
      <c r="H337" s="107"/>
      <c r="I337" s="107"/>
      <c r="J337" s="107"/>
      <c r="K337" s="107"/>
      <c r="L337" s="107"/>
      <c r="M337" s="107"/>
      <c r="N337" s="107"/>
      <c r="O337" s="107"/>
      <c r="P337" s="107"/>
    </row>
    <row r="338" spans="1:16" x14ac:dyDescent="0.3">
      <c r="A338" s="58" t="str">
        <f t="shared" si="20"/>
        <v>A007310</v>
      </c>
      <c r="B338" s="59" t="str">
        <f t="shared" si="21"/>
        <v/>
      </c>
      <c r="C338" s="59" t="str">
        <f t="shared" si="22"/>
        <v/>
      </c>
      <c r="D338" s="109" t="str">
        <f t="shared" si="23"/>
        <v/>
      </c>
      <c r="E338" s="106" t="s">
        <v>372</v>
      </c>
      <c r="F338" s="58" t="s">
        <v>1838</v>
      </c>
      <c r="G338" s="106">
        <v>12</v>
      </c>
      <c r="H338" s="107"/>
      <c r="I338" s="107"/>
      <c r="J338" s="107"/>
      <c r="K338" s="107"/>
      <c r="L338" s="107"/>
      <c r="M338" s="107"/>
      <c r="N338" s="107"/>
      <c r="O338" s="107"/>
      <c r="P338" s="107"/>
    </row>
    <row r="339" spans="1:16" x14ac:dyDescent="0.3">
      <c r="A339" s="58" t="str">
        <f t="shared" si="20"/>
        <v>A007330</v>
      </c>
      <c r="B339" s="59" t="str">
        <f t="shared" si="21"/>
        <v/>
      </c>
      <c r="C339" s="59" t="str">
        <f t="shared" si="22"/>
        <v/>
      </c>
      <c r="D339" s="109" t="str">
        <f t="shared" si="23"/>
        <v/>
      </c>
      <c r="E339" s="106" t="s">
        <v>373</v>
      </c>
      <c r="F339" s="58" t="s">
        <v>1839</v>
      </c>
      <c r="G339" s="106">
        <v>6</v>
      </c>
      <c r="H339" s="107"/>
      <c r="I339" s="107"/>
      <c r="J339" s="107"/>
      <c r="K339" s="107"/>
      <c r="L339" s="107"/>
      <c r="M339" s="107"/>
      <c r="N339" s="107"/>
      <c r="O339" s="107"/>
      <c r="P339" s="107"/>
    </row>
    <row r="340" spans="1:16" x14ac:dyDescent="0.3">
      <c r="A340" s="58" t="str">
        <f t="shared" si="20"/>
        <v>A007340</v>
      </c>
      <c r="B340" s="59" t="str">
        <f t="shared" si="21"/>
        <v/>
      </c>
      <c r="C340" s="59" t="str">
        <f t="shared" si="22"/>
        <v/>
      </c>
      <c r="D340" s="109" t="str">
        <f t="shared" si="23"/>
        <v/>
      </c>
      <c r="E340" s="106" t="s">
        <v>374</v>
      </c>
      <c r="F340" s="58" t="s">
        <v>1840</v>
      </c>
      <c r="G340" s="106">
        <v>12</v>
      </c>
      <c r="H340" s="107"/>
      <c r="I340" s="107"/>
      <c r="J340" s="107"/>
      <c r="K340" s="107"/>
      <c r="L340" s="107"/>
      <c r="M340" s="107"/>
      <c r="N340" s="107"/>
      <c r="O340" s="107"/>
      <c r="P340" s="107"/>
    </row>
    <row r="341" spans="1:16" x14ac:dyDescent="0.3">
      <c r="A341" s="58" t="str">
        <f t="shared" si="20"/>
        <v>A007370</v>
      </c>
      <c r="B341" s="59" t="str">
        <f t="shared" si="21"/>
        <v/>
      </c>
      <c r="C341" s="59" t="str">
        <f t="shared" si="22"/>
        <v/>
      </c>
      <c r="D341" s="109" t="str">
        <f t="shared" si="23"/>
        <v/>
      </c>
      <c r="E341" s="106" t="s">
        <v>375</v>
      </c>
      <c r="F341" s="58" t="s">
        <v>1841</v>
      </c>
      <c r="G341" s="106">
        <v>12</v>
      </c>
      <c r="H341" s="107"/>
      <c r="I341" s="107"/>
      <c r="J341" s="107"/>
      <c r="K341" s="107"/>
      <c r="L341" s="107"/>
      <c r="M341" s="107"/>
      <c r="N341" s="107"/>
      <c r="O341" s="107"/>
      <c r="P341" s="107"/>
    </row>
    <row r="342" spans="1:16" x14ac:dyDescent="0.3">
      <c r="A342" s="58" t="str">
        <f t="shared" ref="A342:A405" si="24">E342</f>
        <v>A007390</v>
      </c>
      <c r="B342" s="59" t="str">
        <f t="shared" si="21"/>
        <v/>
      </c>
      <c r="C342" s="59" t="str">
        <f t="shared" si="22"/>
        <v/>
      </c>
      <c r="D342" s="109" t="str">
        <f t="shared" si="23"/>
        <v/>
      </c>
      <c r="E342" s="106" t="s">
        <v>376</v>
      </c>
      <c r="F342" s="58" t="s">
        <v>3631</v>
      </c>
      <c r="G342" s="106">
        <v>12</v>
      </c>
      <c r="H342" s="107"/>
      <c r="I342" s="107"/>
      <c r="J342" s="107"/>
      <c r="K342" s="107"/>
      <c r="L342" s="107"/>
      <c r="M342" s="107"/>
      <c r="N342" s="107"/>
      <c r="O342" s="107"/>
      <c r="P342" s="107"/>
    </row>
    <row r="343" spans="1:16" x14ac:dyDescent="0.3">
      <c r="A343" s="58" t="str">
        <f t="shared" si="24"/>
        <v>A007460</v>
      </c>
      <c r="B343" s="59" t="str">
        <f t="shared" si="21"/>
        <v/>
      </c>
      <c r="C343" s="59" t="str">
        <f t="shared" si="22"/>
        <v/>
      </c>
      <c r="D343" s="109" t="str">
        <f t="shared" si="23"/>
        <v/>
      </c>
      <c r="E343" s="106" t="s">
        <v>377</v>
      </c>
      <c r="F343" s="58" t="s">
        <v>3632</v>
      </c>
      <c r="G343" s="106">
        <v>12</v>
      </c>
      <c r="H343" s="107"/>
      <c r="I343" s="107"/>
      <c r="J343" s="107"/>
      <c r="K343" s="107"/>
      <c r="L343" s="107"/>
      <c r="M343" s="107"/>
      <c r="N343" s="107"/>
      <c r="O343" s="107"/>
      <c r="P343" s="107"/>
    </row>
    <row r="344" spans="1:16" x14ac:dyDescent="0.3">
      <c r="A344" s="58" t="str">
        <f t="shared" si="24"/>
        <v>A007530</v>
      </c>
      <c r="B344" s="59" t="str">
        <f t="shared" si="21"/>
        <v/>
      </c>
      <c r="C344" s="59" t="str">
        <f t="shared" si="22"/>
        <v/>
      </c>
      <c r="D344" s="109" t="str">
        <f t="shared" si="23"/>
        <v/>
      </c>
      <c r="E344" s="106" t="s">
        <v>378</v>
      </c>
      <c r="F344" s="58" t="s">
        <v>1842</v>
      </c>
      <c r="G344" s="106">
        <v>12</v>
      </c>
      <c r="H344" s="107"/>
      <c r="I344" s="107"/>
      <c r="J344" s="107"/>
      <c r="K344" s="107"/>
      <c r="L344" s="107"/>
      <c r="M344" s="107"/>
      <c r="N344" s="107"/>
      <c r="O344" s="107"/>
      <c r="P344" s="107"/>
    </row>
    <row r="345" spans="1:16" x14ac:dyDescent="0.3">
      <c r="A345" s="58" t="str">
        <f t="shared" si="24"/>
        <v>A007540</v>
      </c>
      <c r="B345" s="59" t="str">
        <f t="shared" si="21"/>
        <v/>
      </c>
      <c r="C345" s="59" t="str">
        <f t="shared" si="22"/>
        <v/>
      </c>
      <c r="D345" s="109" t="str">
        <f t="shared" si="23"/>
        <v/>
      </c>
      <c r="E345" s="106" t="s">
        <v>379</v>
      </c>
      <c r="F345" s="58" t="s">
        <v>1843</v>
      </c>
      <c r="G345" s="106">
        <v>12</v>
      </c>
      <c r="H345" s="107"/>
      <c r="I345" s="107"/>
      <c r="J345" s="107"/>
      <c r="K345" s="107"/>
      <c r="L345" s="107"/>
      <c r="M345" s="107"/>
      <c r="N345" s="107"/>
      <c r="O345" s="107"/>
      <c r="P345" s="107"/>
    </row>
    <row r="346" spans="1:16" x14ac:dyDescent="0.3">
      <c r="A346" s="58" t="str">
        <f t="shared" si="24"/>
        <v>A007570</v>
      </c>
      <c r="B346" s="59" t="str">
        <f t="shared" si="21"/>
        <v/>
      </c>
      <c r="C346" s="59" t="str">
        <f t="shared" si="22"/>
        <v/>
      </c>
      <c r="D346" s="109" t="str">
        <f t="shared" si="23"/>
        <v/>
      </c>
      <c r="E346" s="106" t="s">
        <v>380</v>
      </c>
      <c r="F346" s="58" t="s">
        <v>1844</v>
      </c>
      <c r="G346" s="106">
        <v>3</v>
      </c>
      <c r="H346" s="107"/>
      <c r="I346" s="107"/>
      <c r="J346" s="107"/>
      <c r="K346" s="107"/>
      <c r="L346" s="107"/>
      <c r="M346" s="107"/>
      <c r="N346" s="107"/>
      <c r="O346" s="107"/>
      <c r="P346" s="107"/>
    </row>
    <row r="347" spans="1:16" x14ac:dyDescent="0.3">
      <c r="A347" s="58" t="str">
        <f t="shared" si="24"/>
        <v>A007590</v>
      </c>
      <c r="B347" s="59" t="str">
        <f t="shared" si="21"/>
        <v/>
      </c>
      <c r="C347" s="59" t="str">
        <f t="shared" si="22"/>
        <v/>
      </c>
      <c r="D347" s="109" t="str">
        <f t="shared" si="23"/>
        <v/>
      </c>
      <c r="E347" s="106" t="s">
        <v>381</v>
      </c>
      <c r="F347" s="58" t="s">
        <v>1845</v>
      </c>
      <c r="G347" s="106">
        <v>12</v>
      </c>
      <c r="H347" s="107"/>
      <c r="I347" s="107"/>
      <c r="J347" s="107"/>
      <c r="K347" s="107"/>
      <c r="L347" s="107"/>
      <c r="M347" s="107"/>
      <c r="N347" s="107"/>
      <c r="O347" s="107"/>
      <c r="P347" s="107"/>
    </row>
    <row r="348" spans="1:16" x14ac:dyDescent="0.3">
      <c r="A348" s="58" t="str">
        <f t="shared" si="24"/>
        <v>A007610</v>
      </c>
      <c r="B348" s="59" t="str">
        <f t="shared" si="21"/>
        <v/>
      </c>
      <c r="C348" s="59" t="str">
        <f t="shared" si="22"/>
        <v/>
      </c>
      <c r="D348" s="109" t="str">
        <f t="shared" si="23"/>
        <v/>
      </c>
      <c r="E348" s="106" t="s">
        <v>382</v>
      </c>
      <c r="F348" s="58" t="s">
        <v>1846</v>
      </c>
      <c r="G348" s="106">
        <v>12</v>
      </c>
      <c r="H348" s="107"/>
      <c r="I348" s="107"/>
      <c r="J348" s="107"/>
      <c r="K348" s="107"/>
      <c r="L348" s="107"/>
      <c r="M348" s="107"/>
      <c r="N348" s="107"/>
      <c r="O348" s="107"/>
      <c r="P348" s="107"/>
    </row>
    <row r="349" spans="1:16" x14ac:dyDescent="0.3">
      <c r="A349" s="58" t="str">
        <f t="shared" si="24"/>
        <v>A007630</v>
      </c>
      <c r="B349" s="59" t="str">
        <f t="shared" si="21"/>
        <v/>
      </c>
      <c r="C349" s="59" t="str">
        <f t="shared" si="22"/>
        <v/>
      </c>
      <c r="D349" s="109" t="str">
        <f t="shared" si="23"/>
        <v/>
      </c>
      <c r="E349" s="106" t="s">
        <v>383</v>
      </c>
      <c r="F349" s="58" t="s">
        <v>1847</v>
      </c>
      <c r="G349" s="106">
        <v>12</v>
      </c>
      <c r="H349" s="107"/>
      <c r="I349" s="107"/>
      <c r="J349" s="107"/>
      <c r="K349" s="107"/>
      <c r="L349" s="107"/>
      <c r="M349" s="107"/>
      <c r="N349" s="107"/>
      <c r="O349" s="107"/>
      <c r="P349" s="107"/>
    </row>
    <row r="350" spans="1:16" x14ac:dyDescent="0.3">
      <c r="A350" s="58" t="str">
        <f t="shared" si="24"/>
        <v>A007660</v>
      </c>
      <c r="B350" s="59" t="str">
        <f t="shared" si="21"/>
        <v/>
      </c>
      <c r="C350" s="59" t="str">
        <f t="shared" si="22"/>
        <v/>
      </c>
      <c r="D350" s="109" t="str">
        <f t="shared" si="23"/>
        <v/>
      </c>
      <c r="E350" s="106" t="s">
        <v>384</v>
      </c>
      <c r="F350" s="58" t="s">
        <v>1848</v>
      </c>
      <c r="G350" s="106">
        <v>12</v>
      </c>
      <c r="H350" s="107"/>
      <c r="I350" s="107"/>
      <c r="J350" s="107"/>
      <c r="K350" s="107"/>
      <c r="L350" s="107"/>
      <c r="M350" s="107"/>
      <c r="N350" s="107"/>
      <c r="O350" s="107"/>
      <c r="P350" s="107"/>
    </row>
    <row r="351" spans="1:16" x14ac:dyDescent="0.3">
      <c r="A351" s="58" t="str">
        <f t="shared" si="24"/>
        <v>A007690</v>
      </c>
      <c r="B351" s="59">
        <f t="shared" si="21"/>
        <v>41486</v>
      </c>
      <c r="C351" s="59" t="str">
        <f t="shared" si="22"/>
        <v/>
      </c>
      <c r="D351" s="109" t="str">
        <f t="shared" si="23"/>
        <v/>
      </c>
      <c r="E351" s="106" t="s">
        <v>385</v>
      </c>
      <c r="F351" s="58" t="s">
        <v>1849</v>
      </c>
      <c r="G351" s="106">
        <v>12</v>
      </c>
      <c r="H351" s="107">
        <v>20130731</v>
      </c>
      <c r="I351" s="107"/>
      <c r="J351" s="107"/>
      <c r="K351" s="107"/>
      <c r="L351" s="107"/>
      <c r="M351" s="107"/>
      <c r="N351" s="107"/>
      <c r="O351" s="107"/>
      <c r="P351" s="107"/>
    </row>
    <row r="352" spans="1:16" x14ac:dyDescent="0.3">
      <c r="A352" s="58" t="str">
        <f t="shared" si="24"/>
        <v>A007700</v>
      </c>
      <c r="B352" s="59" t="str">
        <f t="shared" si="21"/>
        <v/>
      </c>
      <c r="C352" s="59" t="str">
        <f t="shared" si="22"/>
        <v/>
      </c>
      <c r="D352" s="109" t="str">
        <f t="shared" si="23"/>
        <v/>
      </c>
      <c r="E352" s="106" t="s">
        <v>386</v>
      </c>
      <c r="F352" s="58" t="s">
        <v>1850</v>
      </c>
      <c r="G352" s="106">
        <v>12</v>
      </c>
      <c r="H352" s="107"/>
      <c r="I352" s="107"/>
      <c r="J352" s="107"/>
      <c r="K352" s="107"/>
      <c r="L352" s="107"/>
      <c r="M352" s="107"/>
      <c r="N352" s="107"/>
      <c r="O352" s="107"/>
      <c r="P352" s="107"/>
    </row>
    <row r="353" spans="1:16" x14ac:dyDescent="0.3">
      <c r="A353" s="58" t="str">
        <f t="shared" si="24"/>
        <v>A007720</v>
      </c>
      <c r="B353" s="59" t="str">
        <f t="shared" si="21"/>
        <v/>
      </c>
      <c r="C353" s="59" t="str">
        <f t="shared" si="22"/>
        <v/>
      </c>
      <c r="D353" s="109" t="str">
        <f t="shared" si="23"/>
        <v/>
      </c>
      <c r="E353" s="106" t="s">
        <v>387</v>
      </c>
      <c r="F353" s="58" t="s">
        <v>1851</v>
      </c>
      <c r="G353" s="106">
        <v>12</v>
      </c>
      <c r="H353" s="107"/>
      <c r="I353" s="107"/>
      <c r="J353" s="107"/>
      <c r="K353" s="107"/>
      <c r="L353" s="107"/>
      <c r="M353" s="107"/>
      <c r="N353" s="107"/>
      <c r="O353" s="107"/>
      <c r="P353" s="107"/>
    </row>
    <row r="354" spans="1:16" x14ac:dyDescent="0.3">
      <c r="A354" s="58" t="str">
        <f t="shared" si="24"/>
        <v>A007770</v>
      </c>
      <c r="B354" s="59" t="str">
        <f t="shared" si="21"/>
        <v/>
      </c>
      <c r="C354" s="59" t="str">
        <f t="shared" si="22"/>
        <v/>
      </c>
      <c r="D354" s="109" t="str">
        <f t="shared" si="23"/>
        <v/>
      </c>
      <c r="E354" s="106" t="s">
        <v>388</v>
      </c>
      <c r="F354" s="58" t="s">
        <v>1852</v>
      </c>
      <c r="G354" s="106">
        <v>12</v>
      </c>
      <c r="H354" s="107"/>
      <c r="I354" s="107"/>
      <c r="J354" s="107"/>
      <c r="K354" s="107"/>
      <c r="L354" s="107"/>
      <c r="M354" s="107"/>
      <c r="N354" s="107"/>
      <c r="O354" s="107"/>
      <c r="P354" s="107"/>
    </row>
    <row r="355" spans="1:16" x14ac:dyDescent="0.3">
      <c r="A355" s="58" t="str">
        <f t="shared" si="24"/>
        <v>A007810</v>
      </c>
      <c r="B355" s="59">
        <f t="shared" si="21"/>
        <v>41470</v>
      </c>
      <c r="C355" s="59">
        <f t="shared" si="22"/>
        <v>41470</v>
      </c>
      <c r="D355" s="109">
        <f t="shared" si="23"/>
        <v>16.14</v>
      </c>
      <c r="E355" s="106" t="s">
        <v>389</v>
      </c>
      <c r="F355" s="58" t="s">
        <v>1853</v>
      </c>
      <c r="G355" s="106">
        <v>12</v>
      </c>
      <c r="H355" s="107">
        <v>20130715</v>
      </c>
      <c r="I355" s="107">
        <v>20130715</v>
      </c>
      <c r="J355" s="107">
        <v>16.14</v>
      </c>
      <c r="K355" s="107"/>
      <c r="L355" s="107"/>
      <c r="M355" s="107"/>
      <c r="N355" s="107"/>
      <c r="O355" s="107"/>
      <c r="P355" s="107"/>
    </row>
    <row r="356" spans="1:16" x14ac:dyDescent="0.3">
      <c r="A356" s="58" t="str">
        <f t="shared" si="24"/>
        <v>A007820</v>
      </c>
      <c r="B356" s="59" t="str">
        <f t="shared" si="21"/>
        <v/>
      </c>
      <c r="C356" s="59" t="str">
        <f t="shared" si="22"/>
        <v/>
      </c>
      <c r="D356" s="109" t="str">
        <f t="shared" si="23"/>
        <v/>
      </c>
      <c r="E356" s="106" t="s">
        <v>3131</v>
      </c>
      <c r="F356" s="58" t="s">
        <v>3334</v>
      </c>
      <c r="G356" s="106">
        <v>12</v>
      </c>
      <c r="H356" s="107"/>
      <c r="I356" s="107"/>
      <c r="J356" s="107"/>
      <c r="K356" s="107"/>
      <c r="L356" s="107"/>
      <c r="M356" s="107"/>
      <c r="N356" s="107"/>
      <c r="O356" s="107"/>
      <c r="P356" s="107"/>
    </row>
    <row r="357" spans="1:16" x14ac:dyDescent="0.3">
      <c r="A357" s="58" t="str">
        <f t="shared" si="24"/>
        <v>A007860</v>
      </c>
      <c r="B357" s="59" t="str">
        <f t="shared" si="21"/>
        <v/>
      </c>
      <c r="C357" s="59" t="str">
        <f t="shared" si="22"/>
        <v/>
      </c>
      <c r="D357" s="109" t="str">
        <f t="shared" si="23"/>
        <v/>
      </c>
      <c r="E357" s="106" t="s">
        <v>390</v>
      </c>
      <c r="F357" s="58" t="s">
        <v>1854</v>
      </c>
      <c r="G357" s="106">
        <v>12</v>
      </c>
      <c r="H357" s="107"/>
      <c r="I357" s="107"/>
      <c r="J357" s="107"/>
      <c r="K357" s="107"/>
      <c r="L357" s="107"/>
      <c r="M357" s="107"/>
      <c r="N357" s="107"/>
      <c r="O357" s="107"/>
      <c r="P357" s="107"/>
    </row>
    <row r="358" spans="1:16" x14ac:dyDescent="0.3">
      <c r="A358" s="58" t="str">
        <f t="shared" si="24"/>
        <v>A007980</v>
      </c>
      <c r="B358" s="59" t="str">
        <f t="shared" si="21"/>
        <v/>
      </c>
      <c r="C358" s="59" t="str">
        <f t="shared" si="22"/>
        <v/>
      </c>
      <c r="D358" s="109" t="str">
        <f t="shared" si="23"/>
        <v/>
      </c>
      <c r="E358" s="106" t="s">
        <v>391</v>
      </c>
      <c r="F358" s="58" t="s">
        <v>1855</v>
      </c>
      <c r="G358" s="106">
        <v>12</v>
      </c>
      <c r="H358" s="107"/>
      <c r="I358" s="107"/>
      <c r="J358" s="107"/>
      <c r="K358" s="107"/>
      <c r="L358" s="107"/>
      <c r="M358" s="107"/>
      <c r="N358" s="107"/>
      <c r="O358" s="107"/>
      <c r="P358" s="107"/>
    </row>
    <row r="359" spans="1:16" x14ac:dyDescent="0.3">
      <c r="A359" s="58" t="str">
        <f t="shared" si="24"/>
        <v>A008000</v>
      </c>
      <c r="B359" s="59" t="str">
        <f t="shared" si="21"/>
        <v/>
      </c>
      <c r="C359" s="59" t="str">
        <f t="shared" si="22"/>
        <v/>
      </c>
      <c r="D359" s="109" t="str">
        <f t="shared" si="23"/>
        <v/>
      </c>
      <c r="E359" s="106" t="s">
        <v>392</v>
      </c>
      <c r="F359" s="58" t="s">
        <v>1856</v>
      </c>
      <c r="G359" s="106">
        <v>12</v>
      </c>
      <c r="H359" s="107"/>
      <c r="I359" s="107"/>
      <c r="J359" s="107"/>
      <c r="K359" s="107"/>
      <c r="L359" s="107"/>
      <c r="M359" s="107"/>
      <c r="N359" s="107"/>
      <c r="O359" s="107"/>
      <c r="P359" s="107"/>
    </row>
    <row r="360" spans="1:16" x14ac:dyDescent="0.3">
      <c r="A360" s="58" t="str">
        <f t="shared" si="24"/>
        <v>A008020</v>
      </c>
      <c r="B360" s="59" t="str">
        <f t="shared" si="21"/>
        <v/>
      </c>
      <c r="C360" s="59" t="str">
        <f t="shared" si="22"/>
        <v/>
      </c>
      <c r="D360" s="109" t="str">
        <f t="shared" si="23"/>
        <v/>
      </c>
      <c r="E360" s="106" t="s">
        <v>393</v>
      </c>
      <c r="F360" s="58" t="s">
        <v>1857</v>
      </c>
      <c r="G360" s="106">
        <v>12</v>
      </c>
      <c r="H360" s="107"/>
      <c r="I360" s="107"/>
      <c r="J360" s="107"/>
      <c r="K360" s="107"/>
      <c r="L360" s="107"/>
      <c r="M360" s="107"/>
      <c r="N360" s="107"/>
      <c r="O360" s="107"/>
      <c r="P360" s="107"/>
    </row>
    <row r="361" spans="1:16" x14ac:dyDescent="0.3">
      <c r="A361" s="58" t="str">
        <f t="shared" si="24"/>
        <v>A008040</v>
      </c>
      <c r="B361" s="59" t="str">
        <f t="shared" si="21"/>
        <v/>
      </c>
      <c r="C361" s="59" t="str">
        <f t="shared" si="22"/>
        <v/>
      </c>
      <c r="D361" s="109" t="str">
        <f t="shared" si="23"/>
        <v/>
      </c>
      <c r="E361" s="106" t="s">
        <v>394</v>
      </c>
      <c r="F361" s="58" t="s">
        <v>1858</v>
      </c>
      <c r="G361" s="106">
        <v>12</v>
      </c>
      <c r="H361" s="107"/>
      <c r="I361" s="107"/>
      <c r="J361" s="107"/>
      <c r="K361" s="107"/>
      <c r="L361" s="107"/>
      <c r="M361" s="107"/>
      <c r="N361" s="107"/>
      <c r="O361" s="107"/>
      <c r="P361" s="107"/>
    </row>
    <row r="362" spans="1:16" x14ac:dyDescent="0.3">
      <c r="A362" s="58" t="str">
        <f t="shared" si="24"/>
        <v>A008060</v>
      </c>
      <c r="B362" s="59" t="str">
        <f t="shared" si="21"/>
        <v/>
      </c>
      <c r="C362" s="59" t="str">
        <f t="shared" si="22"/>
        <v/>
      </c>
      <c r="D362" s="109" t="str">
        <f t="shared" si="23"/>
        <v/>
      </c>
      <c r="E362" s="106" t="s">
        <v>395</v>
      </c>
      <c r="F362" s="58" t="s">
        <v>1859</v>
      </c>
      <c r="G362" s="106">
        <v>12</v>
      </c>
      <c r="H362" s="107"/>
      <c r="I362" s="107"/>
      <c r="J362" s="107"/>
      <c r="K362" s="107"/>
      <c r="L362" s="107"/>
      <c r="M362" s="107"/>
      <c r="N362" s="107"/>
      <c r="O362" s="107"/>
      <c r="P362" s="107"/>
    </row>
    <row r="363" spans="1:16" x14ac:dyDescent="0.3">
      <c r="A363" s="58" t="str">
        <f t="shared" si="24"/>
        <v>A008080</v>
      </c>
      <c r="B363" s="59" t="str">
        <f t="shared" si="21"/>
        <v/>
      </c>
      <c r="C363" s="59" t="str">
        <f t="shared" si="22"/>
        <v/>
      </c>
      <c r="D363" s="109" t="str">
        <f t="shared" si="23"/>
        <v/>
      </c>
      <c r="E363" s="106" t="s">
        <v>396</v>
      </c>
      <c r="F363" s="58" t="s">
        <v>1860</v>
      </c>
      <c r="G363" s="106">
        <v>12</v>
      </c>
      <c r="H363" s="107"/>
      <c r="I363" s="107"/>
      <c r="J363" s="107"/>
      <c r="K363" s="107"/>
      <c r="L363" s="107"/>
      <c r="M363" s="107"/>
      <c r="N363" s="107"/>
      <c r="O363" s="107"/>
      <c r="P363" s="107"/>
    </row>
    <row r="364" spans="1:16" x14ac:dyDescent="0.3">
      <c r="A364" s="58" t="str">
        <f t="shared" si="24"/>
        <v>A008110</v>
      </c>
      <c r="B364" s="59" t="str">
        <f t="shared" si="21"/>
        <v/>
      </c>
      <c r="C364" s="59" t="str">
        <f t="shared" si="22"/>
        <v/>
      </c>
      <c r="D364" s="109" t="str">
        <f t="shared" si="23"/>
        <v/>
      </c>
      <c r="E364" s="106" t="s">
        <v>397</v>
      </c>
      <c r="F364" s="58" t="s">
        <v>1861</v>
      </c>
      <c r="G364" s="106">
        <v>3</v>
      </c>
      <c r="H364" s="107"/>
      <c r="I364" s="107"/>
      <c r="J364" s="107"/>
      <c r="K364" s="107"/>
      <c r="L364" s="107"/>
      <c r="M364" s="107"/>
      <c r="N364" s="107"/>
      <c r="O364" s="107"/>
      <c r="P364" s="107"/>
    </row>
    <row r="365" spans="1:16" x14ac:dyDescent="0.3">
      <c r="A365" s="58" t="str">
        <f t="shared" si="24"/>
        <v>A008250</v>
      </c>
      <c r="B365" s="59" t="str">
        <f t="shared" si="21"/>
        <v/>
      </c>
      <c r="C365" s="59" t="str">
        <f t="shared" si="22"/>
        <v/>
      </c>
      <c r="D365" s="109" t="str">
        <f t="shared" si="23"/>
        <v/>
      </c>
      <c r="E365" s="106" t="s">
        <v>398</v>
      </c>
      <c r="F365" s="58" t="s">
        <v>1862</v>
      </c>
      <c r="G365" s="106">
        <v>12</v>
      </c>
      <c r="H365" s="107"/>
      <c r="I365" s="107"/>
      <c r="J365" s="107"/>
      <c r="K365" s="107"/>
      <c r="L365" s="107"/>
      <c r="M365" s="107"/>
      <c r="N365" s="107"/>
      <c r="O365" s="107"/>
      <c r="P365" s="107"/>
    </row>
    <row r="366" spans="1:16" x14ac:dyDescent="0.3">
      <c r="A366" s="58" t="str">
        <f t="shared" si="24"/>
        <v>A008260</v>
      </c>
      <c r="B366" s="59">
        <f t="shared" si="21"/>
        <v>41481</v>
      </c>
      <c r="C366" s="59">
        <f t="shared" si="22"/>
        <v>41481</v>
      </c>
      <c r="D366" s="109">
        <f t="shared" si="23"/>
        <v>2.08</v>
      </c>
      <c r="E366" s="106" t="s">
        <v>399</v>
      </c>
      <c r="F366" s="58" t="s">
        <v>1863</v>
      </c>
      <c r="G366" s="106">
        <v>12</v>
      </c>
      <c r="H366" s="107">
        <v>20130726</v>
      </c>
      <c r="I366" s="107">
        <v>20130726</v>
      </c>
      <c r="J366" s="107">
        <v>2.08</v>
      </c>
      <c r="K366" s="107"/>
      <c r="L366" s="107"/>
      <c r="M366" s="107"/>
      <c r="N366" s="107"/>
      <c r="O366" s="107"/>
      <c r="P366" s="107"/>
    </row>
    <row r="367" spans="1:16" x14ac:dyDescent="0.3">
      <c r="A367" s="58" t="str">
        <f t="shared" si="24"/>
        <v>A008290</v>
      </c>
      <c r="B367" s="59" t="str">
        <f t="shared" si="21"/>
        <v/>
      </c>
      <c r="C367" s="59" t="str">
        <f t="shared" si="22"/>
        <v/>
      </c>
      <c r="D367" s="109" t="str">
        <f t="shared" si="23"/>
        <v/>
      </c>
      <c r="E367" s="106" t="s">
        <v>400</v>
      </c>
      <c r="F367" s="58" t="s">
        <v>1864</v>
      </c>
      <c r="G367" s="106">
        <v>12</v>
      </c>
      <c r="H367" s="107"/>
      <c r="I367" s="107"/>
      <c r="J367" s="107"/>
      <c r="K367" s="107"/>
      <c r="L367" s="107"/>
      <c r="M367" s="107"/>
      <c r="N367" s="107"/>
      <c r="O367" s="107"/>
      <c r="P367" s="107"/>
    </row>
    <row r="368" spans="1:16" x14ac:dyDescent="0.3">
      <c r="A368" s="58" t="str">
        <f t="shared" si="24"/>
        <v>A008350</v>
      </c>
      <c r="B368" s="59" t="str">
        <f t="shared" si="21"/>
        <v/>
      </c>
      <c r="C368" s="59" t="str">
        <f t="shared" si="22"/>
        <v/>
      </c>
      <c r="D368" s="109" t="str">
        <f t="shared" si="23"/>
        <v/>
      </c>
      <c r="E368" s="106" t="s">
        <v>401</v>
      </c>
      <c r="F368" s="58" t="s">
        <v>1865</v>
      </c>
      <c r="G368" s="106">
        <v>12</v>
      </c>
      <c r="H368" s="107"/>
      <c r="I368" s="107"/>
      <c r="J368" s="107"/>
      <c r="K368" s="107"/>
      <c r="L368" s="107"/>
      <c r="M368" s="107"/>
      <c r="N368" s="107"/>
      <c r="O368" s="107"/>
      <c r="P368" s="107"/>
    </row>
    <row r="369" spans="1:16" x14ac:dyDescent="0.3">
      <c r="A369" s="58" t="str">
        <f t="shared" si="24"/>
        <v>A008370</v>
      </c>
      <c r="B369" s="59" t="str">
        <f t="shared" si="21"/>
        <v/>
      </c>
      <c r="C369" s="59" t="str">
        <f t="shared" si="22"/>
        <v/>
      </c>
      <c r="D369" s="109" t="str">
        <f t="shared" si="23"/>
        <v/>
      </c>
      <c r="E369" s="106" t="s">
        <v>402</v>
      </c>
      <c r="F369" s="58" t="s">
        <v>1866</v>
      </c>
      <c r="G369" s="106">
        <v>12</v>
      </c>
      <c r="H369" s="107"/>
      <c r="I369" s="107"/>
      <c r="J369" s="107"/>
      <c r="K369" s="107"/>
      <c r="L369" s="107"/>
      <c r="M369" s="107"/>
      <c r="N369" s="107"/>
      <c r="O369" s="107"/>
      <c r="P369" s="107"/>
    </row>
    <row r="370" spans="1:16" x14ac:dyDescent="0.3">
      <c r="A370" s="58" t="str">
        <f t="shared" si="24"/>
        <v>A008420</v>
      </c>
      <c r="B370" s="59" t="str">
        <f t="shared" si="21"/>
        <v/>
      </c>
      <c r="C370" s="59" t="str">
        <f t="shared" si="22"/>
        <v/>
      </c>
      <c r="D370" s="109" t="str">
        <f t="shared" si="23"/>
        <v/>
      </c>
      <c r="E370" s="106" t="s">
        <v>403</v>
      </c>
      <c r="F370" s="58" t="s">
        <v>1867</v>
      </c>
      <c r="G370" s="106">
        <v>12</v>
      </c>
      <c r="H370" s="107"/>
      <c r="I370" s="107"/>
      <c r="J370" s="107"/>
      <c r="K370" s="107"/>
      <c r="L370" s="107"/>
      <c r="M370" s="107"/>
      <c r="N370" s="107"/>
      <c r="O370" s="107"/>
      <c r="P370" s="107"/>
    </row>
    <row r="371" spans="1:16" x14ac:dyDescent="0.3">
      <c r="A371" s="58" t="str">
        <f t="shared" si="24"/>
        <v>A008470</v>
      </c>
      <c r="B371" s="59" t="str">
        <f t="shared" si="21"/>
        <v/>
      </c>
      <c r="C371" s="59" t="str">
        <f t="shared" si="22"/>
        <v/>
      </c>
      <c r="D371" s="109" t="str">
        <f t="shared" si="23"/>
        <v/>
      </c>
      <c r="E371" s="106" t="s">
        <v>3132</v>
      </c>
      <c r="F371" s="58" t="s">
        <v>3335</v>
      </c>
      <c r="G371" s="106">
        <v>12</v>
      </c>
      <c r="H371" s="107"/>
      <c r="I371" s="107"/>
      <c r="J371" s="107"/>
      <c r="K371" s="107"/>
      <c r="L371" s="107"/>
      <c r="M371" s="107"/>
      <c r="N371" s="107"/>
      <c r="O371" s="107"/>
      <c r="P371" s="107"/>
    </row>
    <row r="372" spans="1:16" x14ac:dyDescent="0.3">
      <c r="A372" s="58" t="str">
        <f t="shared" si="24"/>
        <v>A008490</v>
      </c>
      <c r="B372" s="59">
        <f t="shared" si="21"/>
        <v>41481</v>
      </c>
      <c r="C372" s="59">
        <f t="shared" si="22"/>
        <v>41481</v>
      </c>
      <c r="D372" s="109">
        <f t="shared" si="23"/>
        <v>8.86</v>
      </c>
      <c r="E372" s="106" t="s">
        <v>404</v>
      </c>
      <c r="F372" s="58" t="s">
        <v>1868</v>
      </c>
      <c r="G372" s="106">
        <v>12</v>
      </c>
      <c r="H372" s="107">
        <v>20130726</v>
      </c>
      <c r="I372" s="107">
        <v>20130726</v>
      </c>
      <c r="J372" s="107">
        <v>8.86</v>
      </c>
      <c r="K372" s="107"/>
      <c r="L372" s="107"/>
      <c r="M372" s="107"/>
      <c r="N372" s="107"/>
      <c r="O372" s="107"/>
      <c r="P372" s="107"/>
    </row>
    <row r="373" spans="1:16" x14ac:dyDescent="0.3">
      <c r="A373" s="58" t="str">
        <f t="shared" si="24"/>
        <v>A008500</v>
      </c>
      <c r="B373" s="59" t="str">
        <f t="shared" si="21"/>
        <v/>
      </c>
      <c r="C373" s="59" t="str">
        <f t="shared" si="22"/>
        <v/>
      </c>
      <c r="D373" s="109" t="str">
        <f t="shared" si="23"/>
        <v/>
      </c>
      <c r="E373" s="106" t="s">
        <v>405</v>
      </c>
      <c r="F373" s="58" t="s">
        <v>1869</v>
      </c>
      <c r="G373" s="106">
        <v>12</v>
      </c>
      <c r="H373" s="107"/>
      <c r="I373" s="107"/>
      <c r="J373" s="107"/>
      <c r="K373" s="107"/>
      <c r="L373" s="107"/>
      <c r="M373" s="107"/>
      <c r="N373" s="107"/>
      <c r="O373" s="107"/>
      <c r="P373" s="107"/>
    </row>
    <row r="374" spans="1:16" x14ac:dyDescent="0.3">
      <c r="A374" s="58" t="str">
        <f t="shared" si="24"/>
        <v>A008560</v>
      </c>
      <c r="B374" s="59" t="str">
        <f t="shared" si="21"/>
        <v/>
      </c>
      <c r="C374" s="59" t="str">
        <f t="shared" si="22"/>
        <v/>
      </c>
      <c r="D374" s="109" t="str">
        <f t="shared" si="23"/>
        <v/>
      </c>
      <c r="E374" s="106" t="s">
        <v>406</v>
      </c>
      <c r="F374" s="58" t="s">
        <v>1870</v>
      </c>
      <c r="G374" s="106">
        <v>3</v>
      </c>
      <c r="H374" s="107"/>
      <c r="I374" s="107"/>
      <c r="J374" s="107"/>
      <c r="K374" s="107"/>
      <c r="L374" s="107"/>
      <c r="M374" s="107"/>
      <c r="N374" s="107"/>
      <c r="O374" s="107"/>
      <c r="P374" s="107"/>
    </row>
    <row r="375" spans="1:16" x14ac:dyDescent="0.3">
      <c r="A375" s="58" t="str">
        <f t="shared" si="24"/>
        <v>A008600</v>
      </c>
      <c r="B375" s="59" t="str">
        <f t="shared" si="21"/>
        <v/>
      </c>
      <c r="C375" s="59" t="str">
        <f t="shared" si="22"/>
        <v/>
      </c>
      <c r="D375" s="109" t="str">
        <f t="shared" si="23"/>
        <v/>
      </c>
      <c r="E375" s="106" t="s">
        <v>407</v>
      </c>
      <c r="F375" s="58" t="s">
        <v>1871</v>
      </c>
      <c r="G375" s="106">
        <v>12</v>
      </c>
      <c r="H375" s="107"/>
      <c r="I375" s="107"/>
      <c r="J375" s="107"/>
      <c r="K375" s="107"/>
      <c r="L375" s="107"/>
      <c r="M375" s="107"/>
      <c r="N375" s="107"/>
      <c r="O375" s="107"/>
      <c r="P375" s="107"/>
    </row>
    <row r="376" spans="1:16" x14ac:dyDescent="0.3">
      <c r="A376" s="58" t="str">
        <f t="shared" si="24"/>
        <v>A008700</v>
      </c>
      <c r="B376" s="59" t="str">
        <f t="shared" si="21"/>
        <v/>
      </c>
      <c r="C376" s="59" t="str">
        <f t="shared" si="22"/>
        <v/>
      </c>
      <c r="D376" s="109" t="str">
        <f t="shared" si="23"/>
        <v/>
      </c>
      <c r="E376" s="106" t="s">
        <v>408</v>
      </c>
      <c r="F376" s="58" t="s">
        <v>1872</v>
      </c>
      <c r="G376" s="106">
        <v>12</v>
      </c>
      <c r="H376" s="107"/>
      <c r="I376" s="107"/>
      <c r="J376" s="107"/>
      <c r="K376" s="107"/>
      <c r="L376" s="107"/>
      <c r="M376" s="107"/>
      <c r="N376" s="107"/>
      <c r="O376" s="107"/>
      <c r="P376" s="107"/>
    </row>
    <row r="377" spans="1:16" x14ac:dyDescent="0.3">
      <c r="A377" s="58" t="str">
        <f t="shared" si="24"/>
        <v>A008720</v>
      </c>
      <c r="B377" s="59" t="str">
        <f t="shared" si="21"/>
        <v/>
      </c>
      <c r="C377" s="59" t="str">
        <f t="shared" si="22"/>
        <v/>
      </c>
      <c r="D377" s="109" t="str">
        <f t="shared" si="23"/>
        <v/>
      </c>
      <c r="E377" s="106" t="s">
        <v>409</v>
      </c>
      <c r="F377" s="58" t="s">
        <v>1873</v>
      </c>
      <c r="G377" s="106">
        <v>12</v>
      </c>
      <c r="H377" s="107"/>
      <c r="I377" s="107"/>
      <c r="J377" s="107"/>
      <c r="K377" s="107"/>
      <c r="L377" s="107"/>
      <c r="M377" s="107"/>
      <c r="N377" s="107"/>
      <c r="O377" s="107"/>
      <c r="P377" s="107"/>
    </row>
    <row r="378" spans="1:16" x14ac:dyDescent="0.3">
      <c r="A378" s="58" t="str">
        <f t="shared" si="24"/>
        <v>A008730</v>
      </c>
      <c r="B378" s="59" t="str">
        <f t="shared" si="21"/>
        <v/>
      </c>
      <c r="C378" s="59" t="str">
        <f t="shared" si="22"/>
        <v/>
      </c>
      <c r="D378" s="109" t="str">
        <f t="shared" si="23"/>
        <v/>
      </c>
      <c r="E378" s="106" t="s">
        <v>410</v>
      </c>
      <c r="F378" s="58" t="s">
        <v>1874</v>
      </c>
      <c r="G378" s="106">
        <v>12</v>
      </c>
      <c r="H378" s="107"/>
      <c r="I378" s="107"/>
      <c r="J378" s="107"/>
      <c r="K378" s="107"/>
      <c r="L378" s="107"/>
      <c r="M378" s="107"/>
      <c r="N378" s="107"/>
      <c r="O378" s="107"/>
      <c r="P378" s="107"/>
    </row>
    <row r="379" spans="1:16" x14ac:dyDescent="0.3">
      <c r="A379" s="58" t="str">
        <f t="shared" si="24"/>
        <v>A008770</v>
      </c>
      <c r="B379" s="59">
        <f t="shared" si="21"/>
        <v>41481</v>
      </c>
      <c r="C379" s="59">
        <f t="shared" si="22"/>
        <v>41481</v>
      </c>
      <c r="D379" s="109">
        <f t="shared" si="23"/>
        <v>33.369999999999997</v>
      </c>
      <c r="E379" s="106" t="s">
        <v>411</v>
      </c>
      <c r="F379" s="58" t="s">
        <v>1875</v>
      </c>
      <c r="G379" s="106">
        <v>12</v>
      </c>
      <c r="H379" s="107">
        <v>20130726</v>
      </c>
      <c r="I379" s="107">
        <v>20130726</v>
      </c>
      <c r="J379" s="107">
        <v>33.369999999999997</v>
      </c>
      <c r="K379" s="107"/>
      <c r="L379" s="107"/>
      <c r="M379" s="107"/>
      <c r="N379" s="107"/>
      <c r="O379" s="107"/>
      <c r="P379" s="107"/>
    </row>
    <row r="380" spans="1:16" x14ac:dyDescent="0.3">
      <c r="A380" s="58" t="str">
        <f t="shared" si="24"/>
        <v>A008800</v>
      </c>
      <c r="B380" s="59" t="str">
        <f t="shared" si="21"/>
        <v/>
      </c>
      <c r="C380" s="59" t="str">
        <f t="shared" si="22"/>
        <v/>
      </c>
      <c r="D380" s="109" t="str">
        <f t="shared" si="23"/>
        <v/>
      </c>
      <c r="E380" s="106" t="s">
        <v>412</v>
      </c>
      <c r="F380" s="58" t="s">
        <v>1876</v>
      </c>
      <c r="G380" s="106">
        <v>12</v>
      </c>
      <c r="H380" s="107"/>
      <c r="I380" s="107"/>
      <c r="J380" s="107"/>
      <c r="K380" s="107"/>
      <c r="L380" s="107"/>
      <c r="M380" s="107"/>
      <c r="N380" s="107"/>
      <c r="O380" s="107"/>
      <c r="P380" s="107"/>
    </row>
    <row r="381" spans="1:16" x14ac:dyDescent="0.3">
      <c r="A381" s="58" t="str">
        <f t="shared" si="24"/>
        <v>A008830</v>
      </c>
      <c r="B381" s="59" t="str">
        <f t="shared" si="21"/>
        <v/>
      </c>
      <c r="C381" s="59" t="str">
        <f t="shared" si="22"/>
        <v/>
      </c>
      <c r="D381" s="109" t="str">
        <f t="shared" si="23"/>
        <v/>
      </c>
      <c r="E381" s="106" t="s">
        <v>413</v>
      </c>
      <c r="F381" s="58" t="s">
        <v>1877</v>
      </c>
      <c r="G381" s="106">
        <v>12</v>
      </c>
      <c r="H381" s="107"/>
      <c r="I381" s="107"/>
      <c r="J381" s="107"/>
      <c r="K381" s="107"/>
      <c r="L381" s="107"/>
      <c r="M381" s="107"/>
      <c r="N381" s="107"/>
      <c r="O381" s="107"/>
      <c r="P381" s="107"/>
    </row>
    <row r="382" spans="1:16" x14ac:dyDescent="0.3">
      <c r="A382" s="58" t="str">
        <f t="shared" si="24"/>
        <v>A008870</v>
      </c>
      <c r="B382" s="59" t="str">
        <f t="shared" si="21"/>
        <v/>
      </c>
      <c r="C382" s="59" t="str">
        <f t="shared" si="22"/>
        <v/>
      </c>
      <c r="D382" s="109" t="str">
        <f t="shared" si="23"/>
        <v/>
      </c>
      <c r="E382" s="106" t="s">
        <v>414</v>
      </c>
      <c r="F382" s="58" t="s">
        <v>1878</v>
      </c>
      <c r="G382" s="106">
        <v>9</v>
      </c>
      <c r="H382" s="107"/>
      <c r="I382" s="107"/>
      <c r="J382" s="107"/>
      <c r="K382" s="107"/>
      <c r="L382" s="107"/>
      <c r="M382" s="107"/>
      <c r="N382" s="107"/>
      <c r="O382" s="107"/>
      <c r="P382" s="107"/>
    </row>
    <row r="383" spans="1:16" x14ac:dyDescent="0.3">
      <c r="A383" s="58" t="str">
        <f t="shared" si="24"/>
        <v>A008900</v>
      </c>
      <c r="B383" s="59" t="str">
        <f t="shared" si="21"/>
        <v/>
      </c>
      <c r="C383" s="59" t="str">
        <f t="shared" si="22"/>
        <v/>
      </c>
      <c r="D383" s="109" t="str">
        <f t="shared" si="23"/>
        <v/>
      </c>
      <c r="E383" s="106" t="s">
        <v>415</v>
      </c>
      <c r="F383" s="58" t="s">
        <v>1879</v>
      </c>
      <c r="G383" s="106">
        <v>12</v>
      </c>
      <c r="H383" s="107"/>
      <c r="I383" s="107"/>
      <c r="J383" s="107"/>
      <c r="K383" s="107"/>
      <c r="L383" s="107"/>
      <c r="M383" s="107"/>
      <c r="N383" s="107"/>
      <c r="O383" s="107"/>
      <c r="P383" s="107"/>
    </row>
    <row r="384" spans="1:16" x14ac:dyDescent="0.3">
      <c r="A384" s="58" t="str">
        <f t="shared" si="24"/>
        <v>A008930</v>
      </c>
      <c r="B384" s="59" t="str">
        <f t="shared" si="21"/>
        <v/>
      </c>
      <c r="C384" s="59" t="str">
        <f t="shared" si="22"/>
        <v/>
      </c>
      <c r="D384" s="109" t="str">
        <f t="shared" si="23"/>
        <v/>
      </c>
      <c r="E384" s="106" t="s">
        <v>416</v>
      </c>
      <c r="F384" s="58" t="s">
        <v>1880</v>
      </c>
      <c r="G384" s="106">
        <v>12</v>
      </c>
      <c r="H384" s="107"/>
      <c r="I384" s="107"/>
      <c r="J384" s="107"/>
      <c r="K384" s="107"/>
      <c r="L384" s="107"/>
      <c r="M384" s="107"/>
      <c r="N384" s="107"/>
      <c r="O384" s="107"/>
      <c r="P384" s="107"/>
    </row>
    <row r="385" spans="1:16" x14ac:dyDescent="0.3">
      <c r="A385" s="58" t="str">
        <f t="shared" si="24"/>
        <v>A008970</v>
      </c>
      <c r="B385" s="59" t="str">
        <f t="shared" si="21"/>
        <v/>
      </c>
      <c r="C385" s="59" t="str">
        <f t="shared" si="22"/>
        <v/>
      </c>
      <c r="D385" s="109" t="str">
        <f t="shared" si="23"/>
        <v/>
      </c>
      <c r="E385" s="106" t="s">
        <v>417</v>
      </c>
      <c r="F385" s="58" t="s">
        <v>1881</v>
      </c>
      <c r="G385" s="106">
        <v>12</v>
      </c>
      <c r="H385" s="107"/>
      <c r="I385" s="107"/>
      <c r="J385" s="107"/>
      <c r="K385" s="107"/>
      <c r="L385" s="107"/>
      <c r="M385" s="107"/>
      <c r="N385" s="107"/>
      <c r="O385" s="107"/>
      <c r="P385" s="107"/>
    </row>
    <row r="386" spans="1:16" x14ac:dyDescent="0.3">
      <c r="A386" s="58" t="str">
        <f t="shared" si="24"/>
        <v>A009070</v>
      </c>
      <c r="B386" s="59" t="str">
        <f t="shared" si="21"/>
        <v/>
      </c>
      <c r="C386" s="59" t="str">
        <f t="shared" si="22"/>
        <v/>
      </c>
      <c r="D386" s="109" t="str">
        <f t="shared" si="23"/>
        <v/>
      </c>
      <c r="E386" s="106" t="s">
        <v>418</v>
      </c>
      <c r="F386" s="58" t="s">
        <v>1882</v>
      </c>
      <c r="G386" s="106">
        <v>12</v>
      </c>
      <c r="H386" s="107"/>
      <c r="I386" s="107"/>
      <c r="J386" s="107"/>
      <c r="K386" s="107"/>
      <c r="L386" s="107"/>
      <c r="M386" s="107"/>
      <c r="N386" s="107"/>
      <c r="O386" s="107"/>
      <c r="P386" s="107"/>
    </row>
    <row r="387" spans="1:16" x14ac:dyDescent="0.3">
      <c r="A387" s="58" t="str">
        <f t="shared" si="24"/>
        <v>A009140</v>
      </c>
      <c r="B387" s="59" t="str">
        <f t="shared" si="21"/>
        <v/>
      </c>
      <c r="C387" s="59" t="str">
        <f t="shared" si="22"/>
        <v/>
      </c>
      <c r="D387" s="109" t="str">
        <f t="shared" si="23"/>
        <v/>
      </c>
      <c r="E387" s="106" t="s">
        <v>419</v>
      </c>
      <c r="F387" s="58" t="s">
        <v>1883</v>
      </c>
      <c r="G387" s="106">
        <v>12</v>
      </c>
      <c r="H387" s="107"/>
      <c r="I387" s="107"/>
      <c r="J387" s="107"/>
      <c r="K387" s="107"/>
      <c r="L387" s="107"/>
      <c r="M387" s="107"/>
      <c r="N387" s="107"/>
      <c r="O387" s="107"/>
      <c r="P387" s="107"/>
    </row>
    <row r="388" spans="1:16" x14ac:dyDescent="0.3">
      <c r="A388" s="58" t="str">
        <f t="shared" si="24"/>
        <v>A009150</v>
      </c>
      <c r="B388" s="59">
        <f t="shared" si="21"/>
        <v>41480</v>
      </c>
      <c r="C388" s="59">
        <f t="shared" si="22"/>
        <v>41480</v>
      </c>
      <c r="D388" s="109">
        <f t="shared" si="23"/>
        <v>222.4</v>
      </c>
      <c r="E388" s="106" t="s">
        <v>420</v>
      </c>
      <c r="F388" s="58" t="s">
        <v>1884</v>
      </c>
      <c r="G388" s="106">
        <v>12</v>
      </c>
      <c r="H388" s="107">
        <v>20130725</v>
      </c>
      <c r="I388" s="107">
        <v>20130725</v>
      </c>
      <c r="J388" s="107">
        <v>222.4</v>
      </c>
      <c r="K388" s="107"/>
      <c r="L388" s="107"/>
      <c r="M388" s="107"/>
      <c r="N388" s="107"/>
      <c r="O388" s="107"/>
      <c r="P388" s="107"/>
    </row>
    <row r="389" spans="1:16" x14ac:dyDescent="0.3">
      <c r="A389" s="58" t="str">
        <f t="shared" si="24"/>
        <v>A009160</v>
      </c>
      <c r="B389" s="59" t="str">
        <f t="shared" si="21"/>
        <v/>
      </c>
      <c r="C389" s="59" t="str">
        <f t="shared" si="22"/>
        <v/>
      </c>
      <c r="D389" s="109" t="str">
        <f t="shared" si="23"/>
        <v/>
      </c>
      <c r="E389" s="106" t="s">
        <v>421</v>
      </c>
      <c r="F389" s="58" t="s">
        <v>1885</v>
      </c>
      <c r="G389" s="106">
        <v>12</v>
      </c>
      <c r="H389" s="107"/>
      <c r="I389" s="107"/>
      <c r="J389" s="107"/>
      <c r="K389" s="107"/>
      <c r="L389" s="107"/>
      <c r="M389" s="107"/>
      <c r="N389" s="107"/>
      <c r="O389" s="107"/>
      <c r="P389" s="107"/>
    </row>
    <row r="390" spans="1:16" x14ac:dyDescent="0.3">
      <c r="A390" s="58" t="str">
        <f t="shared" si="24"/>
        <v>A009180</v>
      </c>
      <c r="B390" s="59" t="str">
        <f t="shared" si="21"/>
        <v/>
      </c>
      <c r="C390" s="59" t="str">
        <f t="shared" si="22"/>
        <v/>
      </c>
      <c r="D390" s="109" t="str">
        <f t="shared" si="23"/>
        <v/>
      </c>
      <c r="E390" s="106" t="s">
        <v>422</v>
      </c>
      <c r="F390" s="58" t="s">
        <v>1886</v>
      </c>
      <c r="G390" s="106">
        <v>12</v>
      </c>
      <c r="H390" s="107"/>
      <c r="I390" s="107"/>
      <c r="J390" s="107"/>
      <c r="K390" s="107"/>
      <c r="L390" s="107"/>
      <c r="M390" s="107"/>
      <c r="N390" s="107"/>
      <c r="O390" s="107"/>
      <c r="P390" s="107"/>
    </row>
    <row r="391" spans="1:16" x14ac:dyDescent="0.3">
      <c r="A391" s="58" t="str">
        <f t="shared" si="24"/>
        <v>A009190</v>
      </c>
      <c r="B391" s="59" t="str">
        <f t="shared" si="21"/>
        <v/>
      </c>
      <c r="C391" s="59" t="str">
        <f t="shared" si="22"/>
        <v/>
      </c>
      <c r="D391" s="109" t="str">
        <f t="shared" si="23"/>
        <v/>
      </c>
      <c r="E391" s="106" t="s">
        <v>423</v>
      </c>
      <c r="F391" s="58" t="s">
        <v>1887</v>
      </c>
      <c r="G391" s="106">
        <v>12</v>
      </c>
      <c r="H391" s="107"/>
      <c r="I391" s="107"/>
      <c r="J391" s="107"/>
      <c r="K391" s="107"/>
      <c r="L391" s="107"/>
      <c r="M391" s="107"/>
      <c r="N391" s="107"/>
      <c r="O391" s="107"/>
      <c r="P391" s="107"/>
    </row>
    <row r="392" spans="1:16" x14ac:dyDescent="0.3">
      <c r="A392" s="58" t="str">
        <f t="shared" si="24"/>
        <v>A009200</v>
      </c>
      <c r="B392" s="59" t="str">
        <f t="shared" si="21"/>
        <v/>
      </c>
      <c r="C392" s="59" t="str">
        <f t="shared" si="22"/>
        <v/>
      </c>
      <c r="D392" s="109" t="str">
        <f t="shared" si="23"/>
        <v/>
      </c>
      <c r="E392" s="106" t="s">
        <v>424</v>
      </c>
      <c r="F392" s="58" t="s">
        <v>1888</v>
      </c>
      <c r="G392" s="106">
        <v>12</v>
      </c>
      <c r="H392" s="107"/>
      <c r="I392" s="107"/>
      <c r="J392" s="107"/>
      <c r="K392" s="107"/>
      <c r="L392" s="107"/>
      <c r="M392" s="107"/>
      <c r="N392" s="107"/>
      <c r="O392" s="107"/>
      <c r="P392" s="107"/>
    </row>
    <row r="393" spans="1:16" x14ac:dyDescent="0.3">
      <c r="A393" s="58" t="str">
        <f t="shared" si="24"/>
        <v>A009240</v>
      </c>
      <c r="B393" s="59" t="str">
        <f t="shared" si="21"/>
        <v/>
      </c>
      <c r="C393" s="59" t="str">
        <f t="shared" si="22"/>
        <v/>
      </c>
      <c r="D393" s="109" t="str">
        <f t="shared" si="23"/>
        <v/>
      </c>
      <c r="E393" s="106" t="s">
        <v>425</v>
      </c>
      <c r="F393" s="58" t="s">
        <v>1889</v>
      </c>
      <c r="G393" s="106">
        <v>12</v>
      </c>
      <c r="H393" s="107"/>
      <c r="I393" s="107"/>
      <c r="J393" s="107"/>
      <c r="K393" s="107"/>
      <c r="L393" s="107"/>
      <c r="M393" s="107"/>
      <c r="N393" s="107"/>
      <c r="O393" s="107"/>
      <c r="P393" s="107"/>
    </row>
    <row r="394" spans="1:16" x14ac:dyDescent="0.3">
      <c r="A394" s="58" t="str">
        <f t="shared" si="24"/>
        <v>A009270</v>
      </c>
      <c r="B394" s="59" t="str">
        <f t="shared" si="21"/>
        <v/>
      </c>
      <c r="C394" s="59" t="str">
        <f t="shared" si="22"/>
        <v/>
      </c>
      <c r="D394" s="109" t="str">
        <f t="shared" si="23"/>
        <v/>
      </c>
      <c r="E394" s="106" t="s">
        <v>426</v>
      </c>
      <c r="F394" s="58" t="s">
        <v>1890</v>
      </c>
      <c r="G394" s="106">
        <v>12</v>
      </c>
      <c r="H394" s="107"/>
      <c r="I394" s="107"/>
      <c r="J394" s="107"/>
      <c r="K394" s="107"/>
      <c r="L394" s="107"/>
      <c r="M394" s="107"/>
      <c r="N394" s="107"/>
      <c r="O394" s="107"/>
      <c r="P394" s="107"/>
    </row>
    <row r="395" spans="1:16" x14ac:dyDescent="0.3">
      <c r="A395" s="58" t="str">
        <f t="shared" si="24"/>
        <v>A009290</v>
      </c>
      <c r="B395" s="59" t="str">
        <f t="shared" si="21"/>
        <v/>
      </c>
      <c r="C395" s="59" t="str">
        <f t="shared" si="22"/>
        <v/>
      </c>
      <c r="D395" s="109" t="str">
        <f t="shared" si="23"/>
        <v/>
      </c>
      <c r="E395" s="106" t="s">
        <v>427</v>
      </c>
      <c r="F395" s="58" t="s">
        <v>1891</v>
      </c>
      <c r="G395" s="106">
        <v>12</v>
      </c>
      <c r="H395" s="107"/>
      <c r="I395" s="107"/>
      <c r="J395" s="107"/>
      <c r="K395" s="107"/>
      <c r="L395" s="107"/>
      <c r="M395" s="107"/>
      <c r="N395" s="107"/>
      <c r="O395" s="107"/>
      <c r="P395" s="107"/>
    </row>
    <row r="396" spans="1:16" x14ac:dyDescent="0.3">
      <c r="A396" s="58" t="str">
        <f t="shared" si="24"/>
        <v>A009300</v>
      </c>
      <c r="B396" s="59" t="str">
        <f t="shared" si="21"/>
        <v/>
      </c>
      <c r="C396" s="59" t="str">
        <f t="shared" si="22"/>
        <v/>
      </c>
      <c r="D396" s="109" t="str">
        <f t="shared" si="23"/>
        <v/>
      </c>
      <c r="E396" s="106" t="s">
        <v>428</v>
      </c>
      <c r="F396" s="58" t="s">
        <v>1892</v>
      </c>
      <c r="G396" s="106">
        <v>12</v>
      </c>
      <c r="H396" s="107"/>
      <c r="I396" s="107"/>
      <c r="J396" s="107"/>
      <c r="K396" s="107"/>
      <c r="L396" s="107"/>
      <c r="M396" s="107"/>
      <c r="N396" s="107"/>
      <c r="O396" s="107"/>
      <c r="P396" s="107"/>
    </row>
    <row r="397" spans="1:16" x14ac:dyDescent="0.3">
      <c r="A397" s="58" t="str">
        <f t="shared" si="24"/>
        <v>A009310</v>
      </c>
      <c r="B397" s="59" t="str">
        <f t="shared" si="21"/>
        <v/>
      </c>
      <c r="C397" s="59" t="str">
        <f t="shared" si="22"/>
        <v/>
      </c>
      <c r="D397" s="109" t="str">
        <f t="shared" si="23"/>
        <v/>
      </c>
      <c r="E397" s="106" t="s">
        <v>429</v>
      </c>
      <c r="F397" s="58" t="s">
        <v>1893</v>
      </c>
      <c r="G397" s="106">
        <v>12</v>
      </c>
      <c r="H397" s="107"/>
      <c r="I397" s="107"/>
      <c r="J397" s="107"/>
      <c r="K397" s="107"/>
      <c r="L397" s="107"/>
      <c r="M397" s="107"/>
      <c r="N397" s="107"/>
      <c r="O397" s="107"/>
      <c r="P397" s="107"/>
    </row>
    <row r="398" spans="1:16" x14ac:dyDescent="0.3">
      <c r="A398" s="58" t="str">
        <f t="shared" si="24"/>
        <v>A009320</v>
      </c>
      <c r="B398" s="59" t="str">
        <f t="shared" si="21"/>
        <v/>
      </c>
      <c r="C398" s="59" t="str">
        <f t="shared" si="22"/>
        <v/>
      </c>
      <c r="D398" s="109" t="str">
        <f t="shared" si="23"/>
        <v/>
      </c>
      <c r="E398" s="106" t="s">
        <v>430</v>
      </c>
      <c r="F398" s="58" t="s">
        <v>1894</v>
      </c>
      <c r="G398" s="106">
        <v>12</v>
      </c>
      <c r="H398" s="107"/>
      <c r="I398" s="107"/>
      <c r="J398" s="107"/>
      <c r="K398" s="107"/>
      <c r="L398" s="107"/>
      <c r="M398" s="107"/>
      <c r="N398" s="107"/>
      <c r="O398" s="107"/>
      <c r="P398" s="107"/>
    </row>
    <row r="399" spans="1:16" x14ac:dyDescent="0.3">
      <c r="A399" s="58" t="str">
        <f t="shared" si="24"/>
        <v>A009410</v>
      </c>
      <c r="B399" s="59" t="str">
        <f t="shared" ref="B399:B462" si="25">IFERROR(IF(ISNUMBER(H399),DATE(LEFT(H399,4),MID(H399,5,2),RIGHT(H399,2)),NA()),"")</f>
        <v/>
      </c>
      <c r="C399" s="59" t="str">
        <f t="shared" ref="C399:C462" si="26">IFERROR(IF(ISNUMBER(I399),DATE(LEFT(I399,4),MID(I399,5,2),RIGHT(I399,2)),NA()),"")</f>
        <v/>
      </c>
      <c r="D399" s="109" t="str">
        <f t="shared" ref="D399:D462" si="27">IFERROR(IF(ISNUMBER(J399),J399,NA()),"")</f>
        <v/>
      </c>
      <c r="E399" s="106" t="s">
        <v>431</v>
      </c>
      <c r="F399" s="58" t="s">
        <v>1895</v>
      </c>
      <c r="G399" s="106">
        <v>12</v>
      </c>
      <c r="H399" s="107"/>
      <c r="I399" s="107"/>
      <c r="J399" s="107"/>
      <c r="K399" s="107"/>
      <c r="L399" s="107"/>
      <c r="M399" s="107"/>
      <c r="N399" s="107"/>
      <c r="O399" s="107"/>
      <c r="P399" s="107"/>
    </row>
    <row r="400" spans="1:16" x14ac:dyDescent="0.3">
      <c r="A400" s="58" t="str">
        <f t="shared" si="24"/>
        <v>A009420</v>
      </c>
      <c r="B400" s="59" t="str">
        <f t="shared" si="25"/>
        <v/>
      </c>
      <c r="C400" s="59" t="str">
        <f t="shared" si="26"/>
        <v/>
      </c>
      <c r="D400" s="109" t="str">
        <f t="shared" si="27"/>
        <v/>
      </c>
      <c r="E400" s="106" t="s">
        <v>432</v>
      </c>
      <c r="F400" s="58" t="s">
        <v>1896</v>
      </c>
      <c r="G400" s="106">
        <v>12</v>
      </c>
      <c r="H400" s="107"/>
      <c r="I400" s="107"/>
      <c r="J400" s="107"/>
      <c r="K400" s="107"/>
      <c r="L400" s="107"/>
      <c r="M400" s="107"/>
      <c r="N400" s="107"/>
      <c r="O400" s="107"/>
      <c r="P400" s="107"/>
    </row>
    <row r="401" spans="1:16" x14ac:dyDescent="0.3">
      <c r="A401" s="58" t="str">
        <f t="shared" si="24"/>
        <v>A009440</v>
      </c>
      <c r="B401" s="59" t="str">
        <f t="shared" si="25"/>
        <v/>
      </c>
      <c r="C401" s="59" t="str">
        <f t="shared" si="26"/>
        <v/>
      </c>
      <c r="D401" s="109" t="str">
        <f t="shared" si="27"/>
        <v/>
      </c>
      <c r="E401" s="106" t="s">
        <v>433</v>
      </c>
      <c r="F401" s="58" t="s">
        <v>1897</v>
      </c>
      <c r="G401" s="106">
        <v>12</v>
      </c>
      <c r="H401" s="107"/>
      <c r="I401" s="107"/>
      <c r="J401" s="107"/>
      <c r="K401" s="107"/>
      <c r="L401" s="107"/>
      <c r="M401" s="107"/>
      <c r="N401" s="107"/>
      <c r="O401" s="107"/>
      <c r="P401" s="107"/>
    </row>
    <row r="402" spans="1:16" x14ac:dyDescent="0.3">
      <c r="A402" s="58" t="str">
        <f t="shared" si="24"/>
        <v>A009450</v>
      </c>
      <c r="B402" s="59" t="str">
        <f t="shared" si="25"/>
        <v/>
      </c>
      <c r="C402" s="59" t="str">
        <f t="shared" si="26"/>
        <v/>
      </c>
      <c r="D402" s="109" t="str">
        <f t="shared" si="27"/>
        <v/>
      </c>
      <c r="E402" s="106" t="s">
        <v>434</v>
      </c>
      <c r="F402" s="58" t="s">
        <v>1898</v>
      </c>
      <c r="G402" s="106">
        <v>12</v>
      </c>
      <c r="H402" s="107"/>
      <c r="I402" s="107"/>
      <c r="J402" s="107"/>
      <c r="K402" s="107"/>
      <c r="L402" s="107"/>
      <c r="M402" s="107"/>
      <c r="N402" s="107"/>
      <c r="O402" s="107"/>
      <c r="P402" s="107"/>
    </row>
    <row r="403" spans="1:16" x14ac:dyDescent="0.3">
      <c r="A403" s="58" t="str">
        <f t="shared" si="24"/>
        <v>A009460</v>
      </c>
      <c r="B403" s="59" t="str">
        <f t="shared" si="25"/>
        <v/>
      </c>
      <c r="C403" s="59" t="str">
        <f t="shared" si="26"/>
        <v/>
      </c>
      <c r="D403" s="109" t="str">
        <f t="shared" si="27"/>
        <v/>
      </c>
      <c r="E403" s="106" t="s">
        <v>435</v>
      </c>
      <c r="F403" s="58" t="s">
        <v>1899</v>
      </c>
      <c r="G403" s="106">
        <v>12</v>
      </c>
      <c r="H403" s="107"/>
      <c r="I403" s="107"/>
      <c r="J403" s="107"/>
      <c r="K403" s="107"/>
      <c r="L403" s="107"/>
      <c r="M403" s="107"/>
      <c r="N403" s="107"/>
      <c r="O403" s="107"/>
      <c r="P403" s="107"/>
    </row>
    <row r="404" spans="1:16" x14ac:dyDescent="0.3">
      <c r="A404" s="58" t="str">
        <f t="shared" si="24"/>
        <v>A009470</v>
      </c>
      <c r="B404" s="59" t="str">
        <f t="shared" si="25"/>
        <v/>
      </c>
      <c r="C404" s="59" t="str">
        <f t="shared" si="26"/>
        <v/>
      </c>
      <c r="D404" s="109" t="str">
        <f t="shared" si="27"/>
        <v/>
      </c>
      <c r="E404" s="106" t="s">
        <v>436</v>
      </c>
      <c r="F404" s="58" t="s">
        <v>1900</v>
      </c>
      <c r="G404" s="106">
        <v>12</v>
      </c>
      <c r="H404" s="107"/>
      <c r="I404" s="107"/>
      <c r="J404" s="107"/>
      <c r="K404" s="107"/>
      <c r="L404" s="107"/>
      <c r="M404" s="107"/>
      <c r="N404" s="107"/>
      <c r="O404" s="107"/>
      <c r="P404" s="107"/>
    </row>
    <row r="405" spans="1:16" x14ac:dyDescent="0.3">
      <c r="A405" s="58" t="str">
        <f t="shared" si="24"/>
        <v>A009520</v>
      </c>
      <c r="B405" s="59" t="str">
        <f t="shared" si="25"/>
        <v/>
      </c>
      <c r="C405" s="59" t="str">
        <f t="shared" si="26"/>
        <v/>
      </c>
      <c r="D405" s="109" t="str">
        <f t="shared" si="27"/>
        <v/>
      </c>
      <c r="E405" s="106" t="s">
        <v>437</v>
      </c>
      <c r="F405" s="58" t="s">
        <v>1901</v>
      </c>
      <c r="G405" s="106">
        <v>12</v>
      </c>
      <c r="H405" s="107"/>
      <c r="I405" s="107"/>
      <c r="J405" s="107"/>
      <c r="K405" s="107"/>
      <c r="L405" s="107"/>
      <c r="M405" s="107"/>
      <c r="N405" s="107"/>
      <c r="O405" s="107"/>
      <c r="P405" s="107"/>
    </row>
    <row r="406" spans="1:16" x14ac:dyDescent="0.3">
      <c r="A406" s="58" t="str">
        <f t="shared" ref="A406:A469" si="28">E406</f>
        <v>A009540</v>
      </c>
      <c r="B406" s="59">
        <f t="shared" si="25"/>
        <v>41480</v>
      </c>
      <c r="C406" s="59">
        <f t="shared" si="26"/>
        <v>41480</v>
      </c>
      <c r="D406" s="109">
        <f t="shared" si="27"/>
        <v>288.99</v>
      </c>
      <c r="E406" s="106" t="s">
        <v>438</v>
      </c>
      <c r="F406" s="58" t="s">
        <v>1902</v>
      </c>
      <c r="G406" s="106">
        <v>12</v>
      </c>
      <c r="H406" s="107">
        <v>20130725</v>
      </c>
      <c r="I406" s="107">
        <v>20130725</v>
      </c>
      <c r="J406" s="107">
        <v>288.99</v>
      </c>
      <c r="K406" s="107"/>
      <c r="L406" s="107"/>
      <c r="M406" s="107"/>
      <c r="N406" s="107"/>
      <c r="O406" s="107"/>
      <c r="P406" s="107"/>
    </row>
    <row r="407" spans="1:16" x14ac:dyDescent="0.3">
      <c r="A407" s="58" t="str">
        <f t="shared" si="28"/>
        <v>A009580</v>
      </c>
      <c r="B407" s="59" t="str">
        <f t="shared" si="25"/>
        <v/>
      </c>
      <c r="C407" s="59" t="str">
        <f t="shared" si="26"/>
        <v/>
      </c>
      <c r="D407" s="109" t="str">
        <f t="shared" si="27"/>
        <v/>
      </c>
      <c r="E407" s="106" t="s">
        <v>439</v>
      </c>
      <c r="F407" s="58" t="s">
        <v>1903</v>
      </c>
      <c r="G407" s="106">
        <v>12</v>
      </c>
      <c r="H407" s="107"/>
      <c r="I407" s="107"/>
      <c r="J407" s="107"/>
      <c r="K407" s="107"/>
      <c r="L407" s="107"/>
      <c r="M407" s="107"/>
      <c r="N407" s="107"/>
      <c r="O407" s="107"/>
      <c r="P407" s="107"/>
    </row>
    <row r="408" spans="1:16" x14ac:dyDescent="0.3">
      <c r="A408" s="58" t="str">
        <f t="shared" si="28"/>
        <v>A009620</v>
      </c>
      <c r="B408" s="59" t="str">
        <f t="shared" si="25"/>
        <v/>
      </c>
      <c r="C408" s="59" t="str">
        <f t="shared" si="26"/>
        <v/>
      </c>
      <c r="D408" s="109" t="str">
        <f t="shared" si="27"/>
        <v/>
      </c>
      <c r="E408" s="106" t="s">
        <v>440</v>
      </c>
      <c r="F408" s="58" t="s">
        <v>1904</v>
      </c>
      <c r="G408" s="106">
        <v>12</v>
      </c>
      <c r="H408" s="107"/>
      <c r="I408" s="107"/>
      <c r="J408" s="107"/>
      <c r="K408" s="107"/>
      <c r="L408" s="107"/>
      <c r="M408" s="107"/>
      <c r="N408" s="107"/>
      <c r="O408" s="107"/>
      <c r="P408" s="107"/>
    </row>
    <row r="409" spans="1:16" x14ac:dyDescent="0.3">
      <c r="A409" s="58" t="str">
        <f t="shared" si="28"/>
        <v>A009680</v>
      </c>
      <c r="B409" s="59" t="str">
        <f t="shared" si="25"/>
        <v/>
      </c>
      <c r="C409" s="59" t="str">
        <f t="shared" si="26"/>
        <v/>
      </c>
      <c r="D409" s="109" t="str">
        <f t="shared" si="27"/>
        <v/>
      </c>
      <c r="E409" s="106" t="s">
        <v>441</v>
      </c>
      <c r="F409" s="58" t="s">
        <v>1905</v>
      </c>
      <c r="G409" s="106">
        <v>12</v>
      </c>
      <c r="H409" s="107"/>
      <c r="I409" s="107"/>
      <c r="J409" s="107"/>
      <c r="K409" s="107"/>
      <c r="L409" s="107"/>
      <c r="M409" s="107"/>
      <c r="N409" s="107"/>
      <c r="O409" s="107"/>
      <c r="P409" s="107"/>
    </row>
    <row r="410" spans="1:16" x14ac:dyDescent="0.3">
      <c r="A410" s="58" t="str">
        <f t="shared" si="28"/>
        <v>A009730</v>
      </c>
      <c r="B410" s="59" t="str">
        <f t="shared" si="25"/>
        <v/>
      </c>
      <c r="C410" s="59" t="str">
        <f t="shared" si="26"/>
        <v/>
      </c>
      <c r="D410" s="109" t="str">
        <f t="shared" si="27"/>
        <v/>
      </c>
      <c r="E410" s="106" t="s">
        <v>442</v>
      </c>
      <c r="F410" s="58" t="s">
        <v>1906</v>
      </c>
      <c r="G410" s="106">
        <v>12</v>
      </c>
      <c r="H410" s="107"/>
      <c r="I410" s="107"/>
      <c r="J410" s="107"/>
      <c r="K410" s="107"/>
      <c r="L410" s="107"/>
      <c r="M410" s="107"/>
      <c r="N410" s="107"/>
      <c r="O410" s="107"/>
      <c r="P410" s="107"/>
    </row>
    <row r="411" spans="1:16" x14ac:dyDescent="0.3">
      <c r="A411" s="58" t="str">
        <f t="shared" si="28"/>
        <v>A009770</v>
      </c>
      <c r="B411" s="59" t="str">
        <f t="shared" si="25"/>
        <v/>
      </c>
      <c r="C411" s="59" t="str">
        <f t="shared" si="26"/>
        <v/>
      </c>
      <c r="D411" s="109" t="str">
        <f t="shared" si="27"/>
        <v/>
      </c>
      <c r="E411" s="106" t="s">
        <v>443</v>
      </c>
      <c r="F411" s="58" t="s">
        <v>1907</v>
      </c>
      <c r="G411" s="106">
        <v>12</v>
      </c>
      <c r="H411" s="107"/>
      <c r="I411" s="107"/>
      <c r="J411" s="107"/>
      <c r="K411" s="107"/>
      <c r="L411" s="107"/>
      <c r="M411" s="107"/>
      <c r="N411" s="107"/>
      <c r="O411" s="107"/>
      <c r="P411" s="107"/>
    </row>
    <row r="412" spans="1:16" x14ac:dyDescent="0.3">
      <c r="A412" s="58" t="str">
        <f t="shared" si="28"/>
        <v>A009780</v>
      </c>
      <c r="B412" s="59" t="str">
        <f t="shared" si="25"/>
        <v/>
      </c>
      <c r="C412" s="59" t="str">
        <f t="shared" si="26"/>
        <v/>
      </c>
      <c r="D412" s="109" t="str">
        <f t="shared" si="27"/>
        <v/>
      </c>
      <c r="E412" s="106" t="s">
        <v>444</v>
      </c>
      <c r="F412" s="58" t="s">
        <v>1908</v>
      </c>
      <c r="G412" s="106">
        <v>12</v>
      </c>
      <c r="H412" s="107"/>
      <c r="I412" s="107"/>
      <c r="J412" s="107"/>
      <c r="K412" s="107"/>
      <c r="L412" s="107"/>
      <c r="M412" s="107"/>
      <c r="N412" s="107"/>
      <c r="O412" s="107"/>
      <c r="P412" s="107"/>
    </row>
    <row r="413" spans="1:16" x14ac:dyDescent="0.3">
      <c r="A413" s="58" t="str">
        <f t="shared" si="28"/>
        <v>A009810</v>
      </c>
      <c r="B413" s="59" t="str">
        <f t="shared" si="25"/>
        <v/>
      </c>
      <c r="C413" s="59" t="str">
        <f t="shared" si="26"/>
        <v/>
      </c>
      <c r="D413" s="109" t="str">
        <f t="shared" si="27"/>
        <v/>
      </c>
      <c r="E413" s="106" t="s">
        <v>445</v>
      </c>
      <c r="F413" s="58" t="s">
        <v>1909</v>
      </c>
      <c r="G413" s="106">
        <v>12</v>
      </c>
      <c r="H413" s="107"/>
      <c r="I413" s="107"/>
      <c r="J413" s="107"/>
      <c r="K413" s="107"/>
      <c r="L413" s="107"/>
      <c r="M413" s="107"/>
      <c r="N413" s="107"/>
      <c r="O413" s="107"/>
      <c r="P413" s="107"/>
    </row>
    <row r="414" spans="1:16" x14ac:dyDescent="0.3">
      <c r="A414" s="58" t="str">
        <f t="shared" si="28"/>
        <v>A009830</v>
      </c>
      <c r="B414" s="59" t="str">
        <f t="shared" si="25"/>
        <v/>
      </c>
      <c r="C414" s="59" t="str">
        <f t="shared" si="26"/>
        <v/>
      </c>
      <c r="D414" s="109" t="str">
        <f t="shared" si="27"/>
        <v/>
      </c>
      <c r="E414" s="106" t="s">
        <v>446</v>
      </c>
      <c r="F414" s="58" t="s">
        <v>1910</v>
      </c>
      <c r="G414" s="106">
        <v>12</v>
      </c>
      <c r="H414" s="107"/>
      <c r="I414" s="107"/>
      <c r="J414" s="107"/>
      <c r="K414" s="107"/>
      <c r="L414" s="107"/>
      <c r="M414" s="107"/>
      <c r="N414" s="107"/>
      <c r="O414" s="107"/>
      <c r="P414" s="107"/>
    </row>
    <row r="415" spans="1:16" x14ac:dyDescent="0.3">
      <c r="A415" s="58" t="str">
        <f t="shared" si="28"/>
        <v>A009970</v>
      </c>
      <c r="B415" s="59" t="str">
        <f t="shared" si="25"/>
        <v/>
      </c>
      <c r="C415" s="59" t="str">
        <f t="shared" si="26"/>
        <v/>
      </c>
      <c r="D415" s="109" t="str">
        <f t="shared" si="27"/>
        <v/>
      </c>
      <c r="E415" s="106" t="s">
        <v>447</v>
      </c>
      <c r="F415" s="58" t="s">
        <v>1911</v>
      </c>
      <c r="G415" s="106">
        <v>12</v>
      </c>
      <c r="H415" s="107"/>
      <c r="I415" s="107"/>
      <c r="J415" s="107"/>
      <c r="K415" s="107"/>
      <c r="L415" s="107"/>
      <c r="M415" s="107"/>
      <c r="N415" s="107"/>
      <c r="O415" s="107"/>
      <c r="P415" s="107"/>
    </row>
    <row r="416" spans="1:16" x14ac:dyDescent="0.3">
      <c r="A416" s="58" t="str">
        <f t="shared" si="28"/>
        <v>A010040</v>
      </c>
      <c r="B416" s="59" t="str">
        <f t="shared" si="25"/>
        <v/>
      </c>
      <c r="C416" s="59" t="str">
        <f t="shared" si="26"/>
        <v/>
      </c>
      <c r="D416" s="109" t="str">
        <f t="shared" si="27"/>
        <v/>
      </c>
      <c r="E416" s="106" t="s">
        <v>448</v>
      </c>
      <c r="F416" s="58" t="s">
        <v>1912</v>
      </c>
      <c r="G416" s="106">
        <v>12</v>
      </c>
      <c r="H416" s="107"/>
      <c r="I416" s="107"/>
      <c r="J416" s="107"/>
      <c r="K416" s="107"/>
      <c r="L416" s="107"/>
      <c r="M416" s="107"/>
      <c r="N416" s="107"/>
      <c r="O416" s="107"/>
      <c r="P416" s="107"/>
    </row>
    <row r="417" spans="1:16" x14ac:dyDescent="0.3">
      <c r="A417" s="58" t="str">
        <f t="shared" si="28"/>
        <v>A010050</v>
      </c>
      <c r="B417" s="59" t="str">
        <f t="shared" si="25"/>
        <v/>
      </c>
      <c r="C417" s="59" t="str">
        <f t="shared" si="26"/>
        <v/>
      </c>
      <c r="D417" s="109" t="str">
        <f t="shared" si="27"/>
        <v/>
      </c>
      <c r="E417" s="106" t="s">
        <v>449</v>
      </c>
      <c r="F417" s="58" t="s">
        <v>1913</v>
      </c>
      <c r="G417" s="106">
        <v>3</v>
      </c>
      <c r="H417" s="107"/>
      <c r="I417" s="107"/>
      <c r="J417" s="107"/>
      <c r="K417" s="107"/>
      <c r="L417" s="107"/>
      <c r="M417" s="107"/>
      <c r="N417" s="107"/>
      <c r="O417" s="107"/>
      <c r="P417" s="107"/>
    </row>
    <row r="418" spans="1:16" x14ac:dyDescent="0.3">
      <c r="A418" s="58" t="str">
        <f t="shared" si="28"/>
        <v>A010060</v>
      </c>
      <c r="B418" s="59">
        <f t="shared" si="25"/>
        <v>41479</v>
      </c>
      <c r="C418" s="59">
        <f t="shared" si="26"/>
        <v>41479</v>
      </c>
      <c r="D418" s="109">
        <f t="shared" si="27"/>
        <v>17.72</v>
      </c>
      <c r="E418" s="106" t="s">
        <v>450</v>
      </c>
      <c r="F418" s="58" t="s">
        <v>1914</v>
      </c>
      <c r="G418" s="106">
        <v>12</v>
      </c>
      <c r="H418" s="107">
        <v>20130724</v>
      </c>
      <c r="I418" s="107">
        <v>20130724</v>
      </c>
      <c r="J418" s="107">
        <v>17.72</v>
      </c>
      <c r="K418" s="107"/>
      <c r="L418" s="107"/>
      <c r="M418" s="107"/>
      <c r="N418" s="107"/>
      <c r="O418" s="107"/>
      <c r="P418" s="107"/>
    </row>
    <row r="419" spans="1:16" x14ac:dyDescent="0.3">
      <c r="A419" s="58" t="str">
        <f t="shared" si="28"/>
        <v>A010100</v>
      </c>
      <c r="B419" s="59" t="str">
        <f t="shared" si="25"/>
        <v/>
      </c>
      <c r="C419" s="59" t="str">
        <f t="shared" si="26"/>
        <v/>
      </c>
      <c r="D419" s="109" t="str">
        <f t="shared" si="27"/>
        <v/>
      </c>
      <c r="E419" s="106" t="s">
        <v>451</v>
      </c>
      <c r="F419" s="58" t="s">
        <v>1915</v>
      </c>
      <c r="G419" s="106">
        <v>12</v>
      </c>
      <c r="H419" s="107"/>
      <c r="I419" s="107"/>
      <c r="J419" s="107"/>
      <c r="K419" s="107"/>
      <c r="L419" s="107"/>
      <c r="M419" s="107"/>
      <c r="N419" s="107"/>
      <c r="O419" s="107"/>
      <c r="P419" s="107"/>
    </row>
    <row r="420" spans="1:16" x14ac:dyDescent="0.3">
      <c r="A420" s="58" t="str">
        <f t="shared" si="28"/>
        <v>A010120</v>
      </c>
      <c r="B420" s="59">
        <f t="shared" si="25"/>
        <v>41481</v>
      </c>
      <c r="C420" s="59">
        <f t="shared" si="26"/>
        <v>41481</v>
      </c>
      <c r="D420" s="109">
        <f t="shared" si="27"/>
        <v>52.73</v>
      </c>
      <c r="E420" s="106" t="s">
        <v>452</v>
      </c>
      <c r="F420" s="58" t="s">
        <v>1916</v>
      </c>
      <c r="G420" s="106">
        <v>12</v>
      </c>
      <c r="H420" s="107">
        <v>20130726</v>
      </c>
      <c r="I420" s="107">
        <v>20130726</v>
      </c>
      <c r="J420" s="107">
        <v>52.73</v>
      </c>
      <c r="K420" s="107"/>
      <c r="L420" s="107"/>
      <c r="M420" s="107"/>
      <c r="N420" s="107"/>
      <c r="O420" s="107"/>
      <c r="P420" s="107"/>
    </row>
    <row r="421" spans="1:16" x14ac:dyDescent="0.3">
      <c r="A421" s="58" t="str">
        <f t="shared" si="28"/>
        <v>A010130</v>
      </c>
      <c r="B421" s="59">
        <f t="shared" si="25"/>
        <v>41480</v>
      </c>
      <c r="C421" s="59">
        <f t="shared" si="26"/>
        <v>41480</v>
      </c>
      <c r="D421" s="109">
        <f t="shared" si="27"/>
        <v>138.9</v>
      </c>
      <c r="E421" s="106" t="s">
        <v>453</v>
      </c>
      <c r="F421" s="58" t="s">
        <v>1917</v>
      </c>
      <c r="G421" s="106">
        <v>12</v>
      </c>
      <c r="H421" s="107">
        <v>20130725</v>
      </c>
      <c r="I421" s="107">
        <v>20130725</v>
      </c>
      <c r="J421" s="107">
        <v>138.9</v>
      </c>
      <c r="K421" s="107"/>
      <c r="L421" s="107"/>
      <c r="M421" s="107"/>
      <c r="N421" s="107"/>
      <c r="O421" s="107"/>
      <c r="P421" s="107"/>
    </row>
    <row r="422" spans="1:16" x14ac:dyDescent="0.3">
      <c r="A422" s="58" t="str">
        <f t="shared" si="28"/>
        <v>A010140</v>
      </c>
      <c r="B422" s="59">
        <f t="shared" si="25"/>
        <v>41487</v>
      </c>
      <c r="C422" s="59" t="str">
        <f t="shared" si="26"/>
        <v/>
      </c>
      <c r="D422" s="109" t="str">
        <f t="shared" si="27"/>
        <v/>
      </c>
      <c r="E422" s="106" t="s">
        <v>454</v>
      </c>
      <c r="F422" s="58" t="s">
        <v>1918</v>
      </c>
      <c r="G422" s="106">
        <v>12</v>
      </c>
      <c r="H422" s="107">
        <v>20130801</v>
      </c>
      <c r="I422" s="107"/>
      <c r="J422" s="107"/>
      <c r="K422" s="107"/>
      <c r="L422" s="107"/>
      <c r="M422" s="107"/>
      <c r="N422" s="107"/>
      <c r="O422" s="107"/>
      <c r="P422" s="107"/>
    </row>
    <row r="423" spans="1:16" x14ac:dyDescent="0.3">
      <c r="A423" s="58" t="str">
        <f t="shared" si="28"/>
        <v>A010170</v>
      </c>
      <c r="B423" s="59" t="str">
        <f t="shared" si="25"/>
        <v/>
      </c>
      <c r="C423" s="59" t="str">
        <f t="shared" si="26"/>
        <v/>
      </c>
      <c r="D423" s="109" t="str">
        <f t="shared" si="27"/>
        <v/>
      </c>
      <c r="E423" s="106" t="s">
        <v>455</v>
      </c>
      <c r="F423" s="58" t="s">
        <v>1919</v>
      </c>
      <c r="G423" s="106">
        <v>12</v>
      </c>
      <c r="H423" s="107"/>
      <c r="I423" s="107"/>
      <c r="J423" s="107"/>
      <c r="K423" s="107"/>
      <c r="L423" s="107"/>
      <c r="M423" s="107"/>
      <c r="N423" s="107"/>
      <c r="O423" s="107"/>
      <c r="P423" s="107"/>
    </row>
    <row r="424" spans="1:16" x14ac:dyDescent="0.3">
      <c r="A424" s="58" t="str">
        <f t="shared" si="28"/>
        <v>A010240</v>
      </c>
      <c r="B424" s="59" t="str">
        <f t="shared" si="25"/>
        <v/>
      </c>
      <c r="C424" s="59" t="str">
        <f t="shared" si="26"/>
        <v/>
      </c>
      <c r="D424" s="109" t="str">
        <f t="shared" si="27"/>
        <v/>
      </c>
      <c r="E424" s="106" t="s">
        <v>456</v>
      </c>
      <c r="F424" s="58" t="s">
        <v>1920</v>
      </c>
      <c r="G424" s="106">
        <v>12</v>
      </c>
      <c r="H424" s="107"/>
      <c r="I424" s="107"/>
      <c r="J424" s="107"/>
      <c r="K424" s="107"/>
      <c r="L424" s="107"/>
      <c r="M424" s="107"/>
      <c r="N424" s="107"/>
      <c r="O424" s="107"/>
      <c r="P424" s="107"/>
    </row>
    <row r="425" spans="1:16" x14ac:dyDescent="0.3">
      <c r="A425" s="58" t="str">
        <f t="shared" si="28"/>
        <v>A010280</v>
      </c>
      <c r="B425" s="59" t="str">
        <f t="shared" si="25"/>
        <v/>
      </c>
      <c r="C425" s="59" t="str">
        <f t="shared" si="26"/>
        <v/>
      </c>
      <c r="D425" s="109" t="str">
        <f t="shared" si="27"/>
        <v/>
      </c>
      <c r="E425" s="106" t="s">
        <v>457</v>
      </c>
      <c r="F425" s="58" t="s">
        <v>1921</v>
      </c>
      <c r="G425" s="106">
        <v>12</v>
      </c>
      <c r="H425" s="107"/>
      <c r="I425" s="107"/>
      <c r="J425" s="107"/>
      <c r="K425" s="107"/>
      <c r="L425" s="107"/>
      <c r="M425" s="107"/>
      <c r="N425" s="107"/>
      <c r="O425" s="107"/>
      <c r="P425" s="107"/>
    </row>
    <row r="426" spans="1:16" x14ac:dyDescent="0.3">
      <c r="A426" s="58" t="str">
        <f t="shared" si="28"/>
        <v>A010420</v>
      </c>
      <c r="B426" s="59" t="str">
        <f t="shared" si="25"/>
        <v/>
      </c>
      <c r="C426" s="59" t="str">
        <f t="shared" si="26"/>
        <v/>
      </c>
      <c r="D426" s="109" t="str">
        <f t="shared" si="27"/>
        <v/>
      </c>
      <c r="E426" s="106" t="s">
        <v>458</v>
      </c>
      <c r="F426" s="58" t="s">
        <v>1922</v>
      </c>
      <c r="G426" s="106">
        <v>12</v>
      </c>
      <c r="H426" s="107"/>
      <c r="I426" s="107"/>
      <c r="J426" s="107"/>
      <c r="K426" s="107"/>
      <c r="L426" s="107"/>
      <c r="M426" s="107"/>
      <c r="N426" s="107"/>
      <c r="O426" s="107"/>
      <c r="P426" s="107"/>
    </row>
    <row r="427" spans="1:16" x14ac:dyDescent="0.3">
      <c r="A427" s="58" t="str">
        <f t="shared" si="28"/>
        <v>A010460</v>
      </c>
      <c r="B427" s="59" t="str">
        <f t="shared" si="25"/>
        <v/>
      </c>
      <c r="C427" s="59" t="str">
        <f t="shared" si="26"/>
        <v/>
      </c>
      <c r="D427" s="109" t="str">
        <f t="shared" si="27"/>
        <v/>
      </c>
      <c r="E427" s="106" t="s">
        <v>459</v>
      </c>
      <c r="F427" s="58" t="s">
        <v>1923</v>
      </c>
      <c r="G427" s="106">
        <v>12</v>
      </c>
      <c r="H427" s="107"/>
      <c r="I427" s="107"/>
      <c r="J427" s="107"/>
      <c r="K427" s="107"/>
      <c r="L427" s="107"/>
      <c r="M427" s="107"/>
      <c r="N427" s="107"/>
      <c r="O427" s="107"/>
      <c r="P427" s="107"/>
    </row>
    <row r="428" spans="1:16" x14ac:dyDescent="0.3">
      <c r="A428" s="58" t="str">
        <f t="shared" si="28"/>
        <v>A010470</v>
      </c>
      <c r="B428" s="59">
        <f t="shared" si="25"/>
        <v>41484</v>
      </c>
      <c r="C428" s="59">
        <f t="shared" si="26"/>
        <v>41484</v>
      </c>
      <c r="D428" s="109">
        <f t="shared" si="27"/>
        <v>1.96</v>
      </c>
      <c r="E428" s="106" t="s">
        <v>460</v>
      </c>
      <c r="F428" s="58" t="s">
        <v>1924</v>
      </c>
      <c r="G428" s="106">
        <v>12</v>
      </c>
      <c r="H428" s="107">
        <v>20130729</v>
      </c>
      <c r="I428" s="107">
        <v>20130729</v>
      </c>
      <c r="J428" s="107">
        <v>1.96</v>
      </c>
      <c r="K428" s="107"/>
      <c r="L428" s="107"/>
      <c r="M428" s="107"/>
      <c r="N428" s="107"/>
      <c r="O428" s="107"/>
      <c r="P428" s="107"/>
    </row>
    <row r="429" spans="1:16" x14ac:dyDescent="0.3">
      <c r="A429" s="58" t="str">
        <f t="shared" si="28"/>
        <v>A010520</v>
      </c>
      <c r="B429" s="59" t="str">
        <f t="shared" si="25"/>
        <v/>
      </c>
      <c r="C429" s="59" t="str">
        <f t="shared" si="26"/>
        <v/>
      </c>
      <c r="D429" s="109" t="str">
        <f t="shared" si="27"/>
        <v/>
      </c>
      <c r="E429" s="106" t="s">
        <v>461</v>
      </c>
      <c r="F429" s="58" t="s">
        <v>1925</v>
      </c>
      <c r="G429" s="106">
        <v>12</v>
      </c>
      <c r="H429" s="107"/>
      <c r="I429" s="107"/>
      <c r="J429" s="107"/>
      <c r="K429" s="107"/>
      <c r="L429" s="107"/>
      <c r="M429" s="107"/>
      <c r="N429" s="107"/>
      <c r="O429" s="107"/>
      <c r="P429" s="107"/>
    </row>
    <row r="430" spans="1:16" x14ac:dyDescent="0.3">
      <c r="A430" s="58" t="str">
        <f t="shared" si="28"/>
        <v>A010580</v>
      </c>
      <c r="B430" s="59" t="str">
        <f t="shared" si="25"/>
        <v/>
      </c>
      <c r="C430" s="59" t="str">
        <f t="shared" si="26"/>
        <v/>
      </c>
      <c r="D430" s="109" t="str">
        <f t="shared" si="27"/>
        <v/>
      </c>
      <c r="E430" s="106" t="s">
        <v>462</v>
      </c>
      <c r="F430" s="58" t="s">
        <v>1926</v>
      </c>
      <c r="G430" s="106">
        <v>12</v>
      </c>
      <c r="H430" s="107"/>
      <c r="I430" s="107"/>
      <c r="J430" s="107"/>
      <c r="K430" s="107"/>
      <c r="L430" s="107"/>
      <c r="M430" s="107"/>
      <c r="N430" s="107"/>
      <c r="O430" s="107"/>
      <c r="P430" s="107"/>
    </row>
    <row r="431" spans="1:16" x14ac:dyDescent="0.3">
      <c r="A431" s="58" t="str">
        <f t="shared" si="28"/>
        <v>A010600</v>
      </c>
      <c r="B431" s="59" t="str">
        <f t="shared" si="25"/>
        <v/>
      </c>
      <c r="C431" s="59" t="str">
        <f t="shared" si="26"/>
        <v/>
      </c>
      <c r="D431" s="109" t="str">
        <f t="shared" si="27"/>
        <v/>
      </c>
      <c r="E431" s="106" t="s">
        <v>463</v>
      </c>
      <c r="F431" s="58" t="s">
        <v>1927</v>
      </c>
      <c r="G431" s="106">
        <v>12</v>
      </c>
      <c r="H431" s="107"/>
      <c r="I431" s="107"/>
      <c r="J431" s="107"/>
      <c r="K431" s="107"/>
      <c r="L431" s="107"/>
      <c r="M431" s="107"/>
      <c r="N431" s="107"/>
      <c r="O431" s="107"/>
      <c r="P431" s="107"/>
    </row>
    <row r="432" spans="1:16" x14ac:dyDescent="0.3">
      <c r="A432" s="58" t="str">
        <f t="shared" si="28"/>
        <v>A010620</v>
      </c>
      <c r="B432" s="59" t="str">
        <f t="shared" si="25"/>
        <v/>
      </c>
      <c r="C432" s="59" t="str">
        <f t="shared" si="26"/>
        <v/>
      </c>
      <c r="D432" s="109" t="str">
        <f t="shared" si="27"/>
        <v/>
      </c>
      <c r="E432" s="106" t="s">
        <v>464</v>
      </c>
      <c r="F432" s="58" t="s">
        <v>1928</v>
      </c>
      <c r="G432" s="106">
        <v>12</v>
      </c>
      <c r="H432" s="107"/>
      <c r="I432" s="107"/>
      <c r="J432" s="107"/>
      <c r="K432" s="107"/>
      <c r="L432" s="107"/>
      <c r="M432" s="107"/>
      <c r="N432" s="107"/>
      <c r="O432" s="107"/>
      <c r="P432" s="107"/>
    </row>
    <row r="433" spans="1:16" x14ac:dyDescent="0.3">
      <c r="A433" s="58" t="str">
        <f t="shared" si="28"/>
        <v>A010640</v>
      </c>
      <c r="B433" s="59" t="str">
        <f t="shared" si="25"/>
        <v/>
      </c>
      <c r="C433" s="59" t="str">
        <f t="shared" si="26"/>
        <v/>
      </c>
      <c r="D433" s="109" t="str">
        <f t="shared" si="27"/>
        <v/>
      </c>
      <c r="E433" s="106" t="s">
        <v>465</v>
      </c>
      <c r="F433" s="58" t="s">
        <v>1929</v>
      </c>
      <c r="G433" s="106">
        <v>12</v>
      </c>
      <c r="H433" s="107"/>
      <c r="I433" s="107"/>
      <c r="J433" s="107"/>
      <c r="K433" s="107"/>
      <c r="L433" s="107"/>
      <c r="M433" s="107"/>
      <c r="N433" s="107"/>
      <c r="O433" s="107"/>
      <c r="P433" s="107"/>
    </row>
    <row r="434" spans="1:16" x14ac:dyDescent="0.3">
      <c r="A434" s="58" t="str">
        <f t="shared" si="28"/>
        <v>A010660</v>
      </c>
      <c r="B434" s="59" t="str">
        <f t="shared" si="25"/>
        <v/>
      </c>
      <c r="C434" s="59" t="str">
        <f t="shared" si="26"/>
        <v/>
      </c>
      <c r="D434" s="109" t="str">
        <f t="shared" si="27"/>
        <v/>
      </c>
      <c r="E434" s="106" t="s">
        <v>466</v>
      </c>
      <c r="F434" s="58" t="s">
        <v>1930</v>
      </c>
      <c r="G434" s="106">
        <v>12</v>
      </c>
      <c r="H434" s="107"/>
      <c r="I434" s="107"/>
      <c r="J434" s="107"/>
      <c r="K434" s="107"/>
      <c r="L434" s="107"/>
      <c r="M434" s="107"/>
      <c r="N434" s="107"/>
      <c r="O434" s="107"/>
      <c r="P434" s="107"/>
    </row>
    <row r="435" spans="1:16" x14ac:dyDescent="0.3">
      <c r="A435" s="58" t="str">
        <f t="shared" si="28"/>
        <v>A010670</v>
      </c>
      <c r="B435" s="59" t="str">
        <f t="shared" si="25"/>
        <v/>
      </c>
      <c r="C435" s="59" t="str">
        <f t="shared" si="26"/>
        <v/>
      </c>
      <c r="D435" s="109" t="str">
        <f t="shared" si="27"/>
        <v/>
      </c>
      <c r="E435" s="106" t="s">
        <v>467</v>
      </c>
      <c r="F435" s="58" t="s">
        <v>1931</v>
      </c>
      <c r="G435" s="106">
        <v>12</v>
      </c>
      <c r="H435" s="107"/>
      <c r="I435" s="107"/>
      <c r="J435" s="107"/>
      <c r="K435" s="107"/>
      <c r="L435" s="107"/>
      <c r="M435" s="107"/>
      <c r="N435" s="107"/>
      <c r="O435" s="107"/>
      <c r="P435" s="107"/>
    </row>
    <row r="436" spans="1:16" x14ac:dyDescent="0.3">
      <c r="A436" s="58" t="str">
        <f t="shared" si="28"/>
        <v>A010690</v>
      </c>
      <c r="B436" s="59" t="str">
        <f t="shared" si="25"/>
        <v/>
      </c>
      <c r="C436" s="59" t="str">
        <f t="shared" si="26"/>
        <v/>
      </c>
      <c r="D436" s="109" t="str">
        <f t="shared" si="27"/>
        <v/>
      </c>
      <c r="E436" s="106" t="s">
        <v>468</v>
      </c>
      <c r="F436" s="58" t="s">
        <v>1932</v>
      </c>
      <c r="G436" s="106">
        <v>12</v>
      </c>
      <c r="H436" s="107"/>
      <c r="I436" s="107"/>
      <c r="J436" s="107"/>
      <c r="K436" s="107"/>
      <c r="L436" s="107"/>
      <c r="M436" s="107"/>
      <c r="N436" s="107"/>
      <c r="O436" s="107"/>
      <c r="P436" s="107"/>
    </row>
    <row r="437" spans="1:16" x14ac:dyDescent="0.3">
      <c r="A437" s="58" t="str">
        <f t="shared" si="28"/>
        <v>A010770</v>
      </c>
      <c r="B437" s="59" t="str">
        <f t="shared" si="25"/>
        <v/>
      </c>
      <c r="C437" s="59" t="str">
        <f t="shared" si="26"/>
        <v/>
      </c>
      <c r="D437" s="109" t="str">
        <f t="shared" si="27"/>
        <v/>
      </c>
      <c r="E437" s="106" t="s">
        <v>469</v>
      </c>
      <c r="F437" s="58" t="s">
        <v>1933</v>
      </c>
      <c r="G437" s="106">
        <v>12</v>
      </c>
      <c r="H437" s="107"/>
      <c r="I437" s="107"/>
      <c r="J437" s="107"/>
      <c r="K437" s="107"/>
      <c r="L437" s="107"/>
      <c r="M437" s="107"/>
      <c r="N437" s="107"/>
      <c r="O437" s="107"/>
      <c r="P437" s="107"/>
    </row>
    <row r="438" spans="1:16" x14ac:dyDescent="0.3">
      <c r="A438" s="58" t="str">
        <f t="shared" si="28"/>
        <v>A010780</v>
      </c>
      <c r="B438" s="59" t="str">
        <f t="shared" si="25"/>
        <v/>
      </c>
      <c r="C438" s="59" t="str">
        <f t="shared" si="26"/>
        <v/>
      </c>
      <c r="D438" s="109" t="str">
        <f t="shared" si="27"/>
        <v/>
      </c>
      <c r="E438" s="106" t="s">
        <v>470</v>
      </c>
      <c r="F438" s="58" t="s">
        <v>1934</v>
      </c>
      <c r="G438" s="106">
        <v>12</v>
      </c>
      <c r="H438" s="107"/>
      <c r="I438" s="107"/>
      <c r="J438" s="107"/>
      <c r="K438" s="107"/>
      <c r="L438" s="107"/>
      <c r="M438" s="107"/>
      <c r="N438" s="107"/>
      <c r="O438" s="107"/>
      <c r="P438" s="107"/>
    </row>
    <row r="439" spans="1:16" x14ac:dyDescent="0.3">
      <c r="A439" s="58" t="str">
        <f t="shared" si="28"/>
        <v>A010820</v>
      </c>
      <c r="B439" s="59" t="str">
        <f t="shared" si="25"/>
        <v/>
      </c>
      <c r="C439" s="59" t="str">
        <f t="shared" si="26"/>
        <v/>
      </c>
      <c r="D439" s="109" t="str">
        <f t="shared" si="27"/>
        <v/>
      </c>
      <c r="E439" s="106" t="s">
        <v>471</v>
      </c>
      <c r="F439" s="58" t="s">
        <v>1935</v>
      </c>
      <c r="G439" s="106">
        <v>12</v>
      </c>
      <c r="H439" s="107"/>
      <c r="I439" s="107"/>
      <c r="J439" s="107"/>
      <c r="K439" s="107"/>
      <c r="L439" s="107"/>
      <c r="M439" s="107"/>
      <c r="N439" s="107"/>
      <c r="O439" s="107"/>
      <c r="P439" s="107"/>
    </row>
    <row r="440" spans="1:16" x14ac:dyDescent="0.3">
      <c r="A440" s="58" t="str">
        <f t="shared" si="28"/>
        <v>A010950</v>
      </c>
      <c r="B440" s="59">
        <f t="shared" si="25"/>
        <v>41480</v>
      </c>
      <c r="C440" s="59">
        <f t="shared" si="26"/>
        <v>41480</v>
      </c>
      <c r="D440" s="109">
        <f t="shared" si="27"/>
        <v>99.58</v>
      </c>
      <c r="E440" s="106" t="s">
        <v>472</v>
      </c>
      <c r="F440" s="58" t="s">
        <v>1936</v>
      </c>
      <c r="G440" s="106">
        <v>12</v>
      </c>
      <c r="H440" s="107">
        <v>20130725</v>
      </c>
      <c r="I440" s="107">
        <v>20130725</v>
      </c>
      <c r="J440" s="107">
        <v>99.58</v>
      </c>
      <c r="K440" s="107"/>
      <c r="L440" s="107"/>
      <c r="M440" s="107"/>
      <c r="N440" s="107"/>
      <c r="O440" s="107"/>
      <c r="P440" s="107"/>
    </row>
    <row r="441" spans="1:16" x14ac:dyDescent="0.3">
      <c r="A441" s="58" t="str">
        <f t="shared" si="28"/>
        <v>A010960</v>
      </c>
      <c r="B441" s="59" t="str">
        <f t="shared" si="25"/>
        <v/>
      </c>
      <c r="C441" s="59" t="str">
        <f t="shared" si="26"/>
        <v/>
      </c>
      <c r="D441" s="109" t="str">
        <f t="shared" si="27"/>
        <v/>
      </c>
      <c r="E441" s="106" t="s">
        <v>473</v>
      </c>
      <c r="F441" s="58" t="s">
        <v>1937</v>
      </c>
      <c r="G441" s="106">
        <v>12</v>
      </c>
      <c r="H441" s="107"/>
      <c r="I441" s="107"/>
      <c r="J441" s="107"/>
      <c r="K441" s="107"/>
      <c r="L441" s="107"/>
      <c r="M441" s="107"/>
      <c r="N441" s="107"/>
      <c r="O441" s="107"/>
      <c r="P441" s="107"/>
    </row>
    <row r="442" spans="1:16" x14ac:dyDescent="0.3">
      <c r="A442" s="58" t="str">
        <f t="shared" si="28"/>
        <v>A011000</v>
      </c>
      <c r="B442" s="59" t="str">
        <f t="shared" si="25"/>
        <v/>
      </c>
      <c r="C442" s="59" t="str">
        <f t="shared" si="26"/>
        <v/>
      </c>
      <c r="D442" s="109" t="str">
        <f t="shared" si="27"/>
        <v/>
      </c>
      <c r="E442" s="106" t="s">
        <v>474</v>
      </c>
      <c r="F442" s="58" t="s">
        <v>1938</v>
      </c>
      <c r="G442" s="106">
        <v>12</v>
      </c>
      <c r="H442" s="107"/>
      <c r="I442" s="107"/>
      <c r="J442" s="107"/>
      <c r="K442" s="107"/>
      <c r="L442" s="107"/>
      <c r="M442" s="107"/>
      <c r="N442" s="107"/>
      <c r="O442" s="107"/>
      <c r="P442" s="107"/>
    </row>
    <row r="443" spans="1:16" x14ac:dyDescent="0.3">
      <c r="A443" s="58" t="str">
        <f t="shared" si="28"/>
        <v>A011040</v>
      </c>
      <c r="B443" s="59" t="str">
        <f t="shared" si="25"/>
        <v/>
      </c>
      <c r="C443" s="59" t="str">
        <f t="shared" si="26"/>
        <v/>
      </c>
      <c r="D443" s="109" t="str">
        <f t="shared" si="27"/>
        <v/>
      </c>
      <c r="E443" s="106" t="s">
        <v>475</v>
      </c>
      <c r="F443" s="58" t="s">
        <v>1939</v>
      </c>
      <c r="G443" s="106">
        <v>12</v>
      </c>
      <c r="H443" s="107"/>
      <c r="I443" s="107"/>
      <c r="J443" s="107"/>
      <c r="K443" s="107"/>
      <c r="L443" s="107"/>
      <c r="M443" s="107"/>
      <c r="N443" s="107"/>
      <c r="O443" s="107"/>
      <c r="P443" s="107"/>
    </row>
    <row r="444" spans="1:16" x14ac:dyDescent="0.3">
      <c r="A444" s="58" t="str">
        <f t="shared" si="28"/>
        <v>A011070</v>
      </c>
      <c r="B444" s="59">
        <f t="shared" si="25"/>
        <v>41479</v>
      </c>
      <c r="C444" s="59">
        <f t="shared" si="26"/>
        <v>41479</v>
      </c>
      <c r="D444" s="109">
        <f t="shared" si="27"/>
        <v>35.68</v>
      </c>
      <c r="E444" s="106" t="s">
        <v>476</v>
      </c>
      <c r="F444" s="58" t="s">
        <v>1940</v>
      </c>
      <c r="G444" s="106">
        <v>12</v>
      </c>
      <c r="H444" s="107">
        <v>20130724</v>
      </c>
      <c r="I444" s="107">
        <v>20130724</v>
      </c>
      <c r="J444" s="107">
        <v>35.68</v>
      </c>
      <c r="K444" s="107"/>
      <c r="L444" s="107"/>
      <c r="M444" s="107"/>
      <c r="N444" s="107"/>
      <c r="O444" s="107"/>
      <c r="P444" s="107"/>
    </row>
    <row r="445" spans="1:16" x14ac:dyDescent="0.3">
      <c r="A445" s="58" t="str">
        <f t="shared" si="28"/>
        <v>A011080</v>
      </c>
      <c r="B445" s="59" t="str">
        <f t="shared" si="25"/>
        <v/>
      </c>
      <c r="C445" s="59" t="str">
        <f t="shared" si="26"/>
        <v/>
      </c>
      <c r="D445" s="109" t="str">
        <f t="shared" si="27"/>
        <v/>
      </c>
      <c r="E445" s="106" t="s">
        <v>477</v>
      </c>
      <c r="F445" s="58" t="s">
        <v>1941</v>
      </c>
      <c r="G445" s="106">
        <v>12</v>
      </c>
      <c r="H445" s="107"/>
      <c r="I445" s="107"/>
      <c r="J445" s="107"/>
      <c r="K445" s="107"/>
      <c r="L445" s="107"/>
      <c r="M445" s="107"/>
      <c r="N445" s="107"/>
      <c r="O445" s="107"/>
      <c r="P445" s="107"/>
    </row>
    <row r="446" spans="1:16" x14ac:dyDescent="0.3">
      <c r="A446" s="58" t="str">
        <f t="shared" si="28"/>
        <v>A011090</v>
      </c>
      <c r="B446" s="59" t="str">
        <f t="shared" si="25"/>
        <v/>
      </c>
      <c r="C446" s="59" t="str">
        <f t="shared" si="26"/>
        <v/>
      </c>
      <c r="D446" s="109" t="str">
        <f t="shared" si="27"/>
        <v/>
      </c>
      <c r="E446" s="106" t="s">
        <v>478</v>
      </c>
      <c r="F446" s="58" t="s">
        <v>1942</v>
      </c>
      <c r="G446" s="106">
        <v>12</v>
      </c>
      <c r="H446" s="107"/>
      <c r="I446" s="107"/>
      <c r="J446" s="107"/>
      <c r="K446" s="107"/>
      <c r="L446" s="107"/>
      <c r="M446" s="107"/>
      <c r="N446" s="107"/>
      <c r="O446" s="107"/>
      <c r="P446" s="107"/>
    </row>
    <row r="447" spans="1:16" x14ac:dyDescent="0.3">
      <c r="A447" s="58" t="str">
        <f t="shared" si="28"/>
        <v>A011150</v>
      </c>
      <c r="B447" s="59">
        <f t="shared" si="25"/>
        <v>41472</v>
      </c>
      <c r="C447" s="59">
        <f t="shared" si="26"/>
        <v>41472</v>
      </c>
      <c r="D447" s="109">
        <f t="shared" si="27"/>
        <v>1.41</v>
      </c>
      <c r="E447" s="106" t="s">
        <v>479</v>
      </c>
      <c r="F447" s="58" t="s">
        <v>1943</v>
      </c>
      <c r="G447" s="106">
        <v>12</v>
      </c>
      <c r="H447" s="107">
        <v>20130717</v>
      </c>
      <c r="I447" s="107">
        <v>20130717</v>
      </c>
      <c r="J447" s="107">
        <v>1.41</v>
      </c>
      <c r="K447" s="107"/>
      <c r="L447" s="107"/>
      <c r="M447" s="107"/>
      <c r="N447" s="107"/>
      <c r="O447" s="107"/>
      <c r="P447" s="107"/>
    </row>
    <row r="448" spans="1:16" x14ac:dyDescent="0.3">
      <c r="A448" s="58" t="str">
        <f t="shared" si="28"/>
        <v>A011160</v>
      </c>
      <c r="B448" s="59">
        <f t="shared" si="25"/>
        <v>41480</v>
      </c>
      <c r="C448" s="59">
        <f t="shared" si="26"/>
        <v>41480</v>
      </c>
      <c r="D448" s="109">
        <f t="shared" si="27"/>
        <v>37.21</v>
      </c>
      <c r="E448" s="106" t="s">
        <v>480</v>
      </c>
      <c r="F448" s="58" t="s">
        <v>1944</v>
      </c>
      <c r="G448" s="106">
        <v>12</v>
      </c>
      <c r="H448" s="107">
        <v>20130725</v>
      </c>
      <c r="I448" s="107">
        <v>20130725</v>
      </c>
      <c r="J448" s="107">
        <v>37.21</v>
      </c>
      <c r="K448" s="107"/>
      <c r="L448" s="107"/>
      <c r="M448" s="107"/>
      <c r="N448" s="107"/>
      <c r="O448" s="107"/>
      <c r="P448" s="107"/>
    </row>
    <row r="449" spans="1:16" x14ac:dyDescent="0.3">
      <c r="A449" s="58" t="str">
        <f t="shared" si="28"/>
        <v>A011170</v>
      </c>
      <c r="B449" s="59">
        <f t="shared" si="25"/>
        <v>41481</v>
      </c>
      <c r="C449" s="59">
        <f t="shared" si="26"/>
        <v>41481</v>
      </c>
      <c r="D449" s="109">
        <f t="shared" si="27"/>
        <v>69.58</v>
      </c>
      <c r="E449" s="106" t="s">
        <v>481</v>
      </c>
      <c r="F449" s="58" t="s">
        <v>3594</v>
      </c>
      <c r="G449" s="106">
        <v>12</v>
      </c>
      <c r="H449" s="107">
        <v>20130726</v>
      </c>
      <c r="I449" s="107">
        <v>20130726</v>
      </c>
      <c r="J449" s="107">
        <v>69.58</v>
      </c>
      <c r="K449" s="107"/>
      <c r="L449" s="107"/>
      <c r="M449" s="107"/>
      <c r="N449" s="107"/>
      <c r="O449" s="107"/>
      <c r="P449" s="107"/>
    </row>
    <row r="450" spans="1:16" x14ac:dyDescent="0.3">
      <c r="A450" s="58" t="str">
        <f t="shared" si="28"/>
        <v>A011200</v>
      </c>
      <c r="B450" s="59" t="str">
        <f t="shared" si="25"/>
        <v/>
      </c>
      <c r="C450" s="59" t="str">
        <f t="shared" si="26"/>
        <v/>
      </c>
      <c r="D450" s="109" t="str">
        <f t="shared" si="27"/>
        <v/>
      </c>
      <c r="E450" s="106" t="s">
        <v>482</v>
      </c>
      <c r="F450" s="58" t="s">
        <v>1945</v>
      </c>
      <c r="G450" s="106">
        <v>12</v>
      </c>
      <c r="H450" s="107"/>
      <c r="I450" s="107"/>
      <c r="J450" s="107"/>
      <c r="K450" s="107"/>
      <c r="L450" s="107"/>
      <c r="M450" s="107"/>
      <c r="N450" s="107"/>
      <c r="O450" s="107"/>
      <c r="P450" s="107"/>
    </row>
    <row r="451" spans="1:16" x14ac:dyDescent="0.3">
      <c r="A451" s="58" t="str">
        <f t="shared" si="28"/>
        <v>A011210</v>
      </c>
      <c r="B451" s="59">
        <f t="shared" si="25"/>
        <v>41481</v>
      </c>
      <c r="C451" s="59">
        <f t="shared" si="26"/>
        <v>41481</v>
      </c>
      <c r="D451" s="109">
        <f t="shared" si="27"/>
        <v>131.71</v>
      </c>
      <c r="E451" s="106" t="s">
        <v>3133</v>
      </c>
      <c r="F451" s="58" t="s">
        <v>3336</v>
      </c>
      <c r="G451" s="106">
        <v>12</v>
      </c>
      <c r="H451" s="107">
        <v>20130726</v>
      </c>
      <c r="I451" s="107">
        <v>20130726</v>
      </c>
      <c r="J451" s="107">
        <v>131.71</v>
      </c>
      <c r="K451" s="107"/>
      <c r="L451" s="107"/>
      <c r="M451" s="107"/>
      <c r="N451" s="107"/>
      <c r="O451" s="107"/>
      <c r="P451" s="107"/>
    </row>
    <row r="452" spans="1:16" x14ac:dyDescent="0.3">
      <c r="A452" s="58" t="str">
        <f t="shared" si="28"/>
        <v>A011230</v>
      </c>
      <c r="B452" s="59" t="str">
        <f t="shared" si="25"/>
        <v/>
      </c>
      <c r="C452" s="59" t="str">
        <f t="shared" si="26"/>
        <v/>
      </c>
      <c r="D452" s="109" t="str">
        <f t="shared" si="27"/>
        <v/>
      </c>
      <c r="E452" s="106" t="s">
        <v>483</v>
      </c>
      <c r="F452" s="58" t="s">
        <v>1946</v>
      </c>
      <c r="G452" s="106">
        <v>12</v>
      </c>
      <c r="H452" s="107"/>
      <c r="I452" s="107"/>
      <c r="J452" s="107"/>
      <c r="K452" s="107"/>
      <c r="L452" s="107"/>
      <c r="M452" s="107"/>
      <c r="N452" s="107"/>
      <c r="O452" s="107"/>
      <c r="P452" s="107"/>
    </row>
    <row r="453" spans="1:16" x14ac:dyDescent="0.3">
      <c r="A453" s="58" t="str">
        <f t="shared" si="28"/>
        <v>A011280</v>
      </c>
      <c r="B453" s="59" t="str">
        <f t="shared" si="25"/>
        <v/>
      </c>
      <c r="C453" s="59" t="str">
        <f t="shared" si="26"/>
        <v/>
      </c>
      <c r="D453" s="109" t="str">
        <f t="shared" si="27"/>
        <v/>
      </c>
      <c r="E453" s="106" t="s">
        <v>484</v>
      </c>
      <c r="F453" s="58" t="s">
        <v>1947</v>
      </c>
      <c r="G453" s="106">
        <v>12</v>
      </c>
      <c r="H453" s="107"/>
      <c r="I453" s="107"/>
      <c r="J453" s="107"/>
      <c r="K453" s="107"/>
      <c r="L453" s="107"/>
      <c r="M453" s="107"/>
      <c r="N453" s="107"/>
      <c r="O453" s="107"/>
      <c r="P453" s="107"/>
    </row>
    <row r="454" spans="1:16" x14ac:dyDescent="0.3">
      <c r="A454" s="58" t="str">
        <f t="shared" si="28"/>
        <v>A011300</v>
      </c>
      <c r="B454" s="59" t="str">
        <f t="shared" si="25"/>
        <v/>
      </c>
      <c r="C454" s="59" t="str">
        <f t="shared" si="26"/>
        <v/>
      </c>
      <c r="D454" s="109" t="str">
        <f t="shared" si="27"/>
        <v/>
      </c>
      <c r="E454" s="106" t="s">
        <v>485</v>
      </c>
      <c r="F454" s="58" t="s">
        <v>1948</v>
      </c>
      <c r="G454" s="106">
        <v>12</v>
      </c>
      <c r="H454" s="107"/>
      <c r="I454" s="107"/>
      <c r="J454" s="107"/>
      <c r="K454" s="107"/>
      <c r="L454" s="107"/>
      <c r="M454" s="107"/>
      <c r="N454" s="107"/>
      <c r="O454" s="107"/>
      <c r="P454" s="107"/>
    </row>
    <row r="455" spans="1:16" x14ac:dyDescent="0.3">
      <c r="A455" s="58" t="str">
        <f t="shared" si="28"/>
        <v>A011320</v>
      </c>
      <c r="B455" s="59" t="str">
        <f t="shared" si="25"/>
        <v/>
      </c>
      <c r="C455" s="59" t="str">
        <f t="shared" si="26"/>
        <v/>
      </c>
      <c r="D455" s="109" t="str">
        <f t="shared" si="27"/>
        <v/>
      </c>
      <c r="E455" s="106" t="s">
        <v>486</v>
      </c>
      <c r="F455" s="58" t="s">
        <v>1949</v>
      </c>
      <c r="G455" s="106">
        <v>12</v>
      </c>
      <c r="H455" s="107"/>
      <c r="I455" s="107"/>
      <c r="J455" s="107"/>
      <c r="K455" s="107"/>
      <c r="L455" s="107"/>
      <c r="M455" s="107"/>
      <c r="N455" s="107"/>
      <c r="O455" s="107"/>
      <c r="P455" s="107"/>
    </row>
    <row r="456" spans="1:16" x14ac:dyDescent="0.3">
      <c r="A456" s="58" t="str">
        <f t="shared" si="28"/>
        <v>A011330</v>
      </c>
      <c r="B456" s="59" t="str">
        <f t="shared" si="25"/>
        <v/>
      </c>
      <c r="C456" s="59" t="str">
        <f t="shared" si="26"/>
        <v/>
      </c>
      <c r="D456" s="109" t="str">
        <f t="shared" si="27"/>
        <v/>
      </c>
      <c r="E456" s="106" t="s">
        <v>487</v>
      </c>
      <c r="F456" s="58" t="s">
        <v>1950</v>
      </c>
      <c r="G456" s="106">
        <v>12</v>
      </c>
      <c r="H456" s="107"/>
      <c r="I456" s="107"/>
      <c r="J456" s="107"/>
      <c r="K456" s="107"/>
      <c r="L456" s="107"/>
      <c r="M456" s="107"/>
      <c r="N456" s="107"/>
      <c r="O456" s="107"/>
      <c r="P456" s="107"/>
    </row>
    <row r="457" spans="1:16" x14ac:dyDescent="0.3">
      <c r="A457" s="58" t="str">
        <f t="shared" si="28"/>
        <v>A011370</v>
      </c>
      <c r="B457" s="59" t="str">
        <f t="shared" si="25"/>
        <v/>
      </c>
      <c r="C457" s="59" t="str">
        <f t="shared" si="26"/>
        <v/>
      </c>
      <c r="D457" s="109" t="str">
        <f t="shared" si="27"/>
        <v/>
      </c>
      <c r="E457" s="106" t="s">
        <v>488</v>
      </c>
      <c r="F457" s="58" t="s">
        <v>1951</v>
      </c>
      <c r="G457" s="106">
        <v>12</v>
      </c>
      <c r="H457" s="107"/>
      <c r="I457" s="107"/>
      <c r="J457" s="107"/>
      <c r="K457" s="107"/>
      <c r="L457" s="107"/>
      <c r="M457" s="107"/>
      <c r="N457" s="107"/>
      <c r="O457" s="107"/>
      <c r="P457" s="107"/>
    </row>
    <row r="458" spans="1:16" x14ac:dyDescent="0.3">
      <c r="A458" s="58" t="str">
        <f t="shared" si="28"/>
        <v>A011390</v>
      </c>
      <c r="B458" s="59" t="str">
        <f t="shared" si="25"/>
        <v/>
      </c>
      <c r="C458" s="59" t="str">
        <f t="shared" si="26"/>
        <v/>
      </c>
      <c r="D458" s="109" t="str">
        <f t="shared" si="27"/>
        <v/>
      </c>
      <c r="E458" s="106" t="s">
        <v>489</v>
      </c>
      <c r="F458" s="58" t="s">
        <v>1952</v>
      </c>
      <c r="G458" s="106">
        <v>12</v>
      </c>
      <c r="H458" s="107"/>
      <c r="I458" s="107"/>
      <c r="J458" s="107"/>
      <c r="K458" s="107"/>
      <c r="L458" s="107"/>
      <c r="M458" s="107"/>
      <c r="N458" s="107"/>
      <c r="O458" s="107"/>
      <c r="P458" s="107"/>
    </row>
    <row r="459" spans="1:16" x14ac:dyDescent="0.3">
      <c r="A459" s="58" t="str">
        <f t="shared" si="28"/>
        <v>A011420</v>
      </c>
      <c r="B459" s="59" t="str">
        <f t="shared" si="25"/>
        <v/>
      </c>
      <c r="C459" s="59" t="str">
        <f t="shared" si="26"/>
        <v/>
      </c>
      <c r="D459" s="109" t="str">
        <f t="shared" si="27"/>
        <v/>
      </c>
      <c r="E459" s="106" t="s">
        <v>490</v>
      </c>
      <c r="F459" s="58" t="s">
        <v>3633</v>
      </c>
      <c r="G459" s="106">
        <v>12</v>
      </c>
      <c r="H459" s="107"/>
      <c r="I459" s="107"/>
      <c r="J459" s="107"/>
      <c r="K459" s="107"/>
      <c r="L459" s="107"/>
      <c r="M459" s="107"/>
      <c r="N459" s="107"/>
      <c r="O459" s="107"/>
      <c r="P459" s="107"/>
    </row>
    <row r="460" spans="1:16" x14ac:dyDescent="0.3">
      <c r="A460" s="58" t="str">
        <f t="shared" si="28"/>
        <v>A011500</v>
      </c>
      <c r="B460" s="59" t="str">
        <f t="shared" si="25"/>
        <v/>
      </c>
      <c r="C460" s="59" t="str">
        <f t="shared" si="26"/>
        <v/>
      </c>
      <c r="D460" s="109" t="str">
        <f t="shared" si="27"/>
        <v/>
      </c>
      <c r="E460" s="106" t="s">
        <v>491</v>
      </c>
      <c r="F460" s="58" t="s">
        <v>1953</v>
      </c>
      <c r="G460" s="106">
        <v>12</v>
      </c>
      <c r="H460" s="107"/>
      <c r="I460" s="107"/>
      <c r="J460" s="107"/>
      <c r="K460" s="107"/>
      <c r="L460" s="107"/>
      <c r="M460" s="107"/>
      <c r="N460" s="107"/>
      <c r="O460" s="107"/>
      <c r="P460" s="107"/>
    </row>
    <row r="461" spans="1:16" x14ac:dyDescent="0.3">
      <c r="A461" s="58" t="str">
        <f t="shared" si="28"/>
        <v>A011560</v>
      </c>
      <c r="B461" s="59" t="str">
        <f t="shared" si="25"/>
        <v/>
      </c>
      <c r="C461" s="59" t="str">
        <f t="shared" si="26"/>
        <v/>
      </c>
      <c r="D461" s="109" t="str">
        <f t="shared" si="27"/>
        <v/>
      </c>
      <c r="E461" s="106" t="s">
        <v>492</v>
      </c>
      <c r="F461" s="58" t="s">
        <v>1954</v>
      </c>
      <c r="G461" s="106">
        <v>12</v>
      </c>
      <c r="H461" s="107"/>
      <c r="I461" s="107"/>
      <c r="J461" s="107"/>
      <c r="K461" s="107"/>
      <c r="L461" s="107"/>
      <c r="M461" s="107"/>
      <c r="N461" s="107"/>
      <c r="O461" s="107"/>
      <c r="P461" s="107"/>
    </row>
    <row r="462" spans="1:16" x14ac:dyDescent="0.3">
      <c r="A462" s="58" t="str">
        <f t="shared" si="28"/>
        <v>A011690</v>
      </c>
      <c r="B462" s="59" t="str">
        <f t="shared" si="25"/>
        <v/>
      </c>
      <c r="C462" s="59" t="str">
        <f t="shared" si="26"/>
        <v/>
      </c>
      <c r="D462" s="109" t="str">
        <f t="shared" si="27"/>
        <v/>
      </c>
      <c r="E462" s="106" t="s">
        <v>493</v>
      </c>
      <c r="F462" s="58" t="s">
        <v>1955</v>
      </c>
      <c r="G462" s="106">
        <v>12</v>
      </c>
      <c r="H462" s="107"/>
      <c r="I462" s="107"/>
      <c r="J462" s="107"/>
      <c r="K462" s="107"/>
      <c r="L462" s="107"/>
      <c r="M462" s="107"/>
      <c r="N462" s="107"/>
      <c r="O462" s="107"/>
      <c r="P462" s="107"/>
    </row>
    <row r="463" spans="1:16" x14ac:dyDescent="0.3">
      <c r="A463" s="58" t="str">
        <f t="shared" si="28"/>
        <v>A011700</v>
      </c>
      <c r="B463" s="59" t="str">
        <f t="shared" ref="B463:B526" si="29">IFERROR(IF(ISNUMBER(H463),DATE(LEFT(H463,4),MID(H463,5,2),RIGHT(H463,2)),NA()),"")</f>
        <v/>
      </c>
      <c r="C463" s="59" t="str">
        <f t="shared" ref="C463:C526" si="30">IFERROR(IF(ISNUMBER(I463),DATE(LEFT(I463,4),MID(I463,5,2),RIGHT(I463,2)),NA()),"")</f>
        <v/>
      </c>
      <c r="D463" s="109" t="str">
        <f t="shared" ref="D463:D526" si="31">IFERROR(IF(ISNUMBER(J463),J463,NA()),"")</f>
        <v/>
      </c>
      <c r="E463" s="106" t="s">
        <v>494</v>
      </c>
      <c r="F463" s="58" t="s">
        <v>1956</v>
      </c>
      <c r="G463" s="106">
        <v>12</v>
      </c>
      <c r="H463" s="107"/>
      <c r="I463" s="107"/>
      <c r="J463" s="107"/>
      <c r="K463" s="107"/>
      <c r="L463" s="107"/>
      <c r="M463" s="107"/>
      <c r="N463" s="107"/>
      <c r="O463" s="107"/>
      <c r="P463" s="107"/>
    </row>
    <row r="464" spans="1:16" x14ac:dyDescent="0.3">
      <c r="A464" s="58" t="str">
        <f t="shared" si="28"/>
        <v>A011720</v>
      </c>
      <c r="B464" s="59" t="str">
        <f t="shared" si="29"/>
        <v/>
      </c>
      <c r="C464" s="59" t="str">
        <f t="shared" si="30"/>
        <v/>
      </c>
      <c r="D464" s="109" t="str">
        <f t="shared" si="31"/>
        <v/>
      </c>
      <c r="E464" s="106" t="s">
        <v>495</v>
      </c>
      <c r="F464" s="58" t="s">
        <v>1957</v>
      </c>
      <c r="G464" s="106">
        <v>12</v>
      </c>
      <c r="H464" s="107"/>
      <c r="I464" s="107"/>
      <c r="J464" s="107"/>
      <c r="K464" s="107"/>
      <c r="L464" s="107"/>
      <c r="M464" s="107"/>
      <c r="N464" s="107"/>
      <c r="O464" s="107"/>
      <c r="P464" s="107"/>
    </row>
    <row r="465" spans="1:16" x14ac:dyDescent="0.3">
      <c r="A465" s="58" t="str">
        <f t="shared" si="28"/>
        <v>A011760</v>
      </c>
      <c r="B465" s="59" t="str">
        <f t="shared" si="29"/>
        <v/>
      </c>
      <c r="C465" s="59" t="str">
        <f t="shared" si="30"/>
        <v/>
      </c>
      <c r="D465" s="109" t="str">
        <f t="shared" si="31"/>
        <v/>
      </c>
      <c r="E465" s="106" t="s">
        <v>496</v>
      </c>
      <c r="F465" s="58" t="s">
        <v>1958</v>
      </c>
      <c r="G465" s="106">
        <v>12</v>
      </c>
      <c r="H465" s="107"/>
      <c r="I465" s="107"/>
      <c r="J465" s="107"/>
      <c r="K465" s="107"/>
      <c r="L465" s="107"/>
      <c r="M465" s="107"/>
      <c r="N465" s="107"/>
      <c r="O465" s="107"/>
      <c r="P465" s="107"/>
    </row>
    <row r="466" spans="1:16" x14ac:dyDescent="0.3">
      <c r="A466" s="58" t="str">
        <f t="shared" si="28"/>
        <v>A011780</v>
      </c>
      <c r="B466" s="59">
        <f t="shared" si="29"/>
        <v>41473</v>
      </c>
      <c r="C466" s="59">
        <f t="shared" si="30"/>
        <v>41473</v>
      </c>
      <c r="D466" s="109">
        <f t="shared" si="31"/>
        <v>76.72</v>
      </c>
      <c r="E466" s="106" t="s">
        <v>497</v>
      </c>
      <c r="F466" s="58" t="s">
        <v>1959</v>
      </c>
      <c r="G466" s="106">
        <v>12</v>
      </c>
      <c r="H466" s="107">
        <v>20130718</v>
      </c>
      <c r="I466" s="107">
        <v>20130718</v>
      </c>
      <c r="J466" s="107">
        <v>76.72</v>
      </c>
      <c r="K466" s="107"/>
      <c r="L466" s="107"/>
      <c r="M466" s="107"/>
      <c r="N466" s="107"/>
      <c r="O466" s="107"/>
      <c r="P466" s="107"/>
    </row>
    <row r="467" spans="1:16" x14ac:dyDescent="0.3">
      <c r="A467" s="58" t="str">
        <f t="shared" si="28"/>
        <v>A011790</v>
      </c>
      <c r="B467" s="59">
        <f t="shared" si="29"/>
        <v>41494</v>
      </c>
      <c r="C467" s="59" t="str">
        <f t="shared" si="30"/>
        <v/>
      </c>
      <c r="D467" s="109" t="str">
        <f t="shared" si="31"/>
        <v/>
      </c>
      <c r="E467" s="106" t="s">
        <v>498</v>
      </c>
      <c r="F467" s="58" t="s">
        <v>1960</v>
      </c>
      <c r="G467" s="106">
        <v>12</v>
      </c>
      <c r="H467" s="107">
        <v>20130808</v>
      </c>
      <c r="I467" s="107"/>
      <c r="J467" s="107"/>
      <c r="K467" s="107"/>
      <c r="L467" s="107"/>
      <c r="M467" s="107"/>
      <c r="N467" s="107"/>
      <c r="O467" s="107"/>
      <c r="P467" s="107"/>
    </row>
    <row r="468" spans="1:16" x14ac:dyDescent="0.3">
      <c r="A468" s="58" t="str">
        <f t="shared" si="28"/>
        <v>A011810</v>
      </c>
      <c r="B468" s="59" t="str">
        <f t="shared" si="29"/>
        <v/>
      </c>
      <c r="C468" s="59" t="str">
        <f t="shared" si="30"/>
        <v/>
      </c>
      <c r="D468" s="109" t="str">
        <f t="shared" si="31"/>
        <v/>
      </c>
      <c r="E468" s="106" t="s">
        <v>499</v>
      </c>
      <c r="F468" s="58" t="s">
        <v>1961</v>
      </c>
      <c r="G468" s="106">
        <v>12</v>
      </c>
      <c r="H468" s="107"/>
      <c r="I468" s="107"/>
      <c r="J468" s="107"/>
      <c r="K468" s="107"/>
      <c r="L468" s="107"/>
      <c r="M468" s="107"/>
      <c r="N468" s="107"/>
      <c r="O468" s="107"/>
      <c r="P468" s="107"/>
    </row>
    <row r="469" spans="1:16" x14ac:dyDescent="0.3">
      <c r="A469" s="58" t="str">
        <f t="shared" si="28"/>
        <v>A011930</v>
      </c>
      <c r="B469" s="59" t="str">
        <f t="shared" si="29"/>
        <v/>
      </c>
      <c r="C469" s="59" t="str">
        <f t="shared" si="30"/>
        <v/>
      </c>
      <c r="D469" s="109" t="str">
        <f t="shared" si="31"/>
        <v/>
      </c>
      <c r="E469" s="106" t="s">
        <v>500</v>
      </c>
      <c r="F469" s="58" t="s">
        <v>1962</v>
      </c>
      <c r="G469" s="106">
        <v>12</v>
      </c>
      <c r="H469" s="107"/>
      <c r="I469" s="107"/>
      <c r="J469" s="107"/>
      <c r="K469" s="107"/>
      <c r="L469" s="107"/>
      <c r="M469" s="107"/>
      <c r="N469" s="107"/>
      <c r="O469" s="107"/>
      <c r="P469" s="107"/>
    </row>
    <row r="470" spans="1:16" x14ac:dyDescent="0.3">
      <c r="A470" s="58" t="str">
        <f t="shared" ref="A470:A533" si="32">E470</f>
        <v>A012030</v>
      </c>
      <c r="B470" s="59" t="str">
        <f t="shared" si="29"/>
        <v/>
      </c>
      <c r="C470" s="59" t="str">
        <f t="shared" si="30"/>
        <v/>
      </c>
      <c r="D470" s="109" t="str">
        <f t="shared" si="31"/>
        <v/>
      </c>
      <c r="E470" s="106" t="s">
        <v>501</v>
      </c>
      <c r="F470" s="58" t="s">
        <v>1963</v>
      </c>
      <c r="G470" s="106">
        <v>12</v>
      </c>
      <c r="H470" s="107"/>
      <c r="I470" s="107"/>
      <c r="J470" s="107"/>
      <c r="K470" s="107"/>
      <c r="L470" s="107"/>
      <c r="M470" s="107"/>
      <c r="N470" s="107"/>
      <c r="O470" s="107"/>
      <c r="P470" s="107"/>
    </row>
    <row r="471" spans="1:16" x14ac:dyDescent="0.3">
      <c r="A471" s="58" t="str">
        <f t="shared" si="32"/>
        <v>A012160</v>
      </c>
      <c r="B471" s="59" t="str">
        <f t="shared" si="29"/>
        <v/>
      </c>
      <c r="C471" s="59" t="str">
        <f t="shared" si="30"/>
        <v/>
      </c>
      <c r="D471" s="109" t="str">
        <f t="shared" si="31"/>
        <v/>
      </c>
      <c r="E471" s="106" t="s">
        <v>3134</v>
      </c>
      <c r="F471" s="58" t="s">
        <v>3337</v>
      </c>
      <c r="G471" s="106">
        <v>12</v>
      </c>
      <c r="H471" s="107"/>
      <c r="I471" s="107"/>
      <c r="J471" s="107"/>
      <c r="K471" s="107"/>
      <c r="L471" s="107"/>
      <c r="M471" s="107"/>
      <c r="N471" s="107"/>
      <c r="O471" s="107"/>
      <c r="P471" s="107"/>
    </row>
    <row r="472" spans="1:16" x14ac:dyDescent="0.3">
      <c r="A472" s="58" t="str">
        <f t="shared" si="32"/>
        <v>A012170</v>
      </c>
      <c r="B472" s="59" t="str">
        <f t="shared" si="29"/>
        <v/>
      </c>
      <c r="C472" s="59" t="str">
        <f t="shared" si="30"/>
        <v/>
      </c>
      <c r="D472" s="109" t="str">
        <f t="shared" si="31"/>
        <v/>
      </c>
      <c r="E472" s="106" t="s">
        <v>502</v>
      </c>
      <c r="F472" s="58" t="s">
        <v>1964</v>
      </c>
      <c r="G472" s="106">
        <v>12</v>
      </c>
      <c r="H472" s="107"/>
      <c r="I472" s="107"/>
      <c r="J472" s="107"/>
      <c r="K472" s="107"/>
      <c r="L472" s="107"/>
      <c r="M472" s="107"/>
      <c r="N472" s="107"/>
      <c r="O472" s="107"/>
      <c r="P472" s="107"/>
    </row>
    <row r="473" spans="1:16" x14ac:dyDescent="0.3">
      <c r="A473" s="58" t="str">
        <f t="shared" si="32"/>
        <v>A012200</v>
      </c>
      <c r="B473" s="59" t="str">
        <f t="shared" si="29"/>
        <v/>
      </c>
      <c r="C473" s="59" t="str">
        <f t="shared" si="30"/>
        <v/>
      </c>
      <c r="D473" s="109" t="str">
        <f t="shared" si="31"/>
        <v/>
      </c>
      <c r="E473" s="106" t="s">
        <v>503</v>
      </c>
      <c r="F473" s="58" t="s">
        <v>1965</v>
      </c>
      <c r="G473" s="106">
        <v>12</v>
      </c>
      <c r="H473" s="107"/>
      <c r="I473" s="107"/>
      <c r="J473" s="107"/>
      <c r="K473" s="107"/>
      <c r="L473" s="107"/>
      <c r="M473" s="107"/>
      <c r="N473" s="107"/>
      <c r="O473" s="107"/>
      <c r="P473" s="107"/>
    </row>
    <row r="474" spans="1:16" x14ac:dyDescent="0.3">
      <c r="A474" s="58" t="str">
        <f t="shared" si="32"/>
        <v>A012280</v>
      </c>
      <c r="B474" s="59" t="str">
        <f t="shared" si="29"/>
        <v/>
      </c>
      <c r="C474" s="59" t="str">
        <f t="shared" si="30"/>
        <v/>
      </c>
      <c r="D474" s="109" t="str">
        <f t="shared" si="31"/>
        <v/>
      </c>
      <c r="E474" s="106" t="s">
        <v>504</v>
      </c>
      <c r="F474" s="58" t="s">
        <v>1966</v>
      </c>
      <c r="G474" s="106">
        <v>12</v>
      </c>
      <c r="H474" s="107"/>
      <c r="I474" s="107"/>
      <c r="J474" s="107"/>
      <c r="K474" s="107"/>
      <c r="L474" s="107"/>
      <c r="M474" s="107"/>
      <c r="N474" s="107"/>
      <c r="O474" s="107"/>
      <c r="P474" s="107"/>
    </row>
    <row r="475" spans="1:16" x14ac:dyDescent="0.3">
      <c r="A475" s="58" t="str">
        <f t="shared" si="32"/>
        <v>A012320</v>
      </c>
      <c r="B475" s="59" t="str">
        <f t="shared" si="29"/>
        <v/>
      </c>
      <c r="C475" s="59" t="str">
        <f t="shared" si="30"/>
        <v/>
      </c>
      <c r="D475" s="109" t="str">
        <f t="shared" si="31"/>
        <v/>
      </c>
      <c r="E475" s="106" t="s">
        <v>505</v>
      </c>
      <c r="F475" s="58" t="s">
        <v>1967</v>
      </c>
      <c r="G475" s="106">
        <v>12</v>
      </c>
      <c r="H475" s="107"/>
      <c r="I475" s="107"/>
      <c r="J475" s="107"/>
      <c r="K475" s="107"/>
      <c r="L475" s="107"/>
      <c r="M475" s="107"/>
      <c r="N475" s="107"/>
      <c r="O475" s="107"/>
      <c r="P475" s="107"/>
    </row>
    <row r="476" spans="1:16" x14ac:dyDescent="0.3">
      <c r="A476" s="58" t="str">
        <f t="shared" si="32"/>
        <v>A012330</v>
      </c>
      <c r="B476" s="59">
        <f t="shared" si="29"/>
        <v>41481</v>
      </c>
      <c r="C476" s="59">
        <f t="shared" si="30"/>
        <v>41481</v>
      </c>
      <c r="D476" s="109">
        <f t="shared" si="31"/>
        <v>733.16</v>
      </c>
      <c r="E476" s="106" t="s">
        <v>506</v>
      </c>
      <c r="F476" s="58" t="s">
        <v>1968</v>
      </c>
      <c r="G476" s="106">
        <v>12</v>
      </c>
      <c r="H476" s="107">
        <v>20130726</v>
      </c>
      <c r="I476" s="107">
        <v>20130726</v>
      </c>
      <c r="J476" s="107">
        <v>733.16</v>
      </c>
      <c r="K476" s="107"/>
      <c r="L476" s="107"/>
      <c r="M476" s="107"/>
      <c r="N476" s="107"/>
      <c r="O476" s="107"/>
      <c r="P476" s="107"/>
    </row>
    <row r="477" spans="1:16" x14ac:dyDescent="0.3">
      <c r="A477" s="58" t="str">
        <f t="shared" si="32"/>
        <v>A012340</v>
      </c>
      <c r="B477" s="59" t="str">
        <f t="shared" si="29"/>
        <v/>
      </c>
      <c r="C477" s="59" t="str">
        <f t="shared" si="30"/>
        <v/>
      </c>
      <c r="D477" s="109" t="str">
        <f t="shared" si="31"/>
        <v/>
      </c>
      <c r="E477" s="106" t="s">
        <v>507</v>
      </c>
      <c r="F477" s="58" t="s">
        <v>1969</v>
      </c>
      <c r="G477" s="106">
        <v>12</v>
      </c>
      <c r="H477" s="107"/>
      <c r="I477" s="107"/>
      <c r="J477" s="107"/>
      <c r="K477" s="107"/>
      <c r="L477" s="107"/>
      <c r="M477" s="107"/>
      <c r="N477" s="107"/>
      <c r="O477" s="107"/>
      <c r="P477" s="107"/>
    </row>
    <row r="478" spans="1:16" x14ac:dyDescent="0.3">
      <c r="A478" s="58" t="str">
        <f t="shared" si="32"/>
        <v>A012450</v>
      </c>
      <c r="B478" s="59">
        <f t="shared" si="29"/>
        <v>41485</v>
      </c>
      <c r="C478" s="59">
        <f t="shared" si="30"/>
        <v>41485</v>
      </c>
      <c r="D478" s="109">
        <f t="shared" si="31"/>
        <v>60.8</v>
      </c>
      <c r="E478" s="106" t="s">
        <v>508</v>
      </c>
      <c r="F478" s="58" t="s">
        <v>1971</v>
      </c>
      <c r="G478" s="106">
        <v>12</v>
      </c>
      <c r="H478" s="107">
        <v>20130730</v>
      </c>
      <c r="I478" s="107">
        <v>20130730</v>
      </c>
      <c r="J478" s="107">
        <v>60.8</v>
      </c>
      <c r="K478" s="107"/>
      <c r="L478" s="107"/>
      <c r="M478" s="107"/>
      <c r="N478" s="107"/>
      <c r="O478" s="107"/>
      <c r="P478" s="107"/>
    </row>
    <row r="479" spans="1:16" x14ac:dyDescent="0.3">
      <c r="A479" s="58" t="str">
        <f t="shared" si="32"/>
        <v>A012510</v>
      </c>
      <c r="B479" s="59" t="str">
        <f t="shared" si="29"/>
        <v/>
      </c>
      <c r="C479" s="59" t="str">
        <f t="shared" si="30"/>
        <v/>
      </c>
      <c r="D479" s="109" t="str">
        <f t="shared" si="31"/>
        <v/>
      </c>
      <c r="E479" s="106" t="s">
        <v>509</v>
      </c>
      <c r="F479" s="58" t="s">
        <v>1972</v>
      </c>
      <c r="G479" s="106">
        <v>12</v>
      </c>
      <c r="H479" s="107"/>
      <c r="I479" s="107"/>
      <c r="J479" s="107"/>
      <c r="K479" s="107"/>
      <c r="L479" s="107"/>
      <c r="M479" s="107"/>
      <c r="N479" s="107"/>
      <c r="O479" s="107"/>
      <c r="P479" s="107"/>
    </row>
    <row r="480" spans="1:16" x14ac:dyDescent="0.3">
      <c r="A480" s="58" t="str">
        <f t="shared" si="32"/>
        <v>A012600</v>
      </c>
      <c r="B480" s="59" t="str">
        <f t="shared" si="29"/>
        <v/>
      </c>
      <c r="C480" s="59" t="str">
        <f t="shared" si="30"/>
        <v/>
      </c>
      <c r="D480" s="109" t="str">
        <f t="shared" si="31"/>
        <v/>
      </c>
      <c r="E480" s="106" t="s">
        <v>510</v>
      </c>
      <c r="F480" s="58" t="s">
        <v>1973</v>
      </c>
      <c r="G480" s="106">
        <v>12</v>
      </c>
      <c r="H480" s="107"/>
      <c r="I480" s="107"/>
      <c r="J480" s="107"/>
      <c r="K480" s="107"/>
      <c r="L480" s="107"/>
      <c r="M480" s="107"/>
      <c r="N480" s="107"/>
      <c r="O480" s="107"/>
      <c r="P480" s="107"/>
    </row>
    <row r="481" spans="1:16" x14ac:dyDescent="0.3">
      <c r="A481" s="58" t="str">
        <f t="shared" si="32"/>
        <v>A012610</v>
      </c>
      <c r="B481" s="59" t="str">
        <f t="shared" si="29"/>
        <v/>
      </c>
      <c r="C481" s="59" t="str">
        <f t="shared" si="30"/>
        <v/>
      </c>
      <c r="D481" s="109" t="str">
        <f t="shared" si="31"/>
        <v/>
      </c>
      <c r="E481" s="106" t="s">
        <v>511</v>
      </c>
      <c r="F481" s="58" t="s">
        <v>1974</v>
      </c>
      <c r="G481" s="106">
        <v>12</v>
      </c>
      <c r="H481" s="107"/>
      <c r="I481" s="107"/>
      <c r="J481" s="107"/>
      <c r="K481" s="107"/>
      <c r="L481" s="107"/>
      <c r="M481" s="107"/>
      <c r="N481" s="107"/>
      <c r="O481" s="107"/>
      <c r="P481" s="107"/>
    </row>
    <row r="482" spans="1:16" x14ac:dyDescent="0.3">
      <c r="A482" s="58" t="str">
        <f t="shared" si="32"/>
        <v>A012620</v>
      </c>
      <c r="B482" s="59" t="str">
        <f t="shared" si="29"/>
        <v/>
      </c>
      <c r="C482" s="59" t="str">
        <f t="shared" si="30"/>
        <v/>
      </c>
      <c r="D482" s="109" t="str">
        <f t="shared" si="31"/>
        <v/>
      </c>
      <c r="E482" s="106" t="s">
        <v>512</v>
      </c>
      <c r="F482" s="58" t="s">
        <v>1975</v>
      </c>
      <c r="G482" s="106">
        <v>12</v>
      </c>
      <c r="H482" s="107"/>
      <c r="I482" s="107"/>
      <c r="J482" s="107"/>
      <c r="K482" s="107"/>
      <c r="L482" s="107"/>
      <c r="M482" s="107"/>
      <c r="N482" s="107"/>
      <c r="O482" s="107"/>
      <c r="P482" s="107"/>
    </row>
    <row r="483" spans="1:16" x14ac:dyDescent="0.3">
      <c r="A483" s="58" t="str">
        <f t="shared" si="32"/>
        <v>A012630</v>
      </c>
      <c r="B483" s="59">
        <f t="shared" si="29"/>
        <v>41481</v>
      </c>
      <c r="C483" s="59">
        <f t="shared" si="30"/>
        <v>41481</v>
      </c>
      <c r="D483" s="109">
        <f t="shared" si="31"/>
        <v>25.76</v>
      </c>
      <c r="E483" s="106" t="s">
        <v>513</v>
      </c>
      <c r="F483" s="58" t="s">
        <v>1976</v>
      </c>
      <c r="G483" s="106">
        <v>12</v>
      </c>
      <c r="H483" s="107">
        <v>20130726</v>
      </c>
      <c r="I483" s="107">
        <v>20130726</v>
      </c>
      <c r="J483" s="107">
        <v>25.76</v>
      </c>
      <c r="K483" s="107"/>
      <c r="L483" s="107"/>
      <c r="M483" s="107"/>
      <c r="N483" s="107"/>
      <c r="O483" s="107"/>
      <c r="P483" s="107"/>
    </row>
    <row r="484" spans="1:16" x14ac:dyDescent="0.3">
      <c r="A484" s="58" t="str">
        <f t="shared" si="32"/>
        <v>A012650</v>
      </c>
      <c r="B484" s="59" t="str">
        <f t="shared" si="29"/>
        <v/>
      </c>
      <c r="C484" s="59" t="str">
        <f t="shared" si="30"/>
        <v/>
      </c>
      <c r="D484" s="109" t="str">
        <f t="shared" si="31"/>
        <v/>
      </c>
      <c r="E484" s="106" t="s">
        <v>514</v>
      </c>
      <c r="F484" s="58" t="s">
        <v>1977</v>
      </c>
      <c r="G484" s="106">
        <v>12</v>
      </c>
      <c r="H484" s="107"/>
      <c r="I484" s="107"/>
      <c r="J484" s="107"/>
      <c r="K484" s="107"/>
      <c r="L484" s="107"/>
      <c r="M484" s="107"/>
      <c r="N484" s="107"/>
      <c r="O484" s="107"/>
      <c r="P484" s="107"/>
    </row>
    <row r="485" spans="1:16" x14ac:dyDescent="0.3">
      <c r="A485" s="58" t="str">
        <f t="shared" si="32"/>
        <v>A012690</v>
      </c>
      <c r="B485" s="59" t="str">
        <f t="shared" si="29"/>
        <v/>
      </c>
      <c r="C485" s="59" t="str">
        <f t="shared" si="30"/>
        <v/>
      </c>
      <c r="D485" s="109" t="str">
        <f t="shared" si="31"/>
        <v/>
      </c>
      <c r="E485" s="106" t="s">
        <v>515</v>
      </c>
      <c r="F485" s="58" t="s">
        <v>1978</v>
      </c>
      <c r="G485" s="106">
        <v>12</v>
      </c>
      <c r="H485" s="107"/>
      <c r="I485" s="107"/>
      <c r="J485" s="107"/>
      <c r="K485" s="107"/>
      <c r="L485" s="107"/>
      <c r="M485" s="107"/>
      <c r="N485" s="107"/>
      <c r="O485" s="107"/>
      <c r="P485" s="107"/>
    </row>
    <row r="486" spans="1:16" x14ac:dyDescent="0.3">
      <c r="A486" s="58" t="str">
        <f t="shared" si="32"/>
        <v>A012700</v>
      </c>
      <c r="B486" s="59" t="str">
        <f t="shared" si="29"/>
        <v/>
      </c>
      <c r="C486" s="59" t="str">
        <f t="shared" si="30"/>
        <v/>
      </c>
      <c r="D486" s="109" t="str">
        <f t="shared" si="31"/>
        <v/>
      </c>
      <c r="E486" s="106" t="s">
        <v>516</v>
      </c>
      <c r="F486" s="58" t="s">
        <v>1979</v>
      </c>
      <c r="G486" s="106">
        <v>12</v>
      </c>
      <c r="H486" s="107"/>
      <c r="I486" s="107"/>
      <c r="J486" s="107"/>
      <c r="K486" s="107"/>
      <c r="L486" s="107"/>
      <c r="M486" s="107"/>
      <c r="N486" s="107"/>
      <c r="O486" s="107"/>
      <c r="P486" s="107"/>
    </row>
    <row r="487" spans="1:16" x14ac:dyDescent="0.3">
      <c r="A487" s="58" t="str">
        <f t="shared" si="32"/>
        <v>A012750</v>
      </c>
      <c r="B487" s="59">
        <f t="shared" si="29"/>
        <v>41481</v>
      </c>
      <c r="C487" s="59">
        <f t="shared" si="30"/>
        <v>41481</v>
      </c>
      <c r="D487" s="109">
        <f t="shared" si="31"/>
        <v>34.79</v>
      </c>
      <c r="E487" s="106" t="s">
        <v>517</v>
      </c>
      <c r="F487" s="58" t="s">
        <v>1980</v>
      </c>
      <c r="G487" s="106">
        <v>12</v>
      </c>
      <c r="H487" s="107">
        <v>20130726</v>
      </c>
      <c r="I487" s="107">
        <v>20130726</v>
      </c>
      <c r="J487" s="107">
        <v>34.79</v>
      </c>
      <c r="K487" s="107"/>
      <c r="L487" s="107"/>
      <c r="M487" s="107"/>
      <c r="N487" s="107"/>
      <c r="O487" s="107"/>
      <c r="P487" s="107"/>
    </row>
    <row r="488" spans="1:16" x14ac:dyDescent="0.3">
      <c r="A488" s="58" t="str">
        <f t="shared" si="32"/>
        <v>A012790</v>
      </c>
      <c r="B488" s="59" t="str">
        <f t="shared" si="29"/>
        <v/>
      </c>
      <c r="C488" s="59" t="str">
        <f t="shared" si="30"/>
        <v/>
      </c>
      <c r="D488" s="109" t="str">
        <f t="shared" si="31"/>
        <v/>
      </c>
      <c r="E488" s="106" t="s">
        <v>518</v>
      </c>
      <c r="F488" s="58" t="s">
        <v>1981</v>
      </c>
      <c r="G488" s="106">
        <v>12</v>
      </c>
      <c r="H488" s="107"/>
      <c r="I488" s="107"/>
      <c r="J488" s="107"/>
      <c r="K488" s="107"/>
      <c r="L488" s="107"/>
      <c r="M488" s="107"/>
      <c r="N488" s="107"/>
      <c r="O488" s="107"/>
      <c r="P488" s="107"/>
    </row>
    <row r="489" spans="1:16" x14ac:dyDescent="0.3">
      <c r="A489" s="58" t="str">
        <f t="shared" si="32"/>
        <v>A012800</v>
      </c>
      <c r="B489" s="59" t="str">
        <f t="shared" si="29"/>
        <v/>
      </c>
      <c r="C489" s="59" t="str">
        <f t="shared" si="30"/>
        <v/>
      </c>
      <c r="D489" s="109" t="str">
        <f t="shared" si="31"/>
        <v/>
      </c>
      <c r="E489" s="106" t="s">
        <v>519</v>
      </c>
      <c r="F489" s="58" t="s">
        <v>1982</v>
      </c>
      <c r="G489" s="106">
        <v>12</v>
      </c>
      <c r="H489" s="107"/>
      <c r="I489" s="107"/>
      <c r="J489" s="107"/>
      <c r="K489" s="107"/>
      <c r="L489" s="107"/>
      <c r="M489" s="107"/>
      <c r="N489" s="107"/>
      <c r="O489" s="107"/>
      <c r="P489" s="107"/>
    </row>
    <row r="490" spans="1:16" x14ac:dyDescent="0.3">
      <c r="A490" s="58" t="str">
        <f t="shared" si="32"/>
        <v>A012860</v>
      </c>
      <c r="B490" s="59" t="str">
        <f t="shared" si="29"/>
        <v/>
      </c>
      <c r="C490" s="59" t="str">
        <f t="shared" si="30"/>
        <v/>
      </c>
      <c r="D490" s="109" t="str">
        <f t="shared" si="31"/>
        <v/>
      </c>
      <c r="E490" s="106" t="s">
        <v>520</v>
      </c>
      <c r="F490" s="58" t="s">
        <v>1983</v>
      </c>
      <c r="G490" s="106">
        <v>12</v>
      </c>
      <c r="H490" s="107"/>
      <c r="I490" s="107"/>
      <c r="J490" s="107"/>
      <c r="K490" s="107"/>
      <c r="L490" s="107"/>
      <c r="M490" s="107"/>
      <c r="N490" s="107"/>
      <c r="O490" s="107"/>
      <c r="P490" s="107"/>
    </row>
    <row r="491" spans="1:16" x14ac:dyDescent="0.3">
      <c r="A491" s="58" t="str">
        <f t="shared" si="32"/>
        <v>A013000</v>
      </c>
      <c r="B491" s="59" t="str">
        <f t="shared" si="29"/>
        <v/>
      </c>
      <c r="C491" s="59" t="str">
        <f t="shared" si="30"/>
        <v/>
      </c>
      <c r="D491" s="109" t="str">
        <f t="shared" si="31"/>
        <v/>
      </c>
      <c r="E491" s="106" t="s">
        <v>521</v>
      </c>
      <c r="F491" s="58" t="s">
        <v>1984</v>
      </c>
      <c r="G491" s="106">
        <v>12</v>
      </c>
      <c r="H491" s="107"/>
      <c r="I491" s="107"/>
      <c r="J491" s="107"/>
      <c r="K491" s="107"/>
      <c r="L491" s="107"/>
      <c r="M491" s="107"/>
      <c r="N491" s="107"/>
      <c r="O491" s="107"/>
      <c r="P491" s="107"/>
    </row>
    <row r="492" spans="1:16" x14ac:dyDescent="0.3">
      <c r="A492" s="58" t="str">
        <f t="shared" si="32"/>
        <v>A013030</v>
      </c>
      <c r="B492" s="59" t="str">
        <f t="shared" si="29"/>
        <v/>
      </c>
      <c r="C492" s="59" t="str">
        <f t="shared" si="30"/>
        <v/>
      </c>
      <c r="D492" s="109" t="str">
        <f t="shared" si="31"/>
        <v/>
      </c>
      <c r="E492" s="106" t="s">
        <v>522</v>
      </c>
      <c r="F492" s="58" t="s">
        <v>1985</v>
      </c>
      <c r="G492" s="106">
        <v>12</v>
      </c>
      <c r="H492" s="107"/>
      <c r="I492" s="107"/>
      <c r="J492" s="107"/>
      <c r="K492" s="107"/>
      <c r="L492" s="107"/>
      <c r="M492" s="107"/>
      <c r="N492" s="107"/>
      <c r="O492" s="107"/>
      <c r="P492" s="107"/>
    </row>
    <row r="493" spans="1:16" x14ac:dyDescent="0.3">
      <c r="A493" s="58" t="str">
        <f t="shared" si="32"/>
        <v>A013120</v>
      </c>
      <c r="B493" s="59" t="str">
        <f t="shared" si="29"/>
        <v/>
      </c>
      <c r="C493" s="59" t="str">
        <f t="shared" si="30"/>
        <v/>
      </c>
      <c r="D493" s="109" t="str">
        <f t="shared" si="31"/>
        <v/>
      </c>
      <c r="E493" s="106" t="s">
        <v>523</v>
      </c>
      <c r="F493" s="58" t="s">
        <v>1986</v>
      </c>
      <c r="G493" s="106">
        <v>12</v>
      </c>
      <c r="H493" s="107"/>
      <c r="I493" s="107"/>
      <c r="J493" s="107"/>
      <c r="K493" s="107"/>
      <c r="L493" s="107"/>
      <c r="M493" s="107"/>
      <c r="N493" s="107"/>
      <c r="O493" s="107"/>
      <c r="P493" s="107"/>
    </row>
    <row r="494" spans="1:16" x14ac:dyDescent="0.3">
      <c r="A494" s="58" t="str">
        <f t="shared" si="32"/>
        <v>A013340</v>
      </c>
      <c r="B494" s="59" t="str">
        <f t="shared" si="29"/>
        <v/>
      </c>
      <c r="C494" s="59" t="str">
        <f t="shared" si="30"/>
        <v/>
      </c>
      <c r="D494" s="109" t="str">
        <f t="shared" si="31"/>
        <v/>
      </c>
      <c r="E494" s="106" t="s">
        <v>524</v>
      </c>
      <c r="F494" s="58" t="s">
        <v>1987</v>
      </c>
      <c r="G494" s="106">
        <v>12</v>
      </c>
      <c r="H494" s="107"/>
      <c r="I494" s="107"/>
      <c r="J494" s="107"/>
      <c r="K494" s="107"/>
      <c r="L494" s="107"/>
      <c r="M494" s="107"/>
      <c r="N494" s="107"/>
      <c r="O494" s="107"/>
      <c r="P494" s="107"/>
    </row>
    <row r="495" spans="1:16" x14ac:dyDescent="0.3">
      <c r="A495" s="58" t="str">
        <f t="shared" si="32"/>
        <v>A013360</v>
      </c>
      <c r="B495" s="59" t="str">
        <f t="shared" si="29"/>
        <v/>
      </c>
      <c r="C495" s="59" t="str">
        <f t="shared" si="30"/>
        <v/>
      </c>
      <c r="D495" s="109" t="str">
        <f t="shared" si="31"/>
        <v/>
      </c>
      <c r="E495" s="106" t="s">
        <v>525</v>
      </c>
      <c r="F495" s="58" t="s">
        <v>1988</v>
      </c>
      <c r="G495" s="106">
        <v>12</v>
      </c>
      <c r="H495" s="107"/>
      <c r="I495" s="107"/>
      <c r="J495" s="107"/>
      <c r="K495" s="107"/>
      <c r="L495" s="107"/>
      <c r="M495" s="107"/>
      <c r="N495" s="107"/>
      <c r="O495" s="107"/>
      <c r="P495" s="107"/>
    </row>
    <row r="496" spans="1:16" x14ac:dyDescent="0.3">
      <c r="A496" s="58" t="str">
        <f t="shared" si="32"/>
        <v>A013450</v>
      </c>
      <c r="B496" s="59" t="str">
        <f t="shared" si="29"/>
        <v/>
      </c>
      <c r="C496" s="59" t="str">
        <f t="shared" si="30"/>
        <v/>
      </c>
      <c r="D496" s="109" t="str">
        <f t="shared" si="31"/>
        <v/>
      </c>
      <c r="E496" s="106" t="s">
        <v>526</v>
      </c>
      <c r="F496" s="58" t="s">
        <v>1989</v>
      </c>
      <c r="G496" s="106">
        <v>12</v>
      </c>
      <c r="H496" s="107"/>
      <c r="I496" s="107"/>
      <c r="J496" s="107"/>
      <c r="K496" s="107"/>
      <c r="L496" s="107"/>
      <c r="M496" s="107"/>
      <c r="N496" s="107"/>
      <c r="O496" s="107"/>
      <c r="P496" s="107"/>
    </row>
    <row r="497" spans="1:16" x14ac:dyDescent="0.3">
      <c r="A497" s="58" t="str">
        <f t="shared" si="32"/>
        <v>A013520</v>
      </c>
      <c r="B497" s="59" t="str">
        <f t="shared" si="29"/>
        <v/>
      </c>
      <c r="C497" s="59" t="str">
        <f t="shared" si="30"/>
        <v/>
      </c>
      <c r="D497" s="109" t="str">
        <f t="shared" si="31"/>
        <v/>
      </c>
      <c r="E497" s="106" t="s">
        <v>527</v>
      </c>
      <c r="F497" s="58" t="s">
        <v>1990</v>
      </c>
      <c r="G497" s="106">
        <v>12</v>
      </c>
      <c r="H497" s="107"/>
      <c r="I497" s="107"/>
      <c r="J497" s="107"/>
      <c r="K497" s="107"/>
      <c r="L497" s="107"/>
      <c r="M497" s="107"/>
      <c r="N497" s="107"/>
      <c r="O497" s="107"/>
      <c r="P497" s="107"/>
    </row>
    <row r="498" spans="1:16" x14ac:dyDescent="0.3">
      <c r="A498" s="58" t="str">
        <f t="shared" si="32"/>
        <v>A013570</v>
      </c>
      <c r="B498" s="59" t="str">
        <f t="shared" si="29"/>
        <v/>
      </c>
      <c r="C498" s="59" t="str">
        <f t="shared" si="30"/>
        <v/>
      </c>
      <c r="D498" s="109" t="str">
        <f t="shared" si="31"/>
        <v/>
      </c>
      <c r="E498" s="106" t="s">
        <v>528</v>
      </c>
      <c r="F498" s="58" t="s">
        <v>1991</v>
      </c>
      <c r="G498" s="106">
        <v>12</v>
      </c>
      <c r="H498" s="107"/>
      <c r="I498" s="107"/>
      <c r="J498" s="107"/>
      <c r="K498" s="107"/>
      <c r="L498" s="107"/>
      <c r="M498" s="107"/>
      <c r="N498" s="107"/>
      <c r="O498" s="107"/>
      <c r="P498" s="107"/>
    </row>
    <row r="499" spans="1:16" x14ac:dyDescent="0.3">
      <c r="A499" s="58" t="str">
        <f t="shared" si="32"/>
        <v>A013580</v>
      </c>
      <c r="B499" s="59" t="str">
        <f t="shared" si="29"/>
        <v/>
      </c>
      <c r="C499" s="59" t="str">
        <f t="shared" si="30"/>
        <v/>
      </c>
      <c r="D499" s="109" t="str">
        <f t="shared" si="31"/>
        <v/>
      </c>
      <c r="E499" s="106" t="s">
        <v>529</v>
      </c>
      <c r="F499" s="58" t="s">
        <v>1992</v>
      </c>
      <c r="G499" s="106">
        <v>12</v>
      </c>
      <c r="H499" s="107"/>
      <c r="I499" s="107"/>
      <c r="J499" s="107"/>
      <c r="K499" s="107"/>
      <c r="L499" s="107"/>
      <c r="M499" s="107"/>
      <c r="N499" s="107"/>
      <c r="O499" s="107"/>
      <c r="P499" s="107"/>
    </row>
    <row r="500" spans="1:16" x14ac:dyDescent="0.3">
      <c r="A500" s="58" t="str">
        <f t="shared" si="32"/>
        <v>A013700</v>
      </c>
      <c r="B500" s="59" t="str">
        <f t="shared" si="29"/>
        <v/>
      </c>
      <c r="C500" s="59" t="str">
        <f t="shared" si="30"/>
        <v/>
      </c>
      <c r="D500" s="109" t="str">
        <f t="shared" si="31"/>
        <v/>
      </c>
      <c r="E500" s="106" t="s">
        <v>530</v>
      </c>
      <c r="F500" s="58" t="s">
        <v>1993</v>
      </c>
      <c r="G500" s="106">
        <v>12</v>
      </c>
      <c r="H500" s="107"/>
      <c r="I500" s="107"/>
      <c r="J500" s="107"/>
      <c r="K500" s="107"/>
      <c r="L500" s="107"/>
      <c r="M500" s="107"/>
      <c r="N500" s="107"/>
      <c r="O500" s="107"/>
      <c r="P500" s="107"/>
    </row>
    <row r="501" spans="1:16" x14ac:dyDescent="0.3">
      <c r="A501" s="58" t="str">
        <f t="shared" si="32"/>
        <v>A013720</v>
      </c>
      <c r="B501" s="59" t="str">
        <f t="shared" si="29"/>
        <v/>
      </c>
      <c r="C501" s="59" t="str">
        <f t="shared" si="30"/>
        <v/>
      </c>
      <c r="D501" s="109" t="str">
        <f t="shared" si="31"/>
        <v/>
      </c>
      <c r="E501" s="106" t="s">
        <v>531</v>
      </c>
      <c r="F501" s="58" t="s">
        <v>1994</v>
      </c>
      <c r="G501" s="106">
        <v>12</v>
      </c>
      <c r="H501" s="107"/>
      <c r="I501" s="107"/>
      <c r="J501" s="107"/>
      <c r="K501" s="107"/>
      <c r="L501" s="107"/>
      <c r="M501" s="107"/>
      <c r="N501" s="107"/>
      <c r="O501" s="107"/>
      <c r="P501" s="107"/>
    </row>
    <row r="502" spans="1:16" x14ac:dyDescent="0.3">
      <c r="A502" s="58" t="str">
        <f t="shared" si="32"/>
        <v>A013810</v>
      </c>
      <c r="B502" s="59" t="str">
        <f t="shared" si="29"/>
        <v/>
      </c>
      <c r="C502" s="59" t="str">
        <f t="shared" si="30"/>
        <v/>
      </c>
      <c r="D502" s="109" t="str">
        <f t="shared" si="31"/>
        <v/>
      </c>
      <c r="E502" s="106" t="s">
        <v>532</v>
      </c>
      <c r="F502" s="58" t="s">
        <v>1995</v>
      </c>
      <c r="G502" s="106">
        <v>12</v>
      </c>
      <c r="H502" s="107"/>
      <c r="I502" s="107"/>
      <c r="J502" s="107"/>
      <c r="K502" s="107"/>
      <c r="L502" s="107"/>
      <c r="M502" s="107"/>
      <c r="N502" s="107"/>
      <c r="O502" s="107"/>
      <c r="P502" s="107"/>
    </row>
    <row r="503" spans="1:16" x14ac:dyDescent="0.3">
      <c r="A503" s="58" t="str">
        <f t="shared" si="32"/>
        <v>A013870</v>
      </c>
      <c r="B503" s="59" t="str">
        <f t="shared" si="29"/>
        <v/>
      </c>
      <c r="C503" s="59" t="str">
        <f t="shared" si="30"/>
        <v/>
      </c>
      <c r="D503" s="109" t="str">
        <f t="shared" si="31"/>
        <v/>
      </c>
      <c r="E503" s="106" t="s">
        <v>3540</v>
      </c>
      <c r="F503" s="58" t="s">
        <v>3550</v>
      </c>
      <c r="G503" s="106">
        <v>12</v>
      </c>
      <c r="H503" s="107"/>
      <c r="I503" s="107"/>
      <c r="J503" s="107"/>
      <c r="K503" s="107"/>
      <c r="L503" s="107"/>
      <c r="M503" s="107"/>
      <c r="N503" s="107"/>
      <c r="O503" s="107"/>
      <c r="P503" s="107"/>
    </row>
    <row r="504" spans="1:16" x14ac:dyDescent="0.3">
      <c r="A504" s="58" t="str">
        <f t="shared" si="32"/>
        <v>A013990</v>
      </c>
      <c r="B504" s="59" t="str">
        <f t="shared" si="29"/>
        <v/>
      </c>
      <c r="C504" s="59" t="str">
        <f t="shared" si="30"/>
        <v/>
      </c>
      <c r="D504" s="109" t="str">
        <f t="shared" si="31"/>
        <v/>
      </c>
      <c r="E504" s="106" t="s">
        <v>533</v>
      </c>
      <c r="F504" s="58" t="s">
        <v>1996</v>
      </c>
      <c r="G504" s="106">
        <v>12</v>
      </c>
      <c r="H504" s="107"/>
      <c r="I504" s="107"/>
      <c r="J504" s="107"/>
      <c r="K504" s="107"/>
      <c r="L504" s="107"/>
      <c r="M504" s="107"/>
      <c r="N504" s="107"/>
      <c r="O504" s="107"/>
      <c r="P504" s="107"/>
    </row>
    <row r="505" spans="1:16" x14ac:dyDescent="0.3">
      <c r="A505" s="58" t="str">
        <f t="shared" si="32"/>
        <v>A014100</v>
      </c>
      <c r="B505" s="59" t="str">
        <f t="shared" si="29"/>
        <v/>
      </c>
      <c r="C505" s="59" t="str">
        <f t="shared" si="30"/>
        <v/>
      </c>
      <c r="D505" s="109" t="str">
        <f t="shared" si="31"/>
        <v/>
      </c>
      <c r="E505" s="106" t="s">
        <v>534</v>
      </c>
      <c r="F505" s="58" t="s">
        <v>1997</v>
      </c>
      <c r="G505" s="106">
        <v>12</v>
      </c>
      <c r="H505" s="107"/>
      <c r="I505" s="107"/>
      <c r="J505" s="107"/>
      <c r="K505" s="107"/>
      <c r="L505" s="107"/>
      <c r="M505" s="107"/>
      <c r="N505" s="107"/>
      <c r="O505" s="107"/>
      <c r="P505" s="107"/>
    </row>
    <row r="506" spans="1:16" x14ac:dyDescent="0.3">
      <c r="A506" s="58" t="str">
        <f t="shared" si="32"/>
        <v>A014130</v>
      </c>
      <c r="B506" s="59" t="str">
        <f t="shared" si="29"/>
        <v/>
      </c>
      <c r="C506" s="59" t="str">
        <f t="shared" si="30"/>
        <v/>
      </c>
      <c r="D506" s="109" t="str">
        <f t="shared" si="31"/>
        <v/>
      </c>
      <c r="E506" s="106" t="s">
        <v>535</v>
      </c>
      <c r="F506" s="58" t="s">
        <v>1998</v>
      </c>
      <c r="G506" s="106">
        <v>12</v>
      </c>
      <c r="H506" s="107"/>
      <c r="I506" s="107"/>
      <c r="J506" s="107"/>
      <c r="K506" s="107"/>
      <c r="L506" s="107"/>
      <c r="M506" s="107"/>
      <c r="N506" s="107"/>
      <c r="O506" s="107"/>
      <c r="P506" s="107"/>
    </row>
    <row r="507" spans="1:16" x14ac:dyDescent="0.3">
      <c r="A507" s="58" t="str">
        <f t="shared" si="32"/>
        <v>A014160</v>
      </c>
      <c r="B507" s="59" t="str">
        <f t="shared" si="29"/>
        <v/>
      </c>
      <c r="C507" s="59" t="str">
        <f t="shared" si="30"/>
        <v/>
      </c>
      <c r="D507" s="109" t="str">
        <f t="shared" si="31"/>
        <v/>
      </c>
      <c r="E507" s="106" t="s">
        <v>536</v>
      </c>
      <c r="F507" s="58" t="s">
        <v>1999</v>
      </c>
      <c r="G507" s="106">
        <v>12</v>
      </c>
      <c r="H507" s="107"/>
      <c r="I507" s="107"/>
      <c r="J507" s="107"/>
      <c r="K507" s="107"/>
      <c r="L507" s="107"/>
      <c r="M507" s="107"/>
      <c r="N507" s="107"/>
      <c r="O507" s="107"/>
      <c r="P507" s="107"/>
    </row>
    <row r="508" spans="1:16" x14ac:dyDescent="0.3">
      <c r="A508" s="58" t="str">
        <f t="shared" si="32"/>
        <v>A014190</v>
      </c>
      <c r="B508" s="59" t="str">
        <f t="shared" si="29"/>
        <v/>
      </c>
      <c r="C508" s="59" t="str">
        <f t="shared" si="30"/>
        <v/>
      </c>
      <c r="D508" s="109" t="str">
        <f t="shared" si="31"/>
        <v/>
      </c>
      <c r="E508" s="106" t="s">
        <v>537</v>
      </c>
      <c r="F508" s="58" t="s">
        <v>2000</v>
      </c>
      <c r="G508" s="106">
        <v>12</v>
      </c>
      <c r="H508" s="107"/>
      <c r="I508" s="107"/>
      <c r="J508" s="107"/>
      <c r="K508" s="107"/>
      <c r="L508" s="107"/>
      <c r="M508" s="107"/>
      <c r="N508" s="107"/>
      <c r="O508" s="107"/>
      <c r="P508" s="107"/>
    </row>
    <row r="509" spans="1:16" x14ac:dyDescent="0.3">
      <c r="A509" s="58" t="str">
        <f t="shared" si="32"/>
        <v>A014200</v>
      </c>
      <c r="B509" s="59" t="str">
        <f t="shared" si="29"/>
        <v/>
      </c>
      <c r="C509" s="59" t="str">
        <f t="shared" si="30"/>
        <v/>
      </c>
      <c r="D509" s="109" t="str">
        <f t="shared" si="31"/>
        <v/>
      </c>
      <c r="E509" s="106" t="s">
        <v>538</v>
      </c>
      <c r="F509" s="58" t="s">
        <v>2001</v>
      </c>
      <c r="G509" s="106">
        <v>12</v>
      </c>
      <c r="H509" s="107"/>
      <c r="I509" s="107"/>
      <c r="J509" s="107"/>
      <c r="K509" s="107"/>
      <c r="L509" s="107"/>
      <c r="M509" s="107"/>
      <c r="N509" s="107"/>
      <c r="O509" s="107"/>
      <c r="P509" s="107"/>
    </row>
    <row r="510" spans="1:16" x14ac:dyDescent="0.3">
      <c r="A510" s="58" t="str">
        <f t="shared" si="32"/>
        <v>A014280</v>
      </c>
      <c r="B510" s="59" t="str">
        <f t="shared" si="29"/>
        <v/>
      </c>
      <c r="C510" s="59" t="str">
        <f t="shared" si="30"/>
        <v/>
      </c>
      <c r="D510" s="109" t="str">
        <f t="shared" si="31"/>
        <v/>
      </c>
      <c r="E510" s="106" t="s">
        <v>539</v>
      </c>
      <c r="F510" s="58" t="s">
        <v>2002</v>
      </c>
      <c r="G510" s="106">
        <v>12</v>
      </c>
      <c r="H510" s="107"/>
      <c r="I510" s="107"/>
      <c r="J510" s="107"/>
      <c r="K510" s="107"/>
      <c r="L510" s="107"/>
      <c r="M510" s="107"/>
      <c r="N510" s="107"/>
      <c r="O510" s="107"/>
      <c r="P510" s="107"/>
    </row>
    <row r="511" spans="1:16" x14ac:dyDescent="0.3">
      <c r="A511" s="58" t="str">
        <f t="shared" si="32"/>
        <v>A014350</v>
      </c>
      <c r="B511" s="59" t="str">
        <f t="shared" si="29"/>
        <v/>
      </c>
      <c r="C511" s="59" t="str">
        <f t="shared" si="30"/>
        <v/>
      </c>
      <c r="D511" s="109" t="str">
        <f t="shared" si="31"/>
        <v/>
      </c>
      <c r="E511" s="106" t="s">
        <v>540</v>
      </c>
      <c r="F511" s="58" t="s">
        <v>2003</v>
      </c>
      <c r="G511" s="106">
        <v>12</v>
      </c>
      <c r="H511" s="107"/>
      <c r="I511" s="107"/>
      <c r="J511" s="107"/>
      <c r="K511" s="107"/>
      <c r="L511" s="107"/>
      <c r="M511" s="107"/>
      <c r="N511" s="107"/>
      <c r="O511" s="107"/>
      <c r="P511" s="107"/>
    </row>
    <row r="512" spans="1:16" x14ac:dyDescent="0.3">
      <c r="A512" s="58" t="str">
        <f t="shared" si="32"/>
        <v>A014440</v>
      </c>
      <c r="B512" s="59" t="str">
        <f t="shared" si="29"/>
        <v/>
      </c>
      <c r="C512" s="59" t="str">
        <f t="shared" si="30"/>
        <v/>
      </c>
      <c r="D512" s="109" t="str">
        <f t="shared" si="31"/>
        <v/>
      </c>
      <c r="E512" s="106" t="s">
        <v>541</v>
      </c>
      <c r="F512" s="58" t="s">
        <v>2004</v>
      </c>
      <c r="G512" s="106">
        <v>12</v>
      </c>
      <c r="H512" s="107"/>
      <c r="I512" s="107"/>
      <c r="J512" s="107"/>
      <c r="K512" s="107"/>
      <c r="L512" s="107"/>
      <c r="M512" s="107"/>
      <c r="N512" s="107"/>
      <c r="O512" s="107"/>
      <c r="P512" s="107"/>
    </row>
    <row r="513" spans="1:16" x14ac:dyDescent="0.3">
      <c r="A513" s="58" t="str">
        <f t="shared" si="32"/>
        <v>A014470</v>
      </c>
      <c r="B513" s="59" t="str">
        <f t="shared" si="29"/>
        <v/>
      </c>
      <c r="C513" s="59" t="str">
        <f t="shared" si="30"/>
        <v/>
      </c>
      <c r="D513" s="109" t="str">
        <f t="shared" si="31"/>
        <v/>
      </c>
      <c r="E513" s="106" t="s">
        <v>542</v>
      </c>
      <c r="F513" s="58" t="s">
        <v>3634</v>
      </c>
      <c r="G513" s="106">
        <v>12</v>
      </c>
      <c r="H513" s="107"/>
      <c r="I513" s="107"/>
      <c r="J513" s="107"/>
      <c r="K513" s="107"/>
      <c r="L513" s="107"/>
      <c r="M513" s="107"/>
      <c r="N513" s="107"/>
      <c r="O513" s="107"/>
      <c r="P513" s="107"/>
    </row>
    <row r="514" spans="1:16" x14ac:dyDescent="0.3">
      <c r="A514" s="58" t="str">
        <f t="shared" si="32"/>
        <v>A014530</v>
      </c>
      <c r="B514" s="59" t="str">
        <f t="shared" si="29"/>
        <v/>
      </c>
      <c r="C514" s="59" t="str">
        <f t="shared" si="30"/>
        <v/>
      </c>
      <c r="D514" s="109" t="str">
        <f t="shared" si="31"/>
        <v/>
      </c>
      <c r="E514" s="106" t="s">
        <v>543</v>
      </c>
      <c r="F514" s="58" t="s">
        <v>2005</v>
      </c>
      <c r="G514" s="106">
        <v>12</v>
      </c>
      <c r="H514" s="107"/>
      <c r="I514" s="107"/>
      <c r="J514" s="107"/>
      <c r="K514" s="107"/>
      <c r="L514" s="107"/>
      <c r="M514" s="107"/>
      <c r="N514" s="107"/>
      <c r="O514" s="107"/>
      <c r="P514" s="107"/>
    </row>
    <row r="515" spans="1:16" x14ac:dyDescent="0.3">
      <c r="A515" s="58" t="str">
        <f t="shared" si="32"/>
        <v>A014570</v>
      </c>
      <c r="B515" s="59" t="str">
        <f t="shared" si="29"/>
        <v/>
      </c>
      <c r="C515" s="59" t="str">
        <f t="shared" si="30"/>
        <v/>
      </c>
      <c r="D515" s="109" t="str">
        <f t="shared" si="31"/>
        <v/>
      </c>
      <c r="E515" s="106" t="s">
        <v>544</v>
      </c>
      <c r="F515" s="58" t="s">
        <v>2006</v>
      </c>
      <c r="G515" s="106">
        <v>12</v>
      </c>
      <c r="H515" s="107"/>
      <c r="I515" s="107"/>
      <c r="J515" s="107"/>
      <c r="K515" s="107"/>
      <c r="L515" s="107"/>
      <c r="M515" s="107"/>
      <c r="N515" s="107"/>
      <c r="O515" s="107"/>
      <c r="P515" s="107"/>
    </row>
    <row r="516" spans="1:16" x14ac:dyDescent="0.3">
      <c r="A516" s="58" t="str">
        <f t="shared" si="32"/>
        <v>A014580</v>
      </c>
      <c r="B516" s="59" t="str">
        <f t="shared" si="29"/>
        <v/>
      </c>
      <c r="C516" s="59" t="str">
        <f t="shared" si="30"/>
        <v/>
      </c>
      <c r="D516" s="109" t="str">
        <f t="shared" si="31"/>
        <v/>
      </c>
      <c r="E516" s="106" t="s">
        <v>545</v>
      </c>
      <c r="F516" s="58" t="s">
        <v>2007</v>
      </c>
      <c r="G516" s="106">
        <v>12</v>
      </c>
      <c r="H516" s="107"/>
      <c r="I516" s="107"/>
      <c r="J516" s="107"/>
      <c r="K516" s="107"/>
      <c r="L516" s="107"/>
      <c r="M516" s="107"/>
      <c r="N516" s="107"/>
      <c r="O516" s="107"/>
      <c r="P516" s="107"/>
    </row>
    <row r="517" spans="1:16" x14ac:dyDescent="0.3">
      <c r="A517" s="58" t="str">
        <f t="shared" si="32"/>
        <v>A014620</v>
      </c>
      <c r="B517" s="59" t="str">
        <f t="shared" si="29"/>
        <v/>
      </c>
      <c r="C517" s="59" t="str">
        <f t="shared" si="30"/>
        <v/>
      </c>
      <c r="D517" s="109" t="str">
        <f t="shared" si="31"/>
        <v/>
      </c>
      <c r="E517" s="106" t="s">
        <v>546</v>
      </c>
      <c r="F517" s="58" t="s">
        <v>2008</v>
      </c>
      <c r="G517" s="106">
        <v>12</v>
      </c>
      <c r="H517" s="107"/>
      <c r="I517" s="107"/>
      <c r="J517" s="107"/>
      <c r="K517" s="107"/>
      <c r="L517" s="107"/>
      <c r="M517" s="107"/>
      <c r="N517" s="107"/>
      <c r="O517" s="107"/>
      <c r="P517" s="107"/>
    </row>
    <row r="518" spans="1:16" x14ac:dyDescent="0.3">
      <c r="A518" s="58" t="str">
        <f t="shared" si="32"/>
        <v>A014680</v>
      </c>
      <c r="B518" s="59" t="str">
        <f t="shared" si="29"/>
        <v/>
      </c>
      <c r="C518" s="59" t="str">
        <f t="shared" si="30"/>
        <v/>
      </c>
      <c r="D518" s="109" t="str">
        <f t="shared" si="31"/>
        <v/>
      </c>
      <c r="E518" s="106" t="s">
        <v>547</v>
      </c>
      <c r="F518" s="58" t="s">
        <v>2009</v>
      </c>
      <c r="G518" s="106">
        <v>12</v>
      </c>
      <c r="H518" s="107"/>
      <c r="I518" s="107"/>
      <c r="J518" s="107"/>
      <c r="K518" s="107"/>
      <c r="L518" s="107"/>
      <c r="M518" s="107"/>
      <c r="N518" s="107"/>
      <c r="O518" s="107"/>
      <c r="P518" s="107"/>
    </row>
    <row r="519" spans="1:16" x14ac:dyDescent="0.3">
      <c r="A519" s="58" t="str">
        <f t="shared" si="32"/>
        <v>A014710</v>
      </c>
      <c r="B519" s="59" t="str">
        <f t="shared" si="29"/>
        <v/>
      </c>
      <c r="C519" s="59" t="str">
        <f t="shared" si="30"/>
        <v/>
      </c>
      <c r="D519" s="109" t="str">
        <f t="shared" si="31"/>
        <v/>
      </c>
      <c r="E519" s="106" t="s">
        <v>3135</v>
      </c>
      <c r="F519" s="58" t="s">
        <v>3338</v>
      </c>
      <c r="G519" s="106">
        <v>12</v>
      </c>
      <c r="H519" s="107"/>
      <c r="I519" s="107"/>
      <c r="J519" s="107"/>
      <c r="K519" s="107"/>
      <c r="L519" s="107"/>
      <c r="M519" s="107"/>
      <c r="N519" s="107"/>
      <c r="O519" s="107"/>
      <c r="P519" s="107"/>
    </row>
    <row r="520" spans="1:16" x14ac:dyDescent="0.3">
      <c r="A520" s="58" t="str">
        <f t="shared" si="32"/>
        <v>A014790</v>
      </c>
      <c r="B520" s="59" t="str">
        <f t="shared" si="29"/>
        <v/>
      </c>
      <c r="C520" s="59" t="str">
        <f t="shared" si="30"/>
        <v/>
      </c>
      <c r="D520" s="109" t="str">
        <f t="shared" si="31"/>
        <v/>
      </c>
      <c r="E520" s="106" t="s">
        <v>548</v>
      </c>
      <c r="F520" s="58" t="s">
        <v>2010</v>
      </c>
      <c r="G520" s="106">
        <v>12</v>
      </c>
      <c r="H520" s="107"/>
      <c r="I520" s="107"/>
      <c r="J520" s="107"/>
      <c r="K520" s="107"/>
      <c r="L520" s="107"/>
      <c r="M520" s="107"/>
      <c r="N520" s="107"/>
      <c r="O520" s="107"/>
      <c r="P520" s="107"/>
    </row>
    <row r="521" spans="1:16" x14ac:dyDescent="0.3">
      <c r="A521" s="58" t="str">
        <f t="shared" si="32"/>
        <v>A014820</v>
      </c>
      <c r="B521" s="59" t="str">
        <f t="shared" si="29"/>
        <v/>
      </c>
      <c r="C521" s="59" t="str">
        <f t="shared" si="30"/>
        <v/>
      </c>
      <c r="D521" s="109" t="str">
        <f t="shared" si="31"/>
        <v/>
      </c>
      <c r="E521" s="106" t="s">
        <v>549</v>
      </c>
      <c r="F521" s="58" t="s">
        <v>2011</v>
      </c>
      <c r="G521" s="106">
        <v>12</v>
      </c>
      <c r="H521" s="107"/>
      <c r="I521" s="107"/>
      <c r="J521" s="107"/>
      <c r="K521" s="107"/>
      <c r="L521" s="107"/>
      <c r="M521" s="107"/>
      <c r="N521" s="107"/>
      <c r="O521" s="107"/>
      <c r="P521" s="107"/>
    </row>
    <row r="522" spans="1:16" x14ac:dyDescent="0.3">
      <c r="A522" s="58" t="str">
        <f t="shared" si="32"/>
        <v>A014830</v>
      </c>
      <c r="B522" s="59">
        <f t="shared" si="29"/>
        <v>41474</v>
      </c>
      <c r="C522" s="59">
        <f t="shared" si="30"/>
        <v>41474</v>
      </c>
      <c r="D522" s="109">
        <f t="shared" si="31"/>
        <v>17.670000000000002</v>
      </c>
      <c r="E522" s="106" t="s">
        <v>550</v>
      </c>
      <c r="F522" s="58" t="s">
        <v>2012</v>
      </c>
      <c r="G522" s="106">
        <v>12</v>
      </c>
      <c r="H522" s="107">
        <v>20130719</v>
      </c>
      <c r="I522" s="107">
        <v>20130719</v>
      </c>
      <c r="J522" s="107">
        <v>17.670000000000002</v>
      </c>
      <c r="K522" s="107"/>
      <c r="L522" s="107"/>
      <c r="M522" s="107"/>
      <c r="N522" s="107"/>
      <c r="O522" s="107"/>
      <c r="P522" s="107"/>
    </row>
    <row r="523" spans="1:16" x14ac:dyDescent="0.3">
      <c r="A523" s="58" t="str">
        <f t="shared" si="32"/>
        <v>A014910</v>
      </c>
      <c r="B523" s="59" t="str">
        <f t="shared" si="29"/>
        <v/>
      </c>
      <c r="C523" s="59" t="str">
        <f t="shared" si="30"/>
        <v/>
      </c>
      <c r="D523" s="109" t="str">
        <f t="shared" si="31"/>
        <v/>
      </c>
      <c r="E523" s="106" t="s">
        <v>551</v>
      </c>
      <c r="F523" s="58" t="s">
        <v>2013</v>
      </c>
      <c r="G523" s="106">
        <v>12</v>
      </c>
      <c r="H523" s="107"/>
      <c r="I523" s="107"/>
      <c r="J523" s="107"/>
      <c r="K523" s="107"/>
      <c r="L523" s="107"/>
      <c r="M523" s="107"/>
      <c r="N523" s="107"/>
      <c r="O523" s="107"/>
      <c r="P523" s="107"/>
    </row>
    <row r="524" spans="1:16" x14ac:dyDescent="0.3">
      <c r="A524" s="58" t="str">
        <f t="shared" si="32"/>
        <v>A014940</v>
      </c>
      <c r="B524" s="59" t="str">
        <f t="shared" si="29"/>
        <v/>
      </c>
      <c r="C524" s="59" t="str">
        <f t="shared" si="30"/>
        <v/>
      </c>
      <c r="D524" s="109" t="str">
        <f t="shared" si="31"/>
        <v/>
      </c>
      <c r="E524" s="106" t="s">
        <v>552</v>
      </c>
      <c r="F524" s="58" t="s">
        <v>2014</v>
      </c>
      <c r="G524" s="106">
        <v>12</v>
      </c>
      <c r="H524" s="107"/>
      <c r="I524" s="107"/>
      <c r="J524" s="107"/>
      <c r="K524" s="107"/>
      <c r="L524" s="107"/>
      <c r="M524" s="107"/>
      <c r="N524" s="107"/>
      <c r="O524" s="107"/>
      <c r="P524" s="107"/>
    </row>
    <row r="525" spans="1:16" x14ac:dyDescent="0.3">
      <c r="A525" s="58" t="str">
        <f t="shared" si="32"/>
        <v>A014970</v>
      </c>
      <c r="B525" s="59" t="str">
        <f t="shared" si="29"/>
        <v/>
      </c>
      <c r="C525" s="59" t="str">
        <f t="shared" si="30"/>
        <v/>
      </c>
      <c r="D525" s="109" t="str">
        <f t="shared" si="31"/>
        <v/>
      </c>
      <c r="E525" s="106" t="s">
        <v>553</v>
      </c>
      <c r="F525" s="58" t="s">
        <v>2015</v>
      </c>
      <c r="G525" s="106">
        <v>12</v>
      </c>
      <c r="H525" s="107"/>
      <c r="I525" s="107"/>
      <c r="J525" s="107"/>
      <c r="K525" s="107"/>
      <c r="L525" s="107"/>
      <c r="M525" s="107"/>
      <c r="N525" s="107"/>
      <c r="O525" s="107"/>
      <c r="P525" s="107"/>
    </row>
    <row r="526" spans="1:16" x14ac:dyDescent="0.3">
      <c r="A526" s="58" t="str">
        <f t="shared" si="32"/>
        <v>A014990</v>
      </c>
      <c r="B526" s="59" t="str">
        <f t="shared" si="29"/>
        <v/>
      </c>
      <c r="C526" s="59" t="str">
        <f t="shared" si="30"/>
        <v/>
      </c>
      <c r="D526" s="109" t="str">
        <f t="shared" si="31"/>
        <v/>
      </c>
      <c r="E526" s="106" t="s">
        <v>554</v>
      </c>
      <c r="F526" s="58" t="s">
        <v>2016</v>
      </c>
      <c r="G526" s="106">
        <v>12</v>
      </c>
      <c r="H526" s="107"/>
      <c r="I526" s="107"/>
      <c r="J526" s="107"/>
      <c r="K526" s="107"/>
      <c r="L526" s="107"/>
      <c r="M526" s="107"/>
      <c r="N526" s="107"/>
      <c r="O526" s="107"/>
      <c r="P526" s="107"/>
    </row>
    <row r="527" spans="1:16" x14ac:dyDescent="0.3">
      <c r="A527" s="58" t="str">
        <f t="shared" si="32"/>
        <v>A015020</v>
      </c>
      <c r="B527" s="59" t="str">
        <f t="shared" ref="B527:B590" si="33">IFERROR(IF(ISNUMBER(H527),DATE(LEFT(H527,4),MID(H527,5,2),RIGHT(H527,2)),NA()),"")</f>
        <v/>
      </c>
      <c r="C527" s="59" t="str">
        <f t="shared" ref="C527:C590" si="34">IFERROR(IF(ISNUMBER(I527),DATE(LEFT(I527,4),MID(I527,5,2),RIGHT(I527,2)),NA()),"")</f>
        <v/>
      </c>
      <c r="D527" s="109" t="str">
        <f t="shared" ref="D527:D590" si="35">IFERROR(IF(ISNUMBER(J527),J527,NA()),"")</f>
        <v/>
      </c>
      <c r="E527" s="106" t="s">
        <v>555</v>
      </c>
      <c r="F527" s="58" t="s">
        <v>2017</v>
      </c>
      <c r="G527" s="106">
        <v>12</v>
      </c>
      <c r="H527" s="107"/>
      <c r="I527" s="107"/>
      <c r="J527" s="107"/>
      <c r="K527" s="107"/>
      <c r="L527" s="107"/>
      <c r="M527" s="107"/>
      <c r="N527" s="107"/>
      <c r="O527" s="107"/>
      <c r="P527" s="107"/>
    </row>
    <row r="528" spans="1:16" x14ac:dyDescent="0.3">
      <c r="A528" s="58" t="str">
        <f t="shared" si="32"/>
        <v>A015230</v>
      </c>
      <c r="B528" s="59" t="str">
        <f t="shared" si="33"/>
        <v/>
      </c>
      <c r="C528" s="59" t="str">
        <f t="shared" si="34"/>
        <v/>
      </c>
      <c r="D528" s="109" t="str">
        <f t="shared" si="35"/>
        <v/>
      </c>
      <c r="E528" s="106" t="s">
        <v>556</v>
      </c>
      <c r="F528" s="58" t="s">
        <v>2018</v>
      </c>
      <c r="G528" s="106">
        <v>12</v>
      </c>
      <c r="H528" s="107"/>
      <c r="I528" s="107"/>
      <c r="J528" s="107"/>
      <c r="K528" s="107"/>
      <c r="L528" s="107"/>
      <c r="M528" s="107"/>
      <c r="N528" s="107"/>
      <c r="O528" s="107"/>
      <c r="P528" s="107"/>
    </row>
    <row r="529" spans="1:16" x14ac:dyDescent="0.3">
      <c r="A529" s="58" t="str">
        <f t="shared" si="32"/>
        <v>A015260</v>
      </c>
      <c r="B529" s="59" t="str">
        <f t="shared" si="33"/>
        <v/>
      </c>
      <c r="C529" s="59" t="str">
        <f t="shared" si="34"/>
        <v/>
      </c>
      <c r="D529" s="109" t="str">
        <f t="shared" si="35"/>
        <v/>
      </c>
      <c r="E529" s="106" t="s">
        <v>557</v>
      </c>
      <c r="F529" s="58" t="s">
        <v>2019</v>
      </c>
      <c r="G529" s="106">
        <v>12</v>
      </c>
      <c r="H529" s="107"/>
      <c r="I529" s="107"/>
      <c r="J529" s="107"/>
      <c r="K529" s="107"/>
      <c r="L529" s="107"/>
      <c r="M529" s="107"/>
      <c r="N529" s="107"/>
      <c r="O529" s="107"/>
      <c r="P529" s="107"/>
    </row>
    <row r="530" spans="1:16" x14ac:dyDescent="0.3">
      <c r="A530" s="58" t="str">
        <f t="shared" si="32"/>
        <v>A015350</v>
      </c>
      <c r="B530" s="59" t="str">
        <f t="shared" si="33"/>
        <v/>
      </c>
      <c r="C530" s="59" t="str">
        <f t="shared" si="34"/>
        <v/>
      </c>
      <c r="D530" s="109" t="str">
        <f t="shared" si="35"/>
        <v/>
      </c>
      <c r="E530" s="106" t="s">
        <v>558</v>
      </c>
      <c r="F530" s="58" t="s">
        <v>2020</v>
      </c>
      <c r="G530" s="106">
        <v>12</v>
      </c>
      <c r="H530" s="107"/>
      <c r="I530" s="107"/>
      <c r="J530" s="107"/>
      <c r="K530" s="107"/>
      <c r="L530" s="107"/>
      <c r="M530" s="107"/>
      <c r="N530" s="107"/>
      <c r="O530" s="107"/>
      <c r="P530" s="107"/>
    </row>
    <row r="531" spans="1:16" x14ac:dyDescent="0.3">
      <c r="A531" s="58" t="str">
        <f t="shared" si="32"/>
        <v>A015360</v>
      </c>
      <c r="B531" s="59" t="str">
        <f t="shared" si="33"/>
        <v/>
      </c>
      <c r="C531" s="59" t="str">
        <f t="shared" si="34"/>
        <v/>
      </c>
      <c r="D531" s="109" t="str">
        <f t="shared" si="35"/>
        <v/>
      </c>
      <c r="E531" s="106" t="s">
        <v>559</v>
      </c>
      <c r="F531" s="58" t="s">
        <v>2021</v>
      </c>
      <c r="G531" s="106">
        <v>12</v>
      </c>
      <c r="H531" s="107"/>
      <c r="I531" s="107"/>
      <c r="J531" s="107"/>
      <c r="K531" s="107"/>
      <c r="L531" s="107"/>
      <c r="M531" s="107"/>
      <c r="N531" s="107"/>
      <c r="O531" s="107"/>
      <c r="P531" s="107"/>
    </row>
    <row r="532" spans="1:16" x14ac:dyDescent="0.3">
      <c r="A532" s="58" t="str">
        <f t="shared" si="32"/>
        <v>A015540</v>
      </c>
      <c r="B532" s="59" t="str">
        <f t="shared" si="33"/>
        <v/>
      </c>
      <c r="C532" s="59" t="str">
        <f t="shared" si="34"/>
        <v/>
      </c>
      <c r="D532" s="109" t="str">
        <f t="shared" si="35"/>
        <v/>
      </c>
      <c r="E532" s="106" t="s">
        <v>560</v>
      </c>
      <c r="F532" s="58" t="s">
        <v>3635</v>
      </c>
      <c r="G532" s="106">
        <v>12</v>
      </c>
      <c r="H532" s="107"/>
      <c r="I532" s="107"/>
      <c r="J532" s="107"/>
      <c r="K532" s="107"/>
      <c r="L532" s="107"/>
      <c r="M532" s="107"/>
      <c r="N532" s="107"/>
      <c r="O532" s="107"/>
      <c r="P532" s="107"/>
    </row>
    <row r="533" spans="1:16" x14ac:dyDescent="0.3">
      <c r="A533" s="58" t="str">
        <f t="shared" si="32"/>
        <v>A015590</v>
      </c>
      <c r="B533" s="59" t="str">
        <f t="shared" si="33"/>
        <v/>
      </c>
      <c r="C533" s="59" t="str">
        <f t="shared" si="34"/>
        <v/>
      </c>
      <c r="D533" s="109" t="str">
        <f t="shared" si="35"/>
        <v/>
      </c>
      <c r="E533" s="106" t="s">
        <v>561</v>
      </c>
      <c r="F533" s="58" t="s">
        <v>2022</v>
      </c>
      <c r="G533" s="106">
        <v>12</v>
      </c>
      <c r="H533" s="107"/>
      <c r="I533" s="107"/>
      <c r="J533" s="107"/>
      <c r="K533" s="107"/>
      <c r="L533" s="107"/>
      <c r="M533" s="107"/>
      <c r="N533" s="107"/>
      <c r="O533" s="107"/>
      <c r="P533" s="107"/>
    </row>
    <row r="534" spans="1:16" x14ac:dyDescent="0.3">
      <c r="A534" s="58" t="str">
        <f t="shared" ref="A534:A597" si="36">E534</f>
        <v>A015710</v>
      </c>
      <c r="B534" s="59" t="str">
        <f t="shared" si="33"/>
        <v/>
      </c>
      <c r="C534" s="59" t="str">
        <f t="shared" si="34"/>
        <v/>
      </c>
      <c r="D534" s="109" t="str">
        <f t="shared" si="35"/>
        <v/>
      </c>
      <c r="E534" s="106" t="s">
        <v>562</v>
      </c>
      <c r="F534" s="58" t="s">
        <v>2023</v>
      </c>
      <c r="G534" s="106">
        <v>12</v>
      </c>
      <c r="H534" s="107"/>
      <c r="I534" s="107"/>
      <c r="J534" s="107"/>
      <c r="K534" s="107"/>
      <c r="L534" s="107"/>
      <c r="M534" s="107"/>
      <c r="N534" s="107"/>
      <c r="O534" s="107"/>
      <c r="P534" s="107"/>
    </row>
    <row r="535" spans="1:16" x14ac:dyDescent="0.3">
      <c r="A535" s="58" t="str">
        <f t="shared" si="36"/>
        <v>A015750</v>
      </c>
      <c r="B535" s="59" t="str">
        <f t="shared" si="33"/>
        <v/>
      </c>
      <c r="C535" s="59" t="str">
        <f t="shared" si="34"/>
        <v/>
      </c>
      <c r="D535" s="109" t="str">
        <f t="shared" si="35"/>
        <v/>
      </c>
      <c r="E535" s="106" t="s">
        <v>563</v>
      </c>
      <c r="F535" s="58" t="s">
        <v>2024</v>
      </c>
      <c r="G535" s="106">
        <v>12</v>
      </c>
      <c r="H535" s="107"/>
      <c r="I535" s="107"/>
      <c r="J535" s="107"/>
      <c r="K535" s="107"/>
      <c r="L535" s="107"/>
      <c r="M535" s="107"/>
      <c r="N535" s="107"/>
      <c r="O535" s="107"/>
      <c r="P535" s="107"/>
    </row>
    <row r="536" spans="1:16" x14ac:dyDescent="0.3">
      <c r="A536" s="58" t="str">
        <f t="shared" si="36"/>
        <v>A015760</v>
      </c>
      <c r="B536" s="59" t="str">
        <f t="shared" si="33"/>
        <v/>
      </c>
      <c r="C536" s="59" t="str">
        <f t="shared" si="34"/>
        <v/>
      </c>
      <c r="D536" s="109" t="str">
        <f t="shared" si="35"/>
        <v/>
      </c>
      <c r="E536" s="106" t="s">
        <v>564</v>
      </c>
      <c r="F536" s="58" t="s">
        <v>2025</v>
      </c>
      <c r="G536" s="106">
        <v>12</v>
      </c>
      <c r="H536" s="107"/>
      <c r="I536" s="107"/>
      <c r="J536" s="107"/>
      <c r="K536" s="107"/>
      <c r="L536" s="107"/>
      <c r="M536" s="107"/>
      <c r="N536" s="107"/>
      <c r="O536" s="107"/>
      <c r="P536" s="107"/>
    </row>
    <row r="537" spans="1:16" x14ac:dyDescent="0.3">
      <c r="A537" s="58" t="str">
        <f t="shared" si="36"/>
        <v>A015860</v>
      </c>
      <c r="B537" s="59" t="str">
        <f t="shared" si="33"/>
        <v/>
      </c>
      <c r="C537" s="59" t="str">
        <f t="shared" si="34"/>
        <v/>
      </c>
      <c r="D537" s="109" t="str">
        <f t="shared" si="35"/>
        <v/>
      </c>
      <c r="E537" s="106" t="s">
        <v>565</v>
      </c>
      <c r="F537" s="58" t="s">
        <v>2026</v>
      </c>
      <c r="G537" s="106">
        <v>12</v>
      </c>
      <c r="H537" s="107"/>
      <c r="I537" s="107"/>
      <c r="J537" s="107"/>
      <c r="K537" s="107"/>
      <c r="L537" s="107"/>
      <c r="M537" s="107"/>
      <c r="N537" s="107"/>
      <c r="O537" s="107"/>
      <c r="P537" s="107"/>
    </row>
    <row r="538" spans="1:16" x14ac:dyDescent="0.3">
      <c r="A538" s="58" t="str">
        <f t="shared" si="36"/>
        <v>A015890</v>
      </c>
      <c r="B538" s="59" t="str">
        <f t="shared" si="33"/>
        <v/>
      </c>
      <c r="C538" s="59" t="str">
        <f t="shared" si="34"/>
        <v/>
      </c>
      <c r="D538" s="109" t="str">
        <f t="shared" si="35"/>
        <v/>
      </c>
      <c r="E538" s="106" t="s">
        <v>566</v>
      </c>
      <c r="F538" s="58" t="s">
        <v>2027</v>
      </c>
      <c r="G538" s="106">
        <v>12</v>
      </c>
      <c r="H538" s="107"/>
      <c r="I538" s="107"/>
      <c r="J538" s="107"/>
      <c r="K538" s="107"/>
      <c r="L538" s="107"/>
      <c r="M538" s="107"/>
      <c r="N538" s="107"/>
      <c r="O538" s="107"/>
      <c r="P538" s="107"/>
    </row>
    <row r="539" spans="1:16" x14ac:dyDescent="0.3">
      <c r="A539" s="58" t="str">
        <f t="shared" si="36"/>
        <v>A016090</v>
      </c>
      <c r="B539" s="59" t="str">
        <f t="shared" si="33"/>
        <v/>
      </c>
      <c r="C539" s="59" t="str">
        <f t="shared" si="34"/>
        <v/>
      </c>
      <c r="D539" s="109" t="str">
        <f t="shared" si="35"/>
        <v/>
      </c>
      <c r="E539" s="106" t="s">
        <v>567</v>
      </c>
      <c r="F539" s="58" t="s">
        <v>2028</v>
      </c>
      <c r="G539" s="106">
        <v>12</v>
      </c>
      <c r="H539" s="107"/>
      <c r="I539" s="107"/>
      <c r="J539" s="107"/>
      <c r="K539" s="107"/>
      <c r="L539" s="107"/>
      <c r="M539" s="107"/>
      <c r="N539" s="107"/>
      <c r="O539" s="107"/>
      <c r="P539" s="107"/>
    </row>
    <row r="540" spans="1:16" x14ac:dyDescent="0.3">
      <c r="A540" s="58" t="str">
        <f t="shared" si="36"/>
        <v>A016100</v>
      </c>
      <c r="B540" s="59" t="str">
        <f t="shared" si="33"/>
        <v/>
      </c>
      <c r="C540" s="59" t="str">
        <f t="shared" si="34"/>
        <v/>
      </c>
      <c r="D540" s="109" t="str">
        <f t="shared" si="35"/>
        <v/>
      </c>
      <c r="E540" s="106" t="s">
        <v>568</v>
      </c>
      <c r="F540" s="58" t="s">
        <v>2029</v>
      </c>
      <c r="G540" s="106">
        <v>12</v>
      </c>
      <c r="H540" s="107"/>
      <c r="I540" s="107"/>
      <c r="J540" s="107"/>
      <c r="K540" s="107"/>
      <c r="L540" s="107"/>
      <c r="M540" s="107"/>
      <c r="N540" s="107"/>
      <c r="O540" s="107"/>
      <c r="P540" s="107"/>
    </row>
    <row r="541" spans="1:16" x14ac:dyDescent="0.3">
      <c r="A541" s="58" t="str">
        <f t="shared" si="36"/>
        <v>A016170</v>
      </c>
      <c r="B541" s="59" t="str">
        <f t="shared" si="33"/>
        <v/>
      </c>
      <c r="C541" s="59" t="str">
        <f t="shared" si="34"/>
        <v/>
      </c>
      <c r="D541" s="109" t="str">
        <f t="shared" si="35"/>
        <v/>
      </c>
      <c r="E541" s="106" t="s">
        <v>569</v>
      </c>
      <c r="F541" s="58" t="s">
        <v>2030</v>
      </c>
      <c r="G541" s="106">
        <v>12</v>
      </c>
      <c r="H541" s="107"/>
      <c r="I541" s="107"/>
      <c r="J541" s="107"/>
      <c r="K541" s="107"/>
      <c r="L541" s="107"/>
      <c r="M541" s="107"/>
      <c r="N541" s="107"/>
      <c r="O541" s="107"/>
      <c r="P541" s="107"/>
    </row>
    <row r="542" spans="1:16" x14ac:dyDescent="0.3">
      <c r="A542" s="58" t="str">
        <f t="shared" si="36"/>
        <v>A016250</v>
      </c>
      <c r="B542" s="59" t="str">
        <f t="shared" si="33"/>
        <v/>
      </c>
      <c r="C542" s="59" t="str">
        <f t="shared" si="34"/>
        <v/>
      </c>
      <c r="D542" s="109" t="str">
        <f t="shared" si="35"/>
        <v/>
      </c>
      <c r="E542" s="106" t="s">
        <v>570</v>
      </c>
      <c r="F542" s="58" t="s">
        <v>2031</v>
      </c>
      <c r="G542" s="106">
        <v>12</v>
      </c>
      <c r="H542" s="107"/>
      <c r="I542" s="107"/>
      <c r="J542" s="107"/>
      <c r="K542" s="107"/>
      <c r="L542" s="107"/>
      <c r="M542" s="107"/>
      <c r="N542" s="107"/>
      <c r="O542" s="107"/>
      <c r="P542" s="107"/>
    </row>
    <row r="543" spans="1:16" x14ac:dyDescent="0.3">
      <c r="A543" s="58" t="str">
        <f t="shared" si="36"/>
        <v>A016360</v>
      </c>
      <c r="B543" s="59" t="str">
        <f t="shared" si="33"/>
        <v/>
      </c>
      <c r="C543" s="59" t="str">
        <f t="shared" si="34"/>
        <v/>
      </c>
      <c r="D543" s="109" t="str">
        <f t="shared" si="35"/>
        <v/>
      </c>
      <c r="E543" s="106" t="s">
        <v>571</v>
      </c>
      <c r="F543" s="58" t="s">
        <v>9</v>
      </c>
      <c r="G543" s="106">
        <v>3</v>
      </c>
      <c r="H543" s="107"/>
      <c r="I543" s="107"/>
      <c r="J543" s="107"/>
      <c r="K543" s="107"/>
      <c r="L543" s="107"/>
      <c r="M543" s="107"/>
      <c r="N543" s="107"/>
      <c r="O543" s="107"/>
      <c r="P543" s="107"/>
    </row>
    <row r="544" spans="1:16" x14ac:dyDescent="0.3">
      <c r="A544" s="58" t="str">
        <f t="shared" si="36"/>
        <v>A016380</v>
      </c>
      <c r="B544" s="59" t="str">
        <f t="shared" si="33"/>
        <v/>
      </c>
      <c r="C544" s="59" t="str">
        <f t="shared" si="34"/>
        <v/>
      </c>
      <c r="D544" s="109" t="str">
        <f t="shared" si="35"/>
        <v/>
      </c>
      <c r="E544" s="106" t="s">
        <v>572</v>
      </c>
      <c r="F544" s="58" t="s">
        <v>2032</v>
      </c>
      <c r="G544" s="106">
        <v>12</v>
      </c>
      <c r="H544" s="107"/>
      <c r="I544" s="107"/>
      <c r="J544" s="107"/>
      <c r="K544" s="107"/>
      <c r="L544" s="107"/>
      <c r="M544" s="107"/>
      <c r="N544" s="107"/>
      <c r="O544" s="107"/>
      <c r="P544" s="107"/>
    </row>
    <row r="545" spans="1:16" x14ac:dyDescent="0.3">
      <c r="A545" s="58" t="str">
        <f t="shared" si="36"/>
        <v>A016420</v>
      </c>
      <c r="B545" s="59" t="str">
        <f t="shared" si="33"/>
        <v/>
      </c>
      <c r="C545" s="59" t="str">
        <f t="shared" si="34"/>
        <v/>
      </c>
      <c r="D545" s="109" t="str">
        <f t="shared" si="35"/>
        <v/>
      </c>
      <c r="E545" s="106" t="s">
        <v>573</v>
      </c>
      <c r="F545" s="58" t="s">
        <v>2033</v>
      </c>
      <c r="G545" s="106">
        <v>3</v>
      </c>
      <c r="H545" s="107"/>
      <c r="I545" s="107"/>
      <c r="J545" s="107"/>
      <c r="K545" s="107"/>
      <c r="L545" s="107"/>
      <c r="M545" s="107"/>
      <c r="N545" s="107"/>
      <c r="O545" s="107"/>
      <c r="P545" s="107"/>
    </row>
    <row r="546" spans="1:16" x14ac:dyDescent="0.3">
      <c r="A546" s="58" t="str">
        <f t="shared" si="36"/>
        <v>A016450</v>
      </c>
      <c r="B546" s="59" t="str">
        <f t="shared" si="33"/>
        <v/>
      </c>
      <c r="C546" s="59" t="str">
        <f t="shared" si="34"/>
        <v/>
      </c>
      <c r="D546" s="109" t="str">
        <f t="shared" si="35"/>
        <v/>
      </c>
      <c r="E546" s="106" t="s">
        <v>574</v>
      </c>
      <c r="F546" s="58" t="s">
        <v>2034</v>
      </c>
      <c r="G546" s="106">
        <v>12</v>
      </c>
      <c r="H546" s="107"/>
      <c r="I546" s="107"/>
      <c r="J546" s="107"/>
      <c r="K546" s="107"/>
      <c r="L546" s="107"/>
      <c r="M546" s="107"/>
      <c r="N546" s="107"/>
      <c r="O546" s="107"/>
      <c r="P546" s="107"/>
    </row>
    <row r="547" spans="1:16" x14ac:dyDescent="0.3">
      <c r="A547" s="58" t="str">
        <f t="shared" si="36"/>
        <v>A016580</v>
      </c>
      <c r="B547" s="59">
        <f t="shared" si="33"/>
        <v>41484</v>
      </c>
      <c r="C547" s="59">
        <f t="shared" si="34"/>
        <v>41484</v>
      </c>
      <c r="D547" s="109">
        <f t="shared" si="35"/>
        <v>5.3</v>
      </c>
      <c r="E547" s="106" t="s">
        <v>575</v>
      </c>
      <c r="F547" s="58" t="s">
        <v>2035</v>
      </c>
      <c r="G547" s="106">
        <v>12</v>
      </c>
      <c r="H547" s="107">
        <v>20130729</v>
      </c>
      <c r="I547" s="107">
        <v>20130729</v>
      </c>
      <c r="J547" s="107">
        <v>5.3</v>
      </c>
      <c r="K547" s="107"/>
      <c r="L547" s="107"/>
      <c r="M547" s="107"/>
      <c r="N547" s="107"/>
      <c r="O547" s="107"/>
      <c r="P547" s="107"/>
    </row>
    <row r="548" spans="1:16" x14ac:dyDescent="0.3">
      <c r="A548" s="58" t="str">
        <f t="shared" si="36"/>
        <v>A016590</v>
      </c>
      <c r="B548" s="59" t="str">
        <f t="shared" si="33"/>
        <v/>
      </c>
      <c r="C548" s="59" t="str">
        <f t="shared" si="34"/>
        <v/>
      </c>
      <c r="D548" s="109" t="str">
        <f t="shared" si="35"/>
        <v/>
      </c>
      <c r="E548" s="106" t="s">
        <v>576</v>
      </c>
      <c r="F548" s="58" t="s">
        <v>2036</v>
      </c>
      <c r="G548" s="106">
        <v>12</v>
      </c>
      <c r="H548" s="107"/>
      <c r="I548" s="107"/>
      <c r="J548" s="107"/>
      <c r="K548" s="107"/>
      <c r="L548" s="107"/>
      <c r="M548" s="107"/>
      <c r="N548" s="107"/>
      <c r="O548" s="107"/>
      <c r="P548" s="107"/>
    </row>
    <row r="549" spans="1:16" x14ac:dyDescent="0.3">
      <c r="A549" s="58" t="str">
        <f t="shared" si="36"/>
        <v>A016600</v>
      </c>
      <c r="B549" s="59" t="str">
        <f t="shared" si="33"/>
        <v/>
      </c>
      <c r="C549" s="59" t="str">
        <f t="shared" si="34"/>
        <v/>
      </c>
      <c r="D549" s="109" t="str">
        <f t="shared" si="35"/>
        <v/>
      </c>
      <c r="E549" s="106" t="s">
        <v>577</v>
      </c>
      <c r="F549" s="58" t="s">
        <v>2037</v>
      </c>
      <c r="G549" s="106">
        <v>12</v>
      </c>
      <c r="H549" s="107"/>
      <c r="I549" s="107"/>
      <c r="J549" s="107"/>
      <c r="K549" s="107"/>
      <c r="L549" s="107"/>
      <c r="M549" s="107"/>
      <c r="N549" s="107"/>
      <c r="O549" s="107"/>
      <c r="P549" s="107"/>
    </row>
    <row r="550" spans="1:16" x14ac:dyDescent="0.3">
      <c r="A550" s="58" t="str">
        <f t="shared" si="36"/>
        <v>A016610</v>
      </c>
      <c r="B550" s="59" t="str">
        <f t="shared" si="33"/>
        <v/>
      </c>
      <c r="C550" s="59" t="str">
        <f t="shared" si="34"/>
        <v/>
      </c>
      <c r="D550" s="109" t="str">
        <f t="shared" si="35"/>
        <v/>
      </c>
      <c r="E550" s="106" t="s">
        <v>578</v>
      </c>
      <c r="F550" s="58" t="s">
        <v>10</v>
      </c>
      <c r="G550" s="106">
        <v>3</v>
      </c>
      <c r="H550" s="107"/>
      <c r="I550" s="107"/>
      <c r="J550" s="107"/>
      <c r="K550" s="107"/>
      <c r="L550" s="107"/>
      <c r="M550" s="107"/>
      <c r="N550" s="107"/>
      <c r="O550" s="107"/>
      <c r="P550" s="107"/>
    </row>
    <row r="551" spans="1:16" x14ac:dyDescent="0.3">
      <c r="A551" s="58" t="str">
        <f t="shared" si="36"/>
        <v>A016670</v>
      </c>
      <c r="B551" s="59" t="str">
        <f t="shared" si="33"/>
        <v/>
      </c>
      <c r="C551" s="59" t="str">
        <f t="shared" si="34"/>
        <v/>
      </c>
      <c r="D551" s="109" t="str">
        <f t="shared" si="35"/>
        <v/>
      </c>
      <c r="E551" s="106" t="s">
        <v>579</v>
      </c>
      <c r="F551" s="58" t="s">
        <v>2038</v>
      </c>
      <c r="G551" s="106">
        <v>12</v>
      </c>
      <c r="H551" s="107"/>
      <c r="I551" s="107"/>
      <c r="J551" s="107"/>
      <c r="K551" s="107"/>
      <c r="L551" s="107"/>
      <c r="M551" s="107"/>
      <c r="N551" s="107"/>
      <c r="O551" s="107"/>
      <c r="P551" s="107"/>
    </row>
    <row r="552" spans="1:16" x14ac:dyDescent="0.3">
      <c r="A552" s="58" t="str">
        <f t="shared" si="36"/>
        <v>A016710</v>
      </c>
      <c r="B552" s="59" t="str">
        <f t="shared" si="33"/>
        <v/>
      </c>
      <c r="C552" s="59" t="str">
        <f t="shared" si="34"/>
        <v/>
      </c>
      <c r="D552" s="109" t="str">
        <f t="shared" si="35"/>
        <v/>
      </c>
      <c r="E552" s="106" t="s">
        <v>580</v>
      </c>
      <c r="F552" s="58" t="s">
        <v>2039</v>
      </c>
      <c r="G552" s="106">
        <v>12</v>
      </c>
      <c r="H552" s="107"/>
      <c r="I552" s="107"/>
      <c r="J552" s="107"/>
      <c r="K552" s="107"/>
      <c r="L552" s="107"/>
      <c r="M552" s="107"/>
      <c r="N552" s="107"/>
      <c r="O552" s="107"/>
      <c r="P552" s="107"/>
    </row>
    <row r="553" spans="1:16" x14ac:dyDescent="0.3">
      <c r="A553" s="58" t="str">
        <f t="shared" si="36"/>
        <v>A016800</v>
      </c>
      <c r="B553" s="59" t="str">
        <f t="shared" si="33"/>
        <v/>
      </c>
      <c r="C553" s="59" t="str">
        <f t="shared" si="34"/>
        <v/>
      </c>
      <c r="D553" s="109" t="str">
        <f t="shared" si="35"/>
        <v/>
      </c>
      <c r="E553" s="106" t="s">
        <v>581</v>
      </c>
      <c r="F553" s="58" t="s">
        <v>2040</v>
      </c>
      <c r="G553" s="106">
        <v>12</v>
      </c>
      <c r="H553" s="107"/>
      <c r="I553" s="107"/>
      <c r="J553" s="107"/>
      <c r="K553" s="107"/>
      <c r="L553" s="107"/>
      <c r="M553" s="107"/>
      <c r="N553" s="107"/>
      <c r="O553" s="107"/>
      <c r="P553" s="107"/>
    </row>
    <row r="554" spans="1:16" x14ac:dyDescent="0.3">
      <c r="A554" s="58" t="str">
        <f t="shared" si="36"/>
        <v>A016880</v>
      </c>
      <c r="B554" s="59" t="str">
        <f t="shared" si="33"/>
        <v/>
      </c>
      <c r="C554" s="59" t="str">
        <f t="shared" si="34"/>
        <v/>
      </c>
      <c r="D554" s="109" t="str">
        <f t="shared" si="35"/>
        <v/>
      </c>
      <c r="E554" s="106" t="s">
        <v>582</v>
      </c>
      <c r="F554" s="58" t="s">
        <v>2041</v>
      </c>
      <c r="G554" s="106">
        <v>12</v>
      </c>
      <c r="H554" s="107"/>
      <c r="I554" s="107"/>
      <c r="J554" s="107"/>
      <c r="K554" s="107"/>
      <c r="L554" s="107"/>
      <c r="M554" s="107"/>
      <c r="N554" s="107"/>
      <c r="O554" s="107"/>
      <c r="P554" s="107"/>
    </row>
    <row r="555" spans="1:16" x14ac:dyDescent="0.3">
      <c r="A555" s="58" t="str">
        <f t="shared" si="36"/>
        <v>A016920</v>
      </c>
      <c r="B555" s="59" t="str">
        <f t="shared" si="33"/>
        <v/>
      </c>
      <c r="C555" s="59" t="str">
        <f t="shared" si="34"/>
        <v/>
      </c>
      <c r="D555" s="109" t="str">
        <f t="shared" si="35"/>
        <v/>
      </c>
      <c r="E555" s="106" t="s">
        <v>583</v>
      </c>
      <c r="F555" s="58" t="s">
        <v>2042</v>
      </c>
      <c r="G555" s="106">
        <v>12</v>
      </c>
      <c r="H555" s="107"/>
      <c r="I555" s="107"/>
      <c r="J555" s="107"/>
      <c r="K555" s="107"/>
      <c r="L555" s="107"/>
      <c r="M555" s="107"/>
      <c r="N555" s="107"/>
      <c r="O555" s="107"/>
      <c r="P555" s="107"/>
    </row>
    <row r="556" spans="1:16" x14ac:dyDescent="0.3">
      <c r="A556" s="58" t="str">
        <f t="shared" si="36"/>
        <v>A017000</v>
      </c>
      <c r="B556" s="59" t="str">
        <f t="shared" si="33"/>
        <v/>
      </c>
      <c r="C556" s="59" t="str">
        <f t="shared" si="34"/>
        <v/>
      </c>
      <c r="D556" s="109" t="str">
        <f t="shared" si="35"/>
        <v/>
      </c>
      <c r="E556" s="106" t="s">
        <v>584</v>
      </c>
      <c r="F556" s="58" t="s">
        <v>2043</v>
      </c>
      <c r="G556" s="106">
        <v>12</v>
      </c>
      <c r="H556" s="107"/>
      <c r="I556" s="107"/>
      <c r="J556" s="107"/>
      <c r="K556" s="107"/>
      <c r="L556" s="107"/>
      <c r="M556" s="107"/>
      <c r="N556" s="107"/>
      <c r="O556" s="107"/>
      <c r="P556" s="107"/>
    </row>
    <row r="557" spans="1:16" x14ac:dyDescent="0.3">
      <c r="A557" s="58" t="str">
        <f t="shared" si="36"/>
        <v>A017040</v>
      </c>
      <c r="B557" s="59" t="str">
        <f t="shared" si="33"/>
        <v/>
      </c>
      <c r="C557" s="59" t="str">
        <f t="shared" si="34"/>
        <v/>
      </c>
      <c r="D557" s="109" t="str">
        <f t="shared" si="35"/>
        <v/>
      </c>
      <c r="E557" s="106" t="s">
        <v>585</v>
      </c>
      <c r="F557" s="58" t="s">
        <v>2044</v>
      </c>
      <c r="G557" s="106">
        <v>12</v>
      </c>
      <c r="H557" s="107"/>
      <c r="I557" s="107"/>
      <c r="J557" s="107"/>
      <c r="K557" s="107"/>
      <c r="L557" s="107"/>
      <c r="M557" s="107"/>
      <c r="N557" s="107"/>
      <c r="O557" s="107"/>
      <c r="P557" s="107"/>
    </row>
    <row r="558" spans="1:16" x14ac:dyDescent="0.3">
      <c r="A558" s="58" t="str">
        <f t="shared" si="36"/>
        <v>A017180</v>
      </c>
      <c r="B558" s="59" t="str">
        <f t="shared" si="33"/>
        <v/>
      </c>
      <c r="C558" s="59" t="str">
        <f t="shared" si="34"/>
        <v/>
      </c>
      <c r="D558" s="109" t="str">
        <f t="shared" si="35"/>
        <v/>
      </c>
      <c r="E558" s="106" t="s">
        <v>586</v>
      </c>
      <c r="F558" s="58" t="s">
        <v>2045</v>
      </c>
      <c r="G558" s="106">
        <v>12</v>
      </c>
      <c r="H558" s="107"/>
      <c r="I558" s="107"/>
      <c r="J558" s="107"/>
      <c r="K558" s="107"/>
      <c r="L558" s="107"/>
      <c r="M558" s="107"/>
      <c r="N558" s="107"/>
      <c r="O558" s="107"/>
      <c r="P558" s="107"/>
    </row>
    <row r="559" spans="1:16" x14ac:dyDescent="0.3">
      <c r="A559" s="58" t="str">
        <f t="shared" si="36"/>
        <v>A017250</v>
      </c>
      <c r="B559" s="59" t="str">
        <f t="shared" si="33"/>
        <v/>
      </c>
      <c r="C559" s="59" t="str">
        <f t="shared" si="34"/>
        <v/>
      </c>
      <c r="D559" s="109" t="str">
        <f t="shared" si="35"/>
        <v/>
      </c>
      <c r="E559" s="106" t="s">
        <v>587</v>
      </c>
      <c r="F559" s="58" t="s">
        <v>2046</v>
      </c>
      <c r="G559" s="106">
        <v>9</v>
      </c>
      <c r="H559" s="107"/>
      <c r="I559" s="107"/>
      <c r="J559" s="107"/>
      <c r="K559" s="107"/>
      <c r="L559" s="107"/>
      <c r="M559" s="107"/>
      <c r="N559" s="107"/>
      <c r="O559" s="107"/>
      <c r="P559" s="107"/>
    </row>
    <row r="560" spans="1:16" x14ac:dyDescent="0.3">
      <c r="A560" s="58" t="str">
        <f t="shared" si="36"/>
        <v>A017370</v>
      </c>
      <c r="B560" s="59" t="str">
        <f t="shared" si="33"/>
        <v/>
      </c>
      <c r="C560" s="59" t="str">
        <f t="shared" si="34"/>
        <v/>
      </c>
      <c r="D560" s="109" t="str">
        <f t="shared" si="35"/>
        <v/>
      </c>
      <c r="E560" s="106" t="s">
        <v>588</v>
      </c>
      <c r="F560" s="58" t="s">
        <v>2047</v>
      </c>
      <c r="G560" s="106">
        <v>12</v>
      </c>
      <c r="H560" s="107"/>
      <c r="I560" s="107"/>
      <c r="J560" s="107"/>
      <c r="K560" s="107"/>
      <c r="L560" s="107"/>
      <c r="M560" s="107"/>
      <c r="N560" s="107"/>
      <c r="O560" s="107"/>
      <c r="P560" s="107"/>
    </row>
    <row r="561" spans="1:16" x14ac:dyDescent="0.3">
      <c r="A561" s="58" t="str">
        <f t="shared" si="36"/>
        <v>A017390</v>
      </c>
      <c r="B561" s="59" t="str">
        <f t="shared" si="33"/>
        <v/>
      </c>
      <c r="C561" s="59" t="str">
        <f t="shared" si="34"/>
        <v/>
      </c>
      <c r="D561" s="109" t="str">
        <f t="shared" si="35"/>
        <v/>
      </c>
      <c r="E561" s="106" t="s">
        <v>589</v>
      </c>
      <c r="F561" s="58" t="s">
        <v>2048</v>
      </c>
      <c r="G561" s="106">
        <v>12</v>
      </c>
      <c r="H561" s="107"/>
      <c r="I561" s="107"/>
      <c r="J561" s="107"/>
      <c r="K561" s="107"/>
      <c r="L561" s="107"/>
      <c r="M561" s="107"/>
      <c r="N561" s="107"/>
      <c r="O561" s="107"/>
      <c r="P561" s="107"/>
    </row>
    <row r="562" spans="1:16" x14ac:dyDescent="0.3">
      <c r="A562" s="58" t="str">
        <f t="shared" si="36"/>
        <v>A017480</v>
      </c>
      <c r="B562" s="59" t="str">
        <f t="shared" si="33"/>
        <v/>
      </c>
      <c r="C562" s="59" t="str">
        <f t="shared" si="34"/>
        <v/>
      </c>
      <c r="D562" s="109" t="str">
        <f t="shared" si="35"/>
        <v/>
      </c>
      <c r="E562" s="106" t="s">
        <v>590</v>
      </c>
      <c r="F562" s="58" t="s">
        <v>2049</v>
      </c>
      <c r="G562" s="106">
        <v>12</v>
      </c>
      <c r="H562" s="107"/>
      <c r="I562" s="107"/>
      <c r="J562" s="107"/>
      <c r="K562" s="107"/>
      <c r="L562" s="107"/>
      <c r="M562" s="107"/>
      <c r="N562" s="107"/>
      <c r="O562" s="107"/>
      <c r="P562" s="107"/>
    </row>
    <row r="563" spans="1:16" x14ac:dyDescent="0.3">
      <c r="A563" s="58" t="str">
        <f t="shared" si="36"/>
        <v>A017510</v>
      </c>
      <c r="B563" s="59" t="str">
        <f t="shared" si="33"/>
        <v/>
      </c>
      <c r="C563" s="59" t="str">
        <f t="shared" si="34"/>
        <v/>
      </c>
      <c r="D563" s="109" t="str">
        <f t="shared" si="35"/>
        <v/>
      </c>
      <c r="E563" s="106" t="s">
        <v>591</v>
      </c>
      <c r="F563" s="58" t="s">
        <v>2050</v>
      </c>
      <c r="G563" s="106">
        <v>12</v>
      </c>
      <c r="H563" s="107"/>
      <c r="I563" s="107"/>
      <c r="J563" s="107"/>
      <c r="K563" s="107"/>
      <c r="L563" s="107"/>
      <c r="M563" s="107"/>
      <c r="N563" s="107"/>
      <c r="O563" s="107"/>
      <c r="P563" s="107"/>
    </row>
    <row r="564" spans="1:16" x14ac:dyDescent="0.3">
      <c r="A564" s="58" t="str">
        <f t="shared" si="36"/>
        <v>A017550</v>
      </c>
      <c r="B564" s="59" t="str">
        <f t="shared" si="33"/>
        <v/>
      </c>
      <c r="C564" s="59" t="str">
        <f t="shared" si="34"/>
        <v/>
      </c>
      <c r="D564" s="109" t="str">
        <f t="shared" si="35"/>
        <v/>
      </c>
      <c r="E564" s="106" t="s">
        <v>592</v>
      </c>
      <c r="F564" s="58" t="s">
        <v>2051</v>
      </c>
      <c r="G564" s="106">
        <v>12</v>
      </c>
      <c r="H564" s="107"/>
      <c r="I564" s="107"/>
      <c r="J564" s="107"/>
      <c r="K564" s="107"/>
      <c r="L564" s="107"/>
      <c r="M564" s="107"/>
      <c r="N564" s="107"/>
      <c r="O564" s="107"/>
      <c r="P564" s="107"/>
    </row>
    <row r="565" spans="1:16" x14ac:dyDescent="0.3">
      <c r="A565" s="58" t="str">
        <f t="shared" si="36"/>
        <v>A017650</v>
      </c>
      <c r="B565" s="59" t="str">
        <f t="shared" si="33"/>
        <v/>
      </c>
      <c r="C565" s="59" t="str">
        <f t="shared" si="34"/>
        <v/>
      </c>
      <c r="D565" s="109" t="str">
        <f t="shared" si="35"/>
        <v/>
      </c>
      <c r="E565" s="106" t="s">
        <v>593</v>
      </c>
      <c r="F565" s="58" t="s">
        <v>2052</v>
      </c>
      <c r="G565" s="106">
        <v>12</v>
      </c>
      <c r="H565" s="107"/>
      <c r="I565" s="107"/>
      <c r="J565" s="107"/>
      <c r="K565" s="107"/>
      <c r="L565" s="107"/>
      <c r="M565" s="107"/>
      <c r="N565" s="107"/>
      <c r="O565" s="107"/>
      <c r="P565" s="107"/>
    </row>
    <row r="566" spans="1:16" x14ac:dyDescent="0.3">
      <c r="A566" s="58" t="str">
        <f t="shared" si="36"/>
        <v>A017670</v>
      </c>
      <c r="B566" s="59">
        <f t="shared" si="33"/>
        <v>41485</v>
      </c>
      <c r="C566" s="59">
        <f t="shared" si="34"/>
        <v>41485</v>
      </c>
      <c r="D566" s="109">
        <f t="shared" si="35"/>
        <v>553.45000000000005</v>
      </c>
      <c r="E566" s="106" t="s">
        <v>594</v>
      </c>
      <c r="F566" s="58" t="s">
        <v>2053</v>
      </c>
      <c r="G566" s="106">
        <v>12</v>
      </c>
      <c r="H566" s="107">
        <v>20130730</v>
      </c>
      <c r="I566" s="107">
        <v>20130730</v>
      </c>
      <c r="J566" s="107">
        <v>553.45000000000005</v>
      </c>
      <c r="K566" s="107"/>
      <c r="L566" s="107"/>
      <c r="M566" s="107"/>
      <c r="N566" s="107"/>
      <c r="O566" s="107"/>
      <c r="P566" s="107"/>
    </row>
    <row r="567" spans="1:16" x14ac:dyDescent="0.3">
      <c r="A567" s="58" t="str">
        <f t="shared" si="36"/>
        <v>A017680</v>
      </c>
      <c r="B567" s="59" t="str">
        <f t="shared" si="33"/>
        <v/>
      </c>
      <c r="C567" s="59" t="str">
        <f t="shared" si="34"/>
        <v/>
      </c>
      <c r="D567" s="109" t="str">
        <f t="shared" si="35"/>
        <v/>
      </c>
      <c r="E567" s="106" t="s">
        <v>595</v>
      </c>
      <c r="F567" s="58" t="s">
        <v>2054</v>
      </c>
      <c r="G567" s="106">
        <v>12</v>
      </c>
      <c r="H567" s="107"/>
      <c r="I567" s="107"/>
      <c r="J567" s="107"/>
      <c r="K567" s="107"/>
      <c r="L567" s="107"/>
      <c r="M567" s="107"/>
      <c r="N567" s="107"/>
      <c r="O567" s="107"/>
      <c r="P567" s="107"/>
    </row>
    <row r="568" spans="1:16" x14ac:dyDescent="0.3">
      <c r="A568" s="58" t="str">
        <f t="shared" si="36"/>
        <v>A017800</v>
      </c>
      <c r="B568" s="59" t="str">
        <f t="shared" si="33"/>
        <v/>
      </c>
      <c r="C568" s="59" t="str">
        <f t="shared" si="34"/>
        <v/>
      </c>
      <c r="D568" s="109" t="str">
        <f t="shared" si="35"/>
        <v/>
      </c>
      <c r="E568" s="106" t="s">
        <v>596</v>
      </c>
      <c r="F568" s="58" t="s">
        <v>2055</v>
      </c>
      <c r="G568" s="106">
        <v>12</v>
      </c>
      <c r="H568" s="107"/>
      <c r="I568" s="107"/>
      <c r="J568" s="107"/>
      <c r="K568" s="107"/>
      <c r="L568" s="107"/>
      <c r="M568" s="107"/>
      <c r="N568" s="107"/>
      <c r="O568" s="107"/>
      <c r="P568" s="107"/>
    </row>
    <row r="569" spans="1:16" x14ac:dyDescent="0.3">
      <c r="A569" s="58" t="str">
        <f t="shared" si="36"/>
        <v>A017810</v>
      </c>
      <c r="B569" s="59" t="str">
        <f t="shared" si="33"/>
        <v/>
      </c>
      <c r="C569" s="59" t="str">
        <f t="shared" si="34"/>
        <v/>
      </c>
      <c r="D569" s="109" t="str">
        <f t="shared" si="35"/>
        <v/>
      </c>
      <c r="E569" s="106" t="s">
        <v>597</v>
      </c>
      <c r="F569" s="58" t="s">
        <v>2056</v>
      </c>
      <c r="G569" s="106">
        <v>12</v>
      </c>
      <c r="H569" s="107"/>
      <c r="I569" s="107"/>
      <c r="J569" s="107"/>
      <c r="K569" s="107"/>
      <c r="L569" s="107"/>
      <c r="M569" s="107"/>
      <c r="N569" s="107"/>
      <c r="O569" s="107"/>
      <c r="P569" s="107"/>
    </row>
    <row r="570" spans="1:16" x14ac:dyDescent="0.3">
      <c r="A570" s="58" t="str">
        <f t="shared" si="36"/>
        <v>A017890</v>
      </c>
      <c r="B570" s="59" t="str">
        <f t="shared" si="33"/>
        <v/>
      </c>
      <c r="C570" s="59" t="str">
        <f t="shared" si="34"/>
        <v/>
      </c>
      <c r="D570" s="109" t="str">
        <f t="shared" si="35"/>
        <v/>
      </c>
      <c r="E570" s="106" t="s">
        <v>598</v>
      </c>
      <c r="F570" s="58" t="s">
        <v>2057</v>
      </c>
      <c r="G570" s="106">
        <v>12</v>
      </c>
      <c r="H570" s="107"/>
      <c r="I570" s="107"/>
      <c r="J570" s="107"/>
      <c r="K570" s="107"/>
      <c r="L570" s="107"/>
      <c r="M570" s="107"/>
      <c r="N570" s="107"/>
      <c r="O570" s="107"/>
      <c r="P570" s="107"/>
    </row>
    <row r="571" spans="1:16" x14ac:dyDescent="0.3">
      <c r="A571" s="58" t="str">
        <f t="shared" si="36"/>
        <v>A017900</v>
      </c>
      <c r="B571" s="59" t="str">
        <f t="shared" si="33"/>
        <v/>
      </c>
      <c r="C571" s="59" t="str">
        <f t="shared" si="34"/>
        <v/>
      </c>
      <c r="D571" s="109" t="str">
        <f t="shared" si="35"/>
        <v/>
      </c>
      <c r="E571" s="106" t="s">
        <v>599</v>
      </c>
      <c r="F571" s="58" t="s">
        <v>2058</v>
      </c>
      <c r="G571" s="106">
        <v>12</v>
      </c>
      <c r="H571" s="107"/>
      <c r="I571" s="107"/>
      <c r="J571" s="107"/>
      <c r="K571" s="107"/>
      <c r="L571" s="107"/>
      <c r="M571" s="107"/>
      <c r="N571" s="107"/>
      <c r="O571" s="107"/>
      <c r="P571" s="107"/>
    </row>
    <row r="572" spans="1:16" x14ac:dyDescent="0.3">
      <c r="A572" s="58" t="str">
        <f t="shared" si="36"/>
        <v>A017940</v>
      </c>
      <c r="B572" s="59" t="str">
        <f t="shared" si="33"/>
        <v/>
      </c>
      <c r="C572" s="59" t="str">
        <f t="shared" si="34"/>
        <v/>
      </c>
      <c r="D572" s="109" t="str">
        <f t="shared" si="35"/>
        <v/>
      </c>
      <c r="E572" s="106" t="s">
        <v>600</v>
      </c>
      <c r="F572" s="58" t="s">
        <v>2059</v>
      </c>
      <c r="G572" s="106">
        <v>12</v>
      </c>
      <c r="H572" s="107"/>
      <c r="I572" s="107"/>
      <c r="J572" s="107"/>
      <c r="K572" s="107"/>
      <c r="L572" s="107"/>
      <c r="M572" s="107"/>
      <c r="N572" s="107"/>
      <c r="O572" s="107"/>
      <c r="P572" s="107"/>
    </row>
    <row r="573" spans="1:16" x14ac:dyDescent="0.3">
      <c r="A573" s="58" t="str">
        <f t="shared" si="36"/>
        <v>A017960</v>
      </c>
      <c r="B573" s="59" t="str">
        <f t="shared" si="33"/>
        <v/>
      </c>
      <c r="C573" s="59" t="str">
        <f t="shared" si="34"/>
        <v/>
      </c>
      <c r="D573" s="109" t="str">
        <f t="shared" si="35"/>
        <v/>
      </c>
      <c r="E573" s="106" t="s">
        <v>601</v>
      </c>
      <c r="F573" s="58" t="s">
        <v>2060</v>
      </c>
      <c r="G573" s="106">
        <v>12</v>
      </c>
      <c r="H573" s="107"/>
      <c r="I573" s="107"/>
      <c r="J573" s="107"/>
      <c r="K573" s="107"/>
      <c r="L573" s="107"/>
      <c r="M573" s="107"/>
      <c r="N573" s="107"/>
      <c r="O573" s="107"/>
      <c r="P573" s="107"/>
    </row>
    <row r="574" spans="1:16" x14ac:dyDescent="0.3">
      <c r="A574" s="58" t="str">
        <f t="shared" si="36"/>
        <v>A018000</v>
      </c>
      <c r="B574" s="59" t="str">
        <f t="shared" si="33"/>
        <v/>
      </c>
      <c r="C574" s="59" t="str">
        <f t="shared" si="34"/>
        <v/>
      </c>
      <c r="D574" s="109" t="str">
        <f t="shared" si="35"/>
        <v/>
      </c>
      <c r="E574" s="106" t="s">
        <v>602</v>
      </c>
      <c r="F574" s="58" t="s">
        <v>2061</v>
      </c>
      <c r="G574" s="106">
        <v>12</v>
      </c>
      <c r="H574" s="107"/>
      <c r="I574" s="107"/>
      <c r="J574" s="107"/>
      <c r="K574" s="107"/>
      <c r="L574" s="107"/>
      <c r="M574" s="107"/>
      <c r="N574" s="107"/>
      <c r="O574" s="107"/>
      <c r="P574" s="107"/>
    </row>
    <row r="575" spans="1:16" x14ac:dyDescent="0.3">
      <c r="A575" s="58" t="str">
        <f t="shared" si="36"/>
        <v>A018120</v>
      </c>
      <c r="B575" s="59" t="str">
        <f t="shared" si="33"/>
        <v/>
      </c>
      <c r="C575" s="59" t="str">
        <f t="shared" si="34"/>
        <v/>
      </c>
      <c r="D575" s="109" t="str">
        <f t="shared" si="35"/>
        <v/>
      </c>
      <c r="E575" s="106" t="s">
        <v>603</v>
      </c>
      <c r="F575" s="58" t="s">
        <v>2062</v>
      </c>
      <c r="G575" s="106">
        <v>12</v>
      </c>
      <c r="H575" s="107"/>
      <c r="I575" s="107"/>
      <c r="J575" s="107"/>
      <c r="K575" s="107"/>
      <c r="L575" s="107"/>
      <c r="M575" s="107"/>
      <c r="N575" s="107"/>
      <c r="O575" s="107"/>
      <c r="P575" s="107"/>
    </row>
    <row r="576" spans="1:16" x14ac:dyDescent="0.3">
      <c r="A576" s="58" t="str">
        <f t="shared" si="36"/>
        <v>A018290</v>
      </c>
      <c r="B576" s="59" t="str">
        <f t="shared" si="33"/>
        <v/>
      </c>
      <c r="C576" s="59" t="str">
        <f t="shared" si="34"/>
        <v/>
      </c>
      <c r="D576" s="109" t="str">
        <f t="shared" si="35"/>
        <v/>
      </c>
      <c r="E576" s="106" t="s">
        <v>604</v>
      </c>
      <c r="F576" s="58" t="s">
        <v>2063</v>
      </c>
      <c r="G576" s="106">
        <v>12</v>
      </c>
      <c r="H576" s="107"/>
      <c r="I576" s="107"/>
      <c r="J576" s="107"/>
      <c r="K576" s="107"/>
      <c r="L576" s="107"/>
      <c r="M576" s="107"/>
      <c r="N576" s="107"/>
      <c r="O576" s="107"/>
      <c r="P576" s="107"/>
    </row>
    <row r="577" spans="1:16" x14ac:dyDescent="0.3">
      <c r="A577" s="58" t="str">
        <f t="shared" si="36"/>
        <v>A018310</v>
      </c>
      <c r="B577" s="59" t="str">
        <f t="shared" si="33"/>
        <v/>
      </c>
      <c r="C577" s="59" t="str">
        <f t="shared" si="34"/>
        <v/>
      </c>
      <c r="D577" s="109" t="str">
        <f t="shared" si="35"/>
        <v/>
      </c>
      <c r="E577" s="106" t="s">
        <v>605</v>
      </c>
      <c r="F577" s="58" t="s">
        <v>2064</v>
      </c>
      <c r="G577" s="106">
        <v>12</v>
      </c>
      <c r="H577" s="107"/>
      <c r="I577" s="107"/>
      <c r="J577" s="107"/>
      <c r="K577" s="107"/>
      <c r="L577" s="107"/>
      <c r="M577" s="107"/>
      <c r="N577" s="107"/>
      <c r="O577" s="107"/>
      <c r="P577" s="107"/>
    </row>
    <row r="578" spans="1:16" x14ac:dyDescent="0.3">
      <c r="A578" s="58" t="str">
        <f t="shared" si="36"/>
        <v>A018470</v>
      </c>
      <c r="B578" s="59" t="str">
        <f t="shared" si="33"/>
        <v/>
      </c>
      <c r="C578" s="59" t="str">
        <f t="shared" si="34"/>
        <v/>
      </c>
      <c r="D578" s="109" t="str">
        <f t="shared" si="35"/>
        <v/>
      </c>
      <c r="E578" s="106" t="s">
        <v>606</v>
      </c>
      <c r="F578" s="58" t="s">
        <v>2065</v>
      </c>
      <c r="G578" s="106">
        <v>12</v>
      </c>
      <c r="H578" s="107"/>
      <c r="I578" s="107"/>
      <c r="J578" s="107"/>
      <c r="K578" s="107"/>
      <c r="L578" s="107"/>
      <c r="M578" s="107"/>
      <c r="N578" s="107"/>
      <c r="O578" s="107"/>
      <c r="P578" s="107"/>
    </row>
    <row r="579" spans="1:16" x14ac:dyDescent="0.3">
      <c r="A579" s="58" t="str">
        <f t="shared" si="36"/>
        <v>A018500</v>
      </c>
      <c r="B579" s="59" t="str">
        <f t="shared" si="33"/>
        <v/>
      </c>
      <c r="C579" s="59" t="str">
        <f t="shared" si="34"/>
        <v/>
      </c>
      <c r="D579" s="109" t="str">
        <f t="shared" si="35"/>
        <v/>
      </c>
      <c r="E579" s="106" t="s">
        <v>607</v>
      </c>
      <c r="F579" s="58" t="s">
        <v>2066</v>
      </c>
      <c r="G579" s="106">
        <v>3</v>
      </c>
      <c r="H579" s="107"/>
      <c r="I579" s="107"/>
      <c r="J579" s="107"/>
      <c r="K579" s="107"/>
      <c r="L579" s="107"/>
      <c r="M579" s="107"/>
      <c r="N579" s="107"/>
      <c r="O579" s="107"/>
      <c r="P579" s="107"/>
    </row>
    <row r="580" spans="1:16" x14ac:dyDescent="0.3">
      <c r="A580" s="58" t="str">
        <f t="shared" si="36"/>
        <v>A018620</v>
      </c>
      <c r="B580" s="59" t="str">
        <f t="shared" si="33"/>
        <v/>
      </c>
      <c r="C580" s="59" t="str">
        <f t="shared" si="34"/>
        <v/>
      </c>
      <c r="D580" s="109" t="str">
        <f t="shared" si="35"/>
        <v/>
      </c>
      <c r="E580" s="106" t="s">
        <v>608</v>
      </c>
      <c r="F580" s="58" t="s">
        <v>2067</v>
      </c>
      <c r="G580" s="106">
        <v>12</v>
      </c>
      <c r="H580" s="107"/>
      <c r="I580" s="107"/>
      <c r="J580" s="107"/>
      <c r="K580" s="107"/>
      <c r="L580" s="107"/>
      <c r="M580" s="107"/>
      <c r="N580" s="107"/>
      <c r="O580" s="107"/>
      <c r="P580" s="107"/>
    </row>
    <row r="581" spans="1:16" x14ac:dyDescent="0.3">
      <c r="A581" s="58" t="str">
        <f t="shared" si="36"/>
        <v>A018670</v>
      </c>
      <c r="B581" s="59" t="str">
        <f t="shared" si="33"/>
        <v/>
      </c>
      <c r="C581" s="59" t="str">
        <f t="shared" si="34"/>
        <v/>
      </c>
      <c r="D581" s="109" t="str">
        <f t="shared" si="35"/>
        <v/>
      </c>
      <c r="E581" s="106" t="s">
        <v>609</v>
      </c>
      <c r="F581" s="58" t="s">
        <v>2068</v>
      </c>
      <c r="G581" s="106">
        <v>12</v>
      </c>
      <c r="H581" s="107"/>
      <c r="I581" s="107"/>
      <c r="J581" s="107"/>
      <c r="K581" s="107"/>
      <c r="L581" s="107"/>
      <c r="M581" s="107"/>
      <c r="N581" s="107"/>
      <c r="O581" s="107"/>
      <c r="P581" s="107"/>
    </row>
    <row r="582" spans="1:16" x14ac:dyDescent="0.3">
      <c r="A582" s="58" t="str">
        <f t="shared" si="36"/>
        <v>A018680</v>
      </c>
      <c r="B582" s="59" t="str">
        <f t="shared" si="33"/>
        <v/>
      </c>
      <c r="C582" s="59" t="str">
        <f t="shared" si="34"/>
        <v/>
      </c>
      <c r="D582" s="109" t="str">
        <f t="shared" si="35"/>
        <v/>
      </c>
      <c r="E582" s="106" t="s">
        <v>610</v>
      </c>
      <c r="F582" s="58" t="s">
        <v>2069</v>
      </c>
      <c r="G582" s="106">
        <v>12</v>
      </c>
      <c r="H582" s="107"/>
      <c r="I582" s="107"/>
      <c r="J582" s="107"/>
      <c r="K582" s="107"/>
      <c r="L582" s="107"/>
      <c r="M582" s="107"/>
      <c r="N582" s="107"/>
      <c r="O582" s="107"/>
      <c r="P582" s="107"/>
    </row>
    <row r="583" spans="1:16" x14ac:dyDescent="0.3">
      <c r="A583" s="58" t="str">
        <f t="shared" si="36"/>
        <v>A018700</v>
      </c>
      <c r="B583" s="59" t="str">
        <f t="shared" si="33"/>
        <v/>
      </c>
      <c r="C583" s="59" t="str">
        <f t="shared" si="34"/>
        <v/>
      </c>
      <c r="D583" s="109" t="str">
        <f t="shared" si="35"/>
        <v/>
      </c>
      <c r="E583" s="106" t="s">
        <v>611</v>
      </c>
      <c r="F583" s="58" t="s">
        <v>2070</v>
      </c>
      <c r="G583" s="106">
        <v>3</v>
      </c>
      <c r="H583" s="107"/>
      <c r="I583" s="107"/>
      <c r="J583" s="107"/>
      <c r="K583" s="107"/>
      <c r="L583" s="107"/>
      <c r="M583" s="107"/>
      <c r="N583" s="107"/>
      <c r="O583" s="107"/>
      <c r="P583" s="107"/>
    </row>
    <row r="584" spans="1:16" x14ac:dyDescent="0.3">
      <c r="A584" s="58" t="str">
        <f t="shared" si="36"/>
        <v>A018880</v>
      </c>
      <c r="B584" s="59" t="str">
        <f t="shared" si="33"/>
        <v/>
      </c>
      <c r="C584" s="59" t="str">
        <f t="shared" si="34"/>
        <v/>
      </c>
      <c r="D584" s="109" t="str">
        <f t="shared" si="35"/>
        <v/>
      </c>
      <c r="E584" s="106" t="s">
        <v>612</v>
      </c>
      <c r="F584" s="58" t="s">
        <v>3636</v>
      </c>
      <c r="G584" s="106">
        <v>12</v>
      </c>
      <c r="H584" s="107"/>
      <c r="I584" s="107"/>
      <c r="J584" s="107"/>
      <c r="K584" s="107"/>
      <c r="L584" s="107"/>
      <c r="M584" s="107"/>
      <c r="N584" s="107"/>
      <c r="O584" s="107"/>
      <c r="P584" s="107"/>
    </row>
    <row r="585" spans="1:16" x14ac:dyDescent="0.3">
      <c r="A585" s="58" t="str">
        <f t="shared" si="36"/>
        <v>A019010</v>
      </c>
      <c r="B585" s="59" t="str">
        <f t="shared" si="33"/>
        <v/>
      </c>
      <c r="C585" s="59" t="str">
        <f t="shared" si="34"/>
        <v/>
      </c>
      <c r="D585" s="109" t="str">
        <f t="shared" si="35"/>
        <v/>
      </c>
      <c r="E585" s="106" t="s">
        <v>613</v>
      </c>
      <c r="F585" s="58" t="s">
        <v>2071</v>
      </c>
      <c r="G585" s="106">
        <v>12</v>
      </c>
      <c r="H585" s="107"/>
      <c r="I585" s="107"/>
      <c r="J585" s="107"/>
      <c r="K585" s="107"/>
      <c r="L585" s="107"/>
      <c r="M585" s="107"/>
      <c r="N585" s="107"/>
      <c r="O585" s="107"/>
      <c r="P585" s="107"/>
    </row>
    <row r="586" spans="1:16" x14ac:dyDescent="0.3">
      <c r="A586" s="58" t="str">
        <f t="shared" si="36"/>
        <v>A019170</v>
      </c>
      <c r="B586" s="59" t="str">
        <f t="shared" si="33"/>
        <v/>
      </c>
      <c r="C586" s="59" t="str">
        <f t="shared" si="34"/>
        <v/>
      </c>
      <c r="D586" s="109" t="str">
        <f t="shared" si="35"/>
        <v/>
      </c>
      <c r="E586" s="106" t="s">
        <v>614</v>
      </c>
      <c r="F586" s="58" t="s">
        <v>2072</v>
      </c>
      <c r="G586" s="106">
        <v>12</v>
      </c>
      <c r="H586" s="107"/>
      <c r="I586" s="107"/>
      <c r="J586" s="107"/>
      <c r="K586" s="107"/>
      <c r="L586" s="107"/>
      <c r="M586" s="107"/>
      <c r="N586" s="107"/>
      <c r="O586" s="107"/>
      <c r="P586" s="107"/>
    </row>
    <row r="587" spans="1:16" x14ac:dyDescent="0.3">
      <c r="A587" s="58" t="str">
        <f t="shared" si="36"/>
        <v>A019180</v>
      </c>
      <c r="B587" s="59" t="str">
        <f t="shared" si="33"/>
        <v/>
      </c>
      <c r="C587" s="59" t="str">
        <f t="shared" si="34"/>
        <v/>
      </c>
      <c r="D587" s="109" t="str">
        <f t="shared" si="35"/>
        <v/>
      </c>
      <c r="E587" s="106" t="s">
        <v>615</v>
      </c>
      <c r="F587" s="58" t="s">
        <v>2073</v>
      </c>
      <c r="G587" s="106">
        <v>12</v>
      </c>
      <c r="H587" s="107"/>
      <c r="I587" s="107"/>
      <c r="J587" s="107"/>
      <c r="K587" s="107"/>
      <c r="L587" s="107"/>
      <c r="M587" s="107"/>
      <c r="N587" s="107"/>
      <c r="O587" s="107"/>
      <c r="P587" s="107"/>
    </row>
    <row r="588" spans="1:16" x14ac:dyDescent="0.3">
      <c r="A588" s="58" t="str">
        <f t="shared" si="36"/>
        <v>A019210</v>
      </c>
      <c r="B588" s="59" t="str">
        <f t="shared" si="33"/>
        <v/>
      </c>
      <c r="C588" s="59" t="str">
        <f t="shared" si="34"/>
        <v/>
      </c>
      <c r="D588" s="109" t="str">
        <f t="shared" si="35"/>
        <v/>
      </c>
      <c r="E588" s="106" t="s">
        <v>616</v>
      </c>
      <c r="F588" s="58" t="s">
        <v>2074</v>
      </c>
      <c r="G588" s="106">
        <v>12</v>
      </c>
      <c r="H588" s="107"/>
      <c r="I588" s="107"/>
      <c r="J588" s="107"/>
      <c r="K588" s="107"/>
      <c r="L588" s="107"/>
      <c r="M588" s="107"/>
      <c r="N588" s="107"/>
      <c r="O588" s="107"/>
      <c r="P588" s="107"/>
    </row>
    <row r="589" spans="1:16" x14ac:dyDescent="0.3">
      <c r="A589" s="58" t="str">
        <f t="shared" si="36"/>
        <v>A019300</v>
      </c>
      <c r="B589" s="59" t="str">
        <f t="shared" si="33"/>
        <v/>
      </c>
      <c r="C589" s="59" t="str">
        <f t="shared" si="34"/>
        <v/>
      </c>
      <c r="D589" s="109" t="str">
        <f t="shared" si="35"/>
        <v/>
      </c>
      <c r="E589" s="106" t="s">
        <v>617</v>
      </c>
      <c r="F589" s="58" t="s">
        <v>2075</v>
      </c>
      <c r="G589" s="106">
        <v>12</v>
      </c>
      <c r="H589" s="107"/>
      <c r="I589" s="107"/>
      <c r="J589" s="107"/>
      <c r="K589" s="107"/>
      <c r="L589" s="107"/>
      <c r="M589" s="107"/>
      <c r="N589" s="107"/>
      <c r="O589" s="107"/>
      <c r="P589" s="107"/>
    </row>
    <row r="590" spans="1:16" x14ac:dyDescent="0.3">
      <c r="A590" s="58" t="str">
        <f t="shared" si="36"/>
        <v>A019440</v>
      </c>
      <c r="B590" s="59" t="str">
        <f t="shared" si="33"/>
        <v/>
      </c>
      <c r="C590" s="59" t="str">
        <f t="shared" si="34"/>
        <v/>
      </c>
      <c r="D590" s="109" t="str">
        <f t="shared" si="35"/>
        <v/>
      </c>
      <c r="E590" s="106" t="s">
        <v>3136</v>
      </c>
      <c r="F590" s="58" t="s">
        <v>3339</v>
      </c>
      <c r="G590" s="106">
        <v>12</v>
      </c>
      <c r="H590" s="107"/>
      <c r="I590" s="107"/>
      <c r="J590" s="107"/>
      <c r="K590" s="107"/>
      <c r="L590" s="107"/>
      <c r="M590" s="107"/>
      <c r="N590" s="107"/>
      <c r="O590" s="107"/>
      <c r="P590" s="107"/>
    </row>
    <row r="591" spans="1:16" x14ac:dyDescent="0.3">
      <c r="A591" s="58" t="str">
        <f t="shared" si="36"/>
        <v>A019490</v>
      </c>
      <c r="B591" s="59" t="str">
        <f t="shared" ref="B591:B654" si="37">IFERROR(IF(ISNUMBER(H591),DATE(LEFT(H591,4),MID(H591,5,2),RIGHT(H591,2)),NA()),"")</f>
        <v/>
      </c>
      <c r="C591" s="59" t="str">
        <f t="shared" ref="C591:C654" si="38">IFERROR(IF(ISNUMBER(I591),DATE(LEFT(I591,4),MID(I591,5,2),RIGHT(I591,2)),NA()),"")</f>
        <v/>
      </c>
      <c r="D591" s="109" t="str">
        <f t="shared" ref="D591:D654" si="39">IFERROR(IF(ISNUMBER(J591),J591,NA()),"")</f>
        <v/>
      </c>
      <c r="E591" s="106" t="s">
        <v>618</v>
      </c>
      <c r="F591" s="58" t="s">
        <v>2076</v>
      </c>
      <c r="G591" s="106">
        <v>12</v>
      </c>
      <c r="H591" s="107"/>
      <c r="I591" s="107"/>
      <c r="J591" s="107"/>
      <c r="K591" s="107"/>
      <c r="L591" s="107"/>
      <c r="M591" s="107"/>
      <c r="N591" s="107"/>
      <c r="O591" s="107"/>
      <c r="P591" s="107"/>
    </row>
    <row r="592" spans="1:16" x14ac:dyDescent="0.3">
      <c r="A592" s="58" t="str">
        <f t="shared" si="36"/>
        <v>A019540</v>
      </c>
      <c r="B592" s="59" t="str">
        <f t="shared" si="37"/>
        <v/>
      </c>
      <c r="C592" s="59" t="str">
        <f t="shared" si="38"/>
        <v/>
      </c>
      <c r="D592" s="109" t="str">
        <f t="shared" si="39"/>
        <v/>
      </c>
      <c r="E592" s="106" t="s">
        <v>619</v>
      </c>
      <c r="F592" s="58" t="s">
        <v>2077</v>
      </c>
      <c r="G592" s="106">
        <v>12</v>
      </c>
      <c r="H592" s="107"/>
      <c r="I592" s="107"/>
      <c r="J592" s="107"/>
      <c r="K592" s="107"/>
      <c r="L592" s="107"/>
      <c r="M592" s="107"/>
      <c r="N592" s="107"/>
      <c r="O592" s="107"/>
      <c r="P592" s="107"/>
    </row>
    <row r="593" spans="1:16" x14ac:dyDescent="0.3">
      <c r="A593" s="58" t="str">
        <f t="shared" si="36"/>
        <v>A019550</v>
      </c>
      <c r="B593" s="59" t="str">
        <f t="shared" si="37"/>
        <v/>
      </c>
      <c r="C593" s="59" t="str">
        <f t="shared" si="38"/>
        <v/>
      </c>
      <c r="D593" s="109" t="str">
        <f t="shared" si="39"/>
        <v/>
      </c>
      <c r="E593" s="106" t="s">
        <v>620</v>
      </c>
      <c r="F593" s="58" t="s">
        <v>2078</v>
      </c>
      <c r="G593" s="106">
        <v>12</v>
      </c>
      <c r="H593" s="107"/>
      <c r="I593" s="107"/>
      <c r="J593" s="107"/>
      <c r="K593" s="107"/>
      <c r="L593" s="107"/>
      <c r="M593" s="107"/>
      <c r="N593" s="107"/>
      <c r="O593" s="107"/>
      <c r="P593" s="107"/>
    </row>
    <row r="594" spans="1:16" x14ac:dyDescent="0.3">
      <c r="A594" s="58" t="str">
        <f t="shared" si="36"/>
        <v>A019570</v>
      </c>
      <c r="B594" s="59" t="str">
        <f t="shared" si="37"/>
        <v/>
      </c>
      <c r="C594" s="59" t="str">
        <f t="shared" si="38"/>
        <v/>
      </c>
      <c r="D594" s="109" t="str">
        <f t="shared" si="39"/>
        <v/>
      </c>
      <c r="E594" s="106" t="s">
        <v>621</v>
      </c>
      <c r="F594" s="58" t="s">
        <v>2079</v>
      </c>
      <c r="G594" s="106">
        <v>3</v>
      </c>
      <c r="H594" s="107"/>
      <c r="I594" s="107"/>
      <c r="J594" s="107"/>
      <c r="K594" s="107"/>
      <c r="L594" s="107"/>
      <c r="M594" s="107"/>
      <c r="N594" s="107"/>
      <c r="O594" s="107"/>
      <c r="P594" s="107"/>
    </row>
    <row r="595" spans="1:16" x14ac:dyDescent="0.3">
      <c r="A595" s="58" t="str">
        <f t="shared" si="36"/>
        <v>A019590</v>
      </c>
      <c r="B595" s="59" t="str">
        <f t="shared" si="37"/>
        <v/>
      </c>
      <c r="C595" s="59" t="str">
        <f t="shared" si="38"/>
        <v/>
      </c>
      <c r="D595" s="109" t="str">
        <f t="shared" si="39"/>
        <v/>
      </c>
      <c r="E595" s="106" t="s">
        <v>622</v>
      </c>
      <c r="F595" s="58" t="s">
        <v>2080</v>
      </c>
      <c r="G595" s="106">
        <v>12</v>
      </c>
      <c r="H595" s="107"/>
      <c r="I595" s="107"/>
      <c r="J595" s="107"/>
      <c r="K595" s="107"/>
      <c r="L595" s="107"/>
      <c r="M595" s="107"/>
      <c r="N595" s="107"/>
      <c r="O595" s="107"/>
      <c r="P595" s="107"/>
    </row>
    <row r="596" spans="1:16" x14ac:dyDescent="0.3">
      <c r="A596" s="58" t="str">
        <f t="shared" si="36"/>
        <v>A019660</v>
      </c>
      <c r="B596" s="59" t="str">
        <f t="shared" si="37"/>
        <v/>
      </c>
      <c r="C596" s="59" t="str">
        <f t="shared" si="38"/>
        <v/>
      </c>
      <c r="D596" s="109" t="str">
        <f t="shared" si="39"/>
        <v/>
      </c>
      <c r="E596" s="106" t="s">
        <v>623</v>
      </c>
      <c r="F596" s="58" t="s">
        <v>2081</v>
      </c>
      <c r="G596" s="106">
        <v>3</v>
      </c>
      <c r="H596" s="107"/>
      <c r="I596" s="107"/>
      <c r="J596" s="107"/>
      <c r="K596" s="107"/>
      <c r="L596" s="107"/>
      <c r="M596" s="107"/>
      <c r="N596" s="107"/>
      <c r="O596" s="107"/>
      <c r="P596" s="107"/>
    </row>
    <row r="597" spans="1:16" x14ac:dyDescent="0.3">
      <c r="A597" s="58" t="str">
        <f t="shared" si="36"/>
        <v>A019680</v>
      </c>
      <c r="B597" s="59">
        <f t="shared" si="37"/>
        <v>41480</v>
      </c>
      <c r="C597" s="59">
        <f t="shared" si="38"/>
        <v>41480</v>
      </c>
      <c r="D597" s="109">
        <f t="shared" si="39"/>
        <v>8.31</v>
      </c>
      <c r="E597" s="106" t="s">
        <v>624</v>
      </c>
      <c r="F597" s="58" t="s">
        <v>2082</v>
      </c>
      <c r="G597" s="106">
        <v>12</v>
      </c>
      <c r="H597" s="107">
        <v>20130725</v>
      </c>
      <c r="I597" s="107">
        <v>20130725</v>
      </c>
      <c r="J597" s="107">
        <v>8.31</v>
      </c>
      <c r="K597" s="107"/>
      <c r="L597" s="107"/>
      <c r="M597" s="107"/>
      <c r="N597" s="107"/>
      <c r="O597" s="107"/>
      <c r="P597" s="107"/>
    </row>
    <row r="598" spans="1:16" x14ac:dyDescent="0.3">
      <c r="A598" s="58" t="str">
        <f t="shared" ref="A598:A661" si="40">E598</f>
        <v>A019770</v>
      </c>
      <c r="B598" s="59" t="str">
        <f t="shared" si="37"/>
        <v/>
      </c>
      <c r="C598" s="59" t="str">
        <f t="shared" si="38"/>
        <v/>
      </c>
      <c r="D598" s="109" t="str">
        <f t="shared" si="39"/>
        <v/>
      </c>
      <c r="E598" s="106" t="s">
        <v>3137</v>
      </c>
      <c r="F598" s="58" t="s">
        <v>3340</v>
      </c>
      <c r="G598" s="106">
        <v>12</v>
      </c>
      <c r="H598" s="107"/>
      <c r="I598" s="107"/>
      <c r="J598" s="107"/>
      <c r="K598" s="107"/>
      <c r="L598" s="107"/>
      <c r="M598" s="107"/>
      <c r="N598" s="107"/>
      <c r="O598" s="107"/>
      <c r="P598" s="107"/>
    </row>
    <row r="599" spans="1:16" x14ac:dyDescent="0.3">
      <c r="A599" s="58" t="str">
        <f t="shared" si="40"/>
        <v>A019990</v>
      </c>
      <c r="B599" s="59" t="str">
        <f t="shared" si="37"/>
        <v/>
      </c>
      <c r="C599" s="59" t="str">
        <f t="shared" si="38"/>
        <v/>
      </c>
      <c r="D599" s="109" t="str">
        <f t="shared" si="39"/>
        <v/>
      </c>
      <c r="E599" s="106" t="s">
        <v>625</v>
      </c>
      <c r="F599" s="58" t="s">
        <v>2083</v>
      </c>
      <c r="G599" s="106">
        <v>12</v>
      </c>
      <c r="H599" s="107"/>
      <c r="I599" s="107"/>
      <c r="J599" s="107"/>
      <c r="K599" s="107"/>
      <c r="L599" s="107"/>
      <c r="M599" s="107"/>
      <c r="N599" s="107"/>
      <c r="O599" s="107"/>
      <c r="P599" s="107"/>
    </row>
    <row r="600" spans="1:16" x14ac:dyDescent="0.3">
      <c r="A600" s="58" t="str">
        <f t="shared" si="40"/>
        <v>A020000</v>
      </c>
      <c r="B600" s="59" t="str">
        <f t="shared" si="37"/>
        <v/>
      </c>
      <c r="C600" s="59" t="str">
        <f t="shared" si="38"/>
        <v/>
      </c>
      <c r="D600" s="109" t="str">
        <f t="shared" si="39"/>
        <v/>
      </c>
      <c r="E600" s="106" t="s">
        <v>626</v>
      </c>
      <c r="F600" s="58" t="s">
        <v>2084</v>
      </c>
      <c r="G600" s="106">
        <v>12</v>
      </c>
      <c r="H600" s="107"/>
      <c r="I600" s="107"/>
      <c r="J600" s="107"/>
      <c r="K600" s="107"/>
      <c r="L600" s="107"/>
      <c r="M600" s="107"/>
      <c r="N600" s="107"/>
      <c r="O600" s="107"/>
      <c r="P600" s="107"/>
    </row>
    <row r="601" spans="1:16" x14ac:dyDescent="0.3">
      <c r="A601" s="58" t="str">
        <f t="shared" si="40"/>
        <v>A020120</v>
      </c>
      <c r="B601" s="59" t="str">
        <f t="shared" si="37"/>
        <v/>
      </c>
      <c r="C601" s="59" t="str">
        <f t="shared" si="38"/>
        <v/>
      </c>
      <c r="D601" s="109" t="str">
        <f t="shared" si="39"/>
        <v/>
      </c>
      <c r="E601" s="106" t="s">
        <v>627</v>
      </c>
      <c r="F601" s="58" t="s">
        <v>2085</v>
      </c>
      <c r="G601" s="106">
        <v>12</v>
      </c>
      <c r="H601" s="107"/>
      <c r="I601" s="107"/>
      <c r="J601" s="107"/>
      <c r="K601" s="107"/>
      <c r="L601" s="107"/>
      <c r="M601" s="107"/>
      <c r="N601" s="107"/>
      <c r="O601" s="107"/>
      <c r="P601" s="107"/>
    </row>
    <row r="602" spans="1:16" x14ac:dyDescent="0.3">
      <c r="A602" s="58" t="str">
        <f t="shared" si="40"/>
        <v>A020150</v>
      </c>
      <c r="B602" s="59" t="str">
        <f t="shared" si="37"/>
        <v/>
      </c>
      <c r="C602" s="59" t="str">
        <f t="shared" si="38"/>
        <v/>
      </c>
      <c r="D602" s="109" t="str">
        <f t="shared" si="39"/>
        <v/>
      </c>
      <c r="E602" s="106" t="s">
        <v>3138</v>
      </c>
      <c r="F602" s="58" t="s">
        <v>3341</v>
      </c>
      <c r="G602" s="106">
        <v>12</v>
      </c>
      <c r="H602" s="107"/>
      <c r="I602" s="107"/>
      <c r="J602" s="107"/>
      <c r="K602" s="107"/>
      <c r="L602" s="107"/>
      <c r="M602" s="107"/>
      <c r="N602" s="107"/>
      <c r="O602" s="107"/>
      <c r="P602" s="107"/>
    </row>
    <row r="603" spans="1:16" x14ac:dyDescent="0.3">
      <c r="A603" s="58" t="str">
        <f t="shared" si="40"/>
        <v>A020180</v>
      </c>
      <c r="B603" s="59" t="str">
        <f t="shared" si="37"/>
        <v/>
      </c>
      <c r="C603" s="59" t="str">
        <f t="shared" si="38"/>
        <v/>
      </c>
      <c r="D603" s="109" t="str">
        <f t="shared" si="39"/>
        <v/>
      </c>
      <c r="E603" s="106" t="s">
        <v>628</v>
      </c>
      <c r="F603" s="58" t="s">
        <v>2086</v>
      </c>
      <c r="G603" s="106">
        <v>3</v>
      </c>
      <c r="H603" s="107"/>
      <c r="I603" s="107"/>
      <c r="J603" s="107"/>
      <c r="K603" s="107"/>
      <c r="L603" s="107"/>
      <c r="M603" s="107"/>
      <c r="N603" s="107"/>
      <c r="O603" s="107"/>
      <c r="P603" s="107"/>
    </row>
    <row r="604" spans="1:16" x14ac:dyDescent="0.3">
      <c r="A604" s="58" t="str">
        <f t="shared" si="40"/>
        <v>A020400</v>
      </c>
      <c r="B604" s="59" t="str">
        <f t="shared" si="37"/>
        <v/>
      </c>
      <c r="C604" s="59" t="str">
        <f t="shared" si="38"/>
        <v/>
      </c>
      <c r="D604" s="109" t="str">
        <f t="shared" si="39"/>
        <v/>
      </c>
      <c r="E604" s="106" t="s">
        <v>629</v>
      </c>
      <c r="F604" s="58" t="s">
        <v>2087</v>
      </c>
      <c r="G604" s="106">
        <v>12</v>
      </c>
      <c r="H604" s="107"/>
      <c r="I604" s="107"/>
      <c r="J604" s="107"/>
      <c r="K604" s="107"/>
      <c r="L604" s="107"/>
      <c r="M604" s="107"/>
      <c r="N604" s="107"/>
      <c r="O604" s="107"/>
      <c r="P604" s="107"/>
    </row>
    <row r="605" spans="1:16" x14ac:dyDescent="0.3">
      <c r="A605" s="58" t="str">
        <f t="shared" si="40"/>
        <v>A020560</v>
      </c>
      <c r="B605" s="59" t="str">
        <f t="shared" si="37"/>
        <v/>
      </c>
      <c r="C605" s="59" t="str">
        <f t="shared" si="38"/>
        <v/>
      </c>
      <c r="D605" s="109" t="str">
        <f t="shared" si="39"/>
        <v/>
      </c>
      <c r="E605" s="106" t="s">
        <v>630</v>
      </c>
      <c r="F605" s="58" t="s">
        <v>2088</v>
      </c>
      <c r="G605" s="106">
        <v>12</v>
      </c>
      <c r="H605" s="107"/>
      <c r="I605" s="107"/>
      <c r="J605" s="107"/>
      <c r="K605" s="107"/>
      <c r="L605" s="107"/>
      <c r="M605" s="107"/>
      <c r="N605" s="107"/>
      <c r="O605" s="107"/>
      <c r="P605" s="107"/>
    </row>
    <row r="606" spans="1:16" x14ac:dyDescent="0.3">
      <c r="A606" s="58" t="str">
        <f t="shared" si="40"/>
        <v>A020710</v>
      </c>
      <c r="B606" s="59" t="str">
        <f t="shared" si="37"/>
        <v/>
      </c>
      <c r="C606" s="59" t="str">
        <f t="shared" si="38"/>
        <v/>
      </c>
      <c r="D606" s="109" t="str">
        <f t="shared" si="39"/>
        <v/>
      </c>
      <c r="E606" s="106" t="s">
        <v>631</v>
      </c>
      <c r="F606" s="58" t="s">
        <v>2089</v>
      </c>
      <c r="G606" s="106">
        <v>12</v>
      </c>
      <c r="H606" s="107"/>
      <c r="I606" s="107"/>
      <c r="J606" s="107"/>
      <c r="K606" s="107"/>
      <c r="L606" s="107"/>
      <c r="M606" s="107"/>
      <c r="N606" s="107"/>
      <c r="O606" s="107"/>
      <c r="P606" s="107"/>
    </row>
    <row r="607" spans="1:16" x14ac:dyDescent="0.3">
      <c r="A607" s="58" t="str">
        <f t="shared" si="40"/>
        <v>A020760</v>
      </c>
      <c r="B607" s="59" t="str">
        <f t="shared" si="37"/>
        <v/>
      </c>
      <c r="C607" s="59" t="str">
        <f t="shared" si="38"/>
        <v/>
      </c>
      <c r="D607" s="109" t="str">
        <f t="shared" si="39"/>
        <v/>
      </c>
      <c r="E607" s="106" t="s">
        <v>632</v>
      </c>
      <c r="F607" s="58" t="s">
        <v>2090</v>
      </c>
      <c r="G607" s="106">
        <v>12</v>
      </c>
      <c r="H607" s="107"/>
      <c r="I607" s="107"/>
      <c r="J607" s="107"/>
      <c r="K607" s="107"/>
      <c r="L607" s="107"/>
      <c r="M607" s="107"/>
      <c r="N607" s="107"/>
      <c r="O607" s="107"/>
      <c r="P607" s="107"/>
    </row>
    <row r="608" spans="1:16" x14ac:dyDescent="0.3">
      <c r="A608" s="58" t="str">
        <f t="shared" si="40"/>
        <v>A021040</v>
      </c>
      <c r="B608" s="59" t="str">
        <f t="shared" si="37"/>
        <v/>
      </c>
      <c r="C608" s="59" t="str">
        <f t="shared" si="38"/>
        <v/>
      </c>
      <c r="D608" s="109" t="str">
        <f t="shared" si="39"/>
        <v/>
      </c>
      <c r="E608" s="106" t="s">
        <v>633</v>
      </c>
      <c r="F608" s="58" t="s">
        <v>2091</v>
      </c>
      <c r="G608" s="106">
        <v>12</v>
      </c>
      <c r="H608" s="107"/>
      <c r="I608" s="107"/>
      <c r="J608" s="107"/>
      <c r="K608" s="107"/>
      <c r="L608" s="107"/>
      <c r="M608" s="107"/>
      <c r="N608" s="107"/>
      <c r="O608" s="107"/>
      <c r="P608" s="107"/>
    </row>
    <row r="609" spans="1:16" x14ac:dyDescent="0.3">
      <c r="A609" s="58" t="str">
        <f t="shared" si="40"/>
        <v>A021050</v>
      </c>
      <c r="B609" s="59" t="str">
        <f t="shared" si="37"/>
        <v/>
      </c>
      <c r="C609" s="59" t="str">
        <f t="shared" si="38"/>
        <v/>
      </c>
      <c r="D609" s="109" t="str">
        <f t="shared" si="39"/>
        <v/>
      </c>
      <c r="E609" s="106" t="s">
        <v>634</v>
      </c>
      <c r="F609" s="58" t="s">
        <v>2092</v>
      </c>
      <c r="G609" s="106">
        <v>12</v>
      </c>
      <c r="H609" s="107"/>
      <c r="I609" s="107"/>
      <c r="J609" s="107"/>
      <c r="K609" s="107"/>
      <c r="L609" s="107"/>
      <c r="M609" s="107"/>
      <c r="N609" s="107"/>
      <c r="O609" s="107"/>
      <c r="P609" s="107"/>
    </row>
    <row r="610" spans="1:16" x14ac:dyDescent="0.3">
      <c r="A610" s="58" t="str">
        <f t="shared" si="40"/>
        <v>A021080</v>
      </c>
      <c r="B610" s="59" t="str">
        <f t="shared" si="37"/>
        <v/>
      </c>
      <c r="C610" s="59" t="str">
        <f t="shared" si="38"/>
        <v/>
      </c>
      <c r="D610" s="109" t="str">
        <f t="shared" si="39"/>
        <v/>
      </c>
      <c r="E610" s="106" t="s">
        <v>635</v>
      </c>
      <c r="F610" s="58" t="s">
        <v>2093</v>
      </c>
      <c r="G610" s="106">
        <v>12</v>
      </c>
      <c r="H610" s="107"/>
      <c r="I610" s="107"/>
      <c r="J610" s="107"/>
      <c r="K610" s="107"/>
      <c r="L610" s="107"/>
      <c r="M610" s="107"/>
      <c r="N610" s="107"/>
      <c r="O610" s="107"/>
      <c r="P610" s="107"/>
    </row>
    <row r="611" spans="1:16" x14ac:dyDescent="0.3">
      <c r="A611" s="58" t="str">
        <f t="shared" si="40"/>
        <v>A021240</v>
      </c>
      <c r="B611" s="59" t="str">
        <f t="shared" si="37"/>
        <v/>
      </c>
      <c r="C611" s="59" t="str">
        <f t="shared" si="38"/>
        <v/>
      </c>
      <c r="D611" s="109" t="str">
        <f t="shared" si="39"/>
        <v/>
      </c>
      <c r="E611" s="106" t="s">
        <v>636</v>
      </c>
      <c r="F611" s="58" t="s">
        <v>3551</v>
      </c>
      <c r="G611" s="106">
        <v>12</v>
      </c>
      <c r="H611" s="107"/>
      <c r="I611" s="107"/>
      <c r="J611" s="107"/>
      <c r="K611" s="107"/>
      <c r="L611" s="107"/>
      <c r="M611" s="107"/>
      <c r="N611" s="107"/>
      <c r="O611" s="107"/>
      <c r="P611" s="107"/>
    </row>
    <row r="612" spans="1:16" x14ac:dyDescent="0.3">
      <c r="A612" s="58" t="str">
        <f t="shared" si="40"/>
        <v>A021320</v>
      </c>
      <c r="B612" s="59" t="str">
        <f t="shared" si="37"/>
        <v/>
      </c>
      <c r="C612" s="59" t="str">
        <f t="shared" si="38"/>
        <v/>
      </c>
      <c r="D612" s="109" t="str">
        <f t="shared" si="39"/>
        <v/>
      </c>
      <c r="E612" s="106" t="s">
        <v>637</v>
      </c>
      <c r="F612" s="58" t="s">
        <v>2094</v>
      </c>
      <c r="G612" s="106">
        <v>12</v>
      </c>
      <c r="H612" s="107"/>
      <c r="I612" s="107"/>
      <c r="J612" s="107"/>
      <c r="K612" s="107"/>
      <c r="L612" s="107"/>
      <c r="M612" s="107"/>
      <c r="N612" s="107"/>
      <c r="O612" s="107"/>
      <c r="P612" s="107"/>
    </row>
    <row r="613" spans="1:16" x14ac:dyDescent="0.3">
      <c r="A613" s="58" t="str">
        <f t="shared" si="40"/>
        <v>A021650</v>
      </c>
      <c r="B613" s="59" t="str">
        <f t="shared" si="37"/>
        <v/>
      </c>
      <c r="C613" s="59" t="str">
        <f t="shared" si="38"/>
        <v/>
      </c>
      <c r="D613" s="109" t="str">
        <f t="shared" si="39"/>
        <v/>
      </c>
      <c r="E613" s="106" t="s">
        <v>638</v>
      </c>
      <c r="F613" s="58" t="s">
        <v>2095</v>
      </c>
      <c r="G613" s="106">
        <v>12</v>
      </c>
      <c r="H613" s="107"/>
      <c r="I613" s="107"/>
      <c r="J613" s="107"/>
      <c r="K613" s="107"/>
      <c r="L613" s="107"/>
      <c r="M613" s="107"/>
      <c r="N613" s="107"/>
      <c r="O613" s="107"/>
      <c r="P613" s="107"/>
    </row>
    <row r="614" spans="1:16" x14ac:dyDescent="0.3">
      <c r="A614" s="58" t="str">
        <f t="shared" si="40"/>
        <v>A021820</v>
      </c>
      <c r="B614" s="59" t="str">
        <f t="shared" si="37"/>
        <v/>
      </c>
      <c r="C614" s="59" t="str">
        <f t="shared" si="38"/>
        <v/>
      </c>
      <c r="D614" s="109" t="str">
        <f t="shared" si="39"/>
        <v/>
      </c>
      <c r="E614" s="106" t="s">
        <v>639</v>
      </c>
      <c r="F614" s="58" t="s">
        <v>2096</v>
      </c>
      <c r="G614" s="106">
        <v>6</v>
      </c>
      <c r="H614" s="107"/>
      <c r="I614" s="107"/>
      <c r="J614" s="107"/>
      <c r="K614" s="107"/>
      <c r="L614" s="107"/>
      <c r="M614" s="107"/>
      <c r="N614" s="107"/>
      <c r="O614" s="107"/>
      <c r="P614" s="107"/>
    </row>
    <row r="615" spans="1:16" x14ac:dyDescent="0.3">
      <c r="A615" s="58" t="str">
        <f t="shared" si="40"/>
        <v>A021880</v>
      </c>
      <c r="B615" s="59" t="str">
        <f t="shared" si="37"/>
        <v/>
      </c>
      <c r="C615" s="59" t="str">
        <f t="shared" si="38"/>
        <v/>
      </c>
      <c r="D615" s="109" t="str">
        <f t="shared" si="39"/>
        <v/>
      </c>
      <c r="E615" s="106" t="s">
        <v>640</v>
      </c>
      <c r="F615" s="58" t="s">
        <v>3742</v>
      </c>
      <c r="G615" s="106">
        <v>3</v>
      </c>
      <c r="H615" s="107"/>
      <c r="I615" s="107"/>
      <c r="J615" s="107"/>
      <c r="K615" s="107"/>
      <c r="L615" s="107"/>
      <c r="M615" s="107"/>
      <c r="N615" s="107"/>
      <c r="O615" s="107"/>
      <c r="P615" s="107"/>
    </row>
    <row r="616" spans="1:16" x14ac:dyDescent="0.3">
      <c r="A616" s="58" t="str">
        <f t="shared" si="40"/>
        <v>A021960</v>
      </c>
      <c r="B616" s="59" t="str">
        <f t="shared" si="37"/>
        <v/>
      </c>
      <c r="C616" s="59" t="str">
        <f t="shared" si="38"/>
        <v/>
      </c>
      <c r="D616" s="109" t="str">
        <f t="shared" si="39"/>
        <v/>
      </c>
      <c r="E616" s="106" t="s">
        <v>641</v>
      </c>
      <c r="F616" s="58" t="s">
        <v>2098</v>
      </c>
      <c r="G616" s="106">
        <v>12</v>
      </c>
      <c r="H616" s="107"/>
      <c r="I616" s="107"/>
      <c r="J616" s="107"/>
      <c r="K616" s="107"/>
      <c r="L616" s="107"/>
      <c r="M616" s="107"/>
      <c r="N616" s="107"/>
      <c r="O616" s="107"/>
      <c r="P616" s="107"/>
    </row>
    <row r="617" spans="1:16" x14ac:dyDescent="0.3">
      <c r="A617" s="58" t="str">
        <f t="shared" si="40"/>
        <v>A022100</v>
      </c>
      <c r="B617" s="59" t="str">
        <f t="shared" si="37"/>
        <v/>
      </c>
      <c r="C617" s="59" t="str">
        <f t="shared" si="38"/>
        <v/>
      </c>
      <c r="D617" s="109" t="str">
        <f t="shared" si="39"/>
        <v/>
      </c>
      <c r="E617" s="106" t="s">
        <v>642</v>
      </c>
      <c r="F617" s="58" t="s">
        <v>2099</v>
      </c>
      <c r="G617" s="106">
        <v>12</v>
      </c>
      <c r="H617" s="107"/>
      <c r="I617" s="107"/>
      <c r="J617" s="107"/>
      <c r="K617" s="107"/>
      <c r="L617" s="107"/>
      <c r="M617" s="107"/>
      <c r="N617" s="107"/>
      <c r="O617" s="107"/>
      <c r="P617" s="107"/>
    </row>
    <row r="618" spans="1:16" x14ac:dyDescent="0.3">
      <c r="A618" s="58" t="str">
        <f t="shared" si="40"/>
        <v>A022220</v>
      </c>
      <c r="B618" s="59" t="str">
        <f t="shared" si="37"/>
        <v/>
      </c>
      <c r="C618" s="59" t="str">
        <f t="shared" si="38"/>
        <v/>
      </c>
      <c r="D618" s="109" t="str">
        <f t="shared" si="39"/>
        <v/>
      </c>
      <c r="E618" s="106" t="s">
        <v>643</v>
      </c>
      <c r="F618" s="58" t="s">
        <v>2100</v>
      </c>
      <c r="G618" s="106">
        <v>12</v>
      </c>
      <c r="H618" s="107"/>
      <c r="I618" s="107"/>
      <c r="J618" s="107"/>
      <c r="K618" s="107"/>
      <c r="L618" s="107"/>
      <c r="M618" s="107"/>
      <c r="N618" s="107"/>
      <c r="O618" s="107"/>
      <c r="P618" s="107"/>
    </row>
    <row r="619" spans="1:16" x14ac:dyDescent="0.3">
      <c r="A619" s="58" t="str">
        <f t="shared" si="40"/>
        <v>A023000</v>
      </c>
      <c r="B619" s="59" t="str">
        <f t="shared" si="37"/>
        <v/>
      </c>
      <c r="C619" s="59" t="str">
        <f t="shared" si="38"/>
        <v/>
      </c>
      <c r="D619" s="109" t="str">
        <f t="shared" si="39"/>
        <v/>
      </c>
      <c r="E619" s="106" t="s">
        <v>3139</v>
      </c>
      <c r="F619" s="58" t="s">
        <v>3342</v>
      </c>
      <c r="G619" s="106">
        <v>12</v>
      </c>
      <c r="H619" s="107"/>
      <c r="I619" s="107"/>
      <c r="J619" s="107"/>
      <c r="K619" s="107"/>
      <c r="L619" s="107"/>
      <c r="M619" s="107"/>
      <c r="N619" s="107"/>
      <c r="O619" s="107"/>
      <c r="P619" s="107"/>
    </row>
    <row r="620" spans="1:16" x14ac:dyDescent="0.3">
      <c r="A620" s="58" t="str">
        <f t="shared" si="40"/>
        <v>A023150</v>
      </c>
      <c r="B620" s="59" t="str">
        <f t="shared" si="37"/>
        <v/>
      </c>
      <c r="C620" s="59" t="str">
        <f t="shared" si="38"/>
        <v/>
      </c>
      <c r="D620" s="109" t="str">
        <f t="shared" si="39"/>
        <v/>
      </c>
      <c r="E620" s="106" t="s">
        <v>644</v>
      </c>
      <c r="F620" s="58" t="s">
        <v>2101</v>
      </c>
      <c r="G620" s="106">
        <v>12</v>
      </c>
      <c r="H620" s="107"/>
      <c r="I620" s="107"/>
      <c r="J620" s="107"/>
      <c r="K620" s="107"/>
      <c r="L620" s="107"/>
      <c r="M620" s="107"/>
      <c r="N620" s="107"/>
      <c r="O620" s="107"/>
      <c r="P620" s="107"/>
    </row>
    <row r="621" spans="1:16" x14ac:dyDescent="0.3">
      <c r="A621" s="58" t="str">
        <f t="shared" si="40"/>
        <v>A023160</v>
      </c>
      <c r="B621" s="59" t="str">
        <f t="shared" si="37"/>
        <v/>
      </c>
      <c r="C621" s="59" t="str">
        <f t="shared" si="38"/>
        <v/>
      </c>
      <c r="D621" s="109" t="str">
        <f t="shared" si="39"/>
        <v/>
      </c>
      <c r="E621" s="106" t="s">
        <v>645</v>
      </c>
      <c r="F621" s="58" t="s">
        <v>2102</v>
      </c>
      <c r="G621" s="106">
        <v>12</v>
      </c>
      <c r="H621" s="107"/>
      <c r="I621" s="107"/>
      <c r="J621" s="107"/>
      <c r="K621" s="107"/>
      <c r="L621" s="107"/>
      <c r="M621" s="107"/>
      <c r="N621" s="107"/>
      <c r="O621" s="107"/>
      <c r="P621" s="107"/>
    </row>
    <row r="622" spans="1:16" x14ac:dyDescent="0.3">
      <c r="A622" s="58" t="str">
        <f t="shared" si="40"/>
        <v>A023350</v>
      </c>
      <c r="B622" s="59" t="str">
        <f t="shared" si="37"/>
        <v/>
      </c>
      <c r="C622" s="59" t="str">
        <f t="shared" si="38"/>
        <v/>
      </c>
      <c r="D622" s="109" t="str">
        <f t="shared" si="39"/>
        <v/>
      </c>
      <c r="E622" s="106" t="s">
        <v>3140</v>
      </c>
      <c r="F622" s="58" t="s">
        <v>3343</v>
      </c>
      <c r="G622" s="106">
        <v>12</v>
      </c>
      <c r="H622" s="107"/>
      <c r="I622" s="107"/>
      <c r="J622" s="107"/>
      <c r="K622" s="107"/>
      <c r="L622" s="107"/>
      <c r="M622" s="107"/>
      <c r="N622" s="107"/>
      <c r="O622" s="107"/>
      <c r="P622" s="107"/>
    </row>
    <row r="623" spans="1:16" x14ac:dyDescent="0.3">
      <c r="A623" s="58" t="str">
        <f t="shared" si="40"/>
        <v>A023410</v>
      </c>
      <c r="B623" s="59" t="str">
        <f t="shared" si="37"/>
        <v/>
      </c>
      <c r="C623" s="59" t="str">
        <f t="shared" si="38"/>
        <v/>
      </c>
      <c r="D623" s="109" t="str">
        <f t="shared" si="39"/>
        <v/>
      </c>
      <c r="E623" s="106" t="s">
        <v>646</v>
      </c>
      <c r="F623" s="58" t="s">
        <v>2103</v>
      </c>
      <c r="G623" s="106">
        <v>12</v>
      </c>
      <c r="H623" s="107"/>
      <c r="I623" s="107"/>
      <c r="J623" s="107"/>
      <c r="K623" s="107"/>
      <c r="L623" s="107"/>
      <c r="M623" s="107"/>
      <c r="N623" s="107"/>
      <c r="O623" s="107"/>
      <c r="P623" s="107"/>
    </row>
    <row r="624" spans="1:16" x14ac:dyDescent="0.3">
      <c r="A624" s="58" t="str">
        <f t="shared" si="40"/>
        <v>A023430</v>
      </c>
      <c r="B624" s="59" t="str">
        <f t="shared" si="37"/>
        <v/>
      </c>
      <c r="C624" s="59" t="str">
        <f t="shared" si="38"/>
        <v/>
      </c>
      <c r="D624" s="109" t="str">
        <f t="shared" si="39"/>
        <v/>
      </c>
      <c r="E624" s="106" t="s">
        <v>647</v>
      </c>
      <c r="F624" s="58" t="s">
        <v>3637</v>
      </c>
      <c r="G624" s="106">
        <v>12</v>
      </c>
      <c r="H624" s="107"/>
      <c r="I624" s="107"/>
      <c r="J624" s="107"/>
      <c r="K624" s="107"/>
      <c r="L624" s="107"/>
      <c r="M624" s="107"/>
      <c r="N624" s="107"/>
      <c r="O624" s="107"/>
      <c r="P624" s="107"/>
    </row>
    <row r="625" spans="1:16" x14ac:dyDescent="0.3">
      <c r="A625" s="58" t="str">
        <f t="shared" si="40"/>
        <v>A023440</v>
      </c>
      <c r="B625" s="59" t="str">
        <f t="shared" si="37"/>
        <v/>
      </c>
      <c r="C625" s="59" t="str">
        <f t="shared" si="38"/>
        <v/>
      </c>
      <c r="D625" s="109" t="str">
        <f t="shared" si="39"/>
        <v/>
      </c>
      <c r="E625" s="106" t="s">
        <v>648</v>
      </c>
      <c r="F625" s="58" t="s">
        <v>2104</v>
      </c>
      <c r="G625" s="106">
        <v>12</v>
      </c>
      <c r="H625" s="107"/>
      <c r="I625" s="107"/>
      <c r="J625" s="107"/>
      <c r="K625" s="107"/>
      <c r="L625" s="107"/>
      <c r="M625" s="107"/>
      <c r="N625" s="107"/>
      <c r="O625" s="107"/>
      <c r="P625" s="107"/>
    </row>
    <row r="626" spans="1:16" x14ac:dyDescent="0.3">
      <c r="A626" s="58" t="str">
        <f t="shared" si="40"/>
        <v>A023450</v>
      </c>
      <c r="B626" s="59">
        <f t="shared" si="37"/>
        <v>41474</v>
      </c>
      <c r="C626" s="59">
        <f t="shared" si="38"/>
        <v>41474</v>
      </c>
      <c r="D626" s="109">
        <f t="shared" si="39"/>
        <v>0.57999999999999996</v>
      </c>
      <c r="E626" s="106" t="s">
        <v>649</v>
      </c>
      <c r="F626" s="58" t="s">
        <v>2105</v>
      </c>
      <c r="G626" s="106">
        <v>12</v>
      </c>
      <c r="H626" s="107">
        <v>20130719</v>
      </c>
      <c r="I626" s="107">
        <v>20130719</v>
      </c>
      <c r="J626" s="107">
        <v>0.57999999999999996</v>
      </c>
      <c r="K626" s="107"/>
      <c r="L626" s="107"/>
      <c r="M626" s="107"/>
      <c r="N626" s="107"/>
      <c r="O626" s="107"/>
      <c r="P626" s="107"/>
    </row>
    <row r="627" spans="1:16" x14ac:dyDescent="0.3">
      <c r="A627" s="58" t="str">
        <f t="shared" si="40"/>
        <v>A023460</v>
      </c>
      <c r="B627" s="59" t="str">
        <f t="shared" si="37"/>
        <v/>
      </c>
      <c r="C627" s="59" t="str">
        <f t="shared" si="38"/>
        <v/>
      </c>
      <c r="D627" s="109" t="str">
        <f t="shared" si="39"/>
        <v/>
      </c>
      <c r="E627" s="106" t="s">
        <v>650</v>
      </c>
      <c r="F627" s="58" t="s">
        <v>2106</v>
      </c>
      <c r="G627" s="106">
        <v>12</v>
      </c>
      <c r="H627" s="107"/>
      <c r="I627" s="107"/>
      <c r="J627" s="107"/>
      <c r="K627" s="107"/>
      <c r="L627" s="107"/>
      <c r="M627" s="107"/>
      <c r="N627" s="107"/>
      <c r="O627" s="107"/>
      <c r="P627" s="107"/>
    </row>
    <row r="628" spans="1:16" x14ac:dyDescent="0.3">
      <c r="A628" s="58" t="str">
        <f t="shared" si="40"/>
        <v>A023530</v>
      </c>
      <c r="B628" s="59">
        <f t="shared" si="37"/>
        <v>41495</v>
      </c>
      <c r="C628" s="59" t="str">
        <f t="shared" si="38"/>
        <v/>
      </c>
      <c r="D628" s="109" t="str">
        <f t="shared" si="39"/>
        <v/>
      </c>
      <c r="E628" s="106" t="s">
        <v>651</v>
      </c>
      <c r="F628" s="58" t="s">
        <v>2107</v>
      </c>
      <c r="G628" s="106">
        <v>12</v>
      </c>
      <c r="H628" s="107">
        <v>20130809</v>
      </c>
      <c r="I628" s="107"/>
      <c r="J628" s="107"/>
      <c r="K628" s="107"/>
      <c r="L628" s="107"/>
      <c r="M628" s="107"/>
      <c r="N628" s="107"/>
      <c r="O628" s="107"/>
      <c r="P628" s="107"/>
    </row>
    <row r="629" spans="1:16" x14ac:dyDescent="0.3">
      <c r="A629" s="58" t="str">
        <f t="shared" si="40"/>
        <v>A023590</v>
      </c>
      <c r="B629" s="59" t="str">
        <f t="shared" si="37"/>
        <v/>
      </c>
      <c r="C629" s="59" t="str">
        <f t="shared" si="38"/>
        <v/>
      </c>
      <c r="D629" s="109" t="str">
        <f t="shared" si="39"/>
        <v/>
      </c>
      <c r="E629" s="106" t="s">
        <v>652</v>
      </c>
      <c r="F629" s="58" t="s">
        <v>2108</v>
      </c>
      <c r="G629" s="106">
        <v>12</v>
      </c>
      <c r="H629" s="107"/>
      <c r="I629" s="107"/>
      <c r="J629" s="107"/>
      <c r="K629" s="107"/>
      <c r="L629" s="107"/>
      <c r="M629" s="107"/>
      <c r="N629" s="107"/>
      <c r="O629" s="107"/>
      <c r="P629" s="107"/>
    </row>
    <row r="630" spans="1:16" x14ac:dyDescent="0.3">
      <c r="A630" s="58" t="str">
        <f t="shared" si="40"/>
        <v>A023600</v>
      </c>
      <c r="B630" s="59" t="str">
        <f t="shared" si="37"/>
        <v/>
      </c>
      <c r="C630" s="59" t="str">
        <f t="shared" si="38"/>
        <v/>
      </c>
      <c r="D630" s="109" t="str">
        <f t="shared" si="39"/>
        <v/>
      </c>
      <c r="E630" s="106" t="s">
        <v>653</v>
      </c>
      <c r="F630" s="58" t="s">
        <v>2109</v>
      </c>
      <c r="G630" s="106">
        <v>12</v>
      </c>
      <c r="H630" s="107"/>
      <c r="I630" s="107"/>
      <c r="J630" s="107"/>
      <c r="K630" s="107"/>
      <c r="L630" s="107"/>
      <c r="M630" s="107"/>
      <c r="N630" s="107"/>
      <c r="O630" s="107"/>
      <c r="P630" s="107"/>
    </row>
    <row r="631" spans="1:16" x14ac:dyDescent="0.3">
      <c r="A631" s="58" t="str">
        <f t="shared" si="40"/>
        <v>A023760</v>
      </c>
      <c r="B631" s="59" t="str">
        <f t="shared" si="37"/>
        <v/>
      </c>
      <c r="C631" s="59" t="str">
        <f t="shared" si="38"/>
        <v/>
      </c>
      <c r="D631" s="109" t="str">
        <f t="shared" si="39"/>
        <v/>
      </c>
      <c r="E631" s="106" t="s">
        <v>654</v>
      </c>
      <c r="F631" s="58" t="s">
        <v>2110</v>
      </c>
      <c r="G631" s="106">
        <v>3</v>
      </c>
      <c r="H631" s="107"/>
      <c r="I631" s="107"/>
      <c r="J631" s="107"/>
      <c r="K631" s="107"/>
      <c r="L631" s="107"/>
      <c r="M631" s="107"/>
      <c r="N631" s="107"/>
      <c r="O631" s="107"/>
      <c r="P631" s="107"/>
    </row>
    <row r="632" spans="1:16" x14ac:dyDescent="0.3">
      <c r="A632" s="58" t="str">
        <f t="shared" si="40"/>
        <v>A023770</v>
      </c>
      <c r="B632" s="59" t="str">
        <f t="shared" si="37"/>
        <v/>
      </c>
      <c r="C632" s="59" t="str">
        <f t="shared" si="38"/>
        <v/>
      </c>
      <c r="D632" s="109" t="str">
        <f t="shared" si="39"/>
        <v/>
      </c>
      <c r="E632" s="106" t="s">
        <v>655</v>
      </c>
      <c r="F632" s="58" t="s">
        <v>3638</v>
      </c>
      <c r="G632" s="106">
        <v>12</v>
      </c>
      <c r="H632" s="107"/>
      <c r="I632" s="107"/>
      <c r="J632" s="107"/>
      <c r="K632" s="107"/>
      <c r="L632" s="107"/>
      <c r="M632" s="107"/>
      <c r="N632" s="107"/>
      <c r="O632" s="107"/>
      <c r="P632" s="107"/>
    </row>
    <row r="633" spans="1:16" x14ac:dyDescent="0.3">
      <c r="A633" s="58" t="str">
        <f t="shared" si="40"/>
        <v>A023790</v>
      </c>
      <c r="B633" s="59" t="str">
        <f t="shared" si="37"/>
        <v/>
      </c>
      <c r="C633" s="59" t="str">
        <f t="shared" si="38"/>
        <v/>
      </c>
      <c r="D633" s="109" t="str">
        <f t="shared" si="39"/>
        <v/>
      </c>
      <c r="E633" s="106" t="s">
        <v>656</v>
      </c>
      <c r="F633" s="58" t="s">
        <v>2111</v>
      </c>
      <c r="G633" s="106">
        <v>12</v>
      </c>
      <c r="H633" s="107"/>
      <c r="I633" s="107"/>
      <c r="J633" s="107"/>
      <c r="K633" s="107"/>
      <c r="L633" s="107"/>
      <c r="M633" s="107"/>
      <c r="N633" s="107"/>
      <c r="O633" s="107"/>
      <c r="P633" s="107"/>
    </row>
    <row r="634" spans="1:16" x14ac:dyDescent="0.3">
      <c r="A634" s="58" t="str">
        <f t="shared" si="40"/>
        <v>A023800</v>
      </c>
      <c r="B634" s="59" t="str">
        <f t="shared" si="37"/>
        <v/>
      </c>
      <c r="C634" s="59" t="str">
        <f t="shared" si="38"/>
        <v/>
      </c>
      <c r="D634" s="109" t="str">
        <f t="shared" si="39"/>
        <v/>
      </c>
      <c r="E634" s="106" t="s">
        <v>657</v>
      </c>
      <c r="F634" s="58" t="s">
        <v>2112</v>
      </c>
      <c r="G634" s="106">
        <v>12</v>
      </c>
      <c r="H634" s="107"/>
      <c r="I634" s="107"/>
      <c r="J634" s="107"/>
      <c r="K634" s="107"/>
      <c r="L634" s="107"/>
      <c r="M634" s="107"/>
      <c r="N634" s="107"/>
      <c r="O634" s="107"/>
      <c r="P634" s="107"/>
    </row>
    <row r="635" spans="1:16" x14ac:dyDescent="0.3">
      <c r="A635" s="58" t="str">
        <f t="shared" si="40"/>
        <v>A023810</v>
      </c>
      <c r="B635" s="59" t="str">
        <f t="shared" si="37"/>
        <v/>
      </c>
      <c r="C635" s="59" t="str">
        <f t="shared" si="38"/>
        <v/>
      </c>
      <c r="D635" s="109" t="str">
        <f t="shared" si="39"/>
        <v/>
      </c>
      <c r="E635" s="106" t="s">
        <v>658</v>
      </c>
      <c r="F635" s="58" t="s">
        <v>2113</v>
      </c>
      <c r="G635" s="106">
        <v>12</v>
      </c>
      <c r="H635" s="107"/>
      <c r="I635" s="107"/>
      <c r="J635" s="107"/>
      <c r="K635" s="107"/>
      <c r="L635" s="107"/>
      <c r="M635" s="107"/>
      <c r="N635" s="107"/>
      <c r="O635" s="107"/>
      <c r="P635" s="107"/>
    </row>
    <row r="636" spans="1:16" x14ac:dyDescent="0.3">
      <c r="A636" s="58" t="str">
        <f t="shared" si="40"/>
        <v>A023890</v>
      </c>
      <c r="B636" s="59">
        <f t="shared" si="37"/>
        <v>41484</v>
      </c>
      <c r="C636" s="59">
        <f t="shared" si="38"/>
        <v>41484</v>
      </c>
      <c r="D636" s="109">
        <f t="shared" si="39"/>
        <v>19.04</v>
      </c>
      <c r="E636" s="106" t="s">
        <v>659</v>
      </c>
      <c r="F636" s="58" t="s">
        <v>2114</v>
      </c>
      <c r="G636" s="106">
        <v>12</v>
      </c>
      <c r="H636" s="107">
        <v>20130729</v>
      </c>
      <c r="I636" s="107">
        <v>20130729</v>
      </c>
      <c r="J636" s="107">
        <v>19.04</v>
      </c>
      <c r="K636" s="107"/>
      <c r="L636" s="107"/>
      <c r="M636" s="107"/>
      <c r="N636" s="107"/>
      <c r="O636" s="107"/>
      <c r="P636" s="107"/>
    </row>
    <row r="637" spans="1:16" x14ac:dyDescent="0.3">
      <c r="A637" s="58" t="str">
        <f t="shared" si="40"/>
        <v>A023900</v>
      </c>
      <c r="B637" s="59" t="str">
        <f t="shared" si="37"/>
        <v/>
      </c>
      <c r="C637" s="59" t="str">
        <f t="shared" si="38"/>
        <v/>
      </c>
      <c r="D637" s="109" t="str">
        <f t="shared" si="39"/>
        <v/>
      </c>
      <c r="E637" s="106" t="s">
        <v>660</v>
      </c>
      <c r="F637" s="58" t="s">
        <v>2115</v>
      </c>
      <c r="G637" s="106">
        <v>12</v>
      </c>
      <c r="H637" s="107"/>
      <c r="I637" s="107"/>
      <c r="J637" s="107"/>
      <c r="K637" s="107"/>
      <c r="L637" s="107"/>
      <c r="M637" s="107"/>
      <c r="N637" s="107"/>
      <c r="O637" s="107"/>
      <c r="P637" s="107"/>
    </row>
    <row r="638" spans="1:16" x14ac:dyDescent="0.3">
      <c r="A638" s="58" t="str">
        <f t="shared" si="40"/>
        <v>A023910</v>
      </c>
      <c r="B638" s="59" t="str">
        <f t="shared" si="37"/>
        <v/>
      </c>
      <c r="C638" s="59" t="str">
        <f t="shared" si="38"/>
        <v/>
      </c>
      <c r="D638" s="109" t="str">
        <f t="shared" si="39"/>
        <v/>
      </c>
      <c r="E638" s="106" t="s">
        <v>661</v>
      </c>
      <c r="F638" s="58" t="s">
        <v>2116</v>
      </c>
      <c r="G638" s="106">
        <v>12</v>
      </c>
      <c r="H638" s="107"/>
      <c r="I638" s="107"/>
      <c r="J638" s="107"/>
      <c r="K638" s="107"/>
      <c r="L638" s="107"/>
      <c r="M638" s="107"/>
      <c r="N638" s="107"/>
      <c r="O638" s="107"/>
      <c r="P638" s="107"/>
    </row>
    <row r="639" spans="1:16" x14ac:dyDescent="0.3">
      <c r="A639" s="58" t="str">
        <f t="shared" si="40"/>
        <v>A023960</v>
      </c>
      <c r="B639" s="59" t="str">
        <f t="shared" si="37"/>
        <v/>
      </c>
      <c r="C639" s="59" t="str">
        <f t="shared" si="38"/>
        <v/>
      </c>
      <c r="D639" s="109" t="str">
        <f t="shared" si="39"/>
        <v/>
      </c>
      <c r="E639" s="106" t="s">
        <v>662</v>
      </c>
      <c r="F639" s="58" t="s">
        <v>2117</v>
      </c>
      <c r="G639" s="106">
        <v>12</v>
      </c>
      <c r="H639" s="107"/>
      <c r="I639" s="107"/>
      <c r="J639" s="107"/>
      <c r="K639" s="107"/>
      <c r="L639" s="107"/>
      <c r="M639" s="107"/>
      <c r="N639" s="107"/>
      <c r="O639" s="107"/>
      <c r="P639" s="107"/>
    </row>
    <row r="640" spans="1:16" x14ac:dyDescent="0.3">
      <c r="A640" s="58" t="str">
        <f t="shared" si="40"/>
        <v>A024060</v>
      </c>
      <c r="B640" s="59" t="str">
        <f t="shared" si="37"/>
        <v/>
      </c>
      <c r="C640" s="59" t="str">
        <f t="shared" si="38"/>
        <v/>
      </c>
      <c r="D640" s="109" t="str">
        <f t="shared" si="39"/>
        <v/>
      </c>
      <c r="E640" s="106" t="s">
        <v>663</v>
      </c>
      <c r="F640" s="58" t="s">
        <v>2118</v>
      </c>
      <c r="G640" s="106">
        <v>12</v>
      </c>
      <c r="H640" s="107"/>
      <c r="I640" s="107"/>
      <c r="J640" s="107"/>
      <c r="K640" s="107"/>
      <c r="L640" s="107"/>
      <c r="M640" s="107"/>
      <c r="N640" s="107"/>
      <c r="O640" s="107"/>
      <c r="P640" s="107"/>
    </row>
    <row r="641" spans="1:16" x14ac:dyDescent="0.3">
      <c r="A641" s="58" t="str">
        <f t="shared" si="40"/>
        <v>A024070</v>
      </c>
      <c r="B641" s="59" t="str">
        <f t="shared" si="37"/>
        <v/>
      </c>
      <c r="C641" s="59" t="str">
        <f t="shared" si="38"/>
        <v/>
      </c>
      <c r="D641" s="109" t="str">
        <f t="shared" si="39"/>
        <v/>
      </c>
      <c r="E641" s="106" t="s">
        <v>664</v>
      </c>
      <c r="F641" s="58" t="s">
        <v>2119</v>
      </c>
      <c r="G641" s="106">
        <v>12</v>
      </c>
      <c r="H641" s="107"/>
      <c r="I641" s="107"/>
      <c r="J641" s="107"/>
      <c r="K641" s="107"/>
      <c r="L641" s="107"/>
      <c r="M641" s="107"/>
      <c r="N641" s="107"/>
      <c r="O641" s="107"/>
      <c r="P641" s="107"/>
    </row>
    <row r="642" spans="1:16" x14ac:dyDescent="0.3">
      <c r="A642" s="58" t="str">
        <f t="shared" si="40"/>
        <v>A024090</v>
      </c>
      <c r="B642" s="59" t="str">
        <f t="shared" si="37"/>
        <v/>
      </c>
      <c r="C642" s="59" t="str">
        <f t="shared" si="38"/>
        <v/>
      </c>
      <c r="D642" s="109" t="str">
        <f t="shared" si="39"/>
        <v/>
      </c>
      <c r="E642" s="106" t="s">
        <v>665</v>
      </c>
      <c r="F642" s="58" t="s">
        <v>2120</v>
      </c>
      <c r="G642" s="106">
        <v>12</v>
      </c>
      <c r="H642" s="107"/>
      <c r="I642" s="107"/>
      <c r="J642" s="107"/>
      <c r="K642" s="107"/>
      <c r="L642" s="107"/>
      <c r="M642" s="107"/>
      <c r="N642" s="107"/>
      <c r="O642" s="107"/>
      <c r="P642" s="107"/>
    </row>
    <row r="643" spans="1:16" x14ac:dyDescent="0.3">
      <c r="A643" s="58" t="str">
        <f t="shared" si="40"/>
        <v>A024110</v>
      </c>
      <c r="B643" s="59">
        <f t="shared" si="37"/>
        <v>41488</v>
      </c>
      <c r="C643" s="59" t="str">
        <f t="shared" si="38"/>
        <v/>
      </c>
      <c r="D643" s="109" t="str">
        <f t="shared" si="39"/>
        <v/>
      </c>
      <c r="E643" s="106" t="s">
        <v>666</v>
      </c>
      <c r="F643" s="58" t="s">
        <v>2121</v>
      </c>
      <c r="G643" s="106">
        <v>12</v>
      </c>
      <c r="H643" s="107">
        <v>20130802</v>
      </c>
      <c r="I643" s="107"/>
      <c r="J643" s="107"/>
      <c r="K643" s="107"/>
      <c r="L643" s="107"/>
      <c r="M643" s="107"/>
      <c r="N643" s="107"/>
      <c r="O643" s="107"/>
      <c r="P643" s="107"/>
    </row>
    <row r="644" spans="1:16" x14ac:dyDescent="0.3">
      <c r="A644" s="58" t="str">
        <f t="shared" si="40"/>
        <v>A024120</v>
      </c>
      <c r="B644" s="59" t="str">
        <f t="shared" si="37"/>
        <v/>
      </c>
      <c r="C644" s="59" t="str">
        <f t="shared" si="38"/>
        <v/>
      </c>
      <c r="D644" s="109" t="str">
        <f t="shared" si="39"/>
        <v/>
      </c>
      <c r="E644" s="106" t="s">
        <v>667</v>
      </c>
      <c r="F644" s="58" t="s">
        <v>2122</v>
      </c>
      <c r="G644" s="106">
        <v>12</v>
      </c>
      <c r="H644" s="107"/>
      <c r="I644" s="107"/>
      <c r="J644" s="107"/>
      <c r="K644" s="107"/>
      <c r="L644" s="107"/>
      <c r="M644" s="107"/>
      <c r="N644" s="107"/>
      <c r="O644" s="107"/>
      <c r="P644" s="107"/>
    </row>
    <row r="645" spans="1:16" x14ac:dyDescent="0.3">
      <c r="A645" s="58" t="str">
        <f t="shared" si="40"/>
        <v>A024660</v>
      </c>
      <c r="B645" s="59" t="str">
        <f t="shared" si="37"/>
        <v/>
      </c>
      <c r="C645" s="59" t="str">
        <f t="shared" si="38"/>
        <v/>
      </c>
      <c r="D645" s="109" t="str">
        <f t="shared" si="39"/>
        <v/>
      </c>
      <c r="E645" s="106" t="s">
        <v>668</v>
      </c>
      <c r="F645" s="58" t="s">
        <v>2123</v>
      </c>
      <c r="G645" s="106">
        <v>12</v>
      </c>
      <c r="H645" s="107"/>
      <c r="I645" s="107"/>
      <c r="J645" s="107"/>
      <c r="K645" s="107"/>
      <c r="L645" s="107"/>
      <c r="M645" s="107"/>
      <c r="N645" s="107"/>
      <c r="O645" s="107"/>
      <c r="P645" s="107"/>
    </row>
    <row r="646" spans="1:16" x14ac:dyDescent="0.3">
      <c r="A646" s="58" t="str">
        <f t="shared" si="40"/>
        <v>A024720</v>
      </c>
      <c r="B646" s="59" t="str">
        <f t="shared" si="37"/>
        <v/>
      </c>
      <c r="C646" s="59" t="str">
        <f t="shared" si="38"/>
        <v/>
      </c>
      <c r="D646" s="109" t="str">
        <f t="shared" si="39"/>
        <v/>
      </c>
      <c r="E646" s="106" t="s">
        <v>669</v>
      </c>
      <c r="F646" s="58" t="s">
        <v>3094</v>
      </c>
      <c r="G646" s="106">
        <v>3</v>
      </c>
      <c r="H646" s="107"/>
      <c r="I646" s="107"/>
      <c r="J646" s="107"/>
      <c r="K646" s="107"/>
      <c r="L646" s="107"/>
      <c r="M646" s="107"/>
      <c r="N646" s="107"/>
      <c r="O646" s="107"/>
      <c r="P646" s="107"/>
    </row>
    <row r="647" spans="1:16" x14ac:dyDescent="0.3">
      <c r="A647" s="58" t="str">
        <f t="shared" si="40"/>
        <v>A024740</v>
      </c>
      <c r="B647" s="59" t="str">
        <f t="shared" si="37"/>
        <v/>
      </c>
      <c r="C647" s="59" t="str">
        <f t="shared" si="38"/>
        <v/>
      </c>
      <c r="D647" s="109" t="str">
        <f t="shared" si="39"/>
        <v/>
      </c>
      <c r="E647" s="106" t="s">
        <v>670</v>
      </c>
      <c r="F647" s="58" t="s">
        <v>2124</v>
      </c>
      <c r="G647" s="106">
        <v>12</v>
      </c>
      <c r="H647" s="107"/>
      <c r="I647" s="107"/>
      <c r="J647" s="107"/>
      <c r="K647" s="107"/>
      <c r="L647" s="107"/>
      <c r="M647" s="107"/>
      <c r="N647" s="107"/>
      <c r="O647" s="107"/>
      <c r="P647" s="107"/>
    </row>
    <row r="648" spans="1:16" x14ac:dyDescent="0.3">
      <c r="A648" s="58" t="str">
        <f t="shared" si="40"/>
        <v>A024800</v>
      </c>
      <c r="B648" s="59" t="str">
        <f t="shared" si="37"/>
        <v/>
      </c>
      <c r="C648" s="59" t="str">
        <f t="shared" si="38"/>
        <v/>
      </c>
      <c r="D648" s="109" t="str">
        <f t="shared" si="39"/>
        <v/>
      </c>
      <c r="E648" s="106" t="s">
        <v>671</v>
      </c>
      <c r="F648" s="58" t="s">
        <v>2125</v>
      </c>
      <c r="G648" s="106">
        <v>12</v>
      </c>
      <c r="H648" s="107"/>
      <c r="I648" s="107"/>
      <c r="J648" s="107"/>
      <c r="K648" s="107"/>
      <c r="L648" s="107"/>
      <c r="M648" s="107"/>
      <c r="N648" s="107"/>
      <c r="O648" s="107"/>
      <c r="P648" s="107"/>
    </row>
    <row r="649" spans="1:16" x14ac:dyDescent="0.3">
      <c r="A649" s="58" t="str">
        <f t="shared" si="40"/>
        <v>A024810</v>
      </c>
      <c r="B649" s="59" t="str">
        <f t="shared" si="37"/>
        <v/>
      </c>
      <c r="C649" s="59" t="str">
        <f t="shared" si="38"/>
        <v/>
      </c>
      <c r="D649" s="109" t="str">
        <f t="shared" si="39"/>
        <v/>
      </c>
      <c r="E649" s="106" t="s">
        <v>672</v>
      </c>
      <c r="F649" s="58" t="s">
        <v>2126</v>
      </c>
      <c r="G649" s="106">
        <v>12</v>
      </c>
      <c r="H649" s="107"/>
      <c r="I649" s="107"/>
      <c r="J649" s="107"/>
      <c r="K649" s="107"/>
      <c r="L649" s="107"/>
      <c r="M649" s="107"/>
      <c r="N649" s="107"/>
      <c r="O649" s="107"/>
      <c r="P649" s="107"/>
    </row>
    <row r="650" spans="1:16" x14ac:dyDescent="0.3">
      <c r="A650" s="58" t="str">
        <f t="shared" si="40"/>
        <v>A024830</v>
      </c>
      <c r="B650" s="59" t="str">
        <f t="shared" si="37"/>
        <v/>
      </c>
      <c r="C650" s="59" t="str">
        <f t="shared" si="38"/>
        <v/>
      </c>
      <c r="D650" s="109" t="str">
        <f t="shared" si="39"/>
        <v/>
      </c>
      <c r="E650" s="106" t="s">
        <v>673</v>
      </c>
      <c r="F650" s="58" t="s">
        <v>2127</v>
      </c>
      <c r="G650" s="106">
        <v>12</v>
      </c>
      <c r="H650" s="107"/>
      <c r="I650" s="107"/>
      <c r="J650" s="107"/>
      <c r="K650" s="107"/>
      <c r="L650" s="107"/>
      <c r="M650" s="107"/>
      <c r="N650" s="107"/>
      <c r="O650" s="107"/>
      <c r="P650" s="107"/>
    </row>
    <row r="651" spans="1:16" x14ac:dyDescent="0.3">
      <c r="A651" s="58" t="str">
        <f t="shared" si="40"/>
        <v>A024840</v>
      </c>
      <c r="B651" s="59" t="str">
        <f t="shared" si="37"/>
        <v/>
      </c>
      <c r="C651" s="59" t="str">
        <f t="shared" si="38"/>
        <v/>
      </c>
      <c r="D651" s="109" t="str">
        <f t="shared" si="39"/>
        <v/>
      </c>
      <c r="E651" s="106" t="s">
        <v>674</v>
      </c>
      <c r="F651" s="58" t="s">
        <v>3639</v>
      </c>
      <c r="G651" s="106">
        <v>12</v>
      </c>
      <c r="H651" s="107"/>
      <c r="I651" s="107"/>
      <c r="J651" s="107"/>
      <c r="K651" s="107"/>
      <c r="L651" s="107"/>
      <c r="M651" s="107"/>
      <c r="N651" s="107"/>
      <c r="O651" s="107"/>
      <c r="P651" s="107"/>
    </row>
    <row r="652" spans="1:16" x14ac:dyDescent="0.3">
      <c r="A652" s="58" t="str">
        <f t="shared" si="40"/>
        <v>A024850</v>
      </c>
      <c r="B652" s="59" t="str">
        <f t="shared" si="37"/>
        <v/>
      </c>
      <c r="C652" s="59" t="str">
        <f t="shared" si="38"/>
        <v/>
      </c>
      <c r="D652" s="109" t="str">
        <f t="shared" si="39"/>
        <v/>
      </c>
      <c r="E652" s="106" t="s">
        <v>675</v>
      </c>
      <c r="F652" s="58" t="s">
        <v>2128</v>
      </c>
      <c r="G652" s="106">
        <v>12</v>
      </c>
      <c r="H652" s="107"/>
      <c r="I652" s="107"/>
      <c r="J652" s="107"/>
      <c r="K652" s="107"/>
      <c r="L652" s="107"/>
      <c r="M652" s="107"/>
      <c r="N652" s="107"/>
      <c r="O652" s="107"/>
      <c r="P652" s="107"/>
    </row>
    <row r="653" spans="1:16" x14ac:dyDescent="0.3">
      <c r="A653" s="58" t="str">
        <f t="shared" si="40"/>
        <v>A024880</v>
      </c>
      <c r="B653" s="59" t="str">
        <f t="shared" si="37"/>
        <v/>
      </c>
      <c r="C653" s="59" t="str">
        <f t="shared" si="38"/>
        <v/>
      </c>
      <c r="D653" s="109" t="str">
        <f t="shared" si="39"/>
        <v/>
      </c>
      <c r="E653" s="106" t="s">
        <v>676</v>
      </c>
      <c r="F653" s="58" t="s">
        <v>2129</v>
      </c>
      <c r="G653" s="106">
        <v>12</v>
      </c>
      <c r="H653" s="107"/>
      <c r="I653" s="107"/>
      <c r="J653" s="107"/>
      <c r="K653" s="107"/>
      <c r="L653" s="107"/>
      <c r="M653" s="107"/>
      <c r="N653" s="107"/>
      <c r="O653" s="107"/>
      <c r="P653" s="107"/>
    </row>
    <row r="654" spans="1:16" x14ac:dyDescent="0.3">
      <c r="A654" s="58" t="str">
        <f t="shared" si="40"/>
        <v>A024890</v>
      </c>
      <c r="B654" s="59" t="str">
        <f t="shared" si="37"/>
        <v/>
      </c>
      <c r="C654" s="59" t="str">
        <f t="shared" si="38"/>
        <v/>
      </c>
      <c r="D654" s="109" t="str">
        <f t="shared" si="39"/>
        <v/>
      </c>
      <c r="E654" s="106" t="s">
        <v>677</v>
      </c>
      <c r="F654" s="58" t="s">
        <v>2130</v>
      </c>
      <c r="G654" s="106">
        <v>12</v>
      </c>
      <c r="H654" s="107"/>
      <c r="I654" s="107"/>
      <c r="J654" s="107"/>
      <c r="K654" s="107"/>
      <c r="L654" s="107"/>
      <c r="M654" s="107"/>
      <c r="N654" s="107"/>
      <c r="O654" s="107"/>
      <c r="P654" s="107"/>
    </row>
    <row r="655" spans="1:16" x14ac:dyDescent="0.3">
      <c r="A655" s="58" t="str">
        <f t="shared" si="40"/>
        <v>A024900</v>
      </c>
      <c r="B655" s="59" t="str">
        <f t="shared" ref="B655:B718" si="41">IFERROR(IF(ISNUMBER(H655),DATE(LEFT(H655,4),MID(H655,5,2),RIGHT(H655,2)),NA()),"")</f>
        <v/>
      </c>
      <c r="C655" s="59" t="str">
        <f t="shared" ref="C655:C718" si="42">IFERROR(IF(ISNUMBER(I655),DATE(LEFT(I655,4),MID(I655,5,2),RIGHT(I655,2)),NA()),"")</f>
        <v/>
      </c>
      <c r="D655" s="109" t="str">
        <f t="shared" ref="D655:D718" si="43">IFERROR(IF(ISNUMBER(J655),J655,NA()),"")</f>
        <v/>
      </c>
      <c r="E655" s="106" t="s">
        <v>678</v>
      </c>
      <c r="F655" s="58" t="s">
        <v>2131</v>
      </c>
      <c r="G655" s="106">
        <v>12</v>
      </c>
      <c r="H655" s="107"/>
      <c r="I655" s="107"/>
      <c r="J655" s="107"/>
      <c r="K655" s="107"/>
      <c r="L655" s="107"/>
      <c r="M655" s="107"/>
      <c r="N655" s="107"/>
      <c r="O655" s="107"/>
      <c r="P655" s="107"/>
    </row>
    <row r="656" spans="1:16" x14ac:dyDescent="0.3">
      <c r="A656" s="58" t="str">
        <f t="shared" si="40"/>
        <v>A024910</v>
      </c>
      <c r="B656" s="59" t="str">
        <f t="shared" si="41"/>
        <v/>
      </c>
      <c r="C656" s="59" t="str">
        <f t="shared" si="42"/>
        <v/>
      </c>
      <c r="D656" s="109" t="str">
        <f t="shared" si="43"/>
        <v/>
      </c>
      <c r="E656" s="106" t="s">
        <v>679</v>
      </c>
      <c r="F656" s="58" t="s">
        <v>2132</v>
      </c>
      <c r="G656" s="106">
        <v>12</v>
      </c>
      <c r="H656" s="107"/>
      <c r="I656" s="107"/>
      <c r="J656" s="107"/>
      <c r="K656" s="107"/>
      <c r="L656" s="107"/>
      <c r="M656" s="107"/>
      <c r="N656" s="107"/>
      <c r="O656" s="107"/>
      <c r="P656" s="107"/>
    </row>
    <row r="657" spans="1:16" x14ac:dyDescent="0.3">
      <c r="A657" s="58" t="str">
        <f t="shared" si="40"/>
        <v>A024940</v>
      </c>
      <c r="B657" s="59" t="str">
        <f t="shared" si="41"/>
        <v/>
      </c>
      <c r="C657" s="59" t="str">
        <f t="shared" si="42"/>
        <v/>
      </c>
      <c r="D657" s="109" t="str">
        <f t="shared" si="43"/>
        <v/>
      </c>
      <c r="E657" s="106" t="s">
        <v>680</v>
      </c>
      <c r="F657" s="58" t="s">
        <v>2133</v>
      </c>
      <c r="G657" s="106">
        <v>12</v>
      </c>
      <c r="H657" s="107"/>
      <c r="I657" s="107"/>
      <c r="J657" s="107"/>
      <c r="K657" s="107"/>
      <c r="L657" s="107"/>
      <c r="M657" s="107"/>
      <c r="N657" s="107"/>
      <c r="O657" s="107"/>
      <c r="P657" s="107"/>
    </row>
    <row r="658" spans="1:16" x14ac:dyDescent="0.3">
      <c r="A658" s="58" t="str">
        <f t="shared" si="40"/>
        <v>A024950</v>
      </c>
      <c r="B658" s="59" t="str">
        <f t="shared" si="41"/>
        <v/>
      </c>
      <c r="C658" s="59" t="str">
        <f t="shared" si="42"/>
        <v/>
      </c>
      <c r="D658" s="109" t="str">
        <f t="shared" si="43"/>
        <v/>
      </c>
      <c r="E658" s="106" t="s">
        <v>681</v>
      </c>
      <c r="F658" s="58" t="s">
        <v>2134</v>
      </c>
      <c r="G658" s="106">
        <v>12</v>
      </c>
      <c r="H658" s="107"/>
      <c r="I658" s="107"/>
      <c r="J658" s="107"/>
      <c r="K658" s="107"/>
      <c r="L658" s="107"/>
      <c r="M658" s="107"/>
      <c r="N658" s="107"/>
      <c r="O658" s="107"/>
      <c r="P658" s="107"/>
    </row>
    <row r="659" spans="1:16" x14ac:dyDescent="0.3">
      <c r="A659" s="58" t="str">
        <f t="shared" si="40"/>
        <v>A025000</v>
      </c>
      <c r="B659" s="59" t="str">
        <f t="shared" si="41"/>
        <v/>
      </c>
      <c r="C659" s="59" t="str">
        <f t="shared" si="42"/>
        <v/>
      </c>
      <c r="D659" s="109" t="str">
        <f t="shared" si="43"/>
        <v/>
      </c>
      <c r="E659" s="106" t="s">
        <v>682</v>
      </c>
      <c r="F659" s="58" t="s">
        <v>2135</v>
      </c>
      <c r="G659" s="106">
        <v>12</v>
      </c>
      <c r="H659" s="107"/>
      <c r="I659" s="107"/>
      <c r="J659" s="107"/>
      <c r="K659" s="107"/>
      <c r="L659" s="107"/>
      <c r="M659" s="107"/>
      <c r="N659" s="107"/>
      <c r="O659" s="107"/>
      <c r="P659" s="107"/>
    </row>
    <row r="660" spans="1:16" x14ac:dyDescent="0.3">
      <c r="A660" s="58" t="str">
        <f t="shared" si="40"/>
        <v>A025270</v>
      </c>
      <c r="B660" s="59" t="str">
        <f t="shared" si="41"/>
        <v/>
      </c>
      <c r="C660" s="59" t="str">
        <f t="shared" si="42"/>
        <v/>
      </c>
      <c r="D660" s="109" t="str">
        <f t="shared" si="43"/>
        <v/>
      </c>
      <c r="E660" s="106" t="s">
        <v>683</v>
      </c>
      <c r="F660" s="58" t="s">
        <v>2136</v>
      </c>
      <c r="G660" s="106">
        <v>12</v>
      </c>
      <c r="H660" s="107"/>
      <c r="I660" s="107"/>
      <c r="J660" s="107"/>
      <c r="K660" s="107"/>
      <c r="L660" s="107"/>
      <c r="M660" s="107"/>
      <c r="N660" s="107"/>
      <c r="O660" s="107"/>
      <c r="P660" s="107"/>
    </row>
    <row r="661" spans="1:16" x14ac:dyDescent="0.3">
      <c r="A661" s="58" t="str">
        <f t="shared" si="40"/>
        <v>A025320</v>
      </c>
      <c r="B661" s="59" t="str">
        <f t="shared" si="41"/>
        <v/>
      </c>
      <c r="C661" s="59" t="str">
        <f t="shared" si="42"/>
        <v/>
      </c>
      <c r="D661" s="109" t="str">
        <f t="shared" si="43"/>
        <v/>
      </c>
      <c r="E661" s="106" t="s">
        <v>684</v>
      </c>
      <c r="F661" s="58" t="s">
        <v>2137</v>
      </c>
      <c r="G661" s="106">
        <v>12</v>
      </c>
      <c r="H661" s="107"/>
      <c r="I661" s="107"/>
      <c r="J661" s="107"/>
      <c r="K661" s="107"/>
      <c r="L661" s="107"/>
      <c r="M661" s="107"/>
      <c r="N661" s="107"/>
      <c r="O661" s="107"/>
      <c r="P661" s="107"/>
    </row>
    <row r="662" spans="1:16" x14ac:dyDescent="0.3">
      <c r="A662" s="58" t="str">
        <f t="shared" ref="A662:A725" si="44">E662</f>
        <v>A025440</v>
      </c>
      <c r="B662" s="59" t="str">
        <f t="shared" si="41"/>
        <v/>
      </c>
      <c r="C662" s="59" t="str">
        <f t="shared" si="42"/>
        <v/>
      </c>
      <c r="D662" s="109" t="str">
        <f t="shared" si="43"/>
        <v/>
      </c>
      <c r="E662" s="106" t="s">
        <v>685</v>
      </c>
      <c r="F662" s="58" t="s">
        <v>2138</v>
      </c>
      <c r="G662" s="106">
        <v>12</v>
      </c>
      <c r="H662" s="107"/>
      <c r="I662" s="107"/>
      <c r="J662" s="107"/>
      <c r="K662" s="107"/>
      <c r="L662" s="107"/>
      <c r="M662" s="107"/>
      <c r="N662" s="107"/>
      <c r="O662" s="107"/>
      <c r="P662" s="107"/>
    </row>
    <row r="663" spans="1:16" x14ac:dyDescent="0.3">
      <c r="A663" s="58" t="str">
        <f t="shared" si="44"/>
        <v>A025530</v>
      </c>
      <c r="B663" s="59" t="str">
        <f t="shared" si="41"/>
        <v/>
      </c>
      <c r="C663" s="59" t="str">
        <f t="shared" si="42"/>
        <v/>
      </c>
      <c r="D663" s="109" t="str">
        <f t="shared" si="43"/>
        <v/>
      </c>
      <c r="E663" s="106" t="s">
        <v>686</v>
      </c>
      <c r="F663" s="58" t="s">
        <v>2139</v>
      </c>
      <c r="G663" s="106">
        <v>12</v>
      </c>
      <c r="H663" s="107"/>
      <c r="I663" s="107"/>
      <c r="J663" s="107"/>
      <c r="K663" s="107"/>
      <c r="L663" s="107"/>
      <c r="M663" s="107"/>
      <c r="N663" s="107"/>
      <c r="O663" s="107"/>
      <c r="P663" s="107"/>
    </row>
    <row r="664" spans="1:16" x14ac:dyDescent="0.3">
      <c r="A664" s="58" t="str">
        <f t="shared" si="44"/>
        <v>A025540</v>
      </c>
      <c r="B664" s="59" t="str">
        <f t="shared" si="41"/>
        <v/>
      </c>
      <c r="C664" s="59" t="str">
        <f t="shared" si="42"/>
        <v/>
      </c>
      <c r="D664" s="109" t="str">
        <f t="shared" si="43"/>
        <v/>
      </c>
      <c r="E664" s="106" t="s">
        <v>687</v>
      </c>
      <c r="F664" s="58" t="s">
        <v>2140</v>
      </c>
      <c r="G664" s="106">
        <v>12</v>
      </c>
      <c r="H664" s="107"/>
      <c r="I664" s="107"/>
      <c r="J664" s="107"/>
      <c r="K664" s="107"/>
      <c r="L664" s="107"/>
      <c r="M664" s="107"/>
      <c r="N664" s="107"/>
      <c r="O664" s="107"/>
      <c r="P664" s="107"/>
    </row>
    <row r="665" spans="1:16" x14ac:dyDescent="0.3">
      <c r="A665" s="58" t="str">
        <f t="shared" si="44"/>
        <v>A025550</v>
      </c>
      <c r="B665" s="59" t="str">
        <f t="shared" si="41"/>
        <v/>
      </c>
      <c r="C665" s="59" t="str">
        <f t="shared" si="42"/>
        <v/>
      </c>
      <c r="D665" s="109" t="str">
        <f t="shared" si="43"/>
        <v/>
      </c>
      <c r="E665" s="106" t="s">
        <v>688</v>
      </c>
      <c r="F665" s="58" t="s">
        <v>2141</v>
      </c>
      <c r="G665" s="106">
        <v>12</v>
      </c>
      <c r="H665" s="107"/>
      <c r="I665" s="107"/>
      <c r="J665" s="107"/>
      <c r="K665" s="107"/>
      <c r="L665" s="107"/>
      <c r="M665" s="107"/>
      <c r="N665" s="107"/>
      <c r="O665" s="107"/>
      <c r="P665" s="107"/>
    </row>
    <row r="666" spans="1:16" x14ac:dyDescent="0.3">
      <c r="A666" s="58" t="str">
        <f t="shared" si="44"/>
        <v>A025560</v>
      </c>
      <c r="B666" s="59" t="str">
        <f t="shared" si="41"/>
        <v/>
      </c>
      <c r="C666" s="59" t="str">
        <f t="shared" si="42"/>
        <v/>
      </c>
      <c r="D666" s="109" t="str">
        <f t="shared" si="43"/>
        <v/>
      </c>
      <c r="E666" s="106" t="s">
        <v>689</v>
      </c>
      <c r="F666" s="58" t="s">
        <v>2142</v>
      </c>
      <c r="G666" s="106">
        <v>12</v>
      </c>
      <c r="H666" s="107"/>
      <c r="I666" s="107"/>
      <c r="J666" s="107"/>
      <c r="K666" s="107"/>
      <c r="L666" s="107"/>
      <c r="M666" s="107"/>
      <c r="N666" s="107"/>
      <c r="O666" s="107"/>
      <c r="P666" s="107"/>
    </row>
    <row r="667" spans="1:16" x14ac:dyDescent="0.3">
      <c r="A667" s="58" t="str">
        <f t="shared" si="44"/>
        <v>A025620</v>
      </c>
      <c r="B667" s="59" t="str">
        <f t="shared" si="41"/>
        <v/>
      </c>
      <c r="C667" s="59" t="str">
        <f t="shared" si="42"/>
        <v/>
      </c>
      <c r="D667" s="109" t="str">
        <f t="shared" si="43"/>
        <v/>
      </c>
      <c r="E667" s="106" t="s">
        <v>690</v>
      </c>
      <c r="F667" s="58" t="s">
        <v>2143</v>
      </c>
      <c r="G667" s="106">
        <v>12</v>
      </c>
      <c r="H667" s="107"/>
      <c r="I667" s="107"/>
      <c r="J667" s="107"/>
      <c r="K667" s="107"/>
      <c r="L667" s="107"/>
      <c r="M667" s="107"/>
      <c r="N667" s="107"/>
      <c r="O667" s="107"/>
      <c r="P667" s="107"/>
    </row>
    <row r="668" spans="1:16" x14ac:dyDescent="0.3">
      <c r="A668" s="58" t="str">
        <f t="shared" si="44"/>
        <v>A025750</v>
      </c>
      <c r="B668" s="59" t="str">
        <f t="shared" si="41"/>
        <v/>
      </c>
      <c r="C668" s="59" t="str">
        <f t="shared" si="42"/>
        <v/>
      </c>
      <c r="D668" s="109" t="str">
        <f t="shared" si="43"/>
        <v/>
      </c>
      <c r="E668" s="106" t="s">
        <v>691</v>
      </c>
      <c r="F668" s="58" t="s">
        <v>2144</v>
      </c>
      <c r="G668" s="106">
        <v>12</v>
      </c>
      <c r="H668" s="107"/>
      <c r="I668" s="107"/>
      <c r="J668" s="107"/>
      <c r="K668" s="107"/>
      <c r="L668" s="107"/>
      <c r="M668" s="107"/>
      <c r="N668" s="107"/>
      <c r="O668" s="107"/>
      <c r="P668" s="107"/>
    </row>
    <row r="669" spans="1:16" x14ac:dyDescent="0.3">
      <c r="A669" s="58" t="str">
        <f t="shared" si="44"/>
        <v>A025770</v>
      </c>
      <c r="B669" s="59" t="str">
        <f t="shared" si="41"/>
        <v/>
      </c>
      <c r="C669" s="59" t="str">
        <f t="shared" si="42"/>
        <v/>
      </c>
      <c r="D669" s="109" t="str">
        <f t="shared" si="43"/>
        <v/>
      </c>
      <c r="E669" s="106" t="s">
        <v>692</v>
      </c>
      <c r="F669" s="58" t="s">
        <v>2145</v>
      </c>
      <c r="G669" s="106">
        <v>12</v>
      </c>
      <c r="H669" s="107"/>
      <c r="I669" s="107"/>
      <c r="J669" s="107"/>
      <c r="K669" s="107"/>
      <c r="L669" s="107"/>
      <c r="M669" s="107"/>
      <c r="N669" s="107"/>
      <c r="O669" s="107"/>
      <c r="P669" s="107"/>
    </row>
    <row r="670" spans="1:16" x14ac:dyDescent="0.3">
      <c r="A670" s="58" t="str">
        <f t="shared" si="44"/>
        <v>A025820</v>
      </c>
      <c r="B670" s="59" t="str">
        <f t="shared" si="41"/>
        <v/>
      </c>
      <c r="C670" s="59" t="str">
        <f t="shared" si="42"/>
        <v/>
      </c>
      <c r="D670" s="109" t="str">
        <f t="shared" si="43"/>
        <v/>
      </c>
      <c r="E670" s="106" t="s">
        <v>693</v>
      </c>
      <c r="F670" s="58" t="s">
        <v>2146</v>
      </c>
      <c r="G670" s="106">
        <v>12</v>
      </c>
      <c r="H670" s="107"/>
      <c r="I670" s="107"/>
      <c r="J670" s="107"/>
      <c r="K670" s="107"/>
      <c r="L670" s="107"/>
      <c r="M670" s="107"/>
      <c r="N670" s="107"/>
      <c r="O670" s="107"/>
      <c r="P670" s="107"/>
    </row>
    <row r="671" spans="1:16" x14ac:dyDescent="0.3">
      <c r="A671" s="58" t="str">
        <f t="shared" si="44"/>
        <v>A025850</v>
      </c>
      <c r="B671" s="59" t="str">
        <f t="shared" si="41"/>
        <v/>
      </c>
      <c r="C671" s="59" t="str">
        <f t="shared" si="42"/>
        <v/>
      </c>
      <c r="D671" s="109" t="str">
        <f t="shared" si="43"/>
        <v/>
      </c>
      <c r="E671" s="106" t="s">
        <v>694</v>
      </c>
      <c r="F671" s="58" t="s">
        <v>2147</v>
      </c>
      <c r="G671" s="106">
        <v>12</v>
      </c>
      <c r="H671" s="107"/>
      <c r="I671" s="107"/>
      <c r="J671" s="107"/>
      <c r="K671" s="107"/>
      <c r="L671" s="107"/>
      <c r="M671" s="107"/>
      <c r="N671" s="107"/>
      <c r="O671" s="107"/>
      <c r="P671" s="107"/>
    </row>
    <row r="672" spans="1:16" x14ac:dyDescent="0.3">
      <c r="A672" s="58" t="str">
        <f t="shared" si="44"/>
        <v>A025860</v>
      </c>
      <c r="B672" s="59" t="str">
        <f t="shared" si="41"/>
        <v/>
      </c>
      <c r="C672" s="59" t="str">
        <f t="shared" si="42"/>
        <v/>
      </c>
      <c r="D672" s="109" t="str">
        <f t="shared" si="43"/>
        <v/>
      </c>
      <c r="E672" s="106" t="s">
        <v>695</v>
      </c>
      <c r="F672" s="58" t="s">
        <v>2148</v>
      </c>
      <c r="G672" s="106">
        <v>12</v>
      </c>
      <c r="H672" s="107"/>
      <c r="I672" s="107"/>
      <c r="J672" s="107"/>
      <c r="K672" s="107"/>
      <c r="L672" s="107"/>
      <c r="M672" s="107"/>
      <c r="N672" s="107"/>
      <c r="O672" s="107"/>
      <c r="P672" s="107"/>
    </row>
    <row r="673" spans="1:16" x14ac:dyDescent="0.3">
      <c r="A673" s="58" t="str">
        <f t="shared" si="44"/>
        <v>A025870</v>
      </c>
      <c r="B673" s="59" t="str">
        <f t="shared" si="41"/>
        <v/>
      </c>
      <c r="C673" s="59" t="str">
        <f t="shared" si="42"/>
        <v/>
      </c>
      <c r="D673" s="109" t="str">
        <f t="shared" si="43"/>
        <v/>
      </c>
      <c r="E673" s="106" t="s">
        <v>696</v>
      </c>
      <c r="F673" s="58" t="s">
        <v>2149</v>
      </c>
      <c r="G673" s="106">
        <v>12</v>
      </c>
      <c r="H673" s="107"/>
      <c r="I673" s="107"/>
      <c r="J673" s="107"/>
      <c r="K673" s="107"/>
      <c r="L673" s="107"/>
      <c r="M673" s="107"/>
      <c r="N673" s="107"/>
      <c r="O673" s="107"/>
      <c r="P673" s="107"/>
    </row>
    <row r="674" spans="1:16" x14ac:dyDescent="0.3">
      <c r="A674" s="58" t="str">
        <f t="shared" si="44"/>
        <v>A025880</v>
      </c>
      <c r="B674" s="59" t="str">
        <f t="shared" si="41"/>
        <v/>
      </c>
      <c r="C674" s="59" t="str">
        <f t="shared" si="42"/>
        <v/>
      </c>
      <c r="D674" s="109" t="str">
        <f t="shared" si="43"/>
        <v/>
      </c>
      <c r="E674" s="106" t="s">
        <v>697</v>
      </c>
      <c r="F674" s="58" t="s">
        <v>2150</v>
      </c>
      <c r="G674" s="106">
        <v>12</v>
      </c>
      <c r="H674" s="107"/>
      <c r="I674" s="107"/>
      <c r="J674" s="107"/>
      <c r="K674" s="107"/>
      <c r="L674" s="107"/>
      <c r="M674" s="107"/>
      <c r="N674" s="107"/>
      <c r="O674" s="107"/>
      <c r="P674" s="107"/>
    </row>
    <row r="675" spans="1:16" x14ac:dyDescent="0.3">
      <c r="A675" s="58" t="str">
        <f t="shared" si="44"/>
        <v>A025890</v>
      </c>
      <c r="B675" s="59" t="str">
        <f t="shared" si="41"/>
        <v/>
      </c>
      <c r="C675" s="59" t="str">
        <f t="shared" si="42"/>
        <v/>
      </c>
      <c r="D675" s="109" t="str">
        <f t="shared" si="43"/>
        <v/>
      </c>
      <c r="E675" s="106" t="s">
        <v>698</v>
      </c>
      <c r="F675" s="58" t="s">
        <v>2151</v>
      </c>
      <c r="G675" s="106">
        <v>12</v>
      </c>
      <c r="H675" s="107"/>
      <c r="I675" s="107"/>
      <c r="J675" s="107"/>
      <c r="K675" s="107"/>
      <c r="L675" s="107"/>
      <c r="M675" s="107"/>
      <c r="N675" s="107"/>
      <c r="O675" s="107"/>
      <c r="P675" s="107"/>
    </row>
    <row r="676" spans="1:16" x14ac:dyDescent="0.3">
      <c r="A676" s="58" t="str">
        <f t="shared" si="44"/>
        <v>A025900</v>
      </c>
      <c r="B676" s="59" t="str">
        <f t="shared" si="41"/>
        <v/>
      </c>
      <c r="C676" s="59" t="str">
        <f t="shared" si="42"/>
        <v/>
      </c>
      <c r="D676" s="109" t="str">
        <f t="shared" si="43"/>
        <v/>
      </c>
      <c r="E676" s="106" t="s">
        <v>699</v>
      </c>
      <c r="F676" s="58" t="s">
        <v>2152</v>
      </c>
      <c r="G676" s="106">
        <v>12</v>
      </c>
      <c r="H676" s="107"/>
      <c r="I676" s="107"/>
      <c r="J676" s="107"/>
      <c r="K676" s="107"/>
      <c r="L676" s="107"/>
      <c r="M676" s="107"/>
      <c r="N676" s="107"/>
      <c r="O676" s="107"/>
      <c r="P676" s="107"/>
    </row>
    <row r="677" spans="1:16" x14ac:dyDescent="0.3">
      <c r="A677" s="58" t="str">
        <f t="shared" si="44"/>
        <v>A025920</v>
      </c>
      <c r="B677" s="59" t="str">
        <f t="shared" si="41"/>
        <v/>
      </c>
      <c r="C677" s="59" t="str">
        <f t="shared" si="42"/>
        <v/>
      </c>
      <c r="D677" s="109" t="str">
        <f t="shared" si="43"/>
        <v/>
      </c>
      <c r="E677" s="106" t="s">
        <v>700</v>
      </c>
      <c r="F677" s="58" t="s">
        <v>2153</v>
      </c>
      <c r="G677" s="106">
        <v>12</v>
      </c>
      <c r="H677" s="107"/>
      <c r="I677" s="107"/>
      <c r="J677" s="107"/>
      <c r="K677" s="107"/>
      <c r="L677" s="107"/>
      <c r="M677" s="107"/>
      <c r="N677" s="107"/>
      <c r="O677" s="107"/>
      <c r="P677" s="107"/>
    </row>
    <row r="678" spans="1:16" x14ac:dyDescent="0.3">
      <c r="A678" s="58" t="str">
        <f t="shared" si="44"/>
        <v>A025950</v>
      </c>
      <c r="B678" s="59" t="str">
        <f t="shared" si="41"/>
        <v/>
      </c>
      <c r="C678" s="59" t="str">
        <f t="shared" si="42"/>
        <v/>
      </c>
      <c r="D678" s="109" t="str">
        <f t="shared" si="43"/>
        <v/>
      </c>
      <c r="E678" s="106" t="s">
        <v>701</v>
      </c>
      <c r="F678" s="58" t="s">
        <v>2154</v>
      </c>
      <c r="G678" s="106">
        <v>12</v>
      </c>
      <c r="H678" s="107"/>
      <c r="I678" s="107"/>
      <c r="J678" s="107"/>
      <c r="K678" s="107"/>
      <c r="L678" s="107"/>
      <c r="M678" s="107"/>
      <c r="N678" s="107"/>
      <c r="O678" s="107"/>
      <c r="P678" s="107"/>
    </row>
    <row r="679" spans="1:16" x14ac:dyDescent="0.3">
      <c r="A679" s="58" t="str">
        <f t="shared" si="44"/>
        <v>A025980</v>
      </c>
      <c r="B679" s="59" t="str">
        <f t="shared" si="41"/>
        <v/>
      </c>
      <c r="C679" s="59" t="str">
        <f t="shared" si="42"/>
        <v/>
      </c>
      <c r="D679" s="109" t="str">
        <f t="shared" si="43"/>
        <v/>
      </c>
      <c r="E679" s="106" t="s">
        <v>702</v>
      </c>
      <c r="F679" s="58" t="s">
        <v>2155</v>
      </c>
      <c r="G679" s="106">
        <v>12</v>
      </c>
      <c r="H679" s="107"/>
      <c r="I679" s="107"/>
      <c r="J679" s="107"/>
      <c r="K679" s="107"/>
      <c r="L679" s="107"/>
      <c r="M679" s="107"/>
      <c r="N679" s="107"/>
      <c r="O679" s="107"/>
      <c r="P679" s="107"/>
    </row>
    <row r="680" spans="1:16" x14ac:dyDescent="0.3">
      <c r="A680" s="58" t="str">
        <f t="shared" si="44"/>
        <v>A026040</v>
      </c>
      <c r="B680" s="59" t="str">
        <f t="shared" si="41"/>
        <v/>
      </c>
      <c r="C680" s="59" t="str">
        <f t="shared" si="42"/>
        <v/>
      </c>
      <c r="D680" s="109" t="str">
        <f t="shared" si="43"/>
        <v/>
      </c>
      <c r="E680" s="106" t="s">
        <v>703</v>
      </c>
      <c r="F680" s="58" t="s">
        <v>2156</v>
      </c>
      <c r="G680" s="106">
        <v>12</v>
      </c>
      <c r="H680" s="107"/>
      <c r="I680" s="107"/>
      <c r="J680" s="107"/>
      <c r="K680" s="107"/>
      <c r="L680" s="107"/>
      <c r="M680" s="107"/>
      <c r="N680" s="107"/>
      <c r="O680" s="107"/>
      <c r="P680" s="107"/>
    </row>
    <row r="681" spans="1:16" x14ac:dyDescent="0.3">
      <c r="A681" s="58" t="str">
        <f t="shared" si="44"/>
        <v>A026150</v>
      </c>
      <c r="B681" s="59" t="str">
        <f t="shared" si="41"/>
        <v/>
      </c>
      <c r="C681" s="59" t="str">
        <f t="shared" si="42"/>
        <v/>
      </c>
      <c r="D681" s="109" t="str">
        <f t="shared" si="43"/>
        <v/>
      </c>
      <c r="E681" s="106" t="s">
        <v>704</v>
      </c>
      <c r="F681" s="58" t="s">
        <v>2157</v>
      </c>
      <c r="G681" s="106">
        <v>12</v>
      </c>
      <c r="H681" s="107"/>
      <c r="I681" s="107"/>
      <c r="J681" s="107"/>
      <c r="K681" s="107"/>
      <c r="L681" s="107"/>
      <c r="M681" s="107"/>
      <c r="N681" s="107"/>
      <c r="O681" s="107"/>
      <c r="P681" s="107"/>
    </row>
    <row r="682" spans="1:16" x14ac:dyDescent="0.3">
      <c r="A682" s="58" t="str">
        <f t="shared" si="44"/>
        <v>A026180</v>
      </c>
      <c r="B682" s="59" t="str">
        <f t="shared" si="41"/>
        <v/>
      </c>
      <c r="C682" s="59" t="str">
        <f t="shared" si="42"/>
        <v/>
      </c>
      <c r="D682" s="109" t="str">
        <f t="shared" si="43"/>
        <v/>
      </c>
      <c r="E682" s="106" t="s">
        <v>705</v>
      </c>
      <c r="F682" s="58" t="s">
        <v>2158</v>
      </c>
      <c r="G682" s="106">
        <v>12</v>
      </c>
      <c r="H682" s="107"/>
      <c r="I682" s="107"/>
      <c r="J682" s="107"/>
      <c r="K682" s="107"/>
      <c r="L682" s="107"/>
      <c r="M682" s="107"/>
      <c r="N682" s="107"/>
      <c r="O682" s="107"/>
      <c r="P682" s="107"/>
    </row>
    <row r="683" spans="1:16" x14ac:dyDescent="0.3">
      <c r="A683" s="58" t="str">
        <f t="shared" si="44"/>
        <v>A026260</v>
      </c>
      <c r="B683" s="59" t="str">
        <f t="shared" si="41"/>
        <v/>
      </c>
      <c r="C683" s="59" t="str">
        <f t="shared" si="42"/>
        <v/>
      </c>
      <c r="D683" s="109" t="str">
        <f t="shared" si="43"/>
        <v/>
      </c>
      <c r="E683" s="106" t="s">
        <v>706</v>
      </c>
      <c r="F683" s="58" t="s">
        <v>2159</v>
      </c>
      <c r="G683" s="106">
        <v>12</v>
      </c>
      <c r="H683" s="107"/>
      <c r="I683" s="107"/>
      <c r="J683" s="107"/>
      <c r="K683" s="107"/>
      <c r="L683" s="107"/>
      <c r="M683" s="107"/>
      <c r="N683" s="107"/>
      <c r="O683" s="107"/>
      <c r="P683" s="107"/>
    </row>
    <row r="684" spans="1:16" x14ac:dyDescent="0.3">
      <c r="A684" s="58" t="str">
        <f t="shared" si="44"/>
        <v>A026890</v>
      </c>
      <c r="B684" s="59" t="str">
        <f t="shared" si="41"/>
        <v/>
      </c>
      <c r="C684" s="59" t="str">
        <f t="shared" si="42"/>
        <v/>
      </c>
      <c r="D684" s="109" t="str">
        <f t="shared" si="43"/>
        <v/>
      </c>
      <c r="E684" s="106" t="s">
        <v>707</v>
      </c>
      <c r="F684" s="58" t="s">
        <v>2160</v>
      </c>
      <c r="G684" s="106">
        <v>12</v>
      </c>
      <c r="H684" s="107"/>
      <c r="I684" s="107"/>
      <c r="J684" s="107"/>
      <c r="K684" s="107"/>
      <c r="L684" s="107"/>
      <c r="M684" s="107"/>
      <c r="N684" s="107"/>
      <c r="O684" s="107"/>
      <c r="P684" s="107"/>
    </row>
    <row r="685" spans="1:16" x14ac:dyDescent="0.3">
      <c r="A685" s="58" t="str">
        <f t="shared" si="44"/>
        <v>A026910</v>
      </c>
      <c r="B685" s="59" t="str">
        <f t="shared" si="41"/>
        <v/>
      </c>
      <c r="C685" s="59" t="str">
        <f t="shared" si="42"/>
        <v/>
      </c>
      <c r="D685" s="109" t="str">
        <f t="shared" si="43"/>
        <v/>
      </c>
      <c r="E685" s="106" t="s">
        <v>708</v>
      </c>
      <c r="F685" s="58" t="s">
        <v>2161</v>
      </c>
      <c r="G685" s="106">
        <v>12</v>
      </c>
      <c r="H685" s="107"/>
      <c r="I685" s="107"/>
      <c r="J685" s="107"/>
      <c r="K685" s="107"/>
      <c r="L685" s="107"/>
      <c r="M685" s="107"/>
      <c r="N685" s="107"/>
      <c r="O685" s="107"/>
      <c r="P685" s="107"/>
    </row>
    <row r="686" spans="1:16" x14ac:dyDescent="0.3">
      <c r="A686" s="58" t="str">
        <f t="shared" si="44"/>
        <v>A026940</v>
      </c>
      <c r="B686" s="59" t="str">
        <f t="shared" si="41"/>
        <v/>
      </c>
      <c r="C686" s="59" t="str">
        <f t="shared" si="42"/>
        <v/>
      </c>
      <c r="D686" s="109" t="str">
        <f t="shared" si="43"/>
        <v/>
      </c>
      <c r="E686" s="106" t="s">
        <v>709</v>
      </c>
      <c r="F686" s="58" t="s">
        <v>2162</v>
      </c>
      <c r="G686" s="106">
        <v>12</v>
      </c>
      <c r="H686" s="107"/>
      <c r="I686" s="107"/>
      <c r="J686" s="107"/>
      <c r="K686" s="107"/>
      <c r="L686" s="107"/>
      <c r="M686" s="107"/>
      <c r="N686" s="107"/>
      <c r="O686" s="107"/>
      <c r="P686" s="107"/>
    </row>
    <row r="687" spans="1:16" x14ac:dyDescent="0.3">
      <c r="A687" s="58" t="str">
        <f t="shared" si="44"/>
        <v>A026960</v>
      </c>
      <c r="B687" s="59" t="str">
        <f t="shared" si="41"/>
        <v/>
      </c>
      <c r="C687" s="59" t="str">
        <f t="shared" si="42"/>
        <v/>
      </c>
      <c r="D687" s="109" t="str">
        <f t="shared" si="43"/>
        <v/>
      </c>
      <c r="E687" s="106" t="s">
        <v>710</v>
      </c>
      <c r="F687" s="58" t="s">
        <v>2163</v>
      </c>
      <c r="G687" s="106">
        <v>12</v>
      </c>
      <c r="H687" s="107"/>
      <c r="I687" s="107"/>
      <c r="J687" s="107"/>
      <c r="K687" s="107"/>
      <c r="L687" s="107"/>
      <c r="M687" s="107"/>
      <c r="N687" s="107"/>
      <c r="O687" s="107"/>
      <c r="P687" s="107"/>
    </row>
    <row r="688" spans="1:16" x14ac:dyDescent="0.3">
      <c r="A688" s="58" t="str">
        <f t="shared" si="44"/>
        <v>A027040</v>
      </c>
      <c r="B688" s="59" t="str">
        <f t="shared" si="41"/>
        <v/>
      </c>
      <c r="C688" s="59" t="str">
        <f t="shared" si="42"/>
        <v/>
      </c>
      <c r="D688" s="109" t="str">
        <f t="shared" si="43"/>
        <v/>
      </c>
      <c r="E688" s="106" t="s">
        <v>711</v>
      </c>
      <c r="F688" s="58" t="s">
        <v>2164</v>
      </c>
      <c r="G688" s="106">
        <v>12</v>
      </c>
      <c r="H688" s="107"/>
      <c r="I688" s="107"/>
      <c r="J688" s="107"/>
      <c r="K688" s="107"/>
      <c r="L688" s="107"/>
      <c r="M688" s="107"/>
      <c r="N688" s="107"/>
      <c r="O688" s="107"/>
      <c r="P688" s="107"/>
    </row>
    <row r="689" spans="1:16" x14ac:dyDescent="0.3">
      <c r="A689" s="58" t="str">
        <f t="shared" si="44"/>
        <v>A027050</v>
      </c>
      <c r="B689" s="59" t="str">
        <f t="shared" si="41"/>
        <v/>
      </c>
      <c r="C689" s="59" t="str">
        <f t="shared" si="42"/>
        <v/>
      </c>
      <c r="D689" s="109" t="str">
        <f t="shared" si="43"/>
        <v/>
      </c>
      <c r="E689" s="106" t="s">
        <v>712</v>
      </c>
      <c r="F689" s="58" t="s">
        <v>2165</v>
      </c>
      <c r="G689" s="106">
        <v>12</v>
      </c>
      <c r="H689" s="107"/>
      <c r="I689" s="107"/>
      <c r="J689" s="107"/>
      <c r="K689" s="107"/>
      <c r="L689" s="107"/>
      <c r="M689" s="107"/>
      <c r="N689" s="107"/>
      <c r="O689" s="107"/>
      <c r="P689" s="107"/>
    </row>
    <row r="690" spans="1:16" x14ac:dyDescent="0.3">
      <c r="A690" s="58" t="str">
        <f t="shared" si="44"/>
        <v>A027390</v>
      </c>
      <c r="B690" s="59" t="str">
        <f t="shared" si="41"/>
        <v/>
      </c>
      <c r="C690" s="59" t="str">
        <f t="shared" si="42"/>
        <v/>
      </c>
      <c r="D690" s="109" t="str">
        <f t="shared" si="43"/>
        <v/>
      </c>
      <c r="E690" s="106" t="s">
        <v>713</v>
      </c>
      <c r="F690" s="58" t="s">
        <v>2166</v>
      </c>
      <c r="G690" s="106">
        <v>12</v>
      </c>
      <c r="H690" s="107"/>
      <c r="I690" s="107"/>
      <c r="J690" s="107"/>
      <c r="K690" s="107"/>
      <c r="L690" s="107"/>
      <c r="M690" s="107"/>
      <c r="N690" s="107"/>
      <c r="O690" s="107"/>
      <c r="P690" s="107"/>
    </row>
    <row r="691" spans="1:16" x14ac:dyDescent="0.3">
      <c r="A691" s="58" t="str">
        <f t="shared" si="44"/>
        <v>A027580</v>
      </c>
      <c r="B691" s="59" t="str">
        <f t="shared" si="41"/>
        <v/>
      </c>
      <c r="C691" s="59" t="str">
        <f t="shared" si="42"/>
        <v/>
      </c>
      <c r="D691" s="109" t="str">
        <f t="shared" si="43"/>
        <v/>
      </c>
      <c r="E691" s="106" t="s">
        <v>714</v>
      </c>
      <c r="F691" s="58" t="s">
        <v>2167</v>
      </c>
      <c r="G691" s="106">
        <v>12</v>
      </c>
      <c r="H691" s="107"/>
      <c r="I691" s="107"/>
      <c r="J691" s="107"/>
      <c r="K691" s="107"/>
      <c r="L691" s="107"/>
      <c r="M691" s="107"/>
      <c r="N691" s="107"/>
      <c r="O691" s="107"/>
      <c r="P691" s="107"/>
    </row>
    <row r="692" spans="1:16" x14ac:dyDescent="0.3">
      <c r="A692" s="58" t="str">
        <f t="shared" si="44"/>
        <v>A027710</v>
      </c>
      <c r="B692" s="59" t="str">
        <f t="shared" si="41"/>
        <v/>
      </c>
      <c r="C692" s="59" t="str">
        <f t="shared" si="42"/>
        <v/>
      </c>
      <c r="D692" s="109" t="str">
        <f t="shared" si="43"/>
        <v/>
      </c>
      <c r="E692" s="106" t="s">
        <v>715</v>
      </c>
      <c r="F692" s="58" t="s">
        <v>2168</v>
      </c>
      <c r="G692" s="106">
        <v>12</v>
      </c>
      <c r="H692" s="107"/>
      <c r="I692" s="107"/>
      <c r="J692" s="107"/>
      <c r="K692" s="107"/>
      <c r="L692" s="107"/>
      <c r="M692" s="107"/>
      <c r="N692" s="107"/>
      <c r="O692" s="107"/>
      <c r="P692" s="107"/>
    </row>
    <row r="693" spans="1:16" x14ac:dyDescent="0.3">
      <c r="A693" s="58" t="str">
        <f t="shared" si="44"/>
        <v>A027740</v>
      </c>
      <c r="B693" s="59" t="str">
        <f t="shared" si="41"/>
        <v/>
      </c>
      <c r="C693" s="59" t="str">
        <f t="shared" si="42"/>
        <v/>
      </c>
      <c r="D693" s="109" t="str">
        <f t="shared" si="43"/>
        <v/>
      </c>
      <c r="E693" s="106" t="s">
        <v>716</v>
      </c>
      <c r="F693" s="58" t="s">
        <v>2169</v>
      </c>
      <c r="G693" s="106">
        <v>12</v>
      </c>
      <c r="H693" s="107"/>
      <c r="I693" s="107"/>
      <c r="J693" s="107"/>
      <c r="K693" s="107"/>
      <c r="L693" s="107"/>
      <c r="M693" s="107"/>
      <c r="N693" s="107"/>
      <c r="O693" s="107"/>
      <c r="P693" s="107"/>
    </row>
    <row r="694" spans="1:16" x14ac:dyDescent="0.3">
      <c r="A694" s="58" t="str">
        <f t="shared" si="44"/>
        <v>A027830</v>
      </c>
      <c r="B694" s="59" t="str">
        <f t="shared" si="41"/>
        <v/>
      </c>
      <c r="C694" s="59" t="str">
        <f t="shared" si="42"/>
        <v/>
      </c>
      <c r="D694" s="109" t="str">
        <f t="shared" si="43"/>
        <v/>
      </c>
      <c r="E694" s="106" t="s">
        <v>717</v>
      </c>
      <c r="F694" s="58" t="s">
        <v>2170</v>
      </c>
      <c r="G694" s="106">
        <v>12</v>
      </c>
      <c r="H694" s="107"/>
      <c r="I694" s="107"/>
      <c r="J694" s="107"/>
      <c r="K694" s="107"/>
      <c r="L694" s="107"/>
      <c r="M694" s="107"/>
      <c r="N694" s="107"/>
      <c r="O694" s="107"/>
      <c r="P694" s="107"/>
    </row>
    <row r="695" spans="1:16" x14ac:dyDescent="0.3">
      <c r="A695" s="58" t="str">
        <f t="shared" si="44"/>
        <v>A027970</v>
      </c>
      <c r="B695" s="59" t="str">
        <f t="shared" si="41"/>
        <v/>
      </c>
      <c r="C695" s="59" t="str">
        <f t="shared" si="42"/>
        <v/>
      </c>
      <c r="D695" s="109" t="str">
        <f t="shared" si="43"/>
        <v/>
      </c>
      <c r="E695" s="106" t="s">
        <v>718</v>
      </c>
      <c r="F695" s="58" t="s">
        <v>2171</v>
      </c>
      <c r="G695" s="106">
        <v>12</v>
      </c>
      <c r="H695" s="107"/>
      <c r="I695" s="107"/>
      <c r="J695" s="107"/>
      <c r="K695" s="107"/>
      <c r="L695" s="107"/>
      <c r="M695" s="107"/>
      <c r="N695" s="107"/>
      <c r="O695" s="107"/>
      <c r="P695" s="107"/>
    </row>
    <row r="696" spans="1:16" x14ac:dyDescent="0.3">
      <c r="A696" s="58" t="str">
        <f t="shared" si="44"/>
        <v>A028040</v>
      </c>
      <c r="B696" s="59" t="str">
        <f t="shared" si="41"/>
        <v/>
      </c>
      <c r="C696" s="59" t="str">
        <f t="shared" si="42"/>
        <v/>
      </c>
      <c r="D696" s="109" t="str">
        <f t="shared" si="43"/>
        <v/>
      </c>
      <c r="E696" s="106" t="s">
        <v>719</v>
      </c>
      <c r="F696" s="58" t="s">
        <v>2172</v>
      </c>
      <c r="G696" s="106">
        <v>12</v>
      </c>
      <c r="H696" s="107"/>
      <c r="I696" s="107"/>
      <c r="J696" s="107"/>
      <c r="K696" s="107"/>
      <c r="L696" s="107"/>
      <c r="M696" s="107"/>
      <c r="N696" s="107"/>
      <c r="O696" s="107"/>
      <c r="P696" s="107"/>
    </row>
    <row r="697" spans="1:16" x14ac:dyDescent="0.3">
      <c r="A697" s="58" t="str">
        <f t="shared" si="44"/>
        <v>A028050</v>
      </c>
      <c r="B697" s="59">
        <f t="shared" si="41"/>
        <v>41471</v>
      </c>
      <c r="C697" s="59">
        <f t="shared" si="42"/>
        <v>41471</v>
      </c>
      <c r="D697" s="109">
        <f t="shared" si="43"/>
        <v>-88.72</v>
      </c>
      <c r="E697" s="106" t="s">
        <v>720</v>
      </c>
      <c r="F697" s="58" t="s">
        <v>2173</v>
      </c>
      <c r="G697" s="106">
        <v>12</v>
      </c>
      <c r="H697" s="107">
        <v>20130716</v>
      </c>
      <c r="I697" s="107">
        <v>20130716</v>
      </c>
      <c r="J697" s="107">
        <v>-88.72</v>
      </c>
      <c r="K697" s="107"/>
      <c r="L697" s="107"/>
      <c r="M697" s="107"/>
      <c r="N697" s="107"/>
      <c r="O697" s="107"/>
      <c r="P697" s="107"/>
    </row>
    <row r="698" spans="1:16" x14ac:dyDescent="0.3">
      <c r="A698" s="58" t="str">
        <f t="shared" si="44"/>
        <v>A028080</v>
      </c>
      <c r="B698" s="59" t="str">
        <f t="shared" si="41"/>
        <v/>
      </c>
      <c r="C698" s="59" t="str">
        <f t="shared" si="42"/>
        <v/>
      </c>
      <c r="D698" s="109" t="str">
        <f t="shared" si="43"/>
        <v/>
      </c>
      <c r="E698" s="106" t="s">
        <v>721</v>
      </c>
      <c r="F698" s="58" t="s">
        <v>2174</v>
      </c>
      <c r="G698" s="106">
        <v>12</v>
      </c>
      <c r="H698" s="107"/>
      <c r="I698" s="107"/>
      <c r="J698" s="107"/>
      <c r="K698" s="107"/>
      <c r="L698" s="107"/>
      <c r="M698" s="107"/>
      <c r="N698" s="107"/>
      <c r="O698" s="107"/>
      <c r="P698" s="107"/>
    </row>
    <row r="699" spans="1:16" x14ac:dyDescent="0.3">
      <c r="A699" s="58" t="str">
        <f t="shared" si="44"/>
        <v>A028100</v>
      </c>
      <c r="B699" s="59" t="str">
        <f t="shared" si="41"/>
        <v/>
      </c>
      <c r="C699" s="59" t="str">
        <f t="shared" si="42"/>
        <v/>
      </c>
      <c r="D699" s="109" t="str">
        <f t="shared" si="43"/>
        <v/>
      </c>
      <c r="E699" s="106" t="s">
        <v>722</v>
      </c>
      <c r="F699" s="58" t="s">
        <v>2175</v>
      </c>
      <c r="G699" s="106">
        <v>12</v>
      </c>
      <c r="H699" s="107"/>
      <c r="I699" s="107"/>
      <c r="J699" s="107"/>
      <c r="K699" s="107"/>
      <c r="L699" s="107"/>
      <c r="M699" s="107"/>
      <c r="N699" s="107"/>
      <c r="O699" s="107"/>
      <c r="P699" s="107"/>
    </row>
    <row r="700" spans="1:16" x14ac:dyDescent="0.3">
      <c r="A700" s="58" t="str">
        <f t="shared" si="44"/>
        <v>A028150</v>
      </c>
      <c r="B700" s="59" t="str">
        <f t="shared" si="41"/>
        <v/>
      </c>
      <c r="C700" s="59" t="str">
        <f t="shared" si="42"/>
        <v/>
      </c>
      <c r="D700" s="109" t="str">
        <f t="shared" si="43"/>
        <v/>
      </c>
      <c r="E700" s="106" t="s">
        <v>723</v>
      </c>
      <c r="F700" s="58" t="s">
        <v>2176</v>
      </c>
      <c r="G700" s="106">
        <v>12</v>
      </c>
      <c r="H700" s="107"/>
      <c r="I700" s="107"/>
      <c r="J700" s="107"/>
      <c r="K700" s="107"/>
      <c r="L700" s="107"/>
      <c r="M700" s="107"/>
      <c r="N700" s="107"/>
      <c r="O700" s="107"/>
      <c r="P700" s="107"/>
    </row>
    <row r="701" spans="1:16" x14ac:dyDescent="0.3">
      <c r="A701" s="58" t="str">
        <f t="shared" si="44"/>
        <v>A028300</v>
      </c>
      <c r="B701" s="59" t="str">
        <f t="shared" si="41"/>
        <v/>
      </c>
      <c r="C701" s="59" t="str">
        <f t="shared" si="42"/>
        <v/>
      </c>
      <c r="D701" s="109" t="str">
        <f t="shared" si="43"/>
        <v/>
      </c>
      <c r="E701" s="106" t="s">
        <v>724</v>
      </c>
      <c r="F701" s="58" t="s">
        <v>2177</v>
      </c>
      <c r="G701" s="106">
        <v>12</v>
      </c>
      <c r="H701" s="107"/>
      <c r="I701" s="107"/>
      <c r="J701" s="107"/>
      <c r="K701" s="107"/>
      <c r="L701" s="107"/>
      <c r="M701" s="107"/>
      <c r="N701" s="107"/>
      <c r="O701" s="107"/>
      <c r="P701" s="107"/>
    </row>
    <row r="702" spans="1:16" x14ac:dyDescent="0.3">
      <c r="A702" s="58" t="str">
        <f t="shared" si="44"/>
        <v>A028670</v>
      </c>
      <c r="B702" s="59" t="str">
        <f t="shared" si="41"/>
        <v/>
      </c>
      <c r="C702" s="59" t="str">
        <f t="shared" si="42"/>
        <v/>
      </c>
      <c r="D702" s="109" t="str">
        <f t="shared" si="43"/>
        <v/>
      </c>
      <c r="E702" s="106" t="s">
        <v>725</v>
      </c>
      <c r="F702" s="58" t="s">
        <v>2178</v>
      </c>
      <c r="G702" s="106">
        <v>12</v>
      </c>
      <c r="H702" s="107"/>
      <c r="I702" s="107"/>
      <c r="J702" s="107"/>
      <c r="K702" s="107"/>
      <c r="L702" s="107"/>
      <c r="M702" s="107"/>
      <c r="N702" s="107"/>
      <c r="O702" s="107"/>
      <c r="P702" s="107"/>
    </row>
    <row r="703" spans="1:16" x14ac:dyDescent="0.3">
      <c r="A703" s="58" t="str">
        <f t="shared" si="44"/>
        <v>A029460</v>
      </c>
      <c r="B703" s="59" t="str">
        <f t="shared" si="41"/>
        <v/>
      </c>
      <c r="C703" s="59" t="str">
        <f t="shared" si="42"/>
        <v/>
      </c>
      <c r="D703" s="109" t="str">
        <f t="shared" si="43"/>
        <v/>
      </c>
      <c r="E703" s="106" t="s">
        <v>726</v>
      </c>
      <c r="F703" s="58" t="s">
        <v>2179</v>
      </c>
      <c r="G703" s="106">
        <v>12</v>
      </c>
      <c r="H703" s="107"/>
      <c r="I703" s="107"/>
      <c r="J703" s="107"/>
      <c r="K703" s="107"/>
      <c r="L703" s="107"/>
      <c r="M703" s="107"/>
      <c r="N703" s="107"/>
      <c r="O703" s="107"/>
      <c r="P703" s="107"/>
    </row>
    <row r="704" spans="1:16" x14ac:dyDescent="0.3">
      <c r="A704" s="58" t="str">
        <f t="shared" si="44"/>
        <v>A029480</v>
      </c>
      <c r="B704" s="59" t="str">
        <f t="shared" si="41"/>
        <v/>
      </c>
      <c r="C704" s="59" t="str">
        <f t="shared" si="42"/>
        <v/>
      </c>
      <c r="D704" s="109" t="str">
        <f t="shared" si="43"/>
        <v/>
      </c>
      <c r="E704" s="106" t="s">
        <v>727</v>
      </c>
      <c r="F704" s="58" t="s">
        <v>2180</v>
      </c>
      <c r="G704" s="106">
        <v>12</v>
      </c>
      <c r="H704" s="107"/>
      <c r="I704" s="107"/>
      <c r="J704" s="107"/>
      <c r="K704" s="107"/>
      <c r="L704" s="107"/>
      <c r="M704" s="107"/>
      <c r="N704" s="107"/>
      <c r="O704" s="107"/>
      <c r="P704" s="107"/>
    </row>
    <row r="705" spans="1:16" x14ac:dyDescent="0.3">
      <c r="A705" s="58" t="str">
        <f t="shared" si="44"/>
        <v>A029530</v>
      </c>
      <c r="B705" s="59" t="str">
        <f t="shared" si="41"/>
        <v/>
      </c>
      <c r="C705" s="59" t="str">
        <f t="shared" si="42"/>
        <v/>
      </c>
      <c r="D705" s="109" t="str">
        <f t="shared" si="43"/>
        <v/>
      </c>
      <c r="E705" s="106" t="s">
        <v>728</v>
      </c>
      <c r="F705" s="58" t="s">
        <v>2181</v>
      </c>
      <c r="G705" s="106">
        <v>12</v>
      </c>
      <c r="H705" s="107"/>
      <c r="I705" s="107"/>
      <c r="J705" s="107"/>
      <c r="K705" s="107"/>
      <c r="L705" s="107"/>
      <c r="M705" s="107"/>
      <c r="N705" s="107"/>
      <c r="O705" s="107"/>
      <c r="P705" s="107"/>
    </row>
    <row r="706" spans="1:16" x14ac:dyDescent="0.3">
      <c r="A706" s="58" t="str">
        <f t="shared" si="44"/>
        <v>A029780</v>
      </c>
      <c r="B706" s="59">
        <f t="shared" si="41"/>
        <v>41474</v>
      </c>
      <c r="C706" s="59">
        <f t="shared" si="42"/>
        <v>41474</v>
      </c>
      <c r="D706" s="109">
        <f t="shared" si="43"/>
        <v>109.01</v>
      </c>
      <c r="E706" s="106" t="s">
        <v>729</v>
      </c>
      <c r="F706" s="58" t="s">
        <v>2182</v>
      </c>
      <c r="G706" s="106">
        <v>12</v>
      </c>
      <c r="H706" s="107">
        <v>20130719</v>
      </c>
      <c r="I706" s="107">
        <v>20130719</v>
      </c>
      <c r="J706" s="107">
        <v>109.01</v>
      </c>
      <c r="K706" s="107"/>
      <c r="L706" s="107"/>
      <c r="M706" s="107"/>
      <c r="N706" s="107"/>
      <c r="O706" s="107"/>
      <c r="P706" s="107"/>
    </row>
    <row r="707" spans="1:16" x14ac:dyDescent="0.3">
      <c r="A707" s="58" t="str">
        <f t="shared" si="44"/>
        <v>A029960</v>
      </c>
      <c r="B707" s="59" t="str">
        <f t="shared" si="41"/>
        <v/>
      </c>
      <c r="C707" s="59" t="str">
        <f t="shared" si="42"/>
        <v/>
      </c>
      <c r="D707" s="109" t="str">
        <f t="shared" si="43"/>
        <v/>
      </c>
      <c r="E707" s="106" t="s">
        <v>730</v>
      </c>
      <c r="F707" s="58" t="s">
        <v>2183</v>
      </c>
      <c r="G707" s="106">
        <v>12</v>
      </c>
      <c r="H707" s="107"/>
      <c r="I707" s="107"/>
      <c r="J707" s="107"/>
      <c r="K707" s="107"/>
      <c r="L707" s="107"/>
      <c r="M707" s="107"/>
      <c r="N707" s="107"/>
      <c r="O707" s="107"/>
      <c r="P707" s="107"/>
    </row>
    <row r="708" spans="1:16" x14ac:dyDescent="0.3">
      <c r="A708" s="58" t="str">
        <f t="shared" si="44"/>
        <v>A030000</v>
      </c>
      <c r="B708" s="59">
        <f t="shared" si="41"/>
        <v>41480</v>
      </c>
      <c r="C708" s="59">
        <f t="shared" si="42"/>
        <v>41480</v>
      </c>
      <c r="D708" s="109">
        <f t="shared" si="43"/>
        <v>40.81</v>
      </c>
      <c r="E708" s="106" t="s">
        <v>731</v>
      </c>
      <c r="F708" s="58" t="s">
        <v>2184</v>
      </c>
      <c r="G708" s="106">
        <v>12</v>
      </c>
      <c r="H708" s="107">
        <v>20130725</v>
      </c>
      <c r="I708" s="107">
        <v>20130725</v>
      </c>
      <c r="J708" s="107">
        <v>40.81</v>
      </c>
      <c r="K708" s="107"/>
      <c r="L708" s="107"/>
      <c r="M708" s="107"/>
      <c r="N708" s="107"/>
      <c r="O708" s="107"/>
      <c r="P708" s="107"/>
    </row>
    <row r="709" spans="1:16" x14ac:dyDescent="0.3">
      <c r="A709" s="58" t="str">
        <f t="shared" si="44"/>
        <v>A030190</v>
      </c>
      <c r="B709" s="59" t="str">
        <f t="shared" si="41"/>
        <v/>
      </c>
      <c r="C709" s="59" t="str">
        <f t="shared" si="42"/>
        <v/>
      </c>
      <c r="D709" s="109" t="str">
        <f t="shared" si="43"/>
        <v/>
      </c>
      <c r="E709" s="106" t="s">
        <v>732</v>
      </c>
      <c r="F709" s="58" t="s">
        <v>2185</v>
      </c>
      <c r="G709" s="106">
        <v>12</v>
      </c>
      <c r="H709" s="107"/>
      <c r="I709" s="107"/>
      <c r="J709" s="107"/>
      <c r="K709" s="107"/>
      <c r="L709" s="107"/>
      <c r="M709" s="107"/>
      <c r="N709" s="107"/>
      <c r="O709" s="107"/>
      <c r="P709" s="107"/>
    </row>
    <row r="710" spans="1:16" x14ac:dyDescent="0.3">
      <c r="A710" s="58" t="str">
        <f t="shared" si="44"/>
        <v>A030200</v>
      </c>
      <c r="B710" s="59">
        <f t="shared" si="41"/>
        <v>41488</v>
      </c>
      <c r="C710" s="59" t="str">
        <f t="shared" si="42"/>
        <v/>
      </c>
      <c r="D710" s="109" t="str">
        <f t="shared" si="43"/>
        <v/>
      </c>
      <c r="E710" s="106" t="s">
        <v>733</v>
      </c>
      <c r="F710" s="58" t="s">
        <v>2186</v>
      </c>
      <c r="G710" s="106">
        <v>12</v>
      </c>
      <c r="H710" s="107">
        <v>20130802</v>
      </c>
      <c r="I710" s="107"/>
      <c r="J710" s="107"/>
      <c r="K710" s="107"/>
      <c r="L710" s="107"/>
      <c r="M710" s="107"/>
      <c r="N710" s="107"/>
      <c r="O710" s="107"/>
      <c r="P710" s="107"/>
    </row>
    <row r="711" spans="1:16" x14ac:dyDescent="0.3">
      <c r="A711" s="58" t="str">
        <f t="shared" si="44"/>
        <v>A030210</v>
      </c>
      <c r="B711" s="59" t="str">
        <f t="shared" si="41"/>
        <v/>
      </c>
      <c r="C711" s="59" t="str">
        <f t="shared" si="42"/>
        <v/>
      </c>
      <c r="D711" s="109" t="str">
        <f t="shared" si="43"/>
        <v/>
      </c>
      <c r="E711" s="106" t="s">
        <v>734</v>
      </c>
      <c r="F711" s="58" t="s">
        <v>6</v>
      </c>
      <c r="G711" s="106">
        <v>3</v>
      </c>
      <c r="H711" s="107"/>
      <c r="I711" s="107"/>
      <c r="J711" s="107"/>
      <c r="K711" s="107"/>
      <c r="L711" s="107"/>
      <c r="M711" s="107"/>
      <c r="N711" s="107"/>
      <c r="O711" s="107"/>
      <c r="P711" s="107"/>
    </row>
    <row r="712" spans="1:16" x14ac:dyDescent="0.3">
      <c r="A712" s="58" t="str">
        <f t="shared" si="44"/>
        <v>A030270</v>
      </c>
      <c r="B712" s="59" t="str">
        <f t="shared" si="41"/>
        <v/>
      </c>
      <c r="C712" s="59" t="str">
        <f t="shared" si="42"/>
        <v/>
      </c>
      <c r="D712" s="109" t="str">
        <f t="shared" si="43"/>
        <v/>
      </c>
      <c r="E712" s="106" t="s">
        <v>735</v>
      </c>
      <c r="F712" s="58" t="s">
        <v>2187</v>
      </c>
      <c r="G712" s="106">
        <v>12</v>
      </c>
      <c r="H712" s="107"/>
      <c r="I712" s="107"/>
      <c r="J712" s="107"/>
      <c r="K712" s="107"/>
      <c r="L712" s="107"/>
      <c r="M712" s="107"/>
      <c r="N712" s="107"/>
      <c r="O712" s="107"/>
      <c r="P712" s="107"/>
    </row>
    <row r="713" spans="1:16" x14ac:dyDescent="0.3">
      <c r="A713" s="58" t="str">
        <f t="shared" si="44"/>
        <v>A030350</v>
      </c>
      <c r="B713" s="59" t="str">
        <f t="shared" si="41"/>
        <v/>
      </c>
      <c r="C713" s="59" t="str">
        <f t="shared" si="42"/>
        <v/>
      </c>
      <c r="D713" s="109" t="str">
        <f t="shared" si="43"/>
        <v/>
      </c>
      <c r="E713" s="106" t="s">
        <v>736</v>
      </c>
      <c r="F713" s="58" t="s">
        <v>2188</v>
      </c>
      <c r="G713" s="106">
        <v>12</v>
      </c>
      <c r="H713" s="107"/>
      <c r="I713" s="107"/>
      <c r="J713" s="107"/>
      <c r="K713" s="107"/>
      <c r="L713" s="107"/>
      <c r="M713" s="107"/>
      <c r="N713" s="107"/>
      <c r="O713" s="107"/>
      <c r="P713" s="107"/>
    </row>
    <row r="714" spans="1:16" x14ac:dyDescent="0.3">
      <c r="A714" s="58" t="str">
        <f t="shared" si="44"/>
        <v>A030520</v>
      </c>
      <c r="B714" s="59" t="str">
        <f t="shared" si="41"/>
        <v/>
      </c>
      <c r="C714" s="59" t="str">
        <f t="shared" si="42"/>
        <v/>
      </c>
      <c r="D714" s="109" t="str">
        <f t="shared" si="43"/>
        <v/>
      </c>
      <c r="E714" s="106" t="s">
        <v>737</v>
      </c>
      <c r="F714" s="58" t="s">
        <v>2189</v>
      </c>
      <c r="G714" s="106">
        <v>12</v>
      </c>
      <c r="H714" s="107"/>
      <c r="I714" s="107"/>
      <c r="J714" s="107"/>
      <c r="K714" s="107"/>
      <c r="L714" s="107"/>
      <c r="M714" s="107"/>
      <c r="N714" s="107"/>
      <c r="O714" s="107"/>
      <c r="P714" s="107"/>
    </row>
    <row r="715" spans="1:16" x14ac:dyDescent="0.3">
      <c r="A715" s="58" t="str">
        <f t="shared" si="44"/>
        <v>A030530</v>
      </c>
      <c r="B715" s="59" t="str">
        <f t="shared" si="41"/>
        <v/>
      </c>
      <c r="C715" s="59" t="str">
        <f t="shared" si="42"/>
        <v/>
      </c>
      <c r="D715" s="109" t="str">
        <f t="shared" si="43"/>
        <v/>
      </c>
      <c r="E715" s="106" t="s">
        <v>738</v>
      </c>
      <c r="F715" s="58" t="s">
        <v>2190</v>
      </c>
      <c r="G715" s="106">
        <v>12</v>
      </c>
      <c r="H715" s="107"/>
      <c r="I715" s="107"/>
      <c r="J715" s="107"/>
      <c r="K715" s="107"/>
      <c r="L715" s="107"/>
      <c r="M715" s="107"/>
      <c r="N715" s="107"/>
      <c r="O715" s="107"/>
      <c r="P715" s="107"/>
    </row>
    <row r="716" spans="1:16" x14ac:dyDescent="0.3">
      <c r="A716" s="58" t="str">
        <f t="shared" si="44"/>
        <v>A030610</v>
      </c>
      <c r="B716" s="59" t="str">
        <f t="shared" si="41"/>
        <v/>
      </c>
      <c r="C716" s="59" t="str">
        <f t="shared" si="42"/>
        <v/>
      </c>
      <c r="D716" s="109" t="str">
        <f t="shared" si="43"/>
        <v/>
      </c>
      <c r="E716" s="106" t="s">
        <v>739</v>
      </c>
      <c r="F716" s="58" t="s">
        <v>2191</v>
      </c>
      <c r="G716" s="106">
        <v>3</v>
      </c>
      <c r="H716" s="107"/>
      <c r="I716" s="107"/>
      <c r="J716" s="107"/>
      <c r="K716" s="107"/>
      <c r="L716" s="107"/>
      <c r="M716" s="107"/>
      <c r="N716" s="107"/>
      <c r="O716" s="107"/>
      <c r="P716" s="107"/>
    </row>
    <row r="717" spans="1:16" x14ac:dyDescent="0.3">
      <c r="A717" s="58" t="str">
        <f t="shared" si="44"/>
        <v>A030720</v>
      </c>
      <c r="B717" s="59" t="str">
        <f t="shared" si="41"/>
        <v/>
      </c>
      <c r="C717" s="59" t="str">
        <f t="shared" si="42"/>
        <v/>
      </c>
      <c r="D717" s="109" t="str">
        <f t="shared" si="43"/>
        <v/>
      </c>
      <c r="E717" s="106" t="s">
        <v>740</v>
      </c>
      <c r="F717" s="58" t="s">
        <v>2192</v>
      </c>
      <c r="G717" s="106">
        <v>12</v>
      </c>
      <c r="H717" s="107"/>
      <c r="I717" s="107"/>
      <c r="J717" s="107"/>
      <c r="K717" s="107"/>
      <c r="L717" s="107"/>
      <c r="M717" s="107"/>
      <c r="N717" s="107"/>
      <c r="O717" s="107"/>
      <c r="P717" s="107"/>
    </row>
    <row r="718" spans="1:16" x14ac:dyDescent="0.3">
      <c r="A718" s="58" t="str">
        <f t="shared" si="44"/>
        <v>A030790</v>
      </c>
      <c r="B718" s="59" t="str">
        <f t="shared" si="41"/>
        <v/>
      </c>
      <c r="C718" s="59" t="str">
        <f t="shared" si="42"/>
        <v/>
      </c>
      <c r="D718" s="109" t="str">
        <f t="shared" si="43"/>
        <v/>
      </c>
      <c r="E718" s="106" t="s">
        <v>741</v>
      </c>
      <c r="F718" s="58" t="s">
        <v>2193</v>
      </c>
      <c r="G718" s="106">
        <v>12</v>
      </c>
      <c r="H718" s="107"/>
      <c r="I718" s="107"/>
      <c r="J718" s="107"/>
      <c r="K718" s="107"/>
      <c r="L718" s="107"/>
      <c r="M718" s="107"/>
      <c r="N718" s="107"/>
      <c r="O718" s="107"/>
      <c r="P718" s="107"/>
    </row>
    <row r="719" spans="1:16" x14ac:dyDescent="0.3">
      <c r="A719" s="58" t="str">
        <f t="shared" si="44"/>
        <v>A030960</v>
      </c>
      <c r="B719" s="59" t="str">
        <f t="shared" ref="B719:B782" si="45">IFERROR(IF(ISNUMBER(H719),DATE(LEFT(H719,4),MID(H719,5,2),RIGHT(H719,2)),NA()),"")</f>
        <v/>
      </c>
      <c r="C719" s="59" t="str">
        <f t="shared" ref="C719:C782" si="46">IFERROR(IF(ISNUMBER(I719),DATE(LEFT(I719,4),MID(I719,5,2),RIGHT(I719,2)),NA()),"")</f>
        <v/>
      </c>
      <c r="D719" s="109" t="str">
        <f t="shared" ref="D719:D782" si="47">IFERROR(IF(ISNUMBER(J719),J719,NA()),"")</f>
        <v/>
      </c>
      <c r="E719" s="106" t="s">
        <v>742</v>
      </c>
      <c r="F719" s="58" t="s">
        <v>2194</v>
      </c>
      <c r="G719" s="106">
        <v>6</v>
      </c>
      <c r="H719" s="107"/>
      <c r="I719" s="107"/>
      <c r="J719" s="107"/>
      <c r="K719" s="107"/>
      <c r="L719" s="107"/>
      <c r="M719" s="107"/>
      <c r="N719" s="107"/>
      <c r="O719" s="107"/>
      <c r="P719" s="107"/>
    </row>
    <row r="720" spans="1:16" x14ac:dyDescent="0.3">
      <c r="A720" s="58" t="str">
        <f t="shared" si="44"/>
        <v>A031310</v>
      </c>
      <c r="B720" s="59" t="str">
        <f t="shared" si="45"/>
        <v/>
      </c>
      <c r="C720" s="59" t="str">
        <f t="shared" si="46"/>
        <v/>
      </c>
      <c r="D720" s="109" t="str">
        <f t="shared" si="47"/>
        <v/>
      </c>
      <c r="E720" s="106" t="s">
        <v>743</v>
      </c>
      <c r="F720" s="58" t="s">
        <v>2195</v>
      </c>
      <c r="G720" s="106">
        <v>12</v>
      </c>
      <c r="H720" s="107"/>
      <c r="I720" s="107"/>
      <c r="J720" s="107"/>
      <c r="K720" s="107"/>
      <c r="L720" s="107"/>
      <c r="M720" s="107"/>
      <c r="N720" s="107"/>
      <c r="O720" s="107"/>
      <c r="P720" s="107"/>
    </row>
    <row r="721" spans="1:16" x14ac:dyDescent="0.3">
      <c r="A721" s="58" t="str">
        <f t="shared" si="44"/>
        <v>A031330</v>
      </c>
      <c r="B721" s="59" t="str">
        <f t="shared" si="45"/>
        <v/>
      </c>
      <c r="C721" s="59" t="str">
        <f t="shared" si="46"/>
        <v/>
      </c>
      <c r="D721" s="109" t="str">
        <f t="shared" si="47"/>
        <v/>
      </c>
      <c r="E721" s="106" t="s">
        <v>744</v>
      </c>
      <c r="F721" s="58" t="s">
        <v>2196</v>
      </c>
      <c r="G721" s="106">
        <v>12</v>
      </c>
      <c r="H721" s="107"/>
      <c r="I721" s="107"/>
      <c r="J721" s="107"/>
      <c r="K721" s="107"/>
      <c r="L721" s="107"/>
      <c r="M721" s="107"/>
      <c r="N721" s="107"/>
      <c r="O721" s="107"/>
      <c r="P721" s="107"/>
    </row>
    <row r="722" spans="1:16" x14ac:dyDescent="0.3">
      <c r="A722" s="58" t="str">
        <f t="shared" si="44"/>
        <v>A031390</v>
      </c>
      <c r="B722" s="59" t="str">
        <f t="shared" si="45"/>
        <v/>
      </c>
      <c r="C722" s="59" t="str">
        <f t="shared" si="46"/>
        <v/>
      </c>
      <c r="D722" s="109" t="str">
        <f t="shared" si="47"/>
        <v/>
      </c>
      <c r="E722" s="106" t="s">
        <v>745</v>
      </c>
      <c r="F722" s="58" t="s">
        <v>3640</v>
      </c>
      <c r="G722" s="106">
        <v>12</v>
      </c>
      <c r="H722" s="107"/>
      <c r="I722" s="107"/>
      <c r="J722" s="107"/>
      <c r="K722" s="107"/>
      <c r="L722" s="107"/>
      <c r="M722" s="107"/>
      <c r="N722" s="107"/>
      <c r="O722" s="107"/>
      <c r="P722" s="107"/>
    </row>
    <row r="723" spans="1:16" x14ac:dyDescent="0.3">
      <c r="A723" s="58" t="str">
        <f t="shared" si="44"/>
        <v>A031430</v>
      </c>
      <c r="B723" s="59" t="str">
        <f t="shared" si="45"/>
        <v/>
      </c>
      <c r="C723" s="59" t="str">
        <f t="shared" si="46"/>
        <v/>
      </c>
      <c r="D723" s="109" t="str">
        <f t="shared" si="47"/>
        <v/>
      </c>
      <c r="E723" s="106" t="s">
        <v>3141</v>
      </c>
      <c r="F723" s="58" t="s">
        <v>3344</v>
      </c>
      <c r="G723" s="106">
        <v>12</v>
      </c>
      <c r="H723" s="107"/>
      <c r="I723" s="107"/>
      <c r="J723" s="107"/>
      <c r="K723" s="107"/>
      <c r="L723" s="107"/>
      <c r="M723" s="107"/>
      <c r="N723" s="107"/>
      <c r="O723" s="107"/>
      <c r="P723" s="107"/>
    </row>
    <row r="724" spans="1:16" x14ac:dyDescent="0.3">
      <c r="A724" s="58" t="str">
        <f t="shared" si="44"/>
        <v>A031440</v>
      </c>
      <c r="B724" s="59" t="str">
        <f t="shared" si="45"/>
        <v/>
      </c>
      <c r="C724" s="59" t="str">
        <f t="shared" si="46"/>
        <v/>
      </c>
      <c r="D724" s="109" t="str">
        <f t="shared" si="47"/>
        <v/>
      </c>
      <c r="E724" s="106" t="s">
        <v>746</v>
      </c>
      <c r="F724" s="58" t="s">
        <v>2197</v>
      </c>
      <c r="G724" s="106">
        <v>12</v>
      </c>
      <c r="H724" s="107"/>
      <c r="I724" s="107"/>
      <c r="J724" s="107"/>
      <c r="K724" s="107"/>
      <c r="L724" s="107"/>
      <c r="M724" s="107"/>
      <c r="N724" s="107"/>
      <c r="O724" s="107"/>
      <c r="P724" s="107"/>
    </row>
    <row r="725" spans="1:16" x14ac:dyDescent="0.3">
      <c r="A725" s="58" t="str">
        <f t="shared" si="44"/>
        <v>A031510</v>
      </c>
      <c r="B725" s="59" t="str">
        <f t="shared" si="45"/>
        <v/>
      </c>
      <c r="C725" s="59" t="str">
        <f t="shared" si="46"/>
        <v/>
      </c>
      <c r="D725" s="109" t="str">
        <f t="shared" si="47"/>
        <v/>
      </c>
      <c r="E725" s="106" t="s">
        <v>747</v>
      </c>
      <c r="F725" s="58" t="s">
        <v>2198</v>
      </c>
      <c r="G725" s="106">
        <v>12</v>
      </c>
      <c r="H725" s="107"/>
      <c r="I725" s="107"/>
      <c r="J725" s="107"/>
      <c r="K725" s="107"/>
      <c r="L725" s="107"/>
      <c r="M725" s="107"/>
      <c r="N725" s="107"/>
      <c r="O725" s="107"/>
      <c r="P725" s="107"/>
    </row>
    <row r="726" spans="1:16" x14ac:dyDescent="0.3">
      <c r="A726" s="58" t="str">
        <f t="shared" ref="A726:A789" si="48">E726</f>
        <v>A031820</v>
      </c>
      <c r="B726" s="59" t="str">
        <f t="shared" si="45"/>
        <v/>
      </c>
      <c r="C726" s="59" t="str">
        <f t="shared" si="46"/>
        <v/>
      </c>
      <c r="D726" s="109" t="str">
        <f t="shared" si="47"/>
        <v/>
      </c>
      <c r="E726" s="106" t="s">
        <v>748</v>
      </c>
      <c r="F726" s="58" t="s">
        <v>2199</v>
      </c>
      <c r="G726" s="106">
        <v>12</v>
      </c>
      <c r="H726" s="107"/>
      <c r="I726" s="107"/>
      <c r="J726" s="107"/>
      <c r="K726" s="107"/>
      <c r="L726" s="107"/>
      <c r="M726" s="107"/>
      <c r="N726" s="107"/>
      <c r="O726" s="107"/>
      <c r="P726" s="107"/>
    </row>
    <row r="727" spans="1:16" x14ac:dyDescent="0.3">
      <c r="A727" s="58" t="str">
        <f t="shared" si="48"/>
        <v>A031860</v>
      </c>
      <c r="B727" s="59" t="str">
        <f t="shared" si="45"/>
        <v/>
      </c>
      <c r="C727" s="59" t="str">
        <f t="shared" si="46"/>
        <v/>
      </c>
      <c r="D727" s="109" t="str">
        <f t="shared" si="47"/>
        <v/>
      </c>
      <c r="E727" s="106" t="s">
        <v>749</v>
      </c>
      <c r="F727" s="58" t="s">
        <v>2200</v>
      </c>
      <c r="G727" s="106">
        <v>12</v>
      </c>
      <c r="H727" s="107"/>
      <c r="I727" s="107"/>
      <c r="J727" s="107"/>
      <c r="K727" s="107"/>
      <c r="L727" s="107"/>
      <c r="M727" s="107"/>
      <c r="N727" s="107"/>
      <c r="O727" s="107"/>
      <c r="P727" s="107"/>
    </row>
    <row r="728" spans="1:16" x14ac:dyDescent="0.3">
      <c r="A728" s="58" t="str">
        <f t="shared" si="48"/>
        <v>A031980</v>
      </c>
      <c r="B728" s="59" t="str">
        <f t="shared" si="45"/>
        <v/>
      </c>
      <c r="C728" s="59" t="str">
        <f t="shared" si="46"/>
        <v/>
      </c>
      <c r="D728" s="109" t="str">
        <f t="shared" si="47"/>
        <v/>
      </c>
      <c r="E728" s="106" t="s">
        <v>750</v>
      </c>
      <c r="F728" s="58" t="s">
        <v>2201</v>
      </c>
      <c r="G728" s="106">
        <v>12</v>
      </c>
      <c r="H728" s="107"/>
      <c r="I728" s="107"/>
      <c r="J728" s="107"/>
      <c r="K728" s="107"/>
      <c r="L728" s="107"/>
      <c r="M728" s="107"/>
      <c r="N728" s="107"/>
      <c r="O728" s="107"/>
      <c r="P728" s="107"/>
    </row>
    <row r="729" spans="1:16" x14ac:dyDescent="0.3">
      <c r="A729" s="58" t="str">
        <f t="shared" si="48"/>
        <v>A032040</v>
      </c>
      <c r="B729" s="59" t="str">
        <f t="shared" si="45"/>
        <v/>
      </c>
      <c r="C729" s="59" t="str">
        <f t="shared" si="46"/>
        <v/>
      </c>
      <c r="D729" s="109" t="str">
        <f t="shared" si="47"/>
        <v/>
      </c>
      <c r="E729" s="106" t="s">
        <v>751</v>
      </c>
      <c r="F729" s="58" t="s">
        <v>2202</v>
      </c>
      <c r="G729" s="106">
        <v>12</v>
      </c>
      <c r="H729" s="107"/>
      <c r="I729" s="107"/>
      <c r="J729" s="107"/>
      <c r="K729" s="107"/>
      <c r="L729" s="107"/>
      <c r="M729" s="107"/>
      <c r="N729" s="107"/>
      <c r="O729" s="107"/>
      <c r="P729" s="107"/>
    </row>
    <row r="730" spans="1:16" x14ac:dyDescent="0.3">
      <c r="A730" s="58" t="str">
        <f t="shared" si="48"/>
        <v>A032080</v>
      </c>
      <c r="B730" s="59" t="str">
        <f t="shared" si="45"/>
        <v/>
      </c>
      <c r="C730" s="59" t="str">
        <f t="shared" si="46"/>
        <v/>
      </c>
      <c r="D730" s="109" t="str">
        <f t="shared" si="47"/>
        <v/>
      </c>
      <c r="E730" s="106" t="s">
        <v>752</v>
      </c>
      <c r="F730" s="58" t="s">
        <v>2203</v>
      </c>
      <c r="G730" s="106">
        <v>12</v>
      </c>
      <c r="H730" s="107"/>
      <c r="I730" s="107"/>
      <c r="J730" s="107"/>
      <c r="K730" s="107"/>
      <c r="L730" s="107"/>
      <c r="M730" s="107"/>
      <c r="N730" s="107"/>
      <c r="O730" s="107"/>
      <c r="P730" s="107"/>
    </row>
    <row r="731" spans="1:16" x14ac:dyDescent="0.3">
      <c r="A731" s="58" t="str">
        <f t="shared" si="48"/>
        <v>A032190</v>
      </c>
      <c r="B731" s="59" t="str">
        <f t="shared" si="45"/>
        <v/>
      </c>
      <c r="C731" s="59" t="str">
        <f t="shared" si="46"/>
        <v/>
      </c>
      <c r="D731" s="109" t="str">
        <f t="shared" si="47"/>
        <v/>
      </c>
      <c r="E731" s="106" t="s">
        <v>753</v>
      </c>
      <c r="F731" s="58" t="s">
        <v>2204</v>
      </c>
      <c r="G731" s="106">
        <v>12</v>
      </c>
      <c r="H731" s="107"/>
      <c r="I731" s="107"/>
      <c r="J731" s="107"/>
      <c r="K731" s="107"/>
      <c r="L731" s="107"/>
      <c r="M731" s="107"/>
      <c r="N731" s="107"/>
      <c r="O731" s="107"/>
      <c r="P731" s="107"/>
    </row>
    <row r="732" spans="1:16" x14ac:dyDescent="0.3">
      <c r="A732" s="58" t="str">
        <f t="shared" si="48"/>
        <v>A032280</v>
      </c>
      <c r="B732" s="59" t="str">
        <f t="shared" si="45"/>
        <v/>
      </c>
      <c r="C732" s="59" t="str">
        <f t="shared" si="46"/>
        <v/>
      </c>
      <c r="D732" s="109" t="str">
        <f t="shared" si="47"/>
        <v/>
      </c>
      <c r="E732" s="106" t="s">
        <v>754</v>
      </c>
      <c r="F732" s="58" t="s">
        <v>2205</v>
      </c>
      <c r="G732" s="106">
        <v>12</v>
      </c>
      <c r="H732" s="107"/>
      <c r="I732" s="107"/>
      <c r="J732" s="107"/>
      <c r="K732" s="107"/>
      <c r="L732" s="107"/>
      <c r="M732" s="107"/>
      <c r="N732" s="107"/>
      <c r="O732" s="107"/>
      <c r="P732" s="107"/>
    </row>
    <row r="733" spans="1:16" x14ac:dyDescent="0.3">
      <c r="A733" s="58" t="str">
        <f t="shared" si="48"/>
        <v>A032350</v>
      </c>
      <c r="B733" s="59" t="str">
        <f t="shared" si="45"/>
        <v/>
      </c>
      <c r="C733" s="59" t="str">
        <f t="shared" si="46"/>
        <v/>
      </c>
      <c r="D733" s="109" t="str">
        <f t="shared" si="47"/>
        <v/>
      </c>
      <c r="E733" s="106" t="s">
        <v>755</v>
      </c>
      <c r="F733" s="58" t="s">
        <v>2206</v>
      </c>
      <c r="G733" s="106">
        <v>12</v>
      </c>
      <c r="H733" s="107"/>
      <c r="I733" s="107"/>
      <c r="J733" s="107"/>
      <c r="K733" s="107"/>
      <c r="L733" s="107"/>
      <c r="M733" s="107"/>
      <c r="N733" s="107"/>
      <c r="O733" s="107"/>
      <c r="P733" s="107"/>
    </row>
    <row r="734" spans="1:16" x14ac:dyDescent="0.3">
      <c r="A734" s="58" t="str">
        <f t="shared" si="48"/>
        <v>A032420</v>
      </c>
      <c r="B734" s="59" t="str">
        <f t="shared" si="45"/>
        <v/>
      </c>
      <c r="C734" s="59" t="str">
        <f t="shared" si="46"/>
        <v/>
      </c>
      <c r="D734" s="109" t="str">
        <f t="shared" si="47"/>
        <v/>
      </c>
      <c r="E734" s="106" t="s">
        <v>756</v>
      </c>
      <c r="F734" s="58" t="s">
        <v>2207</v>
      </c>
      <c r="G734" s="106">
        <v>12</v>
      </c>
      <c r="H734" s="107"/>
      <c r="I734" s="107"/>
      <c r="J734" s="107"/>
      <c r="K734" s="107"/>
      <c r="L734" s="107"/>
      <c r="M734" s="107"/>
      <c r="N734" s="107"/>
      <c r="O734" s="107"/>
      <c r="P734" s="107"/>
    </row>
    <row r="735" spans="1:16" x14ac:dyDescent="0.3">
      <c r="A735" s="58" t="str">
        <f t="shared" si="48"/>
        <v>A032500</v>
      </c>
      <c r="B735" s="59" t="str">
        <f t="shared" si="45"/>
        <v/>
      </c>
      <c r="C735" s="59" t="str">
        <f t="shared" si="46"/>
        <v/>
      </c>
      <c r="D735" s="109" t="str">
        <f t="shared" si="47"/>
        <v/>
      </c>
      <c r="E735" s="106" t="s">
        <v>757</v>
      </c>
      <c r="F735" s="58" t="s">
        <v>2208</v>
      </c>
      <c r="G735" s="106">
        <v>12</v>
      </c>
      <c r="H735" s="107"/>
      <c r="I735" s="107"/>
      <c r="J735" s="107"/>
      <c r="K735" s="107"/>
      <c r="L735" s="107"/>
      <c r="M735" s="107"/>
      <c r="N735" s="107"/>
      <c r="O735" s="107"/>
      <c r="P735" s="107"/>
    </row>
    <row r="736" spans="1:16" x14ac:dyDescent="0.3">
      <c r="A736" s="58" t="str">
        <f t="shared" si="48"/>
        <v>A032540</v>
      </c>
      <c r="B736" s="59" t="str">
        <f t="shared" si="45"/>
        <v/>
      </c>
      <c r="C736" s="59" t="str">
        <f t="shared" si="46"/>
        <v/>
      </c>
      <c r="D736" s="109" t="str">
        <f t="shared" si="47"/>
        <v/>
      </c>
      <c r="E736" s="106" t="s">
        <v>758</v>
      </c>
      <c r="F736" s="58" t="s">
        <v>2209</v>
      </c>
      <c r="G736" s="106">
        <v>12</v>
      </c>
      <c r="H736" s="107"/>
      <c r="I736" s="107"/>
      <c r="J736" s="107"/>
      <c r="K736" s="107"/>
      <c r="L736" s="107"/>
      <c r="M736" s="107"/>
      <c r="N736" s="107"/>
      <c r="O736" s="107"/>
      <c r="P736" s="107"/>
    </row>
    <row r="737" spans="1:16" x14ac:dyDescent="0.3">
      <c r="A737" s="58" t="str">
        <f t="shared" si="48"/>
        <v>A032560</v>
      </c>
      <c r="B737" s="59" t="str">
        <f t="shared" si="45"/>
        <v/>
      </c>
      <c r="C737" s="59" t="str">
        <f t="shared" si="46"/>
        <v/>
      </c>
      <c r="D737" s="109" t="str">
        <f t="shared" si="47"/>
        <v/>
      </c>
      <c r="E737" s="106" t="s">
        <v>759</v>
      </c>
      <c r="F737" s="58" t="s">
        <v>2210</v>
      </c>
      <c r="G737" s="106">
        <v>12</v>
      </c>
      <c r="H737" s="107"/>
      <c r="I737" s="107"/>
      <c r="J737" s="107"/>
      <c r="K737" s="107"/>
      <c r="L737" s="107"/>
      <c r="M737" s="107"/>
      <c r="N737" s="107"/>
      <c r="O737" s="107"/>
      <c r="P737" s="107"/>
    </row>
    <row r="738" spans="1:16" x14ac:dyDescent="0.3">
      <c r="A738" s="58" t="str">
        <f t="shared" si="48"/>
        <v>A032580</v>
      </c>
      <c r="B738" s="59" t="str">
        <f t="shared" si="45"/>
        <v/>
      </c>
      <c r="C738" s="59" t="str">
        <f t="shared" si="46"/>
        <v/>
      </c>
      <c r="D738" s="109" t="str">
        <f t="shared" si="47"/>
        <v/>
      </c>
      <c r="E738" s="106" t="s">
        <v>760</v>
      </c>
      <c r="F738" s="58" t="s">
        <v>2211</v>
      </c>
      <c r="G738" s="106">
        <v>12</v>
      </c>
      <c r="H738" s="107"/>
      <c r="I738" s="107"/>
      <c r="J738" s="107"/>
      <c r="K738" s="107"/>
      <c r="L738" s="107"/>
      <c r="M738" s="107"/>
      <c r="N738" s="107"/>
      <c r="O738" s="107"/>
      <c r="P738" s="107"/>
    </row>
    <row r="739" spans="1:16" x14ac:dyDescent="0.3">
      <c r="A739" s="58" t="str">
        <f t="shared" si="48"/>
        <v>A032620</v>
      </c>
      <c r="B739" s="59" t="str">
        <f t="shared" si="45"/>
        <v/>
      </c>
      <c r="C739" s="59" t="str">
        <f t="shared" si="46"/>
        <v/>
      </c>
      <c r="D739" s="109" t="str">
        <f t="shared" si="47"/>
        <v/>
      </c>
      <c r="E739" s="106" t="s">
        <v>761</v>
      </c>
      <c r="F739" s="58" t="s">
        <v>2212</v>
      </c>
      <c r="G739" s="106">
        <v>12</v>
      </c>
      <c r="H739" s="107"/>
      <c r="I739" s="107"/>
      <c r="J739" s="107"/>
      <c r="K739" s="107"/>
      <c r="L739" s="107"/>
      <c r="M739" s="107"/>
      <c r="N739" s="107"/>
      <c r="O739" s="107"/>
      <c r="P739" s="107"/>
    </row>
    <row r="740" spans="1:16" x14ac:dyDescent="0.3">
      <c r="A740" s="58" t="str">
        <f t="shared" si="48"/>
        <v>A032640</v>
      </c>
      <c r="B740" s="59">
        <f t="shared" si="45"/>
        <v>41484</v>
      </c>
      <c r="C740" s="59">
        <f t="shared" si="46"/>
        <v>41484</v>
      </c>
      <c r="D740" s="109">
        <f t="shared" si="47"/>
        <v>144.82</v>
      </c>
      <c r="E740" s="106" t="s">
        <v>762</v>
      </c>
      <c r="F740" s="58" t="s">
        <v>2213</v>
      </c>
      <c r="G740" s="106">
        <v>12</v>
      </c>
      <c r="H740" s="107">
        <v>20130729</v>
      </c>
      <c r="I740" s="107">
        <v>20130729</v>
      </c>
      <c r="J740" s="107">
        <v>144.82</v>
      </c>
      <c r="K740" s="107"/>
      <c r="L740" s="107"/>
      <c r="M740" s="107"/>
      <c r="N740" s="107"/>
      <c r="O740" s="107"/>
      <c r="P740" s="107"/>
    </row>
    <row r="741" spans="1:16" x14ac:dyDescent="0.3">
      <c r="A741" s="58" t="str">
        <f t="shared" si="48"/>
        <v>A032680</v>
      </c>
      <c r="B741" s="59" t="str">
        <f t="shared" si="45"/>
        <v/>
      </c>
      <c r="C741" s="59" t="str">
        <f t="shared" si="46"/>
        <v/>
      </c>
      <c r="D741" s="109" t="str">
        <f t="shared" si="47"/>
        <v/>
      </c>
      <c r="E741" s="106" t="s">
        <v>763</v>
      </c>
      <c r="F741" s="58" t="s">
        <v>2214</v>
      </c>
      <c r="G741" s="106">
        <v>12</v>
      </c>
      <c r="H741" s="107"/>
      <c r="I741" s="107"/>
      <c r="J741" s="107"/>
      <c r="K741" s="107"/>
      <c r="L741" s="107"/>
      <c r="M741" s="107"/>
      <c r="N741" s="107"/>
      <c r="O741" s="107"/>
      <c r="P741" s="107"/>
    </row>
    <row r="742" spans="1:16" x14ac:dyDescent="0.3">
      <c r="A742" s="58" t="str">
        <f t="shared" si="48"/>
        <v>A032750</v>
      </c>
      <c r="B742" s="59" t="str">
        <f t="shared" si="45"/>
        <v/>
      </c>
      <c r="C742" s="59" t="str">
        <f t="shared" si="46"/>
        <v/>
      </c>
      <c r="D742" s="109" t="str">
        <f t="shared" si="47"/>
        <v/>
      </c>
      <c r="E742" s="106" t="s">
        <v>764</v>
      </c>
      <c r="F742" s="58" t="s">
        <v>2215</v>
      </c>
      <c r="G742" s="106">
        <v>12</v>
      </c>
      <c r="H742" s="107"/>
      <c r="I742" s="107"/>
      <c r="J742" s="107"/>
      <c r="K742" s="107"/>
      <c r="L742" s="107"/>
      <c r="M742" s="107"/>
      <c r="N742" s="107"/>
      <c r="O742" s="107"/>
      <c r="P742" s="107"/>
    </row>
    <row r="743" spans="1:16" x14ac:dyDescent="0.3">
      <c r="A743" s="58" t="str">
        <f t="shared" si="48"/>
        <v>A032790</v>
      </c>
      <c r="B743" s="59" t="str">
        <f t="shared" si="45"/>
        <v/>
      </c>
      <c r="C743" s="59" t="str">
        <f t="shared" si="46"/>
        <v/>
      </c>
      <c r="D743" s="109" t="str">
        <f t="shared" si="47"/>
        <v/>
      </c>
      <c r="E743" s="106" t="s">
        <v>765</v>
      </c>
      <c r="F743" s="58" t="s">
        <v>2216</v>
      </c>
      <c r="G743" s="106">
        <v>12</v>
      </c>
      <c r="H743" s="107"/>
      <c r="I743" s="107"/>
      <c r="J743" s="107"/>
      <c r="K743" s="107"/>
      <c r="L743" s="107"/>
      <c r="M743" s="107"/>
      <c r="N743" s="107"/>
      <c r="O743" s="107"/>
      <c r="P743" s="107"/>
    </row>
    <row r="744" spans="1:16" x14ac:dyDescent="0.3">
      <c r="A744" s="58" t="str">
        <f t="shared" si="48"/>
        <v>A032800</v>
      </c>
      <c r="B744" s="59" t="str">
        <f t="shared" si="45"/>
        <v/>
      </c>
      <c r="C744" s="59" t="str">
        <f t="shared" si="46"/>
        <v/>
      </c>
      <c r="D744" s="109" t="str">
        <f t="shared" si="47"/>
        <v/>
      </c>
      <c r="E744" s="106" t="s">
        <v>766</v>
      </c>
      <c r="F744" s="58" t="s">
        <v>2217</v>
      </c>
      <c r="G744" s="106">
        <v>12</v>
      </c>
      <c r="H744" s="107"/>
      <c r="I744" s="107"/>
      <c r="J744" s="107"/>
      <c r="K744" s="107"/>
      <c r="L744" s="107"/>
      <c r="M744" s="107"/>
      <c r="N744" s="107"/>
      <c r="O744" s="107"/>
      <c r="P744" s="107"/>
    </row>
    <row r="745" spans="1:16" x14ac:dyDescent="0.3">
      <c r="A745" s="58" t="str">
        <f t="shared" si="48"/>
        <v>A032820</v>
      </c>
      <c r="B745" s="59" t="str">
        <f t="shared" si="45"/>
        <v/>
      </c>
      <c r="C745" s="59" t="str">
        <f t="shared" si="46"/>
        <v/>
      </c>
      <c r="D745" s="109" t="str">
        <f t="shared" si="47"/>
        <v/>
      </c>
      <c r="E745" s="106" t="s">
        <v>767</v>
      </c>
      <c r="F745" s="58" t="s">
        <v>2218</v>
      </c>
      <c r="G745" s="106">
        <v>12</v>
      </c>
      <c r="H745" s="107"/>
      <c r="I745" s="107"/>
      <c r="J745" s="107"/>
      <c r="K745" s="107"/>
      <c r="L745" s="107"/>
      <c r="M745" s="107"/>
      <c r="N745" s="107"/>
      <c r="O745" s="107"/>
      <c r="P745" s="107"/>
    </row>
    <row r="746" spans="1:16" x14ac:dyDescent="0.3">
      <c r="A746" s="58" t="str">
        <f t="shared" si="48"/>
        <v>A032830</v>
      </c>
      <c r="B746" s="59" t="str">
        <f t="shared" si="45"/>
        <v/>
      </c>
      <c r="C746" s="59" t="str">
        <f t="shared" si="46"/>
        <v/>
      </c>
      <c r="D746" s="109" t="str">
        <f t="shared" si="47"/>
        <v/>
      </c>
      <c r="E746" s="106" t="s">
        <v>3142</v>
      </c>
      <c r="F746" s="58" t="s">
        <v>3345</v>
      </c>
      <c r="G746" s="106">
        <v>3</v>
      </c>
      <c r="H746" s="107"/>
      <c r="I746" s="107"/>
      <c r="J746" s="107"/>
      <c r="K746" s="107"/>
      <c r="L746" s="107"/>
      <c r="M746" s="107"/>
      <c r="N746" s="107"/>
      <c r="O746" s="107"/>
      <c r="P746" s="107"/>
    </row>
    <row r="747" spans="1:16" x14ac:dyDescent="0.3">
      <c r="A747" s="58" t="str">
        <f t="shared" si="48"/>
        <v>A032850</v>
      </c>
      <c r="B747" s="59" t="str">
        <f t="shared" si="45"/>
        <v/>
      </c>
      <c r="C747" s="59" t="str">
        <f t="shared" si="46"/>
        <v/>
      </c>
      <c r="D747" s="109" t="str">
        <f t="shared" si="47"/>
        <v/>
      </c>
      <c r="E747" s="106" t="s">
        <v>768</v>
      </c>
      <c r="F747" s="58" t="s">
        <v>2219</v>
      </c>
      <c r="G747" s="106">
        <v>12</v>
      </c>
      <c r="H747" s="107"/>
      <c r="I747" s="107"/>
      <c r="J747" s="107"/>
      <c r="K747" s="107"/>
      <c r="L747" s="107"/>
      <c r="M747" s="107"/>
      <c r="N747" s="107"/>
      <c r="O747" s="107"/>
      <c r="P747" s="107"/>
    </row>
    <row r="748" spans="1:16" x14ac:dyDescent="0.3">
      <c r="A748" s="58" t="str">
        <f t="shared" si="48"/>
        <v>A032860</v>
      </c>
      <c r="B748" s="59" t="str">
        <f t="shared" si="45"/>
        <v/>
      </c>
      <c r="C748" s="59" t="str">
        <f t="shared" si="46"/>
        <v/>
      </c>
      <c r="D748" s="109" t="str">
        <f t="shared" si="47"/>
        <v/>
      </c>
      <c r="E748" s="106" t="s">
        <v>769</v>
      </c>
      <c r="F748" s="58" t="s">
        <v>2220</v>
      </c>
      <c r="G748" s="106">
        <v>12</v>
      </c>
      <c r="H748" s="107"/>
      <c r="I748" s="107"/>
      <c r="J748" s="107"/>
      <c r="K748" s="107"/>
      <c r="L748" s="107"/>
      <c r="M748" s="107"/>
      <c r="N748" s="107"/>
      <c r="O748" s="107"/>
      <c r="P748" s="107"/>
    </row>
    <row r="749" spans="1:16" x14ac:dyDescent="0.3">
      <c r="A749" s="58" t="str">
        <f t="shared" si="48"/>
        <v>A032940</v>
      </c>
      <c r="B749" s="59" t="str">
        <f t="shared" si="45"/>
        <v/>
      </c>
      <c r="C749" s="59" t="str">
        <f t="shared" si="46"/>
        <v/>
      </c>
      <c r="D749" s="109" t="str">
        <f t="shared" si="47"/>
        <v/>
      </c>
      <c r="E749" s="106" t="s">
        <v>770</v>
      </c>
      <c r="F749" s="58" t="s">
        <v>2221</v>
      </c>
      <c r="G749" s="106">
        <v>12</v>
      </c>
      <c r="H749" s="107"/>
      <c r="I749" s="107"/>
      <c r="J749" s="107"/>
      <c r="K749" s="107"/>
      <c r="L749" s="107"/>
      <c r="M749" s="107"/>
      <c r="N749" s="107"/>
      <c r="O749" s="107"/>
      <c r="P749" s="107"/>
    </row>
    <row r="750" spans="1:16" x14ac:dyDescent="0.3">
      <c r="A750" s="58" t="str">
        <f t="shared" si="48"/>
        <v>A032960</v>
      </c>
      <c r="B750" s="59" t="str">
        <f t="shared" si="45"/>
        <v/>
      </c>
      <c r="C750" s="59" t="str">
        <f t="shared" si="46"/>
        <v/>
      </c>
      <c r="D750" s="109" t="str">
        <f t="shared" si="47"/>
        <v/>
      </c>
      <c r="E750" s="106" t="s">
        <v>771</v>
      </c>
      <c r="F750" s="58" t="s">
        <v>2222</v>
      </c>
      <c r="G750" s="106">
        <v>12</v>
      </c>
      <c r="H750" s="107"/>
      <c r="I750" s="107"/>
      <c r="J750" s="107"/>
      <c r="K750" s="107"/>
      <c r="L750" s="107"/>
      <c r="M750" s="107"/>
      <c r="N750" s="107"/>
      <c r="O750" s="107"/>
      <c r="P750" s="107"/>
    </row>
    <row r="751" spans="1:16" x14ac:dyDescent="0.3">
      <c r="A751" s="58" t="str">
        <f t="shared" si="48"/>
        <v>A032980</v>
      </c>
      <c r="B751" s="59" t="str">
        <f t="shared" si="45"/>
        <v/>
      </c>
      <c r="C751" s="59" t="str">
        <f t="shared" si="46"/>
        <v/>
      </c>
      <c r="D751" s="109" t="str">
        <f t="shared" si="47"/>
        <v/>
      </c>
      <c r="E751" s="106" t="s">
        <v>772</v>
      </c>
      <c r="F751" s="58" t="s">
        <v>2223</v>
      </c>
      <c r="G751" s="106">
        <v>6</v>
      </c>
      <c r="H751" s="107"/>
      <c r="I751" s="107"/>
      <c r="J751" s="107"/>
      <c r="K751" s="107"/>
      <c r="L751" s="107"/>
      <c r="M751" s="107"/>
      <c r="N751" s="107"/>
      <c r="O751" s="107"/>
      <c r="P751" s="107"/>
    </row>
    <row r="752" spans="1:16" x14ac:dyDescent="0.3">
      <c r="A752" s="58" t="str">
        <f t="shared" si="48"/>
        <v>A033050</v>
      </c>
      <c r="B752" s="59" t="str">
        <f t="shared" si="45"/>
        <v/>
      </c>
      <c r="C752" s="59" t="str">
        <f t="shared" si="46"/>
        <v/>
      </c>
      <c r="D752" s="109" t="str">
        <f t="shared" si="47"/>
        <v/>
      </c>
      <c r="E752" s="106" t="s">
        <v>773</v>
      </c>
      <c r="F752" s="58" t="s">
        <v>2224</v>
      </c>
      <c r="G752" s="106">
        <v>12</v>
      </c>
      <c r="H752" s="107"/>
      <c r="I752" s="107"/>
      <c r="J752" s="107"/>
      <c r="K752" s="107"/>
      <c r="L752" s="107"/>
      <c r="M752" s="107"/>
      <c r="N752" s="107"/>
      <c r="O752" s="107"/>
      <c r="P752" s="107"/>
    </row>
    <row r="753" spans="1:16" x14ac:dyDescent="0.3">
      <c r="A753" s="58" t="str">
        <f t="shared" si="48"/>
        <v>A033100</v>
      </c>
      <c r="B753" s="59" t="str">
        <f t="shared" si="45"/>
        <v/>
      </c>
      <c r="C753" s="59" t="str">
        <f t="shared" si="46"/>
        <v/>
      </c>
      <c r="D753" s="109" t="str">
        <f t="shared" si="47"/>
        <v/>
      </c>
      <c r="E753" s="106" t="s">
        <v>774</v>
      </c>
      <c r="F753" s="58" t="s">
        <v>2225</v>
      </c>
      <c r="G753" s="106">
        <v>12</v>
      </c>
      <c r="H753" s="107"/>
      <c r="I753" s="107"/>
      <c r="J753" s="107"/>
      <c r="K753" s="107"/>
      <c r="L753" s="107"/>
      <c r="M753" s="107"/>
      <c r="N753" s="107"/>
      <c r="O753" s="107"/>
      <c r="P753" s="107"/>
    </row>
    <row r="754" spans="1:16" x14ac:dyDescent="0.3">
      <c r="A754" s="58" t="str">
        <f t="shared" si="48"/>
        <v>A033110</v>
      </c>
      <c r="B754" s="59" t="str">
        <f t="shared" si="45"/>
        <v/>
      </c>
      <c r="C754" s="59" t="str">
        <f t="shared" si="46"/>
        <v/>
      </c>
      <c r="D754" s="109" t="str">
        <f t="shared" si="47"/>
        <v/>
      </c>
      <c r="E754" s="106" t="s">
        <v>775</v>
      </c>
      <c r="F754" s="58" t="s">
        <v>2226</v>
      </c>
      <c r="G754" s="106">
        <v>12</v>
      </c>
      <c r="H754" s="107"/>
      <c r="I754" s="107"/>
      <c r="J754" s="107"/>
      <c r="K754" s="107"/>
      <c r="L754" s="107"/>
      <c r="M754" s="107"/>
      <c r="N754" s="107"/>
      <c r="O754" s="107"/>
      <c r="P754" s="107"/>
    </row>
    <row r="755" spans="1:16" x14ac:dyDescent="0.3">
      <c r="A755" s="58" t="str">
        <f t="shared" si="48"/>
        <v>A033130</v>
      </c>
      <c r="B755" s="59" t="str">
        <f t="shared" si="45"/>
        <v/>
      </c>
      <c r="C755" s="59" t="str">
        <f t="shared" si="46"/>
        <v/>
      </c>
      <c r="D755" s="109" t="str">
        <f t="shared" si="47"/>
        <v/>
      </c>
      <c r="E755" s="106" t="s">
        <v>776</v>
      </c>
      <c r="F755" s="58" t="s">
        <v>2227</v>
      </c>
      <c r="G755" s="106">
        <v>12</v>
      </c>
      <c r="H755" s="107"/>
      <c r="I755" s="107"/>
      <c r="J755" s="107"/>
      <c r="K755" s="107"/>
      <c r="L755" s="107"/>
      <c r="M755" s="107"/>
      <c r="N755" s="107"/>
      <c r="O755" s="107"/>
      <c r="P755" s="107"/>
    </row>
    <row r="756" spans="1:16" x14ac:dyDescent="0.3">
      <c r="A756" s="58" t="str">
        <f t="shared" si="48"/>
        <v>A033160</v>
      </c>
      <c r="B756" s="59" t="str">
        <f t="shared" si="45"/>
        <v/>
      </c>
      <c r="C756" s="59" t="str">
        <f t="shared" si="46"/>
        <v/>
      </c>
      <c r="D756" s="109" t="str">
        <f t="shared" si="47"/>
        <v/>
      </c>
      <c r="E756" s="106" t="s">
        <v>777</v>
      </c>
      <c r="F756" s="58" t="s">
        <v>2228</v>
      </c>
      <c r="G756" s="106">
        <v>12</v>
      </c>
      <c r="H756" s="107"/>
      <c r="I756" s="107"/>
      <c r="J756" s="107"/>
      <c r="K756" s="107"/>
      <c r="L756" s="107"/>
      <c r="M756" s="107"/>
      <c r="N756" s="107"/>
      <c r="O756" s="107"/>
      <c r="P756" s="107"/>
    </row>
    <row r="757" spans="1:16" x14ac:dyDescent="0.3">
      <c r="A757" s="58" t="str">
        <f t="shared" si="48"/>
        <v>A033170</v>
      </c>
      <c r="B757" s="59" t="str">
        <f t="shared" si="45"/>
        <v/>
      </c>
      <c r="C757" s="59" t="str">
        <f t="shared" si="46"/>
        <v/>
      </c>
      <c r="D757" s="109" t="str">
        <f t="shared" si="47"/>
        <v/>
      </c>
      <c r="E757" s="106" t="s">
        <v>3143</v>
      </c>
      <c r="F757" s="58" t="s">
        <v>3346</v>
      </c>
      <c r="G757" s="106">
        <v>12</v>
      </c>
      <c r="H757" s="107"/>
      <c r="I757" s="107"/>
      <c r="J757" s="107"/>
      <c r="K757" s="107"/>
      <c r="L757" s="107"/>
      <c r="M757" s="107"/>
      <c r="N757" s="107"/>
      <c r="O757" s="107"/>
      <c r="P757" s="107"/>
    </row>
    <row r="758" spans="1:16" x14ac:dyDescent="0.3">
      <c r="A758" s="58" t="str">
        <f t="shared" si="48"/>
        <v>A033180</v>
      </c>
      <c r="B758" s="59" t="str">
        <f t="shared" si="45"/>
        <v/>
      </c>
      <c r="C758" s="59" t="str">
        <f t="shared" si="46"/>
        <v/>
      </c>
      <c r="D758" s="109" t="str">
        <f t="shared" si="47"/>
        <v/>
      </c>
      <c r="E758" s="106" t="s">
        <v>778</v>
      </c>
      <c r="F758" s="58" t="s">
        <v>2229</v>
      </c>
      <c r="G758" s="106">
        <v>12</v>
      </c>
      <c r="H758" s="107"/>
      <c r="I758" s="107"/>
      <c r="J758" s="107"/>
      <c r="K758" s="107"/>
      <c r="L758" s="107"/>
      <c r="M758" s="107"/>
      <c r="N758" s="107"/>
      <c r="O758" s="107"/>
      <c r="P758" s="107"/>
    </row>
    <row r="759" spans="1:16" x14ac:dyDescent="0.3">
      <c r="A759" s="58" t="str">
        <f t="shared" si="48"/>
        <v>A033200</v>
      </c>
      <c r="B759" s="59" t="str">
        <f t="shared" si="45"/>
        <v/>
      </c>
      <c r="C759" s="59" t="str">
        <f t="shared" si="46"/>
        <v/>
      </c>
      <c r="D759" s="109" t="str">
        <f t="shared" si="47"/>
        <v/>
      </c>
      <c r="E759" s="106" t="s">
        <v>779</v>
      </c>
      <c r="F759" s="58" t="s">
        <v>2230</v>
      </c>
      <c r="G759" s="106">
        <v>12</v>
      </c>
      <c r="H759" s="107"/>
      <c r="I759" s="107"/>
      <c r="J759" s="107"/>
      <c r="K759" s="107"/>
      <c r="L759" s="107"/>
      <c r="M759" s="107"/>
      <c r="N759" s="107"/>
      <c r="O759" s="107"/>
      <c r="P759" s="107"/>
    </row>
    <row r="760" spans="1:16" x14ac:dyDescent="0.3">
      <c r="A760" s="58" t="str">
        <f t="shared" si="48"/>
        <v>A033230</v>
      </c>
      <c r="B760" s="59" t="str">
        <f t="shared" si="45"/>
        <v/>
      </c>
      <c r="C760" s="59" t="str">
        <f t="shared" si="46"/>
        <v/>
      </c>
      <c r="D760" s="109" t="str">
        <f t="shared" si="47"/>
        <v/>
      </c>
      <c r="E760" s="106" t="s">
        <v>780</v>
      </c>
      <c r="F760" s="58" t="s">
        <v>2231</v>
      </c>
      <c r="G760" s="106">
        <v>12</v>
      </c>
      <c r="H760" s="107"/>
      <c r="I760" s="107"/>
      <c r="J760" s="107"/>
      <c r="K760" s="107"/>
      <c r="L760" s="107"/>
      <c r="M760" s="107"/>
      <c r="N760" s="107"/>
      <c r="O760" s="107"/>
      <c r="P760" s="107"/>
    </row>
    <row r="761" spans="1:16" x14ac:dyDescent="0.3">
      <c r="A761" s="58" t="str">
        <f t="shared" si="48"/>
        <v>A033240</v>
      </c>
      <c r="B761" s="59" t="str">
        <f t="shared" si="45"/>
        <v/>
      </c>
      <c r="C761" s="59" t="str">
        <f t="shared" si="46"/>
        <v/>
      </c>
      <c r="D761" s="109" t="str">
        <f t="shared" si="47"/>
        <v/>
      </c>
      <c r="E761" s="106" t="s">
        <v>781</v>
      </c>
      <c r="F761" s="58" t="s">
        <v>2232</v>
      </c>
      <c r="G761" s="106">
        <v>12</v>
      </c>
      <c r="H761" s="107"/>
      <c r="I761" s="107"/>
      <c r="J761" s="107"/>
      <c r="K761" s="107"/>
      <c r="L761" s="107"/>
      <c r="M761" s="107"/>
      <c r="N761" s="107"/>
      <c r="O761" s="107"/>
      <c r="P761" s="107"/>
    </row>
    <row r="762" spans="1:16" x14ac:dyDescent="0.3">
      <c r="A762" s="58" t="str">
        <f t="shared" si="48"/>
        <v>A033250</v>
      </c>
      <c r="B762" s="59" t="str">
        <f t="shared" si="45"/>
        <v/>
      </c>
      <c r="C762" s="59" t="str">
        <f t="shared" si="46"/>
        <v/>
      </c>
      <c r="D762" s="109" t="str">
        <f t="shared" si="47"/>
        <v/>
      </c>
      <c r="E762" s="106" t="s">
        <v>782</v>
      </c>
      <c r="F762" s="58" t="s">
        <v>2233</v>
      </c>
      <c r="G762" s="106">
        <v>6</v>
      </c>
      <c r="H762" s="107"/>
      <c r="I762" s="107"/>
      <c r="J762" s="107"/>
      <c r="K762" s="107"/>
      <c r="L762" s="107"/>
      <c r="M762" s="107"/>
      <c r="N762" s="107"/>
      <c r="O762" s="107"/>
      <c r="P762" s="107"/>
    </row>
    <row r="763" spans="1:16" x14ac:dyDescent="0.3">
      <c r="A763" s="58" t="str">
        <f t="shared" si="48"/>
        <v>A033270</v>
      </c>
      <c r="B763" s="59" t="str">
        <f t="shared" si="45"/>
        <v/>
      </c>
      <c r="C763" s="59" t="str">
        <f t="shared" si="46"/>
        <v/>
      </c>
      <c r="D763" s="109" t="str">
        <f t="shared" si="47"/>
        <v/>
      </c>
      <c r="E763" s="106" t="s">
        <v>783</v>
      </c>
      <c r="F763" s="58" t="s">
        <v>2234</v>
      </c>
      <c r="G763" s="106">
        <v>12</v>
      </c>
      <c r="H763" s="107"/>
      <c r="I763" s="107"/>
      <c r="J763" s="107"/>
      <c r="K763" s="107"/>
      <c r="L763" s="107"/>
      <c r="M763" s="107"/>
      <c r="N763" s="107"/>
      <c r="O763" s="107"/>
      <c r="P763" s="107"/>
    </row>
    <row r="764" spans="1:16" x14ac:dyDescent="0.3">
      <c r="A764" s="58" t="str">
        <f t="shared" si="48"/>
        <v>A033290</v>
      </c>
      <c r="B764" s="59" t="str">
        <f t="shared" si="45"/>
        <v/>
      </c>
      <c r="C764" s="59" t="str">
        <f t="shared" si="46"/>
        <v/>
      </c>
      <c r="D764" s="109" t="str">
        <f t="shared" si="47"/>
        <v/>
      </c>
      <c r="E764" s="106" t="s">
        <v>784</v>
      </c>
      <c r="F764" s="58" t="s">
        <v>2235</v>
      </c>
      <c r="G764" s="106">
        <v>12</v>
      </c>
      <c r="H764" s="107"/>
      <c r="I764" s="107"/>
      <c r="J764" s="107"/>
      <c r="K764" s="107"/>
      <c r="L764" s="107"/>
      <c r="M764" s="107"/>
      <c r="N764" s="107"/>
      <c r="O764" s="107"/>
      <c r="P764" s="107"/>
    </row>
    <row r="765" spans="1:16" x14ac:dyDescent="0.3">
      <c r="A765" s="58" t="str">
        <f t="shared" si="48"/>
        <v>A033310</v>
      </c>
      <c r="B765" s="59" t="str">
        <f t="shared" si="45"/>
        <v/>
      </c>
      <c r="C765" s="59" t="str">
        <f t="shared" si="46"/>
        <v/>
      </c>
      <c r="D765" s="109" t="str">
        <f t="shared" si="47"/>
        <v/>
      </c>
      <c r="E765" s="106" t="s">
        <v>785</v>
      </c>
      <c r="F765" s="58" t="s">
        <v>2236</v>
      </c>
      <c r="G765" s="106">
        <v>12</v>
      </c>
      <c r="H765" s="107"/>
      <c r="I765" s="107"/>
      <c r="J765" s="107"/>
      <c r="K765" s="107"/>
      <c r="L765" s="107"/>
      <c r="M765" s="107"/>
      <c r="N765" s="107"/>
      <c r="O765" s="107"/>
      <c r="P765" s="107"/>
    </row>
    <row r="766" spans="1:16" x14ac:dyDescent="0.3">
      <c r="A766" s="58" t="str">
        <f t="shared" si="48"/>
        <v>A033320</v>
      </c>
      <c r="B766" s="59" t="str">
        <f t="shared" si="45"/>
        <v/>
      </c>
      <c r="C766" s="59" t="str">
        <f t="shared" si="46"/>
        <v/>
      </c>
      <c r="D766" s="109" t="str">
        <f t="shared" si="47"/>
        <v/>
      </c>
      <c r="E766" s="106" t="s">
        <v>786</v>
      </c>
      <c r="F766" s="58" t="s">
        <v>2237</v>
      </c>
      <c r="G766" s="106">
        <v>12</v>
      </c>
      <c r="H766" s="107"/>
      <c r="I766" s="107"/>
      <c r="J766" s="107"/>
      <c r="K766" s="107"/>
      <c r="L766" s="107"/>
      <c r="M766" s="107"/>
      <c r="N766" s="107"/>
      <c r="O766" s="107"/>
      <c r="P766" s="107"/>
    </row>
    <row r="767" spans="1:16" x14ac:dyDescent="0.3">
      <c r="A767" s="58" t="str">
        <f t="shared" si="48"/>
        <v>A033340</v>
      </c>
      <c r="B767" s="59" t="str">
        <f t="shared" si="45"/>
        <v/>
      </c>
      <c r="C767" s="59" t="str">
        <f t="shared" si="46"/>
        <v/>
      </c>
      <c r="D767" s="109" t="str">
        <f t="shared" si="47"/>
        <v/>
      </c>
      <c r="E767" s="106" t="s">
        <v>787</v>
      </c>
      <c r="F767" s="58" t="s">
        <v>2238</v>
      </c>
      <c r="G767" s="106">
        <v>12</v>
      </c>
      <c r="H767" s="107"/>
      <c r="I767" s="107"/>
      <c r="J767" s="107"/>
      <c r="K767" s="107"/>
      <c r="L767" s="107"/>
      <c r="M767" s="107"/>
      <c r="N767" s="107"/>
      <c r="O767" s="107"/>
      <c r="P767" s="107"/>
    </row>
    <row r="768" spans="1:16" x14ac:dyDescent="0.3">
      <c r="A768" s="58" t="str">
        <f t="shared" si="48"/>
        <v>A033430</v>
      </c>
      <c r="B768" s="59" t="str">
        <f t="shared" si="45"/>
        <v/>
      </c>
      <c r="C768" s="59" t="str">
        <f t="shared" si="46"/>
        <v/>
      </c>
      <c r="D768" s="109" t="str">
        <f t="shared" si="47"/>
        <v/>
      </c>
      <c r="E768" s="106" t="s">
        <v>788</v>
      </c>
      <c r="F768" s="58" t="s">
        <v>2239</v>
      </c>
      <c r="G768" s="106">
        <v>12</v>
      </c>
      <c r="H768" s="107"/>
      <c r="I768" s="107"/>
      <c r="J768" s="107"/>
      <c r="K768" s="107"/>
      <c r="L768" s="107"/>
      <c r="M768" s="107"/>
      <c r="N768" s="107"/>
      <c r="O768" s="107"/>
      <c r="P768" s="107"/>
    </row>
    <row r="769" spans="1:16" x14ac:dyDescent="0.3">
      <c r="A769" s="58" t="str">
        <f t="shared" si="48"/>
        <v>A033500</v>
      </c>
      <c r="B769" s="59" t="str">
        <f t="shared" si="45"/>
        <v/>
      </c>
      <c r="C769" s="59" t="str">
        <f t="shared" si="46"/>
        <v/>
      </c>
      <c r="D769" s="109" t="str">
        <f t="shared" si="47"/>
        <v/>
      </c>
      <c r="E769" s="106" t="s">
        <v>789</v>
      </c>
      <c r="F769" s="58" t="s">
        <v>3641</v>
      </c>
      <c r="G769" s="106">
        <v>12</v>
      </c>
      <c r="H769" s="107"/>
      <c r="I769" s="107"/>
      <c r="J769" s="107"/>
      <c r="K769" s="107"/>
      <c r="L769" s="107"/>
      <c r="M769" s="107"/>
      <c r="N769" s="107"/>
      <c r="O769" s="107"/>
      <c r="P769" s="107"/>
    </row>
    <row r="770" spans="1:16" x14ac:dyDescent="0.3">
      <c r="A770" s="58" t="str">
        <f t="shared" si="48"/>
        <v>A033530</v>
      </c>
      <c r="B770" s="59" t="str">
        <f t="shared" si="45"/>
        <v/>
      </c>
      <c r="C770" s="59" t="str">
        <f t="shared" si="46"/>
        <v/>
      </c>
      <c r="D770" s="109" t="str">
        <f t="shared" si="47"/>
        <v/>
      </c>
      <c r="E770" s="106" t="s">
        <v>790</v>
      </c>
      <c r="F770" s="58" t="s">
        <v>2240</v>
      </c>
      <c r="G770" s="106">
        <v>12</v>
      </c>
      <c r="H770" s="107"/>
      <c r="I770" s="107"/>
      <c r="J770" s="107"/>
      <c r="K770" s="107"/>
      <c r="L770" s="107"/>
      <c r="M770" s="107"/>
      <c r="N770" s="107"/>
      <c r="O770" s="107"/>
      <c r="P770" s="107"/>
    </row>
    <row r="771" spans="1:16" x14ac:dyDescent="0.3">
      <c r="A771" s="58" t="str">
        <f t="shared" si="48"/>
        <v>A033540</v>
      </c>
      <c r="B771" s="59" t="str">
        <f t="shared" si="45"/>
        <v/>
      </c>
      <c r="C771" s="59" t="str">
        <f t="shared" si="46"/>
        <v/>
      </c>
      <c r="D771" s="109" t="str">
        <f t="shared" si="47"/>
        <v/>
      </c>
      <c r="E771" s="106" t="s">
        <v>791</v>
      </c>
      <c r="F771" s="58" t="s">
        <v>2241</v>
      </c>
      <c r="G771" s="106">
        <v>12</v>
      </c>
      <c r="H771" s="107"/>
      <c r="I771" s="107"/>
      <c r="J771" s="107"/>
      <c r="K771" s="107"/>
      <c r="L771" s="107"/>
      <c r="M771" s="107"/>
      <c r="N771" s="107"/>
      <c r="O771" s="107"/>
      <c r="P771" s="107"/>
    </row>
    <row r="772" spans="1:16" x14ac:dyDescent="0.3">
      <c r="A772" s="58" t="str">
        <f t="shared" si="48"/>
        <v>A033560</v>
      </c>
      <c r="B772" s="59" t="str">
        <f t="shared" si="45"/>
        <v/>
      </c>
      <c r="C772" s="59" t="str">
        <f t="shared" si="46"/>
        <v/>
      </c>
      <c r="D772" s="109" t="str">
        <f t="shared" si="47"/>
        <v/>
      </c>
      <c r="E772" s="106" t="s">
        <v>3144</v>
      </c>
      <c r="F772" s="58" t="s">
        <v>3347</v>
      </c>
      <c r="G772" s="106">
        <v>12</v>
      </c>
      <c r="H772" s="107"/>
      <c r="I772" s="107"/>
      <c r="J772" s="107"/>
      <c r="K772" s="107"/>
      <c r="L772" s="107"/>
      <c r="M772" s="107"/>
      <c r="N772" s="107"/>
      <c r="O772" s="107"/>
      <c r="P772" s="107"/>
    </row>
    <row r="773" spans="1:16" x14ac:dyDescent="0.3">
      <c r="A773" s="58" t="str">
        <f t="shared" si="48"/>
        <v>A033600</v>
      </c>
      <c r="B773" s="59" t="str">
        <f t="shared" si="45"/>
        <v/>
      </c>
      <c r="C773" s="59" t="str">
        <f t="shared" si="46"/>
        <v/>
      </c>
      <c r="D773" s="109" t="str">
        <f t="shared" si="47"/>
        <v/>
      </c>
      <c r="E773" s="106" t="s">
        <v>792</v>
      </c>
      <c r="F773" s="58" t="s">
        <v>2242</v>
      </c>
      <c r="G773" s="106">
        <v>12</v>
      </c>
      <c r="H773" s="107"/>
      <c r="I773" s="107"/>
      <c r="J773" s="107"/>
      <c r="K773" s="107"/>
      <c r="L773" s="107"/>
      <c r="M773" s="107"/>
      <c r="N773" s="107"/>
      <c r="O773" s="107"/>
      <c r="P773" s="107"/>
    </row>
    <row r="774" spans="1:16" x14ac:dyDescent="0.3">
      <c r="A774" s="58" t="str">
        <f t="shared" si="48"/>
        <v>A033630</v>
      </c>
      <c r="B774" s="59">
        <f t="shared" si="45"/>
        <v>41492</v>
      </c>
      <c r="C774" s="59" t="str">
        <f t="shared" si="46"/>
        <v/>
      </c>
      <c r="D774" s="109" t="str">
        <f t="shared" si="47"/>
        <v/>
      </c>
      <c r="E774" s="106" t="s">
        <v>793</v>
      </c>
      <c r="F774" s="58" t="s">
        <v>2243</v>
      </c>
      <c r="G774" s="106">
        <v>12</v>
      </c>
      <c r="H774" s="107">
        <v>20130806</v>
      </c>
      <c r="I774" s="107"/>
      <c r="J774" s="107"/>
      <c r="K774" s="107"/>
      <c r="L774" s="107"/>
      <c r="M774" s="107"/>
      <c r="N774" s="107"/>
      <c r="O774" s="107"/>
      <c r="P774" s="107"/>
    </row>
    <row r="775" spans="1:16" x14ac:dyDescent="0.3">
      <c r="A775" s="58" t="str">
        <f t="shared" si="48"/>
        <v>A033640</v>
      </c>
      <c r="B775" s="59" t="str">
        <f t="shared" si="45"/>
        <v/>
      </c>
      <c r="C775" s="59" t="str">
        <f t="shared" si="46"/>
        <v/>
      </c>
      <c r="D775" s="109" t="str">
        <f t="shared" si="47"/>
        <v/>
      </c>
      <c r="E775" s="106" t="s">
        <v>794</v>
      </c>
      <c r="F775" s="58" t="s">
        <v>2244</v>
      </c>
      <c r="G775" s="106">
        <v>12</v>
      </c>
      <c r="H775" s="107"/>
      <c r="I775" s="107"/>
      <c r="J775" s="107"/>
      <c r="K775" s="107"/>
      <c r="L775" s="107"/>
      <c r="M775" s="107"/>
      <c r="N775" s="107"/>
      <c r="O775" s="107"/>
      <c r="P775" s="107"/>
    </row>
    <row r="776" spans="1:16" x14ac:dyDescent="0.3">
      <c r="A776" s="58" t="str">
        <f t="shared" si="48"/>
        <v>A033660</v>
      </c>
      <c r="B776" s="59" t="str">
        <f t="shared" si="45"/>
        <v/>
      </c>
      <c r="C776" s="59" t="str">
        <f t="shared" si="46"/>
        <v/>
      </c>
      <c r="D776" s="109" t="str">
        <f t="shared" si="47"/>
        <v/>
      </c>
      <c r="E776" s="106" t="s">
        <v>795</v>
      </c>
      <c r="F776" s="58" t="s">
        <v>2245</v>
      </c>
      <c r="G776" s="106">
        <v>12</v>
      </c>
      <c r="H776" s="107"/>
      <c r="I776" s="107"/>
      <c r="J776" s="107"/>
      <c r="K776" s="107"/>
      <c r="L776" s="107"/>
      <c r="M776" s="107"/>
      <c r="N776" s="107"/>
      <c r="O776" s="107"/>
      <c r="P776" s="107"/>
    </row>
    <row r="777" spans="1:16" x14ac:dyDescent="0.3">
      <c r="A777" s="58" t="str">
        <f t="shared" si="48"/>
        <v>A033780</v>
      </c>
      <c r="B777" s="59">
        <f t="shared" si="45"/>
        <v>41472</v>
      </c>
      <c r="C777" s="59">
        <f t="shared" si="46"/>
        <v>41472</v>
      </c>
      <c r="D777" s="109">
        <f t="shared" si="47"/>
        <v>248.7</v>
      </c>
      <c r="E777" s="106" t="s">
        <v>796</v>
      </c>
      <c r="F777" s="58" t="s">
        <v>2246</v>
      </c>
      <c r="G777" s="106">
        <v>12</v>
      </c>
      <c r="H777" s="107">
        <v>20130717</v>
      </c>
      <c r="I777" s="107">
        <v>20130717</v>
      </c>
      <c r="J777" s="107">
        <v>248.7</v>
      </c>
      <c r="K777" s="107"/>
      <c r="L777" s="107"/>
      <c r="M777" s="107"/>
      <c r="N777" s="107"/>
      <c r="O777" s="107"/>
      <c r="P777" s="107"/>
    </row>
    <row r="778" spans="1:16" x14ac:dyDescent="0.3">
      <c r="A778" s="58" t="str">
        <f t="shared" si="48"/>
        <v>A033790</v>
      </c>
      <c r="B778" s="59" t="str">
        <f t="shared" si="45"/>
        <v/>
      </c>
      <c r="C778" s="59" t="str">
        <f t="shared" si="46"/>
        <v/>
      </c>
      <c r="D778" s="109" t="str">
        <f t="shared" si="47"/>
        <v/>
      </c>
      <c r="E778" s="106" t="s">
        <v>797</v>
      </c>
      <c r="F778" s="58" t="s">
        <v>2247</v>
      </c>
      <c r="G778" s="106">
        <v>12</v>
      </c>
      <c r="H778" s="107"/>
      <c r="I778" s="107"/>
      <c r="J778" s="107"/>
      <c r="K778" s="107"/>
      <c r="L778" s="107"/>
      <c r="M778" s="107"/>
      <c r="N778" s="107"/>
      <c r="O778" s="107"/>
      <c r="P778" s="107"/>
    </row>
    <row r="779" spans="1:16" x14ac:dyDescent="0.3">
      <c r="A779" s="58" t="str">
        <f t="shared" si="48"/>
        <v>A033830</v>
      </c>
      <c r="B779" s="59" t="str">
        <f t="shared" si="45"/>
        <v/>
      </c>
      <c r="C779" s="59" t="str">
        <f t="shared" si="46"/>
        <v/>
      </c>
      <c r="D779" s="109" t="str">
        <f t="shared" si="47"/>
        <v/>
      </c>
      <c r="E779" s="106" t="s">
        <v>3145</v>
      </c>
      <c r="F779" s="58" t="s">
        <v>3348</v>
      </c>
      <c r="G779" s="106">
        <v>12</v>
      </c>
      <c r="H779" s="107"/>
      <c r="I779" s="107"/>
      <c r="J779" s="107"/>
      <c r="K779" s="107"/>
      <c r="L779" s="107"/>
      <c r="M779" s="107"/>
      <c r="N779" s="107"/>
      <c r="O779" s="107"/>
      <c r="P779" s="107"/>
    </row>
    <row r="780" spans="1:16" x14ac:dyDescent="0.3">
      <c r="A780" s="58" t="str">
        <f t="shared" si="48"/>
        <v>A033920</v>
      </c>
      <c r="B780" s="59" t="str">
        <f t="shared" si="45"/>
        <v/>
      </c>
      <c r="C780" s="59" t="str">
        <f t="shared" si="46"/>
        <v/>
      </c>
      <c r="D780" s="109" t="str">
        <f t="shared" si="47"/>
        <v/>
      </c>
      <c r="E780" s="106" t="s">
        <v>798</v>
      </c>
      <c r="F780" s="58" t="s">
        <v>2248</v>
      </c>
      <c r="G780" s="106">
        <v>12</v>
      </c>
      <c r="H780" s="107"/>
      <c r="I780" s="107"/>
      <c r="J780" s="107"/>
      <c r="K780" s="107"/>
      <c r="L780" s="107"/>
      <c r="M780" s="107"/>
      <c r="N780" s="107"/>
      <c r="O780" s="107"/>
      <c r="P780" s="107"/>
    </row>
    <row r="781" spans="1:16" x14ac:dyDescent="0.3">
      <c r="A781" s="58" t="str">
        <f t="shared" si="48"/>
        <v>A034020</v>
      </c>
      <c r="B781" s="59">
        <f t="shared" si="45"/>
        <v>41480</v>
      </c>
      <c r="C781" s="59">
        <f t="shared" si="46"/>
        <v>41480</v>
      </c>
      <c r="D781" s="109">
        <f t="shared" si="47"/>
        <v>314.14999999999998</v>
      </c>
      <c r="E781" s="106" t="s">
        <v>799</v>
      </c>
      <c r="F781" s="58" t="s">
        <v>2249</v>
      </c>
      <c r="G781" s="106">
        <v>12</v>
      </c>
      <c r="H781" s="107">
        <v>20130725</v>
      </c>
      <c r="I781" s="107">
        <v>20130725</v>
      </c>
      <c r="J781" s="107">
        <v>314.14999999999998</v>
      </c>
      <c r="K781" s="107"/>
      <c r="L781" s="107"/>
      <c r="M781" s="107"/>
      <c r="N781" s="107"/>
      <c r="O781" s="107"/>
      <c r="P781" s="107"/>
    </row>
    <row r="782" spans="1:16" x14ac:dyDescent="0.3">
      <c r="A782" s="58" t="str">
        <f t="shared" si="48"/>
        <v>A034120</v>
      </c>
      <c r="B782" s="59" t="str">
        <f t="shared" si="45"/>
        <v/>
      </c>
      <c r="C782" s="59" t="str">
        <f t="shared" si="46"/>
        <v/>
      </c>
      <c r="D782" s="109" t="str">
        <f t="shared" si="47"/>
        <v/>
      </c>
      <c r="E782" s="106" t="s">
        <v>800</v>
      </c>
      <c r="F782" s="58" t="s">
        <v>2250</v>
      </c>
      <c r="G782" s="106">
        <v>12</v>
      </c>
      <c r="H782" s="107"/>
      <c r="I782" s="107"/>
      <c r="J782" s="107"/>
      <c r="K782" s="107"/>
      <c r="L782" s="107"/>
      <c r="M782" s="107"/>
      <c r="N782" s="107"/>
      <c r="O782" s="107"/>
      <c r="P782" s="107"/>
    </row>
    <row r="783" spans="1:16" x14ac:dyDescent="0.3">
      <c r="A783" s="58" t="str">
        <f t="shared" si="48"/>
        <v>A034220</v>
      </c>
      <c r="B783" s="59">
        <f t="shared" ref="B783:B846" si="49">IFERROR(IF(ISNUMBER(H783),DATE(LEFT(H783,4),MID(H783,5,2),RIGHT(H783,2)),NA()),"")</f>
        <v>41473</v>
      </c>
      <c r="C783" s="59">
        <f t="shared" ref="C783:C846" si="50">IFERROR(IF(ISNUMBER(I783),DATE(LEFT(I783,4),MID(I783,5,2),RIGHT(I783,2)),NA()),"")</f>
        <v>41473</v>
      </c>
      <c r="D783" s="109">
        <f t="shared" ref="D783:D846" si="51">IFERROR(IF(ISNUMBER(J783),J783,NA()),"")</f>
        <v>365.88</v>
      </c>
      <c r="E783" s="106" t="s">
        <v>801</v>
      </c>
      <c r="F783" s="58" t="s">
        <v>2251</v>
      </c>
      <c r="G783" s="106">
        <v>12</v>
      </c>
      <c r="H783" s="107">
        <v>20130718</v>
      </c>
      <c r="I783" s="107">
        <v>20130718</v>
      </c>
      <c r="J783" s="107">
        <v>365.88</v>
      </c>
      <c r="K783" s="107"/>
      <c r="L783" s="107"/>
      <c r="M783" s="107"/>
      <c r="N783" s="107"/>
      <c r="O783" s="107"/>
      <c r="P783" s="107"/>
    </row>
    <row r="784" spans="1:16" x14ac:dyDescent="0.3">
      <c r="A784" s="58" t="str">
        <f t="shared" si="48"/>
        <v>A034230</v>
      </c>
      <c r="B784" s="59" t="str">
        <f t="shared" si="49"/>
        <v/>
      </c>
      <c r="C784" s="59" t="str">
        <f t="shared" si="50"/>
        <v/>
      </c>
      <c r="D784" s="109" t="str">
        <f t="shared" si="51"/>
        <v/>
      </c>
      <c r="E784" s="106" t="s">
        <v>802</v>
      </c>
      <c r="F784" s="58" t="s">
        <v>2252</v>
      </c>
      <c r="G784" s="106">
        <v>12</v>
      </c>
      <c r="H784" s="107"/>
      <c r="I784" s="107"/>
      <c r="J784" s="107"/>
      <c r="K784" s="107"/>
      <c r="L784" s="107"/>
      <c r="M784" s="107"/>
      <c r="N784" s="107"/>
      <c r="O784" s="107"/>
      <c r="P784" s="107"/>
    </row>
    <row r="785" spans="1:16" x14ac:dyDescent="0.3">
      <c r="A785" s="58" t="str">
        <f t="shared" si="48"/>
        <v>A034300</v>
      </c>
      <c r="B785" s="59" t="str">
        <f t="shared" si="49"/>
        <v/>
      </c>
      <c r="C785" s="59" t="str">
        <f t="shared" si="50"/>
        <v/>
      </c>
      <c r="D785" s="109" t="str">
        <f t="shared" si="51"/>
        <v/>
      </c>
      <c r="E785" s="106" t="s">
        <v>803</v>
      </c>
      <c r="F785" s="58" t="s">
        <v>2253</v>
      </c>
      <c r="G785" s="106">
        <v>12</v>
      </c>
      <c r="H785" s="107"/>
      <c r="I785" s="107"/>
      <c r="J785" s="107"/>
      <c r="K785" s="107"/>
      <c r="L785" s="107"/>
      <c r="M785" s="107"/>
      <c r="N785" s="107"/>
      <c r="O785" s="107"/>
      <c r="P785" s="107"/>
    </row>
    <row r="786" spans="1:16" x14ac:dyDescent="0.3">
      <c r="A786" s="58" t="str">
        <f t="shared" si="48"/>
        <v>A034310</v>
      </c>
      <c r="B786" s="59" t="str">
        <f t="shared" si="49"/>
        <v/>
      </c>
      <c r="C786" s="59" t="str">
        <f t="shared" si="50"/>
        <v/>
      </c>
      <c r="D786" s="109" t="str">
        <f t="shared" si="51"/>
        <v/>
      </c>
      <c r="E786" s="106" t="s">
        <v>804</v>
      </c>
      <c r="F786" s="58" t="s">
        <v>2254</v>
      </c>
      <c r="G786" s="106">
        <v>12</v>
      </c>
      <c r="H786" s="107"/>
      <c r="I786" s="107"/>
      <c r="J786" s="107"/>
      <c r="K786" s="107"/>
      <c r="L786" s="107"/>
      <c r="M786" s="107"/>
      <c r="N786" s="107"/>
      <c r="O786" s="107"/>
      <c r="P786" s="107"/>
    </row>
    <row r="787" spans="1:16" x14ac:dyDescent="0.3">
      <c r="A787" s="58" t="str">
        <f t="shared" si="48"/>
        <v>A034590</v>
      </c>
      <c r="B787" s="59" t="str">
        <f t="shared" si="49"/>
        <v/>
      </c>
      <c r="C787" s="59" t="str">
        <f t="shared" si="50"/>
        <v/>
      </c>
      <c r="D787" s="109" t="str">
        <f t="shared" si="51"/>
        <v/>
      </c>
      <c r="E787" s="106" t="s">
        <v>805</v>
      </c>
      <c r="F787" s="58" t="s">
        <v>2255</v>
      </c>
      <c r="G787" s="106">
        <v>12</v>
      </c>
      <c r="H787" s="107"/>
      <c r="I787" s="107"/>
      <c r="J787" s="107"/>
      <c r="K787" s="107"/>
      <c r="L787" s="107"/>
      <c r="M787" s="107"/>
      <c r="N787" s="107"/>
      <c r="O787" s="107"/>
      <c r="P787" s="107"/>
    </row>
    <row r="788" spans="1:16" x14ac:dyDescent="0.3">
      <c r="A788" s="58" t="str">
        <f t="shared" si="48"/>
        <v>A034730</v>
      </c>
      <c r="B788" s="59">
        <f t="shared" si="49"/>
        <v>41485</v>
      </c>
      <c r="C788" s="59">
        <f t="shared" si="50"/>
        <v>41485</v>
      </c>
      <c r="D788" s="109">
        <f t="shared" si="51"/>
        <v>52.85</v>
      </c>
      <c r="E788" s="106" t="s">
        <v>806</v>
      </c>
      <c r="F788" s="58" t="s">
        <v>2256</v>
      </c>
      <c r="G788" s="106">
        <v>12</v>
      </c>
      <c r="H788" s="107">
        <v>20130730</v>
      </c>
      <c r="I788" s="107">
        <v>20130730</v>
      </c>
      <c r="J788" s="107">
        <v>52.85</v>
      </c>
      <c r="K788" s="107"/>
      <c r="L788" s="107"/>
      <c r="M788" s="107"/>
      <c r="N788" s="107"/>
      <c r="O788" s="107"/>
      <c r="P788" s="107"/>
    </row>
    <row r="789" spans="1:16" x14ac:dyDescent="0.3">
      <c r="A789" s="58" t="str">
        <f t="shared" si="48"/>
        <v>A034810</v>
      </c>
      <c r="B789" s="59" t="str">
        <f t="shared" si="49"/>
        <v/>
      </c>
      <c r="C789" s="59" t="str">
        <f t="shared" si="50"/>
        <v/>
      </c>
      <c r="D789" s="109" t="str">
        <f t="shared" si="51"/>
        <v/>
      </c>
      <c r="E789" s="106" t="s">
        <v>807</v>
      </c>
      <c r="F789" s="58" t="s">
        <v>2257</v>
      </c>
      <c r="G789" s="106">
        <v>12</v>
      </c>
      <c r="H789" s="107"/>
      <c r="I789" s="107"/>
      <c r="J789" s="107"/>
      <c r="K789" s="107"/>
      <c r="L789" s="107"/>
      <c r="M789" s="107"/>
      <c r="N789" s="107"/>
      <c r="O789" s="107"/>
      <c r="P789" s="107"/>
    </row>
    <row r="790" spans="1:16" x14ac:dyDescent="0.3">
      <c r="A790" s="58" t="str">
        <f t="shared" ref="A790:A853" si="52">E790</f>
        <v>A034830</v>
      </c>
      <c r="B790" s="59" t="str">
        <f t="shared" si="49"/>
        <v/>
      </c>
      <c r="C790" s="59" t="str">
        <f t="shared" si="50"/>
        <v/>
      </c>
      <c r="D790" s="109" t="str">
        <f t="shared" si="51"/>
        <v/>
      </c>
      <c r="E790" s="106" t="s">
        <v>808</v>
      </c>
      <c r="F790" s="58" t="s">
        <v>2258</v>
      </c>
      <c r="G790" s="106">
        <v>12</v>
      </c>
      <c r="H790" s="107"/>
      <c r="I790" s="107"/>
      <c r="J790" s="107"/>
      <c r="K790" s="107"/>
      <c r="L790" s="107"/>
      <c r="M790" s="107"/>
      <c r="N790" s="107"/>
      <c r="O790" s="107"/>
      <c r="P790" s="107"/>
    </row>
    <row r="791" spans="1:16" x14ac:dyDescent="0.3">
      <c r="A791" s="58" t="str">
        <f t="shared" si="52"/>
        <v>A034940</v>
      </c>
      <c r="B791" s="59" t="str">
        <f t="shared" si="49"/>
        <v/>
      </c>
      <c r="C791" s="59" t="str">
        <f t="shared" si="50"/>
        <v/>
      </c>
      <c r="D791" s="109" t="str">
        <f t="shared" si="51"/>
        <v/>
      </c>
      <c r="E791" s="106" t="s">
        <v>809</v>
      </c>
      <c r="F791" s="58" t="s">
        <v>2259</v>
      </c>
      <c r="G791" s="106">
        <v>12</v>
      </c>
      <c r="H791" s="107"/>
      <c r="I791" s="107"/>
      <c r="J791" s="107"/>
      <c r="K791" s="107"/>
      <c r="L791" s="107"/>
      <c r="M791" s="107"/>
      <c r="N791" s="107"/>
      <c r="O791" s="107"/>
      <c r="P791" s="107"/>
    </row>
    <row r="792" spans="1:16" x14ac:dyDescent="0.3">
      <c r="A792" s="58" t="str">
        <f t="shared" si="52"/>
        <v>A034950</v>
      </c>
      <c r="B792" s="59" t="str">
        <f t="shared" si="49"/>
        <v/>
      </c>
      <c r="C792" s="59" t="str">
        <f t="shared" si="50"/>
        <v/>
      </c>
      <c r="D792" s="109" t="str">
        <f t="shared" si="51"/>
        <v/>
      </c>
      <c r="E792" s="106" t="s">
        <v>810</v>
      </c>
      <c r="F792" s="58" t="s">
        <v>2260</v>
      </c>
      <c r="G792" s="106">
        <v>12</v>
      </c>
      <c r="H792" s="107"/>
      <c r="I792" s="107"/>
      <c r="J792" s="107"/>
      <c r="K792" s="107"/>
      <c r="L792" s="107"/>
      <c r="M792" s="107"/>
      <c r="N792" s="107"/>
      <c r="O792" s="107"/>
      <c r="P792" s="107"/>
    </row>
    <row r="793" spans="1:16" x14ac:dyDescent="0.3">
      <c r="A793" s="58" t="str">
        <f t="shared" si="52"/>
        <v>A035000</v>
      </c>
      <c r="B793" s="59" t="str">
        <f t="shared" si="49"/>
        <v/>
      </c>
      <c r="C793" s="59" t="str">
        <f t="shared" si="50"/>
        <v/>
      </c>
      <c r="D793" s="109" t="str">
        <f t="shared" si="51"/>
        <v/>
      </c>
      <c r="E793" s="106" t="s">
        <v>811</v>
      </c>
      <c r="F793" s="58" t="s">
        <v>2261</v>
      </c>
      <c r="G793" s="106">
        <v>12</v>
      </c>
      <c r="H793" s="107"/>
      <c r="I793" s="107"/>
      <c r="J793" s="107"/>
      <c r="K793" s="107"/>
      <c r="L793" s="107"/>
      <c r="M793" s="107"/>
      <c r="N793" s="107"/>
      <c r="O793" s="107"/>
      <c r="P793" s="107"/>
    </row>
    <row r="794" spans="1:16" x14ac:dyDescent="0.3">
      <c r="A794" s="58" t="str">
        <f t="shared" si="52"/>
        <v>A035080</v>
      </c>
      <c r="B794" s="59" t="str">
        <f t="shared" si="49"/>
        <v/>
      </c>
      <c r="C794" s="59" t="str">
        <f t="shared" si="50"/>
        <v/>
      </c>
      <c r="D794" s="109" t="str">
        <f t="shared" si="51"/>
        <v/>
      </c>
      <c r="E794" s="106" t="s">
        <v>812</v>
      </c>
      <c r="F794" s="58" t="s">
        <v>2262</v>
      </c>
      <c r="G794" s="106">
        <v>12</v>
      </c>
      <c r="H794" s="107"/>
      <c r="I794" s="107"/>
      <c r="J794" s="107"/>
      <c r="K794" s="107"/>
      <c r="L794" s="107"/>
      <c r="M794" s="107"/>
      <c r="N794" s="107"/>
      <c r="O794" s="107"/>
      <c r="P794" s="107"/>
    </row>
    <row r="795" spans="1:16" x14ac:dyDescent="0.3">
      <c r="A795" s="58" t="str">
        <f t="shared" si="52"/>
        <v>A035150</v>
      </c>
      <c r="B795" s="59" t="str">
        <f t="shared" si="49"/>
        <v/>
      </c>
      <c r="C795" s="59" t="str">
        <f t="shared" si="50"/>
        <v/>
      </c>
      <c r="D795" s="109" t="str">
        <f t="shared" si="51"/>
        <v/>
      </c>
      <c r="E795" s="106" t="s">
        <v>813</v>
      </c>
      <c r="F795" s="58" t="s">
        <v>2263</v>
      </c>
      <c r="G795" s="106">
        <v>12</v>
      </c>
      <c r="H795" s="107"/>
      <c r="I795" s="107"/>
      <c r="J795" s="107"/>
      <c r="K795" s="107"/>
      <c r="L795" s="107"/>
      <c r="M795" s="107"/>
      <c r="N795" s="107"/>
      <c r="O795" s="107"/>
      <c r="P795" s="107"/>
    </row>
    <row r="796" spans="1:16" x14ac:dyDescent="0.3">
      <c r="A796" s="58" t="str">
        <f t="shared" si="52"/>
        <v>A035200</v>
      </c>
      <c r="B796" s="59" t="str">
        <f t="shared" si="49"/>
        <v/>
      </c>
      <c r="C796" s="59" t="str">
        <f t="shared" si="50"/>
        <v/>
      </c>
      <c r="D796" s="109" t="str">
        <f t="shared" si="51"/>
        <v/>
      </c>
      <c r="E796" s="106" t="s">
        <v>814</v>
      </c>
      <c r="F796" s="58" t="s">
        <v>2264</v>
      </c>
      <c r="G796" s="106">
        <v>12</v>
      </c>
      <c r="H796" s="107"/>
      <c r="I796" s="107"/>
      <c r="J796" s="107"/>
      <c r="K796" s="107"/>
      <c r="L796" s="107"/>
      <c r="M796" s="107"/>
      <c r="N796" s="107"/>
      <c r="O796" s="107"/>
      <c r="P796" s="107"/>
    </row>
    <row r="797" spans="1:16" x14ac:dyDescent="0.3">
      <c r="A797" s="58" t="str">
        <f t="shared" si="52"/>
        <v>A035250</v>
      </c>
      <c r="B797" s="59">
        <f t="shared" si="49"/>
        <v>41495</v>
      </c>
      <c r="C797" s="59" t="str">
        <f t="shared" si="50"/>
        <v/>
      </c>
      <c r="D797" s="109" t="str">
        <f t="shared" si="51"/>
        <v/>
      </c>
      <c r="E797" s="106" t="s">
        <v>815</v>
      </c>
      <c r="F797" s="58" t="s">
        <v>2265</v>
      </c>
      <c r="G797" s="106">
        <v>12</v>
      </c>
      <c r="H797" s="107">
        <v>20130809</v>
      </c>
      <c r="I797" s="107"/>
      <c r="J797" s="107"/>
      <c r="K797" s="107"/>
      <c r="L797" s="107"/>
      <c r="M797" s="107"/>
      <c r="N797" s="107"/>
      <c r="O797" s="107"/>
      <c r="P797" s="107"/>
    </row>
    <row r="798" spans="1:16" x14ac:dyDescent="0.3">
      <c r="A798" s="58" t="str">
        <f t="shared" si="52"/>
        <v>A035290</v>
      </c>
      <c r="B798" s="59" t="str">
        <f t="shared" si="49"/>
        <v/>
      </c>
      <c r="C798" s="59" t="str">
        <f t="shared" si="50"/>
        <v/>
      </c>
      <c r="D798" s="109" t="str">
        <f t="shared" si="51"/>
        <v/>
      </c>
      <c r="E798" s="106" t="s">
        <v>816</v>
      </c>
      <c r="F798" s="58" t="s">
        <v>2266</v>
      </c>
      <c r="G798" s="106">
        <v>12</v>
      </c>
      <c r="H798" s="107"/>
      <c r="I798" s="107"/>
      <c r="J798" s="107"/>
      <c r="K798" s="107"/>
      <c r="L798" s="107"/>
      <c r="M798" s="107"/>
      <c r="N798" s="107"/>
      <c r="O798" s="107"/>
      <c r="P798" s="107"/>
    </row>
    <row r="799" spans="1:16" x14ac:dyDescent="0.3">
      <c r="A799" s="58" t="str">
        <f t="shared" si="52"/>
        <v>A035420</v>
      </c>
      <c r="B799" s="59">
        <f t="shared" si="49"/>
        <v>41494</v>
      </c>
      <c r="C799" s="59" t="str">
        <f t="shared" si="50"/>
        <v/>
      </c>
      <c r="D799" s="109" t="str">
        <f t="shared" si="51"/>
        <v/>
      </c>
      <c r="E799" s="106" t="s">
        <v>817</v>
      </c>
      <c r="F799" s="58" t="s">
        <v>2267</v>
      </c>
      <c r="G799" s="106">
        <v>12</v>
      </c>
      <c r="H799" s="107">
        <v>20130808</v>
      </c>
      <c r="I799" s="107"/>
      <c r="J799" s="107"/>
      <c r="K799" s="107"/>
      <c r="L799" s="107"/>
      <c r="M799" s="107"/>
      <c r="N799" s="107"/>
      <c r="O799" s="107"/>
      <c r="P799" s="107"/>
    </row>
    <row r="800" spans="1:16" x14ac:dyDescent="0.3">
      <c r="A800" s="58" t="str">
        <f t="shared" si="52"/>
        <v>A035450</v>
      </c>
      <c r="B800" s="59" t="str">
        <f t="shared" si="49"/>
        <v/>
      </c>
      <c r="C800" s="59" t="str">
        <f t="shared" si="50"/>
        <v/>
      </c>
      <c r="D800" s="109" t="str">
        <f t="shared" si="51"/>
        <v/>
      </c>
      <c r="E800" s="106" t="s">
        <v>818</v>
      </c>
      <c r="F800" s="58" t="s">
        <v>2268</v>
      </c>
      <c r="G800" s="106">
        <v>12</v>
      </c>
      <c r="H800" s="107"/>
      <c r="I800" s="107"/>
      <c r="J800" s="107"/>
      <c r="K800" s="107"/>
      <c r="L800" s="107"/>
      <c r="M800" s="107"/>
      <c r="N800" s="107"/>
      <c r="O800" s="107"/>
      <c r="P800" s="107"/>
    </row>
    <row r="801" spans="1:16" x14ac:dyDescent="0.3">
      <c r="A801" s="58" t="str">
        <f t="shared" si="52"/>
        <v>A035460</v>
      </c>
      <c r="B801" s="59" t="str">
        <f t="shared" si="49"/>
        <v/>
      </c>
      <c r="C801" s="59" t="str">
        <f t="shared" si="50"/>
        <v/>
      </c>
      <c r="D801" s="109" t="str">
        <f t="shared" si="51"/>
        <v/>
      </c>
      <c r="E801" s="106" t="s">
        <v>819</v>
      </c>
      <c r="F801" s="58" t="s">
        <v>2269</v>
      </c>
      <c r="G801" s="106">
        <v>12</v>
      </c>
      <c r="H801" s="107"/>
      <c r="I801" s="107"/>
      <c r="J801" s="107"/>
      <c r="K801" s="107"/>
      <c r="L801" s="107"/>
      <c r="M801" s="107"/>
      <c r="N801" s="107"/>
      <c r="O801" s="107"/>
      <c r="P801" s="107"/>
    </row>
    <row r="802" spans="1:16" x14ac:dyDescent="0.3">
      <c r="A802" s="58" t="str">
        <f t="shared" si="52"/>
        <v>A035480</v>
      </c>
      <c r="B802" s="59" t="str">
        <f t="shared" si="49"/>
        <v/>
      </c>
      <c r="C802" s="59" t="str">
        <f t="shared" si="50"/>
        <v/>
      </c>
      <c r="D802" s="109" t="str">
        <f t="shared" si="51"/>
        <v/>
      </c>
      <c r="E802" s="106" t="s">
        <v>820</v>
      </c>
      <c r="F802" s="58" t="s">
        <v>3529</v>
      </c>
      <c r="G802" s="106">
        <v>12</v>
      </c>
      <c r="H802" s="107"/>
      <c r="I802" s="107"/>
      <c r="J802" s="107"/>
      <c r="K802" s="107"/>
      <c r="L802" s="107"/>
      <c r="M802" s="107"/>
      <c r="N802" s="107"/>
      <c r="O802" s="107"/>
      <c r="P802" s="107"/>
    </row>
    <row r="803" spans="1:16" x14ac:dyDescent="0.3">
      <c r="A803" s="58" t="str">
        <f t="shared" si="52"/>
        <v>A035510</v>
      </c>
      <c r="B803" s="59">
        <f t="shared" si="49"/>
        <v>41472</v>
      </c>
      <c r="C803" s="59">
        <f t="shared" si="50"/>
        <v>41472</v>
      </c>
      <c r="D803" s="109">
        <f t="shared" si="51"/>
        <v>4.18</v>
      </c>
      <c r="E803" s="106" t="s">
        <v>821</v>
      </c>
      <c r="F803" s="58" t="s">
        <v>2270</v>
      </c>
      <c r="G803" s="106">
        <v>12</v>
      </c>
      <c r="H803" s="107">
        <v>20130717</v>
      </c>
      <c r="I803" s="107">
        <v>20130717</v>
      </c>
      <c r="J803" s="107">
        <v>4.18</v>
      </c>
      <c r="K803" s="107"/>
      <c r="L803" s="107"/>
      <c r="M803" s="107"/>
      <c r="N803" s="107"/>
      <c r="O803" s="107"/>
      <c r="P803" s="107"/>
    </row>
    <row r="804" spans="1:16" x14ac:dyDescent="0.3">
      <c r="A804" s="58" t="str">
        <f t="shared" si="52"/>
        <v>A035600</v>
      </c>
      <c r="B804" s="59" t="str">
        <f t="shared" si="49"/>
        <v/>
      </c>
      <c r="C804" s="59" t="str">
        <f t="shared" si="50"/>
        <v/>
      </c>
      <c r="D804" s="109" t="str">
        <f t="shared" si="51"/>
        <v/>
      </c>
      <c r="E804" s="106" t="s">
        <v>822</v>
      </c>
      <c r="F804" s="58" t="s">
        <v>2271</v>
      </c>
      <c r="G804" s="106">
        <v>12</v>
      </c>
      <c r="H804" s="107"/>
      <c r="I804" s="107"/>
      <c r="J804" s="107"/>
      <c r="K804" s="107"/>
      <c r="L804" s="107"/>
      <c r="M804" s="107"/>
      <c r="N804" s="107"/>
      <c r="O804" s="107"/>
      <c r="P804" s="107"/>
    </row>
    <row r="805" spans="1:16" x14ac:dyDescent="0.3">
      <c r="A805" s="58" t="str">
        <f t="shared" si="52"/>
        <v>A035610</v>
      </c>
      <c r="B805" s="59" t="str">
        <f t="shared" si="49"/>
        <v/>
      </c>
      <c r="C805" s="59" t="str">
        <f t="shared" si="50"/>
        <v/>
      </c>
      <c r="D805" s="109" t="str">
        <f t="shared" si="51"/>
        <v/>
      </c>
      <c r="E805" s="106" t="s">
        <v>823</v>
      </c>
      <c r="F805" s="58" t="s">
        <v>2272</v>
      </c>
      <c r="G805" s="106">
        <v>12</v>
      </c>
      <c r="H805" s="107"/>
      <c r="I805" s="107"/>
      <c r="J805" s="107"/>
      <c r="K805" s="107"/>
      <c r="L805" s="107"/>
      <c r="M805" s="107"/>
      <c r="N805" s="107"/>
      <c r="O805" s="107"/>
      <c r="P805" s="107"/>
    </row>
    <row r="806" spans="1:16" x14ac:dyDescent="0.3">
      <c r="A806" s="58" t="str">
        <f t="shared" si="52"/>
        <v>A035620</v>
      </c>
      <c r="B806" s="59" t="str">
        <f t="shared" si="49"/>
        <v/>
      </c>
      <c r="C806" s="59" t="str">
        <f t="shared" si="50"/>
        <v/>
      </c>
      <c r="D806" s="109" t="str">
        <f t="shared" si="51"/>
        <v/>
      </c>
      <c r="E806" s="106" t="s">
        <v>824</v>
      </c>
      <c r="F806" s="58" t="s">
        <v>2273</v>
      </c>
      <c r="G806" s="106">
        <v>12</v>
      </c>
      <c r="H806" s="107"/>
      <c r="I806" s="107"/>
      <c r="J806" s="107"/>
      <c r="K806" s="107"/>
      <c r="L806" s="107"/>
      <c r="M806" s="107"/>
      <c r="N806" s="107"/>
      <c r="O806" s="107"/>
      <c r="P806" s="107"/>
    </row>
    <row r="807" spans="1:16" x14ac:dyDescent="0.3">
      <c r="A807" s="58" t="str">
        <f t="shared" si="52"/>
        <v>A035720</v>
      </c>
      <c r="B807" s="59" t="str">
        <f t="shared" si="49"/>
        <v/>
      </c>
      <c r="C807" s="59" t="str">
        <f t="shared" si="50"/>
        <v/>
      </c>
      <c r="D807" s="109" t="str">
        <f t="shared" si="51"/>
        <v/>
      </c>
      <c r="E807" s="106" t="s">
        <v>825</v>
      </c>
      <c r="F807" s="58" t="s">
        <v>2274</v>
      </c>
      <c r="G807" s="106">
        <v>12</v>
      </c>
      <c r="H807" s="107"/>
      <c r="I807" s="107"/>
      <c r="J807" s="107"/>
      <c r="K807" s="107"/>
      <c r="L807" s="107"/>
      <c r="M807" s="107"/>
      <c r="N807" s="107"/>
      <c r="O807" s="107"/>
      <c r="P807" s="107"/>
    </row>
    <row r="808" spans="1:16" x14ac:dyDescent="0.3">
      <c r="A808" s="58" t="str">
        <f t="shared" si="52"/>
        <v>A035760</v>
      </c>
      <c r="B808" s="59" t="str">
        <f t="shared" si="49"/>
        <v/>
      </c>
      <c r="C808" s="59" t="str">
        <f t="shared" si="50"/>
        <v/>
      </c>
      <c r="D808" s="109" t="str">
        <f t="shared" si="51"/>
        <v/>
      </c>
      <c r="E808" s="106" t="s">
        <v>826</v>
      </c>
      <c r="F808" s="58" t="s">
        <v>2275</v>
      </c>
      <c r="G808" s="106">
        <v>12</v>
      </c>
      <c r="H808" s="107"/>
      <c r="I808" s="107"/>
      <c r="J808" s="107"/>
      <c r="K808" s="107"/>
      <c r="L808" s="107"/>
      <c r="M808" s="107"/>
      <c r="N808" s="107"/>
      <c r="O808" s="107"/>
      <c r="P808" s="107"/>
    </row>
    <row r="809" spans="1:16" x14ac:dyDescent="0.3">
      <c r="A809" s="58" t="str">
        <f t="shared" si="52"/>
        <v>A035810</v>
      </c>
      <c r="B809" s="59" t="str">
        <f t="shared" si="49"/>
        <v/>
      </c>
      <c r="C809" s="59" t="str">
        <f t="shared" si="50"/>
        <v/>
      </c>
      <c r="D809" s="109" t="str">
        <f t="shared" si="51"/>
        <v/>
      </c>
      <c r="E809" s="106" t="s">
        <v>827</v>
      </c>
      <c r="F809" s="58" t="s">
        <v>2276</v>
      </c>
      <c r="G809" s="106">
        <v>12</v>
      </c>
      <c r="H809" s="107"/>
      <c r="I809" s="107"/>
      <c r="J809" s="107"/>
      <c r="K809" s="107"/>
      <c r="L809" s="107"/>
      <c r="M809" s="107"/>
      <c r="N809" s="107"/>
      <c r="O809" s="107"/>
      <c r="P809" s="107"/>
    </row>
    <row r="810" spans="1:16" x14ac:dyDescent="0.3">
      <c r="A810" s="58" t="str">
        <f t="shared" si="52"/>
        <v>A035890</v>
      </c>
      <c r="B810" s="59" t="str">
        <f t="shared" si="49"/>
        <v/>
      </c>
      <c r="C810" s="59" t="str">
        <f t="shared" si="50"/>
        <v/>
      </c>
      <c r="D810" s="109" t="str">
        <f t="shared" si="51"/>
        <v/>
      </c>
      <c r="E810" s="106" t="s">
        <v>828</v>
      </c>
      <c r="F810" s="58" t="s">
        <v>2277</v>
      </c>
      <c r="G810" s="106">
        <v>12</v>
      </c>
      <c r="H810" s="107"/>
      <c r="I810" s="107"/>
      <c r="J810" s="107"/>
      <c r="K810" s="107"/>
      <c r="L810" s="107"/>
      <c r="M810" s="107"/>
      <c r="N810" s="107"/>
      <c r="O810" s="107"/>
      <c r="P810" s="107"/>
    </row>
    <row r="811" spans="1:16" x14ac:dyDescent="0.3">
      <c r="A811" s="58" t="str">
        <f t="shared" si="52"/>
        <v>A035900</v>
      </c>
      <c r="B811" s="59" t="str">
        <f t="shared" si="49"/>
        <v/>
      </c>
      <c r="C811" s="59" t="str">
        <f t="shared" si="50"/>
        <v/>
      </c>
      <c r="D811" s="109" t="str">
        <f t="shared" si="51"/>
        <v/>
      </c>
      <c r="E811" s="106" t="s">
        <v>829</v>
      </c>
      <c r="F811" s="58" t="s">
        <v>3530</v>
      </c>
      <c r="G811" s="106">
        <v>12</v>
      </c>
      <c r="H811" s="107"/>
      <c r="I811" s="107"/>
      <c r="J811" s="107"/>
      <c r="K811" s="107"/>
      <c r="L811" s="107"/>
      <c r="M811" s="107"/>
      <c r="N811" s="107"/>
      <c r="O811" s="107"/>
      <c r="P811" s="107"/>
    </row>
    <row r="812" spans="1:16" x14ac:dyDescent="0.3">
      <c r="A812" s="58" t="str">
        <f t="shared" si="52"/>
        <v>A036000</v>
      </c>
      <c r="B812" s="59" t="str">
        <f t="shared" si="49"/>
        <v/>
      </c>
      <c r="C812" s="59" t="str">
        <f t="shared" si="50"/>
        <v/>
      </c>
      <c r="D812" s="109" t="str">
        <f t="shared" si="51"/>
        <v/>
      </c>
      <c r="E812" s="106" t="s">
        <v>830</v>
      </c>
      <c r="F812" s="58" t="s">
        <v>2278</v>
      </c>
      <c r="G812" s="106">
        <v>12</v>
      </c>
      <c r="H812" s="107"/>
      <c r="I812" s="107"/>
      <c r="J812" s="107"/>
      <c r="K812" s="107"/>
      <c r="L812" s="107"/>
      <c r="M812" s="107"/>
      <c r="N812" s="107"/>
      <c r="O812" s="107"/>
      <c r="P812" s="107"/>
    </row>
    <row r="813" spans="1:16" x14ac:dyDescent="0.3">
      <c r="A813" s="58" t="str">
        <f t="shared" si="52"/>
        <v>A036010</v>
      </c>
      <c r="B813" s="59" t="str">
        <f t="shared" si="49"/>
        <v/>
      </c>
      <c r="C813" s="59" t="str">
        <f t="shared" si="50"/>
        <v/>
      </c>
      <c r="D813" s="109" t="str">
        <f t="shared" si="51"/>
        <v/>
      </c>
      <c r="E813" s="106" t="s">
        <v>831</v>
      </c>
      <c r="F813" s="58" t="s">
        <v>2279</v>
      </c>
      <c r="G813" s="106">
        <v>12</v>
      </c>
      <c r="H813" s="107"/>
      <c r="I813" s="107"/>
      <c r="J813" s="107"/>
      <c r="K813" s="107"/>
      <c r="L813" s="107"/>
      <c r="M813" s="107"/>
      <c r="N813" s="107"/>
      <c r="O813" s="107"/>
      <c r="P813" s="107"/>
    </row>
    <row r="814" spans="1:16" x14ac:dyDescent="0.3">
      <c r="A814" s="58" t="str">
        <f t="shared" si="52"/>
        <v>A036030</v>
      </c>
      <c r="B814" s="59" t="str">
        <f t="shared" si="49"/>
        <v/>
      </c>
      <c r="C814" s="59" t="str">
        <f t="shared" si="50"/>
        <v/>
      </c>
      <c r="D814" s="109" t="str">
        <f t="shared" si="51"/>
        <v/>
      </c>
      <c r="E814" s="106" t="s">
        <v>832</v>
      </c>
      <c r="F814" s="58" t="s">
        <v>2280</v>
      </c>
      <c r="G814" s="106">
        <v>12</v>
      </c>
      <c r="H814" s="107"/>
      <c r="I814" s="107"/>
      <c r="J814" s="107"/>
      <c r="K814" s="107"/>
      <c r="L814" s="107"/>
      <c r="M814" s="107"/>
      <c r="N814" s="107"/>
      <c r="O814" s="107"/>
      <c r="P814" s="107"/>
    </row>
    <row r="815" spans="1:16" x14ac:dyDescent="0.3">
      <c r="A815" s="58" t="str">
        <f t="shared" si="52"/>
        <v>A036090</v>
      </c>
      <c r="B815" s="59" t="str">
        <f t="shared" si="49"/>
        <v/>
      </c>
      <c r="C815" s="59" t="str">
        <f t="shared" si="50"/>
        <v/>
      </c>
      <c r="D815" s="109" t="str">
        <f t="shared" si="51"/>
        <v/>
      </c>
      <c r="E815" s="106" t="s">
        <v>833</v>
      </c>
      <c r="F815" s="58" t="s">
        <v>2281</v>
      </c>
      <c r="G815" s="106">
        <v>12</v>
      </c>
      <c r="H815" s="107"/>
      <c r="I815" s="107"/>
      <c r="J815" s="107"/>
      <c r="K815" s="107"/>
      <c r="L815" s="107"/>
      <c r="M815" s="107"/>
      <c r="N815" s="107"/>
      <c r="O815" s="107"/>
      <c r="P815" s="107"/>
    </row>
    <row r="816" spans="1:16" x14ac:dyDescent="0.3">
      <c r="A816" s="58" t="str">
        <f t="shared" si="52"/>
        <v>A036120</v>
      </c>
      <c r="B816" s="59" t="str">
        <f t="shared" si="49"/>
        <v/>
      </c>
      <c r="C816" s="59" t="str">
        <f t="shared" si="50"/>
        <v/>
      </c>
      <c r="D816" s="109" t="str">
        <f t="shared" si="51"/>
        <v/>
      </c>
      <c r="E816" s="106" t="s">
        <v>834</v>
      </c>
      <c r="F816" s="58" t="s">
        <v>2282</v>
      </c>
      <c r="G816" s="106">
        <v>12</v>
      </c>
      <c r="H816" s="107"/>
      <c r="I816" s="107"/>
      <c r="J816" s="107"/>
      <c r="K816" s="107"/>
      <c r="L816" s="107"/>
      <c r="M816" s="107"/>
      <c r="N816" s="107"/>
      <c r="O816" s="107"/>
      <c r="P816" s="107"/>
    </row>
    <row r="817" spans="1:16" x14ac:dyDescent="0.3">
      <c r="A817" s="58" t="str">
        <f t="shared" si="52"/>
        <v>A036170</v>
      </c>
      <c r="B817" s="59" t="str">
        <f t="shared" si="49"/>
        <v/>
      </c>
      <c r="C817" s="59" t="str">
        <f t="shared" si="50"/>
        <v/>
      </c>
      <c r="D817" s="109" t="str">
        <f t="shared" si="51"/>
        <v/>
      </c>
      <c r="E817" s="106" t="s">
        <v>835</v>
      </c>
      <c r="F817" s="58" t="s">
        <v>2283</v>
      </c>
      <c r="G817" s="106">
        <v>12</v>
      </c>
      <c r="H817" s="107"/>
      <c r="I817" s="107"/>
      <c r="J817" s="107"/>
      <c r="K817" s="107"/>
      <c r="L817" s="107"/>
      <c r="M817" s="107"/>
      <c r="N817" s="107"/>
      <c r="O817" s="107"/>
      <c r="P817" s="107"/>
    </row>
    <row r="818" spans="1:16" x14ac:dyDescent="0.3">
      <c r="A818" s="58" t="str">
        <f t="shared" si="52"/>
        <v>A036180</v>
      </c>
      <c r="B818" s="59" t="str">
        <f t="shared" si="49"/>
        <v/>
      </c>
      <c r="C818" s="59" t="str">
        <f t="shared" si="50"/>
        <v/>
      </c>
      <c r="D818" s="109" t="str">
        <f t="shared" si="51"/>
        <v/>
      </c>
      <c r="E818" s="106" t="s">
        <v>836</v>
      </c>
      <c r="F818" s="58" t="s">
        <v>2284</v>
      </c>
      <c r="G818" s="106">
        <v>12</v>
      </c>
      <c r="H818" s="107"/>
      <c r="I818" s="107"/>
      <c r="J818" s="107"/>
      <c r="K818" s="107"/>
      <c r="L818" s="107"/>
      <c r="M818" s="107"/>
      <c r="N818" s="107"/>
      <c r="O818" s="107"/>
      <c r="P818" s="107"/>
    </row>
    <row r="819" spans="1:16" x14ac:dyDescent="0.3">
      <c r="A819" s="58" t="str">
        <f t="shared" si="52"/>
        <v>A036190</v>
      </c>
      <c r="B819" s="59" t="str">
        <f t="shared" si="49"/>
        <v/>
      </c>
      <c r="C819" s="59" t="str">
        <f t="shared" si="50"/>
        <v/>
      </c>
      <c r="D819" s="109" t="str">
        <f t="shared" si="51"/>
        <v/>
      </c>
      <c r="E819" s="106" t="s">
        <v>837</v>
      </c>
      <c r="F819" s="58" t="s">
        <v>2285</v>
      </c>
      <c r="G819" s="106">
        <v>12</v>
      </c>
      <c r="H819" s="107"/>
      <c r="I819" s="107"/>
      <c r="J819" s="107"/>
      <c r="K819" s="107"/>
      <c r="L819" s="107"/>
      <c r="M819" s="107"/>
      <c r="N819" s="107"/>
      <c r="O819" s="107"/>
      <c r="P819" s="107"/>
    </row>
    <row r="820" spans="1:16" x14ac:dyDescent="0.3">
      <c r="A820" s="58" t="str">
        <f t="shared" si="52"/>
        <v>A036200</v>
      </c>
      <c r="B820" s="59" t="str">
        <f t="shared" si="49"/>
        <v/>
      </c>
      <c r="C820" s="59" t="str">
        <f t="shared" si="50"/>
        <v/>
      </c>
      <c r="D820" s="109" t="str">
        <f t="shared" si="51"/>
        <v/>
      </c>
      <c r="E820" s="106" t="s">
        <v>838</v>
      </c>
      <c r="F820" s="58" t="s">
        <v>2286</v>
      </c>
      <c r="G820" s="106">
        <v>12</v>
      </c>
      <c r="H820" s="107"/>
      <c r="I820" s="107"/>
      <c r="J820" s="107"/>
      <c r="K820" s="107"/>
      <c r="L820" s="107"/>
      <c r="M820" s="107"/>
      <c r="N820" s="107"/>
      <c r="O820" s="107"/>
      <c r="P820" s="107"/>
    </row>
    <row r="821" spans="1:16" x14ac:dyDescent="0.3">
      <c r="A821" s="58" t="str">
        <f t="shared" si="52"/>
        <v>A036210</v>
      </c>
      <c r="B821" s="59" t="str">
        <f t="shared" si="49"/>
        <v/>
      </c>
      <c r="C821" s="59" t="str">
        <f t="shared" si="50"/>
        <v/>
      </c>
      <c r="D821" s="109" t="str">
        <f t="shared" si="51"/>
        <v/>
      </c>
      <c r="E821" s="106" t="s">
        <v>839</v>
      </c>
      <c r="F821" s="58" t="s">
        <v>2287</v>
      </c>
      <c r="G821" s="106">
        <v>12</v>
      </c>
      <c r="H821" s="107"/>
      <c r="I821" s="107"/>
      <c r="J821" s="107"/>
      <c r="K821" s="107"/>
      <c r="L821" s="107"/>
      <c r="M821" s="107"/>
      <c r="N821" s="107"/>
      <c r="O821" s="107"/>
      <c r="P821" s="107"/>
    </row>
    <row r="822" spans="1:16" x14ac:dyDescent="0.3">
      <c r="A822" s="58" t="str">
        <f t="shared" si="52"/>
        <v>A036220</v>
      </c>
      <c r="B822" s="59" t="str">
        <f t="shared" si="49"/>
        <v/>
      </c>
      <c r="C822" s="59" t="str">
        <f t="shared" si="50"/>
        <v/>
      </c>
      <c r="D822" s="109" t="str">
        <f t="shared" si="51"/>
        <v/>
      </c>
      <c r="E822" s="106" t="s">
        <v>840</v>
      </c>
      <c r="F822" s="58" t="s">
        <v>2288</v>
      </c>
      <c r="G822" s="106">
        <v>12</v>
      </c>
      <c r="H822" s="107"/>
      <c r="I822" s="107"/>
      <c r="J822" s="107"/>
      <c r="K822" s="107"/>
      <c r="L822" s="107"/>
      <c r="M822" s="107"/>
      <c r="N822" s="107"/>
      <c r="O822" s="107"/>
      <c r="P822" s="107"/>
    </row>
    <row r="823" spans="1:16" x14ac:dyDescent="0.3">
      <c r="A823" s="58" t="str">
        <f t="shared" si="52"/>
        <v>A036260</v>
      </c>
      <c r="B823" s="59" t="str">
        <f t="shared" si="49"/>
        <v/>
      </c>
      <c r="C823" s="59" t="str">
        <f t="shared" si="50"/>
        <v/>
      </c>
      <c r="D823" s="109" t="str">
        <f t="shared" si="51"/>
        <v/>
      </c>
      <c r="E823" s="106" t="s">
        <v>841</v>
      </c>
      <c r="F823" s="58" t="s">
        <v>2289</v>
      </c>
      <c r="G823" s="106">
        <v>12</v>
      </c>
      <c r="H823" s="107"/>
      <c r="I823" s="107"/>
      <c r="J823" s="107"/>
      <c r="K823" s="107"/>
      <c r="L823" s="107"/>
      <c r="M823" s="107"/>
      <c r="N823" s="107"/>
      <c r="O823" s="107"/>
      <c r="P823" s="107"/>
    </row>
    <row r="824" spans="1:16" x14ac:dyDescent="0.3">
      <c r="A824" s="58" t="str">
        <f t="shared" si="52"/>
        <v>A036420</v>
      </c>
      <c r="B824" s="59" t="str">
        <f t="shared" si="49"/>
        <v/>
      </c>
      <c r="C824" s="59" t="str">
        <f t="shared" si="50"/>
        <v/>
      </c>
      <c r="D824" s="109" t="str">
        <f t="shared" si="51"/>
        <v/>
      </c>
      <c r="E824" s="106" t="s">
        <v>842</v>
      </c>
      <c r="F824" s="58" t="s">
        <v>2290</v>
      </c>
      <c r="G824" s="106">
        <v>12</v>
      </c>
      <c r="H824" s="107"/>
      <c r="I824" s="107"/>
      <c r="J824" s="107"/>
      <c r="K824" s="107"/>
      <c r="L824" s="107"/>
      <c r="M824" s="107"/>
      <c r="N824" s="107"/>
      <c r="O824" s="107"/>
      <c r="P824" s="107"/>
    </row>
    <row r="825" spans="1:16" x14ac:dyDescent="0.3">
      <c r="A825" s="58" t="str">
        <f t="shared" si="52"/>
        <v>A036460</v>
      </c>
      <c r="B825" s="59" t="str">
        <f t="shared" si="49"/>
        <v/>
      </c>
      <c r="C825" s="59" t="str">
        <f t="shared" si="50"/>
        <v/>
      </c>
      <c r="D825" s="109" t="str">
        <f t="shared" si="51"/>
        <v/>
      </c>
      <c r="E825" s="106" t="s">
        <v>843</v>
      </c>
      <c r="F825" s="58" t="s">
        <v>2291</v>
      </c>
      <c r="G825" s="106">
        <v>12</v>
      </c>
      <c r="H825" s="107"/>
      <c r="I825" s="107"/>
      <c r="J825" s="107"/>
      <c r="K825" s="107"/>
      <c r="L825" s="107"/>
      <c r="M825" s="107"/>
      <c r="N825" s="107"/>
      <c r="O825" s="107"/>
      <c r="P825" s="107"/>
    </row>
    <row r="826" spans="1:16" x14ac:dyDescent="0.3">
      <c r="A826" s="58" t="str">
        <f t="shared" si="52"/>
        <v>A036480</v>
      </c>
      <c r="B826" s="59" t="str">
        <f t="shared" si="49"/>
        <v/>
      </c>
      <c r="C826" s="59" t="str">
        <f t="shared" si="50"/>
        <v/>
      </c>
      <c r="D826" s="109" t="str">
        <f t="shared" si="51"/>
        <v/>
      </c>
      <c r="E826" s="106" t="s">
        <v>844</v>
      </c>
      <c r="F826" s="58" t="s">
        <v>2292</v>
      </c>
      <c r="G826" s="106">
        <v>12</v>
      </c>
      <c r="H826" s="107"/>
      <c r="I826" s="107"/>
      <c r="J826" s="107"/>
      <c r="K826" s="107"/>
      <c r="L826" s="107"/>
      <c r="M826" s="107"/>
      <c r="N826" s="107"/>
      <c r="O826" s="107"/>
      <c r="P826" s="107"/>
    </row>
    <row r="827" spans="1:16" x14ac:dyDescent="0.3">
      <c r="A827" s="58" t="str">
        <f t="shared" si="52"/>
        <v>A036490</v>
      </c>
      <c r="B827" s="59">
        <f t="shared" si="49"/>
        <v>41480</v>
      </c>
      <c r="C827" s="59">
        <f t="shared" si="50"/>
        <v>41480</v>
      </c>
      <c r="D827" s="109">
        <f t="shared" si="51"/>
        <v>1.88</v>
      </c>
      <c r="E827" s="106" t="s">
        <v>845</v>
      </c>
      <c r="F827" s="58" t="s">
        <v>2293</v>
      </c>
      <c r="G827" s="106">
        <v>12</v>
      </c>
      <c r="H827" s="107">
        <v>20130725</v>
      </c>
      <c r="I827" s="107">
        <v>20130725</v>
      </c>
      <c r="J827" s="107">
        <v>1.88</v>
      </c>
      <c r="K827" s="107"/>
      <c r="L827" s="107"/>
      <c r="M827" s="107"/>
      <c r="N827" s="107"/>
      <c r="O827" s="107"/>
      <c r="P827" s="107"/>
    </row>
    <row r="828" spans="1:16" x14ac:dyDescent="0.3">
      <c r="A828" s="58" t="str">
        <f t="shared" si="52"/>
        <v>A036500</v>
      </c>
      <c r="B828" s="59" t="str">
        <f t="shared" si="49"/>
        <v/>
      </c>
      <c r="C828" s="59" t="str">
        <f t="shared" si="50"/>
        <v/>
      </c>
      <c r="D828" s="109" t="str">
        <f t="shared" si="51"/>
        <v/>
      </c>
      <c r="E828" s="106" t="s">
        <v>846</v>
      </c>
      <c r="F828" s="58" t="s">
        <v>2294</v>
      </c>
      <c r="G828" s="106">
        <v>12</v>
      </c>
      <c r="H828" s="107"/>
      <c r="I828" s="107"/>
      <c r="J828" s="107"/>
      <c r="K828" s="107"/>
      <c r="L828" s="107"/>
      <c r="M828" s="107"/>
      <c r="N828" s="107"/>
      <c r="O828" s="107"/>
      <c r="P828" s="107"/>
    </row>
    <row r="829" spans="1:16" x14ac:dyDescent="0.3">
      <c r="A829" s="58" t="str">
        <f t="shared" si="52"/>
        <v>A036530</v>
      </c>
      <c r="B829" s="59" t="str">
        <f t="shared" si="49"/>
        <v/>
      </c>
      <c r="C829" s="59" t="str">
        <f t="shared" si="50"/>
        <v/>
      </c>
      <c r="D829" s="109" t="str">
        <f t="shared" si="51"/>
        <v/>
      </c>
      <c r="E829" s="106" t="s">
        <v>847</v>
      </c>
      <c r="F829" s="58" t="s">
        <v>2295</v>
      </c>
      <c r="G829" s="106">
        <v>12</v>
      </c>
      <c r="H829" s="107"/>
      <c r="I829" s="107"/>
      <c r="J829" s="107"/>
      <c r="K829" s="107"/>
      <c r="L829" s="107"/>
      <c r="M829" s="107"/>
      <c r="N829" s="107"/>
      <c r="O829" s="107"/>
      <c r="P829" s="107"/>
    </row>
    <row r="830" spans="1:16" x14ac:dyDescent="0.3">
      <c r="A830" s="58" t="str">
        <f t="shared" si="52"/>
        <v>A036540</v>
      </c>
      <c r="B830" s="59" t="str">
        <f t="shared" si="49"/>
        <v/>
      </c>
      <c r="C830" s="59" t="str">
        <f t="shared" si="50"/>
        <v/>
      </c>
      <c r="D830" s="109" t="str">
        <f t="shared" si="51"/>
        <v/>
      </c>
      <c r="E830" s="106" t="s">
        <v>848</v>
      </c>
      <c r="F830" s="58" t="s">
        <v>2296</v>
      </c>
      <c r="G830" s="106">
        <v>12</v>
      </c>
      <c r="H830" s="107"/>
      <c r="I830" s="107"/>
      <c r="J830" s="107"/>
      <c r="K830" s="107"/>
      <c r="L830" s="107"/>
      <c r="M830" s="107"/>
      <c r="N830" s="107"/>
      <c r="O830" s="107"/>
      <c r="P830" s="107"/>
    </row>
    <row r="831" spans="1:16" x14ac:dyDescent="0.3">
      <c r="A831" s="58" t="str">
        <f t="shared" si="52"/>
        <v>A036560</v>
      </c>
      <c r="B831" s="59" t="str">
        <f t="shared" si="49"/>
        <v/>
      </c>
      <c r="C831" s="59" t="str">
        <f t="shared" si="50"/>
        <v/>
      </c>
      <c r="D831" s="109" t="str">
        <f t="shared" si="51"/>
        <v/>
      </c>
      <c r="E831" s="106" t="s">
        <v>849</v>
      </c>
      <c r="F831" s="58" t="s">
        <v>2297</v>
      </c>
      <c r="G831" s="106">
        <v>12</v>
      </c>
      <c r="H831" s="107"/>
      <c r="I831" s="107"/>
      <c r="J831" s="107"/>
      <c r="K831" s="107"/>
      <c r="L831" s="107"/>
      <c r="M831" s="107"/>
      <c r="N831" s="107"/>
      <c r="O831" s="107"/>
      <c r="P831" s="107"/>
    </row>
    <row r="832" spans="1:16" x14ac:dyDescent="0.3">
      <c r="A832" s="58" t="str">
        <f t="shared" si="52"/>
        <v>A036570</v>
      </c>
      <c r="B832" s="59">
        <f t="shared" si="49"/>
        <v>41500</v>
      </c>
      <c r="C832" s="59" t="str">
        <f t="shared" si="50"/>
        <v/>
      </c>
      <c r="D832" s="109" t="str">
        <f t="shared" si="51"/>
        <v/>
      </c>
      <c r="E832" s="106" t="s">
        <v>850</v>
      </c>
      <c r="F832" s="58" t="s">
        <v>2298</v>
      </c>
      <c r="G832" s="106">
        <v>12</v>
      </c>
      <c r="H832" s="107">
        <v>20130814</v>
      </c>
      <c r="I832" s="107"/>
      <c r="J832" s="107"/>
      <c r="K832" s="107"/>
      <c r="L832" s="107"/>
      <c r="M832" s="107"/>
      <c r="N832" s="107"/>
      <c r="O832" s="107"/>
      <c r="P832" s="107"/>
    </row>
    <row r="833" spans="1:16" x14ac:dyDescent="0.3">
      <c r="A833" s="58" t="str">
        <f t="shared" si="52"/>
        <v>A036580</v>
      </c>
      <c r="B833" s="59" t="str">
        <f t="shared" si="49"/>
        <v/>
      </c>
      <c r="C833" s="59" t="str">
        <f t="shared" si="50"/>
        <v/>
      </c>
      <c r="D833" s="109" t="str">
        <f t="shared" si="51"/>
        <v/>
      </c>
      <c r="E833" s="106" t="s">
        <v>851</v>
      </c>
      <c r="F833" s="58" t="s">
        <v>2299</v>
      </c>
      <c r="G833" s="106">
        <v>12</v>
      </c>
      <c r="H833" s="107"/>
      <c r="I833" s="107"/>
      <c r="J833" s="107"/>
      <c r="K833" s="107"/>
      <c r="L833" s="107"/>
      <c r="M833" s="107"/>
      <c r="N833" s="107"/>
      <c r="O833" s="107"/>
      <c r="P833" s="107"/>
    </row>
    <row r="834" spans="1:16" x14ac:dyDescent="0.3">
      <c r="A834" s="58" t="str">
        <f t="shared" si="52"/>
        <v>A036620</v>
      </c>
      <c r="B834" s="59" t="str">
        <f t="shared" si="49"/>
        <v/>
      </c>
      <c r="C834" s="59" t="str">
        <f t="shared" si="50"/>
        <v/>
      </c>
      <c r="D834" s="109" t="str">
        <f t="shared" si="51"/>
        <v/>
      </c>
      <c r="E834" s="106" t="s">
        <v>852</v>
      </c>
      <c r="F834" s="58" t="s">
        <v>2300</v>
      </c>
      <c r="G834" s="106">
        <v>12</v>
      </c>
      <c r="H834" s="107"/>
      <c r="I834" s="107"/>
      <c r="J834" s="107"/>
      <c r="K834" s="107"/>
      <c r="L834" s="107"/>
      <c r="M834" s="107"/>
      <c r="N834" s="107"/>
      <c r="O834" s="107"/>
      <c r="P834" s="107"/>
    </row>
    <row r="835" spans="1:16" x14ac:dyDescent="0.3">
      <c r="A835" s="58" t="str">
        <f t="shared" si="52"/>
        <v>A036630</v>
      </c>
      <c r="B835" s="59" t="str">
        <f t="shared" si="49"/>
        <v/>
      </c>
      <c r="C835" s="59" t="str">
        <f t="shared" si="50"/>
        <v/>
      </c>
      <c r="D835" s="109" t="str">
        <f t="shared" si="51"/>
        <v/>
      </c>
      <c r="E835" s="106" t="s">
        <v>853</v>
      </c>
      <c r="F835" s="58" t="s">
        <v>2301</v>
      </c>
      <c r="G835" s="106">
        <v>12</v>
      </c>
      <c r="H835" s="107"/>
      <c r="I835" s="107"/>
      <c r="J835" s="107"/>
      <c r="K835" s="107"/>
      <c r="L835" s="107"/>
      <c r="M835" s="107"/>
      <c r="N835" s="107"/>
      <c r="O835" s="107"/>
      <c r="P835" s="107"/>
    </row>
    <row r="836" spans="1:16" x14ac:dyDescent="0.3">
      <c r="A836" s="58" t="str">
        <f t="shared" si="52"/>
        <v>A036640</v>
      </c>
      <c r="B836" s="59" t="str">
        <f t="shared" si="49"/>
        <v/>
      </c>
      <c r="C836" s="59" t="str">
        <f t="shared" si="50"/>
        <v/>
      </c>
      <c r="D836" s="109" t="str">
        <f t="shared" si="51"/>
        <v/>
      </c>
      <c r="E836" s="106" t="s">
        <v>854</v>
      </c>
      <c r="F836" s="58" t="s">
        <v>2302</v>
      </c>
      <c r="G836" s="106">
        <v>12</v>
      </c>
      <c r="H836" s="107"/>
      <c r="I836" s="107"/>
      <c r="J836" s="107"/>
      <c r="K836" s="107"/>
      <c r="L836" s="107"/>
      <c r="M836" s="107"/>
      <c r="N836" s="107"/>
      <c r="O836" s="107"/>
      <c r="P836" s="107"/>
    </row>
    <row r="837" spans="1:16" x14ac:dyDescent="0.3">
      <c r="A837" s="58" t="str">
        <f t="shared" si="52"/>
        <v>A036670</v>
      </c>
      <c r="B837" s="59" t="str">
        <f t="shared" si="49"/>
        <v/>
      </c>
      <c r="C837" s="59" t="str">
        <f t="shared" si="50"/>
        <v/>
      </c>
      <c r="D837" s="109" t="str">
        <f t="shared" si="51"/>
        <v/>
      </c>
      <c r="E837" s="106" t="s">
        <v>855</v>
      </c>
      <c r="F837" s="58" t="s">
        <v>2303</v>
      </c>
      <c r="G837" s="106">
        <v>12</v>
      </c>
      <c r="H837" s="107"/>
      <c r="I837" s="107"/>
      <c r="J837" s="107"/>
      <c r="K837" s="107"/>
      <c r="L837" s="107"/>
      <c r="M837" s="107"/>
      <c r="N837" s="107"/>
      <c r="O837" s="107"/>
      <c r="P837" s="107"/>
    </row>
    <row r="838" spans="1:16" x14ac:dyDescent="0.3">
      <c r="A838" s="58" t="str">
        <f t="shared" si="52"/>
        <v>A036690</v>
      </c>
      <c r="B838" s="59" t="str">
        <f t="shared" si="49"/>
        <v/>
      </c>
      <c r="C838" s="59" t="str">
        <f t="shared" si="50"/>
        <v/>
      </c>
      <c r="D838" s="109" t="str">
        <f t="shared" si="51"/>
        <v/>
      </c>
      <c r="E838" s="106" t="s">
        <v>856</v>
      </c>
      <c r="F838" s="58" t="s">
        <v>2304</v>
      </c>
      <c r="G838" s="106">
        <v>12</v>
      </c>
      <c r="H838" s="107"/>
      <c r="I838" s="107"/>
      <c r="J838" s="107"/>
      <c r="K838" s="107"/>
      <c r="L838" s="107"/>
      <c r="M838" s="107"/>
      <c r="N838" s="107"/>
      <c r="O838" s="107"/>
      <c r="P838" s="107"/>
    </row>
    <row r="839" spans="1:16" x14ac:dyDescent="0.3">
      <c r="A839" s="58" t="str">
        <f t="shared" si="52"/>
        <v>A036710</v>
      </c>
      <c r="B839" s="59" t="str">
        <f t="shared" si="49"/>
        <v/>
      </c>
      <c r="C839" s="59" t="str">
        <f t="shared" si="50"/>
        <v/>
      </c>
      <c r="D839" s="109" t="str">
        <f t="shared" si="51"/>
        <v/>
      </c>
      <c r="E839" s="106" t="s">
        <v>857</v>
      </c>
      <c r="F839" s="58" t="s">
        <v>2305</v>
      </c>
      <c r="G839" s="106">
        <v>12</v>
      </c>
      <c r="H839" s="107"/>
      <c r="I839" s="107"/>
      <c r="J839" s="107"/>
      <c r="K839" s="107"/>
      <c r="L839" s="107"/>
      <c r="M839" s="107"/>
      <c r="N839" s="107"/>
      <c r="O839" s="107"/>
      <c r="P839" s="107"/>
    </row>
    <row r="840" spans="1:16" x14ac:dyDescent="0.3">
      <c r="A840" s="58" t="str">
        <f t="shared" si="52"/>
        <v>A036800</v>
      </c>
      <c r="B840" s="59" t="str">
        <f t="shared" si="49"/>
        <v/>
      </c>
      <c r="C840" s="59" t="str">
        <f t="shared" si="50"/>
        <v/>
      </c>
      <c r="D840" s="109" t="str">
        <f t="shared" si="51"/>
        <v/>
      </c>
      <c r="E840" s="106" t="s">
        <v>858</v>
      </c>
      <c r="F840" s="58" t="s">
        <v>2306</v>
      </c>
      <c r="G840" s="106">
        <v>12</v>
      </c>
      <c r="H840" s="107"/>
      <c r="I840" s="107"/>
      <c r="J840" s="107"/>
      <c r="K840" s="107"/>
      <c r="L840" s="107"/>
      <c r="M840" s="107"/>
      <c r="N840" s="107"/>
      <c r="O840" s="107"/>
      <c r="P840" s="107"/>
    </row>
    <row r="841" spans="1:16" x14ac:dyDescent="0.3">
      <c r="A841" s="58" t="str">
        <f t="shared" si="52"/>
        <v>A036810</v>
      </c>
      <c r="B841" s="59" t="str">
        <f t="shared" si="49"/>
        <v/>
      </c>
      <c r="C841" s="59" t="str">
        <f t="shared" si="50"/>
        <v/>
      </c>
      <c r="D841" s="109" t="str">
        <f t="shared" si="51"/>
        <v/>
      </c>
      <c r="E841" s="106" t="s">
        <v>859</v>
      </c>
      <c r="F841" s="58" t="s">
        <v>2307</v>
      </c>
      <c r="G841" s="106">
        <v>12</v>
      </c>
      <c r="H841" s="107"/>
      <c r="I841" s="107"/>
      <c r="J841" s="107"/>
      <c r="K841" s="107"/>
      <c r="L841" s="107"/>
      <c r="M841" s="107"/>
      <c r="N841" s="107"/>
      <c r="O841" s="107"/>
      <c r="P841" s="107"/>
    </row>
    <row r="842" spans="1:16" x14ac:dyDescent="0.3">
      <c r="A842" s="58" t="str">
        <f t="shared" si="52"/>
        <v>A036830</v>
      </c>
      <c r="B842" s="59" t="str">
        <f t="shared" si="49"/>
        <v/>
      </c>
      <c r="C842" s="59" t="str">
        <f t="shared" si="50"/>
        <v/>
      </c>
      <c r="D842" s="109" t="str">
        <f t="shared" si="51"/>
        <v/>
      </c>
      <c r="E842" s="106" t="s">
        <v>860</v>
      </c>
      <c r="F842" s="58" t="s">
        <v>2308</v>
      </c>
      <c r="G842" s="106">
        <v>12</v>
      </c>
      <c r="H842" s="107"/>
      <c r="I842" s="107"/>
      <c r="J842" s="107"/>
      <c r="K842" s="107"/>
      <c r="L842" s="107"/>
      <c r="M842" s="107"/>
      <c r="N842" s="107"/>
      <c r="O842" s="107"/>
      <c r="P842" s="107"/>
    </row>
    <row r="843" spans="1:16" x14ac:dyDescent="0.3">
      <c r="A843" s="58" t="str">
        <f t="shared" si="52"/>
        <v>A036890</v>
      </c>
      <c r="B843" s="59" t="str">
        <f t="shared" si="49"/>
        <v/>
      </c>
      <c r="C843" s="59" t="str">
        <f t="shared" si="50"/>
        <v/>
      </c>
      <c r="D843" s="109" t="str">
        <f t="shared" si="51"/>
        <v/>
      </c>
      <c r="E843" s="106" t="s">
        <v>861</v>
      </c>
      <c r="F843" s="58" t="s">
        <v>2309</v>
      </c>
      <c r="G843" s="106">
        <v>12</v>
      </c>
      <c r="H843" s="107"/>
      <c r="I843" s="107"/>
      <c r="J843" s="107"/>
      <c r="K843" s="107"/>
      <c r="L843" s="107"/>
      <c r="M843" s="107"/>
      <c r="N843" s="107"/>
      <c r="O843" s="107"/>
      <c r="P843" s="107"/>
    </row>
    <row r="844" spans="1:16" x14ac:dyDescent="0.3">
      <c r="A844" s="58" t="str">
        <f t="shared" si="52"/>
        <v>A036930</v>
      </c>
      <c r="B844" s="59" t="str">
        <f t="shared" si="49"/>
        <v/>
      </c>
      <c r="C844" s="59" t="str">
        <f t="shared" si="50"/>
        <v/>
      </c>
      <c r="D844" s="109" t="str">
        <f t="shared" si="51"/>
        <v/>
      </c>
      <c r="E844" s="106" t="s">
        <v>862</v>
      </c>
      <c r="F844" s="58" t="s">
        <v>2310</v>
      </c>
      <c r="G844" s="106">
        <v>12</v>
      </c>
      <c r="H844" s="107"/>
      <c r="I844" s="107"/>
      <c r="J844" s="107"/>
      <c r="K844" s="107"/>
      <c r="L844" s="107"/>
      <c r="M844" s="107"/>
      <c r="N844" s="107"/>
      <c r="O844" s="107"/>
      <c r="P844" s="107"/>
    </row>
    <row r="845" spans="1:16" x14ac:dyDescent="0.3">
      <c r="A845" s="58" t="str">
        <f t="shared" si="52"/>
        <v>A037070</v>
      </c>
      <c r="B845" s="59" t="str">
        <f t="shared" si="49"/>
        <v/>
      </c>
      <c r="C845" s="59" t="str">
        <f t="shared" si="50"/>
        <v/>
      </c>
      <c r="D845" s="109" t="str">
        <f t="shared" si="51"/>
        <v/>
      </c>
      <c r="E845" s="106" t="s">
        <v>863</v>
      </c>
      <c r="F845" s="58" t="s">
        <v>2311</v>
      </c>
      <c r="G845" s="106">
        <v>12</v>
      </c>
      <c r="H845" s="107"/>
      <c r="I845" s="107"/>
      <c r="J845" s="107"/>
      <c r="K845" s="107"/>
      <c r="L845" s="107"/>
      <c r="M845" s="107"/>
      <c r="N845" s="107"/>
      <c r="O845" s="107"/>
      <c r="P845" s="107"/>
    </row>
    <row r="846" spans="1:16" x14ac:dyDescent="0.3">
      <c r="A846" s="58" t="str">
        <f t="shared" si="52"/>
        <v>A037230</v>
      </c>
      <c r="B846" s="59" t="str">
        <f t="shared" si="49"/>
        <v/>
      </c>
      <c r="C846" s="59" t="str">
        <f t="shared" si="50"/>
        <v/>
      </c>
      <c r="D846" s="109" t="str">
        <f t="shared" si="51"/>
        <v/>
      </c>
      <c r="E846" s="106" t="s">
        <v>864</v>
      </c>
      <c r="F846" s="58" t="s">
        <v>2312</v>
      </c>
      <c r="G846" s="106">
        <v>12</v>
      </c>
      <c r="H846" s="107"/>
      <c r="I846" s="107"/>
      <c r="J846" s="107"/>
      <c r="K846" s="107"/>
      <c r="L846" s="107"/>
      <c r="M846" s="107"/>
      <c r="N846" s="107"/>
      <c r="O846" s="107"/>
      <c r="P846" s="107"/>
    </row>
    <row r="847" spans="1:16" x14ac:dyDescent="0.3">
      <c r="A847" s="58" t="str">
        <f t="shared" si="52"/>
        <v>A037270</v>
      </c>
      <c r="B847" s="59" t="str">
        <f t="shared" ref="B847:B910" si="53">IFERROR(IF(ISNUMBER(H847),DATE(LEFT(H847,4),MID(H847,5,2),RIGHT(H847,2)),NA()),"")</f>
        <v/>
      </c>
      <c r="C847" s="59" t="str">
        <f t="shared" ref="C847:C910" si="54">IFERROR(IF(ISNUMBER(I847),DATE(LEFT(I847,4),MID(I847,5,2),RIGHT(I847,2)),NA()),"")</f>
        <v/>
      </c>
      <c r="D847" s="109" t="str">
        <f t="shared" ref="D847:D910" si="55">IFERROR(IF(ISNUMBER(J847),J847,NA()),"")</f>
        <v/>
      </c>
      <c r="E847" s="106" t="s">
        <v>865</v>
      </c>
      <c r="F847" s="58" t="s">
        <v>2313</v>
      </c>
      <c r="G847" s="106">
        <v>12</v>
      </c>
      <c r="H847" s="107"/>
      <c r="I847" s="107"/>
      <c r="J847" s="107"/>
      <c r="K847" s="107"/>
      <c r="L847" s="107"/>
      <c r="M847" s="107"/>
      <c r="N847" s="107"/>
      <c r="O847" s="107"/>
      <c r="P847" s="107"/>
    </row>
    <row r="848" spans="1:16" x14ac:dyDescent="0.3">
      <c r="A848" s="58" t="str">
        <f t="shared" si="52"/>
        <v>A037330</v>
      </c>
      <c r="B848" s="59" t="str">
        <f t="shared" si="53"/>
        <v/>
      </c>
      <c r="C848" s="59" t="str">
        <f t="shared" si="54"/>
        <v/>
      </c>
      <c r="D848" s="109" t="str">
        <f t="shared" si="55"/>
        <v/>
      </c>
      <c r="E848" s="106" t="s">
        <v>866</v>
      </c>
      <c r="F848" s="58" t="s">
        <v>2314</v>
      </c>
      <c r="G848" s="106">
        <v>12</v>
      </c>
      <c r="H848" s="107"/>
      <c r="I848" s="107"/>
      <c r="J848" s="107"/>
      <c r="K848" s="107"/>
      <c r="L848" s="107"/>
      <c r="M848" s="107"/>
      <c r="N848" s="107"/>
      <c r="O848" s="107"/>
      <c r="P848" s="107"/>
    </row>
    <row r="849" spans="1:16" x14ac:dyDescent="0.3">
      <c r="A849" s="58" t="str">
        <f t="shared" si="52"/>
        <v>A037340</v>
      </c>
      <c r="B849" s="59" t="str">
        <f t="shared" si="53"/>
        <v/>
      </c>
      <c r="C849" s="59" t="str">
        <f t="shared" si="54"/>
        <v/>
      </c>
      <c r="D849" s="109" t="str">
        <f t="shared" si="55"/>
        <v/>
      </c>
      <c r="E849" s="106" t="s">
        <v>867</v>
      </c>
      <c r="F849" s="58" t="s">
        <v>2315</v>
      </c>
      <c r="G849" s="106">
        <v>12</v>
      </c>
      <c r="H849" s="107"/>
      <c r="I849" s="107"/>
      <c r="J849" s="107"/>
      <c r="K849" s="107"/>
      <c r="L849" s="107"/>
      <c r="M849" s="107"/>
      <c r="N849" s="107"/>
      <c r="O849" s="107"/>
      <c r="P849" s="107"/>
    </row>
    <row r="850" spans="1:16" x14ac:dyDescent="0.3">
      <c r="A850" s="58" t="str">
        <f t="shared" si="52"/>
        <v>A037350</v>
      </c>
      <c r="B850" s="59" t="str">
        <f t="shared" si="53"/>
        <v/>
      </c>
      <c r="C850" s="59" t="str">
        <f t="shared" si="54"/>
        <v/>
      </c>
      <c r="D850" s="109" t="str">
        <f t="shared" si="55"/>
        <v/>
      </c>
      <c r="E850" s="106" t="s">
        <v>868</v>
      </c>
      <c r="F850" s="58" t="s">
        <v>2316</v>
      </c>
      <c r="G850" s="106">
        <v>12</v>
      </c>
      <c r="H850" s="107"/>
      <c r="I850" s="107"/>
      <c r="J850" s="107"/>
      <c r="K850" s="107"/>
      <c r="L850" s="107"/>
      <c r="M850" s="107"/>
      <c r="N850" s="107"/>
      <c r="O850" s="107"/>
      <c r="P850" s="107"/>
    </row>
    <row r="851" spans="1:16" x14ac:dyDescent="0.3">
      <c r="A851" s="58" t="str">
        <f t="shared" si="52"/>
        <v>A037370</v>
      </c>
      <c r="B851" s="59" t="str">
        <f t="shared" si="53"/>
        <v/>
      </c>
      <c r="C851" s="59" t="str">
        <f t="shared" si="54"/>
        <v/>
      </c>
      <c r="D851" s="109" t="str">
        <f t="shared" si="55"/>
        <v/>
      </c>
      <c r="E851" s="106" t="s">
        <v>869</v>
      </c>
      <c r="F851" s="58" t="s">
        <v>2317</v>
      </c>
      <c r="G851" s="106">
        <v>12</v>
      </c>
      <c r="H851" s="107"/>
      <c r="I851" s="107"/>
      <c r="J851" s="107"/>
      <c r="K851" s="107"/>
      <c r="L851" s="107"/>
      <c r="M851" s="107"/>
      <c r="N851" s="107"/>
      <c r="O851" s="107"/>
      <c r="P851" s="107"/>
    </row>
    <row r="852" spans="1:16" x14ac:dyDescent="0.3">
      <c r="A852" s="58" t="str">
        <f t="shared" si="52"/>
        <v>A037400</v>
      </c>
      <c r="B852" s="59" t="str">
        <f t="shared" si="53"/>
        <v/>
      </c>
      <c r="C852" s="59" t="str">
        <f t="shared" si="54"/>
        <v/>
      </c>
      <c r="D852" s="109" t="str">
        <f t="shared" si="55"/>
        <v/>
      </c>
      <c r="E852" s="106" t="s">
        <v>870</v>
      </c>
      <c r="F852" s="58" t="s">
        <v>2318</v>
      </c>
      <c r="G852" s="106">
        <v>12</v>
      </c>
      <c r="H852" s="107"/>
      <c r="I852" s="107"/>
      <c r="J852" s="107"/>
      <c r="K852" s="107"/>
      <c r="L852" s="107"/>
      <c r="M852" s="107"/>
      <c r="N852" s="107"/>
      <c r="O852" s="107"/>
      <c r="P852" s="107"/>
    </row>
    <row r="853" spans="1:16" x14ac:dyDescent="0.3">
      <c r="A853" s="58" t="str">
        <f t="shared" si="52"/>
        <v>A037440</v>
      </c>
      <c r="B853" s="59" t="str">
        <f t="shared" si="53"/>
        <v/>
      </c>
      <c r="C853" s="59" t="str">
        <f t="shared" si="54"/>
        <v/>
      </c>
      <c r="D853" s="109" t="str">
        <f t="shared" si="55"/>
        <v/>
      </c>
      <c r="E853" s="106" t="s">
        <v>871</v>
      </c>
      <c r="F853" s="58" t="s">
        <v>2319</v>
      </c>
      <c r="G853" s="106">
        <v>12</v>
      </c>
      <c r="H853" s="107"/>
      <c r="I853" s="107"/>
      <c r="J853" s="107"/>
      <c r="K853" s="107"/>
      <c r="L853" s="107"/>
      <c r="M853" s="107"/>
      <c r="N853" s="107"/>
      <c r="O853" s="107"/>
      <c r="P853" s="107"/>
    </row>
    <row r="854" spans="1:16" x14ac:dyDescent="0.3">
      <c r="A854" s="58" t="str">
        <f t="shared" ref="A854:A917" si="56">E854</f>
        <v>A037460</v>
      </c>
      <c r="B854" s="59" t="str">
        <f t="shared" si="53"/>
        <v/>
      </c>
      <c r="C854" s="59" t="str">
        <f t="shared" si="54"/>
        <v/>
      </c>
      <c r="D854" s="109" t="str">
        <f t="shared" si="55"/>
        <v/>
      </c>
      <c r="E854" s="106" t="s">
        <v>872</v>
      </c>
      <c r="F854" s="58" t="s">
        <v>2320</v>
      </c>
      <c r="G854" s="106">
        <v>12</v>
      </c>
      <c r="H854" s="107"/>
      <c r="I854" s="107"/>
      <c r="J854" s="107"/>
      <c r="K854" s="107"/>
      <c r="L854" s="107"/>
      <c r="M854" s="107"/>
      <c r="N854" s="107"/>
      <c r="O854" s="107"/>
      <c r="P854" s="107"/>
    </row>
    <row r="855" spans="1:16" x14ac:dyDescent="0.3">
      <c r="A855" s="58" t="str">
        <f t="shared" si="56"/>
        <v>A037560</v>
      </c>
      <c r="B855" s="59" t="str">
        <f t="shared" si="53"/>
        <v/>
      </c>
      <c r="C855" s="59" t="str">
        <f t="shared" si="54"/>
        <v/>
      </c>
      <c r="D855" s="109" t="str">
        <f t="shared" si="55"/>
        <v/>
      </c>
      <c r="E855" s="106" t="s">
        <v>3541</v>
      </c>
      <c r="F855" s="58" t="s">
        <v>3552</v>
      </c>
      <c r="G855" s="106">
        <v>12</v>
      </c>
      <c r="H855" s="107"/>
      <c r="I855" s="107"/>
      <c r="J855" s="107"/>
      <c r="K855" s="107"/>
      <c r="L855" s="107"/>
      <c r="M855" s="107"/>
      <c r="N855" s="107"/>
      <c r="O855" s="107"/>
      <c r="P855" s="107"/>
    </row>
    <row r="856" spans="1:16" x14ac:dyDescent="0.3">
      <c r="A856" s="58" t="str">
        <f t="shared" si="56"/>
        <v>A037620</v>
      </c>
      <c r="B856" s="59" t="str">
        <f t="shared" si="53"/>
        <v/>
      </c>
      <c r="C856" s="59" t="str">
        <f t="shared" si="54"/>
        <v/>
      </c>
      <c r="D856" s="109" t="str">
        <f t="shared" si="55"/>
        <v/>
      </c>
      <c r="E856" s="106" t="s">
        <v>873</v>
      </c>
      <c r="F856" s="58" t="s">
        <v>2321</v>
      </c>
      <c r="G856" s="106">
        <v>3</v>
      </c>
      <c r="H856" s="107"/>
      <c r="I856" s="107"/>
      <c r="J856" s="107"/>
      <c r="K856" s="107"/>
      <c r="L856" s="107"/>
      <c r="M856" s="107"/>
      <c r="N856" s="107"/>
      <c r="O856" s="107"/>
      <c r="P856" s="107"/>
    </row>
    <row r="857" spans="1:16" x14ac:dyDescent="0.3">
      <c r="A857" s="58" t="str">
        <f t="shared" si="56"/>
        <v>A037630</v>
      </c>
      <c r="B857" s="59" t="str">
        <f t="shared" si="53"/>
        <v/>
      </c>
      <c r="C857" s="59" t="str">
        <f t="shared" si="54"/>
        <v/>
      </c>
      <c r="D857" s="109" t="str">
        <f t="shared" si="55"/>
        <v/>
      </c>
      <c r="E857" s="106" t="s">
        <v>874</v>
      </c>
      <c r="F857" s="58" t="s">
        <v>2322</v>
      </c>
      <c r="G857" s="106">
        <v>12</v>
      </c>
      <c r="H857" s="107"/>
      <c r="I857" s="107"/>
      <c r="J857" s="107"/>
      <c r="K857" s="107"/>
      <c r="L857" s="107"/>
      <c r="M857" s="107"/>
      <c r="N857" s="107"/>
      <c r="O857" s="107"/>
      <c r="P857" s="107"/>
    </row>
    <row r="858" spans="1:16" x14ac:dyDescent="0.3">
      <c r="A858" s="58" t="str">
        <f t="shared" si="56"/>
        <v>A037710</v>
      </c>
      <c r="B858" s="59" t="str">
        <f t="shared" si="53"/>
        <v/>
      </c>
      <c r="C858" s="59" t="str">
        <f t="shared" si="54"/>
        <v/>
      </c>
      <c r="D858" s="109" t="str">
        <f t="shared" si="55"/>
        <v/>
      </c>
      <c r="E858" s="106" t="s">
        <v>875</v>
      </c>
      <c r="F858" s="58" t="s">
        <v>2323</v>
      </c>
      <c r="G858" s="106">
        <v>12</v>
      </c>
      <c r="H858" s="107"/>
      <c r="I858" s="107"/>
      <c r="J858" s="107"/>
      <c r="K858" s="107"/>
      <c r="L858" s="107"/>
      <c r="M858" s="107"/>
      <c r="N858" s="107"/>
      <c r="O858" s="107"/>
      <c r="P858" s="107"/>
    </row>
    <row r="859" spans="1:16" x14ac:dyDescent="0.3">
      <c r="A859" s="58" t="str">
        <f t="shared" si="56"/>
        <v>A037760</v>
      </c>
      <c r="B859" s="59" t="str">
        <f t="shared" si="53"/>
        <v/>
      </c>
      <c r="C859" s="59" t="str">
        <f t="shared" si="54"/>
        <v/>
      </c>
      <c r="D859" s="109" t="str">
        <f t="shared" si="55"/>
        <v/>
      </c>
      <c r="E859" s="106" t="s">
        <v>876</v>
      </c>
      <c r="F859" s="58" t="s">
        <v>2324</v>
      </c>
      <c r="G859" s="106">
        <v>12</v>
      </c>
      <c r="H859" s="107"/>
      <c r="I859" s="107"/>
      <c r="J859" s="107"/>
      <c r="K859" s="107"/>
      <c r="L859" s="107"/>
      <c r="M859" s="107"/>
      <c r="N859" s="107"/>
      <c r="O859" s="107"/>
      <c r="P859" s="107"/>
    </row>
    <row r="860" spans="1:16" x14ac:dyDescent="0.3">
      <c r="A860" s="58" t="str">
        <f t="shared" si="56"/>
        <v>A037950</v>
      </c>
      <c r="B860" s="59" t="str">
        <f t="shared" si="53"/>
        <v/>
      </c>
      <c r="C860" s="59" t="str">
        <f t="shared" si="54"/>
        <v/>
      </c>
      <c r="D860" s="109" t="str">
        <f t="shared" si="55"/>
        <v/>
      </c>
      <c r="E860" s="106" t="s">
        <v>877</v>
      </c>
      <c r="F860" s="58" t="s">
        <v>2325</v>
      </c>
      <c r="G860" s="106">
        <v>12</v>
      </c>
      <c r="H860" s="107"/>
      <c r="I860" s="107"/>
      <c r="J860" s="107"/>
      <c r="K860" s="107"/>
      <c r="L860" s="107"/>
      <c r="M860" s="107"/>
      <c r="N860" s="107"/>
      <c r="O860" s="107"/>
      <c r="P860" s="107"/>
    </row>
    <row r="861" spans="1:16" x14ac:dyDescent="0.3">
      <c r="A861" s="58" t="str">
        <f t="shared" si="56"/>
        <v>A038010</v>
      </c>
      <c r="B861" s="59" t="str">
        <f t="shared" si="53"/>
        <v/>
      </c>
      <c r="C861" s="59" t="str">
        <f t="shared" si="54"/>
        <v/>
      </c>
      <c r="D861" s="109" t="str">
        <f t="shared" si="55"/>
        <v/>
      </c>
      <c r="E861" s="106" t="s">
        <v>878</v>
      </c>
      <c r="F861" s="58" t="s">
        <v>2326</v>
      </c>
      <c r="G861" s="106">
        <v>12</v>
      </c>
      <c r="H861" s="107"/>
      <c r="I861" s="107"/>
      <c r="J861" s="107"/>
      <c r="K861" s="107"/>
      <c r="L861" s="107"/>
      <c r="M861" s="107"/>
      <c r="N861" s="107"/>
      <c r="O861" s="107"/>
      <c r="P861" s="107"/>
    </row>
    <row r="862" spans="1:16" x14ac:dyDescent="0.3">
      <c r="A862" s="58" t="str">
        <f t="shared" si="56"/>
        <v>A038060</v>
      </c>
      <c r="B862" s="59" t="str">
        <f t="shared" si="53"/>
        <v/>
      </c>
      <c r="C862" s="59" t="str">
        <f t="shared" si="54"/>
        <v/>
      </c>
      <c r="D862" s="109" t="str">
        <f t="shared" si="55"/>
        <v/>
      </c>
      <c r="E862" s="106" t="s">
        <v>879</v>
      </c>
      <c r="F862" s="58" t="s">
        <v>2327</v>
      </c>
      <c r="G862" s="106">
        <v>12</v>
      </c>
      <c r="H862" s="107"/>
      <c r="I862" s="107"/>
      <c r="J862" s="107"/>
      <c r="K862" s="107"/>
      <c r="L862" s="107"/>
      <c r="M862" s="107"/>
      <c r="N862" s="107"/>
      <c r="O862" s="107"/>
      <c r="P862" s="107"/>
    </row>
    <row r="863" spans="1:16" x14ac:dyDescent="0.3">
      <c r="A863" s="58" t="str">
        <f t="shared" si="56"/>
        <v>A038070</v>
      </c>
      <c r="B863" s="59" t="str">
        <f t="shared" si="53"/>
        <v/>
      </c>
      <c r="C863" s="59" t="str">
        <f t="shared" si="54"/>
        <v/>
      </c>
      <c r="D863" s="109" t="str">
        <f t="shared" si="55"/>
        <v/>
      </c>
      <c r="E863" s="106" t="s">
        <v>880</v>
      </c>
      <c r="F863" s="58" t="s">
        <v>2328</v>
      </c>
      <c r="G863" s="106">
        <v>12</v>
      </c>
      <c r="H863" s="107"/>
      <c r="I863" s="107"/>
      <c r="J863" s="107"/>
      <c r="K863" s="107"/>
      <c r="L863" s="107"/>
      <c r="M863" s="107"/>
      <c r="N863" s="107"/>
      <c r="O863" s="107"/>
      <c r="P863" s="107"/>
    </row>
    <row r="864" spans="1:16" x14ac:dyDescent="0.3">
      <c r="A864" s="58" t="str">
        <f t="shared" si="56"/>
        <v>A038110</v>
      </c>
      <c r="B864" s="59" t="str">
        <f t="shared" si="53"/>
        <v/>
      </c>
      <c r="C864" s="59" t="str">
        <f t="shared" si="54"/>
        <v/>
      </c>
      <c r="D864" s="109" t="str">
        <f t="shared" si="55"/>
        <v/>
      </c>
      <c r="E864" s="106" t="s">
        <v>881</v>
      </c>
      <c r="F864" s="58" t="s">
        <v>2329</v>
      </c>
      <c r="G864" s="106">
        <v>12</v>
      </c>
      <c r="H864" s="107"/>
      <c r="I864" s="107"/>
      <c r="J864" s="107"/>
      <c r="K864" s="107"/>
      <c r="L864" s="107"/>
      <c r="M864" s="107"/>
      <c r="N864" s="107"/>
      <c r="O864" s="107"/>
      <c r="P864" s="107"/>
    </row>
    <row r="865" spans="1:16" x14ac:dyDescent="0.3">
      <c r="A865" s="58" t="str">
        <f t="shared" si="56"/>
        <v>A038290</v>
      </c>
      <c r="B865" s="59" t="str">
        <f t="shared" si="53"/>
        <v/>
      </c>
      <c r="C865" s="59" t="str">
        <f t="shared" si="54"/>
        <v/>
      </c>
      <c r="D865" s="109" t="str">
        <f t="shared" si="55"/>
        <v/>
      </c>
      <c r="E865" s="106" t="s">
        <v>882</v>
      </c>
      <c r="F865" s="58" t="s">
        <v>2330</v>
      </c>
      <c r="G865" s="106">
        <v>12</v>
      </c>
      <c r="H865" s="107"/>
      <c r="I865" s="107"/>
      <c r="J865" s="107"/>
      <c r="K865" s="107"/>
      <c r="L865" s="107"/>
      <c r="M865" s="107"/>
      <c r="N865" s="107"/>
      <c r="O865" s="107"/>
      <c r="P865" s="107"/>
    </row>
    <row r="866" spans="1:16" x14ac:dyDescent="0.3">
      <c r="A866" s="58" t="str">
        <f t="shared" si="56"/>
        <v>A038340</v>
      </c>
      <c r="B866" s="59" t="str">
        <f t="shared" si="53"/>
        <v/>
      </c>
      <c r="C866" s="59" t="str">
        <f t="shared" si="54"/>
        <v/>
      </c>
      <c r="D866" s="109" t="str">
        <f t="shared" si="55"/>
        <v/>
      </c>
      <c r="E866" s="106" t="s">
        <v>883</v>
      </c>
      <c r="F866" s="58" t="s">
        <v>2331</v>
      </c>
      <c r="G866" s="106">
        <v>12</v>
      </c>
      <c r="H866" s="107"/>
      <c r="I866" s="107"/>
      <c r="J866" s="107"/>
      <c r="K866" s="107"/>
      <c r="L866" s="107"/>
      <c r="M866" s="107"/>
      <c r="N866" s="107"/>
      <c r="O866" s="107"/>
      <c r="P866" s="107"/>
    </row>
    <row r="867" spans="1:16" x14ac:dyDescent="0.3">
      <c r="A867" s="58" t="str">
        <f t="shared" si="56"/>
        <v>A038390</v>
      </c>
      <c r="B867" s="59" t="str">
        <f t="shared" si="53"/>
        <v/>
      </c>
      <c r="C867" s="59" t="str">
        <f t="shared" si="54"/>
        <v/>
      </c>
      <c r="D867" s="109" t="str">
        <f t="shared" si="55"/>
        <v/>
      </c>
      <c r="E867" s="106" t="s">
        <v>884</v>
      </c>
      <c r="F867" s="58" t="s">
        <v>2332</v>
      </c>
      <c r="G867" s="106">
        <v>12</v>
      </c>
      <c r="H867" s="107"/>
      <c r="I867" s="107"/>
      <c r="J867" s="107"/>
      <c r="K867" s="107"/>
      <c r="L867" s="107"/>
      <c r="M867" s="107"/>
      <c r="N867" s="107"/>
      <c r="O867" s="107"/>
      <c r="P867" s="107"/>
    </row>
    <row r="868" spans="1:16" x14ac:dyDescent="0.3">
      <c r="A868" s="58" t="str">
        <f t="shared" si="56"/>
        <v>A038460</v>
      </c>
      <c r="B868" s="59" t="str">
        <f t="shared" si="53"/>
        <v/>
      </c>
      <c r="C868" s="59" t="str">
        <f t="shared" si="54"/>
        <v/>
      </c>
      <c r="D868" s="109" t="str">
        <f t="shared" si="55"/>
        <v/>
      </c>
      <c r="E868" s="106" t="s">
        <v>885</v>
      </c>
      <c r="F868" s="58" t="s">
        <v>2333</v>
      </c>
      <c r="G868" s="106">
        <v>12</v>
      </c>
      <c r="H868" s="107"/>
      <c r="I868" s="107"/>
      <c r="J868" s="107"/>
      <c r="K868" s="107"/>
      <c r="L868" s="107"/>
      <c r="M868" s="107"/>
      <c r="N868" s="107"/>
      <c r="O868" s="107"/>
      <c r="P868" s="107"/>
    </row>
    <row r="869" spans="1:16" x14ac:dyDescent="0.3">
      <c r="A869" s="58" t="str">
        <f t="shared" si="56"/>
        <v>A038500</v>
      </c>
      <c r="B869" s="59" t="str">
        <f t="shared" si="53"/>
        <v/>
      </c>
      <c r="C869" s="59" t="str">
        <f t="shared" si="54"/>
        <v/>
      </c>
      <c r="D869" s="109" t="str">
        <f t="shared" si="55"/>
        <v/>
      </c>
      <c r="E869" s="106" t="s">
        <v>886</v>
      </c>
      <c r="F869" s="58" t="s">
        <v>2334</v>
      </c>
      <c r="G869" s="106">
        <v>12</v>
      </c>
      <c r="H869" s="107"/>
      <c r="I869" s="107"/>
      <c r="J869" s="107"/>
      <c r="K869" s="107"/>
      <c r="L869" s="107"/>
      <c r="M869" s="107"/>
      <c r="N869" s="107"/>
      <c r="O869" s="107"/>
      <c r="P869" s="107"/>
    </row>
    <row r="870" spans="1:16" x14ac:dyDescent="0.3">
      <c r="A870" s="58" t="str">
        <f t="shared" si="56"/>
        <v>A038530</v>
      </c>
      <c r="B870" s="59" t="str">
        <f t="shared" si="53"/>
        <v/>
      </c>
      <c r="C870" s="59" t="str">
        <f t="shared" si="54"/>
        <v/>
      </c>
      <c r="D870" s="109" t="str">
        <f t="shared" si="55"/>
        <v/>
      </c>
      <c r="E870" s="106" t="s">
        <v>887</v>
      </c>
      <c r="F870" s="58" t="s">
        <v>2335</v>
      </c>
      <c r="G870" s="106">
        <v>12</v>
      </c>
      <c r="H870" s="107"/>
      <c r="I870" s="107"/>
      <c r="J870" s="107"/>
      <c r="K870" s="107"/>
      <c r="L870" s="107"/>
      <c r="M870" s="107"/>
      <c r="N870" s="107"/>
      <c r="O870" s="107"/>
      <c r="P870" s="107"/>
    </row>
    <row r="871" spans="1:16" x14ac:dyDescent="0.3">
      <c r="A871" s="58" t="str">
        <f t="shared" si="56"/>
        <v>A038540</v>
      </c>
      <c r="B871" s="59" t="str">
        <f t="shared" si="53"/>
        <v/>
      </c>
      <c r="C871" s="59" t="str">
        <f t="shared" si="54"/>
        <v/>
      </c>
      <c r="D871" s="109" t="str">
        <f t="shared" si="55"/>
        <v/>
      </c>
      <c r="E871" s="106" t="s">
        <v>888</v>
      </c>
      <c r="F871" s="58" t="s">
        <v>2336</v>
      </c>
      <c r="G871" s="106">
        <v>12</v>
      </c>
      <c r="H871" s="107"/>
      <c r="I871" s="107"/>
      <c r="J871" s="107"/>
      <c r="K871" s="107"/>
      <c r="L871" s="107"/>
      <c r="M871" s="107"/>
      <c r="N871" s="107"/>
      <c r="O871" s="107"/>
      <c r="P871" s="107"/>
    </row>
    <row r="872" spans="1:16" x14ac:dyDescent="0.3">
      <c r="A872" s="58" t="str">
        <f t="shared" si="56"/>
        <v>A038620</v>
      </c>
      <c r="B872" s="59" t="str">
        <f t="shared" si="53"/>
        <v/>
      </c>
      <c r="C872" s="59" t="str">
        <f t="shared" si="54"/>
        <v/>
      </c>
      <c r="D872" s="109" t="str">
        <f t="shared" si="55"/>
        <v/>
      </c>
      <c r="E872" s="106" t="s">
        <v>889</v>
      </c>
      <c r="F872" s="58" t="s">
        <v>2337</v>
      </c>
      <c r="G872" s="106">
        <v>12</v>
      </c>
      <c r="H872" s="107"/>
      <c r="I872" s="107"/>
      <c r="J872" s="107"/>
      <c r="K872" s="107"/>
      <c r="L872" s="107"/>
      <c r="M872" s="107"/>
      <c r="N872" s="107"/>
      <c r="O872" s="107"/>
      <c r="P872" s="107"/>
    </row>
    <row r="873" spans="1:16" x14ac:dyDescent="0.3">
      <c r="A873" s="58" t="str">
        <f t="shared" si="56"/>
        <v>A038680</v>
      </c>
      <c r="B873" s="59" t="str">
        <f t="shared" si="53"/>
        <v/>
      </c>
      <c r="C873" s="59" t="str">
        <f t="shared" si="54"/>
        <v/>
      </c>
      <c r="D873" s="109" t="str">
        <f t="shared" si="55"/>
        <v/>
      </c>
      <c r="E873" s="106" t="s">
        <v>890</v>
      </c>
      <c r="F873" s="58" t="s">
        <v>2338</v>
      </c>
      <c r="G873" s="106">
        <v>12</v>
      </c>
      <c r="H873" s="107"/>
      <c r="I873" s="107"/>
      <c r="J873" s="107"/>
      <c r="K873" s="107"/>
      <c r="L873" s="107"/>
      <c r="M873" s="107"/>
      <c r="N873" s="107"/>
      <c r="O873" s="107"/>
      <c r="P873" s="107"/>
    </row>
    <row r="874" spans="1:16" x14ac:dyDescent="0.3">
      <c r="A874" s="58" t="str">
        <f t="shared" si="56"/>
        <v>A038870</v>
      </c>
      <c r="B874" s="59" t="str">
        <f t="shared" si="53"/>
        <v/>
      </c>
      <c r="C874" s="59" t="str">
        <f t="shared" si="54"/>
        <v/>
      </c>
      <c r="D874" s="109" t="str">
        <f t="shared" si="55"/>
        <v/>
      </c>
      <c r="E874" s="106" t="s">
        <v>891</v>
      </c>
      <c r="F874" s="58" t="s">
        <v>2339</v>
      </c>
      <c r="G874" s="106">
        <v>12</v>
      </c>
      <c r="H874" s="107"/>
      <c r="I874" s="107"/>
      <c r="J874" s="107"/>
      <c r="K874" s="107"/>
      <c r="L874" s="107"/>
      <c r="M874" s="107"/>
      <c r="N874" s="107"/>
      <c r="O874" s="107"/>
      <c r="P874" s="107"/>
    </row>
    <row r="875" spans="1:16" x14ac:dyDescent="0.3">
      <c r="A875" s="58" t="str">
        <f t="shared" si="56"/>
        <v>A038880</v>
      </c>
      <c r="B875" s="59" t="str">
        <f t="shared" si="53"/>
        <v/>
      </c>
      <c r="C875" s="59" t="str">
        <f t="shared" si="54"/>
        <v/>
      </c>
      <c r="D875" s="109" t="str">
        <f t="shared" si="55"/>
        <v/>
      </c>
      <c r="E875" s="106" t="s">
        <v>892</v>
      </c>
      <c r="F875" s="58" t="s">
        <v>3642</v>
      </c>
      <c r="G875" s="106">
        <v>12</v>
      </c>
      <c r="H875" s="107"/>
      <c r="I875" s="107"/>
      <c r="J875" s="107"/>
      <c r="K875" s="107"/>
      <c r="L875" s="107"/>
      <c r="M875" s="107"/>
      <c r="N875" s="107"/>
      <c r="O875" s="107"/>
      <c r="P875" s="107"/>
    </row>
    <row r="876" spans="1:16" x14ac:dyDescent="0.3">
      <c r="A876" s="58" t="str">
        <f t="shared" si="56"/>
        <v>A038950</v>
      </c>
      <c r="B876" s="59" t="str">
        <f t="shared" si="53"/>
        <v/>
      </c>
      <c r="C876" s="59" t="str">
        <f t="shared" si="54"/>
        <v/>
      </c>
      <c r="D876" s="109" t="str">
        <f t="shared" si="55"/>
        <v/>
      </c>
      <c r="E876" s="106" t="s">
        <v>893</v>
      </c>
      <c r="F876" s="58" t="s">
        <v>2340</v>
      </c>
      <c r="G876" s="106">
        <v>12</v>
      </c>
      <c r="H876" s="107"/>
      <c r="I876" s="107"/>
      <c r="J876" s="107"/>
      <c r="K876" s="107"/>
      <c r="L876" s="107"/>
      <c r="M876" s="107"/>
      <c r="N876" s="107"/>
      <c r="O876" s="107"/>
      <c r="P876" s="107"/>
    </row>
    <row r="877" spans="1:16" x14ac:dyDescent="0.3">
      <c r="A877" s="58" t="str">
        <f t="shared" si="56"/>
        <v>A039010</v>
      </c>
      <c r="B877" s="59" t="str">
        <f t="shared" si="53"/>
        <v/>
      </c>
      <c r="C877" s="59" t="str">
        <f t="shared" si="54"/>
        <v/>
      </c>
      <c r="D877" s="109" t="str">
        <f t="shared" si="55"/>
        <v/>
      </c>
      <c r="E877" s="106" t="s">
        <v>894</v>
      </c>
      <c r="F877" s="58" t="s">
        <v>2341</v>
      </c>
      <c r="G877" s="106">
        <v>12</v>
      </c>
      <c r="H877" s="107"/>
      <c r="I877" s="107"/>
      <c r="J877" s="107"/>
      <c r="K877" s="107"/>
      <c r="L877" s="107"/>
      <c r="M877" s="107"/>
      <c r="N877" s="107"/>
      <c r="O877" s="107"/>
      <c r="P877" s="107"/>
    </row>
    <row r="878" spans="1:16" x14ac:dyDescent="0.3">
      <c r="A878" s="58" t="str">
        <f t="shared" si="56"/>
        <v>A039020</v>
      </c>
      <c r="B878" s="59" t="str">
        <f t="shared" si="53"/>
        <v/>
      </c>
      <c r="C878" s="59" t="str">
        <f t="shared" si="54"/>
        <v/>
      </c>
      <c r="D878" s="109" t="str">
        <f t="shared" si="55"/>
        <v/>
      </c>
      <c r="E878" s="106" t="s">
        <v>895</v>
      </c>
      <c r="F878" s="58" t="s">
        <v>2342</v>
      </c>
      <c r="G878" s="106">
        <v>12</v>
      </c>
      <c r="H878" s="107"/>
      <c r="I878" s="107"/>
      <c r="J878" s="107"/>
      <c r="K878" s="107"/>
      <c r="L878" s="107"/>
      <c r="M878" s="107"/>
      <c r="N878" s="107"/>
      <c r="O878" s="107"/>
      <c r="P878" s="107"/>
    </row>
    <row r="879" spans="1:16" x14ac:dyDescent="0.3">
      <c r="A879" s="58" t="str">
        <f t="shared" si="56"/>
        <v>A039030</v>
      </c>
      <c r="B879" s="59" t="str">
        <f t="shared" si="53"/>
        <v/>
      </c>
      <c r="C879" s="59" t="str">
        <f t="shared" si="54"/>
        <v/>
      </c>
      <c r="D879" s="109" t="str">
        <f t="shared" si="55"/>
        <v/>
      </c>
      <c r="E879" s="106" t="s">
        <v>896</v>
      </c>
      <c r="F879" s="58" t="s">
        <v>2343</v>
      </c>
      <c r="G879" s="106">
        <v>12</v>
      </c>
      <c r="H879" s="107"/>
      <c r="I879" s="107"/>
      <c r="J879" s="107"/>
      <c r="K879" s="107"/>
      <c r="L879" s="107"/>
      <c r="M879" s="107"/>
      <c r="N879" s="107"/>
      <c r="O879" s="107"/>
      <c r="P879" s="107"/>
    </row>
    <row r="880" spans="1:16" x14ac:dyDescent="0.3">
      <c r="A880" s="58" t="str">
        <f t="shared" si="56"/>
        <v>A039130</v>
      </c>
      <c r="B880" s="59" t="str">
        <f t="shared" si="53"/>
        <v/>
      </c>
      <c r="C880" s="59" t="str">
        <f t="shared" si="54"/>
        <v/>
      </c>
      <c r="D880" s="109" t="str">
        <f t="shared" si="55"/>
        <v/>
      </c>
      <c r="E880" s="106" t="s">
        <v>897</v>
      </c>
      <c r="F880" s="58" t="s">
        <v>2344</v>
      </c>
      <c r="G880" s="106">
        <v>12</v>
      </c>
      <c r="H880" s="107"/>
      <c r="I880" s="107"/>
      <c r="J880" s="107"/>
      <c r="K880" s="107"/>
      <c r="L880" s="107"/>
      <c r="M880" s="107"/>
      <c r="N880" s="107"/>
      <c r="O880" s="107"/>
      <c r="P880" s="107"/>
    </row>
    <row r="881" spans="1:16" x14ac:dyDescent="0.3">
      <c r="A881" s="58" t="str">
        <f t="shared" si="56"/>
        <v>A039200</v>
      </c>
      <c r="B881" s="59" t="str">
        <f t="shared" si="53"/>
        <v/>
      </c>
      <c r="C881" s="59" t="str">
        <f t="shared" si="54"/>
        <v/>
      </c>
      <c r="D881" s="109" t="str">
        <f t="shared" si="55"/>
        <v/>
      </c>
      <c r="E881" s="106" t="s">
        <v>898</v>
      </c>
      <c r="F881" s="58" t="s">
        <v>2345</v>
      </c>
      <c r="G881" s="106">
        <v>12</v>
      </c>
      <c r="H881" s="107"/>
      <c r="I881" s="107"/>
      <c r="J881" s="107"/>
      <c r="K881" s="107"/>
      <c r="L881" s="107"/>
      <c r="M881" s="107"/>
      <c r="N881" s="107"/>
      <c r="O881" s="107"/>
      <c r="P881" s="107"/>
    </row>
    <row r="882" spans="1:16" x14ac:dyDescent="0.3">
      <c r="A882" s="58" t="str">
        <f t="shared" si="56"/>
        <v>A039230</v>
      </c>
      <c r="B882" s="59" t="str">
        <f t="shared" si="53"/>
        <v/>
      </c>
      <c r="C882" s="59" t="str">
        <f t="shared" si="54"/>
        <v/>
      </c>
      <c r="D882" s="109" t="str">
        <f t="shared" si="55"/>
        <v/>
      </c>
      <c r="E882" s="106" t="s">
        <v>899</v>
      </c>
      <c r="F882" s="58" t="s">
        <v>2346</v>
      </c>
      <c r="G882" s="106">
        <v>12</v>
      </c>
      <c r="H882" s="107"/>
      <c r="I882" s="107"/>
      <c r="J882" s="107"/>
      <c r="K882" s="107"/>
      <c r="L882" s="107"/>
      <c r="M882" s="107"/>
      <c r="N882" s="107"/>
      <c r="O882" s="107"/>
      <c r="P882" s="107"/>
    </row>
    <row r="883" spans="1:16" x14ac:dyDescent="0.3">
      <c r="A883" s="58" t="str">
        <f t="shared" si="56"/>
        <v>A039240</v>
      </c>
      <c r="B883" s="59" t="str">
        <f t="shared" si="53"/>
        <v/>
      </c>
      <c r="C883" s="59" t="str">
        <f t="shared" si="54"/>
        <v/>
      </c>
      <c r="D883" s="109" t="str">
        <f t="shared" si="55"/>
        <v/>
      </c>
      <c r="E883" s="106" t="s">
        <v>900</v>
      </c>
      <c r="F883" s="58" t="s">
        <v>2347</v>
      </c>
      <c r="G883" s="106">
        <v>12</v>
      </c>
      <c r="H883" s="107"/>
      <c r="I883" s="107"/>
      <c r="J883" s="107"/>
      <c r="K883" s="107"/>
      <c r="L883" s="107"/>
      <c r="M883" s="107"/>
      <c r="N883" s="107"/>
      <c r="O883" s="107"/>
      <c r="P883" s="107"/>
    </row>
    <row r="884" spans="1:16" x14ac:dyDescent="0.3">
      <c r="A884" s="58" t="str">
        <f t="shared" si="56"/>
        <v>A039290</v>
      </c>
      <c r="B884" s="59" t="str">
        <f t="shared" si="53"/>
        <v/>
      </c>
      <c r="C884" s="59" t="str">
        <f t="shared" si="54"/>
        <v/>
      </c>
      <c r="D884" s="109" t="str">
        <f t="shared" si="55"/>
        <v/>
      </c>
      <c r="E884" s="106" t="s">
        <v>901</v>
      </c>
      <c r="F884" s="58" t="s">
        <v>2348</v>
      </c>
      <c r="G884" s="106">
        <v>12</v>
      </c>
      <c r="H884" s="107"/>
      <c r="I884" s="107"/>
      <c r="J884" s="107"/>
      <c r="K884" s="107"/>
      <c r="L884" s="107"/>
      <c r="M884" s="107"/>
      <c r="N884" s="107"/>
      <c r="O884" s="107"/>
      <c r="P884" s="107"/>
    </row>
    <row r="885" spans="1:16" x14ac:dyDescent="0.3">
      <c r="A885" s="58" t="str">
        <f t="shared" si="56"/>
        <v>A039310</v>
      </c>
      <c r="B885" s="59" t="str">
        <f t="shared" si="53"/>
        <v/>
      </c>
      <c r="C885" s="59" t="str">
        <f t="shared" si="54"/>
        <v/>
      </c>
      <c r="D885" s="109" t="str">
        <f t="shared" si="55"/>
        <v/>
      </c>
      <c r="E885" s="106" t="s">
        <v>902</v>
      </c>
      <c r="F885" s="58" t="s">
        <v>2349</v>
      </c>
      <c r="G885" s="106">
        <v>12</v>
      </c>
      <c r="H885" s="107"/>
      <c r="I885" s="107"/>
      <c r="J885" s="107"/>
      <c r="K885" s="107"/>
      <c r="L885" s="107"/>
      <c r="M885" s="107"/>
      <c r="N885" s="107"/>
      <c r="O885" s="107"/>
      <c r="P885" s="107"/>
    </row>
    <row r="886" spans="1:16" x14ac:dyDescent="0.3">
      <c r="A886" s="58" t="str">
        <f t="shared" si="56"/>
        <v>A039340</v>
      </c>
      <c r="B886" s="59" t="str">
        <f t="shared" si="53"/>
        <v/>
      </c>
      <c r="C886" s="59" t="str">
        <f t="shared" si="54"/>
        <v/>
      </c>
      <c r="D886" s="109" t="str">
        <f t="shared" si="55"/>
        <v/>
      </c>
      <c r="E886" s="106" t="s">
        <v>903</v>
      </c>
      <c r="F886" s="58" t="s">
        <v>2350</v>
      </c>
      <c r="G886" s="106">
        <v>12</v>
      </c>
      <c r="H886" s="107"/>
      <c r="I886" s="107"/>
      <c r="J886" s="107"/>
      <c r="K886" s="107"/>
      <c r="L886" s="107"/>
      <c r="M886" s="107"/>
      <c r="N886" s="107"/>
      <c r="O886" s="107"/>
      <c r="P886" s="107"/>
    </row>
    <row r="887" spans="1:16" x14ac:dyDescent="0.3">
      <c r="A887" s="58" t="str">
        <f t="shared" si="56"/>
        <v>A039420</v>
      </c>
      <c r="B887" s="59" t="str">
        <f t="shared" si="53"/>
        <v/>
      </c>
      <c r="C887" s="59" t="str">
        <f t="shared" si="54"/>
        <v/>
      </c>
      <c r="D887" s="109" t="str">
        <f t="shared" si="55"/>
        <v/>
      </c>
      <c r="E887" s="106" t="s">
        <v>904</v>
      </c>
      <c r="F887" s="58" t="s">
        <v>2351</v>
      </c>
      <c r="G887" s="106">
        <v>12</v>
      </c>
      <c r="H887" s="107"/>
      <c r="I887" s="107"/>
      <c r="J887" s="107"/>
      <c r="K887" s="107"/>
      <c r="L887" s="107"/>
      <c r="M887" s="107"/>
      <c r="N887" s="107"/>
      <c r="O887" s="107"/>
      <c r="P887" s="107"/>
    </row>
    <row r="888" spans="1:16" x14ac:dyDescent="0.3">
      <c r="A888" s="58" t="str">
        <f t="shared" si="56"/>
        <v>A039440</v>
      </c>
      <c r="B888" s="59" t="str">
        <f t="shared" si="53"/>
        <v/>
      </c>
      <c r="C888" s="59" t="str">
        <f t="shared" si="54"/>
        <v/>
      </c>
      <c r="D888" s="109" t="str">
        <f t="shared" si="55"/>
        <v/>
      </c>
      <c r="E888" s="106" t="s">
        <v>905</v>
      </c>
      <c r="F888" s="58" t="s">
        <v>2352</v>
      </c>
      <c r="G888" s="106">
        <v>12</v>
      </c>
      <c r="H888" s="107"/>
      <c r="I888" s="107"/>
      <c r="J888" s="107"/>
      <c r="K888" s="107"/>
      <c r="L888" s="107"/>
      <c r="M888" s="107"/>
      <c r="N888" s="107"/>
      <c r="O888" s="107"/>
      <c r="P888" s="107"/>
    </row>
    <row r="889" spans="1:16" x14ac:dyDescent="0.3">
      <c r="A889" s="58" t="str">
        <f t="shared" si="56"/>
        <v>A039490</v>
      </c>
      <c r="B889" s="59" t="str">
        <f t="shared" si="53"/>
        <v/>
      </c>
      <c r="C889" s="59" t="str">
        <f t="shared" si="54"/>
        <v/>
      </c>
      <c r="D889" s="109" t="str">
        <f t="shared" si="55"/>
        <v/>
      </c>
      <c r="E889" s="106" t="s">
        <v>906</v>
      </c>
      <c r="F889" s="58" t="s">
        <v>7</v>
      </c>
      <c r="G889" s="106">
        <v>3</v>
      </c>
      <c r="H889" s="107"/>
      <c r="I889" s="107"/>
      <c r="J889" s="107"/>
      <c r="K889" s="107"/>
      <c r="L889" s="107"/>
      <c r="M889" s="107"/>
      <c r="N889" s="107"/>
      <c r="O889" s="107"/>
      <c r="P889" s="107"/>
    </row>
    <row r="890" spans="1:16" x14ac:dyDescent="0.3">
      <c r="A890" s="58" t="str">
        <f t="shared" si="56"/>
        <v>A039530</v>
      </c>
      <c r="B890" s="59" t="str">
        <f t="shared" si="53"/>
        <v/>
      </c>
      <c r="C890" s="59" t="str">
        <f t="shared" si="54"/>
        <v/>
      </c>
      <c r="D890" s="109" t="str">
        <f t="shared" si="55"/>
        <v/>
      </c>
      <c r="E890" s="106" t="s">
        <v>907</v>
      </c>
      <c r="F890" s="58" t="s">
        <v>2353</v>
      </c>
      <c r="G890" s="106">
        <v>12</v>
      </c>
      <c r="H890" s="107"/>
      <c r="I890" s="107"/>
      <c r="J890" s="107"/>
      <c r="K890" s="107"/>
      <c r="L890" s="107"/>
      <c r="M890" s="107"/>
      <c r="N890" s="107"/>
      <c r="O890" s="107"/>
      <c r="P890" s="107"/>
    </row>
    <row r="891" spans="1:16" x14ac:dyDescent="0.3">
      <c r="A891" s="58" t="str">
        <f t="shared" si="56"/>
        <v>A039560</v>
      </c>
      <c r="B891" s="59" t="str">
        <f t="shared" si="53"/>
        <v/>
      </c>
      <c r="C891" s="59" t="str">
        <f t="shared" si="54"/>
        <v/>
      </c>
      <c r="D891" s="109" t="str">
        <f t="shared" si="55"/>
        <v/>
      </c>
      <c r="E891" s="106" t="s">
        <v>908</v>
      </c>
      <c r="F891" s="58" t="s">
        <v>2354</v>
      </c>
      <c r="G891" s="106">
        <v>12</v>
      </c>
      <c r="H891" s="107"/>
      <c r="I891" s="107"/>
      <c r="J891" s="107"/>
      <c r="K891" s="107"/>
      <c r="L891" s="107"/>
      <c r="M891" s="107"/>
      <c r="N891" s="107"/>
      <c r="O891" s="107"/>
      <c r="P891" s="107"/>
    </row>
    <row r="892" spans="1:16" x14ac:dyDescent="0.3">
      <c r="A892" s="58" t="str">
        <f t="shared" si="56"/>
        <v>A039610</v>
      </c>
      <c r="B892" s="59" t="str">
        <f t="shared" si="53"/>
        <v/>
      </c>
      <c r="C892" s="59" t="str">
        <f t="shared" si="54"/>
        <v/>
      </c>
      <c r="D892" s="109" t="str">
        <f t="shared" si="55"/>
        <v/>
      </c>
      <c r="E892" s="106" t="s">
        <v>909</v>
      </c>
      <c r="F892" s="58" t="s">
        <v>2355</v>
      </c>
      <c r="G892" s="106">
        <v>3</v>
      </c>
      <c r="H892" s="107"/>
      <c r="I892" s="107"/>
      <c r="J892" s="107"/>
      <c r="K892" s="107"/>
      <c r="L892" s="107"/>
      <c r="M892" s="107"/>
      <c r="N892" s="107"/>
      <c r="O892" s="107"/>
      <c r="P892" s="107"/>
    </row>
    <row r="893" spans="1:16" x14ac:dyDescent="0.3">
      <c r="A893" s="58" t="str">
        <f t="shared" si="56"/>
        <v>A039670</v>
      </c>
      <c r="B893" s="59" t="str">
        <f t="shared" si="53"/>
        <v/>
      </c>
      <c r="C893" s="59" t="str">
        <f t="shared" si="54"/>
        <v/>
      </c>
      <c r="D893" s="109" t="str">
        <f t="shared" si="55"/>
        <v/>
      </c>
      <c r="E893" s="106" t="s">
        <v>910</v>
      </c>
      <c r="F893" s="58" t="s">
        <v>2356</v>
      </c>
      <c r="G893" s="106">
        <v>12</v>
      </c>
      <c r="H893" s="107"/>
      <c r="I893" s="107"/>
      <c r="J893" s="107"/>
      <c r="K893" s="107"/>
      <c r="L893" s="107"/>
      <c r="M893" s="107"/>
      <c r="N893" s="107"/>
      <c r="O893" s="107"/>
      <c r="P893" s="107"/>
    </row>
    <row r="894" spans="1:16" x14ac:dyDescent="0.3">
      <c r="A894" s="58" t="str">
        <f t="shared" si="56"/>
        <v>A039740</v>
      </c>
      <c r="B894" s="59" t="str">
        <f t="shared" si="53"/>
        <v/>
      </c>
      <c r="C894" s="59" t="str">
        <f t="shared" si="54"/>
        <v/>
      </c>
      <c r="D894" s="109" t="str">
        <f t="shared" si="55"/>
        <v/>
      </c>
      <c r="E894" s="106" t="s">
        <v>911</v>
      </c>
      <c r="F894" s="58" t="s">
        <v>2357</v>
      </c>
      <c r="G894" s="106">
        <v>12</v>
      </c>
      <c r="H894" s="107"/>
      <c r="I894" s="107"/>
      <c r="J894" s="107"/>
      <c r="K894" s="107"/>
      <c r="L894" s="107"/>
      <c r="M894" s="107"/>
      <c r="N894" s="107"/>
      <c r="O894" s="107"/>
      <c r="P894" s="107"/>
    </row>
    <row r="895" spans="1:16" x14ac:dyDescent="0.3">
      <c r="A895" s="58" t="str">
        <f t="shared" si="56"/>
        <v>A039790</v>
      </c>
      <c r="B895" s="59" t="str">
        <f t="shared" si="53"/>
        <v/>
      </c>
      <c r="C895" s="59" t="str">
        <f t="shared" si="54"/>
        <v/>
      </c>
      <c r="D895" s="109" t="str">
        <f t="shared" si="55"/>
        <v/>
      </c>
      <c r="E895" s="106" t="s">
        <v>912</v>
      </c>
      <c r="F895" s="58" t="s">
        <v>2358</v>
      </c>
      <c r="G895" s="106">
        <v>12</v>
      </c>
      <c r="H895" s="107"/>
      <c r="I895" s="107"/>
      <c r="J895" s="107"/>
      <c r="K895" s="107"/>
      <c r="L895" s="107"/>
      <c r="M895" s="107"/>
      <c r="N895" s="107"/>
      <c r="O895" s="107"/>
      <c r="P895" s="107"/>
    </row>
    <row r="896" spans="1:16" x14ac:dyDescent="0.3">
      <c r="A896" s="58" t="str">
        <f t="shared" si="56"/>
        <v>A039830</v>
      </c>
      <c r="B896" s="59" t="str">
        <f t="shared" si="53"/>
        <v/>
      </c>
      <c r="C896" s="59" t="str">
        <f t="shared" si="54"/>
        <v/>
      </c>
      <c r="D896" s="109" t="str">
        <f t="shared" si="55"/>
        <v/>
      </c>
      <c r="E896" s="106" t="s">
        <v>913</v>
      </c>
      <c r="F896" s="58" t="s">
        <v>2359</v>
      </c>
      <c r="G896" s="106">
        <v>12</v>
      </c>
      <c r="H896" s="107"/>
      <c r="I896" s="107"/>
      <c r="J896" s="107"/>
      <c r="K896" s="107"/>
      <c r="L896" s="107"/>
      <c r="M896" s="107"/>
      <c r="N896" s="107"/>
      <c r="O896" s="107"/>
      <c r="P896" s="107"/>
    </row>
    <row r="897" spans="1:16" x14ac:dyDescent="0.3">
      <c r="A897" s="58" t="str">
        <f t="shared" si="56"/>
        <v>A039840</v>
      </c>
      <c r="B897" s="59" t="str">
        <f t="shared" si="53"/>
        <v/>
      </c>
      <c r="C897" s="59" t="str">
        <f t="shared" si="54"/>
        <v/>
      </c>
      <c r="D897" s="109" t="str">
        <f t="shared" si="55"/>
        <v/>
      </c>
      <c r="E897" s="106" t="s">
        <v>914</v>
      </c>
      <c r="F897" s="58" t="s">
        <v>2360</v>
      </c>
      <c r="G897" s="106">
        <v>12</v>
      </c>
      <c r="H897" s="107"/>
      <c r="I897" s="107"/>
      <c r="J897" s="107"/>
      <c r="K897" s="107"/>
      <c r="L897" s="107"/>
      <c r="M897" s="107"/>
      <c r="N897" s="107"/>
      <c r="O897" s="107"/>
      <c r="P897" s="107"/>
    </row>
    <row r="898" spans="1:16" x14ac:dyDescent="0.3">
      <c r="A898" s="58" t="str">
        <f t="shared" si="56"/>
        <v>A039850</v>
      </c>
      <c r="B898" s="59" t="str">
        <f t="shared" si="53"/>
        <v/>
      </c>
      <c r="C898" s="59" t="str">
        <f t="shared" si="54"/>
        <v/>
      </c>
      <c r="D898" s="109" t="str">
        <f t="shared" si="55"/>
        <v/>
      </c>
      <c r="E898" s="106" t="s">
        <v>915</v>
      </c>
      <c r="F898" s="58" t="s">
        <v>2361</v>
      </c>
      <c r="G898" s="106">
        <v>12</v>
      </c>
      <c r="H898" s="107"/>
      <c r="I898" s="107"/>
      <c r="J898" s="107"/>
      <c r="K898" s="107"/>
      <c r="L898" s="107"/>
      <c r="M898" s="107"/>
      <c r="N898" s="107"/>
      <c r="O898" s="107"/>
      <c r="P898" s="107"/>
    </row>
    <row r="899" spans="1:16" x14ac:dyDescent="0.3">
      <c r="A899" s="58" t="str">
        <f t="shared" si="56"/>
        <v>A039860</v>
      </c>
      <c r="B899" s="59" t="str">
        <f t="shared" si="53"/>
        <v/>
      </c>
      <c r="C899" s="59" t="str">
        <f t="shared" si="54"/>
        <v/>
      </c>
      <c r="D899" s="109" t="str">
        <f t="shared" si="55"/>
        <v/>
      </c>
      <c r="E899" s="106" t="s">
        <v>916</v>
      </c>
      <c r="F899" s="58" t="s">
        <v>2362</v>
      </c>
      <c r="G899" s="106">
        <v>12</v>
      </c>
      <c r="H899" s="107"/>
      <c r="I899" s="107"/>
      <c r="J899" s="107"/>
      <c r="K899" s="107"/>
      <c r="L899" s="107"/>
      <c r="M899" s="107"/>
      <c r="N899" s="107"/>
      <c r="O899" s="107"/>
      <c r="P899" s="107"/>
    </row>
    <row r="900" spans="1:16" x14ac:dyDescent="0.3">
      <c r="A900" s="58" t="str">
        <f t="shared" si="56"/>
        <v>A039980</v>
      </c>
      <c r="B900" s="59" t="str">
        <f t="shared" si="53"/>
        <v/>
      </c>
      <c r="C900" s="59" t="str">
        <f t="shared" si="54"/>
        <v/>
      </c>
      <c r="D900" s="109" t="str">
        <f t="shared" si="55"/>
        <v/>
      </c>
      <c r="E900" s="106" t="s">
        <v>917</v>
      </c>
      <c r="F900" s="58" t="s">
        <v>2363</v>
      </c>
      <c r="G900" s="106">
        <v>12</v>
      </c>
      <c r="H900" s="107"/>
      <c r="I900" s="107"/>
      <c r="J900" s="107"/>
      <c r="K900" s="107"/>
      <c r="L900" s="107"/>
      <c r="M900" s="107"/>
      <c r="N900" s="107"/>
      <c r="O900" s="107"/>
      <c r="P900" s="107"/>
    </row>
    <row r="901" spans="1:16" x14ac:dyDescent="0.3">
      <c r="A901" s="58" t="str">
        <f t="shared" si="56"/>
        <v>A040160</v>
      </c>
      <c r="B901" s="59" t="str">
        <f t="shared" si="53"/>
        <v/>
      </c>
      <c r="C901" s="59" t="str">
        <f t="shared" si="54"/>
        <v/>
      </c>
      <c r="D901" s="109" t="str">
        <f t="shared" si="55"/>
        <v/>
      </c>
      <c r="E901" s="106" t="s">
        <v>918</v>
      </c>
      <c r="F901" s="58" t="s">
        <v>2364</v>
      </c>
      <c r="G901" s="106">
        <v>12</v>
      </c>
      <c r="H901" s="107"/>
      <c r="I901" s="107"/>
      <c r="J901" s="107"/>
      <c r="K901" s="107"/>
      <c r="L901" s="107"/>
      <c r="M901" s="107"/>
      <c r="N901" s="107"/>
      <c r="O901" s="107"/>
      <c r="P901" s="107"/>
    </row>
    <row r="902" spans="1:16" x14ac:dyDescent="0.3">
      <c r="A902" s="58" t="str">
        <f t="shared" si="56"/>
        <v>A040300</v>
      </c>
      <c r="B902" s="59">
        <f t="shared" si="53"/>
        <v>41481</v>
      </c>
      <c r="C902" s="59">
        <f t="shared" si="54"/>
        <v>41481</v>
      </c>
      <c r="D902" s="109">
        <f t="shared" si="55"/>
        <v>3.58</v>
      </c>
      <c r="E902" s="106" t="s">
        <v>919</v>
      </c>
      <c r="F902" s="58" t="s">
        <v>2365</v>
      </c>
      <c r="G902" s="106">
        <v>12</v>
      </c>
      <c r="H902" s="107">
        <v>20130726</v>
      </c>
      <c r="I902" s="107">
        <v>20130726</v>
      </c>
      <c r="J902" s="107">
        <v>3.58</v>
      </c>
      <c r="K902" s="107"/>
      <c r="L902" s="107"/>
      <c r="M902" s="107"/>
      <c r="N902" s="107"/>
      <c r="O902" s="107"/>
      <c r="P902" s="107"/>
    </row>
    <row r="903" spans="1:16" x14ac:dyDescent="0.3">
      <c r="A903" s="58" t="str">
        <f t="shared" si="56"/>
        <v>A040350</v>
      </c>
      <c r="B903" s="59" t="str">
        <f t="shared" si="53"/>
        <v/>
      </c>
      <c r="C903" s="59" t="str">
        <f t="shared" si="54"/>
        <v/>
      </c>
      <c r="D903" s="109" t="str">
        <f t="shared" si="55"/>
        <v/>
      </c>
      <c r="E903" s="106" t="s">
        <v>920</v>
      </c>
      <c r="F903" s="58" t="s">
        <v>2366</v>
      </c>
      <c r="G903" s="106">
        <v>12</v>
      </c>
      <c r="H903" s="107"/>
      <c r="I903" s="107"/>
      <c r="J903" s="107"/>
      <c r="K903" s="107"/>
      <c r="L903" s="107"/>
      <c r="M903" s="107"/>
      <c r="N903" s="107"/>
      <c r="O903" s="107"/>
      <c r="P903" s="107"/>
    </row>
    <row r="904" spans="1:16" x14ac:dyDescent="0.3">
      <c r="A904" s="58" t="str">
        <f t="shared" si="56"/>
        <v>A040420</v>
      </c>
      <c r="B904" s="59" t="str">
        <f t="shared" si="53"/>
        <v/>
      </c>
      <c r="C904" s="59" t="str">
        <f t="shared" si="54"/>
        <v/>
      </c>
      <c r="D904" s="109" t="str">
        <f t="shared" si="55"/>
        <v/>
      </c>
      <c r="E904" s="106" t="s">
        <v>921</v>
      </c>
      <c r="F904" s="58" t="s">
        <v>2367</v>
      </c>
      <c r="G904" s="106">
        <v>12</v>
      </c>
      <c r="H904" s="107"/>
      <c r="I904" s="107"/>
      <c r="J904" s="107"/>
      <c r="K904" s="107"/>
      <c r="L904" s="107"/>
      <c r="M904" s="107"/>
      <c r="N904" s="107"/>
      <c r="O904" s="107"/>
      <c r="P904" s="107"/>
    </row>
    <row r="905" spans="1:16" x14ac:dyDescent="0.3">
      <c r="A905" s="58" t="str">
        <f t="shared" si="56"/>
        <v>A040610</v>
      </c>
      <c r="B905" s="59" t="str">
        <f t="shared" si="53"/>
        <v/>
      </c>
      <c r="C905" s="59" t="str">
        <f t="shared" si="54"/>
        <v/>
      </c>
      <c r="D905" s="109" t="str">
        <f t="shared" si="55"/>
        <v/>
      </c>
      <c r="E905" s="106" t="s">
        <v>922</v>
      </c>
      <c r="F905" s="58" t="s">
        <v>2368</v>
      </c>
      <c r="G905" s="106">
        <v>12</v>
      </c>
      <c r="H905" s="107"/>
      <c r="I905" s="107"/>
      <c r="J905" s="107"/>
      <c r="K905" s="107"/>
      <c r="L905" s="107"/>
      <c r="M905" s="107"/>
      <c r="N905" s="107"/>
      <c r="O905" s="107"/>
      <c r="P905" s="107"/>
    </row>
    <row r="906" spans="1:16" x14ac:dyDescent="0.3">
      <c r="A906" s="58" t="str">
        <f t="shared" si="56"/>
        <v>A040670</v>
      </c>
      <c r="B906" s="59" t="str">
        <f t="shared" si="53"/>
        <v/>
      </c>
      <c r="C906" s="59" t="str">
        <f t="shared" si="54"/>
        <v/>
      </c>
      <c r="D906" s="109" t="str">
        <f t="shared" si="55"/>
        <v/>
      </c>
      <c r="E906" s="106" t="s">
        <v>923</v>
      </c>
      <c r="F906" s="58" t="s">
        <v>2369</v>
      </c>
      <c r="G906" s="106">
        <v>12</v>
      </c>
      <c r="H906" s="107"/>
      <c r="I906" s="107"/>
      <c r="J906" s="107"/>
      <c r="K906" s="107"/>
      <c r="L906" s="107"/>
      <c r="M906" s="107"/>
      <c r="N906" s="107"/>
      <c r="O906" s="107"/>
      <c r="P906" s="107"/>
    </row>
    <row r="907" spans="1:16" x14ac:dyDescent="0.3">
      <c r="A907" s="58" t="str">
        <f t="shared" si="56"/>
        <v>A040910</v>
      </c>
      <c r="B907" s="59" t="str">
        <f t="shared" si="53"/>
        <v/>
      </c>
      <c r="C907" s="59" t="str">
        <f t="shared" si="54"/>
        <v/>
      </c>
      <c r="D907" s="109" t="str">
        <f t="shared" si="55"/>
        <v/>
      </c>
      <c r="E907" s="106" t="s">
        <v>3146</v>
      </c>
      <c r="F907" s="58" t="s">
        <v>3349</v>
      </c>
      <c r="G907" s="106">
        <v>9</v>
      </c>
      <c r="H907" s="107"/>
      <c r="I907" s="107"/>
      <c r="J907" s="107"/>
      <c r="K907" s="107"/>
      <c r="L907" s="107"/>
      <c r="M907" s="107"/>
      <c r="N907" s="107"/>
      <c r="O907" s="107"/>
      <c r="P907" s="107"/>
    </row>
    <row r="908" spans="1:16" x14ac:dyDescent="0.3">
      <c r="A908" s="58" t="str">
        <f t="shared" si="56"/>
        <v>A041020</v>
      </c>
      <c r="B908" s="59" t="str">
        <f t="shared" si="53"/>
        <v/>
      </c>
      <c r="C908" s="59" t="str">
        <f t="shared" si="54"/>
        <v/>
      </c>
      <c r="D908" s="109" t="str">
        <f t="shared" si="55"/>
        <v/>
      </c>
      <c r="E908" s="106" t="s">
        <v>924</v>
      </c>
      <c r="F908" s="58" t="s">
        <v>2370</v>
      </c>
      <c r="G908" s="106">
        <v>12</v>
      </c>
      <c r="H908" s="107"/>
      <c r="I908" s="107"/>
      <c r="J908" s="107"/>
      <c r="K908" s="107"/>
      <c r="L908" s="107"/>
      <c r="M908" s="107"/>
      <c r="N908" s="107"/>
      <c r="O908" s="107"/>
      <c r="P908" s="107"/>
    </row>
    <row r="909" spans="1:16" x14ac:dyDescent="0.3">
      <c r="A909" s="58" t="str">
        <f t="shared" si="56"/>
        <v>A041060</v>
      </c>
      <c r="B909" s="59" t="str">
        <f t="shared" si="53"/>
        <v/>
      </c>
      <c r="C909" s="59" t="str">
        <f t="shared" si="54"/>
        <v/>
      </c>
      <c r="D909" s="109" t="str">
        <f t="shared" si="55"/>
        <v/>
      </c>
      <c r="E909" s="106" t="s">
        <v>925</v>
      </c>
      <c r="F909" s="58" t="s">
        <v>3643</v>
      </c>
      <c r="G909" s="106">
        <v>12</v>
      </c>
      <c r="H909" s="107"/>
      <c r="I909" s="107"/>
      <c r="J909" s="107"/>
      <c r="K909" s="107"/>
      <c r="L909" s="107"/>
      <c r="M909" s="107"/>
      <c r="N909" s="107"/>
      <c r="O909" s="107"/>
      <c r="P909" s="107"/>
    </row>
    <row r="910" spans="1:16" x14ac:dyDescent="0.3">
      <c r="A910" s="58" t="str">
        <f t="shared" si="56"/>
        <v>A041140</v>
      </c>
      <c r="B910" s="59" t="str">
        <f t="shared" si="53"/>
        <v/>
      </c>
      <c r="C910" s="59" t="str">
        <f t="shared" si="54"/>
        <v/>
      </c>
      <c r="D910" s="109" t="str">
        <f t="shared" si="55"/>
        <v/>
      </c>
      <c r="E910" s="106" t="s">
        <v>926</v>
      </c>
      <c r="F910" s="58" t="s">
        <v>2371</v>
      </c>
      <c r="G910" s="106">
        <v>12</v>
      </c>
      <c r="H910" s="107"/>
      <c r="I910" s="107"/>
      <c r="J910" s="107"/>
      <c r="K910" s="107"/>
      <c r="L910" s="107"/>
      <c r="M910" s="107"/>
      <c r="N910" s="107"/>
      <c r="O910" s="107"/>
      <c r="P910" s="107"/>
    </row>
    <row r="911" spans="1:16" x14ac:dyDescent="0.3">
      <c r="A911" s="58" t="str">
        <f t="shared" si="56"/>
        <v>A041190</v>
      </c>
      <c r="B911" s="59" t="str">
        <f t="shared" ref="B911:B974" si="57">IFERROR(IF(ISNUMBER(H911),DATE(LEFT(H911,4),MID(H911,5,2),RIGHT(H911,2)),NA()),"")</f>
        <v/>
      </c>
      <c r="C911" s="59" t="str">
        <f t="shared" ref="C911:C974" si="58">IFERROR(IF(ISNUMBER(I911),DATE(LEFT(I911,4),MID(I911,5,2),RIGHT(I911,2)),NA()),"")</f>
        <v/>
      </c>
      <c r="D911" s="109" t="str">
        <f t="shared" ref="D911:D974" si="59">IFERROR(IF(ISNUMBER(J911),J911,NA()),"")</f>
        <v/>
      </c>
      <c r="E911" s="106" t="s">
        <v>927</v>
      </c>
      <c r="F911" s="58" t="s">
        <v>2372</v>
      </c>
      <c r="G911" s="106">
        <v>12</v>
      </c>
      <c r="H911" s="107"/>
      <c r="I911" s="107"/>
      <c r="J911" s="107"/>
      <c r="K911" s="107"/>
      <c r="L911" s="107"/>
      <c r="M911" s="107"/>
      <c r="N911" s="107"/>
      <c r="O911" s="107"/>
      <c r="P911" s="107"/>
    </row>
    <row r="912" spans="1:16" x14ac:dyDescent="0.3">
      <c r="A912" s="58" t="str">
        <f t="shared" si="56"/>
        <v>A041440</v>
      </c>
      <c r="B912" s="59" t="str">
        <f t="shared" si="57"/>
        <v/>
      </c>
      <c r="C912" s="59" t="str">
        <f t="shared" si="58"/>
        <v/>
      </c>
      <c r="D912" s="109" t="str">
        <f t="shared" si="59"/>
        <v/>
      </c>
      <c r="E912" s="106" t="s">
        <v>928</v>
      </c>
      <c r="F912" s="58" t="s">
        <v>2373</v>
      </c>
      <c r="G912" s="106">
        <v>12</v>
      </c>
      <c r="H912" s="107"/>
      <c r="I912" s="107"/>
      <c r="J912" s="107"/>
      <c r="K912" s="107"/>
      <c r="L912" s="107"/>
      <c r="M912" s="107"/>
      <c r="N912" s="107"/>
      <c r="O912" s="107"/>
      <c r="P912" s="107"/>
    </row>
    <row r="913" spans="1:16" x14ac:dyDescent="0.3">
      <c r="A913" s="58" t="str">
        <f t="shared" si="56"/>
        <v>A041460</v>
      </c>
      <c r="B913" s="59" t="str">
        <f t="shared" si="57"/>
        <v/>
      </c>
      <c r="C913" s="59" t="str">
        <f t="shared" si="58"/>
        <v/>
      </c>
      <c r="D913" s="109" t="str">
        <f t="shared" si="59"/>
        <v/>
      </c>
      <c r="E913" s="106" t="s">
        <v>3147</v>
      </c>
      <c r="F913" s="58" t="s">
        <v>3350</v>
      </c>
      <c r="G913" s="106">
        <v>12</v>
      </c>
      <c r="H913" s="107"/>
      <c r="I913" s="107"/>
      <c r="J913" s="107"/>
      <c r="K913" s="107"/>
      <c r="L913" s="107"/>
      <c r="M913" s="107"/>
      <c r="N913" s="107"/>
      <c r="O913" s="107"/>
      <c r="P913" s="107"/>
    </row>
    <row r="914" spans="1:16" x14ac:dyDescent="0.3">
      <c r="A914" s="58" t="str">
        <f t="shared" si="56"/>
        <v>A041510</v>
      </c>
      <c r="B914" s="59" t="str">
        <f t="shared" si="57"/>
        <v/>
      </c>
      <c r="C914" s="59" t="str">
        <f t="shared" si="58"/>
        <v/>
      </c>
      <c r="D914" s="109" t="str">
        <f t="shared" si="59"/>
        <v/>
      </c>
      <c r="E914" s="106" t="s">
        <v>929</v>
      </c>
      <c r="F914" s="58" t="s">
        <v>2374</v>
      </c>
      <c r="G914" s="106">
        <v>12</v>
      </c>
      <c r="H914" s="107"/>
      <c r="I914" s="107"/>
      <c r="J914" s="107"/>
      <c r="K914" s="107"/>
      <c r="L914" s="107"/>
      <c r="M914" s="107"/>
      <c r="N914" s="107"/>
      <c r="O914" s="107"/>
      <c r="P914" s="107"/>
    </row>
    <row r="915" spans="1:16" x14ac:dyDescent="0.3">
      <c r="A915" s="58" t="str">
        <f t="shared" si="56"/>
        <v>A041520</v>
      </c>
      <c r="B915" s="59" t="str">
        <f t="shared" si="57"/>
        <v/>
      </c>
      <c r="C915" s="59" t="str">
        <f t="shared" si="58"/>
        <v/>
      </c>
      <c r="D915" s="109" t="str">
        <f t="shared" si="59"/>
        <v/>
      </c>
      <c r="E915" s="106" t="s">
        <v>930</v>
      </c>
      <c r="F915" s="58" t="s">
        <v>2375</v>
      </c>
      <c r="G915" s="106">
        <v>12</v>
      </c>
      <c r="H915" s="107"/>
      <c r="I915" s="107"/>
      <c r="J915" s="107"/>
      <c r="K915" s="107"/>
      <c r="L915" s="107"/>
      <c r="M915" s="107"/>
      <c r="N915" s="107"/>
      <c r="O915" s="107"/>
      <c r="P915" s="107"/>
    </row>
    <row r="916" spans="1:16" x14ac:dyDescent="0.3">
      <c r="A916" s="58" t="str">
        <f t="shared" si="56"/>
        <v>A041590</v>
      </c>
      <c r="B916" s="59" t="str">
        <f t="shared" si="57"/>
        <v/>
      </c>
      <c r="C916" s="59" t="str">
        <f t="shared" si="58"/>
        <v/>
      </c>
      <c r="D916" s="109" t="str">
        <f t="shared" si="59"/>
        <v/>
      </c>
      <c r="E916" s="106" t="s">
        <v>931</v>
      </c>
      <c r="F916" s="58" t="s">
        <v>3664</v>
      </c>
      <c r="G916" s="106">
        <v>12</v>
      </c>
      <c r="H916" s="107"/>
      <c r="I916" s="107"/>
      <c r="J916" s="107"/>
      <c r="K916" s="107"/>
      <c r="L916" s="107"/>
      <c r="M916" s="107"/>
      <c r="N916" s="107"/>
      <c r="O916" s="107"/>
      <c r="P916" s="107"/>
    </row>
    <row r="917" spans="1:16" x14ac:dyDescent="0.3">
      <c r="A917" s="58" t="str">
        <f t="shared" si="56"/>
        <v>A041650</v>
      </c>
      <c r="B917" s="59" t="str">
        <f t="shared" si="57"/>
        <v/>
      </c>
      <c r="C917" s="59" t="str">
        <f t="shared" si="58"/>
        <v/>
      </c>
      <c r="D917" s="109" t="str">
        <f t="shared" si="59"/>
        <v/>
      </c>
      <c r="E917" s="106" t="s">
        <v>932</v>
      </c>
      <c r="F917" s="58" t="s">
        <v>2376</v>
      </c>
      <c r="G917" s="106">
        <v>12</v>
      </c>
      <c r="H917" s="107"/>
      <c r="I917" s="107"/>
      <c r="J917" s="107"/>
      <c r="K917" s="107"/>
      <c r="L917" s="107"/>
      <c r="M917" s="107"/>
      <c r="N917" s="107"/>
      <c r="O917" s="107"/>
      <c r="P917" s="107"/>
    </row>
    <row r="918" spans="1:16" x14ac:dyDescent="0.3">
      <c r="A918" s="58" t="str">
        <f t="shared" ref="A918:A981" si="60">E918</f>
        <v>A041830</v>
      </c>
      <c r="B918" s="59" t="str">
        <f t="shared" si="57"/>
        <v/>
      </c>
      <c r="C918" s="59" t="str">
        <f t="shared" si="58"/>
        <v/>
      </c>
      <c r="D918" s="109" t="str">
        <f t="shared" si="59"/>
        <v/>
      </c>
      <c r="E918" s="106" t="s">
        <v>933</v>
      </c>
      <c r="F918" s="58" t="s">
        <v>2377</v>
      </c>
      <c r="G918" s="106">
        <v>12</v>
      </c>
      <c r="H918" s="107"/>
      <c r="I918" s="107"/>
      <c r="J918" s="107"/>
      <c r="K918" s="107"/>
      <c r="L918" s="107"/>
      <c r="M918" s="107"/>
      <c r="N918" s="107"/>
      <c r="O918" s="107"/>
      <c r="P918" s="107"/>
    </row>
    <row r="919" spans="1:16" x14ac:dyDescent="0.3">
      <c r="A919" s="58" t="str">
        <f t="shared" si="60"/>
        <v>A041910</v>
      </c>
      <c r="B919" s="59" t="str">
        <f t="shared" si="57"/>
        <v/>
      </c>
      <c r="C919" s="59" t="str">
        <f t="shared" si="58"/>
        <v/>
      </c>
      <c r="D919" s="109" t="str">
        <f t="shared" si="59"/>
        <v/>
      </c>
      <c r="E919" s="106" t="s">
        <v>934</v>
      </c>
      <c r="F919" s="58" t="s">
        <v>2378</v>
      </c>
      <c r="G919" s="106">
        <v>12</v>
      </c>
      <c r="H919" s="107"/>
      <c r="I919" s="107"/>
      <c r="J919" s="107"/>
      <c r="K919" s="107"/>
      <c r="L919" s="107"/>
      <c r="M919" s="107"/>
      <c r="N919" s="107"/>
      <c r="O919" s="107"/>
      <c r="P919" s="107"/>
    </row>
    <row r="920" spans="1:16" x14ac:dyDescent="0.3">
      <c r="A920" s="58" t="str">
        <f t="shared" si="60"/>
        <v>A041930</v>
      </c>
      <c r="B920" s="59" t="str">
        <f t="shared" si="57"/>
        <v/>
      </c>
      <c r="C920" s="59" t="str">
        <f t="shared" si="58"/>
        <v/>
      </c>
      <c r="D920" s="109" t="str">
        <f t="shared" si="59"/>
        <v/>
      </c>
      <c r="E920" s="106" t="s">
        <v>935</v>
      </c>
      <c r="F920" s="58" t="s">
        <v>2379</v>
      </c>
      <c r="G920" s="106">
        <v>12</v>
      </c>
      <c r="H920" s="107"/>
      <c r="I920" s="107"/>
      <c r="J920" s="107"/>
      <c r="K920" s="107"/>
      <c r="L920" s="107"/>
      <c r="M920" s="107"/>
      <c r="N920" s="107"/>
      <c r="O920" s="107"/>
      <c r="P920" s="107"/>
    </row>
    <row r="921" spans="1:16" x14ac:dyDescent="0.3">
      <c r="A921" s="58" t="str">
        <f t="shared" si="60"/>
        <v>A041960</v>
      </c>
      <c r="B921" s="59" t="str">
        <f t="shared" si="57"/>
        <v/>
      </c>
      <c r="C921" s="59" t="str">
        <f t="shared" si="58"/>
        <v/>
      </c>
      <c r="D921" s="109" t="str">
        <f t="shared" si="59"/>
        <v/>
      </c>
      <c r="E921" s="106" t="s">
        <v>936</v>
      </c>
      <c r="F921" s="58" t="s">
        <v>2380</v>
      </c>
      <c r="G921" s="106">
        <v>12</v>
      </c>
      <c r="H921" s="107"/>
      <c r="I921" s="107"/>
      <c r="J921" s="107"/>
      <c r="K921" s="107"/>
      <c r="L921" s="107"/>
      <c r="M921" s="107"/>
      <c r="N921" s="107"/>
      <c r="O921" s="107"/>
      <c r="P921" s="107"/>
    </row>
    <row r="922" spans="1:16" x14ac:dyDescent="0.3">
      <c r="A922" s="58" t="str">
        <f t="shared" si="60"/>
        <v>A042040</v>
      </c>
      <c r="B922" s="59" t="str">
        <f t="shared" si="57"/>
        <v/>
      </c>
      <c r="C922" s="59" t="str">
        <f t="shared" si="58"/>
        <v/>
      </c>
      <c r="D922" s="109" t="str">
        <f t="shared" si="59"/>
        <v/>
      </c>
      <c r="E922" s="106" t="s">
        <v>937</v>
      </c>
      <c r="F922" s="58" t="s">
        <v>2381</v>
      </c>
      <c r="G922" s="106">
        <v>12</v>
      </c>
      <c r="H922" s="107"/>
      <c r="I922" s="107"/>
      <c r="J922" s="107"/>
      <c r="K922" s="107"/>
      <c r="L922" s="107"/>
      <c r="M922" s="107"/>
      <c r="N922" s="107"/>
      <c r="O922" s="107"/>
      <c r="P922" s="107"/>
    </row>
    <row r="923" spans="1:16" x14ac:dyDescent="0.3">
      <c r="A923" s="58" t="str">
        <f t="shared" si="60"/>
        <v>A042110</v>
      </c>
      <c r="B923" s="59">
        <f t="shared" si="57"/>
        <v>41484</v>
      </c>
      <c r="C923" s="59">
        <f t="shared" si="58"/>
        <v>41484</v>
      </c>
      <c r="D923" s="109">
        <f t="shared" si="59"/>
        <v>2.06</v>
      </c>
      <c r="E923" s="106" t="s">
        <v>938</v>
      </c>
      <c r="F923" s="58" t="s">
        <v>2382</v>
      </c>
      <c r="G923" s="106">
        <v>12</v>
      </c>
      <c r="H923" s="107">
        <v>20130729</v>
      </c>
      <c r="I923" s="107">
        <v>20130729</v>
      </c>
      <c r="J923" s="107">
        <v>2.06</v>
      </c>
      <c r="K923" s="107"/>
      <c r="L923" s="107"/>
      <c r="M923" s="107"/>
      <c r="N923" s="107"/>
      <c r="O923" s="107"/>
      <c r="P923" s="107"/>
    </row>
    <row r="924" spans="1:16" x14ac:dyDescent="0.3">
      <c r="A924" s="58" t="str">
        <f t="shared" si="60"/>
        <v>A042370</v>
      </c>
      <c r="B924" s="59" t="str">
        <f t="shared" si="57"/>
        <v/>
      </c>
      <c r="C924" s="59" t="str">
        <f t="shared" si="58"/>
        <v/>
      </c>
      <c r="D924" s="109" t="str">
        <f t="shared" si="59"/>
        <v/>
      </c>
      <c r="E924" s="106" t="s">
        <v>939</v>
      </c>
      <c r="F924" s="58" t="s">
        <v>2383</v>
      </c>
      <c r="G924" s="106">
        <v>3</v>
      </c>
      <c r="H924" s="107"/>
      <c r="I924" s="107"/>
      <c r="J924" s="107"/>
      <c r="K924" s="107"/>
      <c r="L924" s="107"/>
      <c r="M924" s="107"/>
      <c r="N924" s="107"/>
      <c r="O924" s="107"/>
      <c r="P924" s="107"/>
    </row>
    <row r="925" spans="1:16" x14ac:dyDescent="0.3">
      <c r="A925" s="58" t="str">
        <f t="shared" si="60"/>
        <v>A042420</v>
      </c>
      <c r="B925" s="59" t="str">
        <f t="shared" si="57"/>
        <v/>
      </c>
      <c r="C925" s="59" t="str">
        <f t="shared" si="58"/>
        <v/>
      </c>
      <c r="D925" s="109" t="str">
        <f t="shared" si="59"/>
        <v/>
      </c>
      <c r="E925" s="106" t="s">
        <v>940</v>
      </c>
      <c r="F925" s="58" t="s">
        <v>3644</v>
      </c>
      <c r="G925" s="106">
        <v>12</v>
      </c>
      <c r="H925" s="107"/>
      <c r="I925" s="107"/>
      <c r="J925" s="107"/>
      <c r="K925" s="107"/>
      <c r="L925" s="107"/>
      <c r="M925" s="107"/>
      <c r="N925" s="107"/>
      <c r="O925" s="107"/>
      <c r="P925" s="107"/>
    </row>
    <row r="926" spans="1:16" x14ac:dyDescent="0.3">
      <c r="A926" s="58" t="str">
        <f t="shared" si="60"/>
        <v>A042500</v>
      </c>
      <c r="B926" s="59" t="str">
        <f t="shared" si="57"/>
        <v/>
      </c>
      <c r="C926" s="59" t="str">
        <f t="shared" si="58"/>
        <v/>
      </c>
      <c r="D926" s="109" t="str">
        <f t="shared" si="59"/>
        <v/>
      </c>
      <c r="E926" s="106" t="s">
        <v>941</v>
      </c>
      <c r="F926" s="58" t="s">
        <v>2384</v>
      </c>
      <c r="G926" s="106">
        <v>12</v>
      </c>
      <c r="H926" s="107"/>
      <c r="I926" s="107"/>
      <c r="J926" s="107"/>
      <c r="K926" s="107"/>
      <c r="L926" s="107"/>
      <c r="M926" s="107"/>
      <c r="N926" s="107"/>
      <c r="O926" s="107"/>
      <c r="P926" s="107"/>
    </row>
    <row r="927" spans="1:16" x14ac:dyDescent="0.3">
      <c r="A927" s="58" t="str">
        <f t="shared" si="60"/>
        <v>A042510</v>
      </c>
      <c r="B927" s="59" t="str">
        <f t="shared" si="57"/>
        <v/>
      </c>
      <c r="C927" s="59" t="str">
        <f t="shared" si="58"/>
        <v/>
      </c>
      <c r="D927" s="109" t="str">
        <f t="shared" si="59"/>
        <v/>
      </c>
      <c r="E927" s="106" t="s">
        <v>942</v>
      </c>
      <c r="F927" s="58" t="s">
        <v>2385</v>
      </c>
      <c r="G927" s="106">
        <v>12</v>
      </c>
      <c r="H927" s="107"/>
      <c r="I927" s="107"/>
      <c r="J927" s="107"/>
      <c r="K927" s="107"/>
      <c r="L927" s="107"/>
      <c r="M927" s="107"/>
      <c r="N927" s="107"/>
      <c r="O927" s="107"/>
      <c r="P927" s="107"/>
    </row>
    <row r="928" spans="1:16" x14ac:dyDescent="0.3">
      <c r="A928" s="58" t="str">
        <f t="shared" si="60"/>
        <v>A042520</v>
      </c>
      <c r="B928" s="59" t="str">
        <f t="shared" si="57"/>
        <v/>
      </c>
      <c r="C928" s="59" t="str">
        <f t="shared" si="58"/>
        <v/>
      </c>
      <c r="D928" s="109" t="str">
        <f t="shared" si="59"/>
        <v/>
      </c>
      <c r="E928" s="106" t="s">
        <v>943</v>
      </c>
      <c r="F928" s="58" t="s">
        <v>2386</v>
      </c>
      <c r="G928" s="106">
        <v>9</v>
      </c>
      <c r="H928" s="107"/>
      <c r="I928" s="107"/>
      <c r="J928" s="107"/>
      <c r="K928" s="107"/>
      <c r="L928" s="107"/>
      <c r="M928" s="107"/>
      <c r="N928" s="107"/>
      <c r="O928" s="107"/>
      <c r="P928" s="107"/>
    </row>
    <row r="929" spans="1:16" x14ac:dyDescent="0.3">
      <c r="A929" s="58" t="str">
        <f t="shared" si="60"/>
        <v>A042600</v>
      </c>
      <c r="B929" s="59" t="str">
        <f t="shared" si="57"/>
        <v/>
      </c>
      <c r="C929" s="59" t="str">
        <f t="shared" si="58"/>
        <v/>
      </c>
      <c r="D929" s="109" t="str">
        <f t="shared" si="59"/>
        <v/>
      </c>
      <c r="E929" s="106" t="s">
        <v>944</v>
      </c>
      <c r="F929" s="58" t="s">
        <v>2387</v>
      </c>
      <c r="G929" s="106">
        <v>12</v>
      </c>
      <c r="H929" s="107"/>
      <c r="I929" s="107"/>
      <c r="J929" s="107"/>
      <c r="K929" s="107"/>
      <c r="L929" s="107"/>
      <c r="M929" s="107"/>
      <c r="N929" s="107"/>
      <c r="O929" s="107"/>
      <c r="P929" s="107"/>
    </row>
    <row r="930" spans="1:16" x14ac:dyDescent="0.3">
      <c r="A930" s="58" t="str">
        <f t="shared" si="60"/>
        <v>A042660</v>
      </c>
      <c r="B930" s="59" t="str">
        <f t="shared" si="57"/>
        <v/>
      </c>
      <c r="C930" s="59" t="str">
        <f t="shared" si="58"/>
        <v/>
      </c>
      <c r="D930" s="109" t="str">
        <f t="shared" si="59"/>
        <v/>
      </c>
      <c r="E930" s="106" t="s">
        <v>945</v>
      </c>
      <c r="F930" s="58" t="s">
        <v>2388</v>
      </c>
      <c r="G930" s="106">
        <v>12</v>
      </c>
      <c r="H930" s="107"/>
      <c r="I930" s="107"/>
      <c r="J930" s="107"/>
      <c r="K930" s="107"/>
      <c r="L930" s="107"/>
      <c r="M930" s="107"/>
      <c r="N930" s="107"/>
      <c r="O930" s="107"/>
      <c r="P930" s="107"/>
    </row>
    <row r="931" spans="1:16" x14ac:dyDescent="0.3">
      <c r="A931" s="58" t="str">
        <f t="shared" si="60"/>
        <v>A042670</v>
      </c>
      <c r="B931" s="59">
        <f t="shared" si="57"/>
        <v>41479</v>
      </c>
      <c r="C931" s="59">
        <f t="shared" si="58"/>
        <v>41479</v>
      </c>
      <c r="D931" s="109">
        <f t="shared" si="59"/>
        <v>121.17</v>
      </c>
      <c r="E931" s="106" t="s">
        <v>946</v>
      </c>
      <c r="F931" s="58" t="s">
        <v>2389</v>
      </c>
      <c r="G931" s="106">
        <v>12</v>
      </c>
      <c r="H931" s="107">
        <v>20130724</v>
      </c>
      <c r="I931" s="107">
        <v>20130724</v>
      </c>
      <c r="J931" s="107">
        <v>121.17</v>
      </c>
      <c r="K931" s="107"/>
      <c r="L931" s="107"/>
      <c r="M931" s="107"/>
      <c r="N931" s="107"/>
      <c r="O931" s="107"/>
      <c r="P931" s="107"/>
    </row>
    <row r="932" spans="1:16" x14ac:dyDescent="0.3">
      <c r="A932" s="58" t="str">
        <f t="shared" si="60"/>
        <v>A042700</v>
      </c>
      <c r="B932" s="59" t="str">
        <f t="shared" si="57"/>
        <v/>
      </c>
      <c r="C932" s="59" t="str">
        <f t="shared" si="58"/>
        <v/>
      </c>
      <c r="D932" s="109" t="str">
        <f t="shared" si="59"/>
        <v/>
      </c>
      <c r="E932" s="106" t="s">
        <v>947</v>
      </c>
      <c r="F932" s="58" t="s">
        <v>2390</v>
      </c>
      <c r="G932" s="106">
        <v>12</v>
      </c>
      <c r="H932" s="107"/>
      <c r="I932" s="107"/>
      <c r="J932" s="107"/>
      <c r="K932" s="107"/>
      <c r="L932" s="107"/>
      <c r="M932" s="107"/>
      <c r="N932" s="107"/>
      <c r="O932" s="107"/>
      <c r="P932" s="107"/>
    </row>
    <row r="933" spans="1:16" x14ac:dyDescent="0.3">
      <c r="A933" s="58" t="str">
        <f t="shared" si="60"/>
        <v>A042940</v>
      </c>
      <c r="B933" s="59" t="str">
        <f t="shared" si="57"/>
        <v/>
      </c>
      <c r="C933" s="59" t="str">
        <f t="shared" si="58"/>
        <v/>
      </c>
      <c r="D933" s="109" t="str">
        <f t="shared" si="59"/>
        <v/>
      </c>
      <c r="E933" s="106" t="s">
        <v>948</v>
      </c>
      <c r="F933" s="58" t="s">
        <v>2391</v>
      </c>
      <c r="G933" s="106">
        <v>12</v>
      </c>
      <c r="H933" s="107"/>
      <c r="I933" s="107"/>
      <c r="J933" s="107"/>
      <c r="K933" s="107"/>
      <c r="L933" s="107"/>
      <c r="M933" s="107"/>
      <c r="N933" s="107"/>
      <c r="O933" s="107"/>
      <c r="P933" s="107"/>
    </row>
    <row r="934" spans="1:16" x14ac:dyDescent="0.3">
      <c r="A934" s="58" t="str">
        <f t="shared" si="60"/>
        <v>A043090</v>
      </c>
      <c r="B934" s="59" t="str">
        <f t="shared" si="57"/>
        <v/>
      </c>
      <c r="C934" s="59" t="str">
        <f t="shared" si="58"/>
        <v/>
      </c>
      <c r="D934" s="109" t="str">
        <f t="shared" si="59"/>
        <v/>
      </c>
      <c r="E934" s="106" t="s">
        <v>949</v>
      </c>
      <c r="F934" s="58" t="s">
        <v>2392</v>
      </c>
      <c r="G934" s="106">
        <v>12</v>
      </c>
      <c r="H934" s="107"/>
      <c r="I934" s="107"/>
      <c r="J934" s="107"/>
      <c r="K934" s="107"/>
      <c r="L934" s="107"/>
      <c r="M934" s="107"/>
      <c r="N934" s="107"/>
      <c r="O934" s="107"/>
      <c r="P934" s="107"/>
    </row>
    <row r="935" spans="1:16" x14ac:dyDescent="0.3">
      <c r="A935" s="58" t="str">
        <f t="shared" si="60"/>
        <v>A043100</v>
      </c>
      <c r="B935" s="59" t="str">
        <f t="shared" si="57"/>
        <v/>
      </c>
      <c r="C935" s="59" t="str">
        <f t="shared" si="58"/>
        <v/>
      </c>
      <c r="D935" s="109" t="str">
        <f t="shared" si="59"/>
        <v/>
      </c>
      <c r="E935" s="106" t="s">
        <v>950</v>
      </c>
      <c r="F935" s="58" t="s">
        <v>2393</v>
      </c>
      <c r="G935" s="106">
        <v>12</v>
      </c>
      <c r="H935" s="107"/>
      <c r="I935" s="107"/>
      <c r="J935" s="107"/>
      <c r="K935" s="107"/>
      <c r="L935" s="107"/>
      <c r="M935" s="107"/>
      <c r="N935" s="107"/>
      <c r="O935" s="107"/>
      <c r="P935" s="107"/>
    </row>
    <row r="936" spans="1:16" x14ac:dyDescent="0.3">
      <c r="A936" s="58" t="str">
        <f t="shared" si="60"/>
        <v>A043150</v>
      </c>
      <c r="B936" s="59" t="str">
        <f t="shared" si="57"/>
        <v/>
      </c>
      <c r="C936" s="59" t="str">
        <f t="shared" si="58"/>
        <v/>
      </c>
      <c r="D936" s="109" t="str">
        <f t="shared" si="59"/>
        <v/>
      </c>
      <c r="E936" s="106" t="s">
        <v>951</v>
      </c>
      <c r="F936" s="58" t="s">
        <v>2394</v>
      </c>
      <c r="G936" s="106">
        <v>12</v>
      </c>
      <c r="H936" s="107"/>
      <c r="I936" s="107"/>
      <c r="J936" s="107"/>
      <c r="K936" s="107"/>
      <c r="L936" s="107"/>
      <c r="M936" s="107"/>
      <c r="N936" s="107"/>
      <c r="O936" s="107"/>
      <c r="P936" s="107"/>
    </row>
    <row r="937" spans="1:16" x14ac:dyDescent="0.3">
      <c r="A937" s="58" t="str">
        <f t="shared" si="60"/>
        <v>A043200</v>
      </c>
      <c r="B937" s="59" t="str">
        <f t="shared" si="57"/>
        <v/>
      </c>
      <c r="C937" s="59" t="str">
        <f t="shared" si="58"/>
        <v/>
      </c>
      <c r="D937" s="109" t="str">
        <f t="shared" si="59"/>
        <v/>
      </c>
      <c r="E937" s="106" t="s">
        <v>952</v>
      </c>
      <c r="F937" s="58" t="s">
        <v>2395</v>
      </c>
      <c r="G937" s="106">
        <v>12</v>
      </c>
      <c r="H937" s="107"/>
      <c r="I937" s="107"/>
      <c r="J937" s="107"/>
      <c r="K937" s="107"/>
      <c r="L937" s="107"/>
      <c r="M937" s="107"/>
      <c r="N937" s="107"/>
      <c r="O937" s="107"/>
      <c r="P937" s="107"/>
    </row>
    <row r="938" spans="1:16" x14ac:dyDescent="0.3">
      <c r="A938" s="58" t="str">
        <f t="shared" si="60"/>
        <v>A043220</v>
      </c>
      <c r="B938" s="59" t="str">
        <f t="shared" si="57"/>
        <v/>
      </c>
      <c r="C938" s="59" t="str">
        <f t="shared" si="58"/>
        <v/>
      </c>
      <c r="D938" s="109" t="str">
        <f t="shared" si="59"/>
        <v/>
      </c>
      <c r="E938" s="106" t="s">
        <v>953</v>
      </c>
      <c r="F938" s="58" t="s">
        <v>2396</v>
      </c>
      <c r="G938" s="106">
        <v>12</v>
      </c>
      <c r="H938" s="107"/>
      <c r="I938" s="107"/>
      <c r="J938" s="107"/>
      <c r="K938" s="107"/>
      <c r="L938" s="107"/>
      <c r="M938" s="107"/>
      <c r="N938" s="107"/>
      <c r="O938" s="107"/>
      <c r="P938" s="107"/>
    </row>
    <row r="939" spans="1:16" x14ac:dyDescent="0.3">
      <c r="A939" s="58" t="str">
        <f t="shared" si="60"/>
        <v>A043260</v>
      </c>
      <c r="B939" s="59" t="str">
        <f t="shared" si="57"/>
        <v/>
      </c>
      <c r="C939" s="59" t="str">
        <f t="shared" si="58"/>
        <v/>
      </c>
      <c r="D939" s="109" t="str">
        <f t="shared" si="59"/>
        <v/>
      </c>
      <c r="E939" s="106" t="s">
        <v>954</v>
      </c>
      <c r="F939" s="58" t="s">
        <v>2397</v>
      </c>
      <c r="G939" s="106">
        <v>12</v>
      </c>
      <c r="H939" s="107"/>
      <c r="I939" s="107"/>
      <c r="J939" s="107"/>
      <c r="K939" s="107"/>
      <c r="L939" s="107"/>
      <c r="M939" s="107"/>
      <c r="N939" s="107"/>
      <c r="O939" s="107"/>
      <c r="P939" s="107"/>
    </row>
    <row r="940" spans="1:16" x14ac:dyDescent="0.3">
      <c r="A940" s="58" t="str">
        <f t="shared" si="60"/>
        <v>A043290</v>
      </c>
      <c r="B940" s="59" t="str">
        <f t="shared" si="57"/>
        <v/>
      </c>
      <c r="C940" s="59" t="str">
        <f t="shared" si="58"/>
        <v/>
      </c>
      <c r="D940" s="109" t="str">
        <f t="shared" si="59"/>
        <v/>
      </c>
      <c r="E940" s="106" t="s">
        <v>3148</v>
      </c>
      <c r="F940" s="58" t="s">
        <v>3351</v>
      </c>
      <c r="G940" s="106">
        <v>12</v>
      </c>
      <c r="H940" s="107"/>
      <c r="I940" s="107"/>
      <c r="J940" s="107"/>
      <c r="K940" s="107"/>
      <c r="L940" s="107"/>
      <c r="M940" s="107"/>
      <c r="N940" s="107"/>
      <c r="O940" s="107"/>
      <c r="P940" s="107"/>
    </row>
    <row r="941" spans="1:16" x14ac:dyDescent="0.3">
      <c r="A941" s="58" t="str">
        <f t="shared" si="60"/>
        <v>A043340</v>
      </c>
      <c r="B941" s="59" t="str">
        <f t="shared" si="57"/>
        <v/>
      </c>
      <c r="C941" s="59" t="str">
        <f t="shared" si="58"/>
        <v/>
      </c>
      <c r="D941" s="109" t="str">
        <f t="shared" si="59"/>
        <v/>
      </c>
      <c r="E941" s="106" t="s">
        <v>955</v>
      </c>
      <c r="F941" s="58" t="s">
        <v>2398</v>
      </c>
      <c r="G941" s="106">
        <v>12</v>
      </c>
      <c r="H941" s="107"/>
      <c r="I941" s="107"/>
      <c r="J941" s="107"/>
      <c r="K941" s="107"/>
      <c r="L941" s="107"/>
      <c r="M941" s="107"/>
      <c r="N941" s="107"/>
      <c r="O941" s="107"/>
      <c r="P941" s="107"/>
    </row>
    <row r="942" spans="1:16" x14ac:dyDescent="0.3">
      <c r="A942" s="58" t="str">
        <f t="shared" si="60"/>
        <v>A043360</v>
      </c>
      <c r="B942" s="59" t="str">
        <f t="shared" si="57"/>
        <v/>
      </c>
      <c r="C942" s="59" t="str">
        <f t="shared" si="58"/>
        <v/>
      </c>
      <c r="D942" s="109" t="str">
        <f t="shared" si="59"/>
        <v/>
      </c>
      <c r="E942" s="106" t="s">
        <v>956</v>
      </c>
      <c r="F942" s="58" t="s">
        <v>2399</v>
      </c>
      <c r="G942" s="106">
        <v>12</v>
      </c>
      <c r="H942" s="107"/>
      <c r="I942" s="107"/>
      <c r="J942" s="107"/>
      <c r="K942" s="107"/>
      <c r="L942" s="107"/>
      <c r="M942" s="107"/>
      <c r="N942" s="107"/>
      <c r="O942" s="107"/>
      <c r="P942" s="107"/>
    </row>
    <row r="943" spans="1:16" x14ac:dyDescent="0.3">
      <c r="A943" s="58" t="str">
        <f t="shared" si="60"/>
        <v>A043370</v>
      </c>
      <c r="B943" s="59" t="str">
        <f t="shared" si="57"/>
        <v/>
      </c>
      <c r="C943" s="59" t="str">
        <f t="shared" si="58"/>
        <v/>
      </c>
      <c r="D943" s="109" t="str">
        <f t="shared" si="59"/>
        <v/>
      </c>
      <c r="E943" s="106" t="s">
        <v>957</v>
      </c>
      <c r="F943" s="58" t="s">
        <v>2400</v>
      </c>
      <c r="G943" s="106">
        <v>12</v>
      </c>
      <c r="H943" s="107"/>
      <c r="I943" s="107"/>
      <c r="J943" s="107"/>
      <c r="K943" s="107"/>
      <c r="L943" s="107"/>
      <c r="M943" s="107"/>
      <c r="N943" s="107"/>
      <c r="O943" s="107"/>
      <c r="P943" s="107"/>
    </row>
    <row r="944" spans="1:16" x14ac:dyDescent="0.3">
      <c r="A944" s="58" t="str">
        <f t="shared" si="60"/>
        <v>A043580</v>
      </c>
      <c r="B944" s="59" t="str">
        <f t="shared" si="57"/>
        <v/>
      </c>
      <c r="C944" s="59" t="str">
        <f t="shared" si="58"/>
        <v/>
      </c>
      <c r="D944" s="109" t="str">
        <f t="shared" si="59"/>
        <v/>
      </c>
      <c r="E944" s="106" t="s">
        <v>958</v>
      </c>
      <c r="F944" s="58" t="s">
        <v>2401</v>
      </c>
      <c r="G944" s="106">
        <v>12</v>
      </c>
      <c r="H944" s="107"/>
      <c r="I944" s="107"/>
      <c r="J944" s="107"/>
      <c r="K944" s="107"/>
      <c r="L944" s="107"/>
      <c r="M944" s="107"/>
      <c r="N944" s="107"/>
      <c r="O944" s="107"/>
      <c r="P944" s="107"/>
    </row>
    <row r="945" spans="1:16" x14ac:dyDescent="0.3">
      <c r="A945" s="58" t="str">
        <f t="shared" si="60"/>
        <v>A043590</v>
      </c>
      <c r="B945" s="59" t="str">
        <f t="shared" si="57"/>
        <v/>
      </c>
      <c r="C945" s="59" t="str">
        <f t="shared" si="58"/>
        <v/>
      </c>
      <c r="D945" s="109" t="str">
        <f t="shared" si="59"/>
        <v/>
      </c>
      <c r="E945" s="106" t="s">
        <v>959</v>
      </c>
      <c r="F945" s="58" t="s">
        <v>2402</v>
      </c>
      <c r="G945" s="106">
        <v>12</v>
      </c>
      <c r="H945" s="107"/>
      <c r="I945" s="107"/>
      <c r="J945" s="107"/>
      <c r="K945" s="107"/>
      <c r="L945" s="107"/>
      <c r="M945" s="107"/>
      <c r="N945" s="107"/>
      <c r="O945" s="107"/>
      <c r="P945" s="107"/>
    </row>
    <row r="946" spans="1:16" x14ac:dyDescent="0.3">
      <c r="A946" s="58" t="str">
        <f t="shared" si="60"/>
        <v>A043610</v>
      </c>
      <c r="B946" s="59" t="str">
        <f t="shared" si="57"/>
        <v/>
      </c>
      <c r="C946" s="59" t="str">
        <f t="shared" si="58"/>
        <v/>
      </c>
      <c r="D946" s="109" t="str">
        <f t="shared" si="59"/>
        <v/>
      </c>
      <c r="E946" s="106" t="s">
        <v>960</v>
      </c>
      <c r="F946" s="58" t="s">
        <v>2403</v>
      </c>
      <c r="G946" s="106">
        <v>12</v>
      </c>
      <c r="H946" s="107"/>
      <c r="I946" s="107"/>
      <c r="J946" s="107"/>
      <c r="K946" s="107"/>
      <c r="L946" s="107"/>
      <c r="M946" s="107"/>
      <c r="N946" s="107"/>
      <c r="O946" s="107"/>
      <c r="P946" s="107"/>
    </row>
    <row r="947" spans="1:16" x14ac:dyDescent="0.3">
      <c r="A947" s="58" t="str">
        <f t="shared" si="60"/>
        <v>A043650</v>
      </c>
      <c r="B947" s="59" t="str">
        <f t="shared" si="57"/>
        <v/>
      </c>
      <c r="C947" s="59" t="str">
        <f t="shared" si="58"/>
        <v/>
      </c>
      <c r="D947" s="109" t="str">
        <f t="shared" si="59"/>
        <v/>
      </c>
      <c r="E947" s="106" t="s">
        <v>961</v>
      </c>
      <c r="F947" s="58" t="s">
        <v>2404</v>
      </c>
      <c r="G947" s="106">
        <v>12</v>
      </c>
      <c r="H947" s="107"/>
      <c r="I947" s="107"/>
      <c r="J947" s="107"/>
      <c r="K947" s="107"/>
      <c r="L947" s="107"/>
      <c r="M947" s="107"/>
      <c r="N947" s="107"/>
      <c r="O947" s="107"/>
      <c r="P947" s="107"/>
    </row>
    <row r="948" spans="1:16" x14ac:dyDescent="0.3">
      <c r="A948" s="58" t="str">
        <f t="shared" si="60"/>
        <v>A043710</v>
      </c>
      <c r="B948" s="59" t="str">
        <f t="shared" si="57"/>
        <v/>
      </c>
      <c r="C948" s="59" t="str">
        <f t="shared" si="58"/>
        <v/>
      </c>
      <c r="D948" s="109" t="str">
        <f t="shared" si="59"/>
        <v/>
      </c>
      <c r="E948" s="106" t="s">
        <v>962</v>
      </c>
      <c r="F948" s="58" t="s">
        <v>2405</v>
      </c>
      <c r="G948" s="106">
        <v>12</v>
      </c>
      <c r="H948" s="107"/>
      <c r="I948" s="107"/>
      <c r="J948" s="107"/>
      <c r="K948" s="107"/>
      <c r="L948" s="107"/>
      <c r="M948" s="107"/>
      <c r="N948" s="107"/>
      <c r="O948" s="107"/>
      <c r="P948" s="107"/>
    </row>
    <row r="949" spans="1:16" x14ac:dyDescent="0.3">
      <c r="A949" s="58" t="str">
        <f t="shared" si="60"/>
        <v>A043910</v>
      </c>
      <c r="B949" s="59" t="str">
        <f t="shared" si="57"/>
        <v/>
      </c>
      <c r="C949" s="59" t="str">
        <f t="shared" si="58"/>
        <v/>
      </c>
      <c r="D949" s="109" t="str">
        <f t="shared" si="59"/>
        <v/>
      </c>
      <c r="E949" s="106" t="s">
        <v>963</v>
      </c>
      <c r="F949" s="58" t="s">
        <v>2406</v>
      </c>
      <c r="G949" s="106">
        <v>12</v>
      </c>
      <c r="H949" s="107"/>
      <c r="I949" s="107"/>
      <c r="J949" s="107"/>
      <c r="K949" s="107"/>
      <c r="L949" s="107"/>
      <c r="M949" s="107"/>
      <c r="N949" s="107"/>
      <c r="O949" s="107"/>
      <c r="P949" s="107"/>
    </row>
    <row r="950" spans="1:16" x14ac:dyDescent="0.3">
      <c r="A950" s="58" t="str">
        <f t="shared" si="60"/>
        <v>A044060</v>
      </c>
      <c r="B950" s="59" t="str">
        <f t="shared" si="57"/>
        <v/>
      </c>
      <c r="C950" s="59" t="str">
        <f t="shared" si="58"/>
        <v/>
      </c>
      <c r="D950" s="109" t="str">
        <f t="shared" si="59"/>
        <v/>
      </c>
      <c r="E950" s="106" t="s">
        <v>964</v>
      </c>
      <c r="F950" s="58" t="s">
        <v>2407</v>
      </c>
      <c r="G950" s="106">
        <v>12</v>
      </c>
      <c r="H950" s="107"/>
      <c r="I950" s="107"/>
      <c r="J950" s="107"/>
      <c r="K950" s="107"/>
      <c r="L950" s="107"/>
      <c r="M950" s="107"/>
      <c r="N950" s="107"/>
      <c r="O950" s="107"/>
      <c r="P950" s="107"/>
    </row>
    <row r="951" spans="1:16" x14ac:dyDescent="0.3">
      <c r="A951" s="58" t="str">
        <f t="shared" si="60"/>
        <v>A044180</v>
      </c>
      <c r="B951" s="59" t="str">
        <f t="shared" si="57"/>
        <v/>
      </c>
      <c r="C951" s="59" t="str">
        <f t="shared" si="58"/>
        <v/>
      </c>
      <c r="D951" s="109" t="str">
        <f t="shared" si="59"/>
        <v/>
      </c>
      <c r="E951" s="106" t="s">
        <v>965</v>
      </c>
      <c r="F951" s="58" t="s">
        <v>2408</v>
      </c>
      <c r="G951" s="106">
        <v>12</v>
      </c>
      <c r="H951" s="107"/>
      <c r="I951" s="107"/>
      <c r="J951" s="107"/>
      <c r="K951" s="107"/>
      <c r="L951" s="107"/>
      <c r="M951" s="107"/>
      <c r="N951" s="107"/>
      <c r="O951" s="107"/>
      <c r="P951" s="107"/>
    </row>
    <row r="952" spans="1:16" x14ac:dyDescent="0.3">
      <c r="A952" s="58" t="str">
        <f t="shared" si="60"/>
        <v>A044340</v>
      </c>
      <c r="B952" s="59" t="str">
        <f t="shared" si="57"/>
        <v/>
      </c>
      <c r="C952" s="59" t="str">
        <f t="shared" si="58"/>
        <v/>
      </c>
      <c r="D952" s="109" t="str">
        <f t="shared" si="59"/>
        <v/>
      </c>
      <c r="E952" s="106" t="s">
        <v>966</v>
      </c>
      <c r="F952" s="58" t="s">
        <v>2409</v>
      </c>
      <c r="G952" s="106">
        <v>12</v>
      </c>
      <c r="H952" s="107"/>
      <c r="I952" s="107"/>
      <c r="J952" s="107"/>
      <c r="K952" s="107"/>
      <c r="L952" s="107"/>
      <c r="M952" s="107"/>
      <c r="N952" s="107"/>
      <c r="O952" s="107"/>
      <c r="P952" s="107"/>
    </row>
    <row r="953" spans="1:16" x14ac:dyDescent="0.3">
      <c r="A953" s="58" t="str">
        <f t="shared" si="60"/>
        <v>A044380</v>
      </c>
      <c r="B953" s="59" t="str">
        <f t="shared" si="57"/>
        <v/>
      </c>
      <c r="C953" s="59" t="str">
        <f t="shared" si="58"/>
        <v/>
      </c>
      <c r="D953" s="109" t="str">
        <f t="shared" si="59"/>
        <v/>
      </c>
      <c r="E953" s="106" t="s">
        <v>967</v>
      </c>
      <c r="F953" s="58" t="s">
        <v>2410</v>
      </c>
      <c r="G953" s="106">
        <v>12</v>
      </c>
      <c r="H953" s="107"/>
      <c r="I953" s="107"/>
      <c r="J953" s="107"/>
      <c r="K953" s="107"/>
      <c r="L953" s="107"/>
      <c r="M953" s="107"/>
      <c r="N953" s="107"/>
      <c r="O953" s="107"/>
      <c r="P953" s="107"/>
    </row>
    <row r="954" spans="1:16" x14ac:dyDescent="0.3">
      <c r="A954" s="58" t="str">
        <f t="shared" si="60"/>
        <v>A044450</v>
      </c>
      <c r="B954" s="59" t="str">
        <f t="shared" si="57"/>
        <v/>
      </c>
      <c r="C954" s="59" t="str">
        <f t="shared" si="58"/>
        <v/>
      </c>
      <c r="D954" s="109" t="str">
        <f t="shared" si="59"/>
        <v/>
      </c>
      <c r="E954" s="106" t="s">
        <v>968</v>
      </c>
      <c r="F954" s="58" t="s">
        <v>2411</v>
      </c>
      <c r="G954" s="106">
        <v>12</v>
      </c>
      <c r="H954" s="107"/>
      <c r="I954" s="107"/>
      <c r="J954" s="107"/>
      <c r="K954" s="107"/>
      <c r="L954" s="107"/>
      <c r="M954" s="107"/>
      <c r="N954" s="107"/>
      <c r="O954" s="107"/>
      <c r="P954" s="107"/>
    </row>
    <row r="955" spans="1:16" x14ac:dyDescent="0.3">
      <c r="A955" s="58" t="str">
        <f t="shared" si="60"/>
        <v>A044480</v>
      </c>
      <c r="B955" s="59" t="str">
        <f t="shared" si="57"/>
        <v/>
      </c>
      <c r="C955" s="59" t="str">
        <f t="shared" si="58"/>
        <v/>
      </c>
      <c r="D955" s="109" t="str">
        <f t="shared" si="59"/>
        <v/>
      </c>
      <c r="E955" s="106" t="s">
        <v>969</v>
      </c>
      <c r="F955" s="58" t="s">
        <v>2412</v>
      </c>
      <c r="G955" s="106">
        <v>12</v>
      </c>
      <c r="H955" s="107"/>
      <c r="I955" s="107"/>
      <c r="J955" s="107"/>
      <c r="K955" s="107"/>
      <c r="L955" s="107"/>
      <c r="M955" s="107"/>
      <c r="N955" s="107"/>
      <c r="O955" s="107"/>
      <c r="P955" s="107"/>
    </row>
    <row r="956" spans="1:16" x14ac:dyDescent="0.3">
      <c r="A956" s="58" t="str">
        <f t="shared" si="60"/>
        <v>A044490</v>
      </c>
      <c r="B956" s="59" t="str">
        <f t="shared" si="57"/>
        <v/>
      </c>
      <c r="C956" s="59" t="str">
        <f t="shared" si="58"/>
        <v/>
      </c>
      <c r="D956" s="109" t="str">
        <f t="shared" si="59"/>
        <v/>
      </c>
      <c r="E956" s="106" t="s">
        <v>970</v>
      </c>
      <c r="F956" s="58" t="s">
        <v>2413</v>
      </c>
      <c r="G956" s="106">
        <v>12</v>
      </c>
      <c r="H956" s="107"/>
      <c r="I956" s="107"/>
      <c r="J956" s="107"/>
      <c r="K956" s="107"/>
      <c r="L956" s="107"/>
      <c r="M956" s="107"/>
      <c r="N956" s="107"/>
      <c r="O956" s="107"/>
      <c r="P956" s="107"/>
    </row>
    <row r="957" spans="1:16" x14ac:dyDescent="0.3">
      <c r="A957" s="58" t="str">
        <f t="shared" si="60"/>
        <v>A044780</v>
      </c>
      <c r="B957" s="59" t="str">
        <f t="shared" si="57"/>
        <v/>
      </c>
      <c r="C957" s="59" t="str">
        <f t="shared" si="58"/>
        <v/>
      </c>
      <c r="D957" s="109" t="str">
        <f t="shared" si="59"/>
        <v/>
      </c>
      <c r="E957" s="106" t="s">
        <v>971</v>
      </c>
      <c r="F957" s="58" t="s">
        <v>2414</v>
      </c>
      <c r="G957" s="106">
        <v>12</v>
      </c>
      <c r="H957" s="107"/>
      <c r="I957" s="107"/>
      <c r="J957" s="107"/>
      <c r="K957" s="107"/>
      <c r="L957" s="107"/>
      <c r="M957" s="107"/>
      <c r="N957" s="107"/>
      <c r="O957" s="107"/>
      <c r="P957" s="107"/>
    </row>
    <row r="958" spans="1:16" x14ac:dyDescent="0.3">
      <c r="A958" s="58" t="str">
        <f t="shared" si="60"/>
        <v>A044820</v>
      </c>
      <c r="B958" s="59" t="str">
        <f t="shared" si="57"/>
        <v/>
      </c>
      <c r="C958" s="59" t="str">
        <f t="shared" si="58"/>
        <v/>
      </c>
      <c r="D958" s="109" t="str">
        <f t="shared" si="59"/>
        <v/>
      </c>
      <c r="E958" s="106" t="s">
        <v>972</v>
      </c>
      <c r="F958" s="58" t="s">
        <v>2415</v>
      </c>
      <c r="G958" s="106">
        <v>12</v>
      </c>
      <c r="H958" s="107"/>
      <c r="I958" s="107"/>
      <c r="J958" s="107"/>
      <c r="K958" s="107"/>
      <c r="L958" s="107"/>
      <c r="M958" s="107"/>
      <c r="N958" s="107"/>
      <c r="O958" s="107"/>
      <c r="P958" s="107"/>
    </row>
    <row r="959" spans="1:16" x14ac:dyDescent="0.3">
      <c r="A959" s="58" t="str">
        <f t="shared" si="60"/>
        <v>A044960</v>
      </c>
      <c r="B959" s="59" t="str">
        <f t="shared" si="57"/>
        <v/>
      </c>
      <c r="C959" s="59" t="str">
        <f t="shared" si="58"/>
        <v/>
      </c>
      <c r="D959" s="109" t="str">
        <f t="shared" si="59"/>
        <v/>
      </c>
      <c r="E959" s="106" t="s">
        <v>973</v>
      </c>
      <c r="F959" s="58" t="s">
        <v>2416</v>
      </c>
      <c r="G959" s="106">
        <v>12</v>
      </c>
      <c r="H959" s="107"/>
      <c r="I959" s="107"/>
      <c r="J959" s="107"/>
      <c r="K959" s="107"/>
      <c r="L959" s="107"/>
      <c r="M959" s="107"/>
      <c r="N959" s="107"/>
      <c r="O959" s="107"/>
      <c r="P959" s="107"/>
    </row>
    <row r="960" spans="1:16" x14ac:dyDescent="0.3">
      <c r="A960" s="58" t="str">
        <f t="shared" si="60"/>
        <v>A045060</v>
      </c>
      <c r="B960" s="59" t="str">
        <f t="shared" si="57"/>
        <v/>
      </c>
      <c r="C960" s="59" t="str">
        <f t="shared" si="58"/>
        <v/>
      </c>
      <c r="D960" s="109" t="str">
        <f t="shared" si="59"/>
        <v/>
      </c>
      <c r="E960" s="106" t="s">
        <v>974</v>
      </c>
      <c r="F960" s="58" t="s">
        <v>2417</v>
      </c>
      <c r="G960" s="106">
        <v>12</v>
      </c>
      <c r="H960" s="107"/>
      <c r="I960" s="107"/>
      <c r="J960" s="107"/>
      <c r="K960" s="107"/>
      <c r="L960" s="107"/>
      <c r="M960" s="107"/>
      <c r="N960" s="107"/>
      <c r="O960" s="107"/>
      <c r="P960" s="107"/>
    </row>
    <row r="961" spans="1:16" x14ac:dyDescent="0.3">
      <c r="A961" s="58" t="str">
        <f t="shared" si="60"/>
        <v>A045100</v>
      </c>
      <c r="B961" s="59" t="str">
        <f t="shared" si="57"/>
        <v/>
      </c>
      <c r="C961" s="59" t="str">
        <f t="shared" si="58"/>
        <v/>
      </c>
      <c r="D961" s="109" t="str">
        <f t="shared" si="59"/>
        <v/>
      </c>
      <c r="E961" s="106" t="s">
        <v>975</v>
      </c>
      <c r="F961" s="58" t="s">
        <v>2418</v>
      </c>
      <c r="G961" s="106">
        <v>12</v>
      </c>
      <c r="H961" s="107"/>
      <c r="I961" s="107"/>
      <c r="J961" s="107"/>
      <c r="K961" s="107"/>
      <c r="L961" s="107"/>
      <c r="M961" s="107"/>
      <c r="N961" s="107"/>
      <c r="O961" s="107"/>
      <c r="P961" s="107"/>
    </row>
    <row r="962" spans="1:16" x14ac:dyDescent="0.3">
      <c r="A962" s="58" t="str">
        <f t="shared" si="60"/>
        <v>A045300</v>
      </c>
      <c r="B962" s="59" t="str">
        <f t="shared" si="57"/>
        <v/>
      </c>
      <c r="C962" s="59" t="str">
        <f t="shared" si="58"/>
        <v/>
      </c>
      <c r="D962" s="109" t="str">
        <f t="shared" si="59"/>
        <v/>
      </c>
      <c r="E962" s="106" t="s">
        <v>976</v>
      </c>
      <c r="F962" s="58" t="s">
        <v>2419</v>
      </c>
      <c r="G962" s="106">
        <v>12</v>
      </c>
      <c r="H962" s="107"/>
      <c r="I962" s="107"/>
      <c r="J962" s="107"/>
      <c r="K962" s="107"/>
      <c r="L962" s="107"/>
      <c r="M962" s="107"/>
      <c r="N962" s="107"/>
      <c r="O962" s="107"/>
      <c r="P962" s="107"/>
    </row>
    <row r="963" spans="1:16" x14ac:dyDescent="0.3">
      <c r="A963" s="58" t="str">
        <f t="shared" si="60"/>
        <v>A045340</v>
      </c>
      <c r="B963" s="59" t="str">
        <f t="shared" si="57"/>
        <v/>
      </c>
      <c r="C963" s="59" t="str">
        <f t="shared" si="58"/>
        <v/>
      </c>
      <c r="D963" s="109" t="str">
        <f t="shared" si="59"/>
        <v/>
      </c>
      <c r="E963" s="106" t="s">
        <v>977</v>
      </c>
      <c r="F963" s="58" t="s">
        <v>2420</v>
      </c>
      <c r="G963" s="106">
        <v>12</v>
      </c>
      <c r="H963" s="107"/>
      <c r="I963" s="107"/>
      <c r="J963" s="107"/>
      <c r="K963" s="107"/>
      <c r="L963" s="107"/>
      <c r="M963" s="107"/>
      <c r="N963" s="107"/>
      <c r="O963" s="107"/>
      <c r="P963" s="107"/>
    </row>
    <row r="964" spans="1:16" x14ac:dyDescent="0.3">
      <c r="A964" s="58" t="str">
        <f t="shared" si="60"/>
        <v>A045390</v>
      </c>
      <c r="B964" s="59" t="str">
        <f t="shared" si="57"/>
        <v/>
      </c>
      <c r="C964" s="59" t="str">
        <f t="shared" si="58"/>
        <v/>
      </c>
      <c r="D964" s="109" t="str">
        <f t="shared" si="59"/>
        <v/>
      </c>
      <c r="E964" s="106" t="s">
        <v>978</v>
      </c>
      <c r="F964" s="58" t="s">
        <v>2421</v>
      </c>
      <c r="G964" s="106">
        <v>12</v>
      </c>
      <c r="H964" s="107"/>
      <c r="I964" s="107"/>
      <c r="J964" s="107"/>
      <c r="K964" s="107"/>
      <c r="L964" s="107"/>
      <c r="M964" s="107"/>
      <c r="N964" s="107"/>
      <c r="O964" s="107"/>
      <c r="P964" s="107"/>
    </row>
    <row r="965" spans="1:16" x14ac:dyDescent="0.3">
      <c r="A965" s="58" t="str">
        <f t="shared" si="60"/>
        <v>A045510</v>
      </c>
      <c r="B965" s="59" t="str">
        <f t="shared" si="57"/>
        <v/>
      </c>
      <c r="C965" s="59" t="str">
        <f t="shared" si="58"/>
        <v/>
      </c>
      <c r="D965" s="109" t="str">
        <f t="shared" si="59"/>
        <v/>
      </c>
      <c r="E965" s="106" t="s">
        <v>979</v>
      </c>
      <c r="F965" s="58" t="s">
        <v>2422</v>
      </c>
      <c r="G965" s="106">
        <v>12</v>
      </c>
      <c r="H965" s="107"/>
      <c r="I965" s="107"/>
      <c r="J965" s="107"/>
      <c r="K965" s="107"/>
      <c r="L965" s="107"/>
      <c r="M965" s="107"/>
      <c r="N965" s="107"/>
      <c r="O965" s="107"/>
      <c r="P965" s="107"/>
    </row>
    <row r="966" spans="1:16" x14ac:dyDescent="0.3">
      <c r="A966" s="58" t="str">
        <f t="shared" si="60"/>
        <v>A045520</v>
      </c>
      <c r="B966" s="59" t="str">
        <f t="shared" si="57"/>
        <v/>
      </c>
      <c r="C966" s="59" t="str">
        <f t="shared" si="58"/>
        <v/>
      </c>
      <c r="D966" s="109" t="str">
        <f t="shared" si="59"/>
        <v/>
      </c>
      <c r="E966" s="106" t="s">
        <v>980</v>
      </c>
      <c r="F966" s="58" t="s">
        <v>2423</v>
      </c>
      <c r="G966" s="106">
        <v>12</v>
      </c>
      <c r="H966" s="107"/>
      <c r="I966" s="107"/>
      <c r="J966" s="107"/>
      <c r="K966" s="107"/>
      <c r="L966" s="107"/>
      <c r="M966" s="107"/>
      <c r="N966" s="107"/>
      <c r="O966" s="107"/>
      <c r="P966" s="107"/>
    </row>
    <row r="967" spans="1:16" x14ac:dyDescent="0.3">
      <c r="A967" s="58" t="str">
        <f t="shared" si="60"/>
        <v>A045660</v>
      </c>
      <c r="B967" s="59" t="str">
        <f t="shared" si="57"/>
        <v/>
      </c>
      <c r="C967" s="59" t="str">
        <f t="shared" si="58"/>
        <v/>
      </c>
      <c r="D967" s="109" t="str">
        <f t="shared" si="59"/>
        <v/>
      </c>
      <c r="E967" s="106" t="s">
        <v>981</v>
      </c>
      <c r="F967" s="58" t="s">
        <v>2424</v>
      </c>
      <c r="G967" s="106">
        <v>12</v>
      </c>
      <c r="H967" s="107"/>
      <c r="I967" s="107"/>
      <c r="J967" s="107"/>
      <c r="K967" s="107"/>
      <c r="L967" s="107"/>
      <c r="M967" s="107"/>
      <c r="N967" s="107"/>
      <c r="O967" s="107"/>
      <c r="P967" s="107"/>
    </row>
    <row r="968" spans="1:16" x14ac:dyDescent="0.3">
      <c r="A968" s="58" t="str">
        <f t="shared" si="60"/>
        <v>A045890</v>
      </c>
      <c r="B968" s="59" t="str">
        <f t="shared" si="57"/>
        <v/>
      </c>
      <c r="C968" s="59" t="str">
        <f t="shared" si="58"/>
        <v/>
      </c>
      <c r="D968" s="109" t="str">
        <f t="shared" si="59"/>
        <v/>
      </c>
      <c r="E968" s="106" t="s">
        <v>982</v>
      </c>
      <c r="F968" s="58" t="s">
        <v>2425</v>
      </c>
      <c r="G968" s="106">
        <v>12</v>
      </c>
      <c r="H968" s="107"/>
      <c r="I968" s="107"/>
      <c r="J968" s="107"/>
      <c r="K968" s="107"/>
      <c r="L968" s="107"/>
      <c r="M968" s="107"/>
      <c r="N968" s="107"/>
      <c r="O968" s="107"/>
      <c r="P968" s="107"/>
    </row>
    <row r="969" spans="1:16" x14ac:dyDescent="0.3">
      <c r="A969" s="58" t="str">
        <f t="shared" si="60"/>
        <v>A045970</v>
      </c>
      <c r="B969" s="59" t="str">
        <f t="shared" si="57"/>
        <v/>
      </c>
      <c r="C969" s="59" t="str">
        <f t="shared" si="58"/>
        <v/>
      </c>
      <c r="D969" s="109" t="str">
        <f t="shared" si="59"/>
        <v/>
      </c>
      <c r="E969" s="106" t="s">
        <v>983</v>
      </c>
      <c r="F969" s="58" t="s">
        <v>2426</v>
      </c>
      <c r="G969" s="106">
        <v>12</v>
      </c>
      <c r="H969" s="107"/>
      <c r="I969" s="107"/>
      <c r="J969" s="107"/>
      <c r="K969" s="107"/>
      <c r="L969" s="107"/>
      <c r="M969" s="107"/>
      <c r="N969" s="107"/>
      <c r="O969" s="107"/>
      <c r="P969" s="107"/>
    </row>
    <row r="970" spans="1:16" x14ac:dyDescent="0.3">
      <c r="A970" s="58" t="str">
        <f t="shared" si="60"/>
        <v>A046070</v>
      </c>
      <c r="B970" s="59" t="str">
        <f t="shared" si="57"/>
        <v/>
      </c>
      <c r="C970" s="59" t="str">
        <f t="shared" si="58"/>
        <v/>
      </c>
      <c r="D970" s="109" t="str">
        <f t="shared" si="59"/>
        <v/>
      </c>
      <c r="E970" s="106" t="s">
        <v>984</v>
      </c>
      <c r="F970" s="58" t="s">
        <v>2427</v>
      </c>
      <c r="G970" s="106">
        <v>12</v>
      </c>
      <c r="H970" s="107"/>
      <c r="I970" s="107"/>
      <c r="J970" s="107"/>
      <c r="K970" s="107"/>
      <c r="L970" s="107"/>
      <c r="M970" s="107"/>
      <c r="N970" s="107"/>
      <c r="O970" s="107"/>
      <c r="P970" s="107"/>
    </row>
    <row r="971" spans="1:16" x14ac:dyDescent="0.3">
      <c r="A971" s="58" t="str">
        <f t="shared" si="60"/>
        <v>A046110</v>
      </c>
      <c r="B971" s="59" t="str">
        <f t="shared" si="57"/>
        <v/>
      </c>
      <c r="C971" s="59" t="str">
        <f t="shared" si="58"/>
        <v/>
      </c>
      <c r="D971" s="109" t="str">
        <f t="shared" si="59"/>
        <v/>
      </c>
      <c r="E971" s="106" t="s">
        <v>985</v>
      </c>
      <c r="F971" s="58" t="s">
        <v>3562</v>
      </c>
      <c r="G971" s="106">
        <v>12</v>
      </c>
      <c r="H971" s="107"/>
      <c r="I971" s="107"/>
      <c r="J971" s="107"/>
      <c r="K971" s="107"/>
      <c r="L971" s="107"/>
      <c r="M971" s="107"/>
      <c r="N971" s="107"/>
      <c r="O971" s="107"/>
      <c r="P971" s="107"/>
    </row>
    <row r="972" spans="1:16" x14ac:dyDescent="0.3">
      <c r="A972" s="58" t="str">
        <f t="shared" si="60"/>
        <v>A046120</v>
      </c>
      <c r="B972" s="59" t="str">
        <f t="shared" si="57"/>
        <v/>
      </c>
      <c r="C972" s="59" t="str">
        <f t="shared" si="58"/>
        <v/>
      </c>
      <c r="D972" s="109" t="str">
        <f t="shared" si="59"/>
        <v/>
      </c>
      <c r="E972" s="106" t="s">
        <v>3149</v>
      </c>
      <c r="F972" s="58" t="s">
        <v>3645</v>
      </c>
      <c r="G972" s="106">
        <v>12</v>
      </c>
      <c r="H972" s="107"/>
      <c r="I972" s="107"/>
      <c r="J972" s="107"/>
      <c r="K972" s="107"/>
      <c r="L972" s="107"/>
      <c r="M972" s="107"/>
      <c r="N972" s="107"/>
      <c r="O972" s="107"/>
      <c r="P972" s="107"/>
    </row>
    <row r="973" spans="1:16" x14ac:dyDescent="0.3">
      <c r="A973" s="58" t="str">
        <f t="shared" si="60"/>
        <v>A046140</v>
      </c>
      <c r="B973" s="59" t="str">
        <f t="shared" si="57"/>
        <v/>
      </c>
      <c r="C973" s="59" t="str">
        <f t="shared" si="58"/>
        <v/>
      </c>
      <c r="D973" s="109" t="str">
        <f t="shared" si="59"/>
        <v/>
      </c>
      <c r="E973" s="106" t="s">
        <v>986</v>
      </c>
      <c r="F973" s="58" t="s">
        <v>2428</v>
      </c>
      <c r="G973" s="106">
        <v>12</v>
      </c>
      <c r="H973" s="107"/>
      <c r="I973" s="107"/>
      <c r="J973" s="107"/>
      <c r="K973" s="107"/>
      <c r="L973" s="107"/>
      <c r="M973" s="107"/>
      <c r="N973" s="107"/>
      <c r="O973" s="107"/>
      <c r="P973" s="107"/>
    </row>
    <row r="974" spans="1:16" x14ac:dyDescent="0.3">
      <c r="A974" s="58" t="str">
        <f t="shared" si="60"/>
        <v>A046210</v>
      </c>
      <c r="B974" s="59" t="str">
        <f t="shared" si="57"/>
        <v/>
      </c>
      <c r="C974" s="59" t="str">
        <f t="shared" si="58"/>
        <v/>
      </c>
      <c r="D974" s="109" t="str">
        <f t="shared" si="59"/>
        <v/>
      </c>
      <c r="E974" s="106" t="s">
        <v>987</v>
      </c>
      <c r="F974" s="58" t="s">
        <v>2429</v>
      </c>
      <c r="G974" s="106">
        <v>12</v>
      </c>
      <c r="H974" s="107"/>
      <c r="I974" s="107"/>
      <c r="J974" s="107"/>
      <c r="K974" s="107"/>
      <c r="L974" s="107"/>
      <c r="M974" s="107"/>
      <c r="N974" s="107"/>
      <c r="O974" s="107"/>
      <c r="P974" s="107"/>
    </row>
    <row r="975" spans="1:16" x14ac:dyDescent="0.3">
      <c r="A975" s="58" t="str">
        <f t="shared" si="60"/>
        <v>A046310</v>
      </c>
      <c r="B975" s="59" t="str">
        <f t="shared" ref="B975:B1038" si="61">IFERROR(IF(ISNUMBER(H975),DATE(LEFT(H975,4),MID(H975,5,2),RIGHT(H975,2)),NA()),"")</f>
        <v/>
      </c>
      <c r="C975" s="59" t="str">
        <f t="shared" ref="C975:C1038" si="62">IFERROR(IF(ISNUMBER(I975),DATE(LEFT(I975,4),MID(I975,5,2),RIGHT(I975,2)),NA()),"")</f>
        <v/>
      </c>
      <c r="D975" s="109" t="str">
        <f t="shared" ref="D975:D1038" si="63">IFERROR(IF(ISNUMBER(J975),J975,NA()),"")</f>
        <v/>
      </c>
      <c r="E975" s="106" t="s">
        <v>988</v>
      </c>
      <c r="F975" s="58" t="s">
        <v>2430</v>
      </c>
      <c r="G975" s="106">
        <v>12</v>
      </c>
      <c r="H975" s="107"/>
      <c r="I975" s="107"/>
      <c r="J975" s="107"/>
      <c r="K975" s="107"/>
      <c r="L975" s="107"/>
      <c r="M975" s="107"/>
      <c r="N975" s="107"/>
      <c r="O975" s="107"/>
      <c r="P975" s="107"/>
    </row>
    <row r="976" spans="1:16" x14ac:dyDescent="0.3">
      <c r="A976" s="58" t="str">
        <f t="shared" si="60"/>
        <v>A046390</v>
      </c>
      <c r="B976" s="59" t="str">
        <f t="shared" si="61"/>
        <v/>
      </c>
      <c r="C976" s="59" t="str">
        <f t="shared" si="62"/>
        <v/>
      </c>
      <c r="D976" s="109" t="str">
        <f t="shared" si="63"/>
        <v/>
      </c>
      <c r="E976" s="106" t="s">
        <v>989</v>
      </c>
      <c r="F976" s="58" t="s">
        <v>2431</v>
      </c>
      <c r="G976" s="106">
        <v>12</v>
      </c>
      <c r="H976" s="107"/>
      <c r="I976" s="107"/>
      <c r="J976" s="107"/>
      <c r="K976" s="107"/>
      <c r="L976" s="107"/>
      <c r="M976" s="107"/>
      <c r="N976" s="107"/>
      <c r="O976" s="107"/>
      <c r="P976" s="107"/>
    </row>
    <row r="977" spans="1:16" x14ac:dyDescent="0.3">
      <c r="A977" s="58" t="str">
        <f t="shared" si="60"/>
        <v>A046400</v>
      </c>
      <c r="B977" s="59" t="str">
        <f t="shared" si="61"/>
        <v/>
      </c>
      <c r="C977" s="59" t="str">
        <f t="shared" si="62"/>
        <v/>
      </c>
      <c r="D977" s="109" t="str">
        <f t="shared" si="63"/>
        <v/>
      </c>
      <c r="E977" s="106" t="s">
        <v>990</v>
      </c>
      <c r="F977" s="58" t="s">
        <v>2432</v>
      </c>
      <c r="G977" s="106">
        <v>12</v>
      </c>
      <c r="H977" s="107"/>
      <c r="I977" s="107"/>
      <c r="J977" s="107"/>
      <c r="K977" s="107"/>
      <c r="L977" s="107"/>
      <c r="M977" s="107"/>
      <c r="N977" s="107"/>
      <c r="O977" s="107"/>
      <c r="P977" s="107"/>
    </row>
    <row r="978" spans="1:16" x14ac:dyDescent="0.3">
      <c r="A978" s="58" t="str">
        <f t="shared" si="60"/>
        <v>A046440</v>
      </c>
      <c r="B978" s="59" t="str">
        <f t="shared" si="61"/>
        <v/>
      </c>
      <c r="C978" s="59" t="str">
        <f t="shared" si="62"/>
        <v/>
      </c>
      <c r="D978" s="109" t="str">
        <f t="shared" si="63"/>
        <v/>
      </c>
      <c r="E978" s="106" t="s">
        <v>991</v>
      </c>
      <c r="F978" s="58" t="s">
        <v>2433</v>
      </c>
      <c r="G978" s="106">
        <v>12</v>
      </c>
      <c r="H978" s="107"/>
      <c r="I978" s="107"/>
      <c r="J978" s="107"/>
      <c r="K978" s="107"/>
      <c r="L978" s="107"/>
      <c r="M978" s="107"/>
      <c r="N978" s="107"/>
      <c r="O978" s="107"/>
      <c r="P978" s="107"/>
    </row>
    <row r="979" spans="1:16" x14ac:dyDescent="0.3">
      <c r="A979" s="58" t="str">
        <f t="shared" si="60"/>
        <v>A046890</v>
      </c>
      <c r="B979" s="59" t="str">
        <f t="shared" si="61"/>
        <v/>
      </c>
      <c r="C979" s="59" t="str">
        <f t="shared" si="62"/>
        <v/>
      </c>
      <c r="D979" s="109" t="str">
        <f t="shared" si="63"/>
        <v/>
      </c>
      <c r="E979" s="106" t="s">
        <v>992</v>
      </c>
      <c r="F979" s="58" t="s">
        <v>2434</v>
      </c>
      <c r="G979" s="106">
        <v>12</v>
      </c>
      <c r="H979" s="107"/>
      <c r="I979" s="107"/>
      <c r="J979" s="107"/>
      <c r="K979" s="107"/>
      <c r="L979" s="107"/>
      <c r="M979" s="107"/>
      <c r="N979" s="107"/>
      <c r="O979" s="107"/>
      <c r="P979" s="107"/>
    </row>
    <row r="980" spans="1:16" x14ac:dyDescent="0.3">
      <c r="A980" s="58" t="str">
        <f t="shared" si="60"/>
        <v>A046940</v>
      </c>
      <c r="B980" s="59" t="str">
        <f t="shared" si="61"/>
        <v/>
      </c>
      <c r="C980" s="59" t="str">
        <f t="shared" si="62"/>
        <v/>
      </c>
      <c r="D980" s="109" t="str">
        <f t="shared" si="63"/>
        <v/>
      </c>
      <c r="E980" s="106" t="s">
        <v>993</v>
      </c>
      <c r="F980" s="58" t="s">
        <v>2435</v>
      </c>
      <c r="G980" s="106">
        <v>12</v>
      </c>
      <c r="H980" s="107"/>
      <c r="I980" s="107"/>
      <c r="J980" s="107"/>
      <c r="K980" s="107"/>
      <c r="L980" s="107"/>
      <c r="M980" s="107"/>
      <c r="N980" s="107"/>
      <c r="O980" s="107"/>
      <c r="P980" s="107"/>
    </row>
    <row r="981" spans="1:16" x14ac:dyDescent="0.3">
      <c r="A981" s="58" t="str">
        <f t="shared" si="60"/>
        <v>A046970</v>
      </c>
      <c r="B981" s="59" t="str">
        <f t="shared" si="61"/>
        <v/>
      </c>
      <c r="C981" s="59" t="str">
        <f t="shared" si="62"/>
        <v/>
      </c>
      <c r="D981" s="109" t="str">
        <f t="shared" si="63"/>
        <v/>
      </c>
      <c r="E981" s="106" t="s">
        <v>3542</v>
      </c>
      <c r="F981" s="58" t="s">
        <v>3553</v>
      </c>
      <c r="G981" s="106">
        <v>12</v>
      </c>
      <c r="H981" s="107"/>
      <c r="I981" s="107"/>
      <c r="J981" s="107"/>
      <c r="K981" s="107"/>
      <c r="L981" s="107"/>
      <c r="M981" s="107"/>
      <c r="N981" s="107"/>
      <c r="O981" s="107"/>
      <c r="P981" s="107"/>
    </row>
    <row r="982" spans="1:16" x14ac:dyDescent="0.3">
      <c r="A982" s="58" t="str">
        <f t="shared" ref="A982:A1045" si="64">E982</f>
        <v>A047040</v>
      </c>
      <c r="B982" s="59" t="str">
        <f t="shared" si="61"/>
        <v/>
      </c>
      <c r="C982" s="59" t="str">
        <f t="shared" si="62"/>
        <v/>
      </c>
      <c r="D982" s="109" t="str">
        <f t="shared" si="63"/>
        <v/>
      </c>
      <c r="E982" s="106" t="s">
        <v>994</v>
      </c>
      <c r="F982" s="58" t="s">
        <v>2436</v>
      </c>
      <c r="G982" s="106">
        <v>12</v>
      </c>
      <c r="H982" s="107"/>
      <c r="I982" s="107"/>
      <c r="J982" s="107"/>
      <c r="K982" s="107"/>
      <c r="L982" s="107"/>
      <c r="M982" s="107"/>
      <c r="N982" s="107"/>
      <c r="O982" s="107"/>
      <c r="P982" s="107"/>
    </row>
    <row r="983" spans="1:16" x14ac:dyDescent="0.3">
      <c r="A983" s="58" t="str">
        <f t="shared" si="64"/>
        <v>A047050</v>
      </c>
      <c r="B983" s="59">
        <f t="shared" si="61"/>
        <v>41480</v>
      </c>
      <c r="C983" s="59">
        <f t="shared" si="62"/>
        <v>41480</v>
      </c>
      <c r="D983" s="109">
        <f t="shared" si="63"/>
        <v>52.98</v>
      </c>
      <c r="E983" s="106" t="s">
        <v>995</v>
      </c>
      <c r="F983" s="58" t="s">
        <v>2437</v>
      </c>
      <c r="G983" s="106">
        <v>12</v>
      </c>
      <c r="H983" s="107">
        <v>20130725</v>
      </c>
      <c r="I983" s="107">
        <v>20130725</v>
      </c>
      <c r="J983" s="107">
        <v>52.98</v>
      </c>
      <c r="K983" s="107"/>
      <c r="L983" s="107"/>
      <c r="M983" s="107"/>
      <c r="N983" s="107"/>
      <c r="O983" s="107"/>
      <c r="P983" s="107"/>
    </row>
    <row r="984" spans="1:16" x14ac:dyDescent="0.3">
      <c r="A984" s="58" t="str">
        <f t="shared" si="64"/>
        <v>A047080</v>
      </c>
      <c r="B984" s="59" t="str">
        <f t="shared" si="61"/>
        <v/>
      </c>
      <c r="C984" s="59" t="str">
        <f t="shared" si="62"/>
        <v/>
      </c>
      <c r="D984" s="109" t="str">
        <f t="shared" si="63"/>
        <v/>
      </c>
      <c r="E984" s="106" t="s">
        <v>996</v>
      </c>
      <c r="F984" s="58" t="s">
        <v>2438</v>
      </c>
      <c r="G984" s="106">
        <v>12</v>
      </c>
      <c r="H984" s="107"/>
      <c r="I984" s="107"/>
      <c r="J984" s="107"/>
      <c r="K984" s="107"/>
      <c r="L984" s="107"/>
      <c r="M984" s="107"/>
      <c r="N984" s="107"/>
      <c r="O984" s="107"/>
      <c r="P984" s="107"/>
    </row>
    <row r="985" spans="1:16" x14ac:dyDescent="0.3">
      <c r="A985" s="58" t="str">
        <f t="shared" si="64"/>
        <v>A047310</v>
      </c>
      <c r="B985" s="59" t="str">
        <f t="shared" si="61"/>
        <v/>
      </c>
      <c r="C985" s="59" t="str">
        <f t="shared" si="62"/>
        <v/>
      </c>
      <c r="D985" s="109" t="str">
        <f t="shared" si="63"/>
        <v/>
      </c>
      <c r="E985" s="106" t="s">
        <v>997</v>
      </c>
      <c r="F985" s="58" t="s">
        <v>2439</v>
      </c>
      <c r="G985" s="106">
        <v>12</v>
      </c>
      <c r="H985" s="107"/>
      <c r="I985" s="107"/>
      <c r="J985" s="107"/>
      <c r="K985" s="107"/>
      <c r="L985" s="107"/>
      <c r="M985" s="107"/>
      <c r="N985" s="107"/>
      <c r="O985" s="107"/>
      <c r="P985" s="107"/>
    </row>
    <row r="986" spans="1:16" x14ac:dyDescent="0.3">
      <c r="A986" s="58" t="str">
        <f t="shared" si="64"/>
        <v>A047400</v>
      </c>
      <c r="B986" s="59" t="str">
        <f t="shared" si="61"/>
        <v/>
      </c>
      <c r="C986" s="59" t="str">
        <f t="shared" si="62"/>
        <v/>
      </c>
      <c r="D986" s="109" t="str">
        <f t="shared" si="63"/>
        <v/>
      </c>
      <c r="E986" s="106" t="s">
        <v>998</v>
      </c>
      <c r="F986" s="58" t="s">
        <v>2440</v>
      </c>
      <c r="G986" s="106">
        <v>12</v>
      </c>
      <c r="H986" s="107"/>
      <c r="I986" s="107"/>
      <c r="J986" s="107"/>
      <c r="K986" s="107"/>
      <c r="L986" s="107"/>
      <c r="M986" s="107"/>
      <c r="N986" s="107"/>
      <c r="O986" s="107"/>
      <c r="P986" s="107"/>
    </row>
    <row r="987" spans="1:16" x14ac:dyDescent="0.3">
      <c r="A987" s="58" t="str">
        <f t="shared" si="64"/>
        <v>A047440</v>
      </c>
      <c r="B987" s="59" t="str">
        <f t="shared" si="61"/>
        <v/>
      </c>
      <c r="C987" s="59" t="str">
        <f t="shared" si="62"/>
        <v/>
      </c>
      <c r="D987" s="109" t="str">
        <f t="shared" si="63"/>
        <v/>
      </c>
      <c r="E987" s="106" t="s">
        <v>999</v>
      </c>
      <c r="F987" s="58" t="s">
        <v>2441</v>
      </c>
      <c r="G987" s="106">
        <v>12</v>
      </c>
      <c r="H987" s="107"/>
      <c r="I987" s="107"/>
      <c r="J987" s="107"/>
      <c r="K987" s="107"/>
      <c r="L987" s="107"/>
      <c r="M987" s="107"/>
      <c r="N987" s="107"/>
      <c r="O987" s="107"/>
      <c r="P987" s="107"/>
    </row>
    <row r="988" spans="1:16" x14ac:dyDescent="0.3">
      <c r="A988" s="58" t="str">
        <f t="shared" si="64"/>
        <v>A047560</v>
      </c>
      <c r="B988" s="59" t="str">
        <f t="shared" si="61"/>
        <v/>
      </c>
      <c r="C988" s="59" t="str">
        <f t="shared" si="62"/>
        <v/>
      </c>
      <c r="D988" s="109" t="str">
        <f t="shared" si="63"/>
        <v/>
      </c>
      <c r="E988" s="106" t="s">
        <v>1000</v>
      </c>
      <c r="F988" s="58" t="s">
        <v>2442</v>
      </c>
      <c r="G988" s="106">
        <v>12</v>
      </c>
      <c r="H988" s="107"/>
      <c r="I988" s="107"/>
      <c r="J988" s="107"/>
      <c r="K988" s="107"/>
      <c r="L988" s="107"/>
      <c r="M988" s="107"/>
      <c r="N988" s="107"/>
      <c r="O988" s="107"/>
      <c r="P988" s="107"/>
    </row>
    <row r="989" spans="1:16" x14ac:dyDescent="0.3">
      <c r="A989" s="58" t="str">
        <f t="shared" si="64"/>
        <v>A047770</v>
      </c>
      <c r="B989" s="59" t="str">
        <f t="shared" si="61"/>
        <v/>
      </c>
      <c r="C989" s="59" t="str">
        <f t="shared" si="62"/>
        <v/>
      </c>
      <c r="D989" s="109" t="str">
        <f t="shared" si="63"/>
        <v/>
      </c>
      <c r="E989" s="106" t="s">
        <v>1001</v>
      </c>
      <c r="F989" s="58" t="s">
        <v>2443</v>
      </c>
      <c r="G989" s="106">
        <v>12</v>
      </c>
      <c r="H989" s="107"/>
      <c r="I989" s="107"/>
      <c r="J989" s="107"/>
      <c r="K989" s="107"/>
      <c r="L989" s="107"/>
      <c r="M989" s="107"/>
      <c r="N989" s="107"/>
      <c r="O989" s="107"/>
      <c r="P989" s="107"/>
    </row>
    <row r="990" spans="1:16" x14ac:dyDescent="0.3">
      <c r="A990" s="58" t="str">
        <f t="shared" si="64"/>
        <v>A047810</v>
      </c>
      <c r="B990" s="59" t="str">
        <f t="shared" si="61"/>
        <v/>
      </c>
      <c r="C990" s="59" t="str">
        <f t="shared" si="62"/>
        <v/>
      </c>
      <c r="D990" s="109" t="str">
        <f t="shared" si="63"/>
        <v/>
      </c>
      <c r="E990" s="106" t="s">
        <v>3150</v>
      </c>
      <c r="F990" s="58" t="s">
        <v>3352</v>
      </c>
      <c r="G990" s="106">
        <v>12</v>
      </c>
      <c r="H990" s="107"/>
      <c r="I990" s="107"/>
      <c r="J990" s="107"/>
      <c r="K990" s="107"/>
      <c r="L990" s="107"/>
      <c r="M990" s="107"/>
      <c r="N990" s="107"/>
      <c r="O990" s="107"/>
      <c r="P990" s="107"/>
    </row>
    <row r="991" spans="1:16" x14ac:dyDescent="0.3">
      <c r="A991" s="58" t="str">
        <f t="shared" si="64"/>
        <v>A047820</v>
      </c>
      <c r="B991" s="59" t="str">
        <f t="shared" si="61"/>
        <v/>
      </c>
      <c r="C991" s="59" t="str">
        <f t="shared" si="62"/>
        <v/>
      </c>
      <c r="D991" s="109" t="str">
        <f t="shared" si="63"/>
        <v/>
      </c>
      <c r="E991" s="106" t="s">
        <v>1002</v>
      </c>
      <c r="F991" s="58" t="s">
        <v>2444</v>
      </c>
      <c r="G991" s="106">
        <v>12</v>
      </c>
      <c r="H991" s="107"/>
      <c r="I991" s="107"/>
      <c r="J991" s="107"/>
      <c r="K991" s="107"/>
      <c r="L991" s="107"/>
      <c r="M991" s="107"/>
      <c r="N991" s="107"/>
      <c r="O991" s="107"/>
      <c r="P991" s="107"/>
    </row>
    <row r="992" spans="1:16" x14ac:dyDescent="0.3">
      <c r="A992" s="58" t="str">
        <f t="shared" si="64"/>
        <v>A048260</v>
      </c>
      <c r="B992" s="59" t="str">
        <f t="shared" si="61"/>
        <v/>
      </c>
      <c r="C992" s="59" t="str">
        <f t="shared" si="62"/>
        <v/>
      </c>
      <c r="D992" s="109" t="str">
        <f t="shared" si="63"/>
        <v/>
      </c>
      <c r="E992" s="106" t="s">
        <v>1003</v>
      </c>
      <c r="F992" s="58" t="s">
        <v>2445</v>
      </c>
      <c r="G992" s="106">
        <v>12</v>
      </c>
      <c r="H992" s="107"/>
      <c r="I992" s="107"/>
      <c r="J992" s="107"/>
      <c r="K992" s="107"/>
      <c r="L992" s="107"/>
      <c r="M992" s="107"/>
      <c r="N992" s="107"/>
      <c r="O992" s="107"/>
      <c r="P992" s="107"/>
    </row>
    <row r="993" spans="1:16" x14ac:dyDescent="0.3">
      <c r="A993" s="58" t="str">
        <f t="shared" si="64"/>
        <v>A048410</v>
      </c>
      <c r="B993" s="59" t="str">
        <f t="shared" si="61"/>
        <v/>
      </c>
      <c r="C993" s="59" t="str">
        <f t="shared" si="62"/>
        <v/>
      </c>
      <c r="D993" s="109" t="str">
        <f t="shared" si="63"/>
        <v/>
      </c>
      <c r="E993" s="106" t="s">
        <v>1004</v>
      </c>
      <c r="F993" s="58" t="s">
        <v>2446</v>
      </c>
      <c r="G993" s="106">
        <v>12</v>
      </c>
      <c r="H993" s="107"/>
      <c r="I993" s="107"/>
      <c r="J993" s="107"/>
      <c r="K993" s="107"/>
      <c r="L993" s="107"/>
      <c r="M993" s="107"/>
      <c r="N993" s="107"/>
      <c r="O993" s="107"/>
      <c r="P993" s="107"/>
    </row>
    <row r="994" spans="1:16" x14ac:dyDescent="0.3">
      <c r="A994" s="58" t="str">
        <f t="shared" si="64"/>
        <v>A048430</v>
      </c>
      <c r="B994" s="59" t="str">
        <f t="shared" si="61"/>
        <v/>
      </c>
      <c r="C994" s="59" t="str">
        <f t="shared" si="62"/>
        <v/>
      </c>
      <c r="D994" s="109" t="str">
        <f t="shared" si="63"/>
        <v/>
      </c>
      <c r="E994" s="106" t="s">
        <v>1005</v>
      </c>
      <c r="F994" s="58" t="s">
        <v>2447</v>
      </c>
      <c r="G994" s="106">
        <v>12</v>
      </c>
      <c r="H994" s="107"/>
      <c r="I994" s="107"/>
      <c r="J994" s="107"/>
      <c r="K994" s="107"/>
      <c r="L994" s="107"/>
      <c r="M994" s="107"/>
      <c r="N994" s="107"/>
      <c r="O994" s="107"/>
      <c r="P994" s="107"/>
    </row>
    <row r="995" spans="1:16" x14ac:dyDescent="0.3">
      <c r="A995" s="58" t="str">
        <f t="shared" si="64"/>
        <v>A048470</v>
      </c>
      <c r="B995" s="59" t="str">
        <f t="shared" si="61"/>
        <v/>
      </c>
      <c r="C995" s="59" t="str">
        <f t="shared" si="62"/>
        <v/>
      </c>
      <c r="D995" s="109" t="str">
        <f t="shared" si="63"/>
        <v/>
      </c>
      <c r="E995" s="106" t="s">
        <v>1006</v>
      </c>
      <c r="F995" s="58" t="s">
        <v>2448</v>
      </c>
      <c r="G995" s="106">
        <v>12</v>
      </c>
      <c r="H995" s="107"/>
      <c r="I995" s="107"/>
      <c r="J995" s="107"/>
      <c r="K995" s="107"/>
      <c r="L995" s="107"/>
      <c r="M995" s="107"/>
      <c r="N995" s="107"/>
      <c r="O995" s="107"/>
      <c r="P995" s="107"/>
    </row>
    <row r="996" spans="1:16" x14ac:dyDescent="0.3">
      <c r="A996" s="58" t="str">
        <f t="shared" si="64"/>
        <v>A048530</v>
      </c>
      <c r="B996" s="59" t="str">
        <f t="shared" si="61"/>
        <v/>
      </c>
      <c r="C996" s="59" t="str">
        <f t="shared" si="62"/>
        <v/>
      </c>
      <c r="D996" s="109" t="str">
        <f t="shared" si="63"/>
        <v/>
      </c>
      <c r="E996" s="106" t="s">
        <v>3151</v>
      </c>
      <c r="F996" s="58" t="s">
        <v>3353</v>
      </c>
      <c r="G996" s="106">
        <v>12</v>
      </c>
      <c r="H996" s="107"/>
      <c r="I996" s="107"/>
      <c r="J996" s="107"/>
      <c r="K996" s="107"/>
      <c r="L996" s="107"/>
      <c r="M996" s="107"/>
      <c r="N996" s="107"/>
      <c r="O996" s="107"/>
      <c r="P996" s="107"/>
    </row>
    <row r="997" spans="1:16" x14ac:dyDescent="0.3">
      <c r="A997" s="58" t="str">
        <f t="shared" si="64"/>
        <v>A048550</v>
      </c>
      <c r="B997" s="59" t="str">
        <f t="shared" si="61"/>
        <v/>
      </c>
      <c r="C997" s="59" t="str">
        <f t="shared" si="62"/>
        <v/>
      </c>
      <c r="D997" s="109" t="str">
        <f t="shared" si="63"/>
        <v/>
      </c>
      <c r="E997" s="106" t="s">
        <v>1007</v>
      </c>
      <c r="F997" s="58" t="s">
        <v>2449</v>
      </c>
      <c r="G997" s="106">
        <v>12</v>
      </c>
      <c r="H997" s="107"/>
      <c r="I997" s="107"/>
      <c r="J997" s="107"/>
      <c r="K997" s="107"/>
      <c r="L997" s="107"/>
      <c r="M997" s="107"/>
      <c r="N997" s="107"/>
      <c r="O997" s="107"/>
      <c r="P997" s="107"/>
    </row>
    <row r="998" spans="1:16" x14ac:dyDescent="0.3">
      <c r="A998" s="58" t="str">
        <f t="shared" si="64"/>
        <v>A048770</v>
      </c>
      <c r="B998" s="59" t="str">
        <f t="shared" si="61"/>
        <v/>
      </c>
      <c r="C998" s="59" t="str">
        <f t="shared" si="62"/>
        <v/>
      </c>
      <c r="D998" s="109" t="str">
        <f t="shared" si="63"/>
        <v/>
      </c>
      <c r="E998" s="106" t="s">
        <v>1008</v>
      </c>
      <c r="F998" s="58" t="s">
        <v>2450</v>
      </c>
      <c r="G998" s="106">
        <v>6</v>
      </c>
      <c r="H998" s="107"/>
      <c r="I998" s="107"/>
      <c r="J998" s="107"/>
      <c r="K998" s="107"/>
      <c r="L998" s="107"/>
      <c r="M998" s="107"/>
      <c r="N998" s="107"/>
      <c r="O998" s="107"/>
      <c r="P998" s="107"/>
    </row>
    <row r="999" spans="1:16" x14ac:dyDescent="0.3">
      <c r="A999" s="58" t="str">
        <f t="shared" si="64"/>
        <v>A048830</v>
      </c>
      <c r="B999" s="59" t="str">
        <f t="shared" si="61"/>
        <v/>
      </c>
      <c r="C999" s="59" t="str">
        <f t="shared" si="62"/>
        <v/>
      </c>
      <c r="D999" s="109" t="str">
        <f t="shared" si="63"/>
        <v/>
      </c>
      <c r="E999" s="106" t="s">
        <v>1009</v>
      </c>
      <c r="F999" s="58" t="s">
        <v>2451</v>
      </c>
      <c r="G999" s="106">
        <v>12</v>
      </c>
      <c r="H999" s="107"/>
      <c r="I999" s="107"/>
      <c r="J999" s="107"/>
      <c r="K999" s="107"/>
      <c r="L999" s="107"/>
      <c r="M999" s="107"/>
      <c r="N999" s="107"/>
      <c r="O999" s="107"/>
      <c r="P999" s="107"/>
    </row>
    <row r="1000" spans="1:16" x14ac:dyDescent="0.3">
      <c r="A1000" s="58" t="str">
        <f t="shared" si="64"/>
        <v>A048870</v>
      </c>
      <c r="B1000" s="59" t="str">
        <f t="shared" si="61"/>
        <v/>
      </c>
      <c r="C1000" s="59" t="str">
        <f t="shared" si="62"/>
        <v/>
      </c>
      <c r="D1000" s="109" t="str">
        <f t="shared" si="63"/>
        <v/>
      </c>
      <c r="E1000" s="106" t="s">
        <v>1010</v>
      </c>
      <c r="F1000" s="58" t="s">
        <v>2452</v>
      </c>
      <c r="G1000" s="106">
        <v>12</v>
      </c>
      <c r="H1000" s="107"/>
      <c r="I1000" s="107"/>
      <c r="J1000" s="107"/>
      <c r="K1000" s="107"/>
      <c r="L1000" s="107"/>
      <c r="M1000" s="107"/>
      <c r="N1000" s="107"/>
      <c r="O1000" s="107"/>
      <c r="P1000" s="107"/>
    </row>
    <row r="1001" spans="1:16" x14ac:dyDescent="0.3">
      <c r="A1001" s="58" t="str">
        <f t="shared" si="64"/>
        <v>A048910</v>
      </c>
      <c r="B1001" s="59" t="str">
        <f t="shared" si="61"/>
        <v/>
      </c>
      <c r="C1001" s="59" t="str">
        <f t="shared" si="62"/>
        <v/>
      </c>
      <c r="D1001" s="109" t="str">
        <f t="shared" si="63"/>
        <v/>
      </c>
      <c r="E1001" s="106" t="s">
        <v>1011</v>
      </c>
      <c r="F1001" s="58" t="s">
        <v>2453</v>
      </c>
      <c r="G1001" s="106">
        <v>12</v>
      </c>
      <c r="H1001" s="107"/>
      <c r="I1001" s="107"/>
      <c r="J1001" s="107"/>
      <c r="K1001" s="107"/>
      <c r="L1001" s="107"/>
      <c r="M1001" s="107"/>
      <c r="N1001" s="107"/>
      <c r="O1001" s="107"/>
      <c r="P1001" s="107"/>
    </row>
    <row r="1002" spans="1:16" x14ac:dyDescent="0.3">
      <c r="A1002" s="58" t="str">
        <f t="shared" si="64"/>
        <v>A049000</v>
      </c>
      <c r="B1002" s="59" t="str">
        <f t="shared" si="61"/>
        <v/>
      </c>
      <c r="C1002" s="59" t="str">
        <f t="shared" si="62"/>
        <v/>
      </c>
      <c r="D1002" s="109" t="str">
        <f t="shared" si="63"/>
        <v/>
      </c>
      <c r="E1002" s="106" t="s">
        <v>1012</v>
      </c>
      <c r="F1002" s="58" t="s">
        <v>2454</v>
      </c>
      <c r="G1002" s="106">
        <v>12</v>
      </c>
      <c r="H1002" s="107"/>
      <c r="I1002" s="107"/>
      <c r="J1002" s="107"/>
      <c r="K1002" s="107"/>
      <c r="L1002" s="107"/>
      <c r="M1002" s="107"/>
      <c r="N1002" s="107"/>
      <c r="O1002" s="107"/>
      <c r="P1002" s="107"/>
    </row>
    <row r="1003" spans="1:16" x14ac:dyDescent="0.3">
      <c r="A1003" s="58" t="str">
        <f t="shared" si="64"/>
        <v>A049070</v>
      </c>
      <c r="B1003" s="59" t="str">
        <f t="shared" si="61"/>
        <v/>
      </c>
      <c r="C1003" s="59" t="str">
        <f t="shared" si="62"/>
        <v/>
      </c>
      <c r="D1003" s="109" t="str">
        <f t="shared" si="63"/>
        <v/>
      </c>
      <c r="E1003" s="106" t="s">
        <v>1013</v>
      </c>
      <c r="F1003" s="58" t="s">
        <v>2455</v>
      </c>
      <c r="G1003" s="106">
        <v>12</v>
      </c>
      <c r="H1003" s="107"/>
      <c r="I1003" s="107"/>
      <c r="J1003" s="107"/>
      <c r="K1003" s="107"/>
      <c r="L1003" s="107"/>
      <c r="M1003" s="107"/>
      <c r="N1003" s="107"/>
      <c r="O1003" s="107"/>
      <c r="P1003" s="107"/>
    </row>
    <row r="1004" spans="1:16" x14ac:dyDescent="0.3">
      <c r="A1004" s="58" t="str">
        <f t="shared" si="64"/>
        <v>A049120</v>
      </c>
      <c r="B1004" s="59" t="str">
        <f t="shared" si="61"/>
        <v/>
      </c>
      <c r="C1004" s="59" t="str">
        <f t="shared" si="62"/>
        <v/>
      </c>
      <c r="D1004" s="109" t="str">
        <f t="shared" si="63"/>
        <v/>
      </c>
      <c r="E1004" s="106" t="s">
        <v>1014</v>
      </c>
      <c r="F1004" s="58" t="s">
        <v>2456</v>
      </c>
      <c r="G1004" s="106">
        <v>12</v>
      </c>
      <c r="H1004" s="107"/>
      <c r="I1004" s="107"/>
      <c r="J1004" s="107"/>
      <c r="K1004" s="107"/>
      <c r="L1004" s="107"/>
      <c r="M1004" s="107"/>
      <c r="N1004" s="107"/>
      <c r="O1004" s="107"/>
      <c r="P1004" s="107"/>
    </row>
    <row r="1005" spans="1:16" x14ac:dyDescent="0.3">
      <c r="A1005" s="58" t="str">
        <f t="shared" si="64"/>
        <v>A049180</v>
      </c>
      <c r="B1005" s="59" t="str">
        <f t="shared" si="61"/>
        <v/>
      </c>
      <c r="C1005" s="59" t="str">
        <f t="shared" si="62"/>
        <v/>
      </c>
      <c r="D1005" s="109" t="str">
        <f t="shared" si="63"/>
        <v/>
      </c>
      <c r="E1005" s="106" t="s">
        <v>1015</v>
      </c>
      <c r="F1005" s="58" t="s">
        <v>3646</v>
      </c>
      <c r="G1005" s="106">
        <v>12</v>
      </c>
      <c r="H1005" s="107"/>
      <c r="I1005" s="107"/>
      <c r="J1005" s="107"/>
      <c r="K1005" s="107"/>
      <c r="L1005" s="107"/>
      <c r="M1005" s="107"/>
      <c r="N1005" s="107"/>
      <c r="O1005" s="107"/>
      <c r="P1005" s="107"/>
    </row>
    <row r="1006" spans="1:16" x14ac:dyDescent="0.3">
      <c r="A1006" s="58" t="str">
        <f t="shared" si="64"/>
        <v>A049430</v>
      </c>
      <c r="B1006" s="59" t="str">
        <f t="shared" si="61"/>
        <v/>
      </c>
      <c r="C1006" s="59" t="str">
        <f t="shared" si="62"/>
        <v/>
      </c>
      <c r="D1006" s="109" t="str">
        <f t="shared" si="63"/>
        <v/>
      </c>
      <c r="E1006" s="106" t="s">
        <v>1016</v>
      </c>
      <c r="F1006" s="58" t="s">
        <v>2457</v>
      </c>
      <c r="G1006" s="106">
        <v>12</v>
      </c>
      <c r="H1006" s="107"/>
      <c r="I1006" s="107"/>
      <c r="J1006" s="107"/>
      <c r="K1006" s="107"/>
      <c r="L1006" s="107"/>
      <c r="M1006" s="107"/>
      <c r="N1006" s="107"/>
      <c r="O1006" s="107"/>
      <c r="P1006" s="107"/>
    </row>
    <row r="1007" spans="1:16" x14ac:dyDescent="0.3">
      <c r="A1007" s="58" t="str">
        <f t="shared" si="64"/>
        <v>A049470</v>
      </c>
      <c r="B1007" s="59" t="str">
        <f t="shared" si="61"/>
        <v/>
      </c>
      <c r="C1007" s="59" t="str">
        <f t="shared" si="62"/>
        <v/>
      </c>
      <c r="D1007" s="109" t="str">
        <f t="shared" si="63"/>
        <v/>
      </c>
      <c r="E1007" s="106" t="s">
        <v>1017</v>
      </c>
      <c r="F1007" s="58" t="s">
        <v>2458</v>
      </c>
      <c r="G1007" s="106">
        <v>12</v>
      </c>
      <c r="H1007" s="107"/>
      <c r="I1007" s="107"/>
      <c r="J1007" s="107"/>
      <c r="K1007" s="107"/>
      <c r="L1007" s="107"/>
      <c r="M1007" s="107"/>
      <c r="N1007" s="107"/>
      <c r="O1007" s="107"/>
      <c r="P1007" s="107"/>
    </row>
    <row r="1008" spans="1:16" x14ac:dyDescent="0.3">
      <c r="A1008" s="58" t="str">
        <f t="shared" si="64"/>
        <v>A049480</v>
      </c>
      <c r="B1008" s="59" t="str">
        <f t="shared" si="61"/>
        <v/>
      </c>
      <c r="C1008" s="59" t="str">
        <f t="shared" si="62"/>
        <v/>
      </c>
      <c r="D1008" s="109" t="str">
        <f t="shared" si="63"/>
        <v/>
      </c>
      <c r="E1008" s="106" t="s">
        <v>1018</v>
      </c>
      <c r="F1008" s="58" t="s">
        <v>2459</v>
      </c>
      <c r="G1008" s="106">
        <v>12</v>
      </c>
      <c r="H1008" s="107"/>
      <c r="I1008" s="107"/>
      <c r="J1008" s="107"/>
      <c r="K1008" s="107"/>
      <c r="L1008" s="107"/>
      <c r="M1008" s="107"/>
      <c r="N1008" s="107"/>
      <c r="O1008" s="107"/>
      <c r="P1008" s="107"/>
    </row>
    <row r="1009" spans="1:16" x14ac:dyDescent="0.3">
      <c r="A1009" s="58" t="str">
        <f t="shared" si="64"/>
        <v>A049520</v>
      </c>
      <c r="B1009" s="59" t="str">
        <f t="shared" si="61"/>
        <v/>
      </c>
      <c r="C1009" s="59" t="str">
        <f t="shared" si="62"/>
        <v/>
      </c>
      <c r="D1009" s="109" t="str">
        <f t="shared" si="63"/>
        <v/>
      </c>
      <c r="E1009" s="106" t="s">
        <v>1019</v>
      </c>
      <c r="F1009" s="58" t="s">
        <v>2460</v>
      </c>
      <c r="G1009" s="106">
        <v>12</v>
      </c>
      <c r="H1009" s="107"/>
      <c r="I1009" s="107"/>
      <c r="J1009" s="107"/>
      <c r="K1009" s="107"/>
      <c r="L1009" s="107"/>
      <c r="M1009" s="107"/>
      <c r="N1009" s="107"/>
      <c r="O1009" s="107"/>
      <c r="P1009" s="107"/>
    </row>
    <row r="1010" spans="1:16" x14ac:dyDescent="0.3">
      <c r="A1010" s="58" t="str">
        <f t="shared" si="64"/>
        <v>A049550</v>
      </c>
      <c r="B1010" s="59" t="str">
        <f t="shared" si="61"/>
        <v/>
      </c>
      <c r="C1010" s="59" t="str">
        <f t="shared" si="62"/>
        <v/>
      </c>
      <c r="D1010" s="109" t="str">
        <f t="shared" si="63"/>
        <v/>
      </c>
      <c r="E1010" s="106" t="s">
        <v>1020</v>
      </c>
      <c r="F1010" s="58" t="s">
        <v>2461</v>
      </c>
      <c r="G1010" s="106">
        <v>12</v>
      </c>
      <c r="H1010" s="107"/>
      <c r="I1010" s="107"/>
      <c r="J1010" s="107"/>
      <c r="K1010" s="107"/>
      <c r="L1010" s="107"/>
      <c r="M1010" s="107"/>
      <c r="N1010" s="107"/>
      <c r="O1010" s="107"/>
      <c r="P1010" s="107"/>
    </row>
    <row r="1011" spans="1:16" x14ac:dyDescent="0.3">
      <c r="A1011" s="58" t="str">
        <f t="shared" si="64"/>
        <v>A049630</v>
      </c>
      <c r="B1011" s="59" t="str">
        <f t="shared" si="61"/>
        <v/>
      </c>
      <c r="C1011" s="59" t="str">
        <f t="shared" si="62"/>
        <v/>
      </c>
      <c r="D1011" s="109" t="str">
        <f t="shared" si="63"/>
        <v/>
      </c>
      <c r="E1011" s="106" t="s">
        <v>1021</v>
      </c>
      <c r="F1011" s="58" t="s">
        <v>2462</v>
      </c>
      <c r="G1011" s="106">
        <v>12</v>
      </c>
      <c r="H1011" s="107"/>
      <c r="I1011" s="107"/>
      <c r="J1011" s="107"/>
      <c r="K1011" s="107"/>
      <c r="L1011" s="107"/>
      <c r="M1011" s="107"/>
      <c r="N1011" s="107"/>
      <c r="O1011" s="107"/>
      <c r="P1011" s="107"/>
    </row>
    <row r="1012" spans="1:16" x14ac:dyDescent="0.3">
      <c r="A1012" s="58" t="str">
        <f t="shared" si="64"/>
        <v>A049720</v>
      </c>
      <c r="B1012" s="59" t="str">
        <f t="shared" si="61"/>
        <v/>
      </c>
      <c r="C1012" s="59" t="str">
        <f t="shared" si="62"/>
        <v/>
      </c>
      <c r="D1012" s="109" t="str">
        <f t="shared" si="63"/>
        <v/>
      </c>
      <c r="E1012" s="106" t="s">
        <v>1022</v>
      </c>
      <c r="F1012" s="58" t="s">
        <v>2463</v>
      </c>
      <c r="G1012" s="106">
        <v>12</v>
      </c>
      <c r="H1012" s="107"/>
      <c r="I1012" s="107"/>
      <c r="J1012" s="107"/>
      <c r="K1012" s="107"/>
      <c r="L1012" s="107"/>
      <c r="M1012" s="107"/>
      <c r="N1012" s="107"/>
      <c r="O1012" s="107"/>
      <c r="P1012" s="107"/>
    </row>
    <row r="1013" spans="1:16" x14ac:dyDescent="0.3">
      <c r="A1013" s="58" t="str">
        <f t="shared" si="64"/>
        <v>A049770</v>
      </c>
      <c r="B1013" s="59" t="str">
        <f t="shared" si="61"/>
        <v/>
      </c>
      <c r="C1013" s="59" t="str">
        <f t="shared" si="62"/>
        <v/>
      </c>
      <c r="D1013" s="109" t="str">
        <f t="shared" si="63"/>
        <v/>
      </c>
      <c r="E1013" s="106" t="s">
        <v>1023</v>
      </c>
      <c r="F1013" s="58" t="s">
        <v>2464</v>
      </c>
      <c r="G1013" s="106">
        <v>12</v>
      </c>
      <c r="H1013" s="107"/>
      <c r="I1013" s="107"/>
      <c r="J1013" s="107"/>
      <c r="K1013" s="107"/>
      <c r="L1013" s="107"/>
      <c r="M1013" s="107"/>
      <c r="N1013" s="107"/>
      <c r="O1013" s="107"/>
      <c r="P1013" s="107"/>
    </row>
    <row r="1014" spans="1:16" x14ac:dyDescent="0.3">
      <c r="A1014" s="58" t="str">
        <f t="shared" si="64"/>
        <v>A049800</v>
      </c>
      <c r="B1014" s="59" t="str">
        <f t="shared" si="61"/>
        <v/>
      </c>
      <c r="C1014" s="59" t="str">
        <f t="shared" si="62"/>
        <v/>
      </c>
      <c r="D1014" s="109" t="str">
        <f t="shared" si="63"/>
        <v/>
      </c>
      <c r="E1014" s="106" t="s">
        <v>1024</v>
      </c>
      <c r="F1014" s="58" t="s">
        <v>2465</v>
      </c>
      <c r="G1014" s="106">
        <v>12</v>
      </c>
      <c r="H1014" s="107"/>
      <c r="I1014" s="107"/>
      <c r="J1014" s="107"/>
      <c r="K1014" s="107"/>
      <c r="L1014" s="107"/>
      <c r="M1014" s="107"/>
      <c r="N1014" s="107"/>
      <c r="O1014" s="107"/>
      <c r="P1014" s="107"/>
    </row>
    <row r="1015" spans="1:16" x14ac:dyDescent="0.3">
      <c r="A1015" s="58" t="str">
        <f t="shared" si="64"/>
        <v>A049830</v>
      </c>
      <c r="B1015" s="59">
        <f t="shared" si="61"/>
        <v>41474</v>
      </c>
      <c r="C1015" s="59">
        <f t="shared" si="62"/>
        <v>41474</v>
      </c>
      <c r="D1015" s="109">
        <f t="shared" si="63"/>
        <v>3.68</v>
      </c>
      <c r="E1015" s="106" t="s">
        <v>1025</v>
      </c>
      <c r="F1015" s="58" t="s">
        <v>2466</v>
      </c>
      <c r="G1015" s="106">
        <v>12</v>
      </c>
      <c r="H1015" s="107">
        <v>20130719</v>
      </c>
      <c r="I1015" s="107">
        <v>20130719</v>
      </c>
      <c r="J1015" s="107">
        <v>3.68</v>
      </c>
      <c r="K1015" s="107"/>
      <c r="L1015" s="107"/>
      <c r="M1015" s="107"/>
      <c r="N1015" s="107"/>
      <c r="O1015" s="107"/>
      <c r="P1015" s="107"/>
    </row>
    <row r="1016" spans="1:16" x14ac:dyDescent="0.3">
      <c r="A1016" s="58" t="str">
        <f t="shared" si="64"/>
        <v>A049950</v>
      </c>
      <c r="B1016" s="59" t="str">
        <f t="shared" si="61"/>
        <v/>
      </c>
      <c r="C1016" s="59" t="str">
        <f t="shared" si="62"/>
        <v/>
      </c>
      <c r="D1016" s="109" t="str">
        <f t="shared" si="63"/>
        <v/>
      </c>
      <c r="E1016" s="106" t="s">
        <v>1026</v>
      </c>
      <c r="F1016" s="58" t="s">
        <v>2467</v>
      </c>
      <c r="G1016" s="106">
        <v>12</v>
      </c>
      <c r="H1016" s="107"/>
      <c r="I1016" s="107"/>
      <c r="J1016" s="107"/>
      <c r="K1016" s="107"/>
      <c r="L1016" s="107"/>
      <c r="M1016" s="107"/>
      <c r="N1016" s="107"/>
      <c r="O1016" s="107"/>
      <c r="P1016" s="107"/>
    </row>
    <row r="1017" spans="1:16" x14ac:dyDescent="0.3">
      <c r="A1017" s="58" t="str">
        <f t="shared" si="64"/>
        <v>A049960</v>
      </c>
      <c r="B1017" s="59" t="str">
        <f t="shared" si="61"/>
        <v/>
      </c>
      <c r="C1017" s="59" t="str">
        <f t="shared" si="62"/>
        <v/>
      </c>
      <c r="D1017" s="109" t="str">
        <f t="shared" si="63"/>
        <v/>
      </c>
      <c r="E1017" s="106" t="s">
        <v>1027</v>
      </c>
      <c r="F1017" s="58" t="s">
        <v>2468</v>
      </c>
      <c r="G1017" s="106">
        <v>12</v>
      </c>
      <c r="H1017" s="107"/>
      <c r="I1017" s="107"/>
      <c r="J1017" s="107"/>
      <c r="K1017" s="107"/>
      <c r="L1017" s="107"/>
      <c r="M1017" s="107"/>
      <c r="N1017" s="107"/>
      <c r="O1017" s="107"/>
      <c r="P1017" s="107"/>
    </row>
    <row r="1018" spans="1:16" x14ac:dyDescent="0.3">
      <c r="A1018" s="58" t="str">
        <f t="shared" si="64"/>
        <v>A050090</v>
      </c>
      <c r="B1018" s="59" t="str">
        <f t="shared" si="61"/>
        <v/>
      </c>
      <c r="C1018" s="59" t="str">
        <f t="shared" si="62"/>
        <v/>
      </c>
      <c r="D1018" s="109" t="str">
        <f t="shared" si="63"/>
        <v/>
      </c>
      <c r="E1018" s="106" t="s">
        <v>1028</v>
      </c>
      <c r="F1018" s="58" t="s">
        <v>2469</v>
      </c>
      <c r="G1018" s="106">
        <v>12</v>
      </c>
      <c r="H1018" s="107"/>
      <c r="I1018" s="107"/>
      <c r="J1018" s="107"/>
      <c r="K1018" s="107"/>
      <c r="L1018" s="107"/>
      <c r="M1018" s="107"/>
      <c r="N1018" s="107"/>
      <c r="O1018" s="107"/>
      <c r="P1018" s="107"/>
    </row>
    <row r="1019" spans="1:16" x14ac:dyDescent="0.3">
      <c r="A1019" s="58" t="str">
        <f t="shared" si="64"/>
        <v>A050110</v>
      </c>
      <c r="B1019" s="59" t="str">
        <f t="shared" si="61"/>
        <v/>
      </c>
      <c r="C1019" s="59" t="str">
        <f t="shared" si="62"/>
        <v/>
      </c>
      <c r="D1019" s="109" t="str">
        <f t="shared" si="63"/>
        <v/>
      </c>
      <c r="E1019" s="106" t="s">
        <v>1029</v>
      </c>
      <c r="F1019" s="58" t="s">
        <v>2470</v>
      </c>
      <c r="G1019" s="106">
        <v>12</v>
      </c>
      <c r="H1019" s="107"/>
      <c r="I1019" s="107"/>
      <c r="J1019" s="107"/>
      <c r="K1019" s="107"/>
      <c r="L1019" s="107"/>
      <c r="M1019" s="107"/>
      <c r="N1019" s="107"/>
      <c r="O1019" s="107"/>
      <c r="P1019" s="107"/>
    </row>
    <row r="1020" spans="1:16" x14ac:dyDescent="0.3">
      <c r="A1020" s="58" t="str">
        <f t="shared" si="64"/>
        <v>A050120</v>
      </c>
      <c r="B1020" s="59" t="str">
        <f t="shared" si="61"/>
        <v/>
      </c>
      <c r="C1020" s="59" t="str">
        <f t="shared" si="62"/>
        <v/>
      </c>
      <c r="D1020" s="109" t="str">
        <f t="shared" si="63"/>
        <v/>
      </c>
      <c r="E1020" s="106" t="s">
        <v>1030</v>
      </c>
      <c r="F1020" s="58" t="s">
        <v>2471</v>
      </c>
      <c r="G1020" s="106">
        <v>12</v>
      </c>
      <c r="H1020" s="107"/>
      <c r="I1020" s="107"/>
      <c r="J1020" s="107"/>
      <c r="K1020" s="107"/>
      <c r="L1020" s="107"/>
      <c r="M1020" s="107"/>
      <c r="N1020" s="107"/>
      <c r="O1020" s="107"/>
      <c r="P1020" s="107"/>
    </row>
    <row r="1021" spans="1:16" x14ac:dyDescent="0.3">
      <c r="A1021" s="58" t="str">
        <f t="shared" si="64"/>
        <v>A050320</v>
      </c>
      <c r="B1021" s="59" t="str">
        <f t="shared" si="61"/>
        <v/>
      </c>
      <c r="C1021" s="59" t="str">
        <f t="shared" si="62"/>
        <v/>
      </c>
      <c r="D1021" s="109" t="str">
        <f t="shared" si="63"/>
        <v/>
      </c>
      <c r="E1021" s="106" t="s">
        <v>1031</v>
      </c>
      <c r="F1021" s="58" t="s">
        <v>2472</v>
      </c>
      <c r="G1021" s="106">
        <v>12</v>
      </c>
      <c r="H1021" s="107"/>
      <c r="I1021" s="107"/>
      <c r="J1021" s="107"/>
      <c r="K1021" s="107"/>
      <c r="L1021" s="107"/>
      <c r="M1021" s="107"/>
      <c r="N1021" s="107"/>
      <c r="O1021" s="107"/>
      <c r="P1021" s="107"/>
    </row>
    <row r="1022" spans="1:16" x14ac:dyDescent="0.3">
      <c r="A1022" s="58" t="str">
        <f t="shared" si="64"/>
        <v>A050540</v>
      </c>
      <c r="B1022" s="59" t="str">
        <f t="shared" si="61"/>
        <v/>
      </c>
      <c r="C1022" s="59" t="str">
        <f t="shared" si="62"/>
        <v/>
      </c>
      <c r="D1022" s="109" t="str">
        <f t="shared" si="63"/>
        <v/>
      </c>
      <c r="E1022" s="106" t="s">
        <v>1032</v>
      </c>
      <c r="F1022" s="58" t="s">
        <v>2473</v>
      </c>
      <c r="G1022" s="106">
        <v>12</v>
      </c>
      <c r="H1022" s="107"/>
      <c r="I1022" s="107"/>
      <c r="J1022" s="107"/>
      <c r="K1022" s="107"/>
      <c r="L1022" s="107"/>
      <c r="M1022" s="107"/>
      <c r="N1022" s="107"/>
      <c r="O1022" s="107"/>
      <c r="P1022" s="107"/>
    </row>
    <row r="1023" spans="1:16" x14ac:dyDescent="0.3">
      <c r="A1023" s="58" t="str">
        <f t="shared" si="64"/>
        <v>A050760</v>
      </c>
      <c r="B1023" s="59" t="str">
        <f t="shared" si="61"/>
        <v/>
      </c>
      <c r="C1023" s="59" t="str">
        <f t="shared" si="62"/>
        <v/>
      </c>
      <c r="D1023" s="109" t="str">
        <f t="shared" si="63"/>
        <v/>
      </c>
      <c r="E1023" s="106" t="s">
        <v>1033</v>
      </c>
      <c r="F1023" s="58" t="s">
        <v>2474</v>
      </c>
      <c r="G1023" s="106">
        <v>12</v>
      </c>
      <c r="H1023" s="107"/>
      <c r="I1023" s="107"/>
      <c r="J1023" s="107"/>
      <c r="K1023" s="107"/>
      <c r="L1023" s="107"/>
      <c r="M1023" s="107"/>
      <c r="N1023" s="107"/>
      <c r="O1023" s="107"/>
      <c r="P1023" s="107"/>
    </row>
    <row r="1024" spans="1:16" x14ac:dyDescent="0.3">
      <c r="A1024" s="58" t="str">
        <f t="shared" si="64"/>
        <v>A050860</v>
      </c>
      <c r="B1024" s="59" t="str">
        <f t="shared" si="61"/>
        <v/>
      </c>
      <c r="C1024" s="59" t="str">
        <f t="shared" si="62"/>
        <v/>
      </c>
      <c r="D1024" s="109" t="str">
        <f t="shared" si="63"/>
        <v/>
      </c>
      <c r="E1024" s="106" t="s">
        <v>3152</v>
      </c>
      <c r="F1024" s="58" t="s">
        <v>3354</v>
      </c>
      <c r="G1024" s="106">
        <v>6</v>
      </c>
      <c r="H1024" s="107"/>
      <c r="I1024" s="107"/>
      <c r="J1024" s="107"/>
      <c r="K1024" s="107"/>
      <c r="L1024" s="107"/>
      <c r="M1024" s="107"/>
      <c r="N1024" s="107"/>
      <c r="O1024" s="107"/>
      <c r="P1024" s="107"/>
    </row>
    <row r="1025" spans="1:16" x14ac:dyDescent="0.3">
      <c r="A1025" s="58" t="str">
        <f t="shared" si="64"/>
        <v>A050890</v>
      </c>
      <c r="B1025" s="59" t="str">
        <f t="shared" si="61"/>
        <v/>
      </c>
      <c r="C1025" s="59" t="str">
        <f t="shared" si="62"/>
        <v/>
      </c>
      <c r="D1025" s="109" t="str">
        <f t="shared" si="63"/>
        <v/>
      </c>
      <c r="E1025" s="106" t="s">
        <v>1034</v>
      </c>
      <c r="F1025" s="58" t="s">
        <v>2475</v>
      </c>
      <c r="G1025" s="106">
        <v>12</v>
      </c>
      <c r="H1025" s="107"/>
      <c r="I1025" s="107"/>
      <c r="J1025" s="107"/>
      <c r="K1025" s="107"/>
      <c r="L1025" s="107"/>
      <c r="M1025" s="107"/>
      <c r="N1025" s="107"/>
      <c r="O1025" s="107"/>
      <c r="P1025" s="107"/>
    </row>
    <row r="1026" spans="1:16" x14ac:dyDescent="0.3">
      <c r="A1026" s="58" t="str">
        <f t="shared" si="64"/>
        <v>A051160</v>
      </c>
      <c r="B1026" s="59" t="str">
        <f t="shared" si="61"/>
        <v/>
      </c>
      <c r="C1026" s="59" t="str">
        <f t="shared" si="62"/>
        <v/>
      </c>
      <c r="D1026" s="109" t="str">
        <f t="shared" si="63"/>
        <v/>
      </c>
      <c r="E1026" s="106" t="s">
        <v>1035</v>
      </c>
      <c r="F1026" s="58" t="s">
        <v>3647</v>
      </c>
      <c r="G1026" s="106">
        <v>12</v>
      </c>
      <c r="H1026" s="107"/>
      <c r="I1026" s="107"/>
      <c r="J1026" s="107"/>
      <c r="K1026" s="107"/>
      <c r="L1026" s="107"/>
      <c r="M1026" s="107"/>
      <c r="N1026" s="107"/>
      <c r="O1026" s="107"/>
      <c r="P1026" s="107"/>
    </row>
    <row r="1027" spans="1:16" x14ac:dyDescent="0.3">
      <c r="A1027" s="58" t="str">
        <f t="shared" si="64"/>
        <v>A051170</v>
      </c>
      <c r="B1027" s="59" t="str">
        <f t="shared" si="61"/>
        <v/>
      </c>
      <c r="C1027" s="59" t="str">
        <f t="shared" si="62"/>
        <v/>
      </c>
      <c r="D1027" s="109" t="str">
        <f t="shared" si="63"/>
        <v/>
      </c>
      <c r="E1027" s="106" t="s">
        <v>1036</v>
      </c>
      <c r="F1027" s="58" t="s">
        <v>2476</v>
      </c>
      <c r="G1027" s="106">
        <v>12</v>
      </c>
      <c r="H1027" s="107"/>
      <c r="I1027" s="107"/>
      <c r="J1027" s="107"/>
      <c r="K1027" s="107"/>
      <c r="L1027" s="107"/>
      <c r="M1027" s="107"/>
      <c r="N1027" s="107"/>
      <c r="O1027" s="107"/>
      <c r="P1027" s="107"/>
    </row>
    <row r="1028" spans="1:16" x14ac:dyDescent="0.3">
      <c r="A1028" s="58" t="str">
        <f t="shared" si="64"/>
        <v>A051310</v>
      </c>
      <c r="B1028" s="59" t="str">
        <f t="shared" si="61"/>
        <v/>
      </c>
      <c r="C1028" s="59" t="str">
        <f t="shared" si="62"/>
        <v/>
      </c>
      <c r="D1028" s="109" t="str">
        <f t="shared" si="63"/>
        <v/>
      </c>
      <c r="E1028" s="106" t="s">
        <v>1037</v>
      </c>
      <c r="F1028" s="58" t="s">
        <v>3715</v>
      </c>
      <c r="G1028" s="106">
        <v>12</v>
      </c>
      <c r="H1028" s="107"/>
      <c r="I1028" s="107"/>
      <c r="J1028" s="107"/>
      <c r="K1028" s="107"/>
      <c r="L1028" s="107"/>
      <c r="M1028" s="107"/>
      <c r="N1028" s="107"/>
      <c r="O1028" s="107"/>
      <c r="P1028" s="107"/>
    </row>
    <row r="1029" spans="1:16" x14ac:dyDescent="0.3">
      <c r="A1029" s="58" t="str">
        <f t="shared" si="64"/>
        <v>A051360</v>
      </c>
      <c r="B1029" s="59" t="str">
        <f t="shared" si="61"/>
        <v/>
      </c>
      <c r="C1029" s="59" t="str">
        <f t="shared" si="62"/>
        <v/>
      </c>
      <c r="D1029" s="109" t="str">
        <f t="shared" si="63"/>
        <v/>
      </c>
      <c r="E1029" s="106" t="s">
        <v>1038</v>
      </c>
      <c r="F1029" s="58" t="s">
        <v>2478</v>
      </c>
      <c r="G1029" s="106">
        <v>12</v>
      </c>
      <c r="H1029" s="107"/>
      <c r="I1029" s="107"/>
      <c r="J1029" s="107"/>
      <c r="K1029" s="107"/>
      <c r="L1029" s="107"/>
      <c r="M1029" s="107"/>
      <c r="N1029" s="107"/>
      <c r="O1029" s="107"/>
      <c r="P1029" s="107"/>
    </row>
    <row r="1030" spans="1:16" x14ac:dyDescent="0.3">
      <c r="A1030" s="58" t="str">
        <f t="shared" si="64"/>
        <v>A051370</v>
      </c>
      <c r="B1030" s="59">
        <f t="shared" si="61"/>
        <v>41466</v>
      </c>
      <c r="C1030" s="59">
        <f t="shared" si="62"/>
        <v>41466</v>
      </c>
      <c r="D1030" s="109">
        <f t="shared" si="63"/>
        <v>21.11</v>
      </c>
      <c r="E1030" s="106" t="s">
        <v>1039</v>
      </c>
      <c r="F1030" s="58" t="s">
        <v>2479</v>
      </c>
      <c r="G1030" s="106">
        <v>12</v>
      </c>
      <c r="H1030" s="107">
        <v>20130711</v>
      </c>
      <c r="I1030" s="107">
        <v>20130711</v>
      </c>
      <c r="J1030" s="107">
        <v>21.11</v>
      </c>
      <c r="K1030" s="107"/>
      <c r="L1030" s="107"/>
      <c r="M1030" s="107"/>
      <c r="N1030" s="107"/>
      <c r="O1030" s="107"/>
      <c r="P1030" s="107"/>
    </row>
    <row r="1031" spans="1:16" x14ac:dyDescent="0.3">
      <c r="A1031" s="58" t="str">
        <f t="shared" si="64"/>
        <v>A051380</v>
      </c>
      <c r="B1031" s="59" t="str">
        <f t="shared" si="61"/>
        <v/>
      </c>
      <c r="C1031" s="59" t="str">
        <f t="shared" si="62"/>
        <v/>
      </c>
      <c r="D1031" s="109" t="str">
        <f t="shared" si="63"/>
        <v/>
      </c>
      <c r="E1031" s="106" t="s">
        <v>1040</v>
      </c>
      <c r="F1031" s="58" t="s">
        <v>2480</v>
      </c>
      <c r="G1031" s="106">
        <v>12</v>
      </c>
      <c r="H1031" s="107"/>
      <c r="I1031" s="107"/>
      <c r="J1031" s="107"/>
      <c r="K1031" s="107"/>
      <c r="L1031" s="107"/>
      <c r="M1031" s="107"/>
      <c r="N1031" s="107"/>
      <c r="O1031" s="107"/>
      <c r="P1031" s="107"/>
    </row>
    <row r="1032" spans="1:16" x14ac:dyDescent="0.3">
      <c r="A1032" s="58" t="str">
        <f t="shared" si="64"/>
        <v>A051390</v>
      </c>
      <c r="B1032" s="59" t="str">
        <f t="shared" si="61"/>
        <v/>
      </c>
      <c r="C1032" s="59" t="str">
        <f t="shared" si="62"/>
        <v/>
      </c>
      <c r="D1032" s="109" t="str">
        <f t="shared" si="63"/>
        <v/>
      </c>
      <c r="E1032" s="106" t="s">
        <v>1041</v>
      </c>
      <c r="F1032" s="58" t="s">
        <v>2481</v>
      </c>
      <c r="G1032" s="106">
        <v>12</v>
      </c>
      <c r="H1032" s="107"/>
      <c r="I1032" s="107"/>
      <c r="J1032" s="107"/>
      <c r="K1032" s="107"/>
      <c r="L1032" s="107"/>
      <c r="M1032" s="107"/>
      <c r="N1032" s="107"/>
      <c r="O1032" s="107"/>
      <c r="P1032" s="107"/>
    </row>
    <row r="1033" spans="1:16" x14ac:dyDescent="0.3">
      <c r="A1033" s="58" t="str">
        <f t="shared" si="64"/>
        <v>A051490</v>
      </c>
      <c r="B1033" s="59" t="str">
        <f t="shared" si="61"/>
        <v/>
      </c>
      <c r="C1033" s="59" t="str">
        <f t="shared" si="62"/>
        <v/>
      </c>
      <c r="D1033" s="109" t="str">
        <f t="shared" si="63"/>
        <v/>
      </c>
      <c r="E1033" s="106" t="s">
        <v>1042</v>
      </c>
      <c r="F1033" s="58" t="s">
        <v>2482</v>
      </c>
      <c r="G1033" s="106">
        <v>12</v>
      </c>
      <c r="H1033" s="107"/>
      <c r="I1033" s="107"/>
      <c r="J1033" s="107"/>
      <c r="K1033" s="107"/>
      <c r="L1033" s="107"/>
      <c r="M1033" s="107"/>
      <c r="N1033" s="107"/>
      <c r="O1033" s="107"/>
      <c r="P1033" s="107"/>
    </row>
    <row r="1034" spans="1:16" x14ac:dyDescent="0.3">
      <c r="A1034" s="58" t="str">
        <f t="shared" si="64"/>
        <v>A051500</v>
      </c>
      <c r="B1034" s="59" t="str">
        <f t="shared" si="61"/>
        <v/>
      </c>
      <c r="C1034" s="59" t="str">
        <f t="shared" si="62"/>
        <v/>
      </c>
      <c r="D1034" s="109" t="str">
        <f t="shared" si="63"/>
        <v/>
      </c>
      <c r="E1034" s="106" t="s">
        <v>1043</v>
      </c>
      <c r="F1034" s="58" t="s">
        <v>2483</v>
      </c>
      <c r="G1034" s="106">
        <v>12</v>
      </c>
      <c r="H1034" s="107"/>
      <c r="I1034" s="107"/>
      <c r="J1034" s="107"/>
      <c r="K1034" s="107"/>
      <c r="L1034" s="107"/>
      <c r="M1034" s="107"/>
      <c r="N1034" s="107"/>
      <c r="O1034" s="107"/>
      <c r="P1034" s="107"/>
    </row>
    <row r="1035" spans="1:16" x14ac:dyDescent="0.3">
      <c r="A1035" s="58" t="str">
        <f t="shared" si="64"/>
        <v>A051600</v>
      </c>
      <c r="B1035" s="59" t="str">
        <f t="shared" si="61"/>
        <v/>
      </c>
      <c r="C1035" s="59" t="str">
        <f t="shared" si="62"/>
        <v/>
      </c>
      <c r="D1035" s="109" t="str">
        <f t="shared" si="63"/>
        <v/>
      </c>
      <c r="E1035" s="106" t="s">
        <v>1044</v>
      </c>
      <c r="F1035" s="58" t="s">
        <v>2484</v>
      </c>
      <c r="G1035" s="106">
        <v>12</v>
      </c>
      <c r="H1035" s="107"/>
      <c r="I1035" s="107"/>
      <c r="J1035" s="107"/>
      <c r="K1035" s="107"/>
      <c r="L1035" s="107"/>
      <c r="M1035" s="107"/>
      <c r="N1035" s="107"/>
      <c r="O1035" s="107"/>
      <c r="P1035" s="107"/>
    </row>
    <row r="1036" spans="1:16" x14ac:dyDescent="0.3">
      <c r="A1036" s="58" t="str">
        <f t="shared" si="64"/>
        <v>A051630</v>
      </c>
      <c r="B1036" s="59" t="str">
        <f t="shared" si="61"/>
        <v/>
      </c>
      <c r="C1036" s="59" t="str">
        <f t="shared" si="62"/>
        <v/>
      </c>
      <c r="D1036" s="109" t="str">
        <f t="shared" si="63"/>
        <v/>
      </c>
      <c r="E1036" s="106" t="s">
        <v>1045</v>
      </c>
      <c r="F1036" s="58" t="s">
        <v>2485</v>
      </c>
      <c r="G1036" s="106">
        <v>12</v>
      </c>
      <c r="H1036" s="107"/>
      <c r="I1036" s="107"/>
      <c r="J1036" s="107"/>
      <c r="K1036" s="107"/>
      <c r="L1036" s="107"/>
      <c r="M1036" s="107"/>
      <c r="N1036" s="107"/>
      <c r="O1036" s="107"/>
      <c r="P1036" s="107"/>
    </row>
    <row r="1037" spans="1:16" x14ac:dyDescent="0.3">
      <c r="A1037" s="58" t="str">
        <f t="shared" si="64"/>
        <v>A051780</v>
      </c>
      <c r="B1037" s="59" t="str">
        <f t="shared" si="61"/>
        <v/>
      </c>
      <c r="C1037" s="59" t="str">
        <f t="shared" si="62"/>
        <v/>
      </c>
      <c r="D1037" s="109" t="str">
        <f t="shared" si="63"/>
        <v/>
      </c>
      <c r="E1037" s="106" t="s">
        <v>1046</v>
      </c>
      <c r="F1037" s="58" t="s">
        <v>2486</v>
      </c>
      <c r="G1037" s="106">
        <v>12</v>
      </c>
      <c r="H1037" s="107"/>
      <c r="I1037" s="107"/>
      <c r="J1037" s="107"/>
      <c r="K1037" s="107"/>
      <c r="L1037" s="107"/>
      <c r="M1037" s="107"/>
      <c r="N1037" s="107"/>
      <c r="O1037" s="107"/>
      <c r="P1037" s="107"/>
    </row>
    <row r="1038" spans="1:16" x14ac:dyDescent="0.3">
      <c r="A1038" s="58" t="str">
        <f t="shared" si="64"/>
        <v>A051900</v>
      </c>
      <c r="B1038" s="59">
        <f t="shared" si="61"/>
        <v>41478</v>
      </c>
      <c r="C1038" s="59">
        <f t="shared" si="62"/>
        <v>41478</v>
      </c>
      <c r="D1038" s="109">
        <f t="shared" si="63"/>
        <v>120.16</v>
      </c>
      <c r="E1038" s="106" t="s">
        <v>1047</v>
      </c>
      <c r="F1038" s="58" t="s">
        <v>2487</v>
      </c>
      <c r="G1038" s="106">
        <v>12</v>
      </c>
      <c r="H1038" s="107">
        <v>20130723</v>
      </c>
      <c r="I1038" s="107">
        <v>20130723</v>
      </c>
      <c r="J1038" s="107">
        <v>120.16</v>
      </c>
      <c r="K1038" s="107"/>
      <c r="L1038" s="107"/>
      <c r="M1038" s="107"/>
      <c r="N1038" s="107"/>
      <c r="O1038" s="107"/>
      <c r="P1038" s="107"/>
    </row>
    <row r="1039" spans="1:16" x14ac:dyDescent="0.3">
      <c r="A1039" s="58" t="str">
        <f t="shared" si="64"/>
        <v>A051910</v>
      </c>
      <c r="B1039" s="59">
        <f t="shared" ref="B1039:B1102" si="65">IFERROR(IF(ISNUMBER(H1039),DATE(LEFT(H1039,4),MID(H1039,5,2),RIGHT(H1039,2)),NA()),"")</f>
        <v>41477</v>
      </c>
      <c r="C1039" s="59">
        <f t="shared" ref="C1039:C1102" si="66">IFERROR(IF(ISNUMBER(I1039),DATE(LEFT(I1039,4),MID(I1039,5,2),RIGHT(I1039,2)),NA()),"")</f>
        <v>41477</v>
      </c>
      <c r="D1039" s="109">
        <f t="shared" ref="D1039:D1102" si="67">IFERROR(IF(ISNUMBER(J1039),J1039,NA()),"")</f>
        <v>501.52</v>
      </c>
      <c r="E1039" s="106" t="s">
        <v>1048</v>
      </c>
      <c r="F1039" s="58" t="s">
        <v>2488</v>
      </c>
      <c r="G1039" s="106">
        <v>12</v>
      </c>
      <c r="H1039" s="107">
        <v>20130722</v>
      </c>
      <c r="I1039" s="107">
        <v>20130722</v>
      </c>
      <c r="J1039" s="107">
        <v>501.52</v>
      </c>
      <c r="K1039" s="107"/>
      <c r="L1039" s="107"/>
      <c r="M1039" s="107"/>
      <c r="N1039" s="107"/>
      <c r="O1039" s="107"/>
      <c r="P1039" s="107"/>
    </row>
    <row r="1040" spans="1:16" x14ac:dyDescent="0.3">
      <c r="A1040" s="58" t="str">
        <f t="shared" si="64"/>
        <v>A051980</v>
      </c>
      <c r="B1040" s="59" t="str">
        <f t="shared" si="65"/>
        <v/>
      </c>
      <c r="C1040" s="59" t="str">
        <f t="shared" si="66"/>
        <v/>
      </c>
      <c r="D1040" s="109" t="str">
        <f t="shared" si="67"/>
        <v/>
      </c>
      <c r="E1040" s="106" t="s">
        <v>1049</v>
      </c>
      <c r="F1040" s="58" t="s">
        <v>2489</v>
      </c>
      <c r="G1040" s="106">
        <v>12</v>
      </c>
      <c r="H1040" s="107"/>
      <c r="I1040" s="107"/>
      <c r="J1040" s="107"/>
      <c r="K1040" s="107"/>
      <c r="L1040" s="107"/>
      <c r="M1040" s="107"/>
      <c r="N1040" s="107"/>
      <c r="O1040" s="107"/>
      <c r="P1040" s="107"/>
    </row>
    <row r="1041" spans="1:16" x14ac:dyDescent="0.3">
      <c r="A1041" s="58" t="str">
        <f t="shared" si="64"/>
        <v>A052020</v>
      </c>
      <c r="B1041" s="59" t="str">
        <f t="shared" si="65"/>
        <v/>
      </c>
      <c r="C1041" s="59" t="str">
        <f t="shared" si="66"/>
        <v/>
      </c>
      <c r="D1041" s="109" t="str">
        <f t="shared" si="67"/>
        <v/>
      </c>
      <c r="E1041" s="106" t="s">
        <v>1050</v>
      </c>
      <c r="F1041" s="58" t="s">
        <v>2490</v>
      </c>
      <c r="G1041" s="106">
        <v>12</v>
      </c>
      <c r="H1041" s="107"/>
      <c r="I1041" s="107"/>
      <c r="J1041" s="107"/>
      <c r="K1041" s="107"/>
      <c r="L1041" s="107"/>
      <c r="M1041" s="107"/>
      <c r="N1041" s="107"/>
      <c r="O1041" s="107"/>
      <c r="P1041" s="107"/>
    </row>
    <row r="1042" spans="1:16" x14ac:dyDescent="0.3">
      <c r="A1042" s="58" t="str">
        <f t="shared" si="64"/>
        <v>A052190</v>
      </c>
      <c r="B1042" s="59" t="str">
        <f t="shared" si="65"/>
        <v/>
      </c>
      <c r="C1042" s="59" t="str">
        <f t="shared" si="66"/>
        <v/>
      </c>
      <c r="D1042" s="109" t="str">
        <f t="shared" si="67"/>
        <v/>
      </c>
      <c r="E1042" s="106" t="s">
        <v>1051</v>
      </c>
      <c r="F1042" s="58" t="s">
        <v>2491</v>
      </c>
      <c r="G1042" s="106">
        <v>12</v>
      </c>
      <c r="H1042" s="107"/>
      <c r="I1042" s="107"/>
      <c r="J1042" s="107"/>
      <c r="K1042" s="107"/>
      <c r="L1042" s="107"/>
      <c r="M1042" s="107"/>
      <c r="N1042" s="107"/>
      <c r="O1042" s="107"/>
      <c r="P1042" s="107"/>
    </row>
    <row r="1043" spans="1:16" x14ac:dyDescent="0.3">
      <c r="A1043" s="58" t="str">
        <f t="shared" si="64"/>
        <v>A052220</v>
      </c>
      <c r="B1043" s="59" t="str">
        <f t="shared" si="65"/>
        <v/>
      </c>
      <c r="C1043" s="59" t="str">
        <f t="shared" si="66"/>
        <v/>
      </c>
      <c r="D1043" s="109" t="str">
        <f t="shared" si="67"/>
        <v/>
      </c>
      <c r="E1043" s="106" t="s">
        <v>1052</v>
      </c>
      <c r="F1043" s="58" t="s">
        <v>2492</v>
      </c>
      <c r="G1043" s="106">
        <v>12</v>
      </c>
      <c r="H1043" s="107"/>
      <c r="I1043" s="107"/>
      <c r="J1043" s="107"/>
      <c r="K1043" s="107"/>
      <c r="L1043" s="107"/>
      <c r="M1043" s="107"/>
      <c r="N1043" s="107"/>
      <c r="O1043" s="107"/>
      <c r="P1043" s="107"/>
    </row>
    <row r="1044" spans="1:16" x14ac:dyDescent="0.3">
      <c r="A1044" s="58" t="str">
        <f t="shared" si="64"/>
        <v>A052260</v>
      </c>
      <c r="B1044" s="59" t="str">
        <f t="shared" si="65"/>
        <v/>
      </c>
      <c r="C1044" s="59" t="str">
        <f t="shared" si="66"/>
        <v/>
      </c>
      <c r="D1044" s="109" t="str">
        <f t="shared" si="67"/>
        <v/>
      </c>
      <c r="E1044" s="106" t="s">
        <v>1053</v>
      </c>
      <c r="F1044" s="58" t="s">
        <v>2493</v>
      </c>
      <c r="G1044" s="106">
        <v>12</v>
      </c>
      <c r="H1044" s="107"/>
      <c r="I1044" s="107"/>
      <c r="J1044" s="107"/>
      <c r="K1044" s="107"/>
      <c r="L1044" s="107"/>
      <c r="M1044" s="107"/>
      <c r="N1044" s="107"/>
      <c r="O1044" s="107"/>
      <c r="P1044" s="107"/>
    </row>
    <row r="1045" spans="1:16" x14ac:dyDescent="0.3">
      <c r="A1045" s="58" t="str">
        <f t="shared" si="64"/>
        <v>A052270</v>
      </c>
      <c r="B1045" s="59" t="str">
        <f t="shared" si="65"/>
        <v/>
      </c>
      <c r="C1045" s="59" t="str">
        <f t="shared" si="66"/>
        <v/>
      </c>
      <c r="D1045" s="109" t="str">
        <f t="shared" si="67"/>
        <v/>
      </c>
      <c r="E1045" s="106" t="s">
        <v>1054</v>
      </c>
      <c r="F1045" s="58" t="s">
        <v>2494</v>
      </c>
      <c r="G1045" s="106">
        <v>12</v>
      </c>
      <c r="H1045" s="107"/>
      <c r="I1045" s="107"/>
      <c r="J1045" s="107"/>
      <c r="K1045" s="107"/>
      <c r="L1045" s="107"/>
      <c r="M1045" s="107"/>
      <c r="N1045" s="107"/>
      <c r="O1045" s="107"/>
      <c r="P1045" s="107"/>
    </row>
    <row r="1046" spans="1:16" x14ac:dyDescent="0.3">
      <c r="A1046" s="58" t="str">
        <f t="shared" ref="A1046:A1109" si="68">E1046</f>
        <v>A052290</v>
      </c>
      <c r="B1046" s="59" t="str">
        <f t="shared" si="65"/>
        <v/>
      </c>
      <c r="C1046" s="59" t="str">
        <f t="shared" si="66"/>
        <v/>
      </c>
      <c r="D1046" s="109" t="str">
        <f t="shared" si="67"/>
        <v/>
      </c>
      <c r="E1046" s="106" t="s">
        <v>1055</v>
      </c>
      <c r="F1046" s="58" t="s">
        <v>2495</v>
      </c>
      <c r="G1046" s="106">
        <v>12</v>
      </c>
      <c r="H1046" s="107"/>
      <c r="I1046" s="107"/>
      <c r="J1046" s="107"/>
      <c r="K1046" s="107"/>
      <c r="L1046" s="107"/>
      <c r="M1046" s="107"/>
      <c r="N1046" s="107"/>
      <c r="O1046" s="107"/>
      <c r="P1046" s="107"/>
    </row>
    <row r="1047" spans="1:16" x14ac:dyDescent="0.3">
      <c r="A1047" s="58" t="str">
        <f t="shared" si="68"/>
        <v>A052300</v>
      </c>
      <c r="B1047" s="59" t="str">
        <f t="shared" si="65"/>
        <v/>
      </c>
      <c r="C1047" s="59" t="str">
        <f t="shared" si="66"/>
        <v/>
      </c>
      <c r="D1047" s="109" t="str">
        <f t="shared" si="67"/>
        <v/>
      </c>
      <c r="E1047" s="106" t="s">
        <v>1056</v>
      </c>
      <c r="F1047" s="58" t="s">
        <v>2496</v>
      </c>
      <c r="G1047" s="106">
        <v>12</v>
      </c>
      <c r="H1047" s="107"/>
      <c r="I1047" s="107"/>
      <c r="J1047" s="107"/>
      <c r="K1047" s="107"/>
      <c r="L1047" s="107"/>
      <c r="M1047" s="107"/>
      <c r="N1047" s="107"/>
      <c r="O1047" s="107"/>
      <c r="P1047" s="107"/>
    </row>
    <row r="1048" spans="1:16" x14ac:dyDescent="0.3">
      <c r="A1048" s="58" t="str">
        <f t="shared" si="68"/>
        <v>A052330</v>
      </c>
      <c r="B1048" s="59">
        <f t="shared" si="65"/>
        <v>41480</v>
      </c>
      <c r="C1048" s="59">
        <f t="shared" si="66"/>
        <v>41480</v>
      </c>
      <c r="D1048" s="109">
        <f t="shared" si="67"/>
        <v>6.54</v>
      </c>
      <c r="E1048" s="106" t="s">
        <v>1057</v>
      </c>
      <c r="F1048" s="58" t="s">
        <v>2497</v>
      </c>
      <c r="G1048" s="106">
        <v>12</v>
      </c>
      <c r="H1048" s="107">
        <v>20130725</v>
      </c>
      <c r="I1048" s="107">
        <v>20130725</v>
      </c>
      <c r="J1048" s="107">
        <v>6.54</v>
      </c>
      <c r="K1048" s="107"/>
      <c r="L1048" s="107"/>
      <c r="M1048" s="107"/>
      <c r="N1048" s="107"/>
      <c r="O1048" s="107"/>
      <c r="P1048" s="107"/>
    </row>
    <row r="1049" spans="1:16" x14ac:dyDescent="0.3">
      <c r="A1049" s="58" t="str">
        <f t="shared" si="68"/>
        <v>A052400</v>
      </c>
      <c r="B1049" s="59" t="str">
        <f t="shared" si="65"/>
        <v/>
      </c>
      <c r="C1049" s="59" t="str">
        <f t="shared" si="66"/>
        <v/>
      </c>
      <c r="D1049" s="109" t="str">
        <f t="shared" si="67"/>
        <v/>
      </c>
      <c r="E1049" s="106" t="s">
        <v>1058</v>
      </c>
      <c r="F1049" s="58" t="s">
        <v>2498</v>
      </c>
      <c r="G1049" s="106">
        <v>12</v>
      </c>
      <c r="H1049" s="107"/>
      <c r="I1049" s="107"/>
      <c r="J1049" s="107"/>
      <c r="K1049" s="107"/>
      <c r="L1049" s="107"/>
      <c r="M1049" s="107"/>
      <c r="N1049" s="107"/>
      <c r="O1049" s="107"/>
      <c r="P1049" s="107"/>
    </row>
    <row r="1050" spans="1:16" x14ac:dyDescent="0.3">
      <c r="A1050" s="58" t="str">
        <f t="shared" si="68"/>
        <v>A052420</v>
      </c>
      <c r="B1050" s="59" t="str">
        <f t="shared" si="65"/>
        <v/>
      </c>
      <c r="C1050" s="59" t="str">
        <f t="shared" si="66"/>
        <v/>
      </c>
      <c r="D1050" s="109" t="str">
        <f t="shared" si="67"/>
        <v/>
      </c>
      <c r="E1050" s="106" t="s">
        <v>1059</v>
      </c>
      <c r="F1050" s="58" t="s">
        <v>2499</v>
      </c>
      <c r="G1050" s="106">
        <v>12</v>
      </c>
      <c r="H1050" s="107"/>
      <c r="I1050" s="107"/>
      <c r="J1050" s="107"/>
      <c r="K1050" s="107"/>
      <c r="L1050" s="107"/>
      <c r="M1050" s="107"/>
      <c r="N1050" s="107"/>
      <c r="O1050" s="107"/>
      <c r="P1050" s="107"/>
    </row>
    <row r="1051" spans="1:16" x14ac:dyDescent="0.3">
      <c r="A1051" s="58" t="str">
        <f t="shared" si="68"/>
        <v>A052460</v>
      </c>
      <c r="B1051" s="59" t="str">
        <f t="shared" si="65"/>
        <v/>
      </c>
      <c r="C1051" s="59" t="str">
        <f t="shared" si="66"/>
        <v/>
      </c>
      <c r="D1051" s="109" t="str">
        <f t="shared" si="67"/>
        <v/>
      </c>
      <c r="E1051" s="106" t="s">
        <v>1060</v>
      </c>
      <c r="F1051" s="58" t="s">
        <v>2500</v>
      </c>
      <c r="G1051" s="106">
        <v>12</v>
      </c>
      <c r="H1051" s="107"/>
      <c r="I1051" s="107"/>
      <c r="J1051" s="107"/>
      <c r="K1051" s="107"/>
      <c r="L1051" s="107"/>
      <c r="M1051" s="107"/>
      <c r="N1051" s="107"/>
      <c r="O1051" s="107"/>
      <c r="P1051" s="107"/>
    </row>
    <row r="1052" spans="1:16" x14ac:dyDescent="0.3">
      <c r="A1052" s="58" t="str">
        <f t="shared" si="68"/>
        <v>A052600</v>
      </c>
      <c r="B1052" s="59" t="str">
        <f t="shared" si="65"/>
        <v/>
      </c>
      <c r="C1052" s="59" t="str">
        <f t="shared" si="66"/>
        <v/>
      </c>
      <c r="D1052" s="109" t="str">
        <f t="shared" si="67"/>
        <v/>
      </c>
      <c r="E1052" s="106" t="s">
        <v>1061</v>
      </c>
      <c r="F1052" s="58" t="s">
        <v>2501</v>
      </c>
      <c r="G1052" s="106">
        <v>12</v>
      </c>
      <c r="H1052" s="107"/>
      <c r="I1052" s="107"/>
      <c r="J1052" s="107"/>
      <c r="K1052" s="107"/>
      <c r="L1052" s="107"/>
      <c r="M1052" s="107"/>
      <c r="N1052" s="107"/>
      <c r="O1052" s="107"/>
      <c r="P1052" s="107"/>
    </row>
    <row r="1053" spans="1:16" x14ac:dyDescent="0.3">
      <c r="A1053" s="58" t="str">
        <f t="shared" si="68"/>
        <v>A052670</v>
      </c>
      <c r="B1053" s="59" t="str">
        <f t="shared" si="65"/>
        <v/>
      </c>
      <c r="C1053" s="59" t="str">
        <f t="shared" si="66"/>
        <v/>
      </c>
      <c r="D1053" s="109" t="str">
        <f t="shared" si="67"/>
        <v/>
      </c>
      <c r="E1053" s="106" t="s">
        <v>1062</v>
      </c>
      <c r="F1053" s="58" t="s">
        <v>2502</v>
      </c>
      <c r="G1053" s="106">
        <v>12</v>
      </c>
      <c r="H1053" s="107"/>
      <c r="I1053" s="107"/>
      <c r="J1053" s="107"/>
      <c r="K1053" s="107"/>
      <c r="L1053" s="107"/>
      <c r="M1053" s="107"/>
      <c r="N1053" s="107"/>
      <c r="O1053" s="107"/>
      <c r="P1053" s="107"/>
    </row>
    <row r="1054" spans="1:16" x14ac:dyDescent="0.3">
      <c r="A1054" s="58" t="str">
        <f t="shared" si="68"/>
        <v>A052690</v>
      </c>
      <c r="B1054" s="59">
        <f t="shared" si="65"/>
        <v>41479</v>
      </c>
      <c r="C1054" s="59">
        <f t="shared" si="66"/>
        <v>41479</v>
      </c>
      <c r="D1054" s="109">
        <f t="shared" si="67"/>
        <v>14.6</v>
      </c>
      <c r="E1054" s="106" t="s">
        <v>3153</v>
      </c>
      <c r="F1054" s="58" t="s">
        <v>3355</v>
      </c>
      <c r="G1054" s="106">
        <v>12</v>
      </c>
      <c r="H1054" s="107">
        <v>20130724</v>
      </c>
      <c r="I1054" s="107">
        <v>20130724</v>
      </c>
      <c r="J1054" s="107">
        <v>14.6</v>
      </c>
      <c r="K1054" s="107"/>
      <c r="L1054" s="107"/>
      <c r="M1054" s="107"/>
      <c r="N1054" s="107"/>
      <c r="O1054" s="107"/>
      <c r="P1054" s="107"/>
    </row>
    <row r="1055" spans="1:16" x14ac:dyDescent="0.3">
      <c r="A1055" s="58" t="str">
        <f t="shared" si="68"/>
        <v>A052710</v>
      </c>
      <c r="B1055" s="59" t="str">
        <f t="shared" si="65"/>
        <v/>
      </c>
      <c r="C1055" s="59" t="str">
        <f t="shared" si="66"/>
        <v/>
      </c>
      <c r="D1055" s="109" t="str">
        <f t="shared" si="67"/>
        <v/>
      </c>
      <c r="E1055" s="106" t="s">
        <v>1063</v>
      </c>
      <c r="F1055" s="58" t="s">
        <v>2503</v>
      </c>
      <c r="G1055" s="106">
        <v>12</v>
      </c>
      <c r="H1055" s="107"/>
      <c r="I1055" s="107"/>
      <c r="J1055" s="107"/>
      <c r="K1055" s="107"/>
      <c r="L1055" s="107"/>
      <c r="M1055" s="107"/>
      <c r="N1055" s="107"/>
      <c r="O1055" s="107"/>
      <c r="P1055" s="107"/>
    </row>
    <row r="1056" spans="1:16" x14ac:dyDescent="0.3">
      <c r="A1056" s="58" t="str">
        <f t="shared" si="68"/>
        <v>A052770</v>
      </c>
      <c r="B1056" s="59" t="str">
        <f t="shared" si="65"/>
        <v/>
      </c>
      <c r="C1056" s="59" t="str">
        <f t="shared" si="66"/>
        <v/>
      </c>
      <c r="D1056" s="109" t="str">
        <f t="shared" si="67"/>
        <v/>
      </c>
      <c r="E1056" s="106" t="s">
        <v>1064</v>
      </c>
      <c r="F1056" s="58" t="s">
        <v>2504</v>
      </c>
      <c r="G1056" s="106">
        <v>12</v>
      </c>
      <c r="H1056" s="107"/>
      <c r="I1056" s="107"/>
      <c r="J1056" s="107"/>
      <c r="K1056" s="107"/>
      <c r="L1056" s="107"/>
      <c r="M1056" s="107"/>
      <c r="N1056" s="107"/>
      <c r="O1056" s="107"/>
      <c r="P1056" s="107"/>
    </row>
    <row r="1057" spans="1:16" x14ac:dyDescent="0.3">
      <c r="A1057" s="58" t="str">
        <f t="shared" si="68"/>
        <v>A052790</v>
      </c>
      <c r="B1057" s="59" t="str">
        <f t="shared" si="65"/>
        <v/>
      </c>
      <c r="C1057" s="59" t="str">
        <f t="shared" si="66"/>
        <v/>
      </c>
      <c r="D1057" s="109" t="str">
        <f t="shared" si="67"/>
        <v/>
      </c>
      <c r="E1057" s="106" t="s">
        <v>1065</v>
      </c>
      <c r="F1057" s="58" t="s">
        <v>2505</v>
      </c>
      <c r="G1057" s="106">
        <v>12</v>
      </c>
      <c r="H1057" s="107"/>
      <c r="I1057" s="107"/>
      <c r="J1057" s="107"/>
      <c r="K1057" s="107"/>
      <c r="L1057" s="107"/>
      <c r="M1057" s="107"/>
      <c r="N1057" s="107"/>
      <c r="O1057" s="107"/>
      <c r="P1057" s="107"/>
    </row>
    <row r="1058" spans="1:16" x14ac:dyDescent="0.3">
      <c r="A1058" s="58" t="str">
        <f t="shared" si="68"/>
        <v>A052860</v>
      </c>
      <c r="B1058" s="59" t="str">
        <f t="shared" si="65"/>
        <v/>
      </c>
      <c r="C1058" s="59" t="str">
        <f t="shared" si="66"/>
        <v/>
      </c>
      <c r="D1058" s="109" t="str">
        <f t="shared" si="67"/>
        <v/>
      </c>
      <c r="E1058" s="106" t="s">
        <v>1066</v>
      </c>
      <c r="F1058" s="58" t="s">
        <v>2506</v>
      </c>
      <c r="G1058" s="106">
        <v>12</v>
      </c>
      <c r="H1058" s="107"/>
      <c r="I1058" s="107"/>
      <c r="J1058" s="107"/>
      <c r="K1058" s="107"/>
      <c r="L1058" s="107"/>
      <c r="M1058" s="107"/>
      <c r="N1058" s="107"/>
      <c r="O1058" s="107"/>
      <c r="P1058" s="107"/>
    </row>
    <row r="1059" spans="1:16" x14ac:dyDescent="0.3">
      <c r="A1059" s="58" t="str">
        <f t="shared" si="68"/>
        <v>A052900</v>
      </c>
      <c r="B1059" s="59" t="str">
        <f t="shared" si="65"/>
        <v/>
      </c>
      <c r="C1059" s="59" t="str">
        <f t="shared" si="66"/>
        <v/>
      </c>
      <c r="D1059" s="109" t="str">
        <f t="shared" si="67"/>
        <v/>
      </c>
      <c r="E1059" s="106" t="s">
        <v>1067</v>
      </c>
      <c r="F1059" s="58" t="s">
        <v>2507</v>
      </c>
      <c r="G1059" s="106">
        <v>12</v>
      </c>
      <c r="H1059" s="107"/>
      <c r="I1059" s="107"/>
      <c r="J1059" s="107"/>
      <c r="K1059" s="107"/>
      <c r="L1059" s="107"/>
      <c r="M1059" s="107"/>
      <c r="N1059" s="107"/>
      <c r="O1059" s="107"/>
      <c r="P1059" s="107"/>
    </row>
    <row r="1060" spans="1:16" x14ac:dyDescent="0.3">
      <c r="A1060" s="58" t="str">
        <f t="shared" si="68"/>
        <v>A053000</v>
      </c>
      <c r="B1060" s="59" t="str">
        <f t="shared" si="65"/>
        <v/>
      </c>
      <c r="C1060" s="59" t="str">
        <f t="shared" si="66"/>
        <v/>
      </c>
      <c r="D1060" s="109" t="str">
        <f t="shared" si="67"/>
        <v/>
      </c>
      <c r="E1060" s="106" t="s">
        <v>1068</v>
      </c>
      <c r="F1060" s="58" t="s">
        <v>2508</v>
      </c>
      <c r="G1060" s="106">
        <v>12</v>
      </c>
      <c r="H1060" s="107"/>
      <c r="I1060" s="107"/>
      <c r="J1060" s="107"/>
      <c r="K1060" s="107"/>
      <c r="L1060" s="107"/>
      <c r="M1060" s="107"/>
      <c r="N1060" s="107"/>
      <c r="O1060" s="107"/>
      <c r="P1060" s="107"/>
    </row>
    <row r="1061" spans="1:16" x14ac:dyDescent="0.3">
      <c r="A1061" s="58" t="str">
        <f t="shared" si="68"/>
        <v>A053030</v>
      </c>
      <c r="B1061" s="59" t="str">
        <f t="shared" si="65"/>
        <v/>
      </c>
      <c r="C1061" s="59" t="str">
        <f t="shared" si="66"/>
        <v/>
      </c>
      <c r="D1061" s="109" t="str">
        <f t="shared" si="67"/>
        <v/>
      </c>
      <c r="E1061" s="106" t="s">
        <v>1069</v>
      </c>
      <c r="F1061" s="58" t="s">
        <v>2509</v>
      </c>
      <c r="G1061" s="106">
        <v>12</v>
      </c>
      <c r="H1061" s="107"/>
      <c r="I1061" s="107"/>
      <c r="J1061" s="107"/>
      <c r="K1061" s="107"/>
      <c r="L1061" s="107"/>
      <c r="M1061" s="107"/>
      <c r="N1061" s="107"/>
      <c r="O1061" s="107"/>
      <c r="P1061" s="107"/>
    </row>
    <row r="1062" spans="1:16" x14ac:dyDescent="0.3">
      <c r="A1062" s="58" t="str">
        <f t="shared" si="68"/>
        <v>A053050</v>
      </c>
      <c r="B1062" s="59" t="str">
        <f t="shared" si="65"/>
        <v/>
      </c>
      <c r="C1062" s="59" t="str">
        <f t="shared" si="66"/>
        <v/>
      </c>
      <c r="D1062" s="109" t="str">
        <f t="shared" si="67"/>
        <v/>
      </c>
      <c r="E1062" s="106" t="s">
        <v>1070</v>
      </c>
      <c r="F1062" s="58" t="s">
        <v>2510</v>
      </c>
      <c r="G1062" s="106">
        <v>12</v>
      </c>
      <c r="H1062" s="107"/>
      <c r="I1062" s="107"/>
      <c r="J1062" s="107"/>
      <c r="K1062" s="107"/>
      <c r="L1062" s="107"/>
      <c r="M1062" s="107"/>
      <c r="N1062" s="107"/>
      <c r="O1062" s="107"/>
      <c r="P1062" s="107"/>
    </row>
    <row r="1063" spans="1:16" x14ac:dyDescent="0.3">
      <c r="A1063" s="58" t="str">
        <f t="shared" si="68"/>
        <v>A053060</v>
      </c>
      <c r="B1063" s="59" t="str">
        <f t="shared" si="65"/>
        <v/>
      </c>
      <c r="C1063" s="59" t="str">
        <f t="shared" si="66"/>
        <v/>
      </c>
      <c r="D1063" s="109" t="str">
        <f t="shared" si="67"/>
        <v/>
      </c>
      <c r="E1063" s="106" t="s">
        <v>1071</v>
      </c>
      <c r="F1063" s="58" t="s">
        <v>2511</v>
      </c>
      <c r="G1063" s="106">
        <v>12</v>
      </c>
      <c r="H1063" s="107"/>
      <c r="I1063" s="107"/>
      <c r="J1063" s="107"/>
      <c r="K1063" s="107"/>
      <c r="L1063" s="107"/>
      <c r="M1063" s="107"/>
      <c r="N1063" s="107"/>
      <c r="O1063" s="107"/>
      <c r="P1063" s="107"/>
    </row>
    <row r="1064" spans="1:16" x14ac:dyDescent="0.3">
      <c r="A1064" s="58" t="str">
        <f t="shared" si="68"/>
        <v>A053110</v>
      </c>
      <c r="B1064" s="59" t="str">
        <f t="shared" si="65"/>
        <v/>
      </c>
      <c r="C1064" s="59" t="str">
        <f t="shared" si="66"/>
        <v/>
      </c>
      <c r="D1064" s="109" t="str">
        <f t="shared" si="67"/>
        <v/>
      </c>
      <c r="E1064" s="106" t="s">
        <v>1072</v>
      </c>
      <c r="F1064" s="58" t="s">
        <v>2512</v>
      </c>
      <c r="G1064" s="106">
        <v>12</v>
      </c>
      <c r="H1064" s="107"/>
      <c r="I1064" s="107"/>
      <c r="J1064" s="107"/>
      <c r="K1064" s="107"/>
      <c r="L1064" s="107"/>
      <c r="M1064" s="107"/>
      <c r="N1064" s="107"/>
      <c r="O1064" s="107"/>
      <c r="P1064" s="107"/>
    </row>
    <row r="1065" spans="1:16" x14ac:dyDescent="0.3">
      <c r="A1065" s="58" t="str">
        <f t="shared" si="68"/>
        <v>A053160</v>
      </c>
      <c r="B1065" s="59" t="str">
        <f t="shared" si="65"/>
        <v/>
      </c>
      <c r="C1065" s="59" t="str">
        <f t="shared" si="66"/>
        <v/>
      </c>
      <c r="D1065" s="109" t="str">
        <f t="shared" si="67"/>
        <v/>
      </c>
      <c r="E1065" s="106" t="s">
        <v>1073</v>
      </c>
      <c r="F1065" s="58" t="s">
        <v>2513</v>
      </c>
      <c r="G1065" s="106">
        <v>12</v>
      </c>
      <c r="H1065" s="107"/>
      <c r="I1065" s="107"/>
      <c r="J1065" s="107"/>
      <c r="K1065" s="107"/>
      <c r="L1065" s="107"/>
      <c r="M1065" s="107"/>
      <c r="N1065" s="107"/>
      <c r="O1065" s="107"/>
      <c r="P1065" s="107"/>
    </row>
    <row r="1066" spans="1:16" x14ac:dyDescent="0.3">
      <c r="A1066" s="58" t="str">
        <f t="shared" si="68"/>
        <v>A053210</v>
      </c>
      <c r="B1066" s="59" t="str">
        <f t="shared" si="65"/>
        <v/>
      </c>
      <c r="C1066" s="59" t="str">
        <f t="shared" si="66"/>
        <v/>
      </c>
      <c r="D1066" s="109" t="str">
        <f t="shared" si="67"/>
        <v/>
      </c>
      <c r="E1066" s="106" t="s">
        <v>3154</v>
      </c>
      <c r="F1066" s="58" t="s">
        <v>3531</v>
      </c>
      <c r="G1066" s="106">
        <v>12</v>
      </c>
      <c r="H1066" s="107"/>
      <c r="I1066" s="107"/>
      <c r="J1066" s="107"/>
      <c r="K1066" s="107"/>
      <c r="L1066" s="107"/>
      <c r="M1066" s="107"/>
      <c r="N1066" s="107"/>
      <c r="O1066" s="107"/>
      <c r="P1066" s="107"/>
    </row>
    <row r="1067" spans="1:16" x14ac:dyDescent="0.3">
      <c r="A1067" s="58" t="str">
        <f t="shared" si="68"/>
        <v>A053260</v>
      </c>
      <c r="B1067" s="59" t="str">
        <f t="shared" si="65"/>
        <v/>
      </c>
      <c r="C1067" s="59" t="str">
        <f t="shared" si="66"/>
        <v/>
      </c>
      <c r="D1067" s="109" t="str">
        <f t="shared" si="67"/>
        <v/>
      </c>
      <c r="E1067" s="106" t="s">
        <v>1074</v>
      </c>
      <c r="F1067" s="58" t="s">
        <v>2514</v>
      </c>
      <c r="G1067" s="106">
        <v>12</v>
      </c>
      <c r="H1067" s="107"/>
      <c r="I1067" s="107"/>
      <c r="J1067" s="107"/>
      <c r="K1067" s="107"/>
      <c r="L1067" s="107"/>
      <c r="M1067" s="107"/>
      <c r="N1067" s="107"/>
      <c r="O1067" s="107"/>
      <c r="P1067" s="107"/>
    </row>
    <row r="1068" spans="1:16" x14ac:dyDescent="0.3">
      <c r="A1068" s="58" t="str">
        <f t="shared" si="68"/>
        <v>A053270</v>
      </c>
      <c r="B1068" s="59" t="str">
        <f t="shared" si="65"/>
        <v/>
      </c>
      <c r="C1068" s="59" t="str">
        <f t="shared" si="66"/>
        <v/>
      </c>
      <c r="D1068" s="109" t="str">
        <f t="shared" si="67"/>
        <v/>
      </c>
      <c r="E1068" s="106" t="s">
        <v>1075</v>
      </c>
      <c r="F1068" s="58" t="s">
        <v>2515</v>
      </c>
      <c r="G1068" s="106">
        <v>12</v>
      </c>
      <c r="H1068" s="107"/>
      <c r="I1068" s="107"/>
      <c r="J1068" s="107"/>
      <c r="K1068" s="107"/>
      <c r="L1068" s="107"/>
      <c r="M1068" s="107"/>
      <c r="N1068" s="107"/>
      <c r="O1068" s="107"/>
      <c r="P1068" s="107"/>
    </row>
    <row r="1069" spans="1:16" x14ac:dyDescent="0.3">
      <c r="A1069" s="58" t="str">
        <f t="shared" si="68"/>
        <v>A053280</v>
      </c>
      <c r="B1069" s="59" t="str">
        <f t="shared" si="65"/>
        <v/>
      </c>
      <c r="C1069" s="59" t="str">
        <f t="shared" si="66"/>
        <v/>
      </c>
      <c r="D1069" s="109" t="str">
        <f t="shared" si="67"/>
        <v/>
      </c>
      <c r="E1069" s="106" t="s">
        <v>1076</v>
      </c>
      <c r="F1069" s="58" t="s">
        <v>2516</v>
      </c>
      <c r="G1069" s="106">
        <v>12</v>
      </c>
      <c r="H1069" s="107"/>
      <c r="I1069" s="107"/>
      <c r="J1069" s="107"/>
      <c r="K1069" s="107"/>
      <c r="L1069" s="107"/>
      <c r="M1069" s="107"/>
      <c r="N1069" s="107"/>
      <c r="O1069" s="107"/>
      <c r="P1069" s="107"/>
    </row>
    <row r="1070" spans="1:16" x14ac:dyDescent="0.3">
      <c r="A1070" s="58" t="str">
        <f t="shared" si="68"/>
        <v>A053290</v>
      </c>
      <c r="B1070" s="59" t="str">
        <f t="shared" si="65"/>
        <v/>
      </c>
      <c r="C1070" s="59" t="str">
        <f t="shared" si="66"/>
        <v/>
      </c>
      <c r="D1070" s="109" t="str">
        <f t="shared" si="67"/>
        <v/>
      </c>
      <c r="E1070" s="106" t="s">
        <v>1077</v>
      </c>
      <c r="F1070" s="58" t="s">
        <v>2517</v>
      </c>
      <c r="G1070" s="106">
        <v>12</v>
      </c>
      <c r="H1070" s="107"/>
      <c r="I1070" s="107"/>
      <c r="J1070" s="107"/>
      <c r="K1070" s="107"/>
      <c r="L1070" s="107"/>
      <c r="M1070" s="107"/>
      <c r="N1070" s="107"/>
      <c r="O1070" s="107"/>
      <c r="P1070" s="107"/>
    </row>
    <row r="1071" spans="1:16" x14ac:dyDescent="0.3">
      <c r="A1071" s="58" t="str">
        <f t="shared" si="68"/>
        <v>A053320</v>
      </c>
      <c r="B1071" s="59" t="str">
        <f t="shared" si="65"/>
        <v/>
      </c>
      <c r="C1071" s="59" t="str">
        <f t="shared" si="66"/>
        <v/>
      </c>
      <c r="D1071" s="109" t="str">
        <f t="shared" si="67"/>
        <v/>
      </c>
      <c r="E1071" s="106" t="s">
        <v>1078</v>
      </c>
      <c r="F1071" s="58" t="s">
        <v>2518</v>
      </c>
      <c r="G1071" s="106">
        <v>12</v>
      </c>
      <c r="H1071" s="107"/>
      <c r="I1071" s="107"/>
      <c r="J1071" s="107"/>
      <c r="K1071" s="107"/>
      <c r="L1071" s="107"/>
      <c r="M1071" s="107"/>
      <c r="N1071" s="107"/>
      <c r="O1071" s="107"/>
      <c r="P1071" s="107"/>
    </row>
    <row r="1072" spans="1:16" x14ac:dyDescent="0.3">
      <c r="A1072" s="58" t="str">
        <f t="shared" si="68"/>
        <v>A053330</v>
      </c>
      <c r="B1072" s="59" t="str">
        <f t="shared" si="65"/>
        <v/>
      </c>
      <c r="C1072" s="59" t="str">
        <f t="shared" si="66"/>
        <v/>
      </c>
      <c r="D1072" s="109" t="str">
        <f t="shared" si="67"/>
        <v/>
      </c>
      <c r="E1072" s="106" t="s">
        <v>1079</v>
      </c>
      <c r="F1072" s="58" t="s">
        <v>2519</v>
      </c>
      <c r="G1072" s="106">
        <v>12</v>
      </c>
      <c r="H1072" s="107"/>
      <c r="I1072" s="107"/>
      <c r="J1072" s="107"/>
      <c r="K1072" s="107"/>
      <c r="L1072" s="107"/>
      <c r="M1072" s="107"/>
      <c r="N1072" s="107"/>
      <c r="O1072" s="107"/>
      <c r="P1072" s="107"/>
    </row>
    <row r="1073" spans="1:16" x14ac:dyDescent="0.3">
      <c r="A1073" s="58" t="str">
        <f t="shared" si="68"/>
        <v>A053350</v>
      </c>
      <c r="B1073" s="59" t="str">
        <f t="shared" si="65"/>
        <v/>
      </c>
      <c r="C1073" s="59" t="str">
        <f t="shared" si="66"/>
        <v/>
      </c>
      <c r="D1073" s="109" t="str">
        <f t="shared" si="67"/>
        <v/>
      </c>
      <c r="E1073" s="106" t="s">
        <v>1080</v>
      </c>
      <c r="F1073" s="58" t="s">
        <v>2520</v>
      </c>
      <c r="G1073" s="106">
        <v>12</v>
      </c>
      <c r="H1073" s="107"/>
      <c r="I1073" s="107"/>
      <c r="J1073" s="107"/>
      <c r="K1073" s="107"/>
      <c r="L1073" s="107"/>
      <c r="M1073" s="107"/>
      <c r="N1073" s="107"/>
      <c r="O1073" s="107"/>
      <c r="P1073" s="107"/>
    </row>
    <row r="1074" spans="1:16" x14ac:dyDescent="0.3">
      <c r="A1074" s="58" t="str">
        <f t="shared" si="68"/>
        <v>A053450</v>
      </c>
      <c r="B1074" s="59" t="str">
        <f t="shared" si="65"/>
        <v/>
      </c>
      <c r="C1074" s="59" t="str">
        <f t="shared" si="66"/>
        <v/>
      </c>
      <c r="D1074" s="109" t="str">
        <f t="shared" si="67"/>
        <v/>
      </c>
      <c r="E1074" s="106" t="s">
        <v>1081</v>
      </c>
      <c r="F1074" s="58" t="s">
        <v>2521</v>
      </c>
      <c r="G1074" s="106">
        <v>12</v>
      </c>
      <c r="H1074" s="107"/>
      <c r="I1074" s="107"/>
      <c r="J1074" s="107"/>
      <c r="K1074" s="107"/>
      <c r="L1074" s="107"/>
      <c r="M1074" s="107"/>
      <c r="N1074" s="107"/>
      <c r="O1074" s="107"/>
      <c r="P1074" s="107"/>
    </row>
    <row r="1075" spans="1:16" x14ac:dyDescent="0.3">
      <c r="A1075" s="58" t="str">
        <f t="shared" si="68"/>
        <v>A053590</v>
      </c>
      <c r="B1075" s="59" t="str">
        <f t="shared" si="65"/>
        <v/>
      </c>
      <c r="C1075" s="59" t="str">
        <f t="shared" si="66"/>
        <v/>
      </c>
      <c r="D1075" s="109" t="str">
        <f t="shared" si="67"/>
        <v/>
      </c>
      <c r="E1075" s="106" t="s">
        <v>1082</v>
      </c>
      <c r="F1075" s="58" t="s">
        <v>2522</v>
      </c>
      <c r="G1075" s="106">
        <v>12</v>
      </c>
      <c r="H1075" s="107"/>
      <c r="I1075" s="107"/>
      <c r="J1075" s="107"/>
      <c r="K1075" s="107"/>
      <c r="L1075" s="107"/>
      <c r="M1075" s="107"/>
      <c r="N1075" s="107"/>
      <c r="O1075" s="107"/>
      <c r="P1075" s="107"/>
    </row>
    <row r="1076" spans="1:16" x14ac:dyDescent="0.3">
      <c r="A1076" s="58" t="str">
        <f t="shared" si="68"/>
        <v>A053610</v>
      </c>
      <c r="B1076" s="59" t="str">
        <f t="shared" si="65"/>
        <v/>
      </c>
      <c r="C1076" s="59" t="str">
        <f t="shared" si="66"/>
        <v/>
      </c>
      <c r="D1076" s="109" t="str">
        <f t="shared" si="67"/>
        <v/>
      </c>
      <c r="E1076" s="106" t="s">
        <v>1083</v>
      </c>
      <c r="F1076" s="58" t="s">
        <v>2523</v>
      </c>
      <c r="G1076" s="106">
        <v>12</v>
      </c>
      <c r="H1076" s="107"/>
      <c r="I1076" s="107"/>
      <c r="J1076" s="107"/>
      <c r="K1076" s="107"/>
      <c r="L1076" s="107"/>
      <c r="M1076" s="107"/>
      <c r="N1076" s="107"/>
      <c r="O1076" s="107"/>
      <c r="P1076" s="107"/>
    </row>
    <row r="1077" spans="1:16" x14ac:dyDescent="0.3">
      <c r="A1077" s="58" t="str">
        <f t="shared" si="68"/>
        <v>A053620</v>
      </c>
      <c r="B1077" s="59" t="str">
        <f t="shared" si="65"/>
        <v/>
      </c>
      <c r="C1077" s="59" t="str">
        <f t="shared" si="66"/>
        <v/>
      </c>
      <c r="D1077" s="109" t="str">
        <f t="shared" si="67"/>
        <v/>
      </c>
      <c r="E1077" s="106" t="s">
        <v>1084</v>
      </c>
      <c r="F1077" s="58" t="s">
        <v>2524</v>
      </c>
      <c r="G1077" s="106">
        <v>12</v>
      </c>
      <c r="H1077" s="107"/>
      <c r="I1077" s="107"/>
      <c r="J1077" s="107"/>
      <c r="K1077" s="107"/>
      <c r="L1077" s="107"/>
      <c r="M1077" s="107"/>
      <c r="N1077" s="107"/>
      <c r="O1077" s="107"/>
      <c r="P1077" s="107"/>
    </row>
    <row r="1078" spans="1:16" x14ac:dyDescent="0.3">
      <c r="A1078" s="58" t="str">
        <f t="shared" si="68"/>
        <v>A053660</v>
      </c>
      <c r="B1078" s="59" t="str">
        <f t="shared" si="65"/>
        <v/>
      </c>
      <c r="C1078" s="59" t="str">
        <f t="shared" si="66"/>
        <v/>
      </c>
      <c r="D1078" s="109" t="str">
        <f t="shared" si="67"/>
        <v/>
      </c>
      <c r="E1078" s="106" t="s">
        <v>1085</v>
      </c>
      <c r="F1078" s="58" t="s">
        <v>2525</v>
      </c>
      <c r="G1078" s="106">
        <v>12</v>
      </c>
      <c r="H1078" s="107"/>
      <c r="I1078" s="107"/>
      <c r="J1078" s="107"/>
      <c r="K1078" s="107"/>
      <c r="L1078" s="107"/>
      <c r="M1078" s="107"/>
      <c r="N1078" s="107"/>
      <c r="O1078" s="107"/>
      <c r="P1078" s="107"/>
    </row>
    <row r="1079" spans="1:16" x14ac:dyDescent="0.3">
      <c r="A1079" s="58" t="str">
        <f t="shared" si="68"/>
        <v>A053690</v>
      </c>
      <c r="B1079" s="59" t="str">
        <f t="shared" si="65"/>
        <v/>
      </c>
      <c r="C1079" s="59" t="str">
        <f t="shared" si="66"/>
        <v/>
      </c>
      <c r="D1079" s="109" t="str">
        <f t="shared" si="67"/>
        <v/>
      </c>
      <c r="E1079" s="106" t="s">
        <v>1086</v>
      </c>
      <c r="F1079" s="58" t="s">
        <v>2526</v>
      </c>
      <c r="G1079" s="106">
        <v>12</v>
      </c>
      <c r="H1079" s="107"/>
      <c r="I1079" s="107"/>
      <c r="J1079" s="107"/>
      <c r="K1079" s="107"/>
      <c r="L1079" s="107"/>
      <c r="M1079" s="107"/>
      <c r="N1079" s="107"/>
      <c r="O1079" s="107"/>
      <c r="P1079" s="107"/>
    </row>
    <row r="1080" spans="1:16" x14ac:dyDescent="0.3">
      <c r="A1080" s="58" t="str">
        <f t="shared" si="68"/>
        <v>A053700</v>
      </c>
      <c r="B1080" s="59" t="str">
        <f t="shared" si="65"/>
        <v/>
      </c>
      <c r="C1080" s="59" t="str">
        <f t="shared" si="66"/>
        <v/>
      </c>
      <c r="D1080" s="109" t="str">
        <f t="shared" si="67"/>
        <v/>
      </c>
      <c r="E1080" s="106" t="s">
        <v>1087</v>
      </c>
      <c r="F1080" s="58" t="s">
        <v>2527</v>
      </c>
      <c r="G1080" s="106">
        <v>12</v>
      </c>
      <c r="H1080" s="107"/>
      <c r="I1080" s="107"/>
      <c r="J1080" s="107"/>
      <c r="K1080" s="107"/>
      <c r="L1080" s="107"/>
      <c r="M1080" s="107"/>
      <c r="N1080" s="107"/>
      <c r="O1080" s="107"/>
      <c r="P1080" s="107"/>
    </row>
    <row r="1081" spans="1:16" x14ac:dyDescent="0.3">
      <c r="A1081" s="58" t="str">
        <f t="shared" si="68"/>
        <v>A053740</v>
      </c>
      <c r="B1081" s="59" t="str">
        <f t="shared" si="65"/>
        <v/>
      </c>
      <c r="C1081" s="59" t="str">
        <f t="shared" si="66"/>
        <v/>
      </c>
      <c r="D1081" s="109" t="str">
        <f t="shared" si="67"/>
        <v/>
      </c>
      <c r="E1081" s="106" t="s">
        <v>1088</v>
      </c>
      <c r="F1081" s="58" t="s">
        <v>2528</v>
      </c>
      <c r="G1081" s="106">
        <v>3</v>
      </c>
      <c r="H1081" s="107"/>
      <c r="I1081" s="107"/>
      <c r="J1081" s="107"/>
      <c r="K1081" s="107"/>
      <c r="L1081" s="107"/>
      <c r="M1081" s="107"/>
      <c r="N1081" s="107"/>
      <c r="O1081" s="107"/>
      <c r="P1081" s="107"/>
    </row>
    <row r="1082" spans="1:16" x14ac:dyDescent="0.3">
      <c r="A1082" s="58" t="str">
        <f t="shared" si="68"/>
        <v>A053800</v>
      </c>
      <c r="B1082" s="59">
        <f t="shared" si="65"/>
        <v>41480</v>
      </c>
      <c r="C1082" s="59">
        <f t="shared" si="66"/>
        <v>41480</v>
      </c>
      <c r="D1082" s="109">
        <f t="shared" si="67"/>
        <v>1.1299999999999999</v>
      </c>
      <c r="E1082" s="106" t="s">
        <v>1089</v>
      </c>
      <c r="F1082" s="58" t="s">
        <v>2529</v>
      </c>
      <c r="G1082" s="106">
        <v>12</v>
      </c>
      <c r="H1082" s="107">
        <v>20130725</v>
      </c>
      <c r="I1082" s="107">
        <v>20130725</v>
      </c>
      <c r="J1082" s="107">
        <v>1.1299999999999999</v>
      </c>
      <c r="K1082" s="107"/>
      <c r="L1082" s="107"/>
      <c r="M1082" s="107"/>
      <c r="N1082" s="107"/>
      <c r="O1082" s="107"/>
      <c r="P1082" s="107"/>
    </row>
    <row r="1083" spans="1:16" x14ac:dyDescent="0.3">
      <c r="A1083" s="58" t="str">
        <f t="shared" si="68"/>
        <v>A053810</v>
      </c>
      <c r="B1083" s="59" t="str">
        <f t="shared" si="65"/>
        <v/>
      </c>
      <c r="C1083" s="59" t="str">
        <f t="shared" si="66"/>
        <v/>
      </c>
      <c r="D1083" s="109" t="str">
        <f t="shared" si="67"/>
        <v/>
      </c>
      <c r="E1083" s="106" t="s">
        <v>1090</v>
      </c>
      <c r="F1083" s="58" t="s">
        <v>2530</v>
      </c>
      <c r="G1083" s="106">
        <v>12</v>
      </c>
      <c r="H1083" s="107"/>
      <c r="I1083" s="107"/>
      <c r="J1083" s="107"/>
      <c r="K1083" s="107"/>
      <c r="L1083" s="107"/>
      <c r="M1083" s="107"/>
      <c r="N1083" s="107"/>
      <c r="O1083" s="107"/>
      <c r="P1083" s="107"/>
    </row>
    <row r="1084" spans="1:16" x14ac:dyDescent="0.3">
      <c r="A1084" s="58" t="str">
        <f t="shared" si="68"/>
        <v>A053870</v>
      </c>
      <c r="B1084" s="59" t="str">
        <f t="shared" si="65"/>
        <v/>
      </c>
      <c r="C1084" s="59" t="str">
        <f t="shared" si="66"/>
        <v/>
      </c>
      <c r="D1084" s="109" t="str">
        <f t="shared" si="67"/>
        <v/>
      </c>
      <c r="E1084" s="106" t="s">
        <v>1091</v>
      </c>
      <c r="F1084" s="58" t="s">
        <v>2531</v>
      </c>
      <c r="G1084" s="106">
        <v>12</v>
      </c>
      <c r="H1084" s="107"/>
      <c r="I1084" s="107"/>
      <c r="J1084" s="107"/>
      <c r="K1084" s="107"/>
      <c r="L1084" s="107"/>
      <c r="M1084" s="107"/>
      <c r="N1084" s="107"/>
      <c r="O1084" s="107"/>
      <c r="P1084" s="107"/>
    </row>
    <row r="1085" spans="1:16" x14ac:dyDescent="0.3">
      <c r="A1085" s="58" t="str">
        <f t="shared" si="68"/>
        <v>A053950</v>
      </c>
      <c r="B1085" s="59" t="str">
        <f t="shared" si="65"/>
        <v/>
      </c>
      <c r="C1085" s="59" t="str">
        <f t="shared" si="66"/>
        <v/>
      </c>
      <c r="D1085" s="109" t="str">
        <f t="shared" si="67"/>
        <v/>
      </c>
      <c r="E1085" s="106" t="s">
        <v>1092</v>
      </c>
      <c r="F1085" s="58" t="s">
        <v>2532</v>
      </c>
      <c r="G1085" s="106">
        <v>12</v>
      </c>
      <c r="H1085" s="107"/>
      <c r="I1085" s="107"/>
      <c r="J1085" s="107"/>
      <c r="K1085" s="107"/>
      <c r="L1085" s="107"/>
      <c r="M1085" s="107"/>
      <c r="N1085" s="107"/>
      <c r="O1085" s="107"/>
      <c r="P1085" s="107"/>
    </row>
    <row r="1086" spans="1:16" x14ac:dyDescent="0.3">
      <c r="A1086" s="58" t="str">
        <f t="shared" si="68"/>
        <v>A053980</v>
      </c>
      <c r="B1086" s="59" t="str">
        <f t="shared" si="65"/>
        <v/>
      </c>
      <c r="C1086" s="59" t="str">
        <f t="shared" si="66"/>
        <v/>
      </c>
      <c r="D1086" s="109" t="str">
        <f t="shared" si="67"/>
        <v/>
      </c>
      <c r="E1086" s="106" t="s">
        <v>1093</v>
      </c>
      <c r="F1086" s="58" t="s">
        <v>2533</v>
      </c>
      <c r="G1086" s="106">
        <v>12</v>
      </c>
      <c r="H1086" s="107"/>
      <c r="I1086" s="107"/>
      <c r="J1086" s="107"/>
      <c r="K1086" s="107"/>
      <c r="L1086" s="107"/>
      <c r="M1086" s="107"/>
      <c r="N1086" s="107"/>
      <c r="O1086" s="107"/>
      <c r="P1086" s="107"/>
    </row>
    <row r="1087" spans="1:16" x14ac:dyDescent="0.3">
      <c r="A1087" s="58" t="str">
        <f t="shared" si="68"/>
        <v>A054040</v>
      </c>
      <c r="B1087" s="59" t="str">
        <f t="shared" si="65"/>
        <v/>
      </c>
      <c r="C1087" s="59" t="str">
        <f t="shared" si="66"/>
        <v/>
      </c>
      <c r="D1087" s="109" t="str">
        <f t="shared" si="67"/>
        <v/>
      </c>
      <c r="E1087" s="106" t="s">
        <v>1094</v>
      </c>
      <c r="F1087" s="58" t="s">
        <v>3095</v>
      </c>
      <c r="G1087" s="106">
        <v>12</v>
      </c>
      <c r="H1087" s="107"/>
      <c r="I1087" s="107"/>
      <c r="J1087" s="107"/>
      <c r="K1087" s="107"/>
      <c r="L1087" s="107"/>
      <c r="M1087" s="107"/>
      <c r="N1087" s="107"/>
      <c r="O1087" s="107"/>
      <c r="P1087" s="107"/>
    </row>
    <row r="1088" spans="1:16" x14ac:dyDescent="0.3">
      <c r="A1088" s="58" t="str">
        <f t="shared" si="68"/>
        <v>A054050</v>
      </c>
      <c r="B1088" s="59" t="str">
        <f t="shared" si="65"/>
        <v/>
      </c>
      <c r="C1088" s="59" t="str">
        <f t="shared" si="66"/>
        <v/>
      </c>
      <c r="D1088" s="109" t="str">
        <f t="shared" si="67"/>
        <v/>
      </c>
      <c r="E1088" s="106" t="s">
        <v>1095</v>
      </c>
      <c r="F1088" s="58" t="s">
        <v>2534</v>
      </c>
      <c r="G1088" s="106">
        <v>9</v>
      </c>
      <c r="H1088" s="107"/>
      <c r="I1088" s="107"/>
      <c r="J1088" s="107"/>
      <c r="K1088" s="107"/>
      <c r="L1088" s="107"/>
      <c r="M1088" s="107"/>
      <c r="N1088" s="107"/>
      <c r="O1088" s="107"/>
      <c r="P1088" s="107"/>
    </row>
    <row r="1089" spans="1:16" x14ac:dyDescent="0.3">
      <c r="A1089" s="58" t="str">
        <f t="shared" si="68"/>
        <v>A054090</v>
      </c>
      <c r="B1089" s="59" t="str">
        <f t="shared" si="65"/>
        <v/>
      </c>
      <c r="C1089" s="59" t="str">
        <f t="shared" si="66"/>
        <v/>
      </c>
      <c r="D1089" s="109" t="str">
        <f t="shared" si="67"/>
        <v/>
      </c>
      <c r="E1089" s="106" t="s">
        <v>1096</v>
      </c>
      <c r="F1089" s="58" t="s">
        <v>2535</v>
      </c>
      <c r="G1089" s="106">
        <v>12</v>
      </c>
      <c r="H1089" s="107"/>
      <c r="I1089" s="107"/>
      <c r="J1089" s="107"/>
      <c r="K1089" s="107"/>
      <c r="L1089" s="107"/>
      <c r="M1089" s="107"/>
      <c r="N1089" s="107"/>
      <c r="O1089" s="107"/>
      <c r="P1089" s="107"/>
    </row>
    <row r="1090" spans="1:16" x14ac:dyDescent="0.3">
      <c r="A1090" s="58" t="str">
        <f t="shared" si="68"/>
        <v>A054180</v>
      </c>
      <c r="B1090" s="59" t="str">
        <f t="shared" si="65"/>
        <v/>
      </c>
      <c r="C1090" s="59" t="str">
        <f t="shared" si="66"/>
        <v/>
      </c>
      <c r="D1090" s="109" t="str">
        <f t="shared" si="67"/>
        <v/>
      </c>
      <c r="E1090" s="106" t="s">
        <v>1097</v>
      </c>
      <c r="F1090" s="58" t="s">
        <v>2536</v>
      </c>
      <c r="G1090" s="106">
        <v>6</v>
      </c>
      <c r="H1090" s="107"/>
      <c r="I1090" s="107"/>
      <c r="J1090" s="107"/>
      <c r="K1090" s="107"/>
      <c r="L1090" s="107"/>
      <c r="M1090" s="107"/>
      <c r="N1090" s="107"/>
      <c r="O1090" s="107"/>
      <c r="P1090" s="107"/>
    </row>
    <row r="1091" spans="1:16" x14ac:dyDescent="0.3">
      <c r="A1091" s="58" t="str">
        <f t="shared" si="68"/>
        <v>A054210</v>
      </c>
      <c r="B1091" s="59" t="str">
        <f t="shared" si="65"/>
        <v/>
      </c>
      <c r="C1091" s="59" t="str">
        <f t="shared" si="66"/>
        <v/>
      </c>
      <c r="D1091" s="109" t="str">
        <f t="shared" si="67"/>
        <v/>
      </c>
      <c r="E1091" s="106" t="s">
        <v>1098</v>
      </c>
      <c r="F1091" s="58" t="s">
        <v>2537</v>
      </c>
      <c r="G1091" s="106">
        <v>12</v>
      </c>
      <c r="H1091" s="107"/>
      <c r="I1091" s="107"/>
      <c r="J1091" s="107"/>
      <c r="K1091" s="107"/>
      <c r="L1091" s="107"/>
      <c r="M1091" s="107"/>
      <c r="N1091" s="107"/>
      <c r="O1091" s="107"/>
      <c r="P1091" s="107"/>
    </row>
    <row r="1092" spans="1:16" x14ac:dyDescent="0.3">
      <c r="A1092" s="58" t="str">
        <f t="shared" si="68"/>
        <v>A054220</v>
      </c>
      <c r="B1092" s="59" t="str">
        <f t="shared" si="65"/>
        <v/>
      </c>
      <c r="C1092" s="59" t="str">
        <f t="shared" si="66"/>
        <v/>
      </c>
      <c r="D1092" s="109" t="str">
        <f t="shared" si="67"/>
        <v/>
      </c>
      <c r="E1092" s="106" t="s">
        <v>1099</v>
      </c>
      <c r="F1092" s="58" t="s">
        <v>2538</v>
      </c>
      <c r="G1092" s="106">
        <v>3</v>
      </c>
      <c r="H1092" s="107"/>
      <c r="I1092" s="107"/>
      <c r="J1092" s="107"/>
      <c r="K1092" s="107"/>
      <c r="L1092" s="107"/>
      <c r="M1092" s="107"/>
      <c r="N1092" s="107"/>
      <c r="O1092" s="107"/>
      <c r="P1092" s="107"/>
    </row>
    <row r="1093" spans="1:16" x14ac:dyDescent="0.3">
      <c r="A1093" s="58" t="str">
        <f t="shared" si="68"/>
        <v>A054300</v>
      </c>
      <c r="B1093" s="59" t="str">
        <f t="shared" si="65"/>
        <v/>
      </c>
      <c r="C1093" s="59" t="str">
        <f t="shared" si="66"/>
        <v/>
      </c>
      <c r="D1093" s="109" t="str">
        <f t="shared" si="67"/>
        <v/>
      </c>
      <c r="E1093" s="106" t="s">
        <v>1100</v>
      </c>
      <c r="F1093" s="58" t="s">
        <v>2539</v>
      </c>
      <c r="G1093" s="106">
        <v>12</v>
      </c>
      <c r="H1093" s="107"/>
      <c r="I1093" s="107"/>
      <c r="J1093" s="107"/>
      <c r="K1093" s="107"/>
      <c r="L1093" s="107"/>
      <c r="M1093" s="107"/>
      <c r="N1093" s="107"/>
      <c r="O1093" s="107"/>
      <c r="P1093" s="107"/>
    </row>
    <row r="1094" spans="1:16" x14ac:dyDescent="0.3">
      <c r="A1094" s="58" t="str">
        <f t="shared" si="68"/>
        <v>A054340</v>
      </c>
      <c r="B1094" s="59" t="str">
        <f t="shared" si="65"/>
        <v/>
      </c>
      <c r="C1094" s="59" t="str">
        <f t="shared" si="66"/>
        <v/>
      </c>
      <c r="D1094" s="109" t="str">
        <f t="shared" si="67"/>
        <v/>
      </c>
      <c r="E1094" s="106" t="s">
        <v>1101</v>
      </c>
      <c r="F1094" s="58" t="s">
        <v>2540</v>
      </c>
      <c r="G1094" s="106">
        <v>12</v>
      </c>
      <c r="H1094" s="107"/>
      <c r="I1094" s="107"/>
      <c r="J1094" s="107"/>
      <c r="K1094" s="107"/>
      <c r="L1094" s="107"/>
      <c r="M1094" s="107"/>
      <c r="N1094" s="107"/>
      <c r="O1094" s="107"/>
      <c r="P1094" s="107"/>
    </row>
    <row r="1095" spans="1:16" x14ac:dyDescent="0.3">
      <c r="A1095" s="58" t="str">
        <f t="shared" si="68"/>
        <v>A054410</v>
      </c>
      <c r="B1095" s="59" t="str">
        <f t="shared" si="65"/>
        <v/>
      </c>
      <c r="C1095" s="59" t="str">
        <f t="shared" si="66"/>
        <v/>
      </c>
      <c r="D1095" s="109" t="str">
        <f t="shared" si="67"/>
        <v/>
      </c>
      <c r="E1095" s="106" t="s">
        <v>1102</v>
      </c>
      <c r="F1095" s="58" t="s">
        <v>2541</v>
      </c>
      <c r="G1095" s="106">
        <v>12</v>
      </c>
      <c r="H1095" s="107"/>
      <c r="I1095" s="107"/>
      <c r="J1095" s="107"/>
      <c r="K1095" s="107"/>
      <c r="L1095" s="107"/>
      <c r="M1095" s="107"/>
      <c r="N1095" s="107"/>
      <c r="O1095" s="107"/>
      <c r="P1095" s="107"/>
    </row>
    <row r="1096" spans="1:16" x14ac:dyDescent="0.3">
      <c r="A1096" s="58" t="str">
        <f t="shared" si="68"/>
        <v>A054450</v>
      </c>
      <c r="B1096" s="59" t="str">
        <f t="shared" si="65"/>
        <v/>
      </c>
      <c r="C1096" s="59" t="str">
        <f t="shared" si="66"/>
        <v/>
      </c>
      <c r="D1096" s="109" t="str">
        <f t="shared" si="67"/>
        <v/>
      </c>
      <c r="E1096" s="106" t="s">
        <v>1103</v>
      </c>
      <c r="F1096" s="58" t="s">
        <v>2542</v>
      </c>
      <c r="G1096" s="106">
        <v>12</v>
      </c>
      <c r="H1096" s="107"/>
      <c r="I1096" s="107"/>
      <c r="J1096" s="107"/>
      <c r="K1096" s="107"/>
      <c r="L1096" s="107"/>
      <c r="M1096" s="107"/>
      <c r="N1096" s="107"/>
      <c r="O1096" s="107"/>
      <c r="P1096" s="107"/>
    </row>
    <row r="1097" spans="1:16" x14ac:dyDescent="0.3">
      <c r="A1097" s="58" t="str">
        <f t="shared" si="68"/>
        <v>A054540</v>
      </c>
      <c r="B1097" s="59" t="str">
        <f t="shared" si="65"/>
        <v/>
      </c>
      <c r="C1097" s="59" t="str">
        <f t="shared" si="66"/>
        <v/>
      </c>
      <c r="D1097" s="109" t="str">
        <f t="shared" si="67"/>
        <v/>
      </c>
      <c r="E1097" s="106" t="s">
        <v>1104</v>
      </c>
      <c r="F1097" s="58" t="s">
        <v>2543</v>
      </c>
      <c r="G1097" s="106">
        <v>12</v>
      </c>
      <c r="H1097" s="107"/>
      <c r="I1097" s="107"/>
      <c r="J1097" s="107"/>
      <c r="K1097" s="107"/>
      <c r="L1097" s="107"/>
      <c r="M1097" s="107"/>
      <c r="N1097" s="107"/>
      <c r="O1097" s="107"/>
      <c r="P1097" s="107"/>
    </row>
    <row r="1098" spans="1:16" x14ac:dyDescent="0.3">
      <c r="A1098" s="58" t="str">
        <f t="shared" si="68"/>
        <v>A054620</v>
      </c>
      <c r="B1098" s="59" t="str">
        <f t="shared" si="65"/>
        <v/>
      </c>
      <c r="C1098" s="59" t="str">
        <f t="shared" si="66"/>
        <v/>
      </c>
      <c r="D1098" s="109" t="str">
        <f t="shared" si="67"/>
        <v/>
      </c>
      <c r="E1098" s="106" t="s">
        <v>1105</v>
      </c>
      <c r="F1098" s="58" t="s">
        <v>2544</v>
      </c>
      <c r="G1098" s="106">
        <v>12</v>
      </c>
      <c r="H1098" s="107"/>
      <c r="I1098" s="107"/>
      <c r="J1098" s="107"/>
      <c r="K1098" s="107"/>
      <c r="L1098" s="107"/>
      <c r="M1098" s="107"/>
      <c r="N1098" s="107"/>
      <c r="O1098" s="107"/>
      <c r="P1098" s="107"/>
    </row>
    <row r="1099" spans="1:16" x14ac:dyDescent="0.3">
      <c r="A1099" s="58" t="str">
        <f t="shared" si="68"/>
        <v>A054630</v>
      </c>
      <c r="B1099" s="59" t="str">
        <f t="shared" si="65"/>
        <v/>
      </c>
      <c r="C1099" s="59" t="str">
        <f t="shared" si="66"/>
        <v/>
      </c>
      <c r="D1099" s="109" t="str">
        <f t="shared" si="67"/>
        <v/>
      </c>
      <c r="E1099" s="106" t="s">
        <v>1106</v>
      </c>
      <c r="F1099" s="58" t="s">
        <v>2545</v>
      </c>
      <c r="G1099" s="106">
        <v>12</v>
      </c>
      <c r="H1099" s="107"/>
      <c r="I1099" s="107"/>
      <c r="J1099" s="107"/>
      <c r="K1099" s="107"/>
      <c r="L1099" s="107"/>
      <c r="M1099" s="107"/>
      <c r="N1099" s="107"/>
      <c r="O1099" s="107"/>
      <c r="P1099" s="107"/>
    </row>
    <row r="1100" spans="1:16" x14ac:dyDescent="0.3">
      <c r="A1100" s="58" t="str">
        <f t="shared" si="68"/>
        <v>A054670</v>
      </c>
      <c r="B1100" s="59" t="str">
        <f t="shared" si="65"/>
        <v/>
      </c>
      <c r="C1100" s="59" t="str">
        <f t="shared" si="66"/>
        <v/>
      </c>
      <c r="D1100" s="109" t="str">
        <f t="shared" si="67"/>
        <v/>
      </c>
      <c r="E1100" s="106" t="s">
        <v>1107</v>
      </c>
      <c r="F1100" s="58" t="s">
        <v>2546</v>
      </c>
      <c r="G1100" s="106">
        <v>12</v>
      </c>
      <c r="H1100" s="107"/>
      <c r="I1100" s="107"/>
      <c r="J1100" s="107"/>
      <c r="K1100" s="107"/>
      <c r="L1100" s="107"/>
      <c r="M1100" s="107"/>
      <c r="N1100" s="107"/>
      <c r="O1100" s="107"/>
      <c r="P1100" s="107"/>
    </row>
    <row r="1101" spans="1:16" x14ac:dyDescent="0.3">
      <c r="A1101" s="58" t="str">
        <f t="shared" si="68"/>
        <v>A054780</v>
      </c>
      <c r="B1101" s="59" t="str">
        <f t="shared" si="65"/>
        <v/>
      </c>
      <c r="C1101" s="59" t="str">
        <f t="shared" si="66"/>
        <v/>
      </c>
      <c r="D1101" s="109" t="str">
        <f t="shared" si="67"/>
        <v/>
      </c>
      <c r="E1101" s="106" t="s">
        <v>1108</v>
      </c>
      <c r="F1101" s="58" t="s">
        <v>2547</v>
      </c>
      <c r="G1101" s="106">
        <v>12</v>
      </c>
      <c r="H1101" s="107"/>
      <c r="I1101" s="107"/>
      <c r="J1101" s="107"/>
      <c r="K1101" s="107"/>
      <c r="L1101" s="107"/>
      <c r="M1101" s="107"/>
      <c r="N1101" s="107"/>
      <c r="O1101" s="107"/>
      <c r="P1101" s="107"/>
    </row>
    <row r="1102" spans="1:16" x14ac:dyDescent="0.3">
      <c r="A1102" s="58" t="str">
        <f t="shared" si="68"/>
        <v>A054800</v>
      </c>
      <c r="B1102" s="59" t="str">
        <f t="shared" si="65"/>
        <v/>
      </c>
      <c r="C1102" s="59" t="str">
        <f t="shared" si="66"/>
        <v/>
      </c>
      <c r="D1102" s="109" t="str">
        <f t="shared" si="67"/>
        <v/>
      </c>
      <c r="E1102" s="106" t="s">
        <v>1109</v>
      </c>
      <c r="F1102" s="58" t="s">
        <v>2548</v>
      </c>
      <c r="G1102" s="106">
        <v>12</v>
      </c>
      <c r="H1102" s="107"/>
      <c r="I1102" s="107"/>
      <c r="J1102" s="107"/>
      <c r="K1102" s="107"/>
      <c r="L1102" s="107"/>
      <c r="M1102" s="107"/>
      <c r="N1102" s="107"/>
      <c r="O1102" s="107"/>
      <c r="P1102" s="107"/>
    </row>
    <row r="1103" spans="1:16" x14ac:dyDescent="0.3">
      <c r="A1103" s="58" t="str">
        <f t="shared" si="68"/>
        <v>A054920</v>
      </c>
      <c r="B1103" s="59" t="str">
        <f t="shared" ref="B1103:B1166" si="69">IFERROR(IF(ISNUMBER(H1103),DATE(LEFT(H1103,4),MID(H1103,5,2),RIGHT(H1103,2)),NA()),"")</f>
        <v/>
      </c>
      <c r="C1103" s="59" t="str">
        <f t="shared" ref="C1103:C1166" si="70">IFERROR(IF(ISNUMBER(I1103),DATE(LEFT(I1103,4),MID(I1103,5,2),RIGHT(I1103,2)),NA()),"")</f>
        <v/>
      </c>
      <c r="D1103" s="109" t="str">
        <f t="shared" ref="D1103:D1166" si="71">IFERROR(IF(ISNUMBER(J1103),J1103,NA()),"")</f>
        <v/>
      </c>
      <c r="E1103" s="106" t="s">
        <v>1110</v>
      </c>
      <c r="F1103" s="58" t="s">
        <v>2549</v>
      </c>
      <c r="G1103" s="106">
        <v>12</v>
      </c>
      <c r="H1103" s="107"/>
      <c r="I1103" s="107"/>
      <c r="J1103" s="107"/>
      <c r="K1103" s="107"/>
      <c r="L1103" s="107"/>
      <c r="M1103" s="107"/>
      <c r="N1103" s="107"/>
      <c r="O1103" s="107"/>
      <c r="P1103" s="107"/>
    </row>
    <row r="1104" spans="1:16" x14ac:dyDescent="0.3">
      <c r="A1104" s="58" t="str">
        <f t="shared" si="68"/>
        <v>A054930</v>
      </c>
      <c r="B1104" s="59" t="str">
        <f t="shared" si="69"/>
        <v/>
      </c>
      <c r="C1104" s="59" t="str">
        <f t="shared" si="70"/>
        <v/>
      </c>
      <c r="D1104" s="109" t="str">
        <f t="shared" si="71"/>
        <v/>
      </c>
      <c r="E1104" s="106" t="s">
        <v>1111</v>
      </c>
      <c r="F1104" s="58" t="s">
        <v>2550</v>
      </c>
      <c r="G1104" s="106">
        <v>12</v>
      </c>
      <c r="H1104" s="107"/>
      <c r="I1104" s="107"/>
      <c r="J1104" s="107"/>
      <c r="K1104" s="107"/>
      <c r="L1104" s="107"/>
      <c r="M1104" s="107"/>
      <c r="N1104" s="107"/>
      <c r="O1104" s="107"/>
      <c r="P1104" s="107"/>
    </row>
    <row r="1105" spans="1:16" x14ac:dyDescent="0.3">
      <c r="A1105" s="58" t="str">
        <f t="shared" si="68"/>
        <v>A054940</v>
      </c>
      <c r="B1105" s="59" t="str">
        <f t="shared" si="69"/>
        <v/>
      </c>
      <c r="C1105" s="59" t="str">
        <f t="shared" si="70"/>
        <v/>
      </c>
      <c r="D1105" s="109" t="str">
        <f t="shared" si="71"/>
        <v/>
      </c>
      <c r="E1105" s="106" t="s">
        <v>1112</v>
      </c>
      <c r="F1105" s="58" t="s">
        <v>2551</v>
      </c>
      <c r="G1105" s="106">
        <v>12</v>
      </c>
      <c r="H1105" s="107"/>
      <c r="I1105" s="107"/>
      <c r="J1105" s="107"/>
      <c r="K1105" s="107"/>
      <c r="L1105" s="107"/>
      <c r="M1105" s="107"/>
      <c r="N1105" s="107"/>
      <c r="O1105" s="107"/>
      <c r="P1105" s="107"/>
    </row>
    <row r="1106" spans="1:16" x14ac:dyDescent="0.3">
      <c r="A1106" s="58" t="str">
        <f t="shared" si="68"/>
        <v>A054950</v>
      </c>
      <c r="B1106" s="59">
        <f t="shared" si="69"/>
        <v>41484</v>
      </c>
      <c r="C1106" s="59">
        <f t="shared" si="70"/>
        <v>41484</v>
      </c>
      <c r="D1106" s="109">
        <f t="shared" si="71"/>
        <v>5.57</v>
      </c>
      <c r="E1106" s="106" t="s">
        <v>1113</v>
      </c>
      <c r="F1106" s="58" t="s">
        <v>2552</v>
      </c>
      <c r="G1106" s="106">
        <v>12</v>
      </c>
      <c r="H1106" s="107">
        <v>20130729</v>
      </c>
      <c r="I1106" s="107">
        <v>20130729</v>
      </c>
      <c r="J1106" s="107">
        <v>5.57</v>
      </c>
      <c r="K1106" s="107"/>
      <c r="L1106" s="107"/>
      <c r="M1106" s="107"/>
      <c r="N1106" s="107"/>
      <c r="O1106" s="107"/>
      <c r="P1106" s="107"/>
    </row>
    <row r="1107" spans="1:16" x14ac:dyDescent="0.3">
      <c r="A1107" s="58" t="str">
        <f t="shared" si="68"/>
        <v>A055550</v>
      </c>
      <c r="B1107" s="59">
        <f t="shared" si="69"/>
        <v>41485</v>
      </c>
      <c r="C1107" s="59">
        <f t="shared" si="70"/>
        <v>41485</v>
      </c>
      <c r="D1107" s="109">
        <f t="shared" si="71"/>
        <v>743.06</v>
      </c>
      <c r="E1107" s="106" t="s">
        <v>1114</v>
      </c>
      <c r="F1107" s="58" t="s">
        <v>2553</v>
      </c>
      <c r="G1107" s="106">
        <v>12</v>
      </c>
      <c r="H1107" s="107">
        <v>20130730</v>
      </c>
      <c r="I1107" s="107">
        <v>20130730</v>
      </c>
      <c r="J1107" s="107">
        <v>743.06</v>
      </c>
      <c r="K1107" s="107"/>
      <c r="L1107" s="107"/>
      <c r="M1107" s="107"/>
      <c r="N1107" s="107"/>
      <c r="O1107" s="107"/>
      <c r="P1107" s="107"/>
    </row>
    <row r="1108" spans="1:16" x14ac:dyDescent="0.3">
      <c r="A1108" s="58" t="str">
        <f t="shared" si="68"/>
        <v>A056000</v>
      </c>
      <c r="B1108" s="59" t="str">
        <f t="shared" si="69"/>
        <v/>
      </c>
      <c r="C1108" s="59" t="str">
        <f t="shared" si="70"/>
        <v/>
      </c>
      <c r="D1108" s="109" t="str">
        <f t="shared" si="71"/>
        <v/>
      </c>
      <c r="E1108" s="106" t="s">
        <v>1115</v>
      </c>
      <c r="F1108" s="58" t="s">
        <v>2554</v>
      </c>
      <c r="G1108" s="106">
        <v>12</v>
      </c>
      <c r="H1108" s="107"/>
      <c r="I1108" s="107"/>
      <c r="J1108" s="107"/>
      <c r="K1108" s="107"/>
      <c r="L1108" s="107"/>
      <c r="M1108" s="107"/>
      <c r="N1108" s="107"/>
      <c r="O1108" s="107"/>
      <c r="P1108" s="107"/>
    </row>
    <row r="1109" spans="1:16" x14ac:dyDescent="0.3">
      <c r="A1109" s="58" t="str">
        <f t="shared" si="68"/>
        <v>A056080</v>
      </c>
      <c r="B1109" s="59" t="str">
        <f t="shared" si="69"/>
        <v/>
      </c>
      <c r="C1109" s="59" t="str">
        <f t="shared" si="70"/>
        <v/>
      </c>
      <c r="D1109" s="109" t="str">
        <f t="shared" si="71"/>
        <v/>
      </c>
      <c r="E1109" s="106" t="s">
        <v>1116</v>
      </c>
      <c r="F1109" s="58" t="s">
        <v>2555</v>
      </c>
      <c r="G1109" s="106">
        <v>12</v>
      </c>
      <c r="H1109" s="107"/>
      <c r="I1109" s="107"/>
      <c r="J1109" s="107"/>
      <c r="K1109" s="107"/>
      <c r="L1109" s="107"/>
      <c r="M1109" s="107"/>
      <c r="N1109" s="107"/>
      <c r="O1109" s="107"/>
      <c r="P1109" s="107"/>
    </row>
    <row r="1110" spans="1:16" x14ac:dyDescent="0.3">
      <c r="A1110" s="58" t="str">
        <f t="shared" ref="A1110:A1173" si="72">E1110</f>
        <v>A056190</v>
      </c>
      <c r="B1110" s="59" t="str">
        <f t="shared" si="69"/>
        <v/>
      </c>
      <c r="C1110" s="59" t="str">
        <f t="shared" si="70"/>
        <v/>
      </c>
      <c r="D1110" s="109" t="str">
        <f t="shared" si="71"/>
        <v/>
      </c>
      <c r="E1110" s="106" t="s">
        <v>1117</v>
      </c>
      <c r="F1110" s="58" t="s">
        <v>2556</v>
      </c>
      <c r="G1110" s="106">
        <v>12</v>
      </c>
      <c r="H1110" s="107"/>
      <c r="I1110" s="107"/>
      <c r="J1110" s="107"/>
      <c r="K1110" s="107"/>
      <c r="L1110" s="107"/>
      <c r="M1110" s="107"/>
      <c r="N1110" s="107"/>
      <c r="O1110" s="107"/>
      <c r="P1110" s="107"/>
    </row>
    <row r="1111" spans="1:16" x14ac:dyDescent="0.3">
      <c r="A1111" s="58" t="str">
        <f t="shared" si="72"/>
        <v>A056340</v>
      </c>
      <c r="B1111" s="59" t="str">
        <f t="shared" si="69"/>
        <v/>
      </c>
      <c r="C1111" s="59" t="str">
        <f t="shared" si="70"/>
        <v/>
      </c>
      <c r="D1111" s="109" t="str">
        <f t="shared" si="71"/>
        <v/>
      </c>
      <c r="E1111" s="106" t="s">
        <v>1118</v>
      </c>
      <c r="F1111" s="58" t="s">
        <v>2557</v>
      </c>
      <c r="G1111" s="106">
        <v>12</v>
      </c>
      <c r="H1111" s="107"/>
      <c r="I1111" s="107"/>
      <c r="J1111" s="107"/>
      <c r="K1111" s="107"/>
      <c r="L1111" s="107"/>
      <c r="M1111" s="107"/>
      <c r="N1111" s="107"/>
      <c r="O1111" s="107"/>
      <c r="P1111" s="107"/>
    </row>
    <row r="1112" spans="1:16" x14ac:dyDescent="0.3">
      <c r="A1112" s="58" t="str">
        <f t="shared" si="72"/>
        <v>A056360</v>
      </c>
      <c r="B1112" s="59" t="str">
        <f t="shared" si="69"/>
        <v/>
      </c>
      <c r="C1112" s="59" t="str">
        <f t="shared" si="70"/>
        <v/>
      </c>
      <c r="D1112" s="109" t="str">
        <f t="shared" si="71"/>
        <v/>
      </c>
      <c r="E1112" s="106" t="s">
        <v>1119</v>
      </c>
      <c r="F1112" s="58" t="s">
        <v>2558</v>
      </c>
      <c r="G1112" s="106">
        <v>12</v>
      </c>
      <c r="H1112" s="107"/>
      <c r="I1112" s="107"/>
      <c r="J1112" s="107"/>
      <c r="K1112" s="107"/>
      <c r="L1112" s="107"/>
      <c r="M1112" s="107"/>
      <c r="N1112" s="107"/>
      <c r="O1112" s="107"/>
      <c r="P1112" s="107"/>
    </row>
    <row r="1113" spans="1:16" x14ac:dyDescent="0.3">
      <c r="A1113" s="58" t="str">
        <f t="shared" si="72"/>
        <v>A056700</v>
      </c>
      <c r="B1113" s="59" t="str">
        <f t="shared" si="69"/>
        <v/>
      </c>
      <c r="C1113" s="59" t="str">
        <f t="shared" si="70"/>
        <v/>
      </c>
      <c r="D1113" s="109" t="str">
        <f t="shared" si="71"/>
        <v/>
      </c>
      <c r="E1113" s="106" t="s">
        <v>1120</v>
      </c>
      <c r="F1113" s="58" t="s">
        <v>2559</v>
      </c>
      <c r="G1113" s="106">
        <v>12</v>
      </c>
      <c r="H1113" s="107"/>
      <c r="I1113" s="107"/>
      <c r="J1113" s="107"/>
      <c r="K1113" s="107"/>
      <c r="L1113" s="107"/>
      <c r="M1113" s="107"/>
      <c r="N1113" s="107"/>
      <c r="O1113" s="107"/>
      <c r="P1113" s="107"/>
    </row>
    <row r="1114" spans="1:16" x14ac:dyDescent="0.3">
      <c r="A1114" s="58" t="str">
        <f t="shared" si="72"/>
        <v>A056730</v>
      </c>
      <c r="B1114" s="59" t="str">
        <f t="shared" si="69"/>
        <v/>
      </c>
      <c r="C1114" s="59" t="str">
        <f t="shared" si="70"/>
        <v/>
      </c>
      <c r="D1114" s="109" t="str">
        <f t="shared" si="71"/>
        <v/>
      </c>
      <c r="E1114" s="106" t="s">
        <v>1121</v>
      </c>
      <c r="F1114" s="58" t="s">
        <v>2560</v>
      </c>
      <c r="G1114" s="106">
        <v>12</v>
      </c>
      <c r="H1114" s="107"/>
      <c r="I1114" s="107"/>
      <c r="J1114" s="107"/>
      <c r="K1114" s="107"/>
      <c r="L1114" s="107"/>
      <c r="M1114" s="107"/>
      <c r="N1114" s="107"/>
      <c r="O1114" s="107"/>
      <c r="P1114" s="107"/>
    </row>
    <row r="1115" spans="1:16" x14ac:dyDescent="0.3">
      <c r="A1115" s="58" t="str">
        <f t="shared" si="72"/>
        <v>A056810</v>
      </c>
      <c r="B1115" s="59" t="str">
        <f t="shared" si="69"/>
        <v/>
      </c>
      <c r="C1115" s="59" t="str">
        <f t="shared" si="70"/>
        <v/>
      </c>
      <c r="D1115" s="109" t="str">
        <f t="shared" si="71"/>
        <v/>
      </c>
      <c r="E1115" s="106" t="s">
        <v>1122</v>
      </c>
      <c r="F1115" s="58" t="s">
        <v>2561</v>
      </c>
      <c r="G1115" s="106">
        <v>12</v>
      </c>
      <c r="H1115" s="107"/>
      <c r="I1115" s="107"/>
      <c r="J1115" s="107"/>
      <c r="K1115" s="107"/>
      <c r="L1115" s="107"/>
      <c r="M1115" s="107"/>
      <c r="N1115" s="107"/>
      <c r="O1115" s="107"/>
      <c r="P1115" s="107"/>
    </row>
    <row r="1116" spans="1:16" x14ac:dyDescent="0.3">
      <c r="A1116" s="58" t="str">
        <f t="shared" si="72"/>
        <v>A057030</v>
      </c>
      <c r="B1116" s="59" t="str">
        <f t="shared" si="69"/>
        <v/>
      </c>
      <c r="C1116" s="59" t="str">
        <f t="shared" si="70"/>
        <v/>
      </c>
      <c r="D1116" s="109" t="str">
        <f t="shared" si="71"/>
        <v/>
      </c>
      <c r="E1116" s="106" t="s">
        <v>1123</v>
      </c>
      <c r="F1116" s="58" t="s">
        <v>2562</v>
      </c>
      <c r="G1116" s="106">
        <v>12</v>
      </c>
      <c r="H1116" s="107"/>
      <c r="I1116" s="107"/>
      <c r="J1116" s="107"/>
      <c r="K1116" s="107"/>
      <c r="L1116" s="107"/>
      <c r="M1116" s="107"/>
      <c r="N1116" s="107"/>
      <c r="O1116" s="107"/>
      <c r="P1116" s="107"/>
    </row>
    <row r="1117" spans="1:16" x14ac:dyDescent="0.3">
      <c r="A1117" s="58" t="str">
        <f t="shared" si="72"/>
        <v>A057050</v>
      </c>
      <c r="B1117" s="59">
        <f t="shared" si="69"/>
        <v>41485</v>
      </c>
      <c r="C1117" s="59">
        <f t="shared" si="70"/>
        <v>41485</v>
      </c>
      <c r="D1117" s="109">
        <f t="shared" si="71"/>
        <v>35.74</v>
      </c>
      <c r="E1117" s="106" t="s">
        <v>3155</v>
      </c>
      <c r="F1117" s="58" t="s">
        <v>3356</v>
      </c>
      <c r="G1117" s="106">
        <v>12</v>
      </c>
      <c r="H1117" s="107">
        <v>20130730</v>
      </c>
      <c r="I1117" s="107">
        <v>20130730</v>
      </c>
      <c r="J1117" s="107">
        <v>35.74</v>
      </c>
      <c r="K1117" s="107"/>
      <c r="L1117" s="107"/>
      <c r="M1117" s="107"/>
      <c r="N1117" s="107"/>
      <c r="O1117" s="107"/>
      <c r="P1117" s="107"/>
    </row>
    <row r="1118" spans="1:16" x14ac:dyDescent="0.3">
      <c r="A1118" s="58" t="str">
        <f t="shared" si="72"/>
        <v>A057500</v>
      </c>
      <c r="B1118" s="59" t="str">
        <f t="shared" si="69"/>
        <v/>
      </c>
      <c r="C1118" s="59" t="str">
        <f t="shared" si="70"/>
        <v/>
      </c>
      <c r="D1118" s="109" t="str">
        <f t="shared" si="71"/>
        <v/>
      </c>
      <c r="E1118" s="106" t="s">
        <v>1124</v>
      </c>
      <c r="F1118" s="58" t="s">
        <v>2563</v>
      </c>
      <c r="G1118" s="106">
        <v>12</v>
      </c>
      <c r="H1118" s="107"/>
      <c r="I1118" s="107"/>
      <c r="J1118" s="107"/>
      <c r="K1118" s="107"/>
      <c r="L1118" s="107"/>
      <c r="M1118" s="107"/>
      <c r="N1118" s="107"/>
      <c r="O1118" s="107"/>
      <c r="P1118" s="107"/>
    </row>
    <row r="1119" spans="1:16" x14ac:dyDescent="0.3">
      <c r="A1119" s="58" t="str">
        <f t="shared" si="72"/>
        <v>A057540</v>
      </c>
      <c r="B1119" s="59" t="str">
        <f t="shared" si="69"/>
        <v/>
      </c>
      <c r="C1119" s="59" t="str">
        <f t="shared" si="70"/>
        <v/>
      </c>
      <c r="D1119" s="109" t="str">
        <f t="shared" si="71"/>
        <v/>
      </c>
      <c r="E1119" s="106" t="s">
        <v>1125</v>
      </c>
      <c r="F1119" s="58" t="s">
        <v>2564</v>
      </c>
      <c r="G1119" s="106">
        <v>12</v>
      </c>
      <c r="H1119" s="107"/>
      <c r="I1119" s="107"/>
      <c r="J1119" s="107"/>
      <c r="K1119" s="107"/>
      <c r="L1119" s="107"/>
      <c r="M1119" s="107"/>
      <c r="N1119" s="107"/>
      <c r="O1119" s="107"/>
      <c r="P1119" s="107"/>
    </row>
    <row r="1120" spans="1:16" x14ac:dyDescent="0.3">
      <c r="A1120" s="58" t="str">
        <f t="shared" si="72"/>
        <v>A057680</v>
      </c>
      <c r="B1120" s="59" t="str">
        <f t="shared" si="69"/>
        <v/>
      </c>
      <c r="C1120" s="59" t="str">
        <f t="shared" si="70"/>
        <v/>
      </c>
      <c r="D1120" s="109" t="str">
        <f t="shared" si="71"/>
        <v/>
      </c>
      <c r="E1120" s="106" t="s">
        <v>1126</v>
      </c>
      <c r="F1120" s="58" t="s">
        <v>2565</v>
      </c>
      <c r="G1120" s="106">
        <v>12</v>
      </c>
      <c r="H1120" s="107"/>
      <c r="I1120" s="107"/>
      <c r="J1120" s="107"/>
      <c r="K1120" s="107"/>
      <c r="L1120" s="107"/>
      <c r="M1120" s="107"/>
      <c r="N1120" s="107"/>
      <c r="O1120" s="107"/>
      <c r="P1120" s="107"/>
    </row>
    <row r="1121" spans="1:16" x14ac:dyDescent="0.3">
      <c r="A1121" s="58" t="str">
        <f t="shared" si="72"/>
        <v>A057880</v>
      </c>
      <c r="B1121" s="59" t="str">
        <f t="shared" si="69"/>
        <v/>
      </c>
      <c r="C1121" s="59" t="str">
        <f t="shared" si="70"/>
        <v/>
      </c>
      <c r="D1121" s="109" t="str">
        <f t="shared" si="71"/>
        <v/>
      </c>
      <c r="E1121" s="106" t="s">
        <v>1127</v>
      </c>
      <c r="F1121" s="58" t="s">
        <v>2566</v>
      </c>
      <c r="G1121" s="106">
        <v>12</v>
      </c>
      <c r="H1121" s="107"/>
      <c r="I1121" s="107"/>
      <c r="J1121" s="107"/>
      <c r="K1121" s="107"/>
      <c r="L1121" s="107"/>
      <c r="M1121" s="107"/>
      <c r="N1121" s="107"/>
      <c r="O1121" s="107"/>
      <c r="P1121" s="107"/>
    </row>
    <row r="1122" spans="1:16" x14ac:dyDescent="0.3">
      <c r="A1122" s="58" t="str">
        <f t="shared" si="72"/>
        <v>A058220</v>
      </c>
      <c r="B1122" s="59" t="str">
        <f t="shared" si="69"/>
        <v/>
      </c>
      <c r="C1122" s="59" t="str">
        <f t="shared" si="70"/>
        <v/>
      </c>
      <c r="D1122" s="109" t="str">
        <f t="shared" si="71"/>
        <v/>
      </c>
      <c r="E1122" s="106" t="s">
        <v>1128</v>
      </c>
      <c r="F1122" s="58" t="s">
        <v>2567</v>
      </c>
      <c r="G1122" s="106">
        <v>12</v>
      </c>
      <c r="H1122" s="107"/>
      <c r="I1122" s="107"/>
      <c r="J1122" s="107"/>
      <c r="K1122" s="107"/>
      <c r="L1122" s="107"/>
      <c r="M1122" s="107"/>
      <c r="N1122" s="107"/>
      <c r="O1122" s="107"/>
      <c r="P1122" s="107"/>
    </row>
    <row r="1123" spans="1:16" x14ac:dyDescent="0.3">
      <c r="A1123" s="58" t="str">
        <f t="shared" si="72"/>
        <v>A058370</v>
      </c>
      <c r="B1123" s="59" t="str">
        <f t="shared" si="69"/>
        <v/>
      </c>
      <c r="C1123" s="59" t="str">
        <f t="shared" si="70"/>
        <v/>
      </c>
      <c r="D1123" s="109" t="str">
        <f t="shared" si="71"/>
        <v/>
      </c>
      <c r="E1123" s="106" t="s">
        <v>1129</v>
      </c>
      <c r="F1123" s="58" t="s">
        <v>2568</v>
      </c>
      <c r="G1123" s="106">
        <v>12</v>
      </c>
      <c r="H1123" s="107"/>
      <c r="I1123" s="107"/>
      <c r="J1123" s="107"/>
      <c r="K1123" s="107"/>
      <c r="L1123" s="107"/>
      <c r="M1123" s="107"/>
      <c r="N1123" s="107"/>
      <c r="O1123" s="107"/>
      <c r="P1123" s="107"/>
    </row>
    <row r="1124" spans="1:16" x14ac:dyDescent="0.3">
      <c r="A1124" s="58" t="str">
        <f t="shared" si="72"/>
        <v>A058400</v>
      </c>
      <c r="B1124" s="59" t="str">
        <f t="shared" si="69"/>
        <v/>
      </c>
      <c r="C1124" s="59" t="str">
        <f t="shared" si="70"/>
        <v/>
      </c>
      <c r="D1124" s="109" t="str">
        <f t="shared" si="71"/>
        <v/>
      </c>
      <c r="E1124" s="106" t="s">
        <v>3156</v>
      </c>
      <c r="F1124" s="58" t="s">
        <v>3357</v>
      </c>
      <c r="G1124" s="106">
        <v>12</v>
      </c>
      <c r="H1124" s="107"/>
      <c r="I1124" s="107"/>
      <c r="J1124" s="107"/>
      <c r="K1124" s="107"/>
      <c r="L1124" s="107"/>
      <c r="M1124" s="107"/>
      <c r="N1124" s="107"/>
      <c r="O1124" s="107"/>
      <c r="P1124" s="107"/>
    </row>
    <row r="1125" spans="1:16" x14ac:dyDescent="0.3">
      <c r="A1125" s="58" t="str">
        <f t="shared" si="72"/>
        <v>A058420</v>
      </c>
      <c r="B1125" s="59" t="str">
        <f t="shared" si="69"/>
        <v/>
      </c>
      <c r="C1125" s="59" t="str">
        <f t="shared" si="70"/>
        <v/>
      </c>
      <c r="D1125" s="109" t="str">
        <f t="shared" si="71"/>
        <v/>
      </c>
      <c r="E1125" s="106" t="s">
        <v>1130</v>
      </c>
      <c r="F1125" s="58" t="s">
        <v>2569</v>
      </c>
      <c r="G1125" s="106">
        <v>12</v>
      </c>
      <c r="H1125" s="107"/>
      <c r="I1125" s="107"/>
      <c r="J1125" s="107"/>
      <c r="K1125" s="107"/>
      <c r="L1125" s="107"/>
      <c r="M1125" s="107"/>
      <c r="N1125" s="107"/>
      <c r="O1125" s="107"/>
      <c r="P1125" s="107"/>
    </row>
    <row r="1126" spans="1:16" x14ac:dyDescent="0.3">
      <c r="A1126" s="58" t="str">
        <f t="shared" si="72"/>
        <v>A058430</v>
      </c>
      <c r="B1126" s="59">
        <f t="shared" si="69"/>
        <v>41480</v>
      </c>
      <c r="C1126" s="59">
        <f t="shared" si="70"/>
        <v>41480</v>
      </c>
      <c r="D1126" s="109">
        <f t="shared" si="71"/>
        <v>2.7</v>
      </c>
      <c r="E1126" s="106" t="s">
        <v>1131</v>
      </c>
      <c r="F1126" s="58" t="s">
        <v>2570</v>
      </c>
      <c r="G1126" s="106">
        <v>12</v>
      </c>
      <c r="H1126" s="107">
        <v>20130725</v>
      </c>
      <c r="I1126" s="107">
        <v>20130725</v>
      </c>
      <c r="J1126" s="107">
        <v>2.7</v>
      </c>
      <c r="K1126" s="107"/>
      <c r="L1126" s="107"/>
      <c r="M1126" s="107"/>
      <c r="N1126" s="107"/>
      <c r="O1126" s="107"/>
      <c r="P1126" s="107"/>
    </row>
    <row r="1127" spans="1:16" x14ac:dyDescent="0.3">
      <c r="A1127" s="58" t="str">
        <f t="shared" si="72"/>
        <v>A058450</v>
      </c>
      <c r="B1127" s="59" t="str">
        <f t="shared" si="69"/>
        <v/>
      </c>
      <c r="C1127" s="59" t="str">
        <f t="shared" si="70"/>
        <v/>
      </c>
      <c r="D1127" s="109" t="str">
        <f t="shared" si="71"/>
        <v/>
      </c>
      <c r="E1127" s="106" t="s">
        <v>1132</v>
      </c>
      <c r="F1127" s="58" t="s">
        <v>2571</v>
      </c>
      <c r="G1127" s="106">
        <v>12</v>
      </c>
      <c r="H1127" s="107"/>
      <c r="I1127" s="107"/>
      <c r="J1127" s="107"/>
      <c r="K1127" s="107"/>
      <c r="L1127" s="107"/>
      <c r="M1127" s="107"/>
      <c r="N1127" s="107"/>
      <c r="O1127" s="107"/>
      <c r="P1127" s="107"/>
    </row>
    <row r="1128" spans="1:16" x14ac:dyDescent="0.3">
      <c r="A1128" s="58" t="str">
        <f t="shared" si="72"/>
        <v>A058470</v>
      </c>
      <c r="B1128" s="59" t="str">
        <f t="shared" si="69"/>
        <v/>
      </c>
      <c r="C1128" s="59" t="str">
        <f t="shared" si="70"/>
        <v/>
      </c>
      <c r="D1128" s="109" t="str">
        <f t="shared" si="71"/>
        <v/>
      </c>
      <c r="E1128" s="106" t="s">
        <v>1133</v>
      </c>
      <c r="F1128" s="58" t="s">
        <v>2572</v>
      </c>
      <c r="G1128" s="106">
        <v>12</v>
      </c>
      <c r="H1128" s="107"/>
      <c r="I1128" s="107"/>
      <c r="J1128" s="107"/>
      <c r="K1128" s="107"/>
      <c r="L1128" s="107"/>
      <c r="M1128" s="107"/>
      <c r="N1128" s="107"/>
      <c r="O1128" s="107"/>
      <c r="P1128" s="107"/>
    </row>
    <row r="1129" spans="1:16" x14ac:dyDescent="0.3">
      <c r="A1129" s="58" t="str">
        <f t="shared" si="72"/>
        <v>A058530</v>
      </c>
      <c r="B1129" s="59" t="str">
        <f t="shared" si="69"/>
        <v/>
      </c>
      <c r="C1129" s="59" t="str">
        <f t="shared" si="70"/>
        <v/>
      </c>
      <c r="D1129" s="109" t="str">
        <f t="shared" si="71"/>
        <v/>
      </c>
      <c r="E1129" s="106" t="s">
        <v>1134</v>
      </c>
      <c r="F1129" s="58" t="s">
        <v>2573</v>
      </c>
      <c r="G1129" s="106">
        <v>12</v>
      </c>
      <c r="H1129" s="107"/>
      <c r="I1129" s="107"/>
      <c r="J1129" s="107"/>
      <c r="K1129" s="107"/>
      <c r="L1129" s="107"/>
      <c r="M1129" s="107"/>
      <c r="N1129" s="107"/>
      <c r="O1129" s="107"/>
      <c r="P1129" s="107"/>
    </row>
    <row r="1130" spans="1:16" x14ac:dyDescent="0.3">
      <c r="A1130" s="58" t="str">
        <f t="shared" si="72"/>
        <v>A058610</v>
      </c>
      <c r="B1130" s="59" t="str">
        <f t="shared" si="69"/>
        <v/>
      </c>
      <c r="C1130" s="59" t="str">
        <f t="shared" si="70"/>
        <v/>
      </c>
      <c r="D1130" s="109" t="str">
        <f t="shared" si="71"/>
        <v/>
      </c>
      <c r="E1130" s="106" t="s">
        <v>1135</v>
      </c>
      <c r="F1130" s="58" t="s">
        <v>2574</v>
      </c>
      <c r="G1130" s="106">
        <v>12</v>
      </c>
      <c r="H1130" s="107"/>
      <c r="I1130" s="107"/>
      <c r="J1130" s="107"/>
      <c r="K1130" s="107"/>
      <c r="L1130" s="107"/>
      <c r="M1130" s="107"/>
      <c r="N1130" s="107"/>
      <c r="O1130" s="107"/>
      <c r="P1130" s="107"/>
    </row>
    <row r="1131" spans="1:16" x14ac:dyDescent="0.3">
      <c r="A1131" s="58" t="str">
        <f t="shared" si="72"/>
        <v>A058630</v>
      </c>
      <c r="B1131" s="59" t="str">
        <f t="shared" si="69"/>
        <v/>
      </c>
      <c r="C1131" s="59" t="str">
        <f t="shared" si="70"/>
        <v/>
      </c>
      <c r="D1131" s="109" t="str">
        <f t="shared" si="71"/>
        <v/>
      </c>
      <c r="E1131" s="106" t="s">
        <v>1136</v>
      </c>
      <c r="F1131" s="58" t="s">
        <v>2575</v>
      </c>
      <c r="G1131" s="106">
        <v>12</v>
      </c>
      <c r="H1131" s="107"/>
      <c r="I1131" s="107"/>
      <c r="J1131" s="107"/>
      <c r="K1131" s="107"/>
      <c r="L1131" s="107"/>
      <c r="M1131" s="107"/>
      <c r="N1131" s="107"/>
      <c r="O1131" s="107"/>
      <c r="P1131" s="107"/>
    </row>
    <row r="1132" spans="1:16" x14ac:dyDescent="0.3">
      <c r="A1132" s="58" t="str">
        <f t="shared" si="72"/>
        <v>A058650</v>
      </c>
      <c r="B1132" s="59" t="str">
        <f t="shared" si="69"/>
        <v/>
      </c>
      <c r="C1132" s="59" t="str">
        <f t="shared" si="70"/>
        <v/>
      </c>
      <c r="D1132" s="109" t="str">
        <f t="shared" si="71"/>
        <v/>
      </c>
      <c r="E1132" s="106" t="s">
        <v>1137</v>
      </c>
      <c r="F1132" s="58" t="s">
        <v>2576</v>
      </c>
      <c r="G1132" s="106">
        <v>12</v>
      </c>
      <c r="H1132" s="107"/>
      <c r="I1132" s="107"/>
      <c r="J1132" s="107"/>
      <c r="K1132" s="107"/>
      <c r="L1132" s="107"/>
      <c r="M1132" s="107"/>
      <c r="N1132" s="107"/>
      <c r="O1132" s="107"/>
      <c r="P1132" s="107"/>
    </row>
    <row r="1133" spans="1:16" x14ac:dyDescent="0.3">
      <c r="A1133" s="58" t="str">
        <f t="shared" si="72"/>
        <v>A058730</v>
      </c>
      <c r="B1133" s="59" t="str">
        <f t="shared" si="69"/>
        <v/>
      </c>
      <c r="C1133" s="59" t="str">
        <f t="shared" si="70"/>
        <v/>
      </c>
      <c r="D1133" s="109" t="str">
        <f t="shared" si="71"/>
        <v/>
      </c>
      <c r="E1133" s="106" t="s">
        <v>1138</v>
      </c>
      <c r="F1133" s="58" t="s">
        <v>2577</v>
      </c>
      <c r="G1133" s="106">
        <v>12</v>
      </c>
      <c r="H1133" s="107"/>
      <c r="I1133" s="107"/>
      <c r="J1133" s="107"/>
      <c r="K1133" s="107"/>
      <c r="L1133" s="107"/>
      <c r="M1133" s="107"/>
      <c r="N1133" s="107"/>
      <c r="O1133" s="107"/>
      <c r="P1133" s="107"/>
    </row>
    <row r="1134" spans="1:16" x14ac:dyDescent="0.3">
      <c r="A1134" s="58" t="str">
        <f t="shared" si="72"/>
        <v>A058820</v>
      </c>
      <c r="B1134" s="59" t="str">
        <f t="shared" si="69"/>
        <v/>
      </c>
      <c r="C1134" s="59" t="str">
        <f t="shared" si="70"/>
        <v/>
      </c>
      <c r="D1134" s="109" t="str">
        <f t="shared" si="71"/>
        <v/>
      </c>
      <c r="E1134" s="106" t="s">
        <v>1139</v>
      </c>
      <c r="F1134" s="58" t="s">
        <v>3648</v>
      </c>
      <c r="G1134" s="106">
        <v>12</v>
      </c>
      <c r="H1134" s="107"/>
      <c r="I1134" s="107"/>
      <c r="J1134" s="107"/>
      <c r="K1134" s="107"/>
      <c r="L1134" s="107"/>
      <c r="M1134" s="107"/>
      <c r="N1134" s="107"/>
      <c r="O1134" s="107"/>
      <c r="P1134" s="107"/>
    </row>
    <row r="1135" spans="1:16" x14ac:dyDescent="0.3">
      <c r="A1135" s="58" t="str">
        <f t="shared" si="72"/>
        <v>A058850</v>
      </c>
      <c r="B1135" s="59" t="str">
        <f t="shared" si="69"/>
        <v/>
      </c>
      <c r="C1135" s="59" t="str">
        <f t="shared" si="70"/>
        <v/>
      </c>
      <c r="D1135" s="109" t="str">
        <f t="shared" si="71"/>
        <v/>
      </c>
      <c r="E1135" s="106" t="s">
        <v>3157</v>
      </c>
      <c r="F1135" s="58" t="s">
        <v>3358</v>
      </c>
      <c r="G1135" s="106">
        <v>12</v>
      </c>
      <c r="H1135" s="107"/>
      <c r="I1135" s="107"/>
      <c r="J1135" s="107"/>
      <c r="K1135" s="107"/>
      <c r="L1135" s="107"/>
      <c r="M1135" s="107"/>
      <c r="N1135" s="107"/>
      <c r="O1135" s="107"/>
      <c r="P1135" s="107"/>
    </row>
    <row r="1136" spans="1:16" x14ac:dyDescent="0.3">
      <c r="A1136" s="58" t="str">
        <f t="shared" si="72"/>
        <v>A058860</v>
      </c>
      <c r="B1136" s="59" t="str">
        <f t="shared" si="69"/>
        <v/>
      </c>
      <c r="C1136" s="59" t="str">
        <f t="shared" si="70"/>
        <v/>
      </c>
      <c r="D1136" s="109" t="str">
        <f t="shared" si="71"/>
        <v/>
      </c>
      <c r="E1136" s="106" t="s">
        <v>3158</v>
      </c>
      <c r="F1136" s="58" t="s">
        <v>3359</v>
      </c>
      <c r="G1136" s="106">
        <v>12</v>
      </c>
      <c r="H1136" s="107"/>
      <c r="I1136" s="107"/>
      <c r="J1136" s="107"/>
      <c r="K1136" s="107"/>
      <c r="L1136" s="107"/>
      <c r="M1136" s="107"/>
      <c r="N1136" s="107"/>
      <c r="O1136" s="107"/>
      <c r="P1136" s="107"/>
    </row>
    <row r="1137" spans="1:16" x14ac:dyDescent="0.3">
      <c r="A1137" s="58" t="str">
        <f t="shared" si="72"/>
        <v>A059090</v>
      </c>
      <c r="B1137" s="59" t="str">
        <f t="shared" si="69"/>
        <v/>
      </c>
      <c r="C1137" s="59" t="str">
        <f t="shared" si="70"/>
        <v/>
      </c>
      <c r="D1137" s="109" t="str">
        <f t="shared" si="71"/>
        <v/>
      </c>
      <c r="E1137" s="106" t="s">
        <v>1140</v>
      </c>
      <c r="F1137" s="58" t="s">
        <v>2578</v>
      </c>
      <c r="G1137" s="106">
        <v>12</v>
      </c>
      <c r="H1137" s="107"/>
      <c r="I1137" s="107"/>
      <c r="J1137" s="107"/>
      <c r="K1137" s="107"/>
      <c r="L1137" s="107"/>
      <c r="M1137" s="107"/>
      <c r="N1137" s="107"/>
      <c r="O1137" s="107"/>
      <c r="P1137" s="107"/>
    </row>
    <row r="1138" spans="1:16" x14ac:dyDescent="0.3">
      <c r="A1138" s="58" t="str">
        <f t="shared" si="72"/>
        <v>A059100</v>
      </c>
      <c r="B1138" s="59" t="str">
        <f t="shared" si="69"/>
        <v/>
      </c>
      <c r="C1138" s="59" t="str">
        <f t="shared" si="70"/>
        <v/>
      </c>
      <c r="D1138" s="109" t="str">
        <f t="shared" si="71"/>
        <v/>
      </c>
      <c r="E1138" s="106" t="s">
        <v>1141</v>
      </c>
      <c r="F1138" s="58" t="s">
        <v>2579</v>
      </c>
      <c r="G1138" s="106">
        <v>12</v>
      </c>
      <c r="H1138" s="107"/>
      <c r="I1138" s="107"/>
      <c r="J1138" s="107"/>
      <c r="K1138" s="107"/>
      <c r="L1138" s="107"/>
      <c r="M1138" s="107"/>
      <c r="N1138" s="107"/>
      <c r="O1138" s="107"/>
      <c r="P1138" s="107"/>
    </row>
    <row r="1139" spans="1:16" x14ac:dyDescent="0.3">
      <c r="A1139" s="58" t="str">
        <f t="shared" si="72"/>
        <v>A059210</v>
      </c>
      <c r="B1139" s="59" t="str">
        <f t="shared" si="69"/>
        <v/>
      </c>
      <c r="C1139" s="59" t="str">
        <f t="shared" si="70"/>
        <v/>
      </c>
      <c r="D1139" s="109" t="str">
        <f t="shared" si="71"/>
        <v/>
      </c>
      <c r="E1139" s="106" t="s">
        <v>1142</v>
      </c>
      <c r="F1139" s="58" t="s">
        <v>2580</v>
      </c>
      <c r="G1139" s="106">
        <v>12</v>
      </c>
      <c r="H1139" s="107"/>
      <c r="I1139" s="107"/>
      <c r="J1139" s="107"/>
      <c r="K1139" s="107"/>
      <c r="L1139" s="107"/>
      <c r="M1139" s="107"/>
      <c r="N1139" s="107"/>
      <c r="O1139" s="107"/>
      <c r="P1139" s="107"/>
    </row>
    <row r="1140" spans="1:16" x14ac:dyDescent="0.3">
      <c r="A1140" s="58" t="str">
        <f t="shared" si="72"/>
        <v>A060150</v>
      </c>
      <c r="B1140" s="59" t="str">
        <f t="shared" si="69"/>
        <v/>
      </c>
      <c r="C1140" s="59" t="str">
        <f t="shared" si="70"/>
        <v/>
      </c>
      <c r="D1140" s="109" t="str">
        <f t="shared" si="71"/>
        <v/>
      </c>
      <c r="E1140" s="106" t="s">
        <v>1143</v>
      </c>
      <c r="F1140" s="58" t="s">
        <v>2581</v>
      </c>
      <c r="G1140" s="106">
        <v>12</v>
      </c>
      <c r="H1140" s="107"/>
      <c r="I1140" s="107"/>
      <c r="J1140" s="107"/>
      <c r="K1140" s="107"/>
      <c r="L1140" s="107"/>
      <c r="M1140" s="107"/>
      <c r="N1140" s="107"/>
      <c r="O1140" s="107"/>
      <c r="P1140" s="107"/>
    </row>
    <row r="1141" spans="1:16" x14ac:dyDescent="0.3">
      <c r="A1141" s="58" t="str">
        <f t="shared" si="72"/>
        <v>A060230</v>
      </c>
      <c r="B1141" s="59" t="str">
        <f t="shared" si="69"/>
        <v/>
      </c>
      <c r="C1141" s="59" t="str">
        <f t="shared" si="70"/>
        <v/>
      </c>
      <c r="D1141" s="109" t="str">
        <f t="shared" si="71"/>
        <v/>
      </c>
      <c r="E1141" s="106" t="s">
        <v>1144</v>
      </c>
      <c r="F1141" s="58" t="s">
        <v>2582</v>
      </c>
      <c r="G1141" s="106">
        <v>12</v>
      </c>
      <c r="H1141" s="107"/>
      <c r="I1141" s="107"/>
      <c r="J1141" s="107"/>
      <c r="K1141" s="107"/>
      <c r="L1141" s="107"/>
      <c r="M1141" s="107"/>
      <c r="N1141" s="107"/>
      <c r="O1141" s="107"/>
      <c r="P1141" s="107"/>
    </row>
    <row r="1142" spans="1:16" x14ac:dyDescent="0.3">
      <c r="A1142" s="58" t="str">
        <f t="shared" si="72"/>
        <v>A060240</v>
      </c>
      <c r="B1142" s="59" t="str">
        <f t="shared" si="69"/>
        <v/>
      </c>
      <c r="C1142" s="59" t="str">
        <f t="shared" si="70"/>
        <v/>
      </c>
      <c r="D1142" s="109" t="str">
        <f t="shared" si="71"/>
        <v/>
      </c>
      <c r="E1142" s="106" t="s">
        <v>1145</v>
      </c>
      <c r="F1142" s="58" t="s">
        <v>2583</v>
      </c>
      <c r="G1142" s="106">
        <v>12</v>
      </c>
      <c r="H1142" s="107"/>
      <c r="I1142" s="107"/>
      <c r="J1142" s="107"/>
      <c r="K1142" s="107"/>
      <c r="L1142" s="107"/>
      <c r="M1142" s="107"/>
      <c r="N1142" s="107"/>
      <c r="O1142" s="107"/>
      <c r="P1142" s="107"/>
    </row>
    <row r="1143" spans="1:16" x14ac:dyDescent="0.3">
      <c r="A1143" s="58" t="str">
        <f t="shared" si="72"/>
        <v>A060250</v>
      </c>
      <c r="B1143" s="59" t="str">
        <f t="shared" si="69"/>
        <v/>
      </c>
      <c r="C1143" s="59" t="str">
        <f t="shared" si="70"/>
        <v/>
      </c>
      <c r="D1143" s="109" t="str">
        <f t="shared" si="71"/>
        <v/>
      </c>
      <c r="E1143" s="106" t="s">
        <v>1146</v>
      </c>
      <c r="F1143" s="58" t="s">
        <v>2584</v>
      </c>
      <c r="G1143" s="106">
        <v>12</v>
      </c>
      <c r="H1143" s="107"/>
      <c r="I1143" s="107"/>
      <c r="J1143" s="107"/>
      <c r="K1143" s="107"/>
      <c r="L1143" s="107"/>
      <c r="M1143" s="107"/>
      <c r="N1143" s="107"/>
      <c r="O1143" s="107"/>
      <c r="P1143" s="107"/>
    </row>
    <row r="1144" spans="1:16" x14ac:dyDescent="0.3">
      <c r="A1144" s="58" t="str">
        <f t="shared" si="72"/>
        <v>A060260</v>
      </c>
      <c r="B1144" s="59" t="str">
        <f t="shared" si="69"/>
        <v/>
      </c>
      <c r="C1144" s="59" t="str">
        <f t="shared" si="70"/>
        <v/>
      </c>
      <c r="D1144" s="109" t="str">
        <f t="shared" si="71"/>
        <v/>
      </c>
      <c r="E1144" s="106" t="s">
        <v>1147</v>
      </c>
      <c r="F1144" s="58" t="s">
        <v>2585</v>
      </c>
      <c r="G1144" s="106">
        <v>12</v>
      </c>
      <c r="H1144" s="107"/>
      <c r="I1144" s="107"/>
      <c r="J1144" s="107"/>
      <c r="K1144" s="107"/>
      <c r="L1144" s="107"/>
      <c r="M1144" s="107"/>
      <c r="N1144" s="107"/>
      <c r="O1144" s="107"/>
      <c r="P1144" s="107"/>
    </row>
    <row r="1145" spans="1:16" x14ac:dyDescent="0.3">
      <c r="A1145" s="58" t="str">
        <f t="shared" si="72"/>
        <v>A060280</v>
      </c>
      <c r="B1145" s="59" t="str">
        <f t="shared" si="69"/>
        <v/>
      </c>
      <c r="C1145" s="59" t="str">
        <f t="shared" si="70"/>
        <v/>
      </c>
      <c r="D1145" s="109" t="str">
        <f t="shared" si="71"/>
        <v/>
      </c>
      <c r="E1145" s="106" t="s">
        <v>1148</v>
      </c>
      <c r="F1145" s="58" t="s">
        <v>2586</v>
      </c>
      <c r="G1145" s="106">
        <v>12</v>
      </c>
      <c r="H1145" s="107"/>
      <c r="I1145" s="107"/>
      <c r="J1145" s="107"/>
      <c r="K1145" s="107"/>
      <c r="L1145" s="107"/>
      <c r="M1145" s="107"/>
      <c r="N1145" s="107"/>
      <c r="O1145" s="107"/>
      <c r="P1145" s="107"/>
    </row>
    <row r="1146" spans="1:16" x14ac:dyDescent="0.3">
      <c r="A1146" s="58" t="str">
        <f t="shared" si="72"/>
        <v>A060300</v>
      </c>
      <c r="B1146" s="59" t="str">
        <f t="shared" si="69"/>
        <v/>
      </c>
      <c r="C1146" s="59" t="str">
        <f t="shared" si="70"/>
        <v/>
      </c>
      <c r="D1146" s="109" t="str">
        <f t="shared" si="71"/>
        <v/>
      </c>
      <c r="E1146" s="106" t="s">
        <v>1149</v>
      </c>
      <c r="F1146" s="58" t="s">
        <v>2587</v>
      </c>
      <c r="G1146" s="106">
        <v>12</v>
      </c>
      <c r="H1146" s="107"/>
      <c r="I1146" s="107"/>
      <c r="J1146" s="107"/>
      <c r="K1146" s="107"/>
      <c r="L1146" s="107"/>
      <c r="M1146" s="107"/>
      <c r="N1146" s="107"/>
      <c r="O1146" s="107"/>
      <c r="P1146" s="107"/>
    </row>
    <row r="1147" spans="1:16" x14ac:dyDescent="0.3">
      <c r="A1147" s="58" t="str">
        <f t="shared" si="72"/>
        <v>A060310</v>
      </c>
      <c r="B1147" s="59" t="str">
        <f t="shared" si="69"/>
        <v/>
      </c>
      <c r="C1147" s="59" t="str">
        <f t="shared" si="70"/>
        <v/>
      </c>
      <c r="D1147" s="109" t="str">
        <f t="shared" si="71"/>
        <v/>
      </c>
      <c r="E1147" s="106" t="s">
        <v>1150</v>
      </c>
      <c r="F1147" s="58" t="s">
        <v>2588</v>
      </c>
      <c r="G1147" s="106">
        <v>3</v>
      </c>
      <c r="H1147" s="107"/>
      <c r="I1147" s="107"/>
      <c r="J1147" s="107"/>
      <c r="K1147" s="107"/>
      <c r="L1147" s="107"/>
      <c r="M1147" s="107"/>
      <c r="N1147" s="107"/>
      <c r="O1147" s="107"/>
      <c r="P1147" s="107"/>
    </row>
    <row r="1148" spans="1:16" x14ac:dyDescent="0.3">
      <c r="A1148" s="58" t="str">
        <f t="shared" si="72"/>
        <v>A060370</v>
      </c>
      <c r="B1148" s="59" t="str">
        <f t="shared" si="69"/>
        <v/>
      </c>
      <c r="C1148" s="59" t="str">
        <f t="shared" si="70"/>
        <v/>
      </c>
      <c r="D1148" s="109" t="str">
        <f t="shared" si="71"/>
        <v/>
      </c>
      <c r="E1148" s="106" t="s">
        <v>1151</v>
      </c>
      <c r="F1148" s="58" t="s">
        <v>2589</v>
      </c>
      <c r="G1148" s="106">
        <v>12</v>
      </c>
      <c r="H1148" s="107"/>
      <c r="I1148" s="107"/>
      <c r="J1148" s="107"/>
      <c r="K1148" s="107"/>
      <c r="L1148" s="107"/>
      <c r="M1148" s="107"/>
      <c r="N1148" s="107"/>
      <c r="O1148" s="107"/>
      <c r="P1148" s="107"/>
    </row>
    <row r="1149" spans="1:16" x14ac:dyDescent="0.3">
      <c r="A1149" s="58" t="str">
        <f t="shared" si="72"/>
        <v>A060380</v>
      </c>
      <c r="B1149" s="59" t="str">
        <f t="shared" si="69"/>
        <v/>
      </c>
      <c r="C1149" s="59" t="str">
        <f t="shared" si="70"/>
        <v/>
      </c>
      <c r="D1149" s="109" t="str">
        <f t="shared" si="71"/>
        <v/>
      </c>
      <c r="E1149" s="106" t="s">
        <v>1152</v>
      </c>
      <c r="F1149" s="58" t="s">
        <v>2590</v>
      </c>
      <c r="G1149" s="106">
        <v>12</v>
      </c>
      <c r="H1149" s="107"/>
      <c r="I1149" s="107"/>
      <c r="J1149" s="107"/>
      <c r="K1149" s="107"/>
      <c r="L1149" s="107"/>
      <c r="M1149" s="107"/>
      <c r="N1149" s="107"/>
      <c r="O1149" s="107"/>
      <c r="P1149" s="107"/>
    </row>
    <row r="1150" spans="1:16" x14ac:dyDescent="0.3">
      <c r="A1150" s="58" t="str">
        <f t="shared" si="72"/>
        <v>A060540</v>
      </c>
      <c r="B1150" s="59" t="str">
        <f t="shared" si="69"/>
        <v/>
      </c>
      <c r="C1150" s="59" t="str">
        <f t="shared" si="70"/>
        <v/>
      </c>
      <c r="D1150" s="109" t="str">
        <f t="shared" si="71"/>
        <v/>
      </c>
      <c r="E1150" s="106" t="s">
        <v>1153</v>
      </c>
      <c r="F1150" s="58" t="s">
        <v>2591</v>
      </c>
      <c r="G1150" s="106">
        <v>12</v>
      </c>
      <c r="H1150" s="107"/>
      <c r="I1150" s="107"/>
      <c r="J1150" s="107"/>
      <c r="K1150" s="107"/>
      <c r="L1150" s="107"/>
      <c r="M1150" s="107"/>
      <c r="N1150" s="107"/>
      <c r="O1150" s="107"/>
      <c r="P1150" s="107"/>
    </row>
    <row r="1151" spans="1:16" x14ac:dyDescent="0.3">
      <c r="A1151" s="58" t="str">
        <f t="shared" si="72"/>
        <v>A060560</v>
      </c>
      <c r="B1151" s="59" t="str">
        <f t="shared" si="69"/>
        <v/>
      </c>
      <c r="C1151" s="59" t="str">
        <f t="shared" si="70"/>
        <v/>
      </c>
      <c r="D1151" s="109" t="str">
        <f t="shared" si="71"/>
        <v/>
      </c>
      <c r="E1151" s="106" t="s">
        <v>1154</v>
      </c>
      <c r="F1151" s="58" t="s">
        <v>2592</v>
      </c>
      <c r="G1151" s="106">
        <v>12</v>
      </c>
      <c r="H1151" s="107"/>
      <c r="I1151" s="107"/>
      <c r="J1151" s="107"/>
      <c r="K1151" s="107"/>
      <c r="L1151" s="107"/>
      <c r="M1151" s="107"/>
      <c r="N1151" s="107"/>
      <c r="O1151" s="107"/>
      <c r="P1151" s="107"/>
    </row>
    <row r="1152" spans="1:16" x14ac:dyDescent="0.3">
      <c r="A1152" s="58" t="str">
        <f t="shared" si="72"/>
        <v>A060570</v>
      </c>
      <c r="B1152" s="59" t="str">
        <f t="shared" si="69"/>
        <v/>
      </c>
      <c r="C1152" s="59" t="str">
        <f t="shared" si="70"/>
        <v/>
      </c>
      <c r="D1152" s="109" t="str">
        <f t="shared" si="71"/>
        <v/>
      </c>
      <c r="E1152" s="106" t="s">
        <v>1155</v>
      </c>
      <c r="F1152" s="58" t="s">
        <v>2593</v>
      </c>
      <c r="G1152" s="106">
        <v>12</v>
      </c>
      <c r="H1152" s="107"/>
      <c r="I1152" s="107"/>
      <c r="J1152" s="107"/>
      <c r="K1152" s="107"/>
      <c r="L1152" s="107"/>
      <c r="M1152" s="107"/>
      <c r="N1152" s="107"/>
      <c r="O1152" s="107"/>
      <c r="P1152" s="107"/>
    </row>
    <row r="1153" spans="1:16" x14ac:dyDescent="0.3">
      <c r="A1153" s="58" t="str">
        <f t="shared" si="72"/>
        <v>A060590</v>
      </c>
      <c r="B1153" s="59" t="str">
        <f t="shared" si="69"/>
        <v/>
      </c>
      <c r="C1153" s="59" t="str">
        <f t="shared" si="70"/>
        <v/>
      </c>
      <c r="D1153" s="109" t="str">
        <f t="shared" si="71"/>
        <v/>
      </c>
      <c r="E1153" s="106" t="s">
        <v>1156</v>
      </c>
      <c r="F1153" s="58" t="s">
        <v>2594</v>
      </c>
      <c r="G1153" s="106">
        <v>12</v>
      </c>
      <c r="H1153" s="107"/>
      <c r="I1153" s="107"/>
      <c r="J1153" s="107"/>
      <c r="K1153" s="107"/>
      <c r="L1153" s="107"/>
      <c r="M1153" s="107"/>
      <c r="N1153" s="107"/>
      <c r="O1153" s="107"/>
      <c r="P1153" s="107"/>
    </row>
    <row r="1154" spans="1:16" x14ac:dyDescent="0.3">
      <c r="A1154" s="58" t="str">
        <f t="shared" si="72"/>
        <v>A060720</v>
      </c>
      <c r="B1154" s="59" t="str">
        <f t="shared" si="69"/>
        <v/>
      </c>
      <c r="C1154" s="59" t="str">
        <f t="shared" si="70"/>
        <v/>
      </c>
      <c r="D1154" s="109" t="str">
        <f t="shared" si="71"/>
        <v/>
      </c>
      <c r="E1154" s="106" t="s">
        <v>1157</v>
      </c>
      <c r="F1154" s="58" t="s">
        <v>2595</v>
      </c>
      <c r="G1154" s="106">
        <v>12</v>
      </c>
      <c r="H1154" s="107"/>
      <c r="I1154" s="107"/>
      <c r="J1154" s="107"/>
      <c r="K1154" s="107"/>
      <c r="L1154" s="107"/>
      <c r="M1154" s="107"/>
      <c r="N1154" s="107"/>
      <c r="O1154" s="107"/>
      <c r="P1154" s="107"/>
    </row>
    <row r="1155" spans="1:16" x14ac:dyDescent="0.3">
      <c r="A1155" s="58" t="str">
        <f t="shared" si="72"/>
        <v>A060900</v>
      </c>
      <c r="B1155" s="59" t="str">
        <f t="shared" si="69"/>
        <v/>
      </c>
      <c r="C1155" s="59" t="str">
        <f t="shared" si="70"/>
        <v/>
      </c>
      <c r="D1155" s="109" t="str">
        <f t="shared" si="71"/>
        <v/>
      </c>
      <c r="E1155" s="106" t="s">
        <v>1158</v>
      </c>
      <c r="F1155" s="58" t="s">
        <v>2596</v>
      </c>
      <c r="G1155" s="106">
        <v>12</v>
      </c>
      <c r="H1155" s="107"/>
      <c r="I1155" s="107"/>
      <c r="J1155" s="107"/>
      <c r="K1155" s="107"/>
      <c r="L1155" s="107"/>
      <c r="M1155" s="107"/>
      <c r="N1155" s="107"/>
      <c r="O1155" s="107"/>
      <c r="P1155" s="107"/>
    </row>
    <row r="1156" spans="1:16" x14ac:dyDescent="0.3">
      <c r="A1156" s="58" t="str">
        <f t="shared" si="72"/>
        <v>A060910</v>
      </c>
      <c r="B1156" s="59" t="str">
        <f t="shared" si="69"/>
        <v/>
      </c>
      <c r="C1156" s="59" t="str">
        <f t="shared" si="70"/>
        <v/>
      </c>
      <c r="D1156" s="109" t="str">
        <f t="shared" si="71"/>
        <v/>
      </c>
      <c r="E1156" s="106" t="s">
        <v>1159</v>
      </c>
      <c r="F1156" s="58" t="s">
        <v>3665</v>
      </c>
      <c r="G1156" s="106">
        <v>12</v>
      </c>
      <c r="H1156" s="107"/>
      <c r="I1156" s="107"/>
      <c r="J1156" s="107"/>
      <c r="K1156" s="107"/>
      <c r="L1156" s="107"/>
      <c r="M1156" s="107"/>
      <c r="N1156" s="107"/>
      <c r="O1156" s="107"/>
      <c r="P1156" s="107"/>
    </row>
    <row r="1157" spans="1:16" x14ac:dyDescent="0.3">
      <c r="A1157" s="58" t="str">
        <f t="shared" si="72"/>
        <v>A060980</v>
      </c>
      <c r="B1157" s="59">
        <f t="shared" si="69"/>
        <v>41481</v>
      </c>
      <c r="C1157" s="59">
        <f t="shared" si="70"/>
        <v>41481</v>
      </c>
      <c r="D1157" s="109">
        <f t="shared" si="71"/>
        <v>90.21</v>
      </c>
      <c r="E1157" s="106" t="s">
        <v>3125</v>
      </c>
      <c r="F1157" s="58" t="s">
        <v>3360</v>
      </c>
      <c r="G1157" s="106">
        <v>12</v>
      </c>
      <c r="H1157" s="107">
        <v>20130726</v>
      </c>
      <c r="I1157" s="107">
        <v>20130726</v>
      </c>
      <c r="J1157" s="107">
        <v>90.21</v>
      </c>
      <c r="K1157" s="107"/>
      <c r="L1157" s="107"/>
      <c r="M1157" s="107"/>
      <c r="N1157" s="107"/>
      <c r="O1157" s="107"/>
      <c r="P1157" s="107"/>
    </row>
    <row r="1158" spans="1:16" x14ac:dyDescent="0.3">
      <c r="A1158" s="58" t="str">
        <f t="shared" si="72"/>
        <v>A061040</v>
      </c>
      <c r="B1158" s="59" t="str">
        <f t="shared" si="69"/>
        <v/>
      </c>
      <c r="C1158" s="59" t="str">
        <f t="shared" si="70"/>
        <v/>
      </c>
      <c r="D1158" s="109" t="str">
        <f t="shared" si="71"/>
        <v/>
      </c>
      <c r="E1158" s="106" t="s">
        <v>1160</v>
      </c>
      <c r="F1158" s="58" t="s">
        <v>2597</v>
      </c>
      <c r="G1158" s="106">
        <v>12</v>
      </c>
      <c r="H1158" s="107"/>
      <c r="I1158" s="107"/>
      <c r="J1158" s="107"/>
      <c r="K1158" s="107"/>
      <c r="L1158" s="107"/>
      <c r="M1158" s="107"/>
      <c r="N1158" s="107"/>
      <c r="O1158" s="107"/>
      <c r="P1158" s="107"/>
    </row>
    <row r="1159" spans="1:16" x14ac:dyDescent="0.3">
      <c r="A1159" s="58" t="str">
        <f t="shared" si="72"/>
        <v>A061250</v>
      </c>
      <c r="B1159" s="59" t="str">
        <f t="shared" si="69"/>
        <v/>
      </c>
      <c r="C1159" s="59" t="str">
        <f t="shared" si="70"/>
        <v/>
      </c>
      <c r="D1159" s="109" t="str">
        <f t="shared" si="71"/>
        <v/>
      </c>
      <c r="E1159" s="106" t="s">
        <v>1161</v>
      </c>
      <c r="F1159" s="58" t="s">
        <v>2598</v>
      </c>
      <c r="G1159" s="106">
        <v>12</v>
      </c>
      <c r="H1159" s="107"/>
      <c r="I1159" s="107"/>
      <c r="J1159" s="107"/>
      <c r="K1159" s="107"/>
      <c r="L1159" s="107"/>
      <c r="M1159" s="107"/>
      <c r="N1159" s="107"/>
      <c r="O1159" s="107"/>
      <c r="P1159" s="107"/>
    </row>
    <row r="1160" spans="1:16" x14ac:dyDescent="0.3">
      <c r="A1160" s="58" t="str">
        <f t="shared" si="72"/>
        <v>A061460</v>
      </c>
      <c r="B1160" s="59" t="str">
        <f t="shared" si="69"/>
        <v/>
      </c>
      <c r="C1160" s="59" t="str">
        <f t="shared" si="70"/>
        <v/>
      </c>
      <c r="D1160" s="109" t="str">
        <f t="shared" si="71"/>
        <v/>
      </c>
      <c r="E1160" s="106" t="s">
        <v>1162</v>
      </c>
      <c r="F1160" s="58" t="s">
        <v>2599</v>
      </c>
      <c r="G1160" s="106">
        <v>12</v>
      </c>
      <c r="H1160" s="107"/>
      <c r="I1160" s="107"/>
      <c r="J1160" s="107"/>
      <c r="K1160" s="107"/>
      <c r="L1160" s="107"/>
      <c r="M1160" s="107"/>
      <c r="N1160" s="107"/>
      <c r="O1160" s="107"/>
      <c r="P1160" s="107"/>
    </row>
    <row r="1161" spans="1:16" x14ac:dyDescent="0.3">
      <c r="A1161" s="58" t="str">
        <f t="shared" si="72"/>
        <v>A061970</v>
      </c>
      <c r="B1161" s="59" t="str">
        <f t="shared" si="69"/>
        <v/>
      </c>
      <c r="C1161" s="59" t="str">
        <f t="shared" si="70"/>
        <v/>
      </c>
      <c r="D1161" s="109" t="str">
        <f t="shared" si="71"/>
        <v/>
      </c>
      <c r="E1161" s="106" t="s">
        <v>3159</v>
      </c>
      <c r="F1161" s="58" t="s">
        <v>3361</v>
      </c>
      <c r="G1161" s="106">
        <v>12</v>
      </c>
      <c r="H1161" s="107"/>
      <c r="I1161" s="107"/>
      <c r="J1161" s="107"/>
      <c r="K1161" s="107"/>
      <c r="L1161" s="107"/>
      <c r="M1161" s="107"/>
      <c r="N1161" s="107"/>
      <c r="O1161" s="107"/>
      <c r="P1161" s="107"/>
    </row>
    <row r="1162" spans="1:16" x14ac:dyDescent="0.3">
      <c r="A1162" s="58" t="str">
        <f t="shared" si="72"/>
        <v>A062860</v>
      </c>
      <c r="B1162" s="59" t="str">
        <f t="shared" si="69"/>
        <v/>
      </c>
      <c r="C1162" s="59" t="str">
        <f t="shared" si="70"/>
        <v/>
      </c>
      <c r="D1162" s="109" t="str">
        <f t="shared" si="71"/>
        <v/>
      </c>
      <c r="E1162" s="106" t="s">
        <v>1163</v>
      </c>
      <c r="F1162" s="58" t="s">
        <v>2600</v>
      </c>
      <c r="G1162" s="106">
        <v>12</v>
      </c>
      <c r="H1162" s="107"/>
      <c r="I1162" s="107"/>
      <c r="J1162" s="107"/>
      <c r="K1162" s="107"/>
      <c r="L1162" s="107"/>
      <c r="M1162" s="107"/>
      <c r="N1162" s="107"/>
      <c r="O1162" s="107"/>
      <c r="P1162" s="107"/>
    </row>
    <row r="1163" spans="1:16" x14ac:dyDescent="0.3">
      <c r="A1163" s="58" t="str">
        <f t="shared" si="72"/>
        <v>A063080</v>
      </c>
      <c r="B1163" s="59" t="str">
        <f t="shared" si="69"/>
        <v/>
      </c>
      <c r="C1163" s="59" t="str">
        <f t="shared" si="70"/>
        <v/>
      </c>
      <c r="D1163" s="109" t="str">
        <f t="shared" si="71"/>
        <v/>
      </c>
      <c r="E1163" s="106" t="s">
        <v>1164</v>
      </c>
      <c r="F1163" s="58" t="s">
        <v>2601</v>
      </c>
      <c r="G1163" s="106">
        <v>12</v>
      </c>
      <c r="H1163" s="107"/>
      <c r="I1163" s="107"/>
      <c r="J1163" s="107"/>
      <c r="K1163" s="107"/>
      <c r="L1163" s="107"/>
      <c r="M1163" s="107"/>
      <c r="N1163" s="107"/>
      <c r="O1163" s="107"/>
      <c r="P1163" s="107"/>
    </row>
    <row r="1164" spans="1:16" x14ac:dyDescent="0.3">
      <c r="A1164" s="58" t="str">
        <f t="shared" si="72"/>
        <v>A063160</v>
      </c>
      <c r="B1164" s="59">
        <f t="shared" si="69"/>
        <v>41485</v>
      </c>
      <c r="C1164" s="59">
        <f t="shared" si="70"/>
        <v>41485</v>
      </c>
      <c r="D1164" s="109">
        <f t="shared" si="71"/>
        <v>0.21</v>
      </c>
      <c r="E1164" s="106" t="s">
        <v>1165</v>
      </c>
      <c r="F1164" s="58" t="s">
        <v>2602</v>
      </c>
      <c r="G1164" s="106">
        <v>12</v>
      </c>
      <c r="H1164" s="107">
        <v>20130730</v>
      </c>
      <c r="I1164" s="107">
        <v>20130730</v>
      </c>
      <c r="J1164" s="107">
        <v>0.21</v>
      </c>
      <c r="K1164" s="107"/>
      <c r="L1164" s="107"/>
      <c r="M1164" s="107"/>
      <c r="N1164" s="107"/>
      <c r="O1164" s="107"/>
      <c r="P1164" s="107"/>
    </row>
    <row r="1165" spans="1:16" x14ac:dyDescent="0.3">
      <c r="A1165" s="58" t="str">
        <f t="shared" si="72"/>
        <v>A063170</v>
      </c>
      <c r="B1165" s="59" t="str">
        <f t="shared" si="69"/>
        <v/>
      </c>
      <c r="C1165" s="59" t="str">
        <f t="shared" si="70"/>
        <v/>
      </c>
      <c r="D1165" s="109" t="str">
        <f t="shared" si="71"/>
        <v/>
      </c>
      <c r="E1165" s="106" t="s">
        <v>1166</v>
      </c>
      <c r="F1165" s="58" t="s">
        <v>2603</v>
      </c>
      <c r="G1165" s="106">
        <v>12</v>
      </c>
      <c r="H1165" s="107"/>
      <c r="I1165" s="107"/>
      <c r="J1165" s="107"/>
      <c r="K1165" s="107"/>
      <c r="L1165" s="107"/>
      <c r="M1165" s="107"/>
      <c r="N1165" s="107"/>
      <c r="O1165" s="107"/>
      <c r="P1165" s="107"/>
    </row>
    <row r="1166" spans="1:16" x14ac:dyDescent="0.3">
      <c r="A1166" s="58" t="str">
        <f t="shared" si="72"/>
        <v>A063440</v>
      </c>
      <c r="B1166" s="59" t="str">
        <f t="shared" si="69"/>
        <v/>
      </c>
      <c r="C1166" s="59" t="str">
        <f t="shared" si="70"/>
        <v/>
      </c>
      <c r="D1166" s="109" t="str">
        <f t="shared" si="71"/>
        <v/>
      </c>
      <c r="E1166" s="106" t="s">
        <v>1167</v>
      </c>
      <c r="F1166" s="58" t="s">
        <v>2604</v>
      </c>
      <c r="G1166" s="106">
        <v>12</v>
      </c>
      <c r="H1166" s="107"/>
      <c r="I1166" s="107"/>
      <c r="J1166" s="107"/>
      <c r="K1166" s="107"/>
      <c r="L1166" s="107"/>
      <c r="M1166" s="107"/>
      <c r="N1166" s="107"/>
      <c r="O1166" s="107"/>
      <c r="P1166" s="107"/>
    </row>
    <row r="1167" spans="1:16" x14ac:dyDescent="0.3">
      <c r="A1167" s="58" t="str">
        <f t="shared" si="72"/>
        <v>A063570</v>
      </c>
      <c r="B1167" s="59" t="str">
        <f t="shared" ref="B1167:B1230" si="73">IFERROR(IF(ISNUMBER(H1167),DATE(LEFT(H1167,4),MID(H1167,5,2),RIGHT(H1167,2)),NA()),"")</f>
        <v/>
      </c>
      <c r="C1167" s="59" t="str">
        <f t="shared" ref="C1167:C1230" si="74">IFERROR(IF(ISNUMBER(I1167),DATE(LEFT(I1167,4),MID(I1167,5,2),RIGHT(I1167,2)),NA()),"")</f>
        <v/>
      </c>
      <c r="D1167" s="109" t="str">
        <f t="shared" ref="D1167:D1230" si="75">IFERROR(IF(ISNUMBER(J1167),J1167,NA()),"")</f>
        <v/>
      </c>
      <c r="E1167" s="106" t="s">
        <v>1168</v>
      </c>
      <c r="F1167" s="58" t="s">
        <v>2605</v>
      </c>
      <c r="G1167" s="106">
        <v>12</v>
      </c>
      <c r="H1167" s="107"/>
      <c r="I1167" s="107"/>
      <c r="J1167" s="107"/>
      <c r="K1167" s="107"/>
      <c r="L1167" s="107"/>
      <c r="M1167" s="107"/>
      <c r="N1167" s="107"/>
      <c r="O1167" s="107"/>
      <c r="P1167" s="107"/>
    </row>
    <row r="1168" spans="1:16" x14ac:dyDescent="0.3">
      <c r="A1168" s="58" t="str">
        <f t="shared" si="72"/>
        <v>A064090</v>
      </c>
      <c r="B1168" s="59" t="str">
        <f t="shared" si="73"/>
        <v/>
      </c>
      <c r="C1168" s="59" t="str">
        <f t="shared" si="74"/>
        <v/>
      </c>
      <c r="D1168" s="109" t="str">
        <f t="shared" si="75"/>
        <v/>
      </c>
      <c r="E1168" s="106" t="s">
        <v>1169</v>
      </c>
      <c r="F1168" s="58" t="s">
        <v>2606</v>
      </c>
      <c r="G1168" s="106">
        <v>12</v>
      </c>
      <c r="H1168" s="107"/>
      <c r="I1168" s="107"/>
      <c r="J1168" s="107"/>
      <c r="K1168" s="107"/>
      <c r="L1168" s="107"/>
      <c r="M1168" s="107"/>
      <c r="N1168" s="107"/>
      <c r="O1168" s="107"/>
      <c r="P1168" s="107"/>
    </row>
    <row r="1169" spans="1:16" x14ac:dyDescent="0.3">
      <c r="A1169" s="58" t="str">
        <f t="shared" si="72"/>
        <v>A064240</v>
      </c>
      <c r="B1169" s="59" t="str">
        <f t="shared" si="73"/>
        <v/>
      </c>
      <c r="C1169" s="59" t="str">
        <f t="shared" si="74"/>
        <v/>
      </c>
      <c r="D1169" s="109" t="str">
        <f t="shared" si="75"/>
        <v/>
      </c>
      <c r="E1169" s="106" t="s">
        <v>1170</v>
      </c>
      <c r="F1169" s="58" t="s">
        <v>2607</v>
      </c>
      <c r="G1169" s="106">
        <v>12</v>
      </c>
      <c r="H1169" s="107"/>
      <c r="I1169" s="107"/>
      <c r="J1169" s="107"/>
      <c r="K1169" s="107"/>
      <c r="L1169" s="107"/>
      <c r="M1169" s="107"/>
      <c r="N1169" s="107"/>
      <c r="O1169" s="107"/>
      <c r="P1169" s="107"/>
    </row>
    <row r="1170" spans="1:16" x14ac:dyDescent="0.3">
      <c r="A1170" s="58" t="str">
        <f t="shared" si="72"/>
        <v>A064260</v>
      </c>
      <c r="B1170" s="59" t="str">
        <f t="shared" si="73"/>
        <v/>
      </c>
      <c r="C1170" s="59" t="str">
        <f t="shared" si="74"/>
        <v/>
      </c>
      <c r="D1170" s="109" t="str">
        <f t="shared" si="75"/>
        <v/>
      </c>
      <c r="E1170" s="106" t="s">
        <v>1171</v>
      </c>
      <c r="F1170" s="58" t="s">
        <v>2608</v>
      </c>
      <c r="G1170" s="106">
        <v>12</v>
      </c>
      <c r="H1170" s="107"/>
      <c r="I1170" s="107"/>
      <c r="J1170" s="107"/>
      <c r="K1170" s="107"/>
      <c r="L1170" s="107"/>
      <c r="M1170" s="107"/>
      <c r="N1170" s="107"/>
      <c r="O1170" s="107"/>
      <c r="P1170" s="107"/>
    </row>
    <row r="1171" spans="1:16" x14ac:dyDescent="0.3">
      <c r="A1171" s="58" t="str">
        <f t="shared" si="72"/>
        <v>A064290</v>
      </c>
      <c r="B1171" s="59" t="str">
        <f t="shared" si="73"/>
        <v/>
      </c>
      <c r="C1171" s="59" t="str">
        <f t="shared" si="74"/>
        <v/>
      </c>
      <c r="D1171" s="109" t="str">
        <f t="shared" si="75"/>
        <v/>
      </c>
      <c r="E1171" s="106" t="s">
        <v>3160</v>
      </c>
      <c r="F1171" s="58" t="s">
        <v>3362</v>
      </c>
      <c r="G1171" s="106">
        <v>12</v>
      </c>
      <c r="H1171" s="107"/>
      <c r="I1171" s="107"/>
      <c r="J1171" s="107"/>
      <c r="K1171" s="107"/>
      <c r="L1171" s="107"/>
      <c r="M1171" s="107"/>
      <c r="N1171" s="107"/>
      <c r="O1171" s="107"/>
      <c r="P1171" s="107"/>
    </row>
    <row r="1172" spans="1:16" x14ac:dyDescent="0.3">
      <c r="A1172" s="58" t="str">
        <f t="shared" si="72"/>
        <v>A064480</v>
      </c>
      <c r="B1172" s="59" t="str">
        <f t="shared" si="73"/>
        <v/>
      </c>
      <c r="C1172" s="59" t="str">
        <f t="shared" si="74"/>
        <v/>
      </c>
      <c r="D1172" s="109" t="str">
        <f t="shared" si="75"/>
        <v/>
      </c>
      <c r="E1172" s="106" t="s">
        <v>1172</v>
      </c>
      <c r="F1172" s="58" t="s">
        <v>2609</v>
      </c>
      <c r="G1172" s="106">
        <v>12</v>
      </c>
      <c r="H1172" s="107"/>
      <c r="I1172" s="107"/>
      <c r="J1172" s="107"/>
      <c r="K1172" s="107"/>
      <c r="L1172" s="107"/>
      <c r="M1172" s="107"/>
      <c r="N1172" s="107"/>
      <c r="O1172" s="107"/>
      <c r="P1172" s="107"/>
    </row>
    <row r="1173" spans="1:16" x14ac:dyDescent="0.3">
      <c r="A1173" s="58" t="str">
        <f t="shared" si="72"/>
        <v>A064520</v>
      </c>
      <c r="B1173" s="59" t="str">
        <f t="shared" si="73"/>
        <v/>
      </c>
      <c r="C1173" s="59" t="str">
        <f t="shared" si="74"/>
        <v/>
      </c>
      <c r="D1173" s="109" t="str">
        <f t="shared" si="75"/>
        <v/>
      </c>
      <c r="E1173" s="106" t="s">
        <v>1173</v>
      </c>
      <c r="F1173" s="58" t="s">
        <v>2610</v>
      </c>
      <c r="G1173" s="106">
        <v>12</v>
      </c>
      <c r="H1173" s="107"/>
      <c r="I1173" s="107"/>
      <c r="J1173" s="107"/>
      <c r="K1173" s="107"/>
      <c r="L1173" s="107"/>
      <c r="M1173" s="107"/>
      <c r="N1173" s="107"/>
      <c r="O1173" s="107"/>
      <c r="P1173" s="107"/>
    </row>
    <row r="1174" spans="1:16" x14ac:dyDescent="0.3">
      <c r="A1174" s="58" t="str">
        <f t="shared" ref="A1174:A1237" si="76">E1174</f>
        <v>A064550</v>
      </c>
      <c r="B1174" s="59" t="str">
        <f t="shared" si="73"/>
        <v/>
      </c>
      <c r="C1174" s="59" t="str">
        <f t="shared" si="74"/>
        <v/>
      </c>
      <c r="D1174" s="109" t="str">
        <f t="shared" si="75"/>
        <v/>
      </c>
      <c r="E1174" s="106" t="s">
        <v>1174</v>
      </c>
      <c r="F1174" s="58" t="s">
        <v>2611</v>
      </c>
      <c r="G1174" s="106">
        <v>12</v>
      </c>
      <c r="H1174" s="107"/>
      <c r="I1174" s="107"/>
      <c r="J1174" s="107"/>
      <c r="K1174" s="107"/>
      <c r="L1174" s="107"/>
      <c r="M1174" s="107"/>
      <c r="N1174" s="107"/>
      <c r="O1174" s="107"/>
      <c r="P1174" s="107"/>
    </row>
    <row r="1175" spans="1:16" x14ac:dyDescent="0.3">
      <c r="A1175" s="58" t="str">
        <f t="shared" si="76"/>
        <v>A064760</v>
      </c>
      <c r="B1175" s="59" t="str">
        <f t="shared" si="73"/>
        <v/>
      </c>
      <c r="C1175" s="59" t="str">
        <f t="shared" si="74"/>
        <v/>
      </c>
      <c r="D1175" s="109" t="str">
        <f t="shared" si="75"/>
        <v/>
      </c>
      <c r="E1175" s="106" t="s">
        <v>1175</v>
      </c>
      <c r="F1175" s="58" t="s">
        <v>2612</v>
      </c>
      <c r="G1175" s="106">
        <v>12</v>
      </c>
      <c r="H1175" s="107"/>
      <c r="I1175" s="107"/>
      <c r="J1175" s="107"/>
      <c r="K1175" s="107"/>
      <c r="L1175" s="107"/>
      <c r="M1175" s="107"/>
      <c r="N1175" s="107"/>
      <c r="O1175" s="107"/>
      <c r="P1175" s="107"/>
    </row>
    <row r="1176" spans="1:16" x14ac:dyDescent="0.3">
      <c r="A1176" s="58" t="str">
        <f t="shared" si="76"/>
        <v>A064800</v>
      </c>
      <c r="B1176" s="59" t="str">
        <f t="shared" si="73"/>
        <v/>
      </c>
      <c r="C1176" s="59" t="str">
        <f t="shared" si="74"/>
        <v/>
      </c>
      <c r="D1176" s="109" t="str">
        <f t="shared" si="75"/>
        <v/>
      </c>
      <c r="E1176" s="106" t="s">
        <v>1176</v>
      </c>
      <c r="F1176" s="58" t="s">
        <v>2613</v>
      </c>
      <c r="G1176" s="106">
        <v>12</v>
      </c>
      <c r="H1176" s="107"/>
      <c r="I1176" s="107"/>
      <c r="J1176" s="107"/>
      <c r="K1176" s="107"/>
      <c r="L1176" s="107"/>
      <c r="M1176" s="107"/>
      <c r="N1176" s="107"/>
      <c r="O1176" s="107"/>
      <c r="P1176" s="107"/>
    </row>
    <row r="1177" spans="1:16" x14ac:dyDescent="0.3">
      <c r="A1177" s="58" t="str">
        <f t="shared" si="76"/>
        <v>A064820</v>
      </c>
      <c r="B1177" s="59" t="str">
        <f t="shared" si="73"/>
        <v/>
      </c>
      <c r="C1177" s="59" t="str">
        <f t="shared" si="74"/>
        <v/>
      </c>
      <c r="D1177" s="109" t="str">
        <f t="shared" si="75"/>
        <v/>
      </c>
      <c r="E1177" s="106" t="s">
        <v>1177</v>
      </c>
      <c r="F1177" s="58" t="s">
        <v>2614</v>
      </c>
      <c r="G1177" s="106">
        <v>12</v>
      </c>
      <c r="H1177" s="107"/>
      <c r="I1177" s="107"/>
      <c r="J1177" s="107"/>
      <c r="K1177" s="107"/>
      <c r="L1177" s="107"/>
      <c r="M1177" s="107"/>
      <c r="N1177" s="107"/>
      <c r="O1177" s="107"/>
      <c r="P1177" s="107"/>
    </row>
    <row r="1178" spans="1:16" x14ac:dyDescent="0.3">
      <c r="A1178" s="58" t="str">
        <f t="shared" si="76"/>
        <v>A064960</v>
      </c>
      <c r="B1178" s="59" t="str">
        <f t="shared" si="73"/>
        <v/>
      </c>
      <c r="C1178" s="59" t="str">
        <f t="shared" si="74"/>
        <v/>
      </c>
      <c r="D1178" s="109" t="str">
        <f t="shared" si="75"/>
        <v/>
      </c>
      <c r="E1178" s="106" t="s">
        <v>1178</v>
      </c>
      <c r="F1178" s="58" t="s">
        <v>2615</v>
      </c>
      <c r="G1178" s="106">
        <v>12</v>
      </c>
      <c r="H1178" s="107"/>
      <c r="I1178" s="107"/>
      <c r="J1178" s="107"/>
      <c r="K1178" s="107"/>
      <c r="L1178" s="107"/>
      <c r="M1178" s="107"/>
      <c r="N1178" s="107"/>
      <c r="O1178" s="107"/>
      <c r="P1178" s="107"/>
    </row>
    <row r="1179" spans="1:16" x14ac:dyDescent="0.3">
      <c r="A1179" s="58" t="str">
        <f t="shared" si="76"/>
        <v>A065060</v>
      </c>
      <c r="B1179" s="59" t="str">
        <f t="shared" si="73"/>
        <v/>
      </c>
      <c r="C1179" s="59" t="str">
        <f t="shared" si="74"/>
        <v/>
      </c>
      <c r="D1179" s="109" t="str">
        <f t="shared" si="75"/>
        <v/>
      </c>
      <c r="E1179" s="106" t="s">
        <v>1179</v>
      </c>
      <c r="F1179" s="58" t="s">
        <v>2616</v>
      </c>
      <c r="G1179" s="106">
        <v>12</v>
      </c>
      <c r="H1179" s="107"/>
      <c r="I1179" s="107"/>
      <c r="J1179" s="107"/>
      <c r="K1179" s="107"/>
      <c r="L1179" s="107"/>
      <c r="M1179" s="107"/>
      <c r="N1179" s="107"/>
      <c r="O1179" s="107"/>
      <c r="P1179" s="107"/>
    </row>
    <row r="1180" spans="1:16" x14ac:dyDescent="0.3">
      <c r="A1180" s="58" t="str">
        <f t="shared" si="76"/>
        <v>A065130</v>
      </c>
      <c r="B1180" s="59" t="str">
        <f t="shared" si="73"/>
        <v/>
      </c>
      <c r="C1180" s="59" t="str">
        <f t="shared" si="74"/>
        <v/>
      </c>
      <c r="D1180" s="109" t="str">
        <f t="shared" si="75"/>
        <v/>
      </c>
      <c r="E1180" s="106" t="s">
        <v>1180</v>
      </c>
      <c r="F1180" s="58" t="s">
        <v>2617</v>
      </c>
      <c r="G1180" s="106">
        <v>12</v>
      </c>
      <c r="H1180" s="107"/>
      <c r="I1180" s="107"/>
      <c r="J1180" s="107"/>
      <c r="K1180" s="107"/>
      <c r="L1180" s="107"/>
      <c r="M1180" s="107"/>
      <c r="N1180" s="107"/>
      <c r="O1180" s="107"/>
      <c r="P1180" s="107"/>
    </row>
    <row r="1181" spans="1:16" x14ac:dyDescent="0.3">
      <c r="A1181" s="58" t="str">
        <f t="shared" si="76"/>
        <v>A065150</v>
      </c>
      <c r="B1181" s="59" t="str">
        <f t="shared" si="73"/>
        <v/>
      </c>
      <c r="C1181" s="59" t="str">
        <f t="shared" si="74"/>
        <v/>
      </c>
      <c r="D1181" s="109" t="str">
        <f t="shared" si="75"/>
        <v/>
      </c>
      <c r="E1181" s="106" t="s">
        <v>1181</v>
      </c>
      <c r="F1181" s="58" t="s">
        <v>2618</v>
      </c>
      <c r="G1181" s="106">
        <v>12</v>
      </c>
      <c r="H1181" s="107"/>
      <c r="I1181" s="107"/>
      <c r="J1181" s="107"/>
      <c r="K1181" s="107"/>
      <c r="L1181" s="107"/>
      <c r="M1181" s="107"/>
      <c r="N1181" s="107"/>
      <c r="O1181" s="107"/>
      <c r="P1181" s="107"/>
    </row>
    <row r="1182" spans="1:16" x14ac:dyDescent="0.3">
      <c r="A1182" s="58" t="str">
        <f t="shared" si="76"/>
        <v>A065160</v>
      </c>
      <c r="B1182" s="59" t="str">
        <f t="shared" si="73"/>
        <v/>
      </c>
      <c r="C1182" s="59" t="str">
        <f t="shared" si="74"/>
        <v/>
      </c>
      <c r="D1182" s="109" t="str">
        <f t="shared" si="75"/>
        <v/>
      </c>
      <c r="E1182" s="106" t="s">
        <v>1182</v>
      </c>
      <c r="F1182" s="58" t="s">
        <v>2619</v>
      </c>
      <c r="G1182" s="106">
        <v>12</v>
      </c>
      <c r="H1182" s="107"/>
      <c r="I1182" s="107"/>
      <c r="J1182" s="107"/>
      <c r="K1182" s="107"/>
      <c r="L1182" s="107"/>
      <c r="M1182" s="107"/>
      <c r="N1182" s="107"/>
      <c r="O1182" s="107"/>
      <c r="P1182" s="107"/>
    </row>
    <row r="1183" spans="1:16" x14ac:dyDescent="0.3">
      <c r="A1183" s="58" t="str">
        <f t="shared" si="76"/>
        <v>A065170</v>
      </c>
      <c r="B1183" s="59" t="str">
        <f t="shared" si="73"/>
        <v/>
      </c>
      <c r="C1183" s="59" t="str">
        <f t="shared" si="74"/>
        <v/>
      </c>
      <c r="D1183" s="109" t="str">
        <f t="shared" si="75"/>
        <v/>
      </c>
      <c r="E1183" s="106" t="s">
        <v>1183</v>
      </c>
      <c r="F1183" s="58" t="s">
        <v>2620</v>
      </c>
      <c r="G1183" s="106">
        <v>12</v>
      </c>
      <c r="H1183" s="107"/>
      <c r="I1183" s="107"/>
      <c r="J1183" s="107"/>
      <c r="K1183" s="107"/>
      <c r="L1183" s="107"/>
      <c r="M1183" s="107"/>
      <c r="N1183" s="107"/>
      <c r="O1183" s="107"/>
      <c r="P1183" s="107"/>
    </row>
    <row r="1184" spans="1:16" x14ac:dyDescent="0.3">
      <c r="A1184" s="58" t="str">
        <f t="shared" si="76"/>
        <v>A065180</v>
      </c>
      <c r="B1184" s="59" t="str">
        <f t="shared" si="73"/>
        <v/>
      </c>
      <c r="C1184" s="59" t="str">
        <f t="shared" si="74"/>
        <v/>
      </c>
      <c r="D1184" s="109" t="str">
        <f t="shared" si="75"/>
        <v/>
      </c>
      <c r="E1184" s="106" t="s">
        <v>1184</v>
      </c>
      <c r="F1184" s="58" t="s">
        <v>2621</v>
      </c>
      <c r="G1184" s="106">
        <v>12</v>
      </c>
      <c r="H1184" s="107"/>
      <c r="I1184" s="107"/>
      <c r="J1184" s="107"/>
      <c r="K1184" s="107"/>
      <c r="L1184" s="107"/>
      <c r="M1184" s="107"/>
      <c r="N1184" s="107"/>
      <c r="O1184" s="107"/>
      <c r="P1184" s="107"/>
    </row>
    <row r="1185" spans="1:16" x14ac:dyDescent="0.3">
      <c r="A1185" s="58" t="str">
        <f t="shared" si="76"/>
        <v>A065270</v>
      </c>
      <c r="B1185" s="59" t="str">
        <f t="shared" si="73"/>
        <v/>
      </c>
      <c r="C1185" s="59" t="str">
        <f t="shared" si="74"/>
        <v/>
      </c>
      <c r="D1185" s="109" t="str">
        <f t="shared" si="75"/>
        <v/>
      </c>
      <c r="E1185" s="106" t="s">
        <v>1185</v>
      </c>
      <c r="F1185" s="58" t="s">
        <v>2622</v>
      </c>
      <c r="G1185" s="106">
        <v>12</v>
      </c>
      <c r="H1185" s="107"/>
      <c r="I1185" s="107"/>
      <c r="J1185" s="107"/>
      <c r="K1185" s="107"/>
      <c r="L1185" s="107"/>
      <c r="M1185" s="107"/>
      <c r="N1185" s="107"/>
      <c r="O1185" s="107"/>
      <c r="P1185" s="107"/>
    </row>
    <row r="1186" spans="1:16" x14ac:dyDescent="0.3">
      <c r="A1186" s="58" t="str">
        <f t="shared" si="76"/>
        <v>A065350</v>
      </c>
      <c r="B1186" s="59" t="str">
        <f t="shared" si="73"/>
        <v/>
      </c>
      <c r="C1186" s="59" t="str">
        <f t="shared" si="74"/>
        <v/>
      </c>
      <c r="D1186" s="109" t="str">
        <f t="shared" si="75"/>
        <v/>
      </c>
      <c r="E1186" s="106" t="s">
        <v>1186</v>
      </c>
      <c r="F1186" s="58" t="s">
        <v>2623</v>
      </c>
      <c r="G1186" s="106">
        <v>12</v>
      </c>
      <c r="H1186" s="107"/>
      <c r="I1186" s="107"/>
      <c r="J1186" s="107"/>
      <c r="K1186" s="107"/>
      <c r="L1186" s="107"/>
      <c r="M1186" s="107"/>
      <c r="N1186" s="107"/>
      <c r="O1186" s="107"/>
      <c r="P1186" s="107"/>
    </row>
    <row r="1187" spans="1:16" x14ac:dyDescent="0.3">
      <c r="A1187" s="58" t="str">
        <f t="shared" si="76"/>
        <v>A065420</v>
      </c>
      <c r="B1187" s="59" t="str">
        <f t="shared" si="73"/>
        <v/>
      </c>
      <c r="C1187" s="59" t="str">
        <f t="shared" si="74"/>
        <v/>
      </c>
      <c r="D1187" s="109" t="str">
        <f t="shared" si="75"/>
        <v/>
      </c>
      <c r="E1187" s="106" t="s">
        <v>1187</v>
      </c>
      <c r="F1187" s="58" t="s">
        <v>2624</v>
      </c>
      <c r="G1187" s="106">
        <v>12</v>
      </c>
      <c r="H1187" s="107"/>
      <c r="I1187" s="107"/>
      <c r="J1187" s="107"/>
      <c r="K1187" s="107"/>
      <c r="L1187" s="107"/>
      <c r="M1187" s="107"/>
      <c r="N1187" s="107"/>
      <c r="O1187" s="107"/>
      <c r="P1187" s="107"/>
    </row>
    <row r="1188" spans="1:16" x14ac:dyDescent="0.3">
      <c r="A1188" s="58" t="str">
        <f t="shared" si="76"/>
        <v>A065440</v>
      </c>
      <c r="B1188" s="59" t="str">
        <f t="shared" si="73"/>
        <v/>
      </c>
      <c r="C1188" s="59" t="str">
        <f t="shared" si="74"/>
        <v/>
      </c>
      <c r="D1188" s="109" t="str">
        <f t="shared" si="75"/>
        <v/>
      </c>
      <c r="E1188" s="106" t="s">
        <v>1188</v>
      </c>
      <c r="F1188" s="58" t="s">
        <v>2625</v>
      </c>
      <c r="G1188" s="106">
        <v>12</v>
      </c>
      <c r="H1188" s="107"/>
      <c r="I1188" s="107"/>
      <c r="J1188" s="107"/>
      <c r="K1188" s="107"/>
      <c r="L1188" s="107"/>
      <c r="M1188" s="107"/>
      <c r="N1188" s="107"/>
      <c r="O1188" s="107"/>
      <c r="P1188" s="107"/>
    </row>
    <row r="1189" spans="1:16" x14ac:dyDescent="0.3">
      <c r="A1189" s="58" t="str">
        <f t="shared" si="76"/>
        <v>A065450</v>
      </c>
      <c r="B1189" s="59" t="str">
        <f t="shared" si="73"/>
        <v/>
      </c>
      <c r="C1189" s="59" t="str">
        <f t="shared" si="74"/>
        <v/>
      </c>
      <c r="D1189" s="109" t="str">
        <f t="shared" si="75"/>
        <v/>
      </c>
      <c r="E1189" s="106" t="s">
        <v>1189</v>
      </c>
      <c r="F1189" s="58" t="s">
        <v>2626</v>
      </c>
      <c r="G1189" s="106">
        <v>12</v>
      </c>
      <c r="H1189" s="107"/>
      <c r="I1189" s="107"/>
      <c r="J1189" s="107"/>
      <c r="K1189" s="107"/>
      <c r="L1189" s="107"/>
      <c r="M1189" s="107"/>
      <c r="N1189" s="107"/>
      <c r="O1189" s="107"/>
      <c r="P1189" s="107"/>
    </row>
    <row r="1190" spans="1:16" x14ac:dyDescent="0.3">
      <c r="A1190" s="58" t="str">
        <f t="shared" si="76"/>
        <v>A065500</v>
      </c>
      <c r="B1190" s="59" t="str">
        <f t="shared" si="73"/>
        <v/>
      </c>
      <c r="C1190" s="59" t="str">
        <f t="shared" si="74"/>
        <v/>
      </c>
      <c r="D1190" s="109" t="str">
        <f t="shared" si="75"/>
        <v/>
      </c>
      <c r="E1190" s="106" t="s">
        <v>1190</v>
      </c>
      <c r="F1190" s="58" t="s">
        <v>2627</v>
      </c>
      <c r="G1190" s="106">
        <v>12</v>
      </c>
      <c r="H1190" s="107"/>
      <c r="I1190" s="107"/>
      <c r="J1190" s="107"/>
      <c r="K1190" s="107"/>
      <c r="L1190" s="107"/>
      <c r="M1190" s="107"/>
      <c r="N1190" s="107"/>
      <c r="O1190" s="107"/>
      <c r="P1190" s="107"/>
    </row>
    <row r="1191" spans="1:16" x14ac:dyDescent="0.3">
      <c r="A1191" s="58" t="str">
        <f t="shared" si="76"/>
        <v>A065510</v>
      </c>
      <c r="B1191" s="59" t="str">
        <f t="shared" si="73"/>
        <v/>
      </c>
      <c r="C1191" s="59" t="str">
        <f t="shared" si="74"/>
        <v/>
      </c>
      <c r="D1191" s="109" t="str">
        <f t="shared" si="75"/>
        <v/>
      </c>
      <c r="E1191" s="106" t="s">
        <v>1191</v>
      </c>
      <c r="F1191" s="58" t="s">
        <v>2628</v>
      </c>
      <c r="G1191" s="106">
        <v>12</v>
      </c>
      <c r="H1191" s="107"/>
      <c r="I1191" s="107"/>
      <c r="J1191" s="107"/>
      <c r="K1191" s="107"/>
      <c r="L1191" s="107"/>
      <c r="M1191" s="107"/>
      <c r="N1191" s="107"/>
      <c r="O1191" s="107"/>
      <c r="P1191" s="107"/>
    </row>
    <row r="1192" spans="1:16" x14ac:dyDescent="0.3">
      <c r="A1192" s="58" t="str">
        <f t="shared" si="76"/>
        <v>A065530</v>
      </c>
      <c r="B1192" s="59" t="str">
        <f t="shared" si="73"/>
        <v/>
      </c>
      <c r="C1192" s="59" t="str">
        <f t="shared" si="74"/>
        <v/>
      </c>
      <c r="D1192" s="109" t="str">
        <f t="shared" si="75"/>
        <v/>
      </c>
      <c r="E1192" s="106" t="s">
        <v>1192</v>
      </c>
      <c r="F1192" s="58" t="s">
        <v>2629</v>
      </c>
      <c r="G1192" s="106">
        <v>12</v>
      </c>
      <c r="H1192" s="107"/>
      <c r="I1192" s="107"/>
      <c r="J1192" s="107"/>
      <c r="K1192" s="107"/>
      <c r="L1192" s="107"/>
      <c r="M1192" s="107"/>
      <c r="N1192" s="107"/>
      <c r="O1192" s="107"/>
      <c r="P1192" s="107"/>
    </row>
    <row r="1193" spans="1:16" x14ac:dyDescent="0.3">
      <c r="A1193" s="58" t="str">
        <f t="shared" si="76"/>
        <v>A065560</v>
      </c>
      <c r="B1193" s="59" t="str">
        <f t="shared" si="73"/>
        <v/>
      </c>
      <c r="C1193" s="59" t="str">
        <f t="shared" si="74"/>
        <v/>
      </c>
      <c r="D1193" s="109" t="str">
        <f t="shared" si="75"/>
        <v/>
      </c>
      <c r="E1193" s="106" t="s">
        <v>1193</v>
      </c>
      <c r="F1193" s="58" t="s">
        <v>3743</v>
      </c>
      <c r="G1193" s="106">
        <v>12</v>
      </c>
      <c r="H1193" s="107"/>
      <c r="I1193" s="107"/>
      <c r="J1193" s="107"/>
      <c r="K1193" s="107"/>
      <c r="L1193" s="107"/>
      <c r="M1193" s="107"/>
      <c r="N1193" s="107"/>
      <c r="O1193" s="107"/>
      <c r="P1193" s="107"/>
    </row>
    <row r="1194" spans="1:16" x14ac:dyDescent="0.3">
      <c r="A1194" s="58" t="str">
        <f t="shared" si="76"/>
        <v>A065570</v>
      </c>
      <c r="B1194" s="59" t="str">
        <f t="shared" si="73"/>
        <v/>
      </c>
      <c r="C1194" s="59" t="str">
        <f t="shared" si="74"/>
        <v/>
      </c>
      <c r="D1194" s="109" t="str">
        <f t="shared" si="75"/>
        <v/>
      </c>
      <c r="E1194" s="106" t="s">
        <v>1194</v>
      </c>
      <c r="F1194" s="58" t="s">
        <v>2631</v>
      </c>
      <c r="G1194" s="106">
        <v>12</v>
      </c>
      <c r="H1194" s="107"/>
      <c r="I1194" s="107"/>
      <c r="J1194" s="107"/>
      <c r="K1194" s="107"/>
      <c r="L1194" s="107"/>
      <c r="M1194" s="107"/>
      <c r="N1194" s="107"/>
      <c r="O1194" s="107"/>
      <c r="P1194" s="107"/>
    </row>
    <row r="1195" spans="1:16" x14ac:dyDescent="0.3">
      <c r="A1195" s="58" t="str">
        <f t="shared" si="76"/>
        <v>A065620</v>
      </c>
      <c r="B1195" s="59" t="str">
        <f t="shared" si="73"/>
        <v/>
      </c>
      <c r="C1195" s="59" t="str">
        <f t="shared" si="74"/>
        <v/>
      </c>
      <c r="D1195" s="109" t="str">
        <f t="shared" si="75"/>
        <v/>
      </c>
      <c r="E1195" s="106" t="s">
        <v>1195</v>
      </c>
      <c r="F1195" s="58" t="s">
        <v>2632</v>
      </c>
      <c r="G1195" s="106">
        <v>12</v>
      </c>
      <c r="H1195" s="107"/>
      <c r="I1195" s="107"/>
      <c r="J1195" s="107"/>
      <c r="K1195" s="107"/>
      <c r="L1195" s="107"/>
      <c r="M1195" s="107"/>
      <c r="N1195" s="107"/>
      <c r="O1195" s="107"/>
      <c r="P1195" s="107"/>
    </row>
    <row r="1196" spans="1:16" x14ac:dyDescent="0.3">
      <c r="A1196" s="58" t="str">
        <f t="shared" si="76"/>
        <v>A065650</v>
      </c>
      <c r="B1196" s="59" t="str">
        <f t="shared" si="73"/>
        <v/>
      </c>
      <c r="C1196" s="59" t="str">
        <f t="shared" si="74"/>
        <v/>
      </c>
      <c r="D1196" s="109" t="str">
        <f t="shared" si="75"/>
        <v/>
      </c>
      <c r="E1196" s="106" t="s">
        <v>1196</v>
      </c>
      <c r="F1196" s="58" t="s">
        <v>2633</v>
      </c>
      <c r="G1196" s="106">
        <v>12</v>
      </c>
      <c r="H1196" s="107"/>
      <c r="I1196" s="107"/>
      <c r="J1196" s="107"/>
      <c r="K1196" s="107"/>
      <c r="L1196" s="107"/>
      <c r="M1196" s="107"/>
      <c r="N1196" s="107"/>
      <c r="O1196" s="107"/>
      <c r="P1196" s="107"/>
    </row>
    <row r="1197" spans="1:16" x14ac:dyDescent="0.3">
      <c r="A1197" s="58" t="str">
        <f t="shared" si="76"/>
        <v>A065680</v>
      </c>
      <c r="B1197" s="59" t="str">
        <f t="shared" si="73"/>
        <v/>
      </c>
      <c r="C1197" s="59" t="str">
        <f t="shared" si="74"/>
        <v/>
      </c>
      <c r="D1197" s="109" t="str">
        <f t="shared" si="75"/>
        <v/>
      </c>
      <c r="E1197" s="106" t="s">
        <v>1197</v>
      </c>
      <c r="F1197" s="58" t="s">
        <v>2634</v>
      </c>
      <c r="G1197" s="106">
        <v>12</v>
      </c>
      <c r="H1197" s="107"/>
      <c r="I1197" s="107"/>
      <c r="J1197" s="107"/>
      <c r="K1197" s="107"/>
      <c r="L1197" s="107"/>
      <c r="M1197" s="107"/>
      <c r="N1197" s="107"/>
      <c r="O1197" s="107"/>
      <c r="P1197" s="107"/>
    </row>
    <row r="1198" spans="1:16" x14ac:dyDescent="0.3">
      <c r="A1198" s="58" t="str">
        <f t="shared" si="76"/>
        <v>A065690</v>
      </c>
      <c r="B1198" s="59" t="str">
        <f t="shared" si="73"/>
        <v/>
      </c>
      <c r="C1198" s="59" t="str">
        <f t="shared" si="74"/>
        <v/>
      </c>
      <c r="D1198" s="109" t="str">
        <f t="shared" si="75"/>
        <v/>
      </c>
      <c r="E1198" s="106" t="s">
        <v>1198</v>
      </c>
      <c r="F1198" s="58" t="s">
        <v>2635</v>
      </c>
      <c r="G1198" s="106">
        <v>12</v>
      </c>
      <c r="H1198" s="107"/>
      <c r="I1198" s="107"/>
      <c r="J1198" s="107"/>
      <c r="K1198" s="107"/>
      <c r="L1198" s="107"/>
      <c r="M1198" s="107"/>
      <c r="N1198" s="107"/>
      <c r="O1198" s="107"/>
      <c r="P1198" s="107"/>
    </row>
    <row r="1199" spans="1:16" x14ac:dyDescent="0.3">
      <c r="A1199" s="58" t="str">
        <f t="shared" si="76"/>
        <v>A065710</v>
      </c>
      <c r="B1199" s="59" t="str">
        <f t="shared" si="73"/>
        <v/>
      </c>
      <c r="C1199" s="59" t="str">
        <f t="shared" si="74"/>
        <v/>
      </c>
      <c r="D1199" s="109" t="str">
        <f t="shared" si="75"/>
        <v/>
      </c>
      <c r="E1199" s="106" t="s">
        <v>1199</v>
      </c>
      <c r="F1199" s="58" t="s">
        <v>2636</v>
      </c>
      <c r="G1199" s="106">
        <v>12</v>
      </c>
      <c r="H1199" s="107"/>
      <c r="I1199" s="107"/>
      <c r="J1199" s="107"/>
      <c r="K1199" s="107"/>
      <c r="L1199" s="107"/>
      <c r="M1199" s="107"/>
      <c r="N1199" s="107"/>
      <c r="O1199" s="107"/>
      <c r="P1199" s="107"/>
    </row>
    <row r="1200" spans="1:16" x14ac:dyDescent="0.3">
      <c r="A1200" s="58" t="str">
        <f t="shared" si="76"/>
        <v>A065770</v>
      </c>
      <c r="B1200" s="59" t="str">
        <f t="shared" si="73"/>
        <v/>
      </c>
      <c r="C1200" s="59" t="str">
        <f t="shared" si="74"/>
        <v/>
      </c>
      <c r="D1200" s="109" t="str">
        <f t="shared" si="75"/>
        <v/>
      </c>
      <c r="E1200" s="106" t="s">
        <v>1200</v>
      </c>
      <c r="F1200" s="58" t="s">
        <v>2637</v>
      </c>
      <c r="G1200" s="106">
        <v>12</v>
      </c>
      <c r="H1200" s="107"/>
      <c r="I1200" s="107"/>
      <c r="J1200" s="107"/>
      <c r="K1200" s="107"/>
      <c r="L1200" s="107"/>
      <c r="M1200" s="107"/>
      <c r="N1200" s="107"/>
      <c r="O1200" s="107"/>
      <c r="P1200" s="107"/>
    </row>
    <row r="1201" spans="1:16" x14ac:dyDescent="0.3">
      <c r="A1201" s="58" t="str">
        <f t="shared" si="76"/>
        <v>A065940</v>
      </c>
      <c r="B1201" s="59" t="str">
        <f t="shared" si="73"/>
        <v/>
      </c>
      <c r="C1201" s="59" t="str">
        <f t="shared" si="74"/>
        <v/>
      </c>
      <c r="D1201" s="109" t="str">
        <f t="shared" si="75"/>
        <v/>
      </c>
      <c r="E1201" s="106" t="s">
        <v>1201</v>
      </c>
      <c r="F1201" s="58" t="s">
        <v>2638</v>
      </c>
      <c r="G1201" s="106">
        <v>12</v>
      </c>
      <c r="H1201" s="107"/>
      <c r="I1201" s="107"/>
      <c r="J1201" s="107"/>
      <c r="K1201" s="107"/>
      <c r="L1201" s="107"/>
      <c r="M1201" s="107"/>
      <c r="N1201" s="107"/>
      <c r="O1201" s="107"/>
      <c r="P1201" s="107"/>
    </row>
    <row r="1202" spans="1:16" x14ac:dyDescent="0.3">
      <c r="A1202" s="58" t="str">
        <f t="shared" si="76"/>
        <v>A065950</v>
      </c>
      <c r="B1202" s="59" t="str">
        <f t="shared" si="73"/>
        <v/>
      </c>
      <c r="C1202" s="59" t="str">
        <f t="shared" si="74"/>
        <v/>
      </c>
      <c r="D1202" s="109" t="str">
        <f t="shared" si="75"/>
        <v/>
      </c>
      <c r="E1202" s="106" t="s">
        <v>1202</v>
      </c>
      <c r="F1202" s="58" t="s">
        <v>2639</v>
      </c>
      <c r="G1202" s="106">
        <v>12</v>
      </c>
      <c r="H1202" s="107"/>
      <c r="I1202" s="107"/>
      <c r="J1202" s="107"/>
      <c r="K1202" s="107"/>
      <c r="L1202" s="107"/>
      <c r="M1202" s="107"/>
      <c r="N1202" s="107"/>
      <c r="O1202" s="107"/>
      <c r="P1202" s="107"/>
    </row>
    <row r="1203" spans="1:16" x14ac:dyDescent="0.3">
      <c r="A1203" s="58" t="str">
        <f t="shared" si="76"/>
        <v>A066110</v>
      </c>
      <c r="B1203" s="59" t="str">
        <f t="shared" si="73"/>
        <v/>
      </c>
      <c r="C1203" s="59" t="str">
        <f t="shared" si="74"/>
        <v/>
      </c>
      <c r="D1203" s="109" t="str">
        <f t="shared" si="75"/>
        <v/>
      </c>
      <c r="E1203" s="106" t="s">
        <v>1203</v>
      </c>
      <c r="F1203" s="58" t="s">
        <v>2640</v>
      </c>
      <c r="G1203" s="106">
        <v>12</v>
      </c>
      <c r="H1203" s="107"/>
      <c r="I1203" s="107"/>
      <c r="J1203" s="107"/>
      <c r="K1203" s="107"/>
      <c r="L1203" s="107"/>
      <c r="M1203" s="107"/>
      <c r="N1203" s="107"/>
      <c r="O1203" s="107"/>
      <c r="P1203" s="107"/>
    </row>
    <row r="1204" spans="1:16" x14ac:dyDescent="0.3">
      <c r="A1204" s="58" t="str">
        <f t="shared" si="76"/>
        <v>A066130</v>
      </c>
      <c r="B1204" s="59" t="str">
        <f t="shared" si="73"/>
        <v/>
      </c>
      <c r="C1204" s="59" t="str">
        <f t="shared" si="74"/>
        <v/>
      </c>
      <c r="D1204" s="109" t="str">
        <f t="shared" si="75"/>
        <v/>
      </c>
      <c r="E1204" s="106" t="s">
        <v>1204</v>
      </c>
      <c r="F1204" s="58" t="s">
        <v>2641</v>
      </c>
      <c r="G1204" s="106">
        <v>12</v>
      </c>
      <c r="H1204" s="107"/>
      <c r="I1204" s="107"/>
      <c r="J1204" s="107"/>
      <c r="K1204" s="107"/>
      <c r="L1204" s="107"/>
      <c r="M1204" s="107"/>
      <c r="N1204" s="107"/>
      <c r="O1204" s="107"/>
      <c r="P1204" s="107"/>
    </row>
    <row r="1205" spans="1:16" x14ac:dyDescent="0.3">
      <c r="A1205" s="58" t="str">
        <f t="shared" si="76"/>
        <v>A066270</v>
      </c>
      <c r="B1205" s="59" t="str">
        <f t="shared" si="73"/>
        <v/>
      </c>
      <c r="C1205" s="59" t="str">
        <f t="shared" si="74"/>
        <v/>
      </c>
      <c r="D1205" s="109" t="str">
        <f t="shared" si="75"/>
        <v/>
      </c>
      <c r="E1205" s="106" t="s">
        <v>1205</v>
      </c>
      <c r="F1205" s="58" t="s">
        <v>2642</v>
      </c>
      <c r="G1205" s="106">
        <v>12</v>
      </c>
      <c r="H1205" s="107"/>
      <c r="I1205" s="107"/>
      <c r="J1205" s="107"/>
      <c r="K1205" s="107"/>
      <c r="L1205" s="107"/>
      <c r="M1205" s="107"/>
      <c r="N1205" s="107"/>
      <c r="O1205" s="107"/>
      <c r="P1205" s="107"/>
    </row>
    <row r="1206" spans="1:16" x14ac:dyDescent="0.3">
      <c r="A1206" s="58" t="str">
        <f t="shared" si="76"/>
        <v>A066310</v>
      </c>
      <c r="B1206" s="59" t="str">
        <f t="shared" si="73"/>
        <v/>
      </c>
      <c r="C1206" s="59" t="str">
        <f t="shared" si="74"/>
        <v/>
      </c>
      <c r="D1206" s="109" t="str">
        <f t="shared" si="75"/>
        <v/>
      </c>
      <c r="E1206" s="106" t="s">
        <v>1206</v>
      </c>
      <c r="F1206" s="58" t="s">
        <v>2643</v>
      </c>
      <c r="G1206" s="106">
        <v>12</v>
      </c>
      <c r="H1206" s="107"/>
      <c r="I1206" s="107"/>
      <c r="J1206" s="107"/>
      <c r="K1206" s="107"/>
      <c r="L1206" s="107"/>
      <c r="M1206" s="107"/>
      <c r="N1206" s="107"/>
      <c r="O1206" s="107"/>
      <c r="P1206" s="107"/>
    </row>
    <row r="1207" spans="1:16" x14ac:dyDescent="0.3">
      <c r="A1207" s="58" t="str">
        <f t="shared" si="76"/>
        <v>A066350</v>
      </c>
      <c r="B1207" s="59" t="str">
        <f t="shared" si="73"/>
        <v/>
      </c>
      <c r="C1207" s="59" t="str">
        <f t="shared" si="74"/>
        <v/>
      </c>
      <c r="D1207" s="109" t="str">
        <f t="shared" si="75"/>
        <v/>
      </c>
      <c r="E1207" s="106" t="s">
        <v>1207</v>
      </c>
      <c r="F1207" s="58" t="s">
        <v>2644</v>
      </c>
      <c r="G1207" s="106">
        <v>12</v>
      </c>
      <c r="H1207" s="107"/>
      <c r="I1207" s="107"/>
      <c r="J1207" s="107"/>
      <c r="K1207" s="107"/>
      <c r="L1207" s="107"/>
      <c r="M1207" s="107"/>
      <c r="N1207" s="107"/>
      <c r="O1207" s="107"/>
      <c r="P1207" s="107"/>
    </row>
    <row r="1208" spans="1:16" x14ac:dyDescent="0.3">
      <c r="A1208" s="58" t="str">
        <f t="shared" si="76"/>
        <v>A066410</v>
      </c>
      <c r="B1208" s="59">
        <f t="shared" si="73"/>
        <v>41477</v>
      </c>
      <c r="C1208" s="59">
        <f t="shared" si="74"/>
        <v>41477</v>
      </c>
      <c r="D1208" s="109">
        <f t="shared" si="75"/>
        <v>0.12</v>
      </c>
      <c r="E1208" s="106" t="s">
        <v>1208</v>
      </c>
      <c r="F1208" s="58" t="s">
        <v>2645</v>
      </c>
      <c r="G1208" s="106">
        <v>12</v>
      </c>
      <c r="H1208" s="107">
        <v>20130722</v>
      </c>
      <c r="I1208" s="107">
        <v>20130722</v>
      </c>
      <c r="J1208" s="107">
        <v>0.12</v>
      </c>
      <c r="K1208" s="107"/>
      <c r="L1208" s="107"/>
      <c r="M1208" s="107"/>
      <c r="N1208" s="107"/>
      <c r="O1208" s="107"/>
      <c r="P1208" s="107"/>
    </row>
    <row r="1209" spans="1:16" x14ac:dyDescent="0.3">
      <c r="A1209" s="58" t="str">
        <f t="shared" si="76"/>
        <v>A066430</v>
      </c>
      <c r="B1209" s="59" t="str">
        <f t="shared" si="73"/>
        <v/>
      </c>
      <c r="C1209" s="59" t="str">
        <f t="shared" si="74"/>
        <v/>
      </c>
      <c r="D1209" s="109" t="str">
        <f t="shared" si="75"/>
        <v/>
      </c>
      <c r="E1209" s="106" t="s">
        <v>1209</v>
      </c>
      <c r="F1209" s="58" t="s">
        <v>2646</v>
      </c>
      <c r="G1209" s="106">
        <v>6</v>
      </c>
      <c r="H1209" s="107"/>
      <c r="I1209" s="107"/>
      <c r="J1209" s="107"/>
      <c r="K1209" s="107"/>
      <c r="L1209" s="107"/>
      <c r="M1209" s="107"/>
      <c r="N1209" s="107"/>
      <c r="O1209" s="107"/>
      <c r="P1209" s="107"/>
    </row>
    <row r="1210" spans="1:16" x14ac:dyDescent="0.3">
      <c r="A1210" s="58" t="str">
        <f t="shared" si="76"/>
        <v>A066570</v>
      </c>
      <c r="B1210" s="59">
        <f t="shared" si="73"/>
        <v>41479</v>
      </c>
      <c r="C1210" s="59">
        <f t="shared" si="74"/>
        <v>41479</v>
      </c>
      <c r="D1210" s="109">
        <f t="shared" si="75"/>
        <v>479.31</v>
      </c>
      <c r="E1210" s="106" t="s">
        <v>1210</v>
      </c>
      <c r="F1210" s="58" t="s">
        <v>2647</v>
      </c>
      <c r="G1210" s="106">
        <v>12</v>
      </c>
      <c r="H1210" s="107">
        <v>20130724</v>
      </c>
      <c r="I1210" s="107">
        <v>20130724</v>
      </c>
      <c r="J1210" s="107">
        <v>479.31</v>
      </c>
      <c r="K1210" s="107"/>
      <c r="L1210" s="107"/>
      <c r="M1210" s="107"/>
      <c r="N1210" s="107"/>
      <c r="O1210" s="107"/>
      <c r="P1210" s="107"/>
    </row>
    <row r="1211" spans="1:16" x14ac:dyDescent="0.3">
      <c r="A1211" s="58" t="str">
        <f t="shared" si="76"/>
        <v>A066590</v>
      </c>
      <c r="B1211" s="59" t="str">
        <f t="shared" si="73"/>
        <v/>
      </c>
      <c r="C1211" s="59" t="str">
        <f t="shared" si="74"/>
        <v/>
      </c>
      <c r="D1211" s="109" t="str">
        <f t="shared" si="75"/>
        <v/>
      </c>
      <c r="E1211" s="106" t="s">
        <v>1211</v>
      </c>
      <c r="F1211" s="58" t="s">
        <v>2648</v>
      </c>
      <c r="G1211" s="106">
        <v>12</v>
      </c>
      <c r="H1211" s="107"/>
      <c r="I1211" s="107"/>
      <c r="J1211" s="107"/>
      <c r="K1211" s="107"/>
      <c r="L1211" s="107"/>
      <c r="M1211" s="107"/>
      <c r="N1211" s="107"/>
      <c r="O1211" s="107"/>
      <c r="P1211" s="107"/>
    </row>
    <row r="1212" spans="1:16" x14ac:dyDescent="0.3">
      <c r="A1212" s="58" t="str">
        <f t="shared" si="76"/>
        <v>A066620</v>
      </c>
      <c r="B1212" s="59" t="str">
        <f t="shared" si="73"/>
        <v/>
      </c>
      <c r="C1212" s="59" t="str">
        <f t="shared" si="74"/>
        <v/>
      </c>
      <c r="D1212" s="109" t="str">
        <f t="shared" si="75"/>
        <v/>
      </c>
      <c r="E1212" s="106" t="s">
        <v>1212</v>
      </c>
      <c r="F1212" s="58" t="s">
        <v>2649</v>
      </c>
      <c r="G1212" s="106">
        <v>12</v>
      </c>
      <c r="H1212" s="107"/>
      <c r="I1212" s="107"/>
      <c r="J1212" s="107"/>
      <c r="K1212" s="107"/>
      <c r="L1212" s="107"/>
      <c r="M1212" s="107"/>
      <c r="N1212" s="107"/>
      <c r="O1212" s="107"/>
      <c r="P1212" s="107"/>
    </row>
    <row r="1213" spans="1:16" x14ac:dyDescent="0.3">
      <c r="A1213" s="58" t="str">
        <f t="shared" si="76"/>
        <v>A066670</v>
      </c>
      <c r="B1213" s="59">
        <f t="shared" si="73"/>
        <v>41481</v>
      </c>
      <c r="C1213" s="59">
        <f t="shared" si="74"/>
        <v>41481</v>
      </c>
      <c r="D1213" s="109">
        <f t="shared" si="75"/>
        <v>12.78</v>
      </c>
      <c r="E1213" s="106" t="s">
        <v>1213</v>
      </c>
      <c r="F1213" s="58" t="s">
        <v>2650</v>
      </c>
      <c r="G1213" s="106">
        <v>12</v>
      </c>
      <c r="H1213" s="107">
        <v>20130726</v>
      </c>
      <c r="I1213" s="107">
        <v>20130726</v>
      </c>
      <c r="J1213" s="107">
        <v>12.78</v>
      </c>
      <c r="K1213" s="107"/>
      <c r="L1213" s="107"/>
      <c r="M1213" s="107"/>
      <c r="N1213" s="107"/>
      <c r="O1213" s="107"/>
      <c r="P1213" s="107"/>
    </row>
    <row r="1214" spans="1:16" x14ac:dyDescent="0.3">
      <c r="A1214" s="58" t="str">
        <f t="shared" si="76"/>
        <v>A066700</v>
      </c>
      <c r="B1214" s="59" t="str">
        <f t="shared" si="73"/>
        <v/>
      </c>
      <c r="C1214" s="59" t="str">
        <f t="shared" si="74"/>
        <v/>
      </c>
      <c r="D1214" s="109" t="str">
        <f t="shared" si="75"/>
        <v/>
      </c>
      <c r="E1214" s="106" t="s">
        <v>1214</v>
      </c>
      <c r="F1214" s="58" t="s">
        <v>2651</v>
      </c>
      <c r="G1214" s="106">
        <v>12</v>
      </c>
      <c r="H1214" s="107"/>
      <c r="I1214" s="107"/>
      <c r="J1214" s="107"/>
      <c r="K1214" s="107"/>
      <c r="L1214" s="107"/>
      <c r="M1214" s="107"/>
      <c r="N1214" s="107"/>
      <c r="O1214" s="107"/>
      <c r="P1214" s="107"/>
    </row>
    <row r="1215" spans="1:16" x14ac:dyDescent="0.3">
      <c r="A1215" s="58" t="str">
        <f t="shared" si="76"/>
        <v>A066790</v>
      </c>
      <c r="B1215" s="59" t="str">
        <f t="shared" si="73"/>
        <v/>
      </c>
      <c r="C1215" s="59" t="str">
        <f t="shared" si="74"/>
        <v/>
      </c>
      <c r="D1215" s="109" t="str">
        <f t="shared" si="75"/>
        <v/>
      </c>
      <c r="E1215" s="106" t="s">
        <v>1215</v>
      </c>
      <c r="F1215" s="58" t="s">
        <v>2652</v>
      </c>
      <c r="G1215" s="106">
        <v>12</v>
      </c>
      <c r="H1215" s="107"/>
      <c r="I1215" s="107"/>
      <c r="J1215" s="107"/>
      <c r="K1215" s="107"/>
      <c r="L1215" s="107"/>
      <c r="M1215" s="107"/>
      <c r="N1215" s="107"/>
      <c r="O1215" s="107"/>
      <c r="P1215" s="107"/>
    </row>
    <row r="1216" spans="1:16" x14ac:dyDescent="0.3">
      <c r="A1216" s="58" t="str">
        <f t="shared" si="76"/>
        <v>A066900</v>
      </c>
      <c r="B1216" s="59" t="str">
        <f t="shared" si="73"/>
        <v/>
      </c>
      <c r="C1216" s="59" t="str">
        <f t="shared" si="74"/>
        <v/>
      </c>
      <c r="D1216" s="109" t="str">
        <f t="shared" si="75"/>
        <v/>
      </c>
      <c r="E1216" s="106" t="s">
        <v>1216</v>
      </c>
      <c r="F1216" s="58" t="s">
        <v>2653</v>
      </c>
      <c r="G1216" s="106">
        <v>12</v>
      </c>
      <c r="H1216" s="107"/>
      <c r="I1216" s="107"/>
      <c r="J1216" s="107"/>
      <c r="K1216" s="107"/>
      <c r="L1216" s="107"/>
      <c r="M1216" s="107"/>
      <c r="N1216" s="107"/>
      <c r="O1216" s="107"/>
      <c r="P1216" s="107"/>
    </row>
    <row r="1217" spans="1:16" x14ac:dyDescent="0.3">
      <c r="A1217" s="58" t="str">
        <f t="shared" si="76"/>
        <v>A066910</v>
      </c>
      <c r="B1217" s="59" t="str">
        <f t="shared" si="73"/>
        <v/>
      </c>
      <c r="C1217" s="59" t="str">
        <f t="shared" si="74"/>
        <v/>
      </c>
      <c r="D1217" s="109" t="str">
        <f t="shared" si="75"/>
        <v/>
      </c>
      <c r="E1217" s="106" t="s">
        <v>1217</v>
      </c>
      <c r="F1217" s="58" t="s">
        <v>2654</v>
      </c>
      <c r="G1217" s="106">
        <v>12</v>
      </c>
      <c r="H1217" s="107"/>
      <c r="I1217" s="107"/>
      <c r="J1217" s="107"/>
      <c r="K1217" s="107"/>
      <c r="L1217" s="107"/>
      <c r="M1217" s="107"/>
      <c r="N1217" s="107"/>
      <c r="O1217" s="107"/>
      <c r="P1217" s="107"/>
    </row>
    <row r="1218" spans="1:16" x14ac:dyDescent="0.3">
      <c r="A1218" s="58" t="str">
        <f t="shared" si="76"/>
        <v>A066970</v>
      </c>
      <c r="B1218" s="59" t="str">
        <f t="shared" si="73"/>
        <v/>
      </c>
      <c r="C1218" s="59" t="str">
        <f t="shared" si="74"/>
        <v/>
      </c>
      <c r="D1218" s="109" t="str">
        <f t="shared" si="75"/>
        <v/>
      </c>
      <c r="E1218" s="106" t="s">
        <v>1218</v>
      </c>
      <c r="F1218" s="58" t="s">
        <v>2655</v>
      </c>
      <c r="G1218" s="106">
        <v>12</v>
      </c>
      <c r="H1218" s="107"/>
      <c r="I1218" s="107"/>
      <c r="J1218" s="107"/>
      <c r="K1218" s="107"/>
      <c r="L1218" s="107"/>
      <c r="M1218" s="107"/>
      <c r="N1218" s="107"/>
      <c r="O1218" s="107"/>
      <c r="P1218" s="107"/>
    </row>
    <row r="1219" spans="1:16" x14ac:dyDescent="0.3">
      <c r="A1219" s="58" t="str">
        <f t="shared" si="76"/>
        <v>A066980</v>
      </c>
      <c r="B1219" s="59" t="str">
        <f t="shared" si="73"/>
        <v/>
      </c>
      <c r="C1219" s="59" t="str">
        <f t="shared" si="74"/>
        <v/>
      </c>
      <c r="D1219" s="109" t="str">
        <f t="shared" si="75"/>
        <v/>
      </c>
      <c r="E1219" s="106" t="s">
        <v>1219</v>
      </c>
      <c r="F1219" s="58" t="s">
        <v>2656</v>
      </c>
      <c r="G1219" s="106">
        <v>12</v>
      </c>
      <c r="H1219" s="107"/>
      <c r="I1219" s="107"/>
      <c r="J1219" s="107"/>
      <c r="K1219" s="107"/>
      <c r="L1219" s="107"/>
      <c r="M1219" s="107"/>
      <c r="N1219" s="107"/>
      <c r="O1219" s="107"/>
      <c r="P1219" s="107"/>
    </row>
    <row r="1220" spans="1:16" x14ac:dyDescent="0.3">
      <c r="A1220" s="58" t="str">
        <f t="shared" si="76"/>
        <v>A067000</v>
      </c>
      <c r="B1220" s="59" t="str">
        <f t="shared" si="73"/>
        <v/>
      </c>
      <c r="C1220" s="59" t="str">
        <f t="shared" si="74"/>
        <v/>
      </c>
      <c r="D1220" s="109" t="str">
        <f t="shared" si="75"/>
        <v/>
      </c>
      <c r="E1220" s="106" t="s">
        <v>1220</v>
      </c>
      <c r="F1220" s="58" t="s">
        <v>3666</v>
      </c>
      <c r="G1220" s="106">
        <v>12</v>
      </c>
      <c r="H1220" s="107"/>
      <c r="I1220" s="107"/>
      <c r="J1220" s="107"/>
      <c r="K1220" s="107"/>
      <c r="L1220" s="107"/>
      <c r="M1220" s="107"/>
      <c r="N1220" s="107"/>
      <c r="O1220" s="107"/>
      <c r="P1220" s="107"/>
    </row>
    <row r="1221" spans="1:16" x14ac:dyDescent="0.3">
      <c r="A1221" s="58" t="str">
        <f t="shared" si="76"/>
        <v>A067010</v>
      </c>
      <c r="B1221" s="59" t="str">
        <f t="shared" si="73"/>
        <v/>
      </c>
      <c r="C1221" s="59" t="str">
        <f t="shared" si="74"/>
        <v/>
      </c>
      <c r="D1221" s="109" t="str">
        <f t="shared" si="75"/>
        <v/>
      </c>
      <c r="E1221" s="106" t="s">
        <v>1221</v>
      </c>
      <c r="F1221" s="58" t="s">
        <v>2657</v>
      </c>
      <c r="G1221" s="106">
        <v>3</v>
      </c>
      <c r="H1221" s="107"/>
      <c r="I1221" s="107"/>
      <c r="J1221" s="107"/>
      <c r="K1221" s="107"/>
      <c r="L1221" s="107"/>
      <c r="M1221" s="107"/>
      <c r="N1221" s="107"/>
      <c r="O1221" s="107"/>
      <c r="P1221" s="107"/>
    </row>
    <row r="1222" spans="1:16" x14ac:dyDescent="0.3">
      <c r="A1222" s="58" t="str">
        <f t="shared" si="76"/>
        <v>A067080</v>
      </c>
      <c r="B1222" s="59" t="str">
        <f t="shared" si="73"/>
        <v/>
      </c>
      <c r="C1222" s="59" t="str">
        <f t="shared" si="74"/>
        <v/>
      </c>
      <c r="D1222" s="109" t="str">
        <f t="shared" si="75"/>
        <v/>
      </c>
      <c r="E1222" s="106" t="s">
        <v>1222</v>
      </c>
      <c r="F1222" s="58" t="s">
        <v>2658</v>
      </c>
      <c r="G1222" s="106">
        <v>12</v>
      </c>
      <c r="H1222" s="107"/>
      <c r="I1222" s="107"/>
      <c r="J1222" s="107"/>
      <c r="K1222" s="107"/>
      <c r="L1222" s="107"/>
      <c r="M1222" s="107"/>
      <c r="N1222" s="107"/>
      <c r="O1222" s="107"/>
      <c r="P1222" s="107"/>
    </row>
    <row r="1223" spans="1:16" x14ac:dyDescent="0.3">
      <c r="A1223" s="58" t="str">
        <f t="shared" si="76"/>
        <v>A067160</v>
      </c>
      <c r="B1223" s="59" t="str">
        <f t="shared" si="73"/>
        <v/>
      </c>
      <c r="C1223" s="59" t="str">
        <f t="shared" si="74"/>
        <v/>
      </c>
      <c r="D1223" s="109" t="str">
        <f t="shared" si="75"/>
        <v/>
      </c>
      <c r="E1223" s="106" t="s">
        <v>1223</v>
      </c>
      <c r="F1223" s="58" t="s">
        <v>3649</v>
      </c>
      <c r="G1223" s="106">
        <v>12</v>
      </c>
      <c r="H1223" s="107"/>
      <c r="I1223" s="107"/>
      <c r="J1223" s="107"/>
      <c r="K1223" s="107"/>
      <c r="L1223" s="107"/>
      <c r="M1223" s="107"/>
      <c r="N1223" s="107"/>
      <c r="O1223" s="107"/>
      <c r="P1223" s="107"/>
    </row>
    <row r="1224" spans="1:16" x14ac:dyDescent="0.3">
      <c r="A1224" s="58" t="str">
        <f t="shared" si="76"/>
        <v>A067170</v>
      </c>
      <c r="B1224" s="59" t="str">
        <f t="shared" si="73"/>
        <v/>
      </c>
      <c r="C1224" s="59" t="str">
        <f t="shared" si="74"/>
        <v/>
      </c>
      <c r="D1224" s="109" t="str">
        <f t="shared" si="75"/>
        <v/>
      </c>
      <c r="E1224" s="106" t="s">
        <v>1224</v>
      </c>
      <c r="F1224" s="58" t="s">
        <v>2659</v>
      </c>
      <c r="G1224" s="106">
        <v>12</v>
      </c>
      <c r="H1224" s="107"/>
      <c r="I1224" s="107"/>
      <c r="J1224" s="107"/>
      <c r="K1224" s="107"/>
      <c r="L1224" s="107"/>
      <c r="M1224" s="107"/>
      <c r="N1224" s="107"/>
      <c r="O1224" s="107"/>
      <c r="P1224" s="107"/>
    </row>
    <row r="1225" spans="1:16" x14ac:dyDescent="0.3">
      <c r="A1225" s="58" t="str">
        <f t="shared" si="76"/>
        <v>A067250</v>
      </c>
      <c r="B1225" s="59" t="str">
        <f t="shared" si="73"/>
        <v/>
      </c>
      <c r="C1225" s="59" t="str">
        <f t="shared" si="74"/>
        <v/>
      </c>
      <c r="D1225" s="109" t="str">
        <f t="shared" si="75"/>
        <v/>
      </c>
      <c r="E1225" s="106" t="s">
        <v>1225</v>
      </c>
      <c r="F1225" s="58" t="s">
        <v>2660</v>
      </c>
      <c r="G1225" s="106">
        <v>12</v>
      </c>
      <c r="H1225" s="107"/>
      <c r="I1225" s="107"/>
      <c r="J1225" s="107"/>
      <c r="K1225" s="107"/>
      <c r="L1225" s="107"/>
      <c r="M1225" s="107"/>
      <c r="N1225" s="107"/>
      <c r="O1225" s="107"/>
      <c r="P1225" s="107"/>
    </row>
    <row r="1226" spans="1:16" x14ac:dyDescent="0.3">
      <c r="A1226" s="58" t="str">
        <f t="shared" si="76"/>
        <v>A067280</v>
      </c>
      <c r="B1226" s="59" t="str">
        <f t="shared" si="73"/>
        <v/>
      </c>
      <c r="C1226" s="59" t="str">
        <f t="shared" si="74"/>
        <v/>
      </c>
      <c r="D1226" s="109" t="str">
        <f t="shared" si="75"/>
        <v/>
      </c>
      <c r="E1226" s="106" t="s">
        <v>1226</v>
      </c>
      <c r="F1226" s="58" t="s">
        <v>2661</v>
      </c>
      <c r="G1226" s="106">
        <v>12</v>
      </c>
      <c r="H1226" s="107"/>
      <c r="I1226" s="107"/>
      <c r="J1226" s="107"/>
      <c r="K1226" s="107"/>
      <c r="L1226" s="107"/>
      <c r="M1226" s="107"/>
      <c r="N1226" s="107"/>
      <c r="O1226" s="107"/>
      <c r="P1226" s="107"/>
    </row>
    <row r="1227" spans="1:16" x14ac:dyDescent="0.3">
      <c r="A1227" s="58" t="str">
        <f t="shared" si="76"/>
        <v>A067290</v>
      </c>
      <c r="B1227" s="59" t="str">
        <f t="shared" si="73"/>
        <v/>
      </c>
      <c r="C1227" s="59" t="str">
        <f t="shared" si="74"/>
        <v/>
      </c>
      <c r="D1227" s="109" t="str">
        <f t="shared" si="75"/>
        <v/>
      </c>
      <c r="E1227" s="106" t="s">
        <v>1227</v>
      </c>
      <c r="F1227" s="58" t="s">
        <v>2662</v>
      </c>
      <c r="G1227" s="106">
        <v>12</v>
      </c>
      <c r="H1227" s="107"/>
      <c r="I1227" s="107"/>
      <c r="J1227" s="107"/>
      <c r="K1227" s="107"/>
      <c r="L1227" s="107"/>
      <c r="M1227" s="107"/>
      <c r="N1227" s="107"/>
      <c r="O1227" s="107"/>
      <c r="P1227" s="107"/>
    </row>
    <row r="1228" spans="1:16" x14ac:dyDescent="0.3">
      <c r="A1228" s="58" t="str">
        <f t="shared" si="76"/>
        <v>A067310</v>
      </c>
      <c r="B1228" s="59" t="str">
        <f t="shared" si="73"/>
        <v/>
      </c>
      <c r="C1228" s="59" t="str">
        <f t="shared" si="74"/>
        <v/>
      </c>
      <c r="D1228" s="109" t="str">
        <f t="shared" si="75"/>
        <v/>
      </c>
      <c r="E1228" s="106" t="s">
        <v>1228</v>
      </c>
      <c r="F1228" s="58" t="s">
        <v>2663</v>
      </c>
      <c r="G1228" s="106">
        <v>12</v>
      </c>
      <c r="H1228" s="107"/>
      <c r="I1228" s="107"/>
      <c r="J1228" s="107"/>
      <c r="K1228" s="107"/>
      <c r="L1228" s="107"/>
      <c r="M1228" s="107"/>
      <c r="N1228" s="107"/>
      <c r="O1228" s="107"/>
      <c r="P1228" s="107"/>
    </row>
    <row r="1229" spans="1:16" x14ac:dyDescent="0.3">
      <c r="A1229" s="58" t="str">
        <f t="shared" si="76"/>
        <v>A067630</v>
      </c>
      <c r="B1229" s="59" t="str">
        <f t="shared" si="73"/>
        <v/>
      </c>
      <c r="C1229" s="59" t="str">
        <f t="shared" si="74"/>
        <v/>
      </c>
      <c r="D1229" s="109" t="str">
        <f t="shared" si="75"/>
        <v/>
      </c>
      <c r="E1229" s="106" t="s">
        <v>1229</v>
      </c>
      <c r="F1229" s="58" t="s">
        <v>2664</v>
      </c>
      <c r="G1229" s="106">
        <v>12</v>
      </c>
      <c r="H1229" s="107"/>
      <c r="I1229" s="107"/>
      <c r="J1229" s="107"/>
      <c r="K1229" s="107"/>
      <c r="L1229" s="107"/>
      <c r="M1229" s="107"/>
      <c r="N1229" s="107"/>
      <c r="O1229" s="107"/>
      <c r="P1229" s="107"/>
    </row>
    <row r="1230" spans="1:16" x14ac:dyDescent="0.3">
      <c r="A1230" s="58" t="str">
        <f t="shared" si="76"/>
        <v>A067770</v>
      </c>
      <c r="B1230" s="59" t="str">
        <f t="shared" si="73"/>
        <v/>
      </c>
      <c r="C1230" s="59" t="str">
        <f t="shared" si="74"/>
        <v/>
      </c>
      <c r="D1230" s="109" t="str">
        <f t="shared" si="75"/>
        <v/>
      </c>
      <c r="E1230" s="106" t="s">
        <v>1230</v>
      </c>
      <c r="F1230" s="58" t="s">
        <v>2665</v>
      </c>
      <c r="G1230" s="106">
        <v>12</v>
      </c>
      <c r="H1230" s="107"/>
      <c r="I1230" s="107"/>
      <c r="J1230" s="107"/>
      <c r="K1230" s="107"/>
      <c r="L1230" s="107"/>
      <c r="M1230" s="107"/>
      <c r="N1230" s="107"/>
      <c r="O1230" s="107"/>
      <c r="P1230" s="107"/>
    </row>
    <row r="1231" spans="1:16" x14ac:dyDescent="0.3">
      <c r="A1231" s="58" t="str">
        <f t="shared" si="76"/>
        <v>A067830</v>
      </c>
      <c r="B1231" s="59" t="str">
        <f t="shared" ref="B1231:B1294" si="77">IFERROR(IF(ISNUMBER(H1231),DATE(LEFT(H1231,4),MID(H1231,5,2),RIGHT(H1231,2)),NA()),"")</f>
        <v/>
      </c>
      <c r="C1231" s="59" t="str">
        <f t="shared" ref="C1231:C1294" si="78">IFERROR(IF(ISNUMBER(I1231),DATE(LEFT(I1231,4),MID(I1231,5,2),RIGHT(I1231,2)),NA()),"")</f>
        <v/>
      </c>
      <c r="D1231" s="109" t="str">
        <f t="shared" ref="D1231:D1294" si="79">IFERROR(IF(ISNUMBER(J1231),J1231,NA()),"")</f>
        <v/>
      </c>
      <c r="E1231" s="106" t="s">
        <v>1231</v>
      </c>
      <c r="F1231" s="58" t="s">
        <v>2666</v>
      </c>
      <c r="G1231" s="106">
        <v>12</v>
      </c>
      <c r="H1231" s="107"/>
      <c r="I1231" s="107"/>
      <c r="J1231" s="107"/>
      <c r="K1231" s="107"/>
      <c r="L1231" s="107"/>
      <c r="M1231" s="107"/>
      <c r="N1231" s="107"/>
      <c r="O1231" s="107"/>
      <c r="P1231" s="107"/>
    </row>
    <row r="1232" spans="1:16" x14ac:dyDescent="0.3">
      <c r="A1232" s="58" t="str">
        <f t="shared" si="76"/>
        <v>A067900</v>
      </c>
      <c r="B1232" s="59" t="str">
        <f t="shared" si="77"/>
        <v/>
      </c>
      <c r="C1232" s="59" t="str">
        <f t="shared" si="78"/>
        <v/>
      </c>
      <c r="D1232" s="109" t="str">
        <f t="shared" si="79"/>
        <v/>
      </c>
      <c r="E1232" s="106" t="s">
        <v>1232</v>
      </c>
      <c r="F1232" s="58" t="s">
        <v>2667</v>
      </c>
      <c r="G1232" s="106">
        <v>12</v>
      </c>
      <c r="H1232" s="107"/>
      <c r="I1232" s="107"/>
      <c r="J1232" s="107"/>
      <c r="K1232" s="107"/>
      <c r="L1232" s="107"/>
      <c r="M1232" s="107"/>
      <c r="N1232" s="107"/>
      <c r="O1232" s="107"/>
      <c r="P1232" s="107"/>
    </row>
    <row r="1233" spans="1:16" x14ac:dyDescent="0.3">
      <c r="A1233" s="58" t="str">
        <f t="shared" si="76"/>
        <v>A067920</v>
      </c>
      <c r="B1233" s="59" t="str">
        <f t="shared" si="77"/>
        <v/>
      </c>
      <c r="C1233" s="59" t="str">
        <f t="shared" si="78"/>
        <v/>
      </c>
      <c r="D1233" s="109" t="str">
        <f t="shared" si="79"/>
        <v/>
      </c>
      <c r="E1233" s="106" t="s">
        <v>3161</v>
      </c>
      <c r="F1233" s="58" t="s">
        <v>3363</v>
      </c>
      <c r="G1233" s="106">
        <v>12</v>
      </c>
      <c r="H1233" s="107"/>
      <c r="I1233" s="107"/>
      <c r="J1233" s="107"/>
      <c r="K1233" s="107"/>
      <c r="L1233" s="107"/>
      <c r="M1233" s="107"/>
      <c r="N1233" s="107"/>
      <c r="O1233" s="107"/>
      <c r="P1233" s="107"/>
    </row>
    <row r="1234" spans="1:16" x14ac:dyDescent="0.3">
      <c r="A1234" s="58" t="str">
        <f t="shared" si="76"/>
        <v>A067990</v>
      </c>
      <c r="B1234" s="59" t="str">
        <f t="shared" si="77"/>
        <v/>
      </c>
      <c r="C1234" s="59" t="str">
        <f t="shared" si="78"/>
        <v/>
      </c>
      <c r="D1234" s="109" t="str">
        <f t="shared" si="79"/>
        <v/>
      </c>
      <c r="E1234" s="106" t="s">
        <v>1233</v>
      </c>
      <c r="F1234" s="58" t="s">
        <v>2668</v>
      </c>
      <c r="G1234" s="106">
        <v>12</v>
      </c>
      <c r="H1234" s="107"/>
      <c r="I1234" s="107"/>
      <c r="J1234" s="107"/>
      <c r="K1234" s="107"/>
      <c r="L1234" s="107"/>
      <c r="M1234" s="107"/>
      <c r="N1234" s="107"/>
      <c r="O1234" s="107"/>
      <c r="P1234" s="107"/>
    </row>
    <row r="1235" spans="1:16" x14ac:dyDescent="0.3">
      <c r="A1235" s="58" t="str">
        <f t="shared" si="76"/>
        <v>A068050</v>
      </c>
      <c r="B1235" s="59" t="str">
        <f t="shared" si="77"/>
        <v/>
      </c>
      <c r="C1235" s="59" t="str">
        <f t="shared" si="78"/>
        <v/>
      </c>
      <c r="D1235" s="109" t="str">
        <f t="shared" si="79"/>
        <v/>
      </c>
      <c r="E1235" s="106" t="s">
        <v>1234</v>
      </c>
      <c r="F1235" s="58" t="s">
        <v>2669</v>
      </c>
      <c r="G1235" s="106">
        <v>12</v>
      </c>
      <c r="H1235" s="107"/>
      <c r="I1235" s="107"/>
      <c r="J1235" s="107"/>
      <c r="K1235" s="107"/>
      <c r="L1235" s="107"/>
      <c r="M1235" s="107"/>
      <c r="N1235" s="107"/>
      <c r="O1235" s="107"/>
      <c r="P1235" s="107"/>
    </row>
    <row r="1236" spans="1:16" x14ac:dyDescent="0.3">
      <c r="A1236" s="58" t="str">
        <f t="shared" si="76"/>
        <v>A068060</v>
      </c>
      <c r="B1236" s="59" t="str">
        <f t="shared" si="77"/>
        <v/>
      </c>
      <c r="C1236" s="59" t="str">
        <f t="shared" si="78"/>
        <v/>
      </c>
      <c r="D1236" s="109" t="str">
        <f t="shared" si="79"/>
        <v/>
      </c>
      <c r="E1236" s="106" t="s">
        <v>1235</v>
      </c>
      <c r="F1236" s="58" t="s">
        <v>2670</v>
      </c>
      <c r="G1236" s="106">
        <v>12</v>
      </c>
      <c r="H1236" s="107"/>
      <c r="I1236" s="107"/>
      <c r="J1236" s="107"/>
      <c r="K1236" s="107"/>
      <c r="L1236" s="107"/>
      <c r="M1236" s="107"/>
      <c r="N1236" s="107"/>
      <c r="O1236" s="107"/>
      <c r="P1236" s="107"/>
    </row>
    <row r="1237" spans="1:16" x14ac:dyDescent="0.3">
      <c r="A1237" s="58" t="str">
        <f t="shared" si="76"/>
        <v>A068150</v>
      </c>
      <c r="B1237" s="59" t="str">
        <f t="shared" si="77"/>
        <v/>
      </c>
      <c r="C1237" s="59" t="str">
        <f t="shared" si="78"/>
        <v/>
      </c>
      <c r="D1237" s="109" t="str">
        <f t="shared" si="79"/>
        <v/>
      </c>
      <c r="E1237" s="106" t="s">
        <v>1236</v>
      </c>
      <c r="F1237" s="58" t="s">
        <v>2671</v>
      </c>
      <c r="G1237" s="106">
        <v>12</v>
      </c>
      <c r="H1237" s="107"/>
      <c r="I1237" s="107"/>
      <c r="J1237" s="107"/>
      <c r="K1237" s="107"/>
      <c r="L1237" s="107"/>
      <c r="M1237" s="107"/>
      <c r="N1237" s="107"/>
      <c r="O1237" s="107"/>
      <c r="P1237" s="107"/>
    </row>
    <row r="1238" spans="1:16" x14ac:dyDescent="0.3">
      <c r="A1238" s="58" t="str">
        <f t="shared" ref="A1238:A1301" si="80">E1238</f>
        <v>A068240</v>
      </c>
      <c r="B1238" s="59" t="str">
        <f t="shared" si="77"/>
        <v/>
      </c>
      <c r="C1238" s="59" t="str">
        <f t="shared" si="78"/>
        <v/>
      </c>
      <c r="D1238" s="109" t="str">
        <f t="shared" si="79"/>
        <v/>
      </c>
      <c r="E1238" s="106" t="s">
        <v>3162</v>
      </c>
      <c r="F1238" s="58" t="s">
        <v>3364</v>
      </c>
      <c r="G1238" s="106">
        <v>12</v>
      </c>
      <c r="H1238" s="107"/>
      <c r="I1238" s="107"/>
      <c r="J1238" s="107"/>
      <c r="K1238" s="107"/>
      <c r="L1238" s="107"/>
      <c r="M1238" s="107"/>
      <c r="N1238" s="107"/>
      <c r="O1238" s="107"/>
      <c r="P1238" s="107"/>
    </row>
    <row r="1239" spans="1:16" x14ac:dyDescent="0.3">
      <c r="A1239" s="58" t="str">
        <f t="shared" si="80"/>
        <v>A068270</v>
      </c>
      <c r="B1239" s="59" t="str">
        <f t="shared" si="77"/>
        <v/>
      </c>
      <c r="C1239" s="59" t="str">
        <f t="shared" si="78"/>
        <v/>
      </c>
      <c r="D1239" s="109" t="str">
        <f t="shared" si="79"/>
        <v/>
      </c>
      <c r="E1239" s="106" t="s">
        <v>1237</v>
      </c>
      <c r="F1239" s="58" t="s">
        <v>2672</v>
      </c>
      <c r="G1239" s="106">
        <v>12</v>
      </c>
      <c r="H1239" s="107"/>
      <c r="I1239" s="107"/>
      <c r="J1239" s="107"/>
      <c r="K1239" s="107"/>
      <c r="L1239" s="107"/>
      <c r="M1239" s="107"/>
      <c r="N1239" s="107"/>
      <c r="O1239" s="107"/>
      <c r="P1239" s="107"/>
    </row>
    <row r="1240" spans="1:16" x14ac:dyDescent="0.3">
      <c r="A1240" s="58" t="str">
        <f t="shared" si="80"/>
        <v>A068290</v>
      </c>
      <c r="B1240" s="59" t="str">
        <f t="shared" si="77"/>
        <v/>
      </c>
      <c r="C1240" s="59" t="str">
        <f t="shared" si="78"/>
        <v/>
      </c>
      <c r="D1240" s="109" t="str">
        <f t="shared" si="79"/>
        <v/>
      </c>
      <c r="E1240" s="106" t="s">
        <v>1238</v>
      </c>
      <c r="F1240" s="58" t="s">
        <v>2673</v>
      </c>
      <c r="G1240" s="106">
        <v>12</v>
      </c>
      <c r="H1240" s="107"/>
      <c r="I1240" s="107"/>
      <c r="J1240" s="107"/>
      <c r="K1240" s="107"/>
      <c r="L1240" s="107"/>
      <c r="M1240" s="107"/>
      <c r="N1240" s="107"/>
      <c r="O1240" s="107"/>
      <c r="P1240" s="107"/>
    </row>
    <row r="1241" spans="1:16" x14ac:dyDescent="0.3">
      <c r="A1241" s="58" t="str">
        <f t="shared" si="80"/>
        <v>A068330</v>
      </c>
      <c r="B1241" s="59" t="str">
        <f t="shared" si="77"/>
        <v/>
      </c>
      <c r="C1241" s="59" t="str">
        <f t="shared" si="78"/>
        <v/>
      </c>
      <c r="D1241" s="109" t="str">
        <f t="shared" si="79"/>
        <v/>
      </c>
      <c r="E1241" s="106" t="s">
        <v>1239</v>
      </c>
      <c r="F1241" s="58" t="s">
        <v>2674</v>
      </c>
      <c r="G1241" s="106">
        <v>12</v>
      </c>
      <c r="H1241" s="107"/>
      <c r="I1241" s="107"/>
      <c r="J1241" s="107"/>
      <c r="K1241" s="107"/>
      <c r="L1241" s="107"/>
      <c r="M1241" s="107"/>
      <c r="N1241" s="107"/>
      <c r="O1241" s="107"/>
      <c r="P1241" s="107"/>
    </row>
    <row r="1242" spans="1:16" x14ac:dyDescent="0.3">
      <c r="A1242" s="58" t="str">
        <f t="shared" si="80"/>
        <v>A068400</v>
      </c>
      <c r="B1242" s="59" t="str">
        <f t="shared" si="77"/>
        <v/>
      </c>
      <c r="C1242" s="59" t="str">
        <f t="shared" si="78"/>
        <v/>
      </c>
      <c r="D1242" s="109" t="str">
        <f t="shared" si="79"/>
        <v/>
      </c>
      <c r="E1242" s="106" t="s">
        <v>3163</v>
      </c>
      <c r="F1242" s="58" t="s">
        <v>3365</v>
      </c>
      <c r="G1242" s="106">
        <v>12</v>
      </c>
      <c r="H1242" s="107"/>
      <c r="I1242" s="107"/>
      <c r="J1242" s="107"/>
      <c r="K1242" s="107"/>
      <c r="L1242" s="107"/>
      <c r="M1242" s="107"/>
      <c r="N1242" s="107"/>
      <c r="O1242" s="107"/>
      <c r="P1242" s="107"/>
    </row>
    <row r="1243" spans="1:16" x14ac:dyDescent="0.3">
      <c r="A1243" s="58" t="str">
        <f t="shared" si="80"/>
        <v>A068760</v>
      </c>
      <c r="B1243" s="59" t="str">
        <f t="shared" si="77"/>
        <v/>
      </c>
      <c r="C1243" s="59" t="str">
        <f t="shared" si="78"/>
        <v/>
      </c>
      <c r="D1243" s="109" t="str">
        <f t="shared" si="79"/>
        <v/>
      </c>
      <c r="E1243" s="106" t="s">
        <v>1240</v>
      </c>
      <c r="F1243" s="58" t="s">
        <v>2675</v>
      </c>
      <c r="G1243" s="106">
        <v>12</v>
      </c>
      <c r="H1243" s="107"/>
      <c r="I1243" s="107"/>
      <c r="J1243" s="107"/>
      <c r="K1243" s="107"/>
      <c r="L1243" s="107"/>
      <c r="M1243" s="107"/>
      <c r="N1243" s="107"/>
      <c r="O1243" s="107"/>
      <c r="P1243" s="107"/>
    </row>
    <row r="1244" spans="1:16" x14ac:dyDescent="0.3">
      <c r="A1244" s="58" t="str">
        <f t="shared" si="80"/>
        <v>A068790</v>
      </c>
      <c r="B1244" s="59" t="str">
        <f t="shared" si="77"/>
        <v/>
      </c>
      <c r="C1244" s="59" t="str">
        <f t="shared" si="78"/>
        <v/>
      </c>
      <c r="D1244" s="109" t="str">
        <f t="shared" si="79"/>
        <v/>
      </c>
      <c r="E1244" s="106" t="s">
        <v>1241</v>
      </c>
      <c r="F1244" s="58" t="s">
        <v>2676</v>
      </c>
      <c r="G1244" s="106">
        <v>12</v>
      </c>
      <c r="H1244" s="107"/>
      <c r="I1244" s="107"/>
      <c r="J1244" s="107"/>
      <c r="K1244" s="107"/>
      <c r="L1244" s="107"/>
      <c r="M1244" s="107"/>
      <c r="N1244" s="107"/>
      <c r="O1244" s="107"/>
      <c r="P1244" s="107"/>
    </row>
    <row r="1245" spans="1:16" x14ac:dyDescent="0.3">
      <c r="A1245" s="58" t="str">
        <f t="shared" si="80"/>
        <v>A068870</v>
      </c>
      <c r="B1245" s="59">
        <f t="shared" si="77"/>
        <v>41479</v>
      </c>
      <c r="C1245" s="59">
        <f t="shared" si="78"/>
        <v>41479</v>
      </c>
      <c r="D1245" s="109">
        <f t="shared" si="79"/>
        <v>5.86</v>
      </c>
      <c r="E1245" s="106" t="s">
        <v>1242</v>
      </c>
      <c r="F1245" s="58" t="s">
        <v>2677</v>
      </c>
      <c r="G1245" s="106">
        <v>12</v>
      </c>
      <c r="H1245" s="107">
        <v>20130724</v>
      </c>
      <c r="I1245" s="107">
        <v>20130724</v>
      </c>
      <c r="J1245" s="107">
        <v>5.86</v>
      </c>
      <c r="K1245" s="107"/>
      <c r="L1245" s="107"/>
      <c r="M1245" s="107"/>
      <c r="N1245" s="107"/>
      <c r="O1245" s="107"/>
      <c r="P1245" s="107"/>
    </row>
    <row r="1246" spans="1:16" x14ac:dyDescent="0.3">
      <c r="A1246" s="58" t="str">
        <f t="shared" si="80"/>
        <v>A068930</v>
      </c>
      <c r="B1246" s="59" t="str">
        <f t="shared" si="77"/>
        <v/>
      </c>
      <c r="C1246" s="59" t="str">
        <f t="shared" si="78"/>
        <v/>
      </c>
      <c r="D1246" s="109" t="str">
        <f t="shared" si="79"/>
        <v/>
      </c>
      <c r="E1246" s="106" t="s">
        <v>1243</v>
      </c>
      <c r="F1246" s="58" t="s">
        <v>2678</v>
      </c>
      <c r="G1246" s="106">
        <v>12</v>
      </c>
      <c r="H1246" s="107"/>
      <c r="I1246" s="107"/>
      <c r="J1246" s="107"/>
      <c r="K1246" s="107"/>
      <c r="L1246" s="107"/>
      <c r="M1246" s="107"/>
      <c r="N1246" s="107"/>
      <c r="O1246" s="107"/>
      <c r="P1246" s="107"/>
    </row>
    <row r="1247" spans="1:16" x14ac:dyDescent="0.3">
      <c r="A1247" s="58" t="str">
        <f t="shared" si="80"/>
        <v>A068940</v>
      </c>
      <c r="B1247" s="59" t="str">
        <f t="shared" si="77"/>
        <v/>
      </c>
      <c r="C1247" s="59" t="str">
        <f t="shared" si="78"/>
        <v/>
      </c>
      <c r="D1247" s="109" t="str">
        <f t="shared" si="79"/>
        <v/>
      </c>
      <c r="E1247" s="106" t="s">
        <v>3164</v>
      </c>
      <c r="F1247" s="58" t="s">
        <v>3366</v>
      </c>
      <c r="G1247" s="106">
        <v>12</v>
      </c>
      <c r="H1247" s="107"/>
      <c r="I1247" s="107"/>
      <c r="J1247" s="107"/>
      <c r="K1247" s="107"/>
      <c r="L1247" s="107"/>
      <c r="M1247" s="107"/>
      <c r="N1247" s="107"/>
      <c r="O1247" s="107"/>
      <c r="P1247" s="107"/>
    </row>
    <row r="1248" spans="1:16" x14ac:dyDescent="0.3">
      <c r="A1248" s="58" t="str">
        <f t="shared" si="80"/>
        <v>A069080</v>
      </c>
      <c r="B1248" s="59" t="str">
        <f t="shared" si="77"/>
        <v/>
      </c>
      <c r="C1248" s="59" t="str">
        <f t="shared" si="78"/>
        <v/>
      </c>
      <c r="D1248" s="109" t="str">
        <f t="shared" si="79"/>
        <v/>
      </c>
      <c r="E1248" s="106" t="s">
        <v>1244</v>
      </c>
      <c r="F1248" s="58" t="s">
        <v>2679</v>
      </c>
      <c r="G1248" s="106">
        <v>12</v>
      </c>
      <c r="H1248" s="107"/>
      <c r="I1248" s="107"/>
      <c r="J1248" s="107"/>
      <c r="K1248" s="107"/>
      <c r="L1248" s="107"/>
      <c r="M1248" s="107"/>
      <c r="N1248" s="107"/>
      <c r="O1248" s="107"/>
      <c r="P1248" s="107"/>
    </row>
    <row r="1249" spans="1:16" x14ac:dyDescent="0.3">
      <c r="A1249" s="58" t="str">
        <f t="shared" si="80"/>
        <v>A069110</v>
      </c>
      <c r="B1249" s="59" t="str">
        <f t="shared" si="77"/>
        <v/>
      </c>
      <c r="C1249" s="59" t="str">
        <f t="shared" si="78"/>
        <v/>
      </c>
      <c r="D1249" s="109" t="str">
        <f t="shared" si="79"/>
        <v/>
      </c>
      <c r="E1249" s="106" t="s">
        <v>1245</v>
      </c>
      <c r="F1249" s="58" t="s">
        <v>3554</v>
      </c>
      <c r="G1249" s="106">
        <v>12</v>
      </c>
      <c r="H1249" s="107"/>
      <c r="I1249" s="107"/>
      <c r="J1249" s="107"/>
      <c r="K1249" s="107"/>
      <c r="L1249" s="107"/>
      <c r="M1249" s="107"/>
      <c r="N1249" s="107"/>
      <c r="O1249" s="107"/>
      <c r="P1249" s="107"/>
    </row>
    <row r="1250" spans="1:16" x14ac:dyDescent="0.3">
      <c r="A1250" s="58" t="str">
        <f t="shared" si="80"/>
        <v>A069140</v>
      </c>
      <c r="B1250" s="59" t="str">
        <f t="shared" si="77"/>
        <v/>
      </c>
      <c r="C1250" s="59" t="str">
        <f t="shared" si="78"/>
        <v/>
      </c>
      <c r="D1250" s="109" t="str">
        <f t="shared" si="79"/>
        <v/>
      </c>
      <c r="E1250" s="106" t="s">
        <v>3165</v>
      </c>
      <c r="F1250" s="58" t="s">
        <v>3367</v>
      </c>
      <c r="G1250" s="106">
        <v>12</v>
      </c>
      <c r="H1250" s="107"/>
      <c r="I1250" s="107"/>
      <c r="J1250" s="107"/>
      <c r="K1250" s="107"/>
      <c r="L1250" s="107"/>
      <c r="M1250" s="107"/>
      <c r="N1250" s="107"/>
      <c r="O1250" s="107"/>
      <c r="P1250" s="107"/>
    </row>
    <row r="1251" spans="1:16" x14ac:dyDescent="0.3">
      <c r="A1251" s="58" t="str">
        <f t="shared" si="80"/>
        <v>A069260</v>
      </c>
      <c r="B1251" s="59" t="str">
        <f t="shared" si="77"/>
        <v/>
      </c>
      <c r="C1251" s="59" t="str">
        <f t="shared" si="78"/>
        <v/>
      </c>
      <c r="D1251" s="109" t="str">
        <f t="shared" si="79"/>
        <v/>
      </c>
      <c r="E1251" s="106" t="s">
        <v>1246</v>
      </c>
      <c r="F1251" s="58" t="s">
        <v>2680</v>
      </c>
      <c r="G1251" s="106">
        <v>12</v>
      </c>
      <c r="H1251" s="107"/>
      <c r="I1251" s="107"/>
      <c r="J1251" s="107"/>
      <c r="K1251" s="107"/>
      <c r="L1251" s="107"/>
      <c r="M1251" s="107"/>
      <c r="N1251" s="107"/>
      <c r="O1251" s="107"/>
      <c r="P1251" s="107"/>
    </row>
    <row r="1252" spans="1:16" x14ac:dyDescent="0.3">
      <c r="A1252" s="58" t="str">
        <f t="shared" si="80"/>
        <v>A069330</v>
      </c>
      <c r="B1252" s="59" t="str">
        <f t="shared" si="77"/>
        <v/>
      </c>
      <c r="C1252" s="59" t="str">
        <f t="shared" si="78"/>
        <v/>
      </c>
      <c r="D1252" s="109" t="str">
        <f t="shared" si="79"/>
        <v/>
      </c>
      <c r="E1252" s="106" t="s">
        <v>1247</v>
      </c>
      <c r="F1252" s="58" t="s">
        <v>2681</v>
      </c>
      <c r="G1252" s="106">
        <v>12</v>
      </c>
      <c r="H1252" s="107"/>
      <c r="I1252" s="107"/>
      <c r="J1252" s="107"/>
      <c r="K1252" s="107"/>
      <c r="L1252" s="107"/>
      <c r="M1252" s="107"/>
      <c r="N1252" s="107"/>
      <c r="O1252" s="107"/>
      <c r="P1252" s="107"/>
    </row>
    <row r="1253" spans="1:16" x14ac:dyDescent="0.3">
      <c r="A1253" s="58" t="str">
        <f t="shared" si="80"/>
        <v>A069410</v>
      </c>
      <c r="B1253" s="59" t="str">
        <f t="shared" si="77"/>
        <v/>
      </c>
      <c r="C1253" s="59" t="str">
        <f t="shared" si="78"/>
        <v/>
      </c>
      <c r="D1253" s="109" t="str">
        <f t="shared" si="79"/>
        <v/>
      </c>
      <c r="E1253" s="106" t="s">
        <v>1248</v>
      </c>
      <c r="F1253" s="58" t="s">
        <v>2682</v>
      </c>
      <c r="G1253" s="106">
        <v>12</v>
      </c>
      <c r="H1253" s="107"/>
      <c r="I1253" s="107"/>
      <c r="J1253" s="107"/>
      <c r="K1253" s="107"/>
      <c r="L1253" s="107"/>
      <c r="M1253" s="107"/>
      <c r="N1253" s="107"/>
      <c r="O1253" s="107"/>
      <c r="P1253" s="107"/>
    </row>
    <row r="1254" spans="1:16" x14ac:dyDescent="0.3">
      <c r="A1254" s="58" t="str">
        <f t="shared" si="80"/>
        <v>A069460</v>
      </c>
      <c r="B1254" s="59" t="str">
        <f t="shared" si="77"/>
        <v/>
      </c>
      <c r="C1254" s="59" t="str">
        <f t="shared" si="78"/>
        <v/>
      </c>
      <c r="D1254" s="109" t="str">
        <f t="shared" si="79"/>
        <v/>
      </c>
      <c r="E1254" s="106" t="s">
        <v>1249</v>
      </c>
      <c r="F1254" s="58" t="s">
        <v>2683</v>
      </c>
      <c r="G1254" s="106">
        <v>12</v>
      </c>
      <c r="H1254" s="107"/>
      <c r="I1254" s="107"/>
      <c r="J1254" s="107"/>
      <c r="K1254" s="107"/>
      <c r="L1254" s="107"/>
      <c r="M1254" s="107"/>
      <c r="N1254" s="107"/>
      <c r="O1254" s="107"/>
      <c r="P1254" s="107"/>
    </row>
    <row r="1255" spans="1:16" x14ac:dyDescent="0.3">
      <c r="A1255" s="58" t="str">
        <f t="shared" si="80"/>
        <v>A069510</v>
      </c>
      <c r="B1255" s="59" t="str">
        <f t="shared" si="77"/>
        <v/>
      </c>
      <c r="C1255" s="59" t="str">
        <f t="shared" si="78"/>
        <v/>
      </c>
      <c r="D1255" s="109" t="str">
        <f t="shared" si="79"/>
        <v/>
      </c>
      <c r="E1255" s="106" t="s">
        <v>1250</v>
      </c>
      <c r="F1255" s="58" t="s">
        <v>2684</v>
      </c>
      <c r="G1255" s="106">
        <v>12</v>
      </c>
      <c r="H1255" s="107"/>
      <c r="I1255" s="107"/>
      <c r="J1255" s="107"/>
      <c r="K1255" s="107"/>
      <c r="L1255" s="107"/>
      <c r="M1255" s="107"/>
      <c r="N1255" s="107"/>
      <c r="O1255" s="107"/>
      <c r="P1255" s="107"/>
    </row>
    <row r="1256" spans="1:16" x14ac:dyDescent="0.3">
      <c r="A1256" s="58" t="str">
        <f t="shared" si="80"/>
        <v>A069540</v>
      </c>
      <c r="B1256" s="59" t="str">
        <f t="shared" si="77"/>
        <v/>
      </c>
      <c r="C1256" s="59" t="str">
        <f t="shared" si="78"/>
        <v/>
      </c>
      <c r="D1256" s="109" t="str">
        <f t="shared" si="79"/>
        <v/>
      </c>
      <c r="E1256" s="106" t="s">
        <v>1251</v>
      </c>
      <c r="F1256" s="58" t="s">
        <v>2685</v>
      </c>
      <c r="G1256" s="106">
        <v>12</v>
      </c>
      <c r="H1256" s="107"/>
      <c r="I1256" s="107"/>
      <c r="J1256" s="107"/>
      <c r="K1256" s="107"/>
      <c r="L1256" s="107"/>
      <c r="M1256" s="107"/>
      <c r="N1256" s="107"/>
      <c r="O1256" s="107"/>
      <c r="P1256" s="107"/>
    </row>
    <row r="1257" spans="1:16" x14ac:dyDescent="0.3">
      <c r="A1257" s="58" t="str">
        <f t="shared" si="80"/>
        <v>A069620</v>
      </c>
      <c r="B1257" s="59" t="str">
        <f t="shared" si="77"/>
        <v/>
      </c>
      <c r="C1257" s="59" t="str">
        <f t="shared" si="78"/>
        <v/>
      </c>
      <c r="D1257" s="109" t="str">
        <f t="shared" si="79"/>
        <v/>
      </c>
      <c r="E1257" s="106" t="s">
        <v>1252</v>
      </c>
      <c r="F1257" s="58" t="s">
        <v>2686</v>
      </c>
      <c r="G1257" s="106">
        <v>12</v>
      </c>
      <c r="H1257" s="107"/>
      <c r="I1257" s="107"/>
      <c r="J1257" s="107"/>
      <c r="K1257" s="107"/>
      <c r="L1257" s="107"/>
      <c r="M1257" s="107"/>
      <c r="N1257" s="107"/>
      <c r="O1257" s="107"/>
      <c r="P1257" s="107"/>
    </row>
    <row r="1258" spans="1:16" x14ac:dyDescent="0.3">
      <c r="A1258" s="58" t="str">
        <f t="shared" si="80"/>
        <v>A069640</v>
      </c>
      <c r="B1258" s="59" t="str">
        <f t="shared" si="77"/>
        <v/>
      </c>
      <c r="C1258" s="59" t="str">
        <f t="shared" si="78"/>
        <v/>
      </c>
      <c r="D1258" s="109" t="str">
        <f t="shared" si="79"/>
        <v/>
      </c>
      <c r="E1258" s="106" t="s">
        <v>3166</v>
      </c>
      <c r="F1258" s="58" t="s">
        <v>3368</v>
      </c>
      <c r="G1258" s="106">
        <v>12</v>
      </c>
      <c r="H1258" s="107"/>
      <c r="I1258" s="107"/>
      <c r="J1258" s="107"/>
      <c r="K1258" s="107"/>
      <c r="L1258" s="107"/>
      <c r="M1258" s="107"/>
      <c r="N1258" s="107"/>
      <c r="O1258" s="107"/>
      <c r="P1258" s="107"/>
    </row>
    <row r="1259" spans="1:16" x14ac:dyDescent="0.3">
      <c r="A1259" s="58" t="str">
        <f t="shared" si="80"/>
        <v>A069730</v>
      </c>
      <c r="B1259" s="59" t="str">
        <f t="shared" si="77"/>
        <v/>
      </c>
      <c r="C1259" s="59" t="str">
        <f t="shared" si="78"/>
        <v/>
      </c>
      <c r="D1259" s="109" t="str">
        <f t="shared" si="79"/>
        <v/>
      </c>
      <c r="E1259" s="106" t="s">
        <v>1253</v>
      </c>
      <c r="F1259" s="58" t="s">
        <v>2687</v>
      </c>
      <c r="G1259" s="106">
        <v>12</v>
      </c>
      <c r="H1259" s="107"/>
      <c r="I1259" s="107"/>
      <c r="J1259" s="107"/>
      <c r="K1259" s="107"/>
      <c r="L1259" s="107"/>
      <c r="M1259" s="107"/>
      <c r="N1259" s="107"/>
      <c r="O1259" s="107"/>
      <c r="P1259" s="107"/>
    </row>
    <row r="1260" spans="1:16" x14ac:dyDescent="0.3">
      <c r="A1260" s="58" t="str">
        <f t="shared" si="80"/>
        <v>A069920</v>
      </c>
      <c r="B1260" s="59" t="str">
        <f t="shared" si="77"/>
        <v/>
      </c>
      <c r="C1260" s="59" t="str">
        <f t="shared" si="78"/>
        <v/>
      </c>
      <c r="D1260" s="109" t="str">
        <f t="shared" si="79"/>
        <v/>
      </c>
      <c r="E1260" s="106" t="s">
        <v>1254</v>
      </c>
      <c r="F1260" s="58" t="s">
        <v>2688</v>
      </c>
      <c r="G1260" s="106">
        <v>12</v>
      </c>
      <c r="H1260" s="107"/>
      <c r="I1260" s="107"/>
      <c r="J1260" s="107"/>
      <c r="K1260" s="107"/>
      <c r="L1260" s="107"/>
      <c r="M1260" s="107"/>
      <c r="N1260" s="107"/>
      <c r="O1260" s="107"/>
      <c r="P1260" s="107"/>
    </row>
    <row r="1261" spans="1:16" x14ac:dyDescent="0.3">
      <c r="A1261" s="58" t="str">
        <f t="shared" si="80"/>
        <v>A069960</v>
      </c>
      <c r="B1261" s="59" t="str">
        <f t="shared" si="77"/>
        <v/>
      </c>
      <c r="C1261" s="59" t="str">
        <f t="shared" si="78"/>
        <v/>
      </c>
      <c r="D1261" s="109" t="str">
        <f t="shared" si="79"/>
        <v/>
      </c>
      <c r="E1261" s="106" t="s">
        <v>1255</v>
      </c>
      <c r="F1261" s="58" t="s">
        <v>2689</v>
      </c>
      <c r="G1261" s="106">
        <v>12</v>
      </c>
      <c r="H1261" s="107"/>
      <c r="I1261" s="107"/>
      <c r="J1261" s="107"/>
      <c r="K1261" s="107"/>
      <c r="L1261" s="107"/>
      <c r="M1261" s="107"/>
      <c r="N1261" s="107"/>
      <c r="O1261" s="107"/>
      <c r="P1261" s="107"/>
    </row>
    <row r="1262" spans="1:16" x14ac:dyDescent="0.3">
      <c r="A1262" s="58" t="str">
        <f t="shared" si="80"/>
        <v>A070300</v>
      </c>
      <c r="B1262" s="59">
        <f t="shared" si="77"/>
        <v>41478</v>
      </c>
      <c r="C1262" s="59">
        <f t="shared" si="78"/>
        <v>41478</v>
      </c>
      <c r="D1262" s="109">
        <f t="shared" si="79"/>
        <v>0.48</v>
      </c>
      <c r="E1262" s="106" t="s">
        <v>3167</v>
      </c>
      <c r="F1262" s="58" t="s">
        <v>3369</v>
      </c>
      <c r="G1262" s="106">
        <v>12</v>
      </c>
      <c r="H1262" s="107">
        <v>20130723</v>
      </c>
      <c r="I1262" s="107">
        <v>20130723</v>
      </c>
      <c r="J1262" s="107">
        <v>0.48</v>
      </c>
      <c r="K1262" s="107"/>
      <c r="L1262" s="107"/>
      <c r="M1262" s="107"/>
      <c r="N1262" s="107"/>
      <c r="O1262" s="107"/>
      <c r="P1262" s="107"/>
    </row>
    <row r="1263" spans="1:16" x14ac:dyDescent="0.3">
      <c r="A1263" s="58" t="str">
        <f t="shared" si="80"/>
        <v>A070480</v>
      </c>
      <c r="B1263" s="59" t="str">
        <f t="shared" si="77"/>
        <v/>
      </c>
      <c r="C1263" s="59" t="str">
        <f t="shared" si="78"/>
        <v/>
      </c>
      <c r="D1263" s="109" t="str">
        <f t="shared" si="79"/>
        <v/>
      </c>
      <c r="E1263" s="106" t="s">
        <v>1256</v>
      </c>
      <c r="F1263" s="58" t="s">
        <v>2690</v>
      </c>
      <c r="G1263" s="106">
        <v>12</v>
      </c>
      <c r="H1263" s="107"/>
      <c r="I1263" s="107"/>
      <c r="J1263" s="107"/>
      <c r="K1263" s="107"/>
      <c r="L1263" s="107"/>
      <c r="M1263" s="107"/>
      <c r="N1263" s="107"/>
      <c r="O1263" s="107"/>
      <c r="P1263" s="107"/>
    </row>
    <row r="1264" spans="1:16" x14ac:dyDescent="0.3">
      <c r="A1264" s="58" t="str">
        <f t="shared" si="80"/>
        <v>A070590</v>
      </c>
      <c r="B1264" s="59" t="str">
        <f t="shared" si="77"/>
        <v/>
      </c>
      <c r="C1264" s="59" t="str">
        <f t="shared" si="78"/>
        <v/>
      </c>
      <c r="D1264" s="109" t="str">
        <f t="shared" si="79"/>
        <v/>
      </c>
      <c r="E1264" s="106" t="s">
        <v>1257</v>
      </c>
      <c r="F1264" s="58" t="s">
        <v>2691</v>
      </c>
      <c r="G1264" s="106">
        <v>12</v>
      </c>
      <c r="H1264" s="107"/>
      <c r="I1264" s="107"/>
      <c r="J1264" s="107"/>
      <c r="K1264" s="107"/>
      <c r="L1264" s="107"/>
      <c r="M1264" s="107"/>
      <c r="N1264" s="107"/>
      <c r="O1264" s="107"/>
      <c r="P1264" s="107"/>
    </row>
    <row r="1265" spans="1:16" x14ac:dyDescent="0.3">
      <c r="A1265" s="58" t="str">
        <f t="shared" si="80"/>
        <v>A071050</v>
      </c>
      <c r="B1265" s="59" t="str">
        <f t="shared" si="77"/>
        <v/>
      </c>
      <c r="C1265" s="59" t="str">
        <f t="shared" si="78"/>
        <v/>
      </c>
      <c r="D1265" s="109" t="str">
        <f t="shared" si="79"/>
        <v/>
      </c>
      <c r="E1265" s="106" t="s">
        <v>1258</v>
      </c>
      <c r="F1265" s="58" t="s">
        <v>2692</v>
      </c>
      <c r="G1265" s="106">
        <v>3</v>
      </c>
      <c r="H1265" s="107"/>
      <c r="I1265" s="107"/>
      <c r="J1265" s="107"/>
      <c r="K1265" s="107"/>
      <c r="L1265" s="107"/>
      <c r="M1265" s="107"/>
      <c r="N1265" s="107"/>
      <c r="O1265" s="107"/>
      <c r="P1265" s="107"/>
    </row>
    <row r="1266" spans="1:16" x14ac:dyDescent="0.3">
      <c r="A1266" s="58" t="str">
        <f t="shared" si="80"/>
        <v>A071090</v>
      </c>
      <c r="B1266" s="59" t="str">
        <f t="shared" si="77"/>
        <v/>
      </c>
      <c r="C1266" s="59" t="str">
        <f t="shared" si="78"/>
        <v/>
      </c>
      <c r="D1266" s="109" t="str">
        <f t="shared" si="79"/>
        <v/>
      </c>
      <c r="E1266" s="106" t="s">
        <v>1259</v>
      </c>
      <c r="F1266" s="58" t="s">
        <v>2693</v>
      </c>
      <c r="G1266" s="106">
        <v>12</v>
      </c>
      <c r="H1266" s="107"/>
      <c r="I1266" s="107"/>
      <c r="J1266" s="107"/>
      <c r="K1266" s="107"/>
      <c r="L1266" s="107"/>
      <c r="M1266" s="107"/>
      <c r="N1266" s="107"/>
      <c r="O1266" s="107"/>
      <c r="P1266" s="107"/>
    </row>
    <row r="1267" spans="1:16" x14ac:dyDescent="0.3">
      <c r="A1267" s="58" t="str">
        <f t="shared" si="80"/>
        <v>A071200</v>
      </c>
      <c r="B1267" s="59" t="str">
        <f t="shared" si="77"/>
        <v/>
      </c>
      <c r="C1267" s="59" t="str">
        <f t="shared" si="78"/>
        <v/>
      </c>
      <c r="D1267" s="109" t="str">
        <f t="shared" si="79"/>
        <v/>
      </c>
      <c r="E1267" s="106" t="s">
        <v>3168</v>
      </c>
      <c r="F1267" s="58" t="s">
        <v>3370</v>
      </c>
      <c r="G1267" s="106">
        <v>12</v>
      </c>
      <c r="H1267" s="107"/>
      <c r="I1267" s="107"/>
      <c r="J1267" s="107"/>
      <c r="K1267" s="107"/>
      <c r="L1267" s="107"/>
      <c r="M1267" s="107"/>
      <c r="N1267" s="107"/>
      <c r="O1267" s="107"/>
      <c r="P1267" s="107"/>
    </row>
    <row r="1268" spans="1:16" x14ac:dyDescent="0.3">
      <c r="A1268" s="58" t="str">
        <f t="shared" si="80"/>
        <v>A071280</v>
      </c>
      <c r="B1268" s="59" t="str">
        <f t="shared" si="77"/>
        <v/>
      </c>
      <c r="C1268" s="59" t="str">
        <f t="shared" si="78"/>
        <v/>
      </c>
      <c r="D1268" s="109" t="str">
        <f t="shared" si="79"/>
        <v/>
      </c>
      <c r="E1268" s="106" t="s">
        <v>1260</v>
      </c>
      <c r="F1268" s="58" t="s">
        <v>2694</v>
      </c>
      <c r="G1268" s="106">
        <v>12</v>
      </c>
      <c r="H1268" s="107"/>
      <c r="I1268" s="107"/>
      <c r="J1268" s="107"/>
      <c r="K1268" s="107"/>
      <c r="L1268" s="107"/>
      <c r="M1268" s="107"/>
      <c r="N1268" s="107"/>
      <c r="O1268" s="107"/>
      <c r="P1268" s="107"/>
    </row>
    <row r="1269" spans="1:16" x14ac:dyDescent="0.3">
      <c r="A1269" s="58" t="str">
        <f t="shared" si="80"/>
        <v>A071320</v>
      </c>
      <c r="B1269" s="59" t="str">
        <f t="shared" si="77"/>
        <v/>
      </c>
      <c r="C1269" s="59" t="str">
        <f t="shared" si="78"/>
        <v/>
      </c>
      <c r="D1269" s="109" t="str">
        <f t="shared" si="79"/>
        <v/>
      </c>
      <c r="E1269" s="106" t="s">
        <v>3169</v>
      </c>
      <c r="F1269" s="58" t="s">
        <v>3371</v>
      </c>
      <c r="G1269" s="106">
        <v>12</v>
      </c>
      <c r="H1269" s="107"/>
      <c r="I1269" s="107"/>
      <c r="J1269" s="107"/>
      <c r="K1269" s="107"/>
      <c r="L1269" s="107"/>
      <c r="M1269" s="107"/>
      <c r="N1269" s="107"/>
      <c r="O1269" s="107"/>
      <c r="P1269" s="107"/>
    </row>
    <row r="1270" spans="1:16" x14ac:dyDescent="0.3">
      <c r="A1270" s="58" t="str">
        <f t="shared" si="80"/>
        <v>A071670</v>
      </c>
      <c r="B1270" s="59" t="str">
        <f t="shared" si="77"/>
        <v/>
      </c>
      <c r="C1270" s="59" t="str">
        <f t="shared" si="78"/>
        <v/>
      </c>
      <c r="D1270" s="109" t="str">
        <f t="shared" si="79"/>
        <v/>
      </c>
      <c r="E1270" s="106" t="s">
        <v>1261</v>
      </c>
      <c r="F1270" s="58" t="s">
        <v>2695</v>
      </c>
      <c r="G1270" s="106">
        <v>12</v>
      </c>
      <c r="H1270" s="107"/>
      <c r="I1270" s="107"/>
      <c r="J1270" s="107"/>
      <c r="K1270" s="107"/>
      <c r="L1270" s="107"/>
      <c r="M1270" s="107"/>
      <c r="N1270" s="107"/>
      <c r="O1270" s="107"/>
      <c r="P1270" s="107"/>
    </row>
    <row r="1271" spans="1:16" x14ac:dyDescent="0.3">
      <c r="A1271" s="58" t="str">
        <f t="shared" si="80"/>
        <v>A071840</v>
      </c>
      <c r="B1271" s="59">
        <f t="shared" si="77"/>
        <v>41494</v>
      </c>
      <c r="C1271" s="59" t="str">
        <f t="shared" si="78"/>
        <v/>
      </c>
      <c r="D1271" s="109" t="str">
        <f t="shared" si="79"/>
        <v/>
      </c>
      <c r="E1271" s="106" t="s">
        <v>3170</v>
      </c>
      <c r="F1271" s="58" t="s">
        <v>3532</v>
      </c>
      <c r="G1271" s="106">
        <v>12</v>
      </c>
      <c r="H1271" s="107">
        <v>20130808</v>
      </c>
      <c r="I1271" s="107"/>
      <c r="J1271" s="107"/>
      <c r="K1271" s="107"/>
      <c r="L1271" s="107"/>
      <c r="M1271" s="107"/>
      <c r="N1271" s="107"/>
      <c r="O1271" s="107"/>
      <c r="P1271" s="107"/>
    </row>
    <row r="1272" spans="1:16" x14ac:dyDescent="0.3">
      <c r="A1272" s="58" t="str">
        <f t="shared" si="80"/>
        <v>A071930</v>
      </c>
      <c r="B1272" s="59" t="str">
        <f t="shared" si="77"/>
        <v/>
      </c>
      <c r="C1272" s="59" t="str">
        <f t="shared" si="78"/>
        <v/>
      </c>
      <c r="D1272" s="109" t="str">
        <f t="shared" si="79"/>
        <v/>
      </c>
      <c r="E1272" s="106" t="s">
        <v>1262</v>
      </c>
      <c r="F1272" s="58" t="s">
        <v>2696</v>
      </c>
      <c r="G1272" s="106">
        <v>12</v>
      </c>
      <c r="H1272" s="107"/>
      <c r="I1272" s="107"/>
      <c r="J1272" s="107"/>
      <c r="K1272" s="107"/>
      <c r="L1272" s="107"/>
      <c r="M1272" s="107"/>
      <c r="N1272" s="107"/>
      <c r="O1272" s="107"/>
      <c r="P1272" s="107"/>
    </row>
    <row r="1273" spans="1:16" x14ac:dyDescent="0.3">
      <c r="A1273" s="58" t="str">
        <f t="shared" si="80"/>
        <v>A071950</v>
      </c>
      <c r="B1273" s="59" t="str">
        <f t="shared" si="77"/>
        <v/>
      </c>
      <c r="C1273" s="59" t="str">
        <f t="shared" si="78"/>
        <v/>
      </c>
      <c r="D1273" s="109" t="str">
        <f t="shared" si="79"/>
        <v/>
      </c>
      <c r="E1273" s="106" t="s">
        <v>1263</v>
      </c>
      <c r="F1273" s="58" t="s">
        <v>2697</v>
      </c>
      <c r="G1273" s="106">
        <v>12</v>
      </c>
      <c r="H1273" s="107"/>
      <c r="I1273" s="107"/>
      <c r="J1273" s="107"/>
      <c r="K1273" s="107"/>
      <c r="L1273" s="107"/>
      <c r="M1273" s="107"/>
      <c r="N1273" s="107"/>
      <c r="O1273" s="107"/>
      <c r="P1273" s="107"/>
    </row>
    <row r="1274" spans="1:16" x14ac:dyDescent="0.3">
      <c r="A1274" s="58" t="str">
        <f t="shared" si="80"/>
        <v>A071970</v>
      </c>
      <c r="B1274" s="59" t="str">
        <f t="shared" si="77"/>
        <v/>
      </c>
      <c r="C1274" s="59" t="str">
        <f t="shared" si="78"/>
        <v/>
      </c>
      <c r="D1274" s="109" t="str">
        <f t="shared" si="79"/>
        <v/>
      </c>
      <c r="E1274" s="106" t="s">
        <v>1264</v>
      </c>
      <c r="F1274" s="58" t="s">
        <v>3595</v>
      </c>
      <c r="G1274" s="106">
        <v>12</v>
      </c>
      <c r="H1274" s="107"/>
      <c r="I1274" s="107"/>
      <c r="J1274" s="107"/>
      <c r="K1274" s="107"/>
      <c r="L1274" s="107"/>
      <c r="M1274" s="107"/>
      <c r="N1274" s="107"/>
      <c r="O1274" s="107"/>
      <c r="P1274" s="107"/>
    </row>
    <row r="1275" spans="1:16" x14ac:dyDescent="0.3">
      <c r="A1275" s="58" t="str">
        <f t="shared" si="80"/>
        <v>A072020</v>
      </c>
      <c r="B1275" s="59" t="str">
        <f t="shared" si="77"/>
        <v/>
      </c>
      <c r="C1275" s="59" t="str">
        <f t="shared" si="78"/>
        <v/>
      </c>
      <c r="D1275" s="109" t="str">
        <f t="shared" si="79"/>
        <v/>
      </c>
      <c r="E1275" s="106" t="s">
        <v>1265</v>
      </c>
      <c r="F1275" s="58" t="s">
        <v>2698</v>
      </c>
      <c r="G1275" s="106">
        <v>12</v>
      </c>
      <c r="H1275" s="107"/>
      <c r="I1275" s="107"/>
      <c r="J1275" s="107"/>
      <c r="K1275" s="107"/>
      <c r="L1275" s="107"/>
      <c r="M1275" s="107"/>
      <c r="N1275" s="107"/>
      <c r="O1275" s="107"/>
      <c r="P1275" s="107"/>
    </row>
    <row r="1276" spans="1:16" x14ac:dyDescent="0.3">
      <c r="A1276" s="58" t="str">
        <f t="shared" si="80"/>
        <v>A072130</v>
      </c>
      <c r="B1276" s="59" t="str">
        <f t="shared" si="77"/>
        <v/>
      </c>
      <c r="C1276" s="59" t="str">
        <f t="shared" si="78"/>
        <v/>
      </c>
      <c r="D1276" s="109" t="str">
        <f t="shared" si="79"/>
        <v/>
      </c>
      <c r="E1276" s="106" t="s">
        <v>1266</v>
      </c>
      <c r="F1276" s="58" t="s">
        <v>2699</v>
      </c>
      <c r="G1276" s="106">
        <v>12</v>
      </c>
      <c r="H1276" s="107"/>
      <c r="I1276" s="107"/>
      <c r="J1276" s="107"/>
      <c r="K1276" s="107"/>
      <c r="L1276" s="107"/>
      <c r="M1276" s="107"/>
      <c r="N1276" s="107"/>
      <c r="O1276" s="107"/>
      <c r="P1276" s="107"/>
    </row>
    <row r="1277" spans="1:16" x14ac:dyDescent="0.3">
      <c r="A1277" s="58" t="str">
        <f t="shared" si="80"/>
        <v>A072470</v>
      </c>
      <c r="B1277" s="59" t="str">
        <f t="shared" si="77"/>
        <v/>
      </c>
      <c r="C1277" s="59" t="str">
        <f t="shared" si="78"/>
        <v/>
      </c>
      <c r="D1277" s="109" t="str">
        <f t="shared" si="79"/>
        <v/>
      </c>
      <c r="E1277" s="106" t="s">
        <v>1267</v>
      </c>
      <c r="F1277" s="58" t="s">
        <v>2700</v>
      </c>
      <c r="G1277" s="106">
        <v>12</v>
      </c>
      <c r="H1277" s="107"/>
      <c r="I1277" s="107"/>
      <c r="J1277" s="107"/>
      <c r="K1277" s="107"/>
      <c r="L1277" s="107"/>
      <c r="M1277" s="107"/>
      <c r="N1277" s="107"/>
      <c r="O1277" s="107"/>
      <c r="P1277" s="107"/>
    </row>
    <row r="1278" spans="1:16" x14ac:dyDescent="0.3">
      <c r="A1278" s="58" t="str">
        <f t="shared" si="80"/>
        <v>A072520</v>
      </c>
      <c r="B1278" s="59" t="str">
        <f t="shared" si="77"/>
        <v/>
      </c>
      <c r="C1278" s="59" t="str">
        <f t="shared" si="78"/>
        <v/>
      </c>
      <c r="D1278" s="109" t="str">
        <f t="shared" si="79"/>
        <v/>
      </c>
      <c r="E1278" s="106" t="s">
        <v>1268</v>
      </c>
      <c r="F1278" s="58" t="s">
        <v>2701</v>
      </c>
      <c r="G1278" s="106">
        <v>12</v>
      </c>
      <c r="H1278" s="107"/>
      <c r="I1278" s="107"/>
      <c r="J1278" s="107"/>
      <c r="K1278" s="107"/>
      <c r="L1278" s="107"/>
      <c r="M1278" s="107"/>
      <c r="N1278" s="107"/>
      <c r="O1278" s="107"/>
      <c r="P1278" s="107"/>
    </row>
    <row r="1279" spans="1:16" x14ac:dyDescent="0.3">
      <c r="A1279" s="58" t="str">
        <f t="shared" si="80"/>
        <v>A072710</v>
      </c>
      <c r="B1279" s="59" t="str">
        <f t="shared" si="77"/>
        <v/>
      </c>
      <c r="C1279" s="59" t="str">
        <f t="shared" si="78"/>
        <v/>
      </c>
      <c r="D1279" s="109" t="str">
        <f t="shared" si="79"/>
        <v/>
      </c>
      <c r="E1279" s="106" t="s">
        <v>1269</v>
      </c>
      <c r="F1279" s="58" t="s">
        <v>2702</v>
      </c>
      <c r="G1279" s="106">
        <v>12</v>
      </c>
      <c r="H1279" s="107"/>
      <c r="I1279" s="107"/>
      <c r="J1279" s="107"/>
      <c r="K1279" s="107"/>
      <c r="L1279" s="107"/>
      <c r="M1279" s="107"/>
      <c r="N1279" s="107"/>
      <c r="O1279" s="107"/>
      <c r="P1279" s="107"/>
    </row>
    <row r="1280" spans="1:16" x14ac:dyDescent="0.3">
      <c r="A1280" s="58" t="str">
        <f t="shared" si="80"/>
        <v>A072770</v>
      </c>
      <c r="B1280" s="59" t="str">
        <f t="shared" si="77"/>
        <v/>
      </c>
      <c r="C1280" s="59" t="str">
        <f t="shared" si="78"/>
        <v/>
      </c>
      <c r="D1280" s="109" t="str">
        <f t="shared" si="79"/>
        <v/>
      </c>
      <c r="E1280" s="106" t="s">
        <v>1270</v>
      </c>
      <c r="F1280" s="58" t="s">
        <v>2703</v>
      </c>
      <c r="G1280" s="106">
        <v>12</v>
      </c>
      <c r="H1280" s="107"/>
      <c r="I1280" s="107"/>
      <c r="J1280" s="107"/>
      <c r="K1280" s="107"/>
      <c r="L1280" s="107"/>
      <c r="M1280" s="107"/>
      <c r="N1280" s="107"/>
      <c r="O1280" s="107"/>
      <c r="P1280" s="107"/>
    </row>
    <row r="1281" spans="1:16" x14ac:dyDescent="0.3">
      <c r="A1281" s="58" t="str">
        <f t="shared" si="80"/>
        <v>A072870</v>
      </c>
      <c r="B1281" s="59" t="str">
        <f t="shared" si="77"/>
        <v/>
      </c>
      <c r="C1281" s="59" t="str">
        <f t="shared" si="78"/>
        <v/>
      </c>
      <c r="D1281" s="109" t="str">
        <f t="shared" si="79"/>
        <v/>
      </c>
      <c r="E1281" s="106" t="s">
        <v>1271</v>
      </c>
      <c r="F1281" s="58" t="s">
        <v>2704</v>
      </c>
      <c r="G1281" s="106">
        <v>12</v>
      </c>
      <c r="H1281" s="107"/>
      <c r="I1281" s="107"/>
      <c r="J1281" s="107"/>
      <c r="K1281" s="107"/>
      <c r="L1281" s="107"/>
      <c r="M1281" s="107"/>
      <c r="N1281" s="107"/>
      <c r="O1281" s="107"/>
      <c r="P1281" s="107"/>
    </row>
    <row r="1282" spans="1:16" x14ac:dyDescent="0.3">
      <c r="A1282" s="58" t="str">
        <f t="shared" si="80"/>
        <v>A072950</v>
      </c>
      <c r="B1282" s="59" t="str">
        <f t="shared" si="77"/>
        <v/>
      </c>
      <c r="C1282" s="59" t="str">
        <f t="shared" si="78"/>
        <v/>
      </c>
      <c r="D1282" s="109" t="str">
        <f t="shared" si="79"/>
        <v/>
      </c>
      <c r="E1282" s="106" t="s">
        <v>3171</v>
      </c>
      <c r="F1282" s="58" t="s">
        <v>3372</v>
      </c>
      <c r="G1282" s="106">
        <v>12</v>
      </c>
      <c r="H1282" s="107"/>
      <c r="I1282" s="107"/>
      <c r="J1282" s="107"/>
      <c r="K1282" s="107"/>
      <c r="L1282" s="107"/>
      <c r="M1282" s="107"/>
      <c r="N1282" s="107"/>
      <c r="O1282" s="107"/>
      <c r="P1282" s="107"/>
    </row>
    <row r="1283" spans="1:16" x14ac:dyDescent="0.3">
      <c r="A1283" s="58" t="str">
        <f t="shared" si="80"/>
        <v>A073010</v>
      </c>
      <c r="B1283" s="59" t="str">
        <f t="shared" si="77"/>
        <v/>
      </c>
      <c r="C1283" s="59" t="str">
        <f t="shared" si="78"/>
        <v/>
      </c>
      <c r="D1283" s="109" t="str">
        <f t="shared" si="79"/>
        <v/>
      </c>
      <c r="E1283" s="106" t="s">
        <v>1272</v>
      </c>
      <c r="F1283" s="58" t="s">
        <v>2705</v>
      </c>
      <c r="G1283" s="106">
        <v>12</v>
      </c>
      <c r="H1283" s="107"/>
      <c r="I1283" s="107"/>
      <c r="J1283" s="107"/>
      <c r="K1283" s="107"/>
      <c r="L1283" s="107"/>
      <c r="M1283" s="107"/>
      <c r="N1283" s="107"/>
      <c r="O1283" s="107"/>
      <c r="P1283" s="107"/>
    </row>
    <row r="1284" spans="1:16" x14ac:dyDescent="0.3">
      <c r="A1284" s="58" t="str">
        <f t="shared" si="80"/>
        <v>A073070</v>
      </c>
      <c r="B1284" s="59" t="str">
        <f t="shared" si="77"/>
        <v/>
      </c>
      <c r="C1284" s="59" t="str">
        <f t="shared" si="78"/>
        <v/>
      </c>
      <c r="D1284" s="109" t="str">
        <f t="shared" si="79"/>
        <v/>
      </c>
      <c r="E1284" s="106" t="s">
        <v>1273</v>
      </c>
      <c r="F1284" s="58" t="s">
        <v>2706</v>
      </c>
      <c r="G1284" s="106">
        <v>12</v>
      </c>
      <c r="H1284" s="107"/>
      <c r="I1284" s="107"/>
      <c r="J1284" s="107"/>
      <c r="K1284" s="107"/>
      <c r="L1284" s="107"/>
      <c r="M1284" s="107"/>
      <c r="N1284" s="107"/>
      <c r="O1284" s="107"/>
      <c r="P1284" s="107"/>
    </row>
    <row r="1285" spans="1:16" x14ac:dyDescent="0.3">
      <c r="A1285" s="58" t="str">
        <f t="shared" si="80"/>
        <v>A073110</v>
      </c>
      <c r="B1285" s="59" t="str">
        <f t="shared" si="77"/>
        <v/>
      </c>
      <c r="C1285" s="59" t="str">
        <f t="shared" si="78"/>
        <v/>
      </c>
      <c r="D1285" s="109" t="str">
        <f t="shared" si="79"/>
        <v/>
      </c>
      <c r="E1285" s="106" t="s">
        <v>1274</v>
      </c>
      <c r="F1285" s="58" t="s">
        <v>2707</v>
      </c>
      <c r="G1285" s="106">
        <v>12</v>
      </c>
      <c r="H1285" s="107"/>
      <c r="I1285" s="107"/>
      <c r="J1285" s="107"/>
      <c r="K1285" s="107"/>
      <c r="L1285" s="107"/>
      <c r="M1285" s="107"/>
      <c r="N1285" s="107"/>
      <c r="O1285" s="107"/>
      <c r="P1285" s="107"/>
    </row>
    <row r="1286" spans="1:16" x14ac:dyDescent="0.3">
      <c r="A1286" s="58" t="str">
        <f t="shared" si="80"/>
        <v>A073190</v>
      </c>
      <c r="B1286" s="59" t="str">
        <f t="shared" si="77"/>
        <v/>
      </c>
      <c r="C1286" s="59" t="str">
        <f t="shared" si="78"/>
        <v/>
      </c>
      <c r="D1286" s="109" t="str">
        <f t="shared" si="79"/>
        <v/>
      </c>
      <c r="E1286" s="106" t="s">
        <v>1275</v>
      </c>
      <c r="F1286" s="58" t="s">
        <v>2708</v>
      </c>
      <c r="G1286" s="106">
        <v>12</v>
      </c>
      <c r="H1286" s="107"/>
      <c r="I1286" s="107"/>
      <c r="J1286" s="107"/>
      <c r="K1286" s="107"/>
      <c r="L1286" s="107"/>
      <c r="M1286" s="107"/>
      <c r="N1286" s="107"/>
      <c r="O1286" s="107"/>
      <c r="P1286" s="107"/>
    </row>
    <row r="1287" spans="1:16" x14ac:dyDescent="0.3">
      <c r="A1287" s="58" t="str">
        <f t="shared" si="80"/>
        <v>A073240</v>
      </c>
      <c r="B1287" s="59" t="str">
        <f t="shared" si="77"/>
        <v/>
      </c>
      <c r="C1287" s="59" t="str">
        <f t="shared" si="78"/>
        <v/>
      </c>
      <c r="D1287" s="109" t="str">
        <f t="shared" si="79"/>
        <v/>
      </c>
      <c r="E1287" s="106" t="s">
        <v>1276</v>
      </c>
      <c r="F1287" s="58" t="s">
        <v>2709</v>
      </c>
      <c r="G1287" s="106">
        <v>12</v>
      </c>
      <c r="H1287" s="107"/>
      <c r="I1287" s="107"/>
      <c r="J1287" s="107"/>
      <c r="K1287" s="107"/>
      <c r="L1287" s="107"/>
      <c r="M1287" s="107"/>
      <c r="N1287" s="107"/>
      <c r="O1287" s="107"/>
      <c r="P1287" s="107"/>
    </row>
    <row r="1288" spans="1:16" x14ac:dyDescent="0.3">
      <c r="A1288" s="58" t="str">
        <f t="shared" si="80"/>
        <v>A073490</v>
      </c>
      <c r="B1288" s="59" t="str">
        <f t="shared" si="77"/>
        <v/>
      </c>
      <c r="C1288" s="59" t="str">
        <f t="shared" si="78"/>
        <v/>
      </c>
      <c r="D1288" s="109" t="str">
        <f t="shared" si="79"/>
        <v/>
      </c>
      <c r="E1288" s="106" t="s">
        <v>1277</v>
      </c>
      <c r="F1288" s="58" t="s">
        <v>3650</v>
      </c>
      <c r="G1288" s="106">
        <v>12</v>
      </c>
      <c r="H1288" s="107"/>
      <c r="I1288" s="107"/>
      <c r="J1288" s="107"/>
      <c r="K1288" s="107"/>
      <c r="L1288" s="107"/>
      <c r="M1288" s="107"/>
      <c r="N1288" s="107"/>
      <c r="O1288" s="107"/>
      <c r="P1288" s="107"/>
    </row>
    <row r="1289" spans="1:16" x14ac:dyDescent="0.3">
      <c r="A1289" s="58" t="str">
        <f t="shared" si="80"/>
        <v>A073540</v>
      </c>
      <c r="B1289" s="59" t="str">
        <f t="shared" si="77"/>
        <v/>
      </c>
      <c r="C1289" s="59" t="str">
        <f t="shared" si="78"/>
        <v/>
      </c>
      <c r="D1289" s="109" t="str">
        <f t="shared" si="79"/>
        <v/>
      </c>
      <c r="E1289" s="106" t="s">
        <v>1278</v>
      </c>
      <c r="F1289" s="58" t="s">
        <v>2710</v>
      </c>
      <c r="G1289" s="106">
        <v>12</v>
      </c>
      <c r="H1289" s="107"/>
      <c r="I1289" s="107"/>
      <c r="J1289" s="107"/>
      <c r="K1289" s="107"/>
      <c r="L1289" s="107"/>
      <c r="M1289" s="107"/>
      <c r="N1289" s="107"/>
      <c r="O1289" s="107"/>
      <c r="P1289" s="107"/>
    </row>
    <row r="1290" spans="1:16" x14ac:dyDescent="0.3">
      <c r="A1290" s="58" t="str">
        <f t="shared" si="80"/>
        <v>A073570</v>
      </c>
      <c r="B1290" s="59" t="str">
        <f t="shared" si="77"/>
        <v/>
      </c>
      <c r="C1290" s="59" t="str">
        <f t="shared" si="78"/>
        <v/>
      </c>
      <c r="D1290" s="109" t="str">
        <f t="shared" si="79"/>
        <v/>
      </c>
      <c r="E1290" s="106" t="s">
        <v>1279</v>
      </c>
      <c r="F1290" s="58" t="s">
        <v>2711</v>
      </c>
      <c r="G1290" s="106">
        <v>12</v>
      </c>
      <c r="H1290" s="107"/>
      <c r="I1290" s="107"/>
      <c r="J1290" s="107"/>
      <c r="K1290" s="107"/>
      <c r="L1290" s="107"/>
      <c r="M1290" s="107"/>
      <c r="N1290" s="107"/>
      <c r="O1290" s="107"/>
      <c r="P1290" s="107"/>
    </row>
    <row r="1291" spans="1:16" x14ac:dyDescent="0.3">
      <c r="A1291" s="58" t="str">
        <f t="shared" si="80"/>
        <v>A073640</v>
      </c>
      <c r="B1291" s="59" t="str">
        <f t="shared" si="77"/>
        <v/>
      </c>
      <c r="C1291" s="59" t="str">
        <f t="shared" si="78"/>
        <v/>
      </c>
      <c r="D1291" s="109" t="str">
        <f t="shared" si="79"/>
        <v/>
      </c>
      <c r="E1291" s="106" t="s">
        <v>1280</v>
      </c>
      <c r="F1291" s="58" t="s">
        <v>2712</v>
      </c>
      <c r="G1291" s="106">
        <v>12</v>
      </c>
      <c r="H1291" s="107"/>
      <c r="I1291" s="107"/>
      <c r="J1291" s="107"/>
      <c r="K1291" s="107"/>
      <c r="L1291" s="107"/>
      <c r="M1291" s="107"/>
      <c r="N1291" s="107"/>
      <c r="O1291" s="107"/>
      <c r="P1291" s="107"/>
    </row>
    <row r="1292" spans="1:16" x14ac:dyDescent="0.3">
      <c r="A1292" s="58" t="str">
        <f t="shared" si="80"/>
        <v>A073930</v>
      </c>
      <c r="B1292" s="59" t="str">
        <f t="shared" si="77"/>
        <v/>
      </c>
      <c r="C1292" s="59" t="str">
        <f t="shared" si="78"/>
        <v/>
      </c>
      <c r="D1292" s="109" t="str">
        <f t="shared" si="79"/>
        <v/>
      </c>
      <c r="E1292" s="106" t="s">
        <v>1281</v>
      </c>
      <c r="F1292" s="58" t="s">
        <v>2713</v>
      </c>
      <c r="G1292" s="106">
        <v>3</v>
      </c>
      <c r="H1292" s="107"/>
      <c r="I1292" s="107"/>
      <c r="J1292" s="107"/>
      <c r="K1292" s="107"/>
      <c r="L1292" s="107"/>
      <c r="M1292" s="107"/>
      <c r="N1292" s="107"/>
      <c r="O1292" s="107"/>
      <c r="P1292" s="107"/>
    </row>
    <row r="1293" spans="1:16" x14ac:dyDescent="0.3">
      <c r="A1293" s="58" t="str">
        <f t="shared" si="80"/>
        <v>A074000</v>
      </c>
      <c r="B1293" s="59" t="str">
        <f t="shared" si="77"/>
        <v/>
      </c>
      <c r="C1293" s="59" t="str">
        <f t="shared" si="78"/>
        <v/>
      </c>
      <c r="D1293" s="109" t="str">
        <f t="shared" si="79"/>
        <v/>
      </c>
      <c r="E1293" s="106" t="s">
        <v>1282</v>
      </c>
      <c r="F1293" s="58" t="s">
        <v>2714</v>
      </c>
      <c r="G1293" s="106">
        <v>12</v>
      </c>
      <c r="H1293" s="107"/>
      <c r="I1293" s="107"/>
      <c r="J1293" s="107"/>
      <c r="K1293" s="107"/>
      <c r="L1293" s="107"/>
      <c r="M1293" s="107"/>
      <c r="N1293" s="107"/>
      <c r="O1293" s="107"/>
      <c r="P1293" s="107"/>
    </row>
    <row r="1294" spans="1:16" x14ac:dyDescent="0.3">
      <c r="A1294" s="58" t="str">
        <f t="shared" si="80"/>
        <v>A074130</v>
      </c>
      <c r="B1294" s="59" t="str">
        <f t="shared" si="77"/>
        <v/>
      </c>
      <c r="C1294" s="59" t="str">
        <f t="shared" si="78"/>
        <v/>
      </c>
      <c r="D1294" s="109" t="str">
        <f t="shared" si="79"/>
        <v/>
      </c>
      <c r="E1294" s="106" t="s">
        <v>1283</v>
      </c>
      <c r="F1294" s="58" t="s">
        <v>2715</v>
      </c>
      <c r="G1294" s="106">
        <v>12</v>
      </c>
      <c r="H1294" s="107"/>
      <c r="I1294" s="107"/>
      <c r="J1294" s="107"/>
      <c r="K1294" s="107"/>
      <c r="L1294" s="107"/>
      <c r="M1294" s="107"/>
      <c r="N1294" s="107"/>
      <c r="O1294" s="107"/>
      <c r="P1294" s="107"/>
    </row>
    <row r="1295" spans="1:16" x14ac:dyDescent="0.3">
      <c r="A1295" s="58" t="str">
        <f t="shared" si="80"/>
        <v>A074150</v>
      </c>
      <c r="B1295" s="59" t="str">
        <f t="shared" ref="B1295:B1358" si="81">IFERROR(IF(ISNUMBER(H1295),DATE(LEFT(H1295,4),MID(H1295,5,2),RIGHT(H1295,2)),NA()),"")</f>
        <v/>
      </c>
      <c r="C1295" s="59" t="str">
        <f t="shared" ref="C1295:C1358" si="82">IFERROR(IF(ISNUMBER(I1295),DATE(LEFT(I1295,4),MID(I1295,5,2),RIGHT(I1295,2)),NA()),"")</f>
        <v/>
      </c>
      <c r="D1295" s="109" t="str">
        <f t="shared" ref="D1295:D1358" si="83">IFERROR(IF(ISNUMBER(J1295),J1295,NA()),"")</f>
        <v/>
      </c>
      <c r="E1295" s="106" t="s">
        <v>1284</v>
      </c>
      <c r="F1295" s="58" t="s">
        <v>2716</v>
      </c>
      <c r="G1295" s="106">
        <v>12</v>
      </c>
      <c r="H1295" s="107"/>
      <c r="I1295" s="107"/>
      <c r="J1295" s="107"/>
      <c r="K1295" s="107"/>
      <c r="L1295" s="107"/>
      <c r="M1295" s="107"/>
      <c r="N1295" s="107"/>
      <c r="O1295" s="107"/>
      <c r="P1295" s="107"/>
    </row>
    <row r="1296" spans="1:16" x14ac:dyDescent="0.3">
      <c r="A1296" s="58" t="str">
        <f t="shared" si="80"/>
        <v>A074430</v>
      </c>
      <c r="B1296" s="59" t="str">
        <f t="shared" si="81"/>
        <v/>
      </c>
      <c r="C1296" s="59" t="str">
        <f t="shared" si="82"/>
        <v/>
      </c>
      <c r="D1296" s="109" t="str">
        <f t="shared" si="83"/>
        <v/>
      </c>
      <c r="E1296" s="106" t="s">
        <v>1285</v>
      </c>
      <c r="F1296" s="58" t="s">
        <v>2717</v>
      </c>
      <c r="G1296" s="106">
        <v>12</v>
      </c>
      <c r="H1296" s="107"/>
      <c r="I1296" s="107"/>
      <c r="J1296" s="107"/>
      <c r="K1296" s="107"/>
      <c r="L1296" s="107"/>
      <c r="M1296" s="107"/>
      <c r="N1296" s="107"/>
      <c r="O1296" s="107"/>
      <c r="P1296" s="107"/>
    </row>
    <row r="1297" spans="1:16" x14ac:dyDescent="0.3">
      <c r="A1297" s="58" t="str">
        <f t="shared" si="80"/>
        <v>A074600</v>
      </c>
      <c r="B1297" s="59" t="str">
        <f t="shared" si="81"/>
        <v/>
      </c>
      <c r="C1297" s="59" t="str">
        <f t="shared" si="82"/>
        <v/>
      </c>
      <c r="D1297" s="109" t="str">
        <f t="shared" si="83"/>
        <v/>
      </c>
      <c r="E1297" s="106" t="s">
        <v>1286</v>
      </c>
      <c r="F1297" s="58" t="s">
        <v>3533</v>
      </c>
      <c r="G1297" s="106">
        <v>12</v>
      </c>
      <c r="H1297" s="107"/>
      <c r="I1297" s="107"/>
      <c r="J1297" s="107"/>
      <c r="K1297" s="107"/>
      <c r="L1297" s="107"/>
      <c r="M1297" s="107"/>
      <c r="N1297" s="107"/>
      <c r="O1297" s="107"/>
      <c r="P1297" s="107"/>
    </row>
    <row r="1298" spans="1:16" x14ac:dyDescent="0.3">
      <c r="A1298" s="58" t="str">
        <f t="shared" si="80"/>
        <v>A074610</v>
      </c>
      <c r="B1298" s="59" t="str">
        <f t="shared" si="81"/>
        <v/>
      </c>
      <c r="C1298" s="59" t="str">
        <f t="shared" si="82"/>
        <v/>
      </c>
      <c r="D1298" s="109" t="str">
        <f t="shared" si="83"/>
        <v/>
      </c>
      <c r="E1298" s="106" t="s">
        <v>1287</v>
      </c>
      <c r="F1298" s="58" t="s">
        <v>2718</v>
      </c>
      <c r="G1298" s="106">
        <v>12</v>
      </c>
      <c r="H1298" s="107"/>
      <c r="I1298" s="107"/>
      <c r="J1298" s="107"/>
      <c r="K1298" s="107"/>
      <c r="L1298" s="107"/>
      <c r="M1298" s="107"/>
      <c r="N1298" s="107"/>
      <c r="O1298" s="107"/>
      <c r="P1298" s="107"/>
    </row>
    <row r="1299" spans="1:16" x14ac:dyDescent="0.3">
      <c r="A1299" s="58" t="str">
        <f t="shared" si="80"/>
        <v>A075130</v>
      </c>
      <c r="B1299" s="59" t="str">
        <f t="shared" si="81"/>
        <v/>
      </c>
      <c r="C1299" s="59" t="str">
        <f t="shared" si="82"/>
        <v/>
      </c>
      <c r="D1299" s="109" t="str">
        <f t="shared" si="83"/>
        <v/>
      </c>
      <c r="E1299" s="106" t="s">
        <v>1288</v>
      </c>
      <c r="F1299" s="58" t="s">
        <v>2719</v>
      </c>
      <c r="G1299" s="106">
        <v>12</v>
      </c>
      <c r="H1299" s="107"/>
      <c r="I1299" s="107"/>
      <c r="J1299" s="107"/>
      <c r="K1299" s="107"/>
      <c r="L1299" s="107"/>
      <c r="M1299" s="107"/>
      <c r="N1299" s="107"/>
      <c r="O1299" s="107"/>
      <c r="P1299" s="107"/>
    </row>
    <row r="1300" spans="1:16" x14ac:dyDescent="0.3">
      <c r="A1300" s="58" t="str">
        <f t="shared" si="80"/>
        <v>A075180</v>
      </c>
      <c r="B1300" s="59" t="str">
        <f t="shared" si="81"/>
        <v/>
      </c>
      <c r="C1300" s="59" t="str">
        <f t="shared" si="82"/>
        <v/>
      </c>
      <c r="D1300" s="109" t="str">
        <f t="shared" si="83"/>
        <v/>
      </c>
      <c r="E1300" s="106" t="s">
        <v>1289</v>
      </c>
      <c r="F1300" s="58" t="s">
        <v>2720</v>
      </c>
      <c r="G1300" s="106">
        <v>12</v>
      </c>
      <c r="H1300" s="107"/>
      <c r="I1300" s="107"/>
      <c r="J1300" s="107"/>
      <c r="K1300" s="107"/>
      <c r="L1300" s="107"/>
      <c r="M1300" s="107"/>
      <c r="N1300" s="107"/>
      <c r="O1300" s="107"/>
      <c r="P1300" s="107"/>
    </row>
    <row r="1301" spans="1:16" x14ac:dyDescent="0.3">
      <c r="A1301" s="58" t="str">
        <f t="shared" si="80"/>
        <v>A075970</v>
      </c>
      <c r="B1301" s="59" t="str">
        <f t="shared" si="81"/>
        <v/>
      </c>
      <c r="C1301" s="59" t="str">
        <f t="shared" si="82"/>
        <v/>
      </c>
      <c r="D1301" s="109" t="str">
        <f t="shared" si="83"/>
        <v/>
      </c>
      <c r="E1301" s="106" t="s">
        <v>1290</v>
      </c>
      <c r="F1301" s="58" t="s">
        <v>2721</v>
      </c>
      <c r="G1301" s="106">
        <v>12</v>
      </c>
      <c r="H1301" s="107"/>
      <c r="I1301" s="107"/>
      <c r="J1301" s="107"/>
      <c r="K1301" s="107"/>
      <c r="L1301" s="107"/>
      <c r="M1301" s="107"/>
      <c r="N1301" s="107"/>
      <c r="O1301" s="107"/>
      <c r="P1301" s="107"/>
    </row>
    <row r="1302" spans="1:16" x14ac:dyDescent="0.3">
      <c r="A1302" s="58" t="str">
        <f t="shared" ref="A1302:A1365" si="84">E1302</f>
        <v>A076080</v>
      </c>
      <c r="B1302" s="59" t="str">
        <f t="shared" si="81"/>
        <v/>
      </c>
      <c r="C1302" s="59" t="str">
        <f t="shared" si="82"/>
        <v/>
      </c>
      <c r="D1302" s="109" t="str">
        <f t="shared" si="83"/>
        <v/>
      </c>
      <c r="E1302" s="106" t="s">
        <v>1291</v>
      </c>
      <c r="F1302" s="58" t="s">
        <v>2722</v>
      </c>
      <c r="G1302" s="106">
        <v>12</v>
      </c>
      <c r="H1302" s="107"/>
      <c r="I1302" s="107"/>
      <c r="J1302" s="107"/>
      <c r="K1302" s="107"/>
      <c r="L1302" s="107"/>
      <c r="M1302" s="107"/>
      <c r="N1302" s="107"/>
      <c r="O1302" s="107"/>
      <c r="P1302" s="107"/>
    </row>
    <row r="1303" spans="1:16" x14ac:dyDescent="0.3">
      <c r="A1303" s="58" t="str">
        <f t="shared" si="84"/>
        <v>A077280</v>
      </c>
      <c r="B1303" s="59" t="str">
        <f t="shared" si="81"/>
        <v/>
      </c>
      <c r="C1303" s="59" t="str">
        <f t="shared" si="82"/>
        <v/>
      </c>
      <c r="D1303" s="109" t="str">
        <f t="shared" si="83"/>
        <v/>
      </c>
      <c r="E1303" s="106" t="s">
        <v>1292</v>
      </c>
      <c r="F1303" s="58" t="s">
        <v>2723</v>
      </c>
      <c r="G1303" s="106">
        <v>12</v>
      </c>
      <c r="H1303" s="107"/>
      <c r="I1303" s="107"/>
      <c r="J1303" s="107"/>
      <c r="K1303" s="107"/>
      <c r="L1303" s="107"/>
      <c r="M1303" s="107"/>
      <c r="N1303" s="107"/>
      <c r="O1303" s="107"/>
      <c r="P1303" s="107"/>
    </row>
    <row r="1304" spans="1:16" x14ac:dyDescent="0.3">
      <c r="A1304" s="58" t="str">
        <f t="shared" si="84"/>
        <v>A077360</v>
      </c>
      <c r="B1304" s="59" t="str">
        <f t="shared" si="81"/>
        <v/>
      </c>
      <c r="C1304" s="59" t="str">
        <f t="shared" si="82"/>
        <v/>
      </c>
      <c r="D1304" s="109" t="str">
        <f t="shared" si="83"/>
        <v/>
      </c>
      <c r="E1304" s="106" t="s">
        <v>1293</v>
      </c>
      <c r="F1304" s="58" t="s">
        <v>2724</v>
      </c>
      <c r="G1304" s="106">
        <v>12</v>
      </c>
      <c r="H1304" s="107"/>
      <c r="I1304" s="107"/>
      <c r="J1304" s="107"/>
      <c r="K1304" s="107"/>
      <c r="L1304" s="107"/>
      <c r="M1304" s="107"/>
      <c r="N1304" s="107"/>
      <c r="O1304" s="107"/>
      <c r="P1304" s="107"/>
    </row>
    <row r="1305" spans="1:16" x14ac:dyDescent="0.3">
      <c r="A1305" s="58" t="str">
        <f t="shared" si="84"/>
        <v>A077500</v>
      </c>
      <c r="B1305" s="59" t="str">
        <f t="shared" si="81"/>
        <v/>
      </c>
      <c r="C1305" s="59" t="str">
        <f t="shared" si="82"/>
        <v/>
      </c>
      <c r="D1305" s="109" t="str">
        <f t="shared" si="83"/>
        <v/>
      </c>
      <c r="E1305" s="106" t="s">
        <v>1294</v>
      </c>
      <c r="F1305" s="58" t="s">
        <v>2725</v>
      </c>
      <c r="G1305" s="106">
        <v>12</v>
      </c>
      <c r="H1305" s="107"/>
      <c r="I1305" s="107"/>
      <c r="J1305" s="107"/>
      <c r="K1305" s="107"/>
      <c r="L1305" s="107"/>
      <c r="M1305" s="107"/>
      <c r="N1305" s="107"/>
      <c r="O1305" s="107"/>
      <c r="P1305" s="107"/>
    </row>
    <row r="1306" spans="1:16" x14ac:dyDescent="0.3">
      <c r="A1306" s="58" t="str">
        <f t="shared" si="84"/>
        <v>A077970</v>
      </c>
      <c r="B1306" s="59" t="str">
        <f t="shared" si="81"/>
        <v/>
      </c>
      <c r="C1306" s="59" t="str">
        <f t="shared" si="82"/>
        <v/>
      </c>
      <c r="D1306" s="109" t="str">
        <f t="shared" si="83"/>
        <v/>
      </c>
      <c r="E1306" s="106" t="s">
        <v>1295</v>
      </c>
      <c r="F1306" s="58" t="s">
        <v>2726</v>
      </c>
      <c r="G1306" s="106">
        <v>12</v>
      </c>
      <c r="H1306" s="107"/>
      <c r="I1306" s="107"/>
      <c r="J1306" s="107"/>
      <c r="K1306" s="107"/>
      <c r="L1306" s="107"/>
      <c r="M1306" s="107"/>
      <c r="N1306" s="107"/>
      <c r="O1306" s="107"/>
      <c r="P1306" s="107"/>
    </row>
    <row r="1307" spans="1:16" x14ac:dyDescent="0.3">
      <c r="A1307" s="58" t="str">
        <f t="shared" si="84"/>
        <v>A078000</v>
      </c>
      <c r="B1307" s="59" t="str">
        <f t="shared" si="81"/>
        <v/>
      </c>
      <c r="C1307" s="59" t="str">
        <f t="shared" si="82"/>
        <v/>
      </c>
      <c r="D1307" s="109" t="str">
        <f t="shared" si="83"/>
        <v/>
      </c>
      <c r="E1307" s="106" t="s">
        <v>1296</v>
      </c>
      <c r="F1307" s="58" t="s">
        <v>2727</v>
      </c>
      <c r="G1307" s="106">
        <v>12</v>
      </c>
      <c r="H1307" s="107"/>
      <c r="I1307" s="107"/>
      <c r="J1307" s="107"/>
      <c r="K1307" s="107"/>
      <c r="L1307" s="107"/>
      <c r="M1307" s="107"/>
      <c r="N1307" s="107"/>
      <c r="O1307" s="107"/>
      <c r="P1307" s="107"/>
    </row>
    <row r="1308" spans="1:16" x14ac:dyDescent="0.3">
      <c r="A1308" s="58" t="str">
        <f t="shared" si="84"/>
        <v>A078020</v>
      </c>
      <c r="B1308" s="59" t="str">
        <f t="shared" si="81"/>
        <v/>
      </c>
      <c r="C1308" s="59" t="str">
        <f t="shared" si="82"/>
        <v/>
      </c>
      <c r="D1308" s="109" t="str">
        <f t="shared" si="83"/>
        <v/>
      </c>
      <c r="E1308" s="106" t="s">
        <v>1297</v>
      </c>
      <c r="F1308" s="58" t="s">
        <v>2728</v>
      </c>
      <c r="G1308" s="106">
        <v>3</v>
      </c>
      <c r="H1308" s="107"/>
      <c r="I1308" s="107"/>
      <c r="J1308" s="107"/>
      <c r="K1308" s="107"/>
      <c r="L1308" s="107"/>
      <c r="M1308" s="107"/>
      <c r="N1308" s="107"/>
      <c r="O1308" s="107"/>
      <c r="P1308" s="107"/>
    </row>
    <row r="1309" spans="1:16" x14ac:dyDescent="0.3">
      <c r="A1309" s="58" t="str">
        <f t="shared" si="84"/>
        <v>A078070</v>
      </c>
      <c r="B1309" s="59" t="str">
        <f t="shared" si="81"/>
        <v/>
      </c>
      <c r="C1309" s="59" t="str">
        <f t="shared" si="82"/>
        <v/>
      </c>
      <c r="D1309" s="109" t="str">
        <f t="shared" si="83"/>
        <v/>
      </c>
      <c r="E1309" s="106" t="s">
        <v>1298</v>
      </c>
      <c r="F1309" s="58" t="s">
        <v>2729</v>
      </c>
      <c r="G1309" s="106">
        <v>12</v>
      </c>
      <c r="H1309" s="107"/>
      <c r="I1309" s="107"/>
      <c r="J1309" s="107"/>
      <c r="K1309" s="107"/>
      <c r="L1309" s="107"/>
      <c r="M1309" s="107"/>
      <c r="N1309" s="107"/>
      <c r="O1309" s="107"/>
      <c r="P1309" s="107"/>
    </row>
    <row r="1310" spans="1:16" x14ac:dyDescent="0.3">
      <c r="A1310" s="58" t="str">
        <f t="shared" si="84"/>
        <v>A078130</v>
      </c>
      <c r="B1310" s="59" t="str">
        <f t="shared" si="81"/>
        <v/>
      </c>
      <c r="C1310" s="59" t="str">
        <f t="shared" si="82"/>
        <v/>
      </c>
      <c r="D1310" s="109" t="str">
        <f t="shared" si="83"/>
        <v/>
      </c>
      <c r="E1310" s="106" t="s">
        <v>1299</v>
      </c>
      <c r="F1310" s="58" t="s">
        <v>2730</v>
      </c>
      <c r="G1310" s="106">
        <v>12</v>
      </c>
      <c r="H1310" s="107"/>
      <c r="I1310" s="107"/>
      <c r="J1310" s="107"/>
      <c r="K1310" s="107"/>
      <c r="L1310" s="107"/>
      <c r="M1310" s="107"/>
      <c r="N1310" s="107"/>
      <c r="O1310" s="107"/>
      <c r="P1310" s="107"/>
    </row>
    <row r="1311" spans="1:16" x14ac:dyDescent="0.3">
      <c r="A1311" s="58" t="str">
        <f t="shared" si="84"/>
        <v>A078140</v>
      </c>
      <c r="B1311" s="59" t="str">
        <f t="shared" si="81"/>
        <v/>
      </c>
      <c r="C1311" s="59" t="str">
        <f t="shared" si="82"/>
        <v/>
      </c>
      <c r="D1311" s="109" t="str">
        <f t="shared" si="83"/>
        <v/>
      </c>
      <c r="E1311" s="106" t="s">
        <v>1300</v>
      </c>
      <c r="F1311" s="58" t="s">
        <v>2731</v>
      </c>
      <c r="G1311" s="106">
        <v>12</v>
      </c>
      <c r="H1311" s="107"/>
      <c r="I1311" s="107"/>
      <c r="J1311" s="107"/>
      <c r="K1311" s="107"/>
      <c r="L1311" s="107"/>
      <c r="M1311" s="107"/>
      <c r="N1311" s="107"/>
      <c r="O1311" s="107"/>
      <c r="P1311" s="107"/>
    </row>
    <row r="1312" spans="1:16" x14ac:dyDescent="0.3">
      <c r="A1312" s="58" t="str">
        <f t="shared" si="84"/>
        <v>A078150</v>
      </c>
      <c r="B1312" s="59" t="str">
        <f t="shared" si="81"/>
        <v/>
      </c>
      <c r="C1312" s="59" t="str">
        <f t="shared" si="82"/>
        <v/>
      </c>
      <c r="D1312" s="109" t="str">
        <f t="shared" si="83"/>
        <v/>
      </c>
      <c r="E1312" s="106" t="s">
        <v>1301</v>
      </c>
      <c r="F1312" s="58" t="s">
        <v>2732</v>
      </c>
      <c r="G1312" s="106">
        <v>12</v>
      </c>
      <c r="H1312" s="107"/>
      <c r="I1312" s="107"/>
      <c r="J1312" s="107"/>
      <c r="K1312" s="107"/>
      <c r="L1312" s="107"/>
      <c r="M1312" s="107"/>
      <c r="N1312" s="107"/>
      <c r="O1312" s="107"/>
      <c r="P1312" s="107"/>
    </row>
    <row r="1313" spans="1:16" x14ac:dyDescent="0.3">
      <c r="A1313" s="58" t="str">
        <f t="shared" si="84"/>
        <v>A078160</v>
      </c>
      <c r="B1313" s="59" t="str">
        <f t="shared" si="81"/>
        <v/>
      </c>
      <c r="C1313" s="59" t="str">
        <f t="shared" si="82"/>
        <v/>
      </c>
      <c r="D1313" s="109" t="str">
        <f t="shared" si="83"/>
        <v/>
      </c>
      <c r="E1313" s="106" t="s">
        <v>1302</v>
      </c>
      <c r="F1313" s="58" t="s">
        <v>2733</v>
      </c>
      <c r="G1313" s="106">
        <v>12</v>
      </c>
      <c r="H1313" s="107"/>
      <c r="I1313" s="107"/>
      <c r="J1313" s="107"/>
      <c r="K1313" s="107"/>
      <c r="L1313" s="107"/>
      <c r="M1313" s="107"/>
      <c r="N1313" s="107"/>
      <c r="O1313" s="107"/>
      <c r="P1313" s="107"/>
    </row>
    <row r="1314" spans="1:16" x14ac:dyDescent="0.3">
      <c r="A1314" s="58" t="str">
        <f t="shared" si="84"/>
        <v>A078340</v>
      </c>
      <c r="B1314" s="59">
        <f t="shared" si="81"/>
        <v>41488</v>
      </c>
      <c r="C1314" s="59" t="str">
        <f t="shared" si="82"/>
        <v/>
      </c>
      <c r="D1314" s="109" t="str">
        <f t="shared" si="83"/>
        <v/>
      </c>
      <c r="E1314" s="106" t="s">
        <v>1303</v>
      </c>
      <c r="F1314" s="58" t="s">
        <v>2734</v>
      </c>
      <c r="G1314" s="106">
        <v>12</v>
      </c>
      <c r="H1314" s="107">
        <v>20130802</v>
      </c>
      <c r="I1314" s="107"/>
      <c r="J1314" s="107"/>
      <c r="K1314" s="107"/>
      <c r="L1314" s="107"/>
      <c r="M1314" s="107"/>
      <c r="N1314" s="107"/>
      <c r="O1314" s="107"/>
      <c r="P1314" s="107"/>
    </row>
    <row r="1315" spans="1:16" x14ac:dyDescent="0.3">
      <c r="A1315" s="58" t="str">
        <f t="shared" si="84"/>
        <v>A078350</v>
      </c>
      <c r="B1315" s="59" t="str">
        <f t="shared" si="81"/>
        <v/>
      </c>
      <c r="C1315" s="59" t="str">
        <f t="shared" si="82"/>
        <v/>
      </c>
      <c r="D1315" s="109" t="str">
        <f t="shared" si="83"/>
        <v/>
      </c>
      <c r="E1315" s="106" t="s">
        <v>1304</v>
      </c>
      <c r="F1315" s="58" t="s">
        <v>2735</v>
      </c>
      <c r="G1315" s="106">
        <v>12</v>
      </c>
      <c r="H1315" s="107"/>
      <c r="I1315" s="107"/>
      <c r="J1315" s="107"/>
      <c r="K1315" s="107"/>
      <c r="L1315" s="107"/>
      <c r="M1315" s="107"/>
      <c r="N1315" s="107"/>
      <c r="O1315" s="107"/>
      <c r="P1315" s="107"/>
    </row>
    <row r="1316" spans="1:16" x14ac:dyDescent="0.3">
      <c r="A1316" s="58" t="str">
        <f t="shared" si="84"/>
        <v>A078520</v>
      </c>
      <c r="B1316" s="59" t="str">
        <f t="shared" si="81"/>
        <v/>
      </c>
      <c r="C1316" s="59" t="str">
        <f t="shared" si="82"/>
        <v/>
      </c>
      <c r="D1316" s="109" t="str">
        <f t="shared" si="83"/>
        <v/>
      </c>
      <c r="E1316" s="106" t="s">
        <v>1305</v>
      </c>
      <c r="F1316" s="58" t="s">
        <v>2736</v>
      </c>
      <c r="G1316" s="106">
        <v>12</v>
      </c>
      <c r="H1316" s="107"/>
      <c r="I1316" s="107"/>
      <c r="J1316" s="107"/>
      <c r="K1316" s="107"/>
      <c r="L1316" s="107"/>
      <c r="M1316" s="107"/>
      <c r="N1316" s="107"/>
      <c r="O1316" s="107"/>
      <c r="P1316" s="107"/>
    </row>
    <row r="1317" spans="1:16" x14ac:dyDescent="0.3">
      <c r="A1317" s="58" t="str">
        <f t="shared" si="84"/>
        <v>A078590</v>
      </c>
      <c r="B1317" s="59" t="str">
        <f t="shared" si="81"/>
        <v/>
      </c>
      <c r="C1317" s="59" t="str">
        <f t="shared" si="82"/>
        <v/>
      </c>
      <c r="D1317" s="109" t="str">
        <f t="shared" si="83"/>
        <v/>
      </c>
      <c r="E1317" s="106" t="s">
        <v>1306</v>
      </c>
      <c r="F1317" s="58" t="s">
        <v>2737</v>
      </c>
      <c r="G1317" s="106">
        <v>12</v>
      </c>
      <c r="H1317" s="107"/>
      <c r="I1317" s="107"/>
      <c r="J1317" s="107"/>
      <c r="K1317" s="107"/>
      <c r="L1317" s="107"/>
      <c r="M1317" s="107"/>
      <c r="N1317" s="107"/>
      <c r="O1317" s="107"/>
      <c r="P1317" s="107"/>
    </row>
    <row r="1318" spans="1:16" x14ac:dyDescent="0.3">
      <c r="A1318" s="58" t="str">
        <f t="shared" si="84"/>
        <v>A078600</v>
      </c>
      <c r="B1318" s="59" t="str">
        <f t="shared" si="81"/>
        <v/>
      </c>
      <c r="C1318" s="59" t="str">
        <f t="shared" si="82"/>
        <v/>
      </c>
      <c r="D1318" s="109" t="str">
        <f t="shared" si="83"/>
        <v/>
      </c>
      <c r="E1318" s="106" t="s">
        <v>1307</v>
      </c>
      <c r="F1318" s="58" t="s">
        <v>2738</v>
      </c>
      <c r="G1318" s="106">
        <v>12</v>
      </c>
      <c r="H1318" s="107"/>
      <c r="I1318" s="107"/>
      <c r="J1318" s="107"/>
      <c r="K1318" s="107"/>
      <c r="L1318" s="107"/>
      <c r="M1318" s="107"/>
      <c r="N1318" s="107"/>
      <c r="O1318" s="107"/>
      <c r="P1318" s="107"/>
    </row>
    <row r="1319" spans="1:16" x14ac:dyDescent="0.3">
      <c r="A1319" s="58" t="str">
        <f t="shared" si="84"/>
        <v>A078650</v>
      </c>
      <c r="B1319" s="59">
        <f t="shared" si="81"/>
        <v>41484</v>
      </c>
      <c r="C1319" s="59">
        <f t="shared" si="82"/>
        <v>41484</v>
      </c>
      <c r="D1319" s="109">
        <f t="shared" si="83"/>
        <v>7.68</v>
      </c>
      <c r="E1319" s="106" t="s">
        <v>3172</v>
      </c>
      <c r="F1319" s="58" t="s">
        <v>3373</v>
      </c>
      <c r="G1319" s="106">
        <v>12</v>
      </c>
      <c r="H1319" s="107">
        <v>20130729</v>
      </c>
      <c r="I1319" s="107">
        <v>20130729</v>
      </c>
      <c r="J1319" s="107">
        <v>7.68</v>
      </c>
      <c r="K1319" s="107"/>
      <c r="L1319" s="107"/>
      <c r="M1319" s="107"/>
      <c r="N1319" s="107"/>
      <c r="O1319" s="107"/>
      <c r="P1319" s="107"/>
    </row>
    <row r="1320" spans="1:16" x14ac:dyDescent="0.3">
      <c r="A1320" s="58" t="str">
        <f t="shared" si="84"/>
        <v>A078780</v>
      </c>
      <c r="B1320" s="59" t="str">
        <f t="shared" si="81"/>
        <v/>
      </c>
      <c r="C1320" s="59" t="str">
        <f t="shared" si="82"/>
        <v/>
      </c>
      <c r="D1320" s="109" t="str">
        <f t="shared" si="83"/>
        <v/>
      </c>
      <c r="E1320" s="106" t="s">
        <v>1308</v>
      </c>
      <c r="F1320" s="58" t="s">
        <v>2739</v>
      </c>
      <c r="G1320" s="106">
        <v>12</v>
      </c>
      <c r="H1320" s="107"/>
      <c r="I1320" s="107"/>
      <c r="J1320" s="107"/>
      <c r="K1320" s="107"/>
      <c r="L1320" s="107"/>
      <c r="M1320" s="107"/>
      <c r="N1320" s="107"/>
      <c r="O1320" s="107"/>
      <c r="P1320" s="107"/>
    </row>
    <row r="1321" spans="1:16" x14ac:dyDescent="0.3">
      <c r="A1321" s="58" t="str">
        <f t="shared" si="84"/>
        <v>A078860</v>
      </c>
      <c r="B1321" s="59" t="str">
        <f t="shared" si="81"/>
        <v/>
      </c>
      <c r="C1321" s="59" t="str">
        <f t="shared" si="82"/>
        <v/>
      </c>
      <c r="D1321" s="109" t="str">
        <f t="shared" si="83"/>
        <v/>
      </c>
      <c r="E1321" s="106" t="s">
        <v>1309</v>
      </c>
      <c r="F1321" s="58" t="s">
        <v>2740</v>
      </c>
      <c r="G1321" s="106">
        <v>12</v>
      </c>
      <c r="H1321" s="107"/>
      <c r="I1321" s="107"/>
      <c r="J1321" s="107"/>
      <c r="K1321" s="107"/>
      <c r="L1321" s="107"/>
      <c r="M1321" s="107"/>
      <c r="N1321" s="107"/>
      <c r="O1321" s="107"/>
      <c r="P1321" s="107"/>
    </row>
    <row r="1322" spans="1:16" x14ac:dyDescent="0.3">
      <c r="A1322" s="58" t="str">
        <f t="shared" si="84"/>
        <v>A078890</v>
      </c>
      <c r="B1322" s="59" t="str">
        <f t="shared" si="81"/>
        <v/>
      </c>
      <c r="C1322" s="59" t="str">
        <f t="shared" si="82"/>
        <v/>
      </c>
      <c r="D1322" s="109" t="str">
        <f t="shared" si="83"/>
        <v/>
      </c>
      <c r="E1322" s="106" t="s">
        <v>1310</v>
      </c>
      <c r="F1322" s="58" t="s">
        <v>2741</v>
      </c>
      <c r="G1322" s="106">
        <v>12</v>
      </c>
      <c r="H1322" s="107"/>
      <c r="I1322" s="107"/>
      <c r="J1322" s="107"/>
      <c r="K1322" s="107"/>
      <c r="L1322" s="107"/>
      <c r="M1322" s="107"/>
      <c r="N1322" s="107"/>
      <c r="O1322" s="107"/>
      <c r="P1322" s="107"/>
    </row>
    <row r="1323" spans="1:16" x14ac:dyDescent="0.3">
      <c r="A1323" s="58" t="str">
        <f t="shared" si="84"/>
        <v>A078930</v>
      </c>
      <c r="B1323" s="59" t="str">
        <f t="shared" si="81"/>
        <v/>
      </c>
      <c r="C1323" s="59" t="str">
        <f t="shared" si="82"/>
        <v/>
      </c>
      <c r="D1323" s="109" t="str">
        <f t="shared" si="83"/>
        <v/>
      </c>
      <c r="E1323" s="106" t="s">
        <v>1311</v>
      </c>
      <c r="F1323" s="58" t="s">
        <v>2742</v>
      </c>
      <c r="G1323" s="106">
        <v>12</v>
      </c>
      <c r="H1323" s="107"/>
      <c r="I1323" s="107"/>
      <c r="J1323" s="107"/>
      <c r="K1323" s="107"/>
      <c r="L1323" s="107"/>
      <c r="M1323" s="107"/>
      <c r="N1323" s="107"/>
      <c r="O1323" s="107"/>
      <c r="P1323" s="107"/>
    </row>
    <row r="1324" spans="1:16" x14ac:dyDescent="0.3">
      <c r="A1324" s="58" t="str">
        <f t="shared" si="84"/>
        <v>A078940</v>
      </c>
      <c r="B1324" s="59" t="str">
        <f t="shared" si="81"/>
        <v/>
      </c>
      <c r="C1324" s="59" t="str">
        <f t="shared" si="82"/>
        <v/>
      </c>
      <c r="D1324" s="109" t="str">
        <f t="shared" si="83"/>
        <v/>
      </c>
      <c r="E1324" s="106" t="s">
        <v>1312</v>
      </c>
      <c r="F1324" s="58" t="s">
        <v>2743</v>
      </c>
      <c r="G1324" s="106">
        <v>12</v>
      </c>
      <c r="H1324" s="107"/>
      <c r="I1324" s="107"/>
      <c r="J1324" s="107"/>
      <c r="K1324" s="107"/>
      <c r="L1324" s="107"/>
      <c r="M1324" s="107"/>
      <c r="N1324" s="107"/>
      <c r="O1324" s="107"/>
      <c r="P1324" s="107"/>
    </row>
    <row r="1325" spans="1:16" x14ac:dyDescent="0.3">
      <c r="A1325" s="58" t="str">
        <f t="shared" si="84"/>
        <v>A079000</v>
      </c>
      <c r="B1325" s="59" t="str">
        <f t="shared" si="81"/>
        <v/>
      </c>
      <c r="C1325" s="59" t="str">
        <f t="shared" si="82"/>
        <v/>
      </c>
      <c r="D1325" s="109" t="str">
        <f t="shared" si="83"/>
        <v/>
      </c>
      <c r="E1325" s="106" t="s">
        <v>1313</v>
      </c>
      <c r="F1325" s="58" t="s">
        <v>2744</v>
      </c>
      <c r="G1325" s="106">
        <v>12</v>
      </c>
      <c r="H1325" s="107"/>
      <c r="I1325" s="107"/>
      <c r="J1325" s="107"/>
      <c r="K1325" s="107"/>
      <c r="L1325" s="107"/>
      <c r="M1325" s="107"/>
      <c r="N1325" s="107"/>
      <c r="O1325" s="107"/>
      <c r="P1325" s="107"/>
    </row>
    <row r="1326" spans="1:16" x14ac:dyDescent="0.3">
      <c r="A1326" s="58" t="str">
        <f t="shared" si="84"/>
        <v>A079160</v>
      </c>
      <c r="B1326" s="59" t="str">
        <f t="shared" si="81"/>
        <v/>
      </c>
      <c r="C1326" s="59" t="str">
        <f t="shared" si="82"/>
        <v/>
      </c>
      <c r="D1326" s="109" t="str">
        <f t="shared" si="83"/>
        <v/>
      </c>
      <c r="E1326" s="106" t="s">
        <v>1314</v>
      </c>
      <c r="F1326" s="58" t="s">
        <v>2745</v>
      </c>
      <c r="G1326" s="106">
        <v>12</v>
      </c>
      <c r="H1326" s="107"/>
      <c r="I1326" s="107"/>
      <c r="J1326" s="107"/>
      <c r="K1326" s="107"/>
      <c r="L1326" s="107"/>
      <c r="M1326" s="107"/>
      <c r="N1326" s="107"/>
      <c r="O1326" s="107"/>
      <c r="P1326" s="107"/>
    </row>
    <row r="1327" spans="1:16" x14ac:dyDescent="0.3">
      <c r="A1327" s="58" t="str">
        <f t="shared" si="84"/>
        <v>A079170</v>
      </c>
      <c r="B1327" s="59" t="str">
        <f t="shared" si="81"/>
        <v/>
      </c>
      <c r="C1327" s="59" t="str">
        <f t="shared" si="82"/>
        <v/>
      </c>
      <c r="D1327" s="109" t="str">
        <f t="shared" si="83"/>
        <v/>
      </c>
      <c r="E1327" s="106" t="s">
        <v>1315</v>
      </c>
      <c r="F1327" s="58" t="s">
        <v>2746</v>
      </c>
      <c r="G1327" s="106">
        <v>12</v>
      </c>
      <c r="H1327" s="107"/>
      <c r="I1327" s="107"/>
      <c r="J1327" s="107"/>
      <c r="K1327" s="107"/>
      <c r="L1327" s="107"/>
      <c r="M1327" s="107"/>
      <c r="N1327" s="107"/>
      <c r="O1327" s="107"/>
      <c r="P1327" s="107"/>
    </row>
    <row r="1328" spans="1:16" x14ac:dyDescent="0.3">
      <c r="A1328" s="58" t="str">
        <f t="shared" si="84"/>
        <v>A079190</v>
      </c>
      <c r="B1328" s="59" t="str">
        <f t="shared" si="81"/>
        <v/>
      </c>
      <c r="C1328" s="59" t="str">
        <f t="shared" si="82"/>
        <v/>
      </c>
      <c r="D1328" s="109" t="str">
        <f t="shared" si="83"/>
        <v/>
      </c>
      <c r="E1328" s="106" t="s">
        <v>1316</v>
      </c>
      <c r="F1328" s="58" t="s">
        <v>2747</v>
      </c>
      <c r="G1328" s="106">
        <v>12</v>
      </c>
      <c r="H1328" s="107"/>
      <c r="I1328" s="107"/>
      <c r="J1328" s="107"/>
      <c r="K1328" s="107"/>
      <c r="L1328" s="107"/>
      <c r="M1328" s="107"/>
      <c r="N1328" s="107"/>
      <c r="O1328" s="107"/>
      <c r="P1328" s="107"/>
    </row>
    <row r="1329" spans="1:16" x14ac:dyDescent="0.3">
      <c r="A1329" s="58" t="str">
        <f t="shared" si="84"/>
        <v>A079370</v>
      </c>
      <c r="B1329" s="59" t="str">
        <f t="shared" si="81"/>
        <v/>
      </c>
      <c r="C1329" s="59" t="str">
        <f t="shared" si="82"/>
        <v/>
      </c>
      <c r="D1329" s="109" t="str">
        <f t="shared" si="83"/>
        <v/>
      </c>
      <c r="E1329" s="106" t="s">
        <v>1317</v>
      </c>
      <c r="F1329" s="58" t="s">
        <v>2748</v>
      </c>
      <c r="G1329" s="106">
        <v>12</v>
      </c>
      <c r="H1329" s="107"/>
      <c r="I1329" s="107"/>
      <c r="J1329" s="107"/>
      <c r="K1329" s="107"/>
      <c r="L1329" s="107"/>
      <c r="M1329" s="107"/>
      <c r="N1329" s="107"/>
      <c r="O1329" s="107"/>
      <c r="P1329" s="107"/>
    </row>
    <row r="1330" spans="1:16" x14ac:dyDescent="0.3">
      <c r="A1330" s="58" t="str">
        <f t="shared" si="84"/>
        <v>A079430</v>
      </c>
      <c r="B1330" s="59" t="str">
        <f t="shared" si="81"/>
        <v/>
      </c>
      <c r="C1330" s="59" t="str">
        <f t="shared" si="82"/>
        <v/>
      </c>
      <c r="D1330" s="109" t="str">
        <f t="shared" si="83"/>
        <v/>
      </c>
      <c r="E1330" s="106" t="s">
        <v>1318</v>
      </c>
      <c r="F1330" s="58" t="s">
        <v>2749</v>
      </c>
      <c r="G1330" s="106">
        <v>12</v>
      </c>
      <c r="H1330" s="107"/>
      <c r="I1330" s="107"/>
      <c r="J1330" s="107"/>
      <c r="K1330" s="107"/>
      <c r="L1330" s="107"/>
      <c r="M1330" s="107"/>
      <c r="N1330" s="107"/>
      <c r="O1330" s="107"/>
      <c r="P1330" s="107"/>
    </row>
    <row r="1331" spans="1:16" x14ac:dyDescent="0.3">
      <c r="A1331" s="58" t="str">
        <f t="shared" si="84"/>
        <v>A079650</v>
      </c>
      <c r="B1331" s="59" t="str">
        <f t="shared" si="81"/>
        <v/>
      </c>
      <c r="C1331" s="59" t="str">
        <f t="shared" si="82"/>
        <v/>
      </c>
      <c r="D1331" s="109" t="str">
        <f t="shared" si="83"/>
        <v/>
      </c>
      <c r="E1331" s="106" t="s">
        <v>1319</v>
      </c>
      <c r="F1331" s="58" t="s">
        <v>2750</v>
      </c>
      <c r="G1331" s="106">
        <v>12</v>
      </c>
      <c r="H1331" s="107"/>
      <c r="I1331" s="107"/>
      <c r="J1331" s="107"/>
      <c r="K1331" s="107"/>
      <c r="L1331" s="107"/>
      <c r="M1331" s="107"/>
      <c r="N1331" s="107"/>
      <c r="O1331" s="107"/>
      <c r="P1331" s="107"/>
    </row>
    <row r="1332" spans="1:16" x14ac:dyDescent="0.3">
      <c r="A1332" s="58" t="str">
        <f t="shared" si="84"/>
        <v>A079660</v>
      </c>
      <c r="B1332" s="59" t="str">
        <f t="shared" si="81"/>
        <v/>
      </c>
      <c r="C1332" s="59" t="str">
        <f t="shared" si="82"/>
        <v/>
      </c>
      <c r="D1332" s="109" t="str">
        <f t="shared" si="83"/>
        <v/>
      </c>
      <c r="E1332" s="106" t="s">
        <v>1320</v>
      </c>
      <c r="F1332" s="58" t="s">
        <v>2751</v>
      </c>
      <c r="G1332" s="106">
        <v>12</v>
      </c>
      <c r="H1332" s="107"/>
      <c r="I1332" s="107"/>
      <c r="J1332" s="107"/>
      <c r="K1332" s="107"/>
      <c r="L1332" s="107"/>
      <c r="M1332" s="107"/>
      <c r="N1332" s="107"/>
      <c r="O1332" s="107"/>
      <c r="P1332" s="107"/>
    </row>
    <row r="1333" spans="1:16" x14ac:dyDescent="0.3">
      <c r="A1333" s="58" t="str">
        <f t="shared" si="84"/>
        <v>A079810</v>
      </c>
      <c r="B1333" s="59" t="str">
        <f t="shared" si="81"/>
        <v/>
      </c>
      <c r="C1333" s="59" t="str">
        <f t="shared" si="82"/>
        <v/>
      </c>
      <c r="D1333" s="109" t="str">
        <f t="shared" si="83"/>
        <v/>
      </c>
      <c r="E1333" s="106" t="s">
        <v>1321</v>
      </c>
      <c r="F1333" s="58" t="s">
        <v>2752</v>
      </c>
      <c r="G1333" s="106">
        <v>12</v>
      </c>
      <c r="H1333" s="107"/>
      <c r="I1333" s="107"/>
      <c r="J1333" s="107"/>
      <c r="K1333" s="107"/>
      <c r="L1333" s="107"/>
      <c r="M1333" s="107"/>
      <c r="N1333" s="107"/>
      <c r="O1333" s="107"/>
      <c r="P1333" s="107"/>
    </row>
    <row r="1334" spans="1:16" x14ac:dyDescent="0.3">
      <c r="A1334" s="58" t="str">
        <f t="shared" si="84"/>
        <v>A079940</v>
      </c>
      <c r="B1334" s="59" t="str">
        <f t="shared" si="81"/>
        <v/>
      </c>
      <c r="C1334" s="59" t="str">
        <f t="shared" si="82"/>
        <v/>
      </c>
      <c r="D1334" s="109" t="str">
        <f t="shared" si="83"/>
        <v/>
      </c>
      <c r="E1334" s="106" t="s">
        <v>1322</v>
      </c>
      <c r="F1334" s="58" t="s">
        <v>2753</v>
      </c>
      <c r="G1334" s="106">
        <v>12</v>
      </c>
      <c r="H1334" s="107"/>
      <c r="I1334" s="107"/>
      <c r="J1334" s="107"/>
      <c r="K1334" s="107"/>
      <c r="L1334" s="107"/>
      <c r="M1334" s="107"/>
      <c r="N1334" s="107"/>
      <c r="O1334" s="107"/>
      <c r="P1334" s="107"/>
    </row>
    <row r="1335" spans="1:16" x14ac:dyDescent="0.3">
      <c r="A1335" s="58" t="str">
        <f t="shared" si="84"/>
        <v>A079950</v>
      </c>
      <c r="B1335" s="59" t="str">
        <f t="shared" si="81"/>
        <v/>
      </c>
      <c r="C1335" s="59" t="str">
        <f t="shared" si="82"/>
        <v/>
      </c>
      <c r="D1335" s="109" t="str">
        <f t="shared" si="83"/>
        <v/>
      </c>
      <c r="E1335" s="106" t="s">
        <v>1323</v>
      </c>
      <c r="F1335" s="58" t="s">
        <v>2754</v>
      </c>
      <c r="G1335" s="106">
        <v>12</v>
      </c>
      <c r="H1335" s="107"/>
      <c r="I1335" s="107"/>
      <c r="J1335" s="107"/>
      <c r="K1335" s="107"/>
      <c r="L1335" s="107"/>
      <c r="M1335" s="107"/>
      <c r="N1335" s="107"/>
      <c r="O1335" s="107"/>
      <c r="P1335" s="107"/>
    </row>
    <row r="1336" spans="1:16" x14ac:dyDescent="0.3">
      <c r="A1336" s="58" t="str">
        <f t="shared" si="84"/>
        <v>A079960</v>
      </c>
      <c r="B1336" s="59" t="str">
        <f t="shared" si="81"/>
        <v/>
      </c>
      <c r="C1336" s="59" t="str">
        <f t="shared" si="82"/>
        <v/>
      </c>
      <c r="D1336" s="109" t="str">
        <f t="shared" si="83"/>
        <v/>
      </c>
      <c r="E1336" s="106" t="s">
        <v>1324</v>
      </c>
      <c r="F1336" s="58" t="s">
        <v>2755</v>
      </c>
      <c r="G1336" s="106">
        <v>12</v>
      </c>
      <c r="H1336" s="107"/>
      <c r="I1336" s="107"/>
      <c r="J1336" s="107"/>
      <c r="K1336" s="107"/>
      <c r="L1336" s="107"/>
      <c r="M1336" s="107"/>
      <c r="N1336" s="107"/>
      <c r="O1336" s="107"/>
      <c r="P1336" s="107"/>
    </row>
    <row r="1337" spans="1:16" x14ac:dyDescent="0.3">
      <c r="A1337" s="58" t="str">
        <f t="shared" si="84"/>
        <v>A079970</v>
      </c>
      <c r="B1337" s="59" t="str">
        <f t="shared" si="81"/>
        <v/>
      </c>
      <c r="C1337" s="59" t="str">
        <f t="shared" si="82"/>
        <v/>
      </c>
      <c r="D1337" s="109" t="str">
        <f t="shared" si="83"/>
        <v/>
      </c>
      <c r="E1337" s="106" t="s">
        <v>3173</v>
      </c>
      <c r="F1337" s="58" t="s">
        <v>3374</v>
      </c>
      <c r="G1337" s="106">
        <v>12</v>
      </c>
      <c r="H1337" s="107"/>
      <c r="I1337" s="107"/>
      <c r="J1337" s="107"/>
      <c r="K1337" s="107"/>
      <c r="L1337" s="107"/>
      <c r="M1337" s="107"/>
      <c r="N1337" s="107"/>
      <c r="O1337" s="107"/>
      <c r="P1337" s="107"/>
    </row>
    <row r="1338" spans="1:16" x14ac:dyDescent="0.3">
      <c r="A1338" s="58" t="str">
        <f t="shared" si="84"/>
        <v>A079980</v>
      </c>
      <c r="B1338" s="59" t="str">
        <f t="shared" si="81"/>
        <v/>
      </c>
      <c r="C1338" s="59" t="str">
        <f t="shared" si="82"/>
        <v/>
      </c>
      <c r="D1338" s="109" t="str">
        <f t="shared" si="83"/>
        <v/>
      </c>
      <c r="E1338" s="106" t="s">
        <v>3174</v>
      </c>
      <c r="F1338" s="58" t="s">
        <v>3375</v>
      </c>
      <c r="G1338" s="106">
        <v>12</v>
      </c>
      <c r="H1338" s="107"/>
      <c r="I1338" s="107"/>
      <c r="J1338" s="107"/>
      <c r="K1338" s="107"/>
      <c r="L1338" s="107"/>
      <c r="M1338" s="107"/>
      <c r="N1338" s="107"/>
      <c r="O1338" s="107"/>
      <c r="P1338" s="107"/>
    </row>
    <row r="1339" spans="1:16" x14ac:dyDescent="0.3">
      <c r="A1339" s="58" t="str">
        <f t="shared" si="84"/>
        <v>A080000</v>
      </c>
      <c r="B1339" s="59" t="str">
        <f t="shared" si="81"/>
        <v/>
      </c>
      <c r="C1339" s="59" t="str">
        <f t="shared" si="82"/>
        <v/>
      </c>
      <c r="D1339" s="109" t="str">
        <f t="shared" si="83"/>
        <v/>
      </c>
      <c r="E1339" s="106" t="s">
        <v>1325</v>
      </c>
      <c r="F1339" s="58" t="s">
        <v>2756</v>
      </c>
      <c r="G1339" s="106">
        <v>12</v>
      </c>
      <c r="H1339" s="107"/>
      <c r="I1339" s="107"/>
      <c r="J1339" s="107"/>
      <c r="K1339" s="107"/>
      <c r="L1339" s="107"/>
      <c r="M1339" s="107"/>
      <c r="N1339" s="107"/>
      <c r="O1339" s="107"/>
      <c r="P1339" s="107"/>
    </row>
    <row r="1340" spans="1:16" x14ac:dyDescent="0.3">
      <c r="A1340" s="58" t="str">
        <f t="shared" si="84"/>
        <v>A080010</v>
      </c>
      <c r="B1340" s="59" t="str">
        <f t="shared" si="81"/>
        <v/>
      </c>
      <c r="C1340" s="59" t="str">
        <f t="shared" si="82"/>
        <v/>
      </c>
      <c r="D1340" s="109" t="str">
        <f t="shared" si="83"/>
        <v/>
      </c>
      <c r="E1340" s="106" t="s">
        <v>1326</v>
      </c>
      <c r="F1340" s="58" t="s">
        <v>2757</v>
      </c>
      <c r="G1340" s="106">
        <v>12</v>
      </c>
      <c r="H1340" s="107"/>
      <c r="I1340" s="107"/>
      <c r="J1340" s="107"/>
      <c r="K1340" s="107"/>
      <c r="L1340" s="107"/>
      <c r="M1340" s="107"/>
      <c r="N1340" s="107"/>
      <c r="O1340" s="107"/>
      <c r="P1340" s="107"/>
    </row>
    <row r="1341" spans="1:16" x14ac:dyDescent="0.3">
      <c r="A1341" s="58" t="str">
        <f t="shared" si="84"/>
        <v>A080160</v>
      </c>
      <c r="B1341" s="59" t="str">
        <f t="shared" si="81"/>
        <v/>
      </c>
      <c r="C1341" s="59" t="str">
        <f t="shared" si="82"/>
        <v/>
      </c>
      <c r="D1341" s="109" t="str">
        <f t="shared" si="83"/>
        <v/>
      </c>
      <c r="E1341" s="106" t="s">
        <v>1327</v>
      </c>
      <c r="F1341" s="58" t="s">
        <v>2758</v>
      </c>
      <c r="G1341" s="106">
        <v>12</v>
      </c>
      <c r="H1341" s="107"/>
      <c r="I1341" s="107"/>
      <c r="J1341" s="107"/>
      <c r="K1341" s="107"/>
      <c r="L1341" s="107"/>
      <c r="M1341" s="107"/>
      <c r="N1341" s="107"/>
      <c r="O1341" s="107"/>
      <c r="P1341" s="107"/>
    </row>
    <row r="1342" spans="1:16" x14ac:dyDescent="0.3">
      <c r="A1342" s="58" t="str">
        <f t="shared" si="84"/>
        <v>A080220</v>
      </c>
      <c r="B1342" s="59" t="str">
        <f t="shared" si="81"/>
        <v/>
      </c>
      <c r="C1342" s="59" t="str">
        <f t="shared" si="82"/>
        <v/>
      </c>
      <c r="D1342" s="109" t="str">
        <f t="shared" si="83"/>
        <v/>
      </c>
      <c r="E1342" s="106" t="s">
        <v>1328</v>
      </c>
      <c r="F1342" s="58" t="s">
        <v>3651</v>
      </c>
      <c r="G1342" s="106">
        <v>12</v>
      </c>
      <c r="H1342" s="107"/>
      <c r="I1342" s="107"/>
      <c r="J1342" s="107"/>
      <c r="K1342" s="107"/>
      <c r="L1342" s="107"/>
      <c r="M1342" s="107"/>
      <c r="N1342" s="107"/>
      <c r="O1342" s="107"/>
      <c r="P1342" s="107"/>
    </row>
    <row r="1343" spans="1:16" x14ac:dyDescent="0.3">
      <c r="A1343" s="58" t="str">
        <f t="shared" si="84"/>
        <v>A080420</v>
      </c>
      <c r="B1343" s="59" t="str">
        <f t="shared" si="81"/>
        <v/>
      </c>
      <c r="C1343" s="59" t="str">
        <f t="shared" si="82"/>
        <v/>
      </c>
      <c r="D1343" s="109" t="str">
        <f t="shared" si="83"/>
        <v/>
      </c>
      <c r="E1343" s="106" t="s">
        <v>1329</v>
      </c>
      <c r="F1343" s="58" t="s">
        <v>2759</v>
      </c>
      <c r="G1343" s="106">
        <v>12</v>
      </c>
      <c r="H1343" s="107"/>
      <c r="I1343" s="107"/>
      <c r="J1343" s="107"/>
      <c r="K1343" s="107"/>
      <c r="L1343" s="107"/>
      <c r="M1343" s="107"/>
      <c r="N1343" s="107"/>
      <c r="O1343" s="107"/>
      <c r="P1343" s="107"/>
    </row>
    <row r="1344" spans="1:16" x14ac:dyDescent="0.3">
      <c r="A1344" s="58" t="str">
        <f t="shared" si="84"/>
        <v>A080440</v>
      </c>
      <c r="B1344" s="59" t="str">
        <f t="shared" si="81"/>
        <v/>
      </c>
      <c r="C1344" s="59" t="str">
        <f t="shared" si="82"/>
        <v/>
      </c>
      <c r="D1344" s="109" t="str">
        <f t="shared" si="83"/>
        <v/>
      </c>
      <c r="E1344" s="106" t="s">
        <v>1330</v>
      </c>
      <c r="F1344" s="58" t="s">
        <v>2760</v>
      </c>
      <c r="G1344" s="106">
        <v>12</v>
      </c>
      <c r="H1344" s="107"/>
      <c r="I1344" s="107"/>
      <c r="J1344" s="107"/>
      <c r="K1344" s="107"/>
      <c r="L1344" s="107"/>
      <c r="M1344" s="107"/>
      <c r="N1344" s="107"/>
      <c r="O1344" s="107"/>
      <c r="P1344" s="107"/>
    </row>
    <row r="1345" spans="1:16" x14ac:dyDescent="0.3">
      <c r="A1345" s="58" t="str">
        <f t="shared" si="84"/>
        <v>A080470</v>
      </c>
      <c r="B1345" s="59" t="str">
        <f t="shared" si="81"/>
        <v/>
      </c>
      <c r="C1345" s="59" t="str">
        <f t="shared" si="82"/>
        <v/>
      </c>
      <c r="D1345" s="109" t="str">
        <f t="shared" si="83"/>
        <v/>
      </c>
      <c r="E1345" s="106" t="s">
        <v>1331</v>
      </c>
      <c r="F1345" s="58" t="s">
        <v>3652</v>
      </c>
      <c r="G1345" s="106">
        <v>12</v>
      </c>
      <c r="H1345" s="107"/>
      <c r="I1345" s="107"/>
      <c r="J1345" s="107"/>
      <c r="K1345" s="107"/>
      <c r="L1345" s="107"/>
      <c r="M1345" s="107"/>
      <c r="N1345" s="107"/>
      <c r="O1345" s="107"/>
      <c r="P1345" s="107"/>
    </row>
    <row r="1346" spans="1:16" x14ac:dyDescent="0.3">
      <c r="A1346" s="58" t="str">
        <f t="shared" si="84"/>
        <v>A080520</v>
      </c>
      <c r="B1346" s="59" t="str">
        <f t="shared" si="81"/>
        <v/>
      </c>
      <c r="C1346" s="59" t="str">
        <f t="shared" si="82"/>
        <v/>
      </c>
      <c r="D1346" s="109" t="str">
        <f t="shared" si="83"/>
        <v/>
      </c>
      <c r="E1346" s="106" t="s">
        <v>1332</v>
      </c>
      <c r="F1346" s="58" t="s">
        <v>2761</v>
      </c>
      <c r="G1346" s="106">
        <v>12</v>
      </c>
      <c r="H1346" s="107"/>
      <c r="I1346" s="107"/>
      <c r="J1346" s="107"/>
      <c r="K1346" s="107"/>
      <c r="L1346" s="107"/>
      <c r="M1346" s="107"/>
      <c r="N1346" s="107"/>
      <c r="O1346" s="107"/>
      <c r="P1346" s="107"/>
    </row>
    <row r="1347" spans="1:16" x14ac:dyDescent="0.3">
      <c r="A1347" s="58" t="str">
        <f t="shared" si="84"/>
        <v>A080530</v>
      </c>
      <c r="B1347" s="59" t="str">
        <f t="shared" si="81"/>
        <v/>
      </c>
      <c r="C1347" s="59" t="str">
        <f t="shared" si="82"/>
        <v/>
      </c>
      <c r="D1347" s="109" t="str">
        <f t="shared" si="83"/>
        <v/>
      </c>
      <c r="E1347" s="106" t="s">
        <v>3175</v>
      </c>
      <c r="F1347" s="58" t="s">
        <v>3376</v>
      </c>
      <c r="G1347" s="106">
        <v>12</v>
      </c>
      <c r="H1347" s="107"/>
      <c r="I1347" s="107"/>
      <c r="J1347" s="107"/>
      <c r="K1347" s="107"/>
      <c r="L1347" s="107"/>
      <c r="M1347" s="107"/>
      <c r="N1347" s="107"/>
      <c r="O1347" s="107"/>
      <c r="P1347" s="107"/>
    </row>
    <row r="1348" spans="1:16" x14ac:dyDescent="0.3">
      <c r="A1348" s="58" t="str">
        <f t="shared" si="84"/>
        <v>A081000</v>
      </c>
      <c r="B1348" s="59" t="str">
        <f t="shared" si="81"/>
        <v/>
      </c>
      <c r="C1348" s="59" t="str">
        <f t="shared" si="82"/>
        <v/>
      </c>
      <c r="D1348" s="109" t="str">
        <f t="shared" si="83"/>
        <v/>
      </c>
      <c r="E1348" s="106" t="s">
        <v>1333</v>
      </c>
      <c r="F1348" s="58" t="s">
        <v>2762</v>
      </c>
      <c r="G1348" s="106">
        <v>12</v>
      </c>
      <c r="H1348" s="107"/>
      <c r="I1348" s="107"/>
      <c r="J1348" s="107"/>
      <c r="K1348" s="107"/>
      <c r="L1348" s="107"/>
      <c r="M1348" s="107"/>
      <c r="N1348" s="107"/>
      <c r="O1348" s="107"/>
      <c r="P1348" s="107"/>
    </row>
    <row r="1349" spans="1:16" x14ac:dyDescent="0.3">
      <c r="A1349" s="58" t="str">
        <f t="shared" si="84"/>
        <v>A081150</v>
      </c>
      <c r="B1349" s="59" t="str">
        <f t="shared" si="81"/>
        <v/>
      </c>
      <c r="C1349" s="59" t="str">
        <f t="shared" si="82"/>
        <v/>
      </c>
      <c r="D1349" s="109" t="str">
        <f t="shared" si="83"/>
        <v/>
      </c>
      <c r="E1349" s="106" t="s">
        <v>1334</v>
      </c>
      <c r="F1349" s="58" t="s">
        <v>2763</v>
      </c>
      <c r="G1349" s="106">
        <v>12</v>
      </c>
      <c r="H1349" s="107"/>
      <c r="I1349" s="107"/>
      <c r="J1349" s="107"/>
      <c r="K1349" s="107"/>
      <c r="L1349" s="107"/>
      <c r="M1349" s="107"/>
      <c r="N1349" s="107"/>
      <c r="O1349" s="107"/>
      <c r="P1349" s="107"/>
    </row>
    <row r="1350" spans="1:16" x14ac:dyDescent="0.3">
      <c r="A1350" s="58" t="str">
        <f t="shared" si="84"/>
        <v>A081220</v>
      </c>
      <c r="B1350" s="59" t="str">
        <f t="shared" si="81"/>
        <v/>
      </c>
      <c r="C1350" s="59" t="str">
        <f t="shared" si="82"/>
        <v/>
      </c>
      <c r="D1350" s="109" t="str">
        <f t="shared" si="83"/>
        <v/>
      </c>
      <c r="E1350" s="106" t="s">
        <v>1335</v>
      </c>
      <c r="F1350" s="58" t="s">
        <v>2764</v>
      </c>
      <c r="G1350" s="106">
        <v>12</v>
      </c>
      <c r="H1350" s="107"/>
      <c r="I1350" s="107"/>
      <c r="J1350" s="107"/>
      <c r="K1350" s="107"/>
      <c r="L1350" s="107"/>
      <c r="M1350" s="107"/>
      <c r="N1350" s="107"/>
      <c r="O1350" s="107"/>
      <c r="P1350" s="107"/>
    </row>
    <row r="1351" spans="1:16" x14ac:dyDescent="0.3">
      <c r="A1351" s="58" t="str">
        <f t="shared" si="84"/>
        <v>A081580</v>
      </c>
      <c r="B1351" s="59" t="str">
        <f t="shared" si="81"/>
        <v/>
      </c>
      <c r="C1351" s="59" t="str">
        <f t="shared" si="82"/>
        <v/>
      </c>
      <c r="D1351" s="109" t="str">
        <f t="shared" si="83"/>
        <v/>
      </c>
      <c r="E1351" s="106" t="s">
        <v>1336</v>
      </c>
      <c r="F1351" s="58" t="s">
        <v>2765</v>
      </c>
      <c r="G1351" s="106">
        <v>12</v>
      </c>
      <c r="H1351" s="107"/>
      <c r="I1351" s="107"/>
      <c r="J1351" s="107"/>
      <c r="K1351" s="107"/>
      <c r="L1351" s="107"/>
      <c r="M1351" s="107"/>
      <c r="N1351" s="107"/>
      <c r="O1351" s="107"/>
      <c r="P1351" s="107"/>
    </row>
    <row r="1352" spans="1:16" x14ac:dyDescent="0.3">
      <c r="A1352" s="58" t="str">
        <f t="shared" si="84"/>
        <v>A081660</v>
      </c>
      <c r="B1352" s="59" t="str">
        <f t="shared" si="81"/>
        <v/>
      </c>
      <c r="C1352" s="59" t="str">
        <f t="shared" si="82"/>
        <v/>
      </c>
      <c r="D1352" s="109" t="str">
        <f t="shared" si="83"/>
        <v/>
      </c>
      <c r="E1352" s="106" t="s">
        <v>3176</v>
      </c>
      <c r="F1352" s="58" t="s">
        <v>3377</v>
      </c>
      <c r="G1352" s="106">
        <v>12</v>
      </c>
      <c r="H1352" s="107"/>
      <c r="I1352" s="107"/>
      <c r="J1352" s="107"/>
      <c r="K1352" s="107"/>
      <c r="L1352" s="107"/>
      <c r="M1352" s="107"/>
      <c r="N1352" s="107"/>
      <c r="O1352" s="107"/>
      <c r="P1352" s="107"/>
    </row>
    <row r="1353" spans="1:16" x14ac:dyDescent="0.3">
      <c r="A1353" s="58" t="str">
        <f t="shared" si="84"/>
        <v>A081970</v>
      </c>
      <c r="B1353" s="59" t="str">
        <f t="shared" si="81"/>
        <v/>
      </c>
      <c r="C1353" s="59" t="str">
        <f t="shared" si="82"/>
        <v/>
      </c>
      <c r="D1353" s="109" t="str">
        <f t="shared" si="83"/>
        <v/>
      </c>
      <c r="E1353" s="106" t="s">
        <v>1337</v>
      </c>
      <c r="F1353" s="58" t="s">
        <v>2766</v>
      </c>
      <c r="G1353" s="106">
        <v>12</v>
      </c>
      <c r="H1353" s="107"/>
      <c r="I1353" s="107"/>
      <c r="J1353" s="107"/>
      <c r="K1353" s="107"/>
      <c r="L1353" s="107"/>
      <c r="M1353" s="107"/>
      <c r="N1353" s="107"/>
      <c r="O1353" s="107"/>
      <c r="P1353" s="107"/>
    </row>
    <row r="1354" spans="1:16" x14ac:dyDescent="0.3">
      <c r="A1354" s="58" t="str">
        <f t="shared" si="84"/>
        <v>A082210</v>
      </c>
      <c r="B1354" s="59" t="str">
        <f t="shared" si="81"/>
        <v/>
      </c>
      <c r="C1354" s="59" t="str">
        <f t="shared" si="82"/>
        <v/>
      </c>
      <c r="D1354" s="109" t="str">
        <f t="shared" si="83"/>
        <v/>
      </c>
      <c r="E1354" s="106" t="s">
        <v>1338</v>
      </c>
      <c r="F1354" s="58" t="s">
        <v>2767</v>
      </c>
      <c r="G1354" s="106">
        <v>12</v>
      </c>
      <c r="H1354" s="107"/>
      <c r="I1354" s="107"/>
      <c r="J1354" s="107"/>
      <c r="K1354" s="107"/>
      <c r="L1354" s="107"/>
      <c r="M1354" s="107"/>
      <c r="N1354" s="107"/>
      <c r="O1354" s="107"/>
      <c r="P1354" s="107"/>
    </row>
    <row r="1355" spans="1:16" x14ac:dyDescent="0.3">
      <c r="A1355" s="58" t="str">
        <f t="shared" si="84"/>
        <v>A082270</v>
      </c>
      <c r="B1355" s="59" t="str">
        <f t="shared" si="81"/>
        <v/>
      </c>
      <c r="C1355" s="59" t="str">
        <f t="shared" si="82"/>
        <v/>
      </c>
      <c r="D1355" s="109" t="str">
        <f t="shared" si="83"/>
        <v/>
      </c>
      <c r="E1355" s="106" t="s">
        <v>1339</v>
      </c>
      <c r="F1355" s="58" t="s">
        <v>2768</v>
      </c>
      <c r="G1355" s="106">
        <v>12</v>
      </c>
      <c r="H1355" s="107"/>
      <c r="I1355" s="107"/>
      <c r="J1355" s="107"/>
      <c r="K1355" s="107"/>
      <c r="L1355" s="107"/>
      <c r="M1355" s="107"/>
      <c r="N1355" s="107"/>
      <c r="O1355" s="107"/>
      <c r="P1355" s="107"/>
    </row>
    <row r="1356" spans="1:16" x14ac:dyDescent="0.3">
      <c r="A1356" s="58" t="str">
        <f t="shared" si="84"/>
        <v>A082390</v>
      </c>
      <c r="B1356" s="59" t="str">
        <f t="shared" si="81"/>
        <v/>
      </c>
      <c r="C1356" s="59" t="str">
        <f t="shared" si="82"/>
        <v/>
      </c>
      <c r="D1356" s="109" t="str">
        <f t="shared" si="83"/>
        <v/>
      </c>
      <c r="E1356" s="106" t="s">
        <v>1340</v>
      </c>
      <c r="F1356" s="58" t="s">
        <v>2769</v>
      </c>
      <c r="G1356" s="106">
        <v>12</v>
      </c>
      <c r="H1356" s="107"/>
      <c r="I1356" s="107"/>
      <c r="J1356" s="107"/>
      <c r="K1356" s="107"/>
      <c r="L1356" s="107"/>
      <c r="M1356" s="107"/>
      <c r="N1356" s="107"/>
      <c r="O1356" s="107"/>
      <c r="P1356" s="107"/>
    </row>
    <row r="1357" spans="1:16" x14ac:dyDescent="0.3">
      <c r="A1357" s="58" t="str">
        <f t="shared" si="84"/>
        <v>A082640</v>
      </c>
      <c r="B1357" s="59" t="str">
        <f t="shared" si="81"/>
        <v/>
      </c>
      <c r="C1357" s="59" t="str">
        <f t="shared" si="82"/>
        <v/>
      </c>
      <c r="D1357" s="109" t="str">
        <f t="shared" si="83"/>
        <v/>
      </c>
      <c r="E1357" s="106" t="s">
        <v>1341</v>
      </c>
      <c r="F1357" s="58" t="s">
        <v>2770</v>
      </c>
      <c r="G1357" s="106">
        <v>3</v>
      </c>
      <c r="H1357" s="107"/>
      <c r="I1357" s="107"/>
      <c r="J1357" s="107"/>
      <c r="K1357" s="107"/>
      <c r="L1357" s="107"/>
      <c r="M1357" s="107"/>
      <c r="N1357" s="107"/>
      <c r="O1357" s="107"/>
      <c r="P1357" s="107"/>
    </row>
    <row r="1358" spans="1:16" x14ac:dyDescent="0.3">
      <c r="A1358" s="58" t="str">
        <f t="shared" si="84"/>
        <v>A082660</v>
      </c>
      <c r="B1358" s="59" t="str">
        <f t="shared" si="81"/>
        <v/>
      </c>
      <c r="C1358" s="59" t="str">
        <f t="shared" si="82"/>
        <v/>
      </c>
      <c r="D1358" s="109" t="str">
        <f t="shared" si="83"/>
        <v/>
      </c>
      <c r="E1358" s="106" t="s">
        <v>1342</v>
      </c>
      <c r="F1358" s="58" t="s">
        <v>2771</v>
      </c>
      <c r="G1358" s="106">
        <v>12</v>
      </c>
      <c r="H1358" s="107"/>
      <c r="I1358" s="107"/>
      <c r="J1358" s="107"/>
      <c r="K1358" s="107"/>
      <c r="L1358" s="107"/>
      <c r="M1358" s="107"/>
      <c r="N1358" s="107"/>
      <c r="O1358" s="107"/>
      <c r="P1358" s="107"/>
    </row>
    <row r="1359" spans="1:16" x14ac:dyDescent="0.3">
      <c r="A1359" s="58" t="str">
        <f t="shared" si="84"/>
        <v>A082740</v>
      </c>
      <c r="B1359" s="59">
        <f t="shared" ref="B1359:B1422" si="85">IFERROR(IF(ISNUMBER(H1359),DATE(LEFT(H1359,4),MID(H1359,5,2),RIGHT(H1359,2)),NA()),"")</f>
        <v>41481</v>
      </c>
      <c r="C1359" s="59" t="str">
        <f t="shared" ref="C1359:C1422" si="86">IFERROR(IF(ISNUMBER(I1359),DATE(LEFT(I1359,4),MID(I1359,5,2),RIGHT(I1359,2)),NA()),"")</f>
        <v/>
      </c>
      <c r="D1359" s="109" t="str">
        <f t="shared" ref="D1359:D1422" si="87">IFERROR(IF(ISNUMBER(J1359),J1359,NA()),"")</f>
        <v/>
      </c>
      <c r="E1359" s="106" t="s">
        <v>3177</v>
      </c>
      <c r="F1359" s="58" t="s">
        <v>3378</v>
      </c>
      <c r="G1359" s="106">
        <v>12</v>
      </c>
      <c r="H1359" s="107">
        <v>20130726</v>
      </c>
      <c r="I1359" s="107"/>
      <c r="J1359" s="107"/>
      <c r="K1359" s="107"/>
      <c r="L1359" s="107"/>
      <c r="M1359" s="107"/>
      <c r="N1359" s="107"/>
      <c r="O1359" s="107"/>
      <c r="P1359" s="107"/>
    </row>
    <row r="1360" spans="1:16" x14ac:dyDescent="0.3">
      <c r="A1360" s="58" t="str">
        <f t="shared" si="84"/>
        <v>A082800</v>
      </c>
      <c r="B1360" s="59" t="str">
        <f t="shared" si="85"/>
        <v/>
      </c>
      <c r="C1360" s="59" t="str">
        <f t="shared" si="86"/>
        <v/>
      </c>
      <c r="D1360" s="109" t="str">
        <f t="shared" si="87"/>
        <v/>
      </c>
      <c r="E1360" s="106" t="s">
        <v>1343</v>
      </c>
      <c r="F1360" s="58" t="s">
        <v>2772</v>
      </c>
      <c r="G1360" s="106">
        <v>12</v>
      </c>
      <c r="H1360" s="107"/>
      <c r="I1360" s="107"/>
      <c r="J1360" s="107"/>
      <c r="K1360" s="107"/>
      <c r="L1360" s="107"/>
      <c r="M1360" s="107"/>
      <c r="N1360" s="107"/>
      <c r="O1360" s="107"/>
      <c r="P1360" s="107"/>
    </row>
    <row r="1361" spans="1:16" x14ac:dyDescent="0.3">
      <c r="A1361" s="58" t="str">
        <f t="shared" si="84"/>
        <v>A082850</v>
      </c>
      <c r="B1361" s="59" t="str">
        <f t="shared" si="85"/>
        <v/>
      </c>
      <c r="C1361" s="59" t="str">
        <f t="shared" si="86"/>
        <v/>
      </c>
      <c r="D1361" s="109" t="str">
        <f t="shared" si="87"/>
        <v/>
      </c>
      <c r="E1361" s="106" t="s">
        <v>1344</v>
      </c>
      <c r="F1361" s="58" t="s">
        <v>2773</v>
      </c>
      <c r="G1361" s="106">
        <v>12</v>
      </c>
      <c r="H1361" s="107"/>
      <c r="I1361" s="107"/>
      <c r="J1361" s="107"/>
      <c r="K1361" s="107"/>
      <c r="L1361" s="107"/>
      <c r="M1361" s="107"/>
      <c r="N1361" s="107"/>
      <c r="O1361" s="107"/>
      <c r="P1361" s="107"/>
    </row>
    <row r="1362" spans="1:16" x14ac:dyDescent="0.3">
      <c r="A1362" s="58" t="str">
        <f t="shared" si="84"/>
        <v>A082920</v>
      </c>
      <c r="B1362" s="59" t="str">
        <f t="shared" si="85"/>
        <v/>
      </c>
      <c r="C1362" s="59" t="str">
        <f t="shared" si="86"/>
        <v/>
      </c>
      <c r="D1362" s="109" t="str">
        <f t="shared" si="87"/>
        <v/>
      </c>
      <c r="E1362" s="106" t="s">
        <v>1345</v>
      </c>
      <c r="F1362" s="58" t="s">
        <v>2774</v>
      </c>
      <c r="G1362" s="106">
        <v>3</v>
      </c>
      <c r="H1362" s="107"/>
      <c r="I1362" s="107"/>
      <c r="J1362" s="107"/>
      <c r="K1362" s="107"/>
      <c r="L1362" s="107"/>
      <c r="M1362" s="107"/>
      <c r="N1362" s="107"/>
      <c r="O1362" s="107"/>
      <c r="P1362" s="107"/>
    </row>
    <row r="1363" spans="1:16" x14ac:dyDescent="0.3">
      <c r="A1363" s="58" t="str">
        <f t="shared" si="84"/>
        <v>A082930</v>
      </c>
      <c r="B1363" s="59" t="str">
        <f t="shared" si="85"/>
        <v/>
      </c>
      <c r="C1363" s="59" t="str">
        <f t="shared" si="86"/>
        <v/>
      </c>
      <c r="D1363" s="109" t="str">
        <f t="shared" si="87"/>
        <v/>
      </c>
      <c r="E1363" s="106" t="s">
        <v>1346</v>
      </c>
      <c r="F1363" s="58" t="s">
        <v>2775</v>
      </c>
      <c r="G1363" s="106">
        <v>12</v>
      </c>
      <c r="H1363" s="107"/>
      <c r="I1363" s="107"/>
      <c r="J1363" s="107"/>
      <c r="K1363" s="107"/>
      <c r="L1363" s="107"/>
      <c r="M1363" s="107"/>
      <c r="N1363" s="107"/>
      <c r="O1363" s="107"/>
      <c r="P1363" s="107"/>
    </row>
    <row r="1364" spans="1:16" x14ac:dyDescent="0.3">
      <c r="A1364" s="58" t="str">
        <f t="shared" si="84"/>
        <v>A083310</v>
      </c>
      <c r="B1364" s="59" t="str">
        <f t="shared" si="85"/>
        <v/>
      </c>
      <c r="C1364" s="59" t="str">
        <f t="shared" si="86"/>
        <v/>
      </c>
      <c r="D1364" s="109" t="str">
        <f t="shared" si="87"/>
        <v/>
      </c>
      <c r="E1364" s="106" t="s">
        <v>1347</v>
      </c>
      <c r="F1364" s="58" t="s">
        <v>2776</v>
      </c>
      <c r="G1364" s="106">
        <v>12</v>
      </c>
      <c r="H1364" s="107"/>
      <c r="I1364" s="107"/>
      <c r="J1364" s="107"/>
      <c r="K1364" s="107"/>
      <c r="L1364" s="107"/>
      <c r="M1364" s="107"/>
      <c r="N1364" s="107"/>
      <c r="O1364" s="107"/>
      <c r="P1364" s="107"/>
    </row>
    <row r="1365" spans="1:16" x14ac:dyDescent="0.3">
      <c r="A1365" s="58" t="str">
        <f t="shared" si="84"/>
        <v>A083420</v>
      </c>
      <c r="B1365" s="59" t="str">
        <f t="shared" si="85"/>
        <v/>
      </c>
      <c r="C1365" s="59" t="str">
        <f t="shared" si="86"/>
        <v/>
      </c>
      <c r="D1365" s="109" t="str">
        <f t="shared" si="87"/>
        <v/>
      </c>
      <c r="E1365" s="106" t="s">
        <v>1348</v>
      </c>
      <c r="F1365" s="58" t="s">
        <v>2777</v>
      </c>
      <c r="G1365" s="106">
        <v>12</v>
      </c>
      <c r="H1365" s="107"/>
      <c r="I1365" s="107"/>
      <c r="J1365" s="107"/>
      <c r="K1365" s="107"/>
      <c r="L1365" s="107"/>
      <c r="M1365" s="107"/>
      <c r="N1365" s="107"/>
      <c r="O1365" s="107"/>
      <c r="P1365" s="107"/>
    </row>
    <row r="1366" spans="1:16" x14ac:dyDescent="0.3">
      <c r="A1366" s="58" t="str">
        <f t="shared" ref="A1366:A1429" si="88">E1366</f>
        <v>A083450</v>
      </c>
      <c r="B1366" s="59" t="str">
        <f t="shared" si="85"/>
        <v/>
      </c>
      <c r="C1366" s="59" t="str">
        <f t="shared" si="86"/>
        <v/>
      </c>
      <c r="D1366" s="109" t="str">
        <f t="shared" si="87"/>
        <v/>
      </c>
      <c r="E1366" s="106" t="s">
        <v>1349</v>
      </c>
      <c r="F1366" s="58" t="s">
        <v>2778</v>
      </c>
      <c r="G1366" s="106">
        <v>12</v>
      </c>
      <c r="H1366" s="107"/>
      <c r="I1366" s="107"/>
      <c r="J1366" s="107"/>
      <c r="K1366" s="107"/>
      <c r="L1366" s="107"/>
      <c r="M1366" s="107"/>
      <c r="N1366" s="107"/>
      <c r="O1366" s="107"/>
      <c r="P1366" s="107"/>
    </row>
    <row r="1367" spans="1:16" x14ac:dyDescent="0.3">
      <c r="A1367" s="58" t="str">
        <f t="shared" si="88"/>
        <v>A083470</v>
      </c>
      <c r="B1367" s="59" t="str">
        <f t="shared" si="85"/>
        <v/>
      </c>
      <c r="C1367" s="59" t="str">
        <f t="shared" si="86"/>
        <v/>
      </c>
      <c r="D1367" s="109" t="str">
        <f t="shared" si="87"/>
        <v/>
      </c>
      <c r="E1367" s="106" t="s">
        <v>1350</v>
      </c>
      <c r="F1367" s="58" t="s">
        <v>2779</v>
      </c>
      <c r="G1367" s="106">
        <v>12</v>
      </c>
      <c r="H1367" s="107"/>
      <c r="I1367" s="107"/>
      <c r="J1367" s="107"/>
      <c r="K1367" s="107"/>
      <c r="L1367" s="107"/>
      <c r="M1367" s="107"/>
      <c r="N1367" s="107"/>
      <c r="O1367" s="107"/>
      <c r="P1367" s="107"/>
    </row>
    <row r="1368" spans="1:16" x14ac:dyDescent="0.3">
      <c r="A1368" s="58" t="str">
        <f t="shared" si="88"/>
        <v>A083550</v>
      </c>
      <c r="B1368" s="59" t="str">
        <f t="shared" si="85"/>
        <v/>
      </c>
      <c r="C1368" s="59" t="str">
        <f t="shared" si="86"/>
        <v/>
      </c>
      <c r="D1368" s="109" t="str">
        <f t="shared" si="87"/>
        <v/>
      </c>
      <c r="E1368" s="106" t="s">
        <v>1351</v>
      </c>
      <c r="F1368" s="58" t="s">
        <v>2780</v>
      </c>
      <c r="G1368" s="106">
        <v>12</v>
      </c>
      <c r="H1368" s="107"/>
      <c r="I1368" s="107"/>
      <c r="J1368" s="107"/>
      <c r="K1368" s="107"/>
      <c r="L1368" s="107"/>
      <c r="M1368" s="107"/>
      <c r="N1368" s="107"/>
      <c r="O1368" s="107"/>
      <c r="P1368" s="107"/>
    </row>
    <row r="1369" spans="1:16" x14ac:dyDescent="0.3">
      <c r="A1369" s="58" t="str">
        <f t="shared" si="88"/>
        <v>A083640</v>
      </c>
      <c r="B1369" s="59" t="str">
        <f t="shared" si="85"/>
        <v/>
      </c>
      <c r="C1369" s="59" t="str">
        <f t="shared" si="86"/>
        <v/>
      </c>
      <c r="D1369" s="109" t="str">
        <f t="shared" si="87"/>
        <v/>
      </c>
      <c r="E1369" s="106" t="s">
        <v>1352</v>
      </c>
      <c r="F1369" s="58" t="s">
        <v>2781</v>
      </c>
      <c r="G1369" s="106">
        <v>12</v>
      </c>
      <c r="H1369" s="107"/>
      <c r="I1369" s="107"/>
      <c r="J1369" s="107"/>
      <c r="K1369" s="107"/>
      <c r="L1369" s="107"/>
      <c r="M1369" s="107"/>
      <c r="N1369" s="107"/>
      <c r="O1369" s="107"/>
      <c r="P1369" s="107"/>
    </row>
    <row r="1370" spans="1:16" x14ac:dyDescent="0.3">
      <c r="A1370" s="58" t="str">
        <f t="shared" si="88"/>
        <v>A083650</v>
      </c>
      <c r="B1370" s="59" t="str">
        <f t="shared" si="85"/>
        <v/>
      </c>
      <c r="C1370" s="59" t="str">
        <f t="shared" si="86"/>
        <v/>
      </c>
      <c r="D1370" s="109" t="str">
        <f t="shared" si="87"/>
        <v/>
      </c>
      <c r="E1370" s="106" t="s">
        <v>1353</v>
      </c>
      <c r="F1370" s="58" t="s">
        <v>2782</v>
      </c>
      <c r="G1370" s="106">
        <v>12</v>
      </c>
      <c r="H1370" s="107"/>
      <c r="I1370" s="107"/>
      <c r="J1370" s="107"/>
      <c r="K1370" s="107"/>
      <c r="L1370" s="107"/>
      <c r="M1370" s="107"/>
      <c r="N1370" s="107"/>
      <c r="O1370" s="107"/>
      <c r="P1370" s="107"/>
    </row>
    <row r="1371" spans="1:16" x14ac:dyDescent="0.3">
      <c r="A1371" s="58" t="str">
        <f t="shared" si="88"/>
        <v>A083660</v>
      </c>
      <c r="B1371" s="59" t="str">
        <f t="shared" si="85"/>
        <v/>
      </c>
      <c r="C1371" s="59" t="str">
        <f t="shared" si="86"/>
        <v/>
      </c>
      <c r="D1371" s="109" t="str">
        <f t="shared" si="87"/>
        <v/>
      </c>
      <c r="E1371" s="106" t="s">
        <v>1354</v>
      </c>
      <c r="F1371" s="58" t="s">
        <v>2783</v>
      </c>
      <c r="G1371" s="106">
        <v>12</v>
      </c>
      <c r="H1371" s="107"/>
      <c r="I1371" s="107"/>
      <c r="J1371" s="107"/>
      <c r="K1371" s="107"/>
      <c r="L1371" s="107"/>
      <c r="M1371" s="107"/>
      <c r="N1371" s="107"/>
      <c r="O1371" s="107"/>
      <c r="P1371" s="107"/>
    </row>
    <row r="1372" spans="1:16" x14ac:dyDescent="0.3">
      <c r="A1372" s="58" t="str">
        <f t="shared" si="88"/>
        <v>A083790</v>
      </c>
      <c r="B1372" s="59" t="str">
        <f t="shared" si="85"/>
        <v/>
      </c>
      <c r="C1372" s="59" t="str">
        <f t="shared" si="86"/>
        <v/>
      </c>
      <c r="D1372" s="109" t="str">
        <f t="shared" si="87"/>
        <v/>
      </c>
      <c r="E1372" s="106" t="s">
        <v>1355</v>
      </c>
      <c r="F1372" s="58" t="s">
        <v>2784</v>
      </c>
      <c r="G1372" s="106">
        <v>12</v>
      </c>
      <c r="H1372" s="107"/>
      <c r="I1372" s="107"/>
      <c r="J1372" s="107"/>
      <c r="K1372" s="107"/>
      <c r="L1372" s="107"/>
      <c r="M1372" s="107"/>
      <c r="N1372" s="107"/>
      <c r="O1372" s="107"/>
      <c r="P1372" s="107"/>
    </row>
    <row r="1373" spans="1:16" x14ac:dyDescent="0.3">
      <c r="A1373" s="58" t="str">
        <f t="shared" si="88"/>
        <v>A083930</v>
      </c>
      <c r="B1373" s="59" t="str">
        <f t="shared" si="85"/>
        <v/>
      </c>
      <c r="C1373" s="59" t="str">
        <f t="shared" si="86"/>
        <v/>
      </c>
      <c r="D1373" s="109" t="str">
        <f t="shared" si="87"/>
        <v/>
      </c>
      <c r="E1373" s="106" t="s">
        <v>1356</v>
      </c>
      <c r="F1373" s="58" t="s">
        <v>2785</v>
      </c>
      <c r="G1373" s="106">
        <v>12</v>
      </c>
      <c r="H1373" s="107"/>
      <c r="I1373" s="107"/>
      <c r="J1373" s="107"/>
      <c r="K1373" s="107"/>
      <c r="L1373" s="107"/>
      <c r="M1373" s="107"/>
      <c r="N1373" s="107"/>
      <c r="O1373" s="107"/>
      <c r="P1373" s="107"/>
    </row>
    <row r="1374" spans="1:16" x14ac:dyDescent="0.3">
      <c r="A1374" s="58" t="str">
        <f t="shared" si="88"/>
        <v>A084010</v>
      </c>
      <c r="B1374" s="59" t="str">
        <f t="shared" si="85"/>
        <v/>
      </c>
      <c r="C1374" s="59" t="str">
        <f t="shared" si="86"/>
        <v/>
      </c>
      <c r="D1374" s="109" t="str">
        <f t="shared" si="87"/>
        <v/>
      </c>
      <c r="E1374" s="106" t="s">
        <v>1357</v>
      </c>
      <c r="F1374" s="58" t="s">
        <v>2786</v>
      </c>
      <c r="G1374" s="106">
        <v>12</v>
      </c>
      <c r="H1374" s="107"/>
      <c r="I1374" s="107"/>
      <c r="J1374" s="107"/>
      <c r="K1374" s="107"/>
      <c r="L1374" s="107"/>
      <c r="M1374" s="107"/>
      <c r="N1374" s="107"/>
      <c r="O1374" s="107"/>
      <c r="P1374" s="107"/>
    </row>
    <row r="1375" spans="1:16" x14ac:dyDescent="0.3">
      <c r="A1375" s="58" t="str">
        <f t="shared" si="88"/>
        <v>A084110</v>
      </c>
      <c r="B1375" s="59" t="str">
        <f t="shared" si="85"/>
        <v/>
      </c>
      <c r="C1375" s="59" t="str">
        <f t="shared" si="86"/>
        <v/>
      </c>
      <c r="D1375" s="109" t="str">
        <f t="shared" si="87"/>
        <v/>
      </c>
      <c r="E1375" s="106" t="s">
        <v>1358</v>
      </c>
      <c r="F1375" s="58" t="s">
        <v>2787</v>
      </c>
      <c r="G1375" s="106">
        <v>12</v>
      </c>
      <c r="H1375" s="107"/>
      <c r="I1375" s="107"/>
      <c r="J1375" s="107"/>
      <c r="K1375" s="107"/>
      <c r="L1375" s="107"/>
      <c r="M1375" s="107"/>
      <c r="N1375" s="107"/>
      <c r="O1375" s="107"/>
      <c r="P1375" s="107"/>
    </row>
    <row r="1376" spans="1:16" x14ac:dyDescent="0.3">
      <c r="A1376" s="58" t="str">
        <f t="shared" si="88"/>
        <v>A084180</v>
      </c>
      <c r="B1376" s="59">
        <f t="shared" si="85"/>
        <v>41485</v>
      </c>
      <c r="C1376" s="59">
        <f t="shared" si="86"/>
        <v>41485</v>
      </c>
      <c r="D1376" s="109">
        <f t="shared" si="87"/>
        <v>1.05</v>
      </c>
      <c r="E1376" s="106" t="s">
        <v>1359</v>
      </c>
      <c r="F1376" s="58" t="s">
        <v>2788</v>
      </c>
      <c r="G1376" s="106">
        <v>12</v>
      </c>
      <c r="H1376" s="107">
        <v>20130730</v>
      </c>
      <c r="I1376" s="107">
        <v>20130730</v>
      </c>
      <c r="J1376" s="107">
        <v>1.05</v>
      </c>
      <c r="K1376" s="107"/>
      <c r="L1376" s="107"/>
      <c r="M1376" s="107"/>
      <c r="N1376" s="107"/>
      <c r="O1376" s="107"/>
      <c r="P1376" s="107"/>
    </row>
    <row r="1377" spans="1:16" x14ac:dyDescent="0.3">
      <c r="A1377" s="58" t="str">
        <f t="shared" si="88"/>
        <v>A084370</v>
      </c>
      <c r="B1377" s="59" t="str">
        <f t="shared" si="85"/>
        <v/>
      </c>
      <c r="C1377" s="59" t="str">
        <f t="shared" si="86"/>
        <v/>
      </c>
      <c r="D1377" s="109" t="str">
        <f t="shared" si="87"/>
        <v/>
      </c>
      <c r="E1377" s="106" t="s">
        <v>1360</v>
      </c>
      <c r="F1377" s="58" t="s">
        <v>2789</v>
      </c>
      <c r="G1377" s="106">
        <v>12</v>
      </c>
      <c r="H1377" s="107"/>
      <c r="I1377" s="107"/>
      <c r="J1377" s="107"/>
      <c r="K1377" s="107"/>
      <c r="L1377" s="107"/>
      <c r="M1377" s="107"/>
      <c r="N1377" s="107"/>
      <c r="O1377" s="107"/>
      <c r="P1377" s="107"/>
    </row>
    <row r="1378" spans="1:16" x14ac:dyDescent="0.3">
      <c r="A1378" s="58" t="str">
        <f t="shared" si="88"/>
        <v>A084670</v>
      </c>
      <c r="B1378" s="59" t="str">
        <f t="shared" si="85"/>
        <v/>
      </c>
      <c r="C1378" s="59" t="str">
        <f t="shared" si="86"/>
        <v/>
      </c>
      <c r="D1378" s="109" t="str">
        <f t="shared" si="87"/>
        <v/>
      </c>
      <c r="E1378" s="106" t="s">
        <v>1361</v>
      </c>
      <c r="F1378" s="58" t="s">
        <v>2790</v>
      </c>
      <c r="G1378" s="106">
        <v>12</v>
      </c>
      <c r="H1378" s="107"/>
      <c r="I1378" s="107"/>
      <c r="J1378" s="107"/>
      <c r="K1378" s="107"/>
      <c r="L1378" s="107"/>
      <c r="M1378" s="107"/>
      <c r="N1378" s="107"/>
      <c r="O1378" s="107"/>
      <c r="P1378" s="107"/>
    </row>
    <row r="1379" spans="1:16" x14ac:dyDescent="0.3">
      <c r="A1379" s="58" t="str">
        <f t="shared" si="88"/>
        <v>A084680</v>
      </c>
      <c r="B1379" s="59" t="str">
        <f t="shared" si="85"/>
        <v/>
      </c>
      <c r="C1379" s="59" t="str">
        <f t="shared" si="86"/>
        <v/>
      </c>
      <c r="D1379" s="109" t="str">
        <f t="shared" si="87"/>
        <v/>
      </c>
      <c r="E1379" s="106" t="s">
        <v>1362</v>
      </c>
      <c r="F1379" s="58" t="s">
        <v>2791</v>
      </c>
      <c r="G1379" s="106">
        <v>12</v>
      </c>
      <c r="H1379" s="107"/>
      <c r="I1379" s="107"/>
      <c r="J1379" s="107"/>
      <c r="K1379" s="107"/>
      <c r="L1379" s="107"/>
      <c r="M1379" s="107"/>
      <c r="N1379" s="107"/>
      <c r="O1379" s="107"/>
      <c r="P1379" s="107"/>
    </row>
    <row r="1380" spans="1:16" x14ac:dyDescent="0.3">
      <c r="A1380" s="58" t="str">
        <f t="shared" si="88"/>
        <v>A084690</v>
      </c>
      <c r="B1380" s="59" t="str">
        <f t="shared" si="85"/>
        <v/>
      </c>
      <c r="C1380" s="59" t="str">
        <f t="shared" si="86"/>
        <v/>
      </c>
      <c r="D1380" s="109" t="str">
        <f t="shared" si="87"/>
        <v/>
      </c>
      <c r="E1380" s="106" t="s">
        <v>1363</v>
      </c>
      <c r="F1380" s="58" t="s">
        <v>2792</v>
      </c>
      <c r="G1380" s="106">
        <v>12</v>
      </c>
      <c r="H1380" s="107"/>
      <c r="I1380" s="107"/>
      <c r="J1380" s="107"/>
      <c r="K1380" s="107"/>
      <c r="L1380" s="107"/>
      <c r="M1380" s="107"/>
      <c r="N1380" s="107"/>
      <c r="O1380" s="107"/>
      <c r="P1380" s="107"/>
    </row>
    <row r="1381" spans="1:16" x14ac:dyDescent="0.3">
      <c r="A1381" s="58" t="str">
        <f t="shared" si="88"/>
        <v>A084730</v>
      </c>
      <c r="B1381" s="59" t="str">
        <f t="shared" si="85"/>
        <v/>
      </c>
      <c r="C1381" s="59" t="str">
        <f t="shared" si="86"/>
        <v/>
      </c>
      <c r="D1381" s="109" t="str">
        <f t="shared" si="87"/>
        <v/>
      </c>
      <c r="E1381" s="106" t="s">
        <v>1364</v>
      </c>
      <c r="F1381" s="58" t="s">
        <v>2793</v>
      </c>
      <c r="G1381" s="106">
        <v>12</v>
      </c>
      <c r="H1381" s="107"/>
      <c r="I1381" s="107"/>
      <c r="J1381" s="107"/>
      <c r="K1381" s="107"/>
      <c r="L1381" s="107"/>
      <c r="M1381" s="107"/>
      <c r="N1381" s="107"/>
      <c r="O1381" s="107"/>
      <c r="P1381" s="107"/>
    </row>
    <row r="1382" spans="1:16" x14ac:dyDescent="0.3">
      <c r="A1382" s="58" t="str">
        <f t="shared" si="88"/>
        <v>A084870</v>
      </c>
      <c r="B1382" s="59">
        <f t="shared" si="85"/>
        <v>41485</v>
      </c>
      <c r="C1382" s="59" t="str">
        <f t="shared" si="86"/>
        <v/>
      </c>
      <c r="D1382" s="109" t="str">
        <f t="shared" si="87"/>
        <v/>
      </c>
      <c r="E1382" s="106" t="s">
        <v>1365</v>
      </c>
      <c r="F1382" s="58" t="s">
        <v>2794</v>
      </c>
      <c r="G1382" s="106">
        <v>12</v>
      </c>
      <c r="H1382" s="107">
        <v>20130730</v>
      </c>
      <c r="I1382" s="107"/>
      <c r="J1382" s="107"/>
      <c r="K1382" s="107"/>
      <c r="L1382" s="107"/>
      <c r="M1382" s="107"/>
      <c r="N1382" s="107"/>
      <c r="O1382" s="107"/>
      <c r="P1382" s="107"/>
    </row>
    <row r="1383" spans="1:16" x14ac:dyDescent="0.3">
      <c r="A1383" s="58" t="str">
        <f t="shared" si="88"/>
        <v>A084990</v>
      </c>
      <c r="B1383" s="59" t="str">
        <f t="shared" si="85"/>
        <v/>
      </c>
      <c r="C1383" s="59" t="str">
        <f t="shared" si="86"/>
        <v/>
      </c>
      <c r="D1383" s="109" t="str">
        <f t="shared" si="87"/>
        <v/>
      </c>
      <c r="E1383" s="106" t="s">
        <v>1366</v>
      </c>
      <c r="F1383" s="58" t="s">
        <v>2795</v>
      </c>
      <c r="G1383" s="106">
        <v>12</v>
      </c>
      <c r="H1383" s="107"/>
      <c r="I1383" s="107"/>
      <c r="J1383" s="107"/>
      <c r="K1383" s="107"/>
      <c r="L1383" s="107"/>
      <c r="M1383" s="107"/>
      <c r="N1383" s="107"/>
      <c r="O1383" s="107"/>
      <c r="P1383" s="107"/>
    </row>
    <row r="1384" spans="1:16" x14ac:dyDescent="0.3">
      <c r="A1384" s="58" t="str">
        <f t="shared" si="88"/>
        <v>A085310</v>
      </c>
      <c r="B1384" s="59" t="str">
        <f t="shared" si="85"/>
        <v/>
      </c>
      <c r="C1384" s="59" t="str">
        <f t="shared" si="86"/>
        <v/>
      </c>
      <c r="D1384" s="109" t="str">
        <f t="shared" si="87"/>
        <v/>
      </c>
      <c r="E1384" s="106" t="s">
        <v>1367</v>
      </c>
      <c r="F1384" s="58" t="s">
        <v>2796</v>
      </c>
      <c r="G1384" s="106">
        <v>12</v>
      </c>
      <c r="H1384" s="107"/>
      <c r="I1384" s="107"/>
      <c r="J1384" s="107"/>
      <c r="K1384" s="107"/>
      <c r="L1384" s="107"/>
      <c r="M1384" s="107"/>
      <c r="N1384" s="107"/>
      <c r="O1384" s="107"/>
      <c r="P1384" s="107"/>
    </row>
    <row r="1385" spans="1:16" x14ac:dyDescent="0.3">
      <c r="A1385" s="58" t="str">
        <f t="shared" si="88"/>
        <v>A085370</v>
      </c>
      <c r="B1385" s="59" t="str">
        <f t="shared" si="85"/>
        <v/>
      </c>
      <c r="C1385" s="59" t="str">
        <f t="shared" si="86"/>
        <v/>
      </c>
      <c r="D1385" s="109" t="str">
        <f t="shared" si="87"/>
        <v/>
      </c>
      <c r="E1385" s="106" t="s">
        <v>1368</v>
      </c>
      <c r="F1385" s="58" t="s">
        <v>2797</v>
      </c>
      <c r="G1385" s="106">
        <v>12</v>
      </c>
      <c r="H1385" s="107"/>
      <c r="I1385" s="107"/>
      <c r="J1385" s="107"/>
      <c r="K1385" s="107"/>
      <c r="L1385" s="107"/>
      <c r="M1385" s="107"/>
      <c r="N1385" s="107"/>
      <c r="O1385" s="107"/>
      <c r="P1385" s="107"/>
    </row>
    <row r="1386" spans="1:16" x14ac:dyDescent="0.3">
      <c r="A1386" s="58" t="str">
        <f t="shared" si="88"/>
        <v>A085660</v>
      </c>
      <c r="B1386" s="59" t="str">
        <f t="shared" si="85"/>
        <v/>
      </c>
      <c r="C1386" s="59" t="str">
        <f t="shared" si="86"/>
        <v/>
      </c>
      <c r="D1386" s="109" t="str">
        <f t="shared" si="87"/>
        <v/>
      </c>
      <c r="E1386" s="106" t="s">
        <v>1369</v>
      </c>
      <c r="F1386" s="58" t="s">
        <v>2798</v>
      </c>
      <c r="G1386" s="106">
        <v>12</v>
      </c>
      <c r="H1386" s="107"/>
      <c r="I1386" s="107"/>
      <c r="J1386" s="107"/>
      <c r="K1386" s="107"/>
      <c r="L1386" s="107"/>
      <c r="M1386" s="107"/>
      <c r="N1386" s="107"/>
      <c r="O1386" s="107"/>
      <c r="P1386" s="107"/>
    </row>
    <row r="1387" spans="1:16" x14ac:dyDescent="0.3">
      <c r="A1387" s="58" t="str">
        <f t="shared" si="88"/>
        <v>A085670</v>
      </c>
      <c r="B1387" s="59" t="str">
        <f t="shared" si="85"/>
        <v/>
      </c>
      <c r="C1387" s="59" t="str">
        <f t="shared" si="86"/>
        <v/>
      </c>
      <c r="D1387" s="109" t="str">
        <f t="shared" si="87"/>
        <v/>
      </c>
      <c r="E1387" s="106" t="s">
        <v>1370</v>
      </c>
      <c r="F1387" s="58" t="s">
        <v>2799</v>
      </c>
      <c r="G1387" s="106">
        <v>12</v>
      </c>
      <c r="H1387" s="107"/>
      <c r="I1387" s="107"/>
      <c r="J1387" s="107"/>
      <c r="K1387" s="107"/>
      <c r="L1387" s="107"/>
      <c r="M1387" s="107"/>
      <c r="N1387" s="107"/>
      <c r="O1387" s="107"/>
      <c r="P1387" s="107"/>
    </row>
    <row r="1388" spans="1:16" x14ac:dyDescent="0.3">
      <c r="A1388" s="58" t="str">
        <f t="shared" si="88"/>
        <v>A085910</v>
      </c>
      <c r="B1388" s="59" t="str">
        <f t="shared" si="85"/>
        <v/>
      </c>
      <c r="C1388" s="59" t="str">
        <f t="shared" si="86"/>
        <v/>
      </c>
      <c r="D1388" s="109" t="str">
        <f t="shared" si="87"/>
        <v/>
      </c>
      <c r="E1388" s="106" t="s">
        <v>1371</v>
      </c>
      <c r="F1388" s="58" t="s">
        <v>2800</v>
      </c>
      <c r="G1388" s="106">
        <v>12</v>
      </c>
      <c r="H1388" s="107"/>
      <c r="I1388" s="107"/>
      <c r="J1388" s="107"/>
      <c r="K1388" s="107"/>
      <c r="L1388" s="107"/>
      <c r="M1388" s="107"/>
      <c r="N1388" s="107"/>
      <c r="O1388" s="107"/>
      <c r="P1388" s="107"/>
    </row>
    <row r="1389" spans="1:16" x14ac:dyDescent="0.3">
      <c r="A1389" s="58" t="str">
        <f t="shared" si="88"/>
        <v>A086040</v>
      </c>
      <c r="B1389" s="59" t="str">
        <f t="shared" si="85"/>
        <v/>
      </c>
      <c r="C1389" s="59" t="str">
        <f t="shared" si="86"/>
        <v/>
      </c>
      <c r="D1389" s="109" t="str">
        <f t="shared" si="87"/>
        <v/>
      </c>
      <c r="E1389" s="106" t="s">
        <v>1372</v>
      </c>
      <c r="F1389" s="58" t="s">
        <v>2801</v>
      </c>
      <c r="G1389" s="106">
        <v>12</v>
      </c>
      <c r="H1389" s="107"/>
      <c r="I1389" s="107"/>
      <c r="J1389" s="107"/>
      <c r="K1389" s="107"/>
      <c r="L1389" s="107"/>
      <c r="M1389" s="107"/>
      <c r="N1389" s="107"/>
      <c r="O1389" s="107"/>
      <c r="P1389" s="107"/>
    </row>
    <row r="1390" spans="1:16" x14ac:dyDescent="0.3">
      <c r="A1390" s="58" t="str">
        <f t="shared" si="88"/>
        <v>A086060</v>
      </c>
      <c r="B1390" s="59" t="str">
        <f t="shared" si="85"/>
        <v/>
      </c>
      <c r="C1390" s="59" t="str">
        <f t="shared" si="86"/>
        <v/>
      </c>
      <c r="D1390" s="109" t="str">
        <f t="shared" si="87"/>
        <v/>
      </c>
      <c r="E1390" s="106" t="s">
        <v>1373</v>
      </c>
      <c r="F1390" s="58" t="s">
        <v>2802</v>
      </c>
      <c r="G1390" s="106">
        <v>12</v>
      </c>
      <c r="H1390" s="107"/>
      <c r="I1390" s="107"/>
      <c r="J1390" s="107"/>
      <c r="K1390" s="107"/>
      <c r="L1390" s="107"/>
      <c r="M1390" s="107"/>
      <c r="N1390" s="107"/>
      <c r="O1390" s="107"/>
      <c r="P1390" s="107"/>
    </row>
    <row r="1391" spans="1:16" x14ac:dyDescent="0.3">
      <c r="A1391" s="58" t="str">
        <f t="shared" si="88"/>
        <v>A086200</v>
      </c>
      <c r="B1391" s="59" t="str">
        <f t="shared" si="85"/>
        <v/>
      </c>
      <c r="C1391" s="59" t="str">
        <f t="shared" si="86"/>
        <v/>
      </c>
      <c r="D1391" s="109" t="str">
        <f t="shared" si="87"/>
        <v/>
      </c>
      <c r="E1391" s="106" t="s">
        <v>1374</v>
      </c>
      <c r="F1391" s="58" t="s">
        <v>2803</v>
      </c>
      <c r="G1391" s="106">
        <v>12</v>
      </c>
      <c r="H1391" s="107"/>
      <c r="I1391" s="107"/>
      <c r="J1391" s="107"/>
      <c r="K1391" s="107"/>
      <c r="L1391" s="107"/>
      <c r="M1391" s="107"/>
      <c r="N1391" s="107"/>
      <c r="O1391" s="107"/>
      <c r="P1391" s="107"/>
    </row>
    <row r="1392" spans="1:16" x14ac:dyDescent="0.3">
      <c r="A1392" s="58" t="str">
        <f t="shared" si="88"/>
        <v>A086250</v>
      </c>
      <c r="B1392" s="59" t="str">
        <f t="shared" si="85"/>
        <v/>
      </c>
      <c r="C1392" s="59" t="str">
        <f t="shared" si="86"/>
        <v/>
      </c>
      <c r="D1392" s="109" t="str">
        <f t="shared" si="87"/>
        <v/>
      </c>
      <c r="E1392" s="106" t="s">
        <v>1375</v>
      </c>
      <c r="F1392" s="58" t="s">
        <v>2804</v>
      </c>
      <c r="G1392" s="106">
        <v>12</v>
      </c>
      <c r="H1392" s="107"/>
      <c r="I1392" s="107"/>
      <c r="J1392" s="107"/>
      <c r="K1392" s="107"/>
      <c r="L1392" s="107"/>
      <c r="M1392" s="107"/>
      <c r="N1392" s="107"/>
      <c r="O1392" s="107"/>
      <c r="P1392" s="107"/>
    </row>
    <row r="1393" spans="1:16" x14ac:dyDescent="0.3">
      <c r="A1393" s="58" t="str">
        <f t="shared" si="88"/>
        <v>A086280</v>
      </c>
      <c r="B1393" s="59" t="str">
        <f t="shared" si="85"/>
        <v/>
      </c>
      <c r="C1393" s="59" t="str">
        <f t="shared" si="86"/>
        <v/>
      </c>
      <c r="D1393" s="109" t="str">
        <f t="shared" si="87"/>
        <v/>
      </c>
      <c r="E1393" s="106" t="s">
        <v>1376</v>
      </c>
      <c r="F1393" s="58" t="s">
        <v>2805</v>
      </c>
      <c r="G1393" s="106">
        <v>12</v>
      </c>
      <c r="H1393" s="107"/>
      <c r="I1393" s="107"/>
      <c r="J1393" s="107"/>
      <c r="K1393" s="107"/>
      <c r="L1393" s="107"/>
      <c r="M1393" s="107"/>
      <c r="N1393" s="107"/>
      <c r="O1393" s="107"/>
      <c r="P1393" s="107"/>
    </row>
    <row r="1394" spans="1:16" x14ac:dyDescent="0.3">
      <c r="A1394" s="58" t="str">
        <f t="shared" si="88"/>
        <v>A086390</v>
      </c>
      <c r="B1394" s="59" t="str">
        <f t="shared" si="85"/>
        <v/>
      </c>
      <c r="C1394" s="59" t="str">
        <f t="shared" si="86"/>
        <v/>
      </c>
      <c r="D1394" s="109" t="str">
        <f t="shared" si="87"/>
        <v/>
      </c>
      <c r="E1394" s="106" t="s">
        <v>1377</v>
      </c>
      <c r="F1394" s="58" t="s">
        <v>2806</v>
      </c>
      <c r="G1394" s="106">
        <v>12</v>
      </c>
      <c r="H1394" s="107"/>
      <c r="I1394" s="107"/>
      <c r="J1394" s="107"/>
      <c r="K1394" s="107"/>
      <c r="L1394" s="107"/>
      <c r="M1394" s="107"/>
      <c r="N1394" s="107"/>
      <c r="O1394" s="107"/>
      <c r="P1394" s="107"/>
    </row>
    <row r="1395" spans="1:16" x14ac:dyDescent="0.3">
      <c r="A1395" s="58" t="str">
        <f t="shared" si="88"/>
        <v>A086450</v>
      </c>
      <c r="B1395" s="59" t="str">
        <f t="shared" si="85"/>
        <v/>
      </c>
      <c r="C1395" s="59" t="str">
        <f t="shared" si="86"/>
        <v/>
      </c>
      <c r="D1395" s="109" t="str">
        <f t="shared" si="87"/>
        <v/>
      </c>
      <c r="E1395" s="106" t="s">
        <v>1378</v>
      </c>
      <c r="F1395" s="58" t="s">
        <v>2807</v>
      </c>
      <c r="G1395" s="106">
        <v>12</v>
      </c>
      <c r="H1395" s="107"/>
      <c r="I1395" s="107"/>
      <c r="J1395" s="107"/>
      <c r="K1395" s="107"/>
      <c r="L1395" s="107"/>
      <c r="M1395" s="107"/>
      <c r="N1395" s="107"/>
      <c r="O1395" s="107"/>
      <c r="P1395" s="107"/>
    </row>
    <row r="1396" spans="1:16" x14ac:dyDescent="0.3">
      <c r="A1396" s="58" t="str">
        <f t="shared" si="88"/>
        <v>A086520</v>
      </c>
      <c r="B1396" s="59" t="str">
        <f t="shared" si="85"/>
        <v/>
      </c>
      <c r="C1396" s="59" t="str">
        <f t="shared" si="86"/>
        <v/>
      </c>
      <c r="D1396" s="109" t="str">
        <f t="shared" si="87"/>
        <v/>
      </c>
      <c r="E1396" s="106" t="s">
        <v>1379</v>
      </c>
      <c r="F1396" s="58" t="s">
        <v>2808</v>
      </c>
      <c r="G1396" s="106">
        <v>12</v>
      </c>
      <c r="H1396" s="107"/>
      <c r="I1396" s="107"/>
      <c r="J1396" s="107"/>
      <c r="K1396" s="107"/>
      <c r="L1396" s="107"/>
      <c r="M1396" s="107"/>
      <c r="N1396" s="107"/>
      <c r="O1396" s="107"/>
      <c r="P1396" s="107"/>
    </row>
    <row r="1397" spans="1:16" x14ac:dyDescent="0.3">
      <c r="A1397" s="58" t="str">
        <f t="shared" si="88"/>
        <v>A086670</v>
      </c>
      <c r="B1397" s="59" t="str">
        <f t="shared" si="85"/>
        <v/>
      </c>
      <c r="C1397" s="59" t="str">
        <f t="shared" si="86"/>
        <v/>
      </c>
      <c r="D1397" s="109" t="str">
        <f t="shared" si="87"/>
        <v/>
      </c>
      <c r="E1397" s="106" t="s">
        <v>1380</v>
      </c>
      <c r="F1397" s="58" t="s">
        <v>2809</v>
      </c>
      <c r="G1397" s="106">
        <v>12</v>
      </c>
      <c r="H1397" s="107"/>
      <c r="I1397" s="107"/>
      <c r="J1397" s="107"/>
      <c r="K1397" s="107"/>
      <c r="L1397" s="107"/>
      <c r="M1397" s="107"/>
      <c r="N1397" s="107"/>
      <c r="O1397" s="107"/>
      <c r="P1397" s="107"/>
    </row>
    <row r="1398" spans="1:16" x14ac:dyDescent="0.3">
      <c r="A1398" s="58" t="str">
        <f t="shared" si="88"/>
        <v>A086790</v>
      </c>
      <c r="B1398" s="59">
        <f t="shared" si="85"/>
        <v>41474</v>
      </c>
      <c r="C1398" s="59">
        <f t="shared" si="86"/>
        <v>41474</v>
      </c>
      <c r="D1398" s="109">
        <f t="shared" si="87"/>
        <v>250.66</v>
      </c>
      <c r="E1398" s="106" t="s">
        <v>1381</v>
      </c>
      <c r="F1398" s="58" t="s">
        <v>2810</v>
      </c>
      <c r="G1398" s="106">
        <v>12</v>
      </c>
      <c r="H1398" s="107">
        <v>20130719</v>
      </c>
      <c r="I1398" s="107">
        <v>20130719</v>
      </c>
      <c r="J1398" s="107">
        <v>250.66</v>
      </c>
      <c r="K1398" s="107"/>
      <c r="L1398" s="107"/>
      <c r="M1398" s="107"/>
      <c r="N1398" s="107"/>
      <c r="O1398" s="107"/>
      <c r="P1398" s="107"/>
    </row>
    <row r="1399" spans="1:16" x14ac:dyDescent="0.3">
      <c r="A1399" s="58" t="str">
        <f t="shared" si="88"/>
        <v>A086830</v>
      </c>
      <c r="B1399" s="59" t="str">
        <f t="shared" si="85"/>
        <v/>
      </c>
      <c r="C1399" s="59" t="str">
        <f t="shared" si="86"/>
        <v/>
      </c>
      <c r="D1399" s="109" t="str">
        <f t="shared" si="87"/>
        <v/>
      </c>
      <c r="E1399" s="106" t="s">
        <v>1382</v>
      </c>
      <c r="F1399" s="58" t="s">
        <v>2811</v>
      </c>
      <c r="G1399" s="106">
        <v>12</v>
      </c>
      <c r="H1399" s="107"/>
      <c r="I1399" s="107"/>
      <c r="J1399" s="107"/>
      <c r="K1399" s="107"/>
      <c r="L1399" s="107"/>
      <c r="M1399" s="107"/>
      <c r="N1399" s="107"/>
      <c r="O1399" s="107"/>
      <c r="P1399" s="107"/>
    </row>
    <row r="1400" spans="1:16" x14ac:dyDescent="0.3">
      <c r="A1400" s="58" t="str">
        <f t="shared" si="88"/>
        <v>A086890</v>
      </c>
      <c r="B1400" s="59" t="str">
        <f t="shared" si="85"/>
        <v/>
      </c>
      <c r="C1400" s="59" t="str">
        <f t="shared" si="86"/>
        <v/>
      </c>
      <c r="D1400" s="109" t="str">
        <f t="shared" si="87"/>
        <v/>
      </c>
      <c r="E1400" s="106" t="s">
        <v>1383</v>
      </c>
      <c r="F1400" s="58" t="s">
        <v>2812</v>
      </c>
      <c r="G1400" s="106">
        <v>12</v>
      </c>
      <c r="H1400" s="107"/>
      <c r="I1400" s="107"/>
      <c r="J1400" s="107"/>
      <c r="K1400" s="107"/>
      <c r="L1400" s="107"/>
      <c r="M1400" s="107"/>
      <c r="N1400" s="107"/>
      <c r="O1400" s="107"/>
      <c r="P1400" s="107"/>
    </row>
    <row r="1401" spans="1:16" x14ac:dyDescent="0.3">
      <c r="A1401" s="58" t="str">
        <f t="shared" si="88"/>
        <v>A086900</v>
      </c>
      <c r="B1401" s="59" t="str">
        <f t="shared" si="85"/>
        <v/>
      </c>
      <c r="C1401" s="59" t="str">
        <f t="shared" si="86"/>
        <v/>
      </c>
      <c r="D1401" s="109" t="str">
        <f t="shared" si="87"/>
        <v/>
      </c>
      <c r="E1401" s="106" t="s">
        <v>1384</v>
      </c>
      <c r="F1401" s="58" t="s">
        <v>2813</v>
      </c>
      <c r="G1401" s="106">
        <v>12</v>
      </c>
      <c r="H1401" s="107"/>
      <c r="I1401" s="107"/>
      <c r="J1401" s="107"/>
      <c r="K1401" s="107"/>
      <c r="L1401" s="107"/>
      <c r="M1401" s="107"/>
      <c r="N1401" s="107"/>
      <c r="O1401" s="107"/>
      <c r="P1401" s="107"/>
    </row>
    <row r="1402" spans="1:16" x14ac:dyDescent="0.3">
      <c r="A1402" s="58" t="str">
        <f t="shared" si="88"/>
        <v>A086960</v>
      </c>
      <c r="B1402" s="59" t="str">
        <f t="shared" si="85"/>
        <v/>
      </c>
      <c r="C1402" s="59" t="str">
        <f t="shared" si="86"/>
        <v/>
      </c>
      <c r="D1402" s="109" t="str">
        <f t="shared" si="87"/>
        <v/>
      </c>
      <c r="E1402" s="106" t="s">
        <v>1385</v>
      </c>
      <c r="F1402" s="58" t="s">
        <v>2814</v>
      </c>
      <c r="G1402" s="106">
        <v>12</v>
      </c>
      <c r="H1402" s="107"/>
      <c r="I1402" s="107"/>
      <c r="J1402" s="107"/>
      <c r="K1402" s="107"/>
      <c r="L1402" s="107"/>
      <c r="M1402" s="107"/>
      <c r="N1402" s="107"/>
      <c r="O1402" s="107"/>
      <c r="P1402" s="107"/>
    </row>
    <row r="1403" spans="1:16" x14ac:dyDescent="0.3">
      <c r="A1403" s="58" t="str">
        <f t="shared" si="88"/>
        <v>A086980</v>
      </c>
      <c r="B1403" s="59" t="str">
        <f t="shared" si="85"/>
        <v/>
      </c>
      <c r="C1403" s="59" t="str">
        <f t="shared" si="86"/>
        <v/>
      </c>
      <c r="D1403" s="109" t="str">
        <f t="shared" si="87"/>
        <v/>
      </c>
      <c r="E1403" s="106" t="s">
        <v>1386</v>
      </c>
      <c r="F1403" s="58" t="s">
        <v>2815</v>
      </c>
      <c r="G1403" s="106">
        <v>12</v>
      </c>
      <c r="H1403" s="107"/>
      <c r="I1403" s="107"/>
      <c r="J1403" s="107"/>
      <c r="K1403" s="107"/>
      <c r="L1403" s="107"/>
      <c r="M1403" s="107"/>
      <c r="N1403" s="107"/>
      <c r="O1403" s="107"/>
      <c r="P1403" s="107"/>
    </row>
    <row r="1404" spans="1:16" x14ac:dyDescent="0.3">
      <c r="A1404" s="58" t="str">
        <f t="shared" si="88"/>
        <v>A087220</v>
      </c>
      <c r="B1404" s="59" t="str">
        <f t="shared" si="85"/>
        <v/>
      </c>
      <c r="C1404" s="59" t="str">
        <f t="shared" si="86"/>
        <v/>
      </c>
      <c r="D1404" s="109" t="str">
        <f t="shared" si="87"/>
        <v/>
      </c>
      <c r="E1404" s="106" t="s">
        <v>1387</v>
      </c>
      <c r="F1404" s="58" t="s">
        <v>2816</v>
      </c>
      <c r="G1404" s="106">
        <v>12</v>
      </c>
      <c r="H1404" s="107"/>
      <c r="I1404" s="107"/>
      <c r="J1404" s="107"/>
      <c r="K1404" s="107"/>
      <c r="L1404" s="107"/>
      <c r="M1404" s="107"/>
      <c r="N1404" s="107"/>
      <c r="O1404" s="107"/>
      <c r="P1404" s="107"/>
    </row>
    <row r="1405" spans="1:16" x14ac:dyDescent="0.3">
      <c r="A1405" s="58" t="str">
        <f t="shared" si="88"/>
        <v>A087730</v>
      </c>
      <c r="B1405" s="59" t="str">
        <f t="shared" si="85"/>
        <v/>
      </c>
      <c r="C1405" s="59" t="str">
        <f t="shared" si="86"/>
        <v/>
      </c>
      <c r="D1405" s="109" t="str">
        <f t="shared" si="87"/>
        <v/>
      </c>
      <c r="E1405" s="106" t="s">
        <v>1388</v>
      </c>
      <c r="F1405" s="58" t="s">
        <v>2817</v>
      </c>
      <c r="G1405" s="106">
        <v>12</v>
      </c>
      <c r="H1405" s="107"/>
      <c r="I1405" s="107"/>
      <c r="J1405" s="107"/>
      <c r="K1405" s="107"/>
      <c r="L1405" s="107"/>
      <c r="M1405" s="107"/>
      <c r="N1405" s="107"/>
      <c r="O1405" s="107"/>
      <c r="P1405" s="107"/>
    </row>
    <row r="1406" spans="1:16" x14ac:dyDescent="0.3">
      <c r="A1406" s="58" t="str">
        <f t="shared" si="88"/>
        <v>A088130</v>
      </c>
      <c r="B1406" s="59" t="str">
        <f t="shared" si="85"/>
        <v/>
      </c>
      <c r="C1406" s="59" t="str">
        <f t="shared" si="86"/>
        <v/>
      </c>
      <c r="D1406" s="109" t="str">
        <f t="shared" si="87"/>
        <v/>
      </c>
      <c r="E1406" s="106" t="s">
        <v>1389</v>
      </c>
      <c r="F1406" s="58" t="s">
        <v>2818</v>
      </c>
      <c r="G1406" s="106">
        <v>12</v>
      </c>
      <c r="H1406" s="107"/>
      <c r="I1406" s="107"/>
      <c r="J1406" s="107"/>
      <c r="K1406" s="107"/>
      <c r="L1406" s="107"/>
      <c r="M1406" s="107"/>
      <c r="N1406" s="107"/>
      <c r="O1406" s="107"/>
      <c r="P1406" s="107"/>
    </row>
    <row r="1407" spans="1:16" x14ac:dyDescent="0.3">
      <c r="A1407" s="58" t="str">
        <f t="shared" si="88"/>
        <v>A088290</v>
      </c>
      <c r="B1407" s="59" t="str">
        <f t="shared" si="85"/>
        <v/>
      </c>
      <c r="C1407" s="59" t="str">
        <f t="shared" si="86"/>
        <v/>
      </c>
      <c r="D1407" s="109" t="str">
        <f t="shared" si="87"/>
        <v/>
      </c>
      <c r="E1407" s="106" t="s">
        <v>3178</v>
      </c>
      <c r="F1407" s="58" t="s">
        <v>3379</v>
      </c>
      <c r="G1407" s="106">
        <v>12</v>
      </c>
      <c r="H1407" s="107"/>
      <c r="I1407" s="107"/>
      <c r="J1407" s="107"/>
      <c r="K1407" s="107"/>
      <c r="L1407" s="107"/>
      <c r="M1407" s="107"/>
      <c r="N1407" s="107"/>
      <c r="O1407" s="107"/>
      <c r="P1407" s="107"/>
    </row>
    <row r="1408" spans="1:16" x14ac:dyDescent="0.3">
      <c r="A1408" s="58" t="str">
        <f t="shared" si="88"/>
        <v>A088350</v>
      </c>
      <c r="B1408" s="59" t="str">
        <f t="shared" si="85"/>
        <v/>
      </c>
      <c r="C1408" s="59" t="str">
        <f t="shared" si="86"/>
        <v/>
      </c>
      <c r="D1408" s="109" t="str">
        <f t="shared" si="87"/>
        <v/>
      </c>
      <c r="E1408" s="106" t="s">
        <v>3179</v>
      </c>
      <c r="F1408" s="58" t="s">
        <v>3380</v>
      </c>
      <c r="G1408" s="106">
        <v>3</v>
      </c>
      <c r="H1408" s="107"/>
      <c r="I1408" s="107"/>
      <c r="J1408" s="107"/>
      <c r="K1408" s="107"/>
      <c r="L1408" s="107"/>
      <c r="M1408" s="107"/>
      <c r="N1408" s="107"/>
      <c r="O1408" s="107"/>
      <c r="P1408" s="107"/>
    </row>
    <row r="1409" spans="1:16" x14ac:dyDescent="0.3">
      <c r="A1409" s="58" t="str">
        <f t="shared" si="88"/>
        <v>A088390</v>
      </c>
      <c r="B1409" s="59" t="str">
        <f t="shared" si="85"/>
        <v/>
      </c>
      <c r="C1409" s="59" t="str">
        <f t="shared" si="86"/>
        <v/>
      </c>
      <c r="D1409" s="109" t="str">
        <f t="shared" si="87"/>
        <v/>
      </c>
      <c r="E1409" s="106" t="s">
        <v>1390</v>
      </c>
      <c r="F1409" s="58" t="s">
        <v>2819</v>
      </c>
      <c r="G1409" s="106">
        <v>12</v>
      </c>
      <c r="H1409" s="107"/>
      <c r="I1409" s="107"/>
      <c r="J1409" s="107"/>
      <c r="K1409" s="107"/>
      <c r="L1409" s="107"/>
      <c r="M1409" s="107"/>
      <c r="N1409" s="107"/>
      <c r="O1409" s="107"/>
      <c r="P1409" s="107"/>
    </row>
    <row r="1410" spans="1:16" x14ac:dyDescent="0.3">
      <c r="A1410" s="58" t="str">
        <f t="shared" si="88"/>
        <v>A088790</v>
      </c>
      <c r="B1410" s="59" t="str">
        <f t="shared" si="85"/>
        <v/>
      </c>
      <c r="C1410" s="59" t="str">
        <f t="shared" si="86"/>
        <v/>
      </c>
      <c r="D1410" s="109" t="str">
        <f t="shared" si="87"/>
        <v/>
      </c>
      <c r="E1410" s="106" t="s">
        <v>1391</v>
      </c>
      <c r="F1410" s="58" t="s">
        <v>2820</v>
      </c>
      <c r="G1410" s="106">
        <v>12</v>
      </c>
      <c r="H1410" s="107"/>
      <c r="I1410" s="107"/>
      <c r="J1410" s="107"/>
      <c r="K1410" s="107"/>
      <c r="L1410" s="107"/>
      <c r="M1410" s="107"/>
      <c r="N1410" s="107"/>
      <c r="O1410" s="107"/>
      <c r="P1410" s="107"/>
    </row>
    <row r="1411" spans="1:16" x14ac:dyDescent="0.3">
      <c r="A1411" s="58" t="str">
        <f t="shared" si="88"/>
        <v>A088800</v>
      </c>
      <c r="B1411" s="59" t="str">
        <f t="shared" si="85"/>
        <v/>
      </c>
      <c r="C1411" s="59" t="str">
        <f t="shared" si="86"/>
        <v/>
      </c>
      <c r="D1411" s="109" t="str">
        <f t="shared" si="87"/>
        <v/>
      </c>
      <c r="E1411" s="106" t="s">
        <v>1392</v>
      </c>
      <c r="F1411" s="58" t="s">
        <v>2821</v>
      </c>
      <c r="G1411" s="106">
        <v>12</v>
      </c>
      <c r="H1411" s="107"/>
      <c r="I1411" s="107"/>
      <c r="J1411" s="107"/>
      <c r="K1411" s="107"/>
      <c r="L1411" s="107"/>
      <c r="M1411" s="107"/>
      <c r="N1411" s="107"/>
      <c r="O1411" s="107"/>
      <c r="P1411" s="107"/>
    </row>
    <row r="1412" spans="1:16" x14ac:dyDescent="0.3">
      <c r="A1412" s="58" t="str">
        <f t="shared" si="88"/>
        <v>A088910</v>
      </c>
      <c r="B1412" s="59" t="str">
        <f t="shared" si="85"/>
        <v/>
      </c>
      <c r="C1412" s="59" t="str">
        <f t="shared" si="86"/>
        <v/>
      </c>
      <c r="D1412" s="109" t="str">
        <f t="shared" si="87"/>
        <v/>
      </c>
      <c r="E1412" s="106" t="s">
        <v>1393</v>
      </c>
      <c r="F1412" s="58" t="s">
        <v>2822</v>
      </c>
      <c r="G1412" s="106">
        <v>12</v>
      </c>
      <c r="H1412" s="107"/>
      <c r="I1412" s="107"/>
      <c r="J1412" s="107"/>
      <c r="K1412" s="107"/>
      <c r="L1412" s="107"/>
      <c r="M1412" s="107"/>
      <c r="N1412" s="107"/>
      <c r="O1412" s="107"/>
      <c r="P1412" s="107"/>
    </row>
    <row r="1413" spans="1:16" x14ac:dyDescent="0.3">
      <c r="A1413" s="58" t="str">
        <f t="shared" si="88"/>
        <v>A089010</v>
      </c>
      <c r="B1413" s="59" t="str">
        <f t="shared" si="85"/>
        <v/>
      </c>
      <c r="C1413" s="59" t="str">
        <f t="shared" si="86"/>
        <v/>
      </c>
      <c r="D1413" s="109" t="str">
        <f t="shared" si="87"/>
        <v/>
      </c>
      <c r="E1413" s="106" t="s">
        <v>1394</v>
      </c>
      <c r="F1413" s="58" t="s">
        <v>2823</v>
      </c>
      <c r="G1413" s="106">
        <v>12</v>
      </c>
      <c r="H1413" s="107"/>
      <c r="I1413" s="107"/>
      <c r="J1413" s="107"/>
      <c r="K1413" s="107"/>
      <c r="L1413" s="107"/>
      <c r="M1413" s="107"/>
      <c r="N1413" s="107"/>
      <c r="O1413" s="107"/>
      <c r="P1413" s="107"/>
    </row>
    <row r="1414" spans="1:16" x14ac:dyDescent="0.3">
      <c r="A1414" s="58" t="str">
        <f t="shared" si="88"/>
        <v>A089030</v>
      </c>
      <c r="B1414" s="59" t="str">
        <f t="shared" si="85"/>
        <v/>
      </c>
      <c r="C1414" s="59" t="str">
        <f t="shared" si="86"/>
        <v/>
      </c>
      <c r="D1414" s="109" t="str">
        <f t="shared" si="87"/>
        <v/>
      </c>
      <c r="E1414" s="106" t="s">
        <v>3180</v>
      </c>
      <c r="F1414" s="58" t="s">
        <v>3381</v>
      </c>
      <c r="G1414" s="106">
        <v>12</v>
      </c>
      <c r="H1414" s="107"/>
      <c r="I1414" s="107"/>
      <c r="J1414" s="107"/>
      <c r="K1414" s="107"/>
      <c r="L1414" s="107"/>
      <c r="M1414" s="107"/>
      <c r="N1414" s="107"/>
      <c r="O1414" s="107"/>
      <c r="P1414" s="107"/>
    </row>
    <row r="1415" spans="1:16" x14ac:dyDescent="0.3">
      <c r="A1415" s="58" t="str">
        <f t="shared" si="88"/>
        <v>A089140</v>
      </c>
      <c r="B1415" s="59" t="str">
        <f t="shared" si="85"/>
        <v/>
      </c>
      <c r="C1415" s="59" t="str">
        <f t="shared" si="86"/>
        <v/>
      </c>
      <c r="D1415" s="109" t="str">
        <f t="shared" si="87"/>
        <v/>
      </c>
      <c r="E1415" s="106" t="s">
        <v>1395</v>
      </c>
      <c r="F1415" s="58" t="s">
        <v>2824</v>
      </c>
      <c r="G1415" s="106">
        <v>12</v>
      </c>
      <c r="H1415" s="107"/>
      <c r="I1415" s="107"/>
      <c r="J1415" s="107"/>
      <c r="K1415" s="107"/>
      <c r="L1415" s="107"/>
      <c r="M1415" s="107"/>
      <c r="N1415" s="107"/>
      <c r="O1415" s="107"/>
      <c r="P1415" s="107"/>
    </row>
    <row r="1416" spans="1:16" x14ac:dyDescent="0.3">
      <c r="A1416" s="58" t="str">
        <f t="shared" si="88"/>
        <v>A089150</v>
      </c>
      <c r="B1416" s="59" t="str">
        <f t="shared" si="85"/>
        <v/>
      </c>
      <c r="C1416" s="59" t="str">
        <f t="shared" si="86"/>
        <v/>
      </c>
      <c r="D1416" s="109" t="str">
        <f t="shared" si="87"/>
        <v/>
      </c>
      <c r="E1416" s="106" t="s">
        <v>1396</v>
      </c>
      <c r="F1416" s="58" t="s">
        <v>2825</v>
      </c>
      <c r="G1416" s="106">
        <v>12</v>
      </c>
      <c r="H1416" s="107"/>
      <c r="I1416" s="107"/>
      <c r="J1416" s="107"/>
      <c r="K1416" s="107"/>
      <c r="L1416" s="107"/>
      <c r="M1416" s="107"/>
      <c r="N1416" s="107"/>
      <c r="O1416" s="107"/>
      <c r="P1416" s="107"/>
    </row>
    <row r="1417" spans="1:16" x14ac:dyDescent="0.3">
      <c r="A1417" s="58" t="str">
        <f t="shared" si="88"/>
        <v>A089230</v>
      </c>
      <c r="B1417" s="59" t="str">
        <f t="shared" si="85"/>
        <v/>
      </c>
      <c r="C1417" s="59" t="str">
        <f t="shared" si="86"/>
        <v/>
      </c>
      <c r="D1417" s="109" t="str">
        <f t="shared" si="87"/>
        <v/>
      </c>
      <c r="E1417" s="106" t="s">
        <v>1397</v>
      </c>
      <c r="F1417" s="58" t="s">
        <v>2826</v>
      </c>
      <c r="G1417" s="106">
        <v>12</v>
      </c>
      <c r="H1417" s="107"/>
      <c r="I1417" s="107"/>
      <c r="J1417" s="107"/>
      <c r="K1417" s="107"/>
      <c r="L1417" s="107"/>
      <c r="M1417" s="107"/>
      <c r="N1417" s="107"/>
      <c r="O1417" s="107"/>
      <c r="P1417" s="107"/>
    </row>
    <row r="1418" spans="1:16" x14ac:dyDescent="0.3">
      <c r="A1418" s="58" t="str">
        <f t="shared" si="88"/>
        <v>A089470</v>
      </c>
      <c r="B1418" s="59" t="str">
        <f t="shared" si="85"/>
        <v/>
      </c>
      <c r="C1418" s="59" t="str">
        <f t="shared" si="86"/>
        <v/>
      </c>
      <c r="D1418" s="109" t="str">
        <f t="shared" si="87"/>
        <v/>
      </c>
      <c r="E1418" s="106" t="s">
        <v>1398</v>
      </c>
      <c r="F1418" s="58" t="s">
        <v>2827</v>
      </c>
      <c r="G1418" s="106">
        <v>12</v>
      </c>
      <c r="H1418" s="107"/>
      <c r="I1418" s="107"/>
      <c r="J1418" s="107"/>
      <c r="K1418" s="107"/>
      <c r="L1418" s="107"/>
      <c r="M1418" s="107"/>
      <c r="N1418" s="107"/>
      <c r="O1418" s="107"/>
      <c r="P1418" s="107"/>
    </row>
    <row r="1419" spans="1:16" x14ac:dyDescent="0.3">
      <c r="A1419" s="58" t="str">
        <f t="shared" si="88"/>
        <v>A089530</v>
      </c>
      <c r="B1419" s="59" t="str">
        <f t="shared" si="85"/>
        <v/>
      </c>
      <c r="C1419" s="59" t="str">
        <f t="shared" si="86"/>
        <v/>
      </c>
      <c r="D1419" s="109" t="str">
        <f t="shared" si="87"/>
        <v/>
      </c>
      <c r="E1419" s="106" t="s">
        <v>3181</v>
      </c>
      <c r="F1419" s="58" t="s">
        <v>3382</v>
      </c>
      <c r="G1419" s="106">
        <v>12</v>
      </c>
      <c r="H1419" s="107"/>
      <c r="I1419" s="107"/>
      <c r="J1419" s="107"/>
      <c r="K1419" s="107"/>
      <c r="L1419" s="107"/>
      <c r="M1419" s="107"/>
      <c r="N1419" s="107"/>
      <c r="O1419" s="107"/>
      <c r="P1419" s="107"/>
    </row>
    <row r="1420" spans="1:16" x14ac:dyDescent="0.3">
      <c r="A1420" s="58" t="str">
        <f t="shared" si="88"/>
        <v>A089790</v>
      </c>
      <c r="B1420" s="59" t="str">
        <f t="shared" si="85"/>
        <v/>
      </c>
      <c r="C1420" s="59" t="str">
        <f t="shared" si="86"/>
        <v/>
      </c>
      <c r="D1420" s="109" t="str">
        <f t="shared" si="87"/>
        <v/>
      </c>
      <c r="E1420" s="106" t="s">
        <v>1399</v>
      </c>
      <c r="F1420" s="58" t="s">
        <v>2828</v>
      </c>
      <c r="G1420" s="106">
        <v>12</v>
      </c>
      <c r="H1420" s="107"/>
      <c r="I1420" s="107"/>
      <c r="J1420" s="107"/>
      <c r="K1420" s="107"/>
      <c r="L1420" s="107"/>
      <c r="M1420" s="107"/>
      <c r="N1420" s="107"/>
      <c r="O1420" s="107"/>
      <c r="P1420" s="107"/>
    </row>
    <row r="1421" spans="1:16" x14ac:dyDescent="0.3">
      <c r="A1421" s="58" t="str">
        <f t="shared" si="88"/>
        <v>A089850</v>
      </c>
      <c r="B1421" s="59" t="str">
        <f t="shared" si="85"/>
        <v/>
      </c>
      <c r="C1421" s="59" t="str">
        <f t="shared" si="86"/>
        <v/>
      </c>
      <c r="D1421" s="109" t="str">
        <f t="shared" si="87"/>
        <v/>
      </c>
      <c r="E1421" s="106" t="s">
        <v>3182</v>
      </c>
      <c r="F1421" s="58" t="s">
        <v>3383</v>
      </c>
      <c r="G1421" s="106">
        <v>12</v>
      </c>
      <c r="H1421" s="107"/>
      <c r="I1421" s="107"/>
      <c r="J1421" s="107"/>
      <c r="K1421" s="107"/>
      <c r="L1421" s="107"/>
      <c r="M1421" s="107"/>
      <c r="N1421" s="107"/>
      <c r="O1421" s="107"/>
      <c r="P1421" s="107"/>
    </row>
    <row r="1422" spans="1:16" x14ac:dyDescent="0.3">
      <c r="A1422" s="58" t="str">
        <f t="shared" si="88"/>
        <v>A089890</v>
      </c>
      <c r="B1422" s="59" t="str">
        <f t="shared" si="85"/>
        <v/>
      </c>
      <c r="C1422" s="59" t="str">
        <f t="shared" si="86"/>
        <v/>
      </c>
      <c r="D1422" s="109" t="str">
        <f t="shared" si="87"/>
        <v/>
      </c>
      <c r="E1422" s="106" t="s">
        <v>1400</v>
      </c>
      <c r="F1422" s="58" t="s">
        <v>2829</v>
      </c>
      <c r="G1422" s="106">
        <v>12</v>
      </c>
      <c r="H1422" s="107"/>
      <c r="I1422" s="107"/>
      <c r="J1422" s="107"/>
      <c r="K1422" s="107"/>
      <c r="L1422" s="107"/>
      <c r="M1422" s="107"/>
      <c r="N1422" s="107"/>
      <c r="O1422" s="107"/>
      <c r="P1422" s="107"/>
    </row>
    <row r="1423" spans="1:16" x14ac:dyDescent="0.3">
      <c r="A1423" s="58" t="str">
        <f t="shared" si="88"/>
        <v>A089980</v>
      </c>
      <c r="B1423" s="59" t="str">
        <f t="shared" ref="B1423:B1486" si="89">IFERROR(IF(ISNUMBER(H1423),DATE(LEFT(H1423,4),MID(H1423,5,2),RIGHT(H1423,2)),NA()),"")</f>
        <v/>
      </c>
      <c r="C1423" s="59" t="str">
        <f t="shared" ref="C1423:C1486" si="90">IFERROR(IF(ISNUMBER(I1423),DATE(LEFT(I1423,4),MID(I1423,5,2),RIGHT(I1423,2)),NA()),"")</f>
        <v/>
      </c>
      <c r="D1423" s="109" t="str">
        <f t="shared" ref="D1423:D1486" si="91">IFERROR(IF(ISNUMBER(J1423),J1423,NA()),"")</f>
        <v/>
      </c>
      <c r="E1423" s="106" t="s">
        <v>3183</v>
      </c>
      <c r="F1423" s="58" t="s">
        <v>3384</v>
      </c>
      <c r="G1423" s="106">
        <v>12</v>
      </c>
      <c r="H1423" s="107"/>
      <c r="I1423" s="107"/>
      <c r="J1423" s="107"/>
      <c r="K1423" s="107"/>
      <c r="L1423" s="107"/>
      <c r="M1423" s="107"/>
      <c r="N1423" s="107"/>
      <c r="O1423" s="107"/>
      <c r="P1423" s="107"/>
    </row>
    <row r="1424" spans="1:16" x14ac:dyDescent="0.3">
      <c r="A1424" s="58" t="str">
        <f t="shared" si="88"/>
        <v>A090080</v>
      </c>
      <c r="B1424" s="59" t="str">
        <f t="shared" si="89"/>
        <v/>
      </c>
      <c r="C1424" s="59" t="str">
        <f t="shared" si="90"/>
        <v/>
      </c>
      <c r="D1424" s="109" t="str">
        <f t="shared" si="91"/>
        <v/>
      </c>
      <c r="E1424" s="106" t="s">
        <v>1401</v>
      </c>
      <c r="F1424" s="58" t="s">
        <v>2830</v>
      </c>
      <c r="G1424" s="106">
        <v>12</v>
      </c>
      <c r="H1424" s="107"/>
      <c r="I1424" s="107"/>
      <c r="J1424" s="107"/>
      <c r="K1424" s="107"/>
      <c r="L1424" s="107"/>
      <c r="M1424" s="107"/>
      <c r="N1424" s="107"/>
      <c r="O1424" s="107"/>
      <c r="P1424" s="107"/>
    </row>
    <row r="1425" spans="1:16" x14ac:dyDescent="0.3">
      <c r="A1425" s="58" t="str">
        <f t="shared" si="88"/>
        <v>A090120</v>
      </c>
      <c r="B1425" s="59" t="str">
        <f t="shared" si="89"/>
        <v/>
      </c>
      <c r="C1425" s="59" t="str">
        <f t="shared" si="90"/>
        <v/>
      </c>
      <c r="D1425" s="109" t="str">
        <f t="shared" si="91"/>
        <v/>
      </c>
      <c r="E1425" s="106" t="s">
        <v>1402</v>
      </c>
      <c r="F1425" s="58" t="s">
        <v>2831</v>
      </c>
      <c r="G1425" s="106">
        <v>12</v>
      </c>
      <c r="H1425" s="107"/>
      <c r="I1425" s="107"/>
      <c r="J1425" s="107"/>
      <c r="K1425" s="107"/>
      <c r="L1425" s="107"/>
      <c r="M1425" s="107"/>
      <c r="N1425" s="107"/>
      <c r="O1425" s="107"/>
      <c r="P1425" s="107"/>
    </row>
    <row r="1426" spans="1:16" x14ac:dyDescent="0.3">
      <c r="A1426" s="58" t="str">
        <f t="shared" si="88"/>
        <v>A090150</v>
      </c>
      <c r="B1426" s="59" t="str">
        <f t="shared" si="89"/>
        <v/>
      </c>
      <c r="C1426" s="59" t="str">
        <f t="shared" si="90"/>
        <v/>
      </c>
      <c r="D1426" s="109" t="str">
        <f t="shared" si="91"/>
        <v/>
      </c>
      <c r="E1426" s="106" t="s">
        <v>1403</v>
      </c>
      <c r="F1426" s="58" t="s">
        <v>2832</v>
      </c>
      <c r="G1426" s="106">
        <v>12</v>
      </c>
      <c r="H1426" s="107"/>
      <c r="I1426" s="107"/>
      <c r="J1426" s="107"/>
      <c r="K1426" s="107"/>
      <c r="L1426" s="107"/>
      <c r="M1426" s="107"/>
      <c r="N1426" s="107"/>
      <c r="O1426" s="107"/>
      <c r="P1426" s="107"/>
    </row>
    <row r="1427" spans="1:16" x14ac:dyDescent="0.3">
      <c r="A1427" s="58" t="str">
        <f t="shared" si="88"/>
        <v>A090350</v>
      </c>
      <c r="B1427" s="59" t="str">
        <f t="shared" si="89"/>
        <v/>
      </c>
      <c r="C1427" s="59" t="str">
        <f t="shared" si="90"/>
        <v/>
      </c>
      <c r="D1427" s="109" t="str">
        <f t="shared" si="91"/>
        <v/>
      </c>
      <c r="E1427" s="106" t="s">
        <v>1404</v>
      </c>
      <c r="F1427" s="58" t="s">
        <v>2833</v>
      </c>
      <c r="G1427" s="106">
        <v>12</v>
      </c>
      <c r="H1427" s="107"/>
      <c r="I1427" s="107"/>
      <c r="J1427" s="107"/>
      <c r="K1427" s="107"/>
      <c r="L1427" s="107"/>
      <c r="M1427" s="107"/>
      <c r="N1427" s="107"/>
      <c r="O1427" s="107"/>
      <c r="P1427" s="107"/>
    </row>
    <row r="1428" spans="1:16" x14ac:dyDescent="0.3">
      <c r="A1428" s="58" t="str">
        <f t="shared" si="88"/>
        <v>A090360</v>
      </c>
      <c r="B1428" s="59" t="str">
        <f t="shared" si="89"/>
        <v/>
      </c>
      <c r="C1428" s="59" t="str">
        <f t="shared" si="90"/>
        <v/>
      </c>
      <c r="D1428" s="109" t="str">
        <f t="shared" si="91"/>
        <v/>
      </c>
      <c r="E1428" s="106" t="s">
        <v>3184</v>
      </c>
      <c r="F1428" s="58" t="s">
        <v>3385</v>
      </c>
      <c r="G1428" s="106">
        <v>12</v>
      </c>
      <c r="H1428" s="107"/>
      <c r="I1428" s="107"/>
      <c r="J1428" s="107"/>
      <c r="K1428" s="107"/>
      <c r="L1428" s="107"/>
      <c r="M1428" s="107"/>
      <c r="N1428" s="107"/>
      <c r="O1428" s="107"/>
      <c r="P1428" s="107"/>
    </row>
    <row r="1429" spans="1:16" x14ac:dyDescent="0.3">
      <c r="A1429" s="58" t="str">
        <f t="shared" si="88"/>
        <v>A090370</v>
      </c>
      <c r="B1429" s="59" t="str">
        <f t="shared" si="89"/>
        <v/>
      </c>
      <c r="C1429" s="59" t="str">
        <f t="shared" si="90"/>
        <v/>
      </c>
      <c r="D1429" s="109" t="str">
        <f t="shared" si="91"/>
        <v/>
      </c>
      <c r="E1429" s="106" t="s">
        <v>1405</v>
      </c>
      <c r="F1429" s="58" t="s">
        <v>2834</v>
      </c>
      <c r="G1429" s="106">
        <v>12</v>
      </c>
      <c r="H1429" s="107"/>
      <c r="I1429" s="107"/>
      <c r="J1429" s="107"/>
      <c r="K1429" s="107"/>
      <c r="L1429" s="107"/>
      <c r="M1429" s="107"/>
      <c r="N1429" s="107"/>
      <c r="O1429" s="107"/>
      <c r="P1429" s="107"/>
    </row>
    <row r="1430" spans="1:16" x14ac:dyDescent="0.3">
      <c r="A1430" s="58" t="str">
        <f t="shared" ref="A1430:A1493" si="92">E1430</f>
        <v>A090430</v>
      </c>
      <c r="B1430" s="59">
        <f t="shared" si="89"/>
        <v>41492</v>
      </c>
      <c r="C1430" s="59" t="str">
        <f t="shared" si="90"/>
        <v/>
      </c>
      <c r="D1430" s="109" t="str">
        <f t="shared" si="91"/>
        <v/>
      </c>
      <c r="E1430" s="106" t="s">
        <v>1406</v>
      </c>
      <c r="F1430" s="58" t="s">
        <v>2835</v>
      </c>
      <c r="G1430" s="106">
        <v>12</v>
      </c>
      <c r="H1430" s="107">
        <v>20130806</v>
      </c>
      <c r="I1430" s="107"/>
      <c r="J1430" s="107"/>
      <c r="K1430" s="107"/>
      <c r="L1430" s="107"/>
      <c r="M1430" s="107"/>
      <c r="N1430" s="107"/>
      <c r="O1430" s="107"/>
      <c r="P1430" s="107"/>
    </row>
    <row r="1431" spans="1:16" x14ac:dyDescent="0.3">
      <c r="A1431" s="58" t="str">
        <f t="shared" si="92"/>
        <v>A090460</v>
      </c>
      <c r="B1431" s="59" t="str">
        <f t="shared" si="89"/>
        <v/>
      </c>
      <c r="C1431" s="59" t="str">
        <f t="shared" si="90"/>
        <v/>
      </c>
      <c r="D1431" s="109" t="str">
        <f t="shared" si="91"/>
        <v/>
      </c>
      <c r="E1431" s="106" t="s">
        <v>1407</v>
      </c>
      <c r="F1431" s="58" t="s">
        <v>2836</v>
      </c>
      <c r="G1431" s="106">
        <v>12</v>
      </c>
      <c r="H1431" s="107"/>
      <c r="I1431" s="107"/>
      <c r="J1431" s="107"/>
      <c r="K1431" s="107"/>
      <c r="L1431" s="107"/>
      <c r="M1431" s="107"/>
      <c r="N1431" s="107"/>
      <c r="O1431" s="107"/>
      <c r="P1431" s="107"/>
    </row>
    <row r="1432" spans="1:16" x14ac:dyDescent="0.3">
      <c r="A1432" s="58" t="str">
        <f t="shared" si="92"/>
        <v>A090470</v>
      </c>
      <c r="B1432" s="59" t="str">
        <f t="shared" si="89"/>
        <v/>
      </c>
      <c r="C1432" s="59" t="str">
        <f t="shared" si="90"/>
        <v/>
      </c>
      <c r="D1432" s="109" t="str">
        <f t="shared" si="91"/>
        <v/>
      </c>
      <c r="E1432" s="106" t="s">
        <v>1408</v>
      </c>
      <c r="F1432" s="58" t="s">
        <v>2837</v>
      </c>
      <c r="G1432" s="106">
        <v>12</v>
      </c>
      <c r="H1432" s="107"/>
      <c r="I1432" s="107"/>
      <c r="J1432" s="107"/>
      <c r="K1432" s="107"/>
      <c r="L1432" s="107"/>
      <c r="M1432" s="107"/>
      <c r="N1432" s="107"/>
      <c r="O1432" s="107"/>
      <c r="P1432" s="107"/>
    </row>
    <row r="1433" spans="1:16" x14ac:dyDescent="0.3">
      <c r="A1433" s="58" t="str">
        <f t="shared" si="92"/>
        <v>A090710</v>
      </c>
      <c r="B1433" s="59" t="str">
        <f t="shared" si="89"/>
        <v/>
      </c>
      <c r="C1433" s="59" t="str">
        <f t="shared" si="90"/>
        <v/>
      </c>
      <c r="D1433" s="109" t="str">
        <f t="shared" si="91"/>
        <v/>
      </c>
      <c r="E1433" s="106" t="s">
        <v>1409</v>
      </c>
      <c r="F1433" s="58" t="s">
        <v>2838</v>
      </c>
      <c r="G1433" s="106">
        <v>12</v>
      </c>
      <c r="H1433" s="107"/>
      <c r="I1433" s="107"/>
      <c r="J1433" s="107"/>
      <c r="K1433" s="107"/>
      <c r="L1433" s="107"/>
      <c r="M1433" s="107"/>
      <c r="N1433" s="107"/>
      <c r="O1433" s="107"/>
      <c r="P1433" s="107"/>
    </row>
    <row r="1434" spans="1:16" x14ac:dyDescent="0.3">
      <c r="A1434" s="58" t="str">
        <f t="shared" si="92"/>
        <v>A090730</v>
      </c>
      <c r="B1434" s="59" t="str">
        <f t="shared" si="89"/>
        <v/>
      </c>
      <c r="C1434" s="59" t="str">
        <f t="shared" si="90"/>
        <v/>
      </c>
      <c r="D1434" s="109" t="str">
        <f t="shared" si="91"/>
        <v/>
      </c>
      <c r="E1434" s="106" t="s">
        <v>1410</v>
      </c>
      <c r="F1434" s="58" t="s">
        <v>2839</v>
      </c>
      <c r="G1434" s="106">
        <v>12</v>
      </c>
      <c r="H1434" s="107"/>
      <c r="I1434" s="107"/>
      <c r="J1434" s="107"/>
      <c r="K1434" s="107"/>
      <c r="L1434" s="107"/>
      <c r="M1434" s="107"/>
      <c r="N1434" s="107"/>
      <c r="O1434" s="107"/>
      <c r="P1434" s="107"/>
    </row>
    <row r="1435" spans="1:16" x14ac:dyDescent="0.3">
      <c r="A1435" s="58" t="str">
        <f t="shared" si="92"/>
        <v>A090740</v>
      </c>
      <c r="B1435" s="59" t="str">
        <f t="shared" si="89"/>
        <v/>
      </c>
      <c r="C1435" s="59" t="str">
        <f t="shared" si="90"/>
        <v/>
      </c>
      <c r="D1435" s="109" t="str">
        <f t="shared" si="91"/>
        <v/>
      </c>
      <c r="E1435" s="106" t="s">
        <v>1411</v>
      </c>
      <c r="F1435" s="58" t="s">
        <v>2840</v>
      </c>
      <c r="G1435" s="106">
        <v>12</v>
      </c>
      <c r="H1435" s="107"/>
      <c r="I1435" s="107"/>
      <c r="J1435" s="107"/>
      <c r="K1435" s="107"/>
      <c r="L1435" s="107"/>
      <c r="M1435" s="107"/>
      <c r="N1435" s="107"/>
      <c r="O1435" s="107"/>
      <c r="P1435" s="107"/>
    </row>
    <row r="1436" spans="1:16" x14ac:dyDescent="0.3">
      <c r="A1436" s="58" t="str">
        <f t="shared" si="92"/>
        <v>A091090</v>
      </c>
      <c r="B1436" s="59" t="str">
        <f t="shared" si="89"/>
        <v/>
      </c>
      <c r="C1436" s="59" t="str">
        <f t="shared" si="90"/>
        <v/>
      </c>
      <c r="D1436" s="109" t="str">
        <f t="shared" si="91"/>
        <v/>
      </c>
      <c r="E1436" s="106" t="s">
        <v>1412</v>
      </c>
      <c r="F1436" s="58" t="s">
        <v>2841</v>
      </c>
      <c r="G1436" s="106">
        <v>12</v>
      </c>
      <c r="H1436" s="107"/>
      <c r="I1436" s="107"/>
      <c r="J1436" s="107"/>
      <c r="K1436" s="107"/>
      <c r="L1436" s="107"/>
      <c r="M1436" s="107"/>
      <c r="N1436" s="107"/>
      <c r="O1436" s="107"/>
      <c r="P1436" s="107"/>
    </row>
    <row r="1437" spans="1:16" x14ac:dyDescent="0.3">
      <c r="A1437" s="58" t="str">
        <f t="shared" si="92"/>
        <v>A091120</v>
      </c>
      <c r="B1437" s="59" t="str">
        <f t="shared" si="89"/>
        <v/>
      </c>
      <c r="C1437" s="59" t="str">
        <f t="shared" si="90"/>
        <v/>
      </c>
      <c r="D1437" s="109" t="str">
        <f t="shared" si="91"/>
        <v/>
      </c>
      <c r="E1437" s="106" t="s">
        <v>1413</v>
      </c>
      <c r="F1437" s="58" t="s">
        <v>2842</v>
      </c>
      <c r="G1437" s="106">
        <v>12</v>
      </c>
      <c r="H1437" s="107"/>
      <c r="I1437" s="107"/>
      <c r="J1437" s="107"/>
      <c r="K1437" s="107"/>
      <c r="L1437" s="107"/>
      <c r="M1437" s="107"/>
      <c r="N1437" s="107"/>
      <c r="O1437" s="107"/>
      <c r="P1437" s="107"/>
    </row>
    <row r="1438" spans="1:16" x14ac:dyDescent="0.3">
      <c r="A1438" s="58" t="str">
        <f t="shared" si="92"/>
        <v>A091340</v>
      </c>
      <c r="B1438" s="59" t="str">
        <f t="shared" si="89"/>
        <v/>
      </c>
      <c r="C1438" s="59" t="str">
        <f t="shared" si="90"/>
        <v/>
      </c>
      <c r="D1438" s="109" t="str">
        <f t="shared" si="91"/>
        <v/>
      </c>
      <c r="E1438" s="106" t="s">
        <v>1414</v>
      </c>
      <c r="F1438" s="58" t="s">
        <v>2843</v>
      </c>
      <c r="G1438" s="106">
        <v>12</v>
      </c>
      <c r="H1438" s="107"/>
      <c r="I1438" s="107"/>
      <c r="J1438" s="107"/>
      <c r="K1438" s="107"/>
      <c r="L1438" s="107"/>
      <c r="M1438" s="107"/>
      <c r="N1438" s="107"/>
      <c r="O1438" s="107"/>
      <c r="P1438" s="107"/>
    </row>
    <row r="1439" spans="1:16" x14ac:dyDescent="0.3">
      <c r="A1439" s="58" t="str">
        <f t="shared" si="92"/>
        <v>A091440</v>
      </c>
      <c r="B1439" s="59" t="str">
        <f t="shared" si="89"/>
        <v/>
      </c>
      <c r="C1439" s="59" t="str">
        <f t="shared" si="90"/>
        <v/>
      </c>
      <c r="D1439" s="109" t="str">
        <f t="shared" si="91"/>
        <v/>
      </c>
      <c r="E1439" s="106" t="s">
        <v>1415</v>
      </c>
      <c r="F1439" s="58" t="s">
        <v>2844</v>
      </c>
      <c r="G1439" s="106">
        <v>12</v>
      </c>
      <c r="H1439" s="107"/>
      <c r="I1439" s="107"/>
      <c r="J1439" s="107"/>
      <c r="K1439" s="107"/>
      <c r="L1439" s="107"/>
      <c r="M1439" s="107"/>
      <c r="N1439" s="107"/>
      <c r="O1439" s="107"/>
      <c r="P1439" s="107"/>
    </row>
    <row r="1440" spans="1:16" x14ac:dyDescent="0.3">
      <c r="A1440" s="58" t="str">
        <f t="shared" si="92"/>
        <v>A091580</v>
      </c>
      <c r="B1440" s="59" t="str">
        <f t="shared" si="89"/>
        <v/>
      </c>
      <c r="C1440" s="59" t="str">
        <f t="shared" si="90"/>
        <v/>
      </c>
      <c r="D1440" s="109" t="str">
        <f t="shared" si="91"/>
        <v/>
      </c>
      <c r="E1440" s="106" t="s">
        <v>1416</v>
      </c>
      <c r="F1440" s="58" t="s">
        <v>2845</v>
      </c>
      <c r="G1440" s="106">
        <v>12</v>
      </c>
      <c r="H1440" s="107"/>
      <c r="I1440" s="107"/>
      <c r="J1440" s="107"/>
      <c r="K1440" s="107"/>
      <c r="L1440" s="107"/>
      <c r="M1440" s="107"/>
      <c r="N1440" s="107"/>
      <c r="O1440" s="107"/>
      <c r="P1440" s="107"/>
    </row>
    <row r="1441" spans="1:16" x14ac:dyDescent="0.3">
      <c r="A1441" s="58" t="str">
        <f t="shared" si="92"/>
        <v>A091590</v>
      </c>
      <c r="B1441" s="59" t="str">
        <f t="shared" si="89"/>
        <v/>
      </c>
      <c r="C1441" s="59" t="str">
        <f t="shared" si="90"/>
        <v/>
      </c>
      <c r="D1441" s="109" t="str">
        <f t="shared" si="91"/>
        <v/>
      </c>
      <c r="E1441" s="106" t="s">
        <v>3185</v>
      </c>
      <c r="F1441" s="58" t="s">
        <v>3386</v>
      </c>
      <c r="G1441" s="106">
        <v>12</v>
      </c>
      <c r="H1441" s="107"/>
      <c r="I1441" s="107"/>
      <c r="J1441" s="107"/>
      <c r="K1441" s="107"/>
      <c r="L1441" s="107"/>
      <c r="M1441" s="107"/>
      <c r="N1441" s="107"/>
      <c r="O1441" s="107"/>
      <c r="P1441" s="107"/>
    </row>
    <row r="1442" spans="1:16" x14ac:dyDescent="0.3">
      <c r="A1442" s="58" t="str">
        <f t="shared" si="92"/>
        <v>A091690</v>
      </c>
      <c r="B1442" s="59" t="str">
        <f t="shared" si="89"/>
        <v/>
      </c>
      <c r="C1442" s="59" t="str">
        <f t="shared" si="90"/>
        <v/>
      </c>
      <c r="D1442" s="109" t="str">
        <f t="shared" si="91"/>
        <v/>
      </c>
      <c r="E1442" s="106" t="s">
        <v>1417</v>
      </c>
      <c r="F1442" s="58" t="s">
        <v>2846</v>
      </c>
      <c r="G1442" s="106">
        <v>12</v>
      </c>
      <c r="H1442" s="107"/>
      <c r="I1442" s="107"/>
      <c r="J1442" s="107"/>
      <c r="K1442" s="107"/>
      <c r="L1442" s="107"/>
      <c r="M1442" s="107"/>
      <c r="N1442" s="107"/>
      <c r="O1442" s="107"/>
      <c r="P1442" s="107"/>
    </row>
    <row r="1443" spans="1:16" x14ac:dyDescent="0.3">
      <c r="A1443" s="58" t="str">
        <f t="shared" si="92"/>
        <v>A091700</v>
      </c>
      <c r="B1443" s="59" t="str">
        <f t="shared" si="89"/>
        <v/>
      </c>
      <c r="C1443" s="59" t="str">
        <f t="shared" si="90"/>
        <v/>
      </c>
      <c r="D1443" s="109" t="str">
        <f t="shared" si="91"/>
        <v/>
      </c>
      <c r="E1443" s="106" t="s">
        <v>1418</v>
      </c>
      <c r="F1443" s="58" t="s">
        <v>2847</v>
      </c>
      <c r="G1443" s="106">
        <v>12</v>
      </c>
      <c r="H1443" s="107"/>
      <c r="I1443" s="107"/>
      <c r="J1443" s="107"/>
      <c r="K1443" s="107"/>
      <c r="L1443" s="107"/>
      <c r="M1443" s="107"/>
      <c r="N1443" s="107"/>
      <c r="O1443" s="107"/>
      <c r="P1443" s="107"/>
    </row>
    <row r="1444" spans="1:16" x14ac:dyDescent="0.3">
      <c r="A1444" s="58" t="str">
        <f t="shared" si="92"/>
        <v>A091970</v>
      </c>
      <c r="B1444" s="59" t="str">
        <f t="shared" si="89"/>
        <v/>
      </c>
      <c r="C1444" s="59" t="str">
        <f t="shared" si="90"/>
        <v/>
      </c>
      <c r="D1444" s="109" t="str">
        <f t="shared" si="91"/>
        <v/>
      </c>
      <c r="E1444" s="106" t="s">
        <v>1419</v>
      </c>
      <c r="F1444" s="58" t="s">
        <v>2848</v>
      </c>
      <c r="G1444" s="106">
        <v>12</v>
      </c>
      <c r="H1444" s="107"/>
      <c r="I1444" s="107"/>
      <c r="J1444" s="107"/>
      <c r="K1444" s="107"/>
      <c r="L1444" s="107"/>
      <c r="M1444" s="107"/>
      <c r="N1444" s="107"/>
      <c r="O1444" s="107"/>
      <c r="P1444" s="107"/>
    </row>
    <row r="1445" spans="1:16" x14ac:dyDescent="0.3">
      <c r="A1445" s="58" t="str">
        <f t="shared" si="92"/>
        <v>A092070</v>
      </c>
      <c r="B1445" s="59" t="str">
        <f t="shared" si="89"/>
        <v/>
      </c>
      <c r="C1445" s="59" t="str">
        <f t="shared" si="90"/>
        <v/>
      </c>
      <c r="D1445" s="109" t="str">
        <f t="shared" si="91"/>
        <v/>
      </c>
      <c r="E1445" s="106" t="s">
        <v>1420</v>
      </c>
      <c r="F1445" s="58" t="s">
        <v>2849</v>
      </c>
      <c r="G1445" s="106">
        <v>12</v>
      </c>
      <c r="H1445" s="107"/>
      <c r="I1445" s="107"/>
      <c r="J1445" s="107"/>
      <c r="K1445" s="107"/>
      <c r="L1445" s="107"/>
      <c r="M1445" s="107"/>
      <c r="N1445" s="107"/>
      <c r="O1445" s="107"/>
      <c r="P1445" s="107"/>
    </row>
    <row r="1446" spans="1:16" x14ac:dyDescent="0.3">
      <c r="A1446" s="58" t="str">
        <f t="shared" si="92"/>
        <v>A092130</v>
      </c>
      <c r="B1446" s="59" t="str">
        <f t="shared" si="89"/>
        <v/>
      </c>
      <c r="C1446" s="59" t="str">
        <f t="shared" si="90"/>
        <v/>
      </c>
      <c r="D1446" s="109" t="str">
        <f t="shared" si="91"/>
        <v/>
      </c>
      <c r="E1446" s="106" t="s">
        <v>1421</v>
      </c>
      <c r="F1446" s="58" t="s">
        <v>2850</v>
      </c>
      <c r="G1446" s="106">
        <v>12</v>
      </c>
      <c r="H1446" s="107"/>
      <c r="I1446" s="107"/>
      <c r="J1446" s="107"/>
      <c r="K1446" s="107"/>
      <c r="L1446" s="107"/>
      <c r="M1446" s="107"/>
      <c r="N1446" s="107"/>
      <c r="O1446" s="107"/>
      <c r="P1446" s="107"/>
    </row>
    <row r="1447" spans="1:16" x14ac:dyDescent="0.3">
      <c r="A1447" s="58" t="str">
        <f t="shared" si="92"/>
        <v>A092200</v>
      </c>
      <c r="B1447" s="59" t="str">
        <f t="shared" si="89"/>
        <v/>
      </c>
      <c r="C1447" s="59" t="str">
        <f t="shared" si="90"/>
        <v/>
      </c>
      <c r="D1447" s="109" t="str">
        <f t="shared" si="91"/>
        <v/>
      </c>
      <c r="E1447" s="106" t="s">
        <v>1422</v>
      </c>
      <c r="F1447" s="58" t="s">
        <v>2851</v>
      </c>
      <c r="G1447" s="106">
        <v>12</v>
      </c>
      <c r="H1447" s="107"/>
      <c r="I1447" s="107"/>
      <c r="J1447" s="107"/>
      <c r="K1447" s="107"/>
      <c r="L1447" s="107"/>
      <c r="M1447" s="107"/>
      <c r="N1447" s="107"/>
      <c r="O1447" s="107"/>
      <c r="P1447" s="107"/>
    </row>
    <row r="1448" spans="1:16" x14ac:dyDescent="0.3">
      <c r="A1448" s="58" t="str">
        <f t="shared" si="92"/>
        <v>A092220</v>
      </c>
      <c r="B1448" s="59" t="str">
        <f t="shared" si="89"/>
        <v/>
      </c>
      <c r="C1448" s="59" t="str">
        <f t="shared" si="90"/>
        <v/>
      </c>
      <c r="D1448" s="109" t="str">
        <f t="shared" si="91"/>
        <v/>
      </c>
      <c r="E1448" s="106" t="s">
        <v>1423</v>
      </c>
      <c r="F1448" s="58" t="s">
        <v>2852</v>
      </c>
      <c r="G1448" s="106">
        <v>12</v>
      </c>
      <c r="H1448" s="107"/>
      <c r="I1448" s="107"/>
      <c r="J1448" s="107"/>
      <c r="K1448" s="107"/>
      <c r="L1448" s="107"/>
      <c r="M1448" s="107"/>
      <c r="N1448" s="107"/>
      <c r="O1448" s="107"/>
      <c r="P1448" s="107"/>
    </row>
    <row r="1449" spans="1:16" x14ac:dyDescent="0.3">
      <c r="A1449" s="58" t="str">
        <f t="shared" si="92"/>
        <v>A092230</v>
      </c>
      <c r="B1449" s="59" t="str">
        <f t="shared" si="89"/>
        <v/>
      </c>
      <c r="C1449" s="59" t="str">
        <f t="shared" si="90"/>
        <v/>
      </c>
      <c r="D1449" s="109" t="str">
        <f t="shared" si="91"/>
        <v/>
      </c>
      <c r="E1449" s="106" t="s">
        <v>1424</v>
      </c>
      <c r="F1449" s="58" t="s">
        <v>2853</v>
      </c>
      <c r="G1449" s="106">
        <v>12</v>
      </c>
      <c r="H1449" s="107"/>
      <c r="I1449" s="107"/>
      <c r="J1449" s="107"/>
      <c r="K1449" s="107"/>
      <c r="L1449" s="107"/>
      <c r="M1449" s="107"/>
      <c r="N1449" s="107"/>
      <c r="O1449" s="107"/>
      <c r="P1449" s="107"/>
    </row>
    <row r="1450" spans="1:16" x14ac:dyDescent="0.3">
      <c r="A1450" s="58" t="str">
        <f t="shared" si="92"/>
        <v>A092300</v>
      </c>
      <c r="B1450" s="59" t="str">
        <f t="shared" si="89"/>
        <v/>
      </c>
      <c r="C1450" s="59" t="str">
        <f t="shared" si="90"/>
        <v/>
      </c>
      <c r="D1450" s="109" t="str">
        <f t="shared" si="91"/>
        <v/>
      </c>
      <c r="E1450" s="106" t="s">
        <v>1425</v>
      </c>
      <c r="F1450" s="58" t="s">
        <v>2854</v>
      </c>
      <c r="G1450" s="106">
        <v>12</v>
      </c>
      <c r="H1450" s="107"/>
      <c r="I1450" s="107"/>
      <c r="J1450" s="107"/>
      <c r="K1450" s="107"/>
      <c r="L1450" s="107"/>
      <c r="M1450" s="107"/>
      <c r="N1450" s="107"/>
      <c r="O1450" s="107"/>
      <c r="P1450" s="107"/>
    </row>
    <row r="1451" spans="1:16" x14ac:dyDescent="0.3">
      <c r="A1451" s="58" t="str">
        <f t="shared" si="92"/>
        <v>A092440</v>
      </c>
      <c r="B1451" s="59" t="str">
        <f t="shared" si="89"/>
        <v/>
      </c>
      <c r="C1451" s="59" t="str">
        <f t="shared" si="90"/>
        <v/>
      </c>
      <c r="D1451" s="109" t="str">
        <f t="shared" si="91"/>
        <v/>
      </c>
      <c r="E1451" s="106" t="s">
        <v>1426</v>
      </c>
      <c r="F1451" s="58" t="s">
        <v>2855</v>
      </c>
      <c r="G1451" s="106">
        <v>3</v>
      </c>
      <c r="H1451" s="107"/>
      <c r="I1451" s="107"/>
      <c r="J1451" s="107"/>
      <c r="K1451" s="107"/>
      <c r="L1451" s="107"/>
      <c r="M1451" s="107"/>
      <c r="N1451" s="107"/>
      <c r="O1451" s="107"/>
      <c r="P1451" s="107"/>
    </row>
    <row r="1452" spans="1:16" x14ac:dyDescent="0.3">
      <c r="A1452" s="58" t="str">
        <f t="shared" si="92"/>
        <v>A092460</v>
      </c>
      <c r="B1452" s="59" t="str">
        <f t="shared" si="89"/>
        <v/>
      </c>
      <c r="C1452" s="59" t="str">
        <f t="shared" si="90"/>
        <v/>
      </c>
      <c r="D1452" s="109" t="str">
        <f t="shared" si="91"/>
        <v/>
      </c>
      <c r="E1452" s="106" t="s">
        <v>1427</v>
      </c>
      <c r="F1452" s="58" t="s">
        <v>2856</v>
      </c>
      <c r="G1452" s="106">
        <v>12</v>
      </c>
      <c r="H1452" s="107"/>
      <c r="I1452" s="107"/>
      <c r="J1452" s="107"/>
      <c r="K1452" s="107"/>
      <c r="L1452" s="107"/>
      <c r="M1452" s="107"/>
      <c r="N1452" s="107"/>
      <c r="O1452" s="107"/>
      <c r="P1452" s="107"/>
    </row>
    <row r="1453" spans="1:16" x14ac:dyDescent="0.3">
      <c r="A1453" s="58" t="str">
        <f t="shared" si="92"/>
        <v>A092600</v>
      </c>
      <c r="B1453" s="59" t="str">
        <f t="shared" si="89"/>
        <v/>
      </c>
      <c r="C1453" s="59" t="str">
        <f t="shared" si="90"/>
        <v/>
      </c>
      <c r="D1453" s="109" t="str">
        <f t="shared" si="91"/>
        <v/>
      </c>
      <c r="E1453" s="106" t="s">
        <v>1428</v>
      </c>
      <c r="F1453" s="58" t="s">
        <v>2857</v>
      </c>
      <c r="G1453" s="106">
        <v>12</v>
      </c>
      <c r="H1453" s="107"/>
      <c r="I1453" s="107"/>
      <c r="J1453" s="107"/>
      <c r="K1453" s="107"/>
      <c r="L1453" s="107"/>
      <c r="M1453" s="107"/>
      <c r="N1453" s="107"/>
      <c r="O1453" s="107"/>
      <c r="P1453" s="107"/>
    </row>
    <row r="1454" spans="1:16" x14ac:dyDescent="0.3">
      <c r="A1454" s="58" t="str">
        <f t="shared" si="92"/>
        <v>A092730</v>
      </c>
      <c r="B1454" s="59" t="str">
        <f t="shared" si="89"/>
        <v/>
      </c>
      <c r="C1454" s="59" t="str">
        <f t="shared" si="90"/>
        <v/>
      </c>
      <c r="D1454" s="109" t="str">
        <f t="shared" si="91"/>
        <v/>
      </c>
      <c r="E1454" s="106" t="s">
        <v>1429</v>
      </c>
      <c r="F1454" s="58" t="s">
        <v>2858</v>
      </c>
      <c r="G1454" s="106">
        <v>12</v>
      </c>
      <c r="H1454" s="107"/>
      <c r="I1454" s="107"/>
      <c r="J1454" s="107"/>
      <c r="K1454" s="107"/>
      <c r="L1454" s="107"/>
      <c r="M1454" s="107"/>
      <c r="N1454" s="107"/>
      <c r="O1454" s="107"/>
      <c r="P1454" s="107"/>
    </row>
    <row r="1455" spans="1:16" x14ac:dyDescent="0.3">
      <c r="A1455" s="58" t="str">
        <f t="shared" si="92"/>
        <v>A093050</v>
      </c>
      <c r="B1455" s="59" t="str">
        <f t="shared" si="89"/>
        <v/>
      </c>
      <c r="C1455" s="59" t="str">
        <f t="shared" si="90"/>
        <v/>
      </c>
      <c r="D1455" s="109" t="str">
        <f t="shared" si="91"/>
        <v/>
      </c>
      <c r="E1455" s="106" t="s">
        <v>1430</v>
      </c>
      <c r="F1455" s="58" t="s">
        <v>2859</v>
      </c>
      <c r="G1455" s="106">
        <v>12</v>
      </c>
      <c r="H1455" s="107"/>
      <c r="I1455" s="107"/>
      <c r="J1455" s="107"/>
      <c r="K1455" s="107"/>
      <c r="L1455" s="107"/>
      <c r="M1455" s="107"/>
      <c r="N1455" s="107"/>
      <c r="O1455" s="107"/>
      <c r="P1455" s="107"/>
    </row>
    <row r="1456" spans="1:16" x14ac:dyDescent="0.3">
      <c r="A1456" s="58" t="str">
        <f t="shared" si="92"/>
        <v>A093190</v>
      </c>
      <c r="B1456" s="59" t="str">
        <f t="shared" si="89"/>
        <v/>
      </c>
      <c r="C1456" s="59" t="str">
        <f t="shared" si="90"/>
        <v/>
      </c>
      <c r="D1456" s="109" t="str">
        <f t="shared" si="91"/>
        <v/>
      </c>
      <c r="E1456" s="106" t="s">
        <v>1431</v>
      </c>
      <c r="F1456" s="58" t="s">
        <v>2860</v>
      </c>
      <c r="G1456" s="106">
        <v>12</v>
      </c>
      <c r="H1456" s="107"/>
      <c r="I1456" s="107"/>
      <c r="J1456" s="107"/>
      <c r="K1456" s="107"/>
      <c r="L1456" s="107"/>
      <c r="M1456" s="107"/>
      <c r="N1456" s="107"/>
      <c r="O1456" s="107"/>
      <c r="P1456" s="107"/>
    </row>
    <row r="1457" spans="1:16" x14ac:dyDescent="0.3">
      <c r="A1457" s="58" t="str">
        <f t="shared" si="92"/>
        <v>A093230</v>
      </c>
      <c r="B1457" s="59" t="str">
        <f t="shared" si="89"/>
        <v/>
      </c>
      <c r="C1457" s="59" t="str">
        <f t="shared" si="90"/>
        <v/>
      </c>
      <c r="D1457" s="109" t="str">
        <f t="shared" si="91"/>
        <v/>
      </c>
      <c r="E1457" s="106" t="s">
        <v>1432</v>
      </c>
      <c r="F1457" s="58" t="s">
        <v>3611</v>
      </c>
      <c r="G1457" s="106">
        <v>12</v>
      </c>
      <c r="H1457" s="107"/>
      <c r="I1457" s="107"/>
      <c r="J1457" s="107"/>
      <c r="K1457" s="107"/>
      <c r="L1457" s="107"/>
      <c r="M1457" s="107"/>
      <c r="N1457" s="107"/>
      <c r="O1457" s="107"/>
      <c r="P1457" s="107"/>
    </row>
    <row r="1458" spans="1:16" x14ac:dyDescent="0.3">
      <c r="A1458" s="58" t="str">
        <f t="shared" si="92"/>
        <v>A093240</v>
      </c>
      <c r="B1458" s="59" t="str">
        <f t="shared" si="89"/>
        <v/>
      </c>
      <c r="C1458" s="59" t="str">
        <f t="shared" si="90"/>
        <v/>
      </c>
      <c r="D1458" s="109" t="str">
        <f t="shared" si="91"/>
        <v/>
      </c>
      <c r="E1458" s="106" t="s">
        <v>1433</v>
      </c>
      <c r="F1458" s="58" t="s">
        <v>2861</v>
      </c>
      <c r="G1458" s="106">
        <v>6</v>
      </c>
      <c r="H1458" s="107"/>
      <c r="I1458" s="107"/>
      <c r="J1458" s="107"/>
      <c r="K1458" s="107"/>
      <c r="L1458" s="107"/>
      <c r="M1458" s="107"/>
      <c r="N1458" s="107"/>
      <c r="O1458" s="107"/>
      <c r="P1458" s="107"/>
    </row>
    <row r="1459" spans="1:16" x14ac:dyDescent="0.3">
      <c r="A1459" s="58" t="str">
        <f t="shared" si="92"/>
        <v>A093320</v>
      </c>
      <c r="B1459" s="59" t="str">
        <f t="shared" si="89"/>
        <v/>
      </c>
      <c r="C1459" s="59" t="str">
        <f t="shared" si="90"/>
        <v/>
      </c>
      <c r="D1459" s="109" t="str">
        <f t="shared" si="91"/>
        <v/>
      </c>
      <c r="E1459" s="106" t="s">
        <v>3186</v>
      </c>
      <c r="F1459" s="58" t="s">
        <v>3387</v>
      </c>
      <c r="G1459" s="106">
        <v>12</v>
      </c>
      <c r="H1459" s="107"/>
      <c r="I1459" s="107"/>
      <c r="J1459" s="107"/>
      <c r="K1459" s="107"/>
      <c r="L1459" s="107"/>
      <c r="M1459" s="107"/>
      <c r="N1459" s="107"/>
      <c r="O1459" s="107"/>
      <c r="P1459" s="107"/>
    </row>
    <row r="1460" spans="1:16" x14ac:dyDescent="0.3">
      <c r="A1460" s="58" t="str">
        <f t="shared" si="92"/>
        <v>A093370</v>
      </c>
      <c r="B1460" s="59" t="str">
        <f t="shared" si="89"/>
        <v/>
      </c>
      <c r="C1460" s="59" t="str">
        <f t="shared" si="90"/>
        <v/>
      </c>
      <c r="D1460" s="109" t="str">
        <f t="shared" si="91"/>
        <v/>
      </c>
      <c r="E1460" s="106" t="s">
        <v>1434</v>
      </c>
      <c r="F1460" s="58" t="s">
        <v>2862</v>
      </c>
      <c r="G1460" s="106">
        <v>12</v>
      </c>
      <c r="H1460" s="107"/>
      <c r="I1460" s="107"/>
      <c r="J1460" s="107"/>
      <c r="K1460" s="107"/>
      <c r="L1460" s="107"/>
      <c r="M1460" s="107"/>
      <c r="N1460" s="107"/>
      <c r="O1460" s="107"/>
      <c r="P1460" s="107"/>
    </row>
    <row r="1461" spans="1:16" x14ac:dyDescent="0.3">
      <c r="A1461" s="58" t="str">
        <f t="shared" si="92"/>
        <v>A093380</v>
      </c>
      <c r="B1461" s="59">
        <f t="shared" si="89"/>
        <v>41453</v>
      </c>
      <c r="C1461" s="59">
        <f t="shared" si="90"/>
        <v>41453</v>
      </c>
      <c r="D1461" s="109">
        <f t="shared" si="91"/>
        <v>0.87</v>
      </c>
      <c r="E1461" s="106" t="s">
        <v>1435</v>
      </c>
      <c r="F1461" s="58" t="s">
        <v>2863</v>
      </c>
      <c r="G1461" s="106">
        <v>8</v>
      </c>
      <c r="H1461" s="107">
        <v>20130628</v>
      </c>
      <c r="I1461" s="107">
        <v>20130628</v>
      </c>
      <c r="J1461" s="107">
        <v>0.87</v>
      </c>
      <c r="K1461" s="107"/>
      <c r="L1461" s="107"/>
      <c r="M1461" s="107"/>
      <c r="N1461" s="107"/>
      <c r="O1461" s="107"/>
      <c r="P1461" s="107"/>
    </row>
    <row r="1462" spans="1:16" x14ac:dyDescent="0.3">
      <c r="A1462" s="58" t="str">
        <f t="shared" si="92"/>
        <v>A093520</v>
      </c>
      <c r="B1462" s="59" t="str">
        <f t="shared" si="89"/>
        <v/>
      </c>
      <c r="C1462" s="59" t="str">
        <f t="shared" si="90"/>
        <v/>
      </c>
      <c r="D1462" s="109" t="str">
        <f t="shared" si="91"/>
        <v/>
      </c>
      <c r="E1462" s="106" t="s">
        <v>1436</v>
      </c>
      <c r="F1462" s="58" t="s">
        <v>2864</v>
      </c>
      <c r="G1462" s="106">
        <v>12</v>
      </c>
      <c r="H1462" s="107"/>
      <c r="I1462" s="107"/>
      <c r="J1462" s="107"/>
      <c r="K1462" s="107"/>
      <c r="L1462" s="107"/>
      <c r="M1462" s="107"/>
      <c r="N1462" s="107"/>
      <c r="O1462" s="107"/>
      <c r="P1462" s="107"/>
    </row>
    <row r="1463" spans="1:16" x14ac:dyDescent="0.3">
      <c r="A1463" s="58" t="str">
        <f t="shared" si="92"/>
        <v>A093640</v>
      </c>
      <c r="B1463" s="59" t="str">
        <f t="shared" si="89"/>
        <v/>
      </c>
      <c r="C1463" s="59" t="str">
        <f t="shared" si="90"/>
        <v/>
      </c>
      <c r="D1463" s="109" t="str">
        <f t="shared" si="91"/>
        <v/>
      </c>
      <c r="E1463" s="106" t="s">
        <v>1437</v>
      </c>
      <c r="F1463" s="58" t="s">
        <v>2865</v>
      </c>
      <c r="G1463" s="106">
        <v>12</v>
      </c>
      <c r="H1463" s="107"/>
      <c r="I1463" s="107"/>
      <c r="J1463" s="107"/>
      <c r="K1463" s="107"/>
      <c r="L1463" s="107"/>
      <c r="M1463" s="107"/>
      <c r="N1463" s="107"/>
      <c r="O1463" s="107"/>
      <c r="P1463" s="107"/>
    </row>
    <row r="1464" spans="1:16" x14ac:dyDescent="0.3">
      <c r="A1464" s="58" t="str">
        <f t="shared" si="92"/>
        <v>A093920</v>
      </c>
      <c r="B1464" s="59" t="str">
        <f t="shared" si="89"/>
        <v/>
      </c>
      <c r="C1464" s="59" t="str">
        <f t="shared" si="90"/>
        <v/>
      </c>
      <c r="D1464" s="109" t="str">
        <f t="shared" si="91"/>
        <v/>
      </c>
      <c r="E1464" s="106" t="s">
        <v>1438</v>
      </c>
      <c r="F1464" s="58" t="s">
        <v>2866</v>
      </c>
      <c r="G1464" s="106">
        <v>12</v>
      </c>
      <c r="H1464" s="107"/>
      <c r="I1464" s="107"/>
      <c r="J1464" s="107"/>
      <c r="K1464" s="107"/>
      <c r="L1464" s="107"/>
      <c r="M1464" s="107"/>
      <c r="N1464" s="107"/>
      <c r="O1464" s="107"/>
      <c r="P1464" s="107"/>
    </row>
    <row r="1465" spans="1:16" x14ac:dyDescent="0.3">
      <c r="A1465" s="58" t="str">
        <f t="shared" si="92"/>
        <v>A094190</v>
      </c>
      <c r="B1465" s="59" t="str">
        <f t="shared" si="89"/>
        <v/>
      </c>
      <c r="C1465" s="59" t="str">
        <f t="shared" si="90"/>
        <v/>
      </c>
      <c r="D1465" s="109" t="str">
        <f t="shared" si="91"/>
        <v/>
      </c>
      <c r="E1465" s="106" t="s">
        <v>1439</v>
      </c>
      <c r="F1465" s="58" t="s">
        <v>2867</v>
      </c>
      <c r="G1465" s="106">
        <v>12</v>
      </c>
      <c r="H1465" s="107"/>
      <c r="I1465" s="107"/>
      <c r="J1465" s="107"/>
      <c r="K1465" s="107"/>
      <c r="L1465" s="107"/>
      <c r="M1465" s="107"/>
      <c r="N1465" s="107"/>
      <c r="O1465" s="107"/>
      <c r="P1465" s="107"/>
    </row>
    <row r="1466" spans="1:16" x14ac:dyDescent="0.3">
      <c r="A1466" s="58" t="str">
        <f t="shared" si="92"/>
        <v>A094280</v>
      </c>
      <c r="B1466" s="59" t="str">
        <f t="shared" si="89"/>
        <v/>
      </c>
      <c r="C1466" s="59" t="str">
        <f t="shared" si="90"/>
        <v/>
      </c>
      <c r="D1466" s="109" t="str">
        <f t="shared" si="91"/>
        <v/>
      </c>
      <c r="E1466" s="106" t="s">
        <v>1440</v>
      </c>
      <c r="F1466" s="58" t="s">
        <v>2868</v>
      </c>
      <c r="G1466" s="106">
        <v>12</v>
      </c>
      <c r="H1466" s="107"/>
      <c r="I1466" s="107"/>
      <c r="J1466" s="107"/>
      <c r="K1466" s="107"/>
      <c r="L1466" s="107"/>
      <c r="M1466" s="107"/>
      <c r="N1466" s="107"/>
      <c r="O1466" s="107"/>
      <c r="P1466" s="107"/>
    </row>
    <row r="1467" spans="1:16" x14ac:dyDescent="0.3">
      <c r="A1467" s="58" t="str">
        <f t="shared" si="92"/>
        <v>A094480</v>
      </c>
      <c r="B1467" s="59" t="str">
        <f t="shared" si="89"/>
        <v/>
      </c>
      <c r="C1467" s="59" t="str">
        <f t="shared" si="90"/>
        <v/>
      </c>
      <c r="D1467" s="109" t="str">
        <f t="shared" si="91"/>
        <v/>
      </c>
      <c r="E1467" s="106" t="s">
        <v>1441</v>
      </c>
      <c r="F1467" s="58" t="s">
        <v>2869</v>
      </c>
      <c r="G1467" s="106">
        <v>12</v>
      </c>
      <c r="H1467" s="107"/>
      <c r="I1467" s="107"/>
      <c r="J1467" s="107"/>
      <c r="K1467" s="107"/>
      <c r="L1467" s="107"/>
      <c r="M1467" s="107"/>
      <c r="N1467" s="107"/>
      <c r="O1467" s="107"/>
      <c r="P1467" s="107"/>
    </row>
    <row r="1468" spans="1:16" x14ac:dyDescent="0.3">
      <c r="A1468" s="58" t="str">
        <f t="shared" si="92"/>
        <v>A094820</v>
      </c>
      <c r="B1468" s="59" t="str">
        <f t="shared" si="89"/>
        <v/>
      </c>
      <c r="C1468" s="59" t="str">
        <f t="shared" si="90"/>
        <v/>
      </c>
      <c r="D1468" s="109" t="str">
        <f t="shared" si="91"/>
        <v/>
      </c>
      <c r="E1468" s="106" t="s">
        <v>1442</v>
      </c>
      <c r="F1468" s="58" t="s">
        <v>2870</v>
      </c>
      <c r="G1468" s="106">
        <v>12</v>
      </c>
      <c r="H1468" s="107"/>
      <c r="I1468" s="107"/>
      <c r="J1468" s="107"/>
      <c r="K1468" s="107"/>
      <c r="L1468" s="107"/>
      <c r="M1468" s="107"/>
      <c r="N1468" s="107"/>
      <c r="O1468" s="107"/>
      <c r="P1468" s="107"/>
    </row>
    <row r="1469" spans="1:16" x14ac:dyDescent="0.3">
      <c r="A1469" s="58" t="str">
        <f t="shared" si="92"/>
        <v>A094840</v>
      </c>
      <c r="B1469" s="59" t="str">
        <f t="shared" si="89"/>
        <v/>
      </c>
      <c r="C1469" s="59" t="str">
        <f t="shared" si="90"/>
        <v/>
      </c>
      <c r="D1469" s="109" t="str">
        <f t="shared" si="91"/>
        <v/>
      </c>
      <c r="E1469" s="106" t="s">
        <v>1443</v>
      </c>
      <c r="F1469" s="58" t="s">
        <v>2871</v>
      </c>
      <c r="G1469" s="106">
        <v>12</v>
      </c>
      <c r="H1469" s="107"/>
      <c r="I1469" s="107"/>
      <c r="J1469" s="107"/>
      <c r="K1469" s="107"/>
      <c r="L1469" s="107"/>
      <c r="M1469" s="107"/>
      <c r="N1469" s="107"/>
      <c r="O1469" s="107"/>
      <c r="P1469" s="107"/>
    </row>
    <row r="1470" spans="1:16" x14ac:dyDescent="0.3">
      <c r="A1470" s="58" t="str">
        <f t="shared" si="92"/>
        <v>A094850</v>
      </c>
      <c r="B1470" s="59" t="str">
        <f t="shared" si="89"/>
        <v/>
      </c>
      <c r="C1470" s="59" t="str">
        <f t="shared" si="90"/>
        <v/>
      </c>
      <c r="D1470" s="109" t="str">
        <f t="shared" si="91"/>
        <v/>
      </c>
      <c r="E1470" s="106" t="s">
        <v>1444</v>
      </c>
      <c r="F1470" s="58" t="s">
        <v>2872</v>
      </c>
      <c r="G1470" s="106">
        <v>12</v>
      </c>
      <c r="H1470" s="107"/>
      <c r="I1470" s="107"/>
      <c r="J1470" s="107"/>
      <c r="K1470" s="107"/>
      <c r="L1470" s="107"/>
      <c r="M1470" s="107"/>
      <c r="N1470" s="107"/>
      <c r="O1470" s="107"/>
      <c r="P1470" s="107"/>
    </row>
    <row r="1471" spans="1:16" x14ac:dyDescent="0.3">
      <c r="A1471" s="58" t="str">
        <f t="shared" si="92"/>
        <v>A094860</v>
      </c>
      <c r="B1471" s="59" t="str">
        <f t="shared" si="89"/>
        <v/>
      </c>
      <c r="C1471" s="59" t="str">
        <f t="shared" si="90"/>
        <v/>
      </c>
      <c r="D1471" s="109" t="str">
        <f t="shared" si="91"/>
        <v/>
      </c>
      <c r="E1471" s="106" t="s">
        <v>1445</v>
      </c>
      <c r="F1471" s="58" t="s">
        <v>2873</v>
      </c>
      <c r="G1471" s="106">
        <v>12</v>
      </c>
      <c r="H1471" s="107"/>
      <c r="I1471" s="107"/>
      <c r="J1471" s="107"/>
      <c r="K1471" s="107"/>
      <c r="L1471" s="107"/>
      <c r="M1471" s="107"/>
      <c r="N1471" s="107"/>
      <c r="O1471" s="107"/>
      <c r="P1471" s="107"/>
    </row>
    <row r="1472" spans="1:16" x14ac:dyDescent="0.3">
      <c r="A1472" s="58" t="str">
        <f t="shared" si="92"/>
        <v>A094940</v>
      </c>
      <c r="B1472" s="59" t="str">
        <f t="shared" si="89"/>
        <v/>
      </c>
      <c r="C1472" s="59" t="str">
        <f t="shared" si="90"/>
        <v/>
      </c>
      <c r="D1472" s="109" t="str">
        <f t="shared" si="91"/>
        <v/>
      </c>
      <c r="E1472" s="106" t="s">
        <v>1446</v>
      </c>
      <c r="F1472" s="58" t="s">
        <v>2874</v>
      </c>
      <c r="G1472" s="106">
        <v>12</v>
      </c>
      <c r="H1472" s="107"/>
      <c r="I1472" s="107"/>
      <c r="J1472" s="107"/>
      <c r="K1472" s="107"/>
      <c r="L1472" s="107"/>
      <c r="M1472" s="107"/>
      <c r="N1472" s="107"/>
      <c r="O1472" s="107"/>
      <c r="P1472" s="107"/>
    </row>
    <row r="1473" spans="1:16" x14ac:dyDescent="0.3">
      <c r="A1473" s="58" t="str">
        <f t="shared" si="92"/>
        <v>A094970</v>
      </c>
      <c r="B1473" s="59" t="str">
        <f t="shared" si="89"/>
        <v/>
      </c>
      <c r="C1473" s="59" t="str">
        <f t="shared" si="90"/>
        <v/>
      </c>
      <c r="D1473" s="109" t="str">
        <f t="shared" si="91"/>
        <v/>
      </c>
      <c r="E1473" s="106" t="s">
        <v>1447</v>
      </c>
      <c r="F1473" s="58" t="s">
        <v>2875</v>
      </c>
      <c r="G1473" s="106">
        <v>12</v>
      </c>
      <c r="H1473" s="107"/>
      <c r="I1473" s="107"/>
      <c r="J1473" s="107"/>
      <c r="K1473" s="107"/>
      <c r="L1473" s="107"/>
      <c r="M1473" s="107"/>
      <c r="N1473" s="107"/>
      <c r="O1473" s="107"/>
      <c r="P1473" s="107"/>
    </row>
    <row r="1474" spans="1:16" x14ac:dyDescent="0.3">
      <c r="A1474" s="58" t="str">
        <f t="shared" si="92"/>
        <v>A095190</v>
      </c>
      <c r="B1474" s="59" t="str">
        <f t="shared" si="89"/>
        <v/>
      </c>
      <c r="C1474" s="59" t="str">
        <f t="shared" si="90"/>
        <v/>
      </c>
      <c r="D1474" s="109" t="str">
        <f t="shared" si="91"/>
        <v/>
      </c>
      <c r="E1474" s="106" t="s">
        <v>1448</v>
      </c>
      <c r="F1474" s="58" t="s">
        <v>2876</v>
      </c>
      <c r="G1474" s="106">
        <v>12</v>
      </c>
      <c r="H1474" s="107"/>
      <c r="I1474" s="107"/>
      <c r="J1474" s="107"/>
      <c r="K1474" s="107"/>
      <c r="L1474" s="107"/>
      <c r="M1474" s="107"/>
      <c r="N1474" s="107"/>
      <c r="O1474" s="107"/>
      <c r="P1474" s="107"/>
    </row>
    <row r="1475" spans="1:16" x14ac:dyDescent="0.3">
      <c r="A1475" s="58" t="str">
        <f t="shared" si="92"/>
        <v>A095270</v>
      </c>
      <c r="B1475" s="59" t="str">
        <f t="shared" si="89"/>
        <v/>
      </c>
      <c r="C1475" s="59" t="str">
        <f t="shared" si="90"/>
        <v/>
      </c>
      <c r="D1475" s="109" t="str">
        <f t="shared" si="91"/>
        <v/>
      </c>
      <c r="E1475" s="106" t="s">
        <v>1449</v>
      </c>
      <c r="F1475" s="58" t="s">
        <v>2877</v>
      </c>
      <c r="G1475" s="106">
        <v>12</v>
      </c>
      <c r="H1475" s="107"/>
      <c r="I1475" s="107"/>
      <c r="J1475" s="107"/>
      <c r="K1475" s="107"/>
      <c r="L1475" s="107"/>
      <c r="M1475" s="107"/>
      <c r="N1475" s="107"/>
      <c r="O1475" s="107"/>
      <c r="P1475" s="107"/>
    </row>
    <row r="1476" spans="1:16" x14ac:dyDescent="0.3">
      <c r="A1476" s="58" t="str">
        <f t="shared" si="92"/>
        <v>A095300</v>
      </c>
      <c r="B1476" s="59" t="str">
        <f t="shared" si="89"/>
        <v/>
      </c>
      <c r="C1476" s="59" t="str">
        <f t="shared" si="90"/>
        <v/>
      </c>
      <c r="D1476" s="109" t="str">
        <f t="shared" si="91"/>
        <v/>
      </c>
      <c r="E1476" s="106" t="s">
        <v>1450</v>
      </c>
      <c r="F1476" s="58" t="s">
        <v>2878</v>
      </c>
      <c r="G1476" s="106">
        <v>12</v>
      </c>
      <c r="H1476" s="107"/>
      <c r="I1476" s="107"/>
      <c r="J1476" s="107"/>
      <c r="K1476" s="107"/>
      <c r="L1476" s="107"/>
      <c r="M1476" s="107"/>
      <c r="N1476" s="107"/>
      <c r="O1476" s="107"/>
      <c r="P1476" s="107"/>
    </row>
    <row r="1477" spans="1:16" x14ac:dyDescent="0.3">
      <c r="A1477" s="58" t="str">
        <f t="shared" si="92"/>
        <v>A095340</v>
      </c>
      <c r="B1477" s="59" t="str">
        <f t="shared" si="89"/>
        <v/>
      </c>
      <c r="C1477" s="59" t="str">
        <f t="shared" si="90"/>
        <v/>
      </c>
      <c r="D1477" s="109" t="str">
        <f t="shared" si="91"/>
        <v/>
      </c>
      <c r="E1477" s="106" t="s">
        <v>1451</v>
      </c>
      <c r="F1477" s="58" t="s">
        <v>2879</v>
      </c>
      <c r="G1477" s="106">
        <v>12</v>
      </c>
      <c r="H1477" s="107"/>
      <c r="I1477" s="107"/>
      <c r="J1477" s="107"/>
      <c r="K1477" s="107"/>
      <c r="L1477" s="107"/>
      <c r="M1477" s="107"/>
      <c r="N1477" s="107"/>
      <c r="O1477" s="107"/>
      <c r="P1477" s="107"/>
    </row>
    <row r="1478" spans="1:16" x14ac:dyDescent="0.3">
      <c r="A1478" s="58" t="str">
        <f t="shared" si="92"/>
        <v>A095500</v>
      </c>
      <c r="B1478" s="59" t="str">
        <f t="shared" si="89"/>
        <v/>
      </c>
      <c r="C1478" s="59" t="str">
        <f t="shared" si="90"/>
        <v/>
      </c>
      <c r="D1478" s="109" t="str">
        <f t="shared" si="91"/>
        <v/>
      </c>
      <c r="E1478" s="106" t="s">
        <v>1452</v>
      </c>
      <c r="F1478" s="58" t="s">
        <v>2880</v>
      </c>
      <c r="G1478" s="106">
        <v>12</v>
      </c>
      <c r="H1478" s="107"/>
      <c r="I1478" s="107"/>
      <c r="J1478" s="107"/>
      <c r="K1478" s="107"/>
      <c r="L1478" s="107"/>
      <c r="M1478" s="107"/>
      <c r="N1478" s="107"/>
      <c r="O1478" s="107"/>
      <c r="P1478" s="107"/>
    </row>
    <row r="1479" spans="1:16" x14ac:dyDescent="0.3">
      <c r="A1479" s="58" t="str">
        <f t="shared" si="92"/>
        <v>A095610</v>
      </c>
      <c r="B1479" s="59" t="str">
        <f t="shared" si="89"/>
        <v/>
      </c>
      <c r="C1479" s="59" t="str">
        <f t="shared" si="90"/>
        <v/>
      </c>
      <c r="D1479" s="109" t="str">
        <f t="shared" si="91"/>
        <v/>
      </c>
      <c r="E1479" s="106" t="s">
        <v>1453</v>
      </c>
      <c r="F1479" s="58" t="s">
        <v>2881</v>
      </c>
      <c r="G1479" s="106">
        <v>12</v>
      </c>
      <c r="H1479" s="107"/>
      <c r="I1479" s="107"/>
      <c r="J1479" s="107"/>
      <c r="K1479" s="107"/>
      <c r="L1479" s="107"/>
      <c r="M1479" s="107"/>
      <c r="N1479" s="107"/>
      <c r="O1479" s="107"/>
      <c r="P1479" s="107"/>
    </row>
    <row r="1480" spans="1:16" x14ac:dyDescent="0.3">
      <c r="A1480" s="58" t="str">
        <f t="shared" si="92"/>
        <v>A095660</v>
      </c>
      <c r="B1480" s="59" t="str">
        <f t="shared" si="89"/>
        <v/>
      </c>
      <c r="C1480" s="59" t="str">
        <f t="shared" si="90"/>
        <v/>
      </c>
      <c r="D1480" s="109" t="str">
        <f t="shared" si="91"/>
        <v/>
      </c>
      <c r="E1480" s="106" t="s">
        <v>1454</v>
      </c>
      <c r="F1480" s="58" t="s">
        <v>2882</v>
      </c>
      <c r="G1480" s="106">
        <v>12</v>
      </c>
      <c r="H1480" s="107"/>
      <c r="I1480" s="107"/>
      <c r="J1480" s="107"/>
      <c r="K1480" s="107"/>
      <c r="L1480" s="107"/>
      <c r="M1480" s="107"/>
      <c r="N1480" s="107"/>
      <c r="O1480" s="107"/>
      <c r="P1480" s="107"/>
    </row>
    <row r="1481" spans="1:16" x14ac:dyDescent="0.3">
      <c r="A1481" s="58" t="str">
        <f t="shared" si="92"/>
        <v>A095700</v>
      </c>
      <c r="B1481" s="59" t="str">
        <f t="shared" si="89"/>
        <v/>
      </c>
      <c r="C1481" s="59" t="str">
        <f t="shared" si="90"/>
        <v/>
      </c>
      <c r="D1481" s="109" t="str">
        <f t="shared" si="91"/>
        <v/>
      </c>
      <c r="E1481" s="106" t="s">
        <v>1455</v>
      </c>
      <c r="F1481" s="58" t="s">
        <v>2883</v>
      </c>
      <c r="G1481" s="106">
        <v>12</v>
      </c>
      <c r="H1481" s="107"/>
      <c r="I1481" s="107"/>
      <c r="J1481" s="107"/>
      <c r="K1481" s="107"/>
      <c r="L1481" s="107"/>
      <c r="M1481" s="107"/>
      <c r="N1481" s="107"/>
      <c r="O1481" s="107"/>
      <c r="P1481" s="107"/>
    </row>
    <row r="1482" spans="1:16" x14ac:dyDescent="0.3">
      <c r="A1482" s="58" t="str">
        <f t="shared" si="92"/>
        <v>A095720</v>
      </c>
      <c r="B1482" s="59" t="str">
        <f t="shared" si="89"/>
        <v/>
      </c>
      <c r="C1482" s="59" t="str">
        <f t="shared" si="90"/>
        <v/>
      </c>
      <c r="D1482" s="109" t="str">
        <f t="shared" si="91"/>
        <v/>
      </c>
      <c r="E1482" s="106" t="s">
        <v>1456</v>
      </c>
      <c r="F1482" s="58" t="s">
        <v>2884</v>
      </c>
      <c r="G1482" s="106">
        <v>12</v>
      </c>
      <c r="H1482" s="107"/>
      <c r="I1482" s="107"/>
      <c r="J1482" s="107"/>
      <c r="K1482" s="107"/>
      <c r="L1482" s="107"/>
      <c r="M1482" s="107"/>
      <c r="N1482" s="107"/>
      <c r="O1482" s="107"/>
      <c r="P1482" s="107"/>
    </row>
    <row r="1483" spans="1:16" x14ac:dyDescent="0.3">
      <c r="A1483" s="58" t="str">
        <f t="shared" si="92"/>
        <v>A095910</v>
      </c>
      <c r="B1483" s="59" t="str">
        <f t="shared" si="89"/>
        <v/>
      </c>
      <c r="C1483" s="59" t="str">
        <f t="shared" si="90"/>
        <v/>
      </c>
      <c r="D1483" s="109" t="str">
        <f t="shared" si="91"/>
        <v/>
      </c>
      <c r="E1483" s="106" t="s">
        <v>1457</v>
      </c>
      <c r="F1483" s="58" t="s">
        <v>2885</v>
      </c>
      <c r="G1483" s="106">
        <v>12</v>
      </c>
      <c r="H1483" s="107"/>
      <c r="I1483" s="107"/>
      <c r="J1483" s="107"/>
      <c r="K1483" s="107"/>
      <c r="L1483" s="107"/>
      <c r="M1483" s="107"/>
      <c r="N1483" s="107"/>
      <c r="O1483" s="107"/>
      <c r="P1483" s="107"/>
    </row>
    <row r="1484" spans="1:16" x14ac:dyDescent="0.3">
      <c r="A1484" s="58" t="str">
        <f t="shared" si="92"/>
        <v>A096040</v>
      </c>
      <c r="B1484" s="59" t="str">
        <f t="shared" si="89"/>
        <v/>
      </c>
      <c r="C1484" s="59" t="str">
        <f t="shared" si="90"/>
        <v/>
      </c>
      <c r="D1484" s="109" t="str">
        <f t="shared" si="91"/>
        <v/>
      </c>
      <c r="E1484" s="106" t="s">
        <v>1458</v>
      </c>
      <c r="F1484" s="58" t="s">
        <v>2886</v>
      </c>
      <c r="G1484" s="106">
        <v>12</v>
      </c>
      <c r="H1484" s="107"/>
      <c r="I1484" s="107"/>
      <c r="J1484" s="107"/>
      <c r="K1484" s="107"/>
      <c r="L1484" s="107"/>
      <c r="M1484" s="107"/>
      <c r="N1484" s="107"/>
      <c r="O1484" s="107"/>
      <c r="P1484" s="107"/>
    </row>
    <row r="1485" spans="1:16" x14ac:dyDescent="0.3">
      <c r="A1485" s="58" t="str">
        <f t="shared" si="92"/>
        <v>A096240</v>
      </c>
      <c r="B1485" s="59" t="str">
        <f t="shared" si="89"/>
        <v/>
      </c>
      <c r="C1485" s="59" t="str">
        <f t="shared" si="90"/>
        <v/>
      </c>
      <c r="D1485" s="109" t="str">
        <f t="shared" si="91"/>
        <v/>
      </c>
      <c r="E1485" s="106" t="s">
        <v>1459</v>
      </c>
      <c r="F1485" s="58" t="s">
        <v>2887</v>
      </c>
      <c r="G1485" s="106">
        <v>12</v>
      </c>
      <c r="H1485" s="107"/>
      <c r="I1485" s="107"/>
      <c r="J1485" s="107"/>
      <c r="K1485" s="107"/>
      <c r="L1485" s="107"/>
      <c r="M1485" s="107"/>
      <c r="N1485" s="107"/>
      <c r="O1485" s="107"/>
      <c r="P1485" s="107"/>
    </row>
    <row r="1486" spans="1:16" x14ac:dyDescent="0.3">
      <c r="A1486" s="58" t="str">
        <f t="shared" si="92"/>
        <v>A096350</v>
      </c>
      <c r="B1486" s="59" t="str">
        <f t="shared" si="89"/>
        <v/>
      </c>
      <c r="C1486" s="59" t="str">
        <f t="shared" si="90"/>
        <v/>
      </c>
      <c r="D1486" s="109" t="str">
        <f t="shared" si="91"/>
        <v/>
      </c>
      <c r="E1486" s="106" t="s">
        <v>1460</v>
      </c>
      <c r="F1486" s="58" t="s">
        <v>3653</v>
      </c>
      <c r="G1486" s="106">
        <v>12</v>
      </c>
      <c r="H1486" s="107"/>
      <c r="I1486" s="107"/>
      <c r="J1486" s="107"/>
      <c r="K1486" s="107"/>
      <c r="L1486" s="107"/>
      <c r="M1486" s="107"/>
      <c r="N1486" s="107"/>
      <c r="O1486" s="107"/>
      <c r="P1486" s="107"/>
    </row>
    <row r="1487" spans="1:16" x14ac:dyDescent="0.3">
      <c r="A1487" s="58" t="str">
        <f t="shared" si="92"/>
        <v>A096530</v>
      </c>
      <c r="B1487" s="59" t="str">
        <f t="shared" ref="B1487:B1550" si="93">IFERROR(IF(ISNUMBER(H1487),DATE(LEFT(H1487,4),MID(H1487,5,2),RIGHT(H1487,2)),NA()),"")</f>
        <v/>
      </c>
      <c r="C1487" s="59" t="str">
        <f t="shared" ref="C1487:C1550" si="94">IFERROR(IF(ISNUMBER(I1487),DATE(LEFT(I1487,4),MID(I1487,5,2),RIGHT(I1487,2)),NA()),"")</f>
        <v/>
      </c>
      <c r="D1487" s="109" t="str">
        <f t="shared" ref="D1487:D1550" si="95">IFERROR(IF(ISNUMBER(J1487),J1487,NA()),"")</f>
        <v/>
      </c>
      <c r="E1487" s="106" t="s">
        <v>3187</v>
      </c>
      <c r="F1487" s="58" t="s">
        <v>3388</v>
      </c>
      <c r="G1487" s="106">
        <v>12</v>
      </c>
      <c r="H1487" s="107"/>
      <c r="I1487" s="107"/>
      <c r="J1487" s="107"/>
      <c r="K1487" s="107"/>
      <c r="L1487" s="107"/>
      <c r="M1487" s="107"/>
      <c r="N1487" s="107"/>
      <c r="O1487" s="107"/>
      <c r="P1487" s="107"/>
    </row>
    <row r="1488" spans="1:16" x14ac:dyDescent="0.3">
      <c r="A1488" s="58" t="str">
        <f t="shared" si="92"/>
        <v>A096610</v>
      </c>
      <c r="B1488" s="59" t="str">
        <f t="shared" si="93"/>
        <v/>
      </c>
      <c r="C1488" s="59" t="str">
        <f t="shared" si="94"/>
        <v/>
      </c>
      <c r="D1488" s="109" t="str">
        <f t="shared" si="95"/>
        <v/>
      </c>
      <c r="E1488" s="106" t="s">
        <v>1461</v>
      </c>
      <c r="F1488" s="58" t="s">
        <v>2888</v>
      </c>
      <c r="G1488" s="106">
        <v>12</v>
      </c>
      <c r="H1488" s="107"/>
      <c r="I1488" s="107"/>
      <c r="J1488" s="107"/>
      <c r="K1488" s="107"/>
      <c r="L1488" s="107"/>
      <c r="M1488" s="107"/>
      <c r="N1488" s="107"/>
      <c r="O1488" s="107"/>
      <c r="P1488" s="107"/>
    </row>
    <row r="1489" spans="1:16" x14ac:dyDescent="0.3">
      <c r="A1489" s="58" t="str">
        <f t="shared" si="92"/>
        <v>A096630</v>
      </c>
      <c r="B1489" s="59" t="str">
        <f t="shared" si="93"/>
        <v/>
      </c>
      <c r="C1489" s="59" t="str">
        <f t="shared" si="94"/>
        <v/>
      </c>
      <c r="D1489" s="109" t="str">
        <f t="shared" si="95"/>
        <v/>
      </c>
      <c r="E1489" s="106" t="s">
        <v>1462</v>
      </c>
      <c r="F1489" s="58" t="s">
        <v>2889</v>
      </c>
      <c r="G1489" s="106">
        <v>12</v>
      </c>
      <c r="H1489" s="107"/>
      <c r="I1489" s="107"/>
      <c r="J1489" s="107"/>
      <c r="K1489" s="107"/>
      <c r="L1489" s="107"/>
      <c r="M1489" s="107"/>
      <c r="N1489" s="107"/>
      <c r="O1489" s="107"/>
      <c r="P1489" s="107"/>
    </row>
    <row r="1490" spans="1:16" x14ac:dyDescent="0.3">
      <c r="A1490" s="58" t="str">
        <f t="shared" si="92"/>
        <v>A096640</v>
      </c>
      <c r="B1490" s="59" t="str">
        <f t="shared" si="93"/>
        <v/>
      </c>
      <c r="C1490" s="59" t="str">
        <f t="shared" si="94"/>
        <v/>
      </c>
      <c r="D1490" s="109" t="str">
        <f t="shared" si="95"/>
        <v/>
      </c>
      <c r="E1490" s="106" t="s">
        <v>3188</v>
      </c>
      <c r="F1490" s="58" t="s">
        <v>3389</v>
      </c>
      <c r="G1490" s="106">
        <v>12</v>
      </c>
      <c r="H1490" s="107"/>
      <c r="I1490" s="107"/>
      <c r="J1490" s="107"/>
      <c r="K1490" s="107"/>
      <c r="L1490" s="107"/>
      <c r="M1490" s="107"/>
      <c r="N1490" s="107"/>
      <c r="O1490" s="107"/>
      <c r="P1490" s="107"/>
    </row>
    <row r="1491" spans="1:16" x14ac:dyDescent="0.3">
      <c r="A1491" s="58" t="str">
        <f t="shared" si="92"/>
        <v>A096690</v>
      </c>
      <c r="B1491" s="59" t="str">
        <f t="shared" si="93"/>
        <v/>
      </c>
      <c r="C1491" s="59" t="str">
        <f t="shared" si="94"/>
        <v/>
      </c>
      <c r="D1491" s="109" t="str">
        <f t="shared" si="95"/>
        <v/>
      </c>
      <c r="E1491" s="106" t="s">
        <v>3189</v>
      </c>
      <c r="F1491" s="58" t="s">
        <v>3390</v>
      </c>
      <c r="G1491" s="106">
        <v>12</v>
      </c>
      <c r="H1491" s="107"/>
      <c r="I1491" s="107"/>
      <c r="J1491" s="107"/>
      <c r="K1491" s="107"/>
      <c r="L1491" s="107"/>
      <c r="M1491" s="107"/>
      <c r="N1491" s="107"/>
      <c r="O1491" s="107"/>
      <c r="P1491" s="107"/>
    </row>
    <row r="1492" spans="1:16" x14ac:dyDescent="0.3">
      <c r="A1492" s="58" t="str">
        <f t="shared" si="92"/>
        <v>A096760</v>
      </c>
      <c r="B1492" s="59" t="str">
        <f t="shared" si="93"/>
        <v/>
      </c>
      <c r="C1492" s="59" t="str">
        <f t="shared" si="94"/>
        <v/>
      </c>
      <c r="D1492" s="109" t="str">
        <f t="shared" si="95"/>
        <v/>
      </c>
      <c r="E1492" s="106" t="s">
        <v>1463</v>
      </c>
      <c r="F1492" s="58" t="s">
        <v>2890</v>
      </c>
      <c r="G1492" s="106">
        <v>12</v>
      </c>
      <c r="H1492" s="107"/>
      <c r="I1492" s="107"/>
      <c r="J1492" s="107"/>
      <c r="K1492" s="107"/>
      <c r="L1492" s="107"/>
      <c r="M1492" s="107"/>
      <c r="N1492" s="107"/>
      <c r="O1492" s="107"/>
      <c r="P1492" s="107"/>
    </row>
    <row r="1493" spans="1:16" x14ac:dyDescent="0.3">
      <c r="A1493" s="58" t="str">
        <f t="shared" si="92"/>
        <v>A096770</v>
      </c>
      <c r="B1493" s="59">
        <f t="shared" si="93"/>
        <v>41481</v>
      </c>
      <c r="C1493" s="59">
        <f t="shared" si="94"/>
        <v>41481</v>
      </c>
      <c r="D1493" s="109">
        <f t="shared" si="95"/>
        <v>395.46</v>
      </c>
      <c r="E1493" s="106" t="s">
        <v>1464</v>
      </c>
      <c r="F1493" s="58" t="s">
        <v>2891</v>
      </c>
      <c r="G1493" s="106">
        <v>12</v>
      </c>
      <c r="H1493" s="107">
        <v>20130726</v>
      </c>
      <c r="I1493" s="107">
        <v>20130726</v>
      </c>
      <c r="J1493" s="107">
        <v>395.46</v>
      </c>
      <c r="K1493" s="107"/>
      <c r="L1493" s="107"/>
      <c r="M1493" s="107"/>
      <c r="N1493" s="107"/>
      <c r="O1493" s="107"/>
      <c r="P1493" s="107"/>
    </row>
    <row r="1494" spans="1:16" x14ac:dyDescent="0.3">
      <c r="A1494" s="58" t="str">
        <f t="shared" ref="A1494:A1557" si="96">E1494</f>
        <v>A096870</v>
      </c>
      <c r="B1494" s="59" t="str">
        <f t="shared" si="93"/>
        <v/>
      </c>
      <c r="C1494" s="59" t="str">
        <f t="shared" si="94"/>
        <v/>
      </c>
      <c r="D1494" s="109" t="str">
        <f t="shared" si="95"/>
        <v/>
      </c>
      <c r="E1494" s="106" t="s">
        <v>1465</v>
      </c>
      <c r="F1494" s="58" t="s">
        <v>2892</v>
      </c>
      <c r="G1494" s="106">
        <v>12</v>
      </c>
      <c r="H1494" s="107"/>
      <c r="I1494" s="107"/>
      <c r="J1494" s="107"/>
      <c r="K1494" s="107"/>
      <c r="L1494" s="107"/>
      <c r="M1494" s="107"/>
      <c r="N1494" s="107"/>
      <c r="O1494" s="107"/>
      <c r="P1494" s="107"/>
    </row>
    <row r="1495" spans="1:16" x14ac:dyDescent="0.3">
      <c r="A1495" s="58" t="str">
        <f t="shared" si="96"/>
        <v>A097230</v>
      </c>
      <c r="B1495" s="59" t="str">
        <f t="shared" si="93"/>
        <v/>
      </c>
      <c r="C1495" s="59" t="str">
        <f t="shared" si="94"/>
        <v/>
      </c>
      <c r="D1495" s="109" t="str">
        <f t="shared" si="95"/>
        <v/>
      </c>
      <c r="E1495" s="106" t="s">
        <v>1466</v>
      </c>
      <c r="F1495" s="58" t="s">
        <v>2893</v>
      </c>
      <c r="G1495" s="106">
        <v>12</v>
      </c>
      <c r="H1495" s="107"/>
      <c r="I1495" s="107"/>
      <c r="J1495" s="107"/>
      <c r="K1495" s="107"/>
      <c r="L1495" s="107"/>
      <c r="M1495" s="107"/>
      <c r="N1495" s="107"/>
      <c r="O1495" s="107"/>
      <c r="P1495" s="107"/>
    </row>
    <row r="1496" spans="1:16" x14ac:dyDescent="0.3">
      <c r="A1496" s="58" t="str">
        <f t="shared" si="96"/>
        <v>A097520</v>
      </c>
      <c r="B1496" s="59" t="str">
        <f t="shared" si="93"/>
        <v/>
      </c>
      <c r="C1496" s="59" t="str">
        <f t="shared" si="94"/>
        <v/>
      </c>
      <c r="D1496" s="109" t="str">
        <f t="shared" si="95"/>
        <v/>
      </c>
      <c r="E1496" s="106" t="s">
        <v>3190</v>
      </c>
      <c r="F1496" s="58" t="s">
        <v>3391</v>
      </c>
      <c r="G1496" s="106">
        <v>12</v>
      </c>
      <c r="H1496" s="107"/>
      <c r="I1496" s="107"/>
      <c r="J1496" s="107"/>
      <c r="K1496" s="107"/>
      <c r="L1496" s="107"/>
      <c r="M1496" s="107"/>
      <c r="N1496" s="107"/>
      <c r="O1496" s="107"/>
      <c r="P1496" s="107"/>
    </row>
    <row r="1497" spans="1:16" x14ac:dyDescent="0.3">
      <c r="A1497" s="58" t="str">
        <f t="shared" si="96"/>
        <v>A097780</v>
      </c>
      <c r="B1497" s="59" t="str">
        <f t="shared" si="93"/>
        <v/>
      </c>
      <c r="C1497" s="59" t="str">
        <f t="shared" si="94"/>
        <v/>
      </c>
      <c r="D1497" s="109" t="str">
        <f t="shared" si="95"/>
        <v/>
      </c>
      <c r="E1497" s="106" t="s">
        <v>1467</v>
      </c>
      <c r="F1497" s="58" t="s">
        <v>2894</v>
      </c>
      <c r="G1497" s="106">
        <v>12</v>
      </c>
      <c r="H1497" s="107"/>
      <c r="I1497" s="107"/>
      <c r="J1497" s="107"/>
      <c r="K1497" s="107"/>
      <c r="L1497" s="107"/>
      <c r="M1497" s="107"/>
      <c r="N1497" s="107"/>
      <c r="O1497" s="107"/>
      <c r="P1497" s="107"/>
    </row>
    <row r="1498" spans="1:16" x14ac:dyDescent="0.3">
      <c r="A1498" s="58" t="str">
        <f t="shared" si="96"/>
        <v>A097800</v>
      </c>
      <c r="B1498" s="59" t="str">
        <f t="shared" si="93"/>
        <v/>
      </c>
      <c r="C1498" s="59" t="str">
        <f t="shared" si="94"/>
        <v/>
      </c>
      <c r="D1498" s="109" t="str">
        <f t="shared" si="95"/>
        <v/>
      </c>
      <c r="E1498" s="106" t="s">
        <v>3624</v>
      </c>
      <c r="F1498" s="58" t="s">
        <v>3654</v>
      </c>
      <c r="G1498" s="106">
        <v>12</v>
      </c>
      <c r="H1498" s="107"/>
      <c r="I1498" s="107"/>
      <c r="J1498" s="107"/>
      <c r="K1498" s="107"/>
      <c r="L1498" s="107"/>
      <c r="M1498" s="107"/>
      <c r="N1498" s="107"/>
      <c r="O1498" s="107"/>
      <c r="P1498" s="107"/>
    </row>
    <row r="1499" spans="1:16" x14ac:dyDescent="0.3">
      <c r="A1499" s="58" t="str">
        <f t="shared" si="96"/>
        <v>A097870</v>
      </c>
      <c r="B1499" s="59" t="str">
        <f t="shared" si="93"/>
        <v/>
      </c>
      <c r="C1499" s="59" t="str">
        <f t="shared" si="94"/>
        <v/>
      </c>
      <c r="D1499" s="109" t="str">
        <f t="shared" si="95"/>
        <v/>
      </c>
      <c r="E1499" s="106" t="s">
        <v>1468</v>
      </c>
      <c r="F1499" s="58" t="s">
        <v>2895</v>
      </c>
      <c r="G1499" s="106">
        <v>6</v>
      </c>
      <c r="H1499" s="107"/>
      <c r="I1499" s="107"/>
      <c r="J1499" s="107"/>
      <c r="K1499" s="107"/>
      <c r="L1499" s="107"/>
      <c r="M1499" s="107"/>
      <c r="N1499" s="107"/>
      <c r="O1499" s="107"/>
      <c r="P1499" s="107"/>
    </row>
    <row r="1500" spans="1:16" x14ac:dyDescent="0.3">
      <c r="A1500" s="58" t="str">
        <f t="shared" si="96"/>
        <v>A097950</v>
      </c>
      <c r="B1500" s="59">
        <f t="shared" si="93"/>
        <v>41487</v>
      </c>
      <c r="C1500" s="59" t="str">
        <f t="shared" si="94"/>
        <v/>
      </c>
      <c r="D1500" s="109" t="str">
        <f t="shared" si="95"/>
        <v/>
      </c>
      <c r="E1500" s="106" t="s">
        <v>1469</v>
      </c>
      <c r="F1500" s="58" t="s">
        <v>2896</v>
      </c>
      <c r="G1500" s="106">
        <v>12</v>
      </c>
      <c r="H1500" s="107">
        <v>20130801</v>
      </c>
      <c r="I1500" s="107"/>
      <c r="J1500" s="107"/>
      <c r="K1500" s="107"/>
      <c r="L1500" s="107"/>
      <c r="M1500" s="107"/>
      <c r="N1500" s="107"/>
      <c r="O1500" s="107"/>
      <c r="P1500" s="107"/>
    </row>
    <row r="1501" spans="1:16" x14ac:dyDescent="0.3">
      <c r="A1501" s="58" t="str">
        <f t="shared" si="96"/>
        <v>A098120</v>
      </c>
      <c r="B1501" s="59" t="str">
        <f t="shared" si="93"/>
        <v/>
      </c>
      <c r="C1501" s="59" t="str">
        <f t="shared" si="94"/>
        <v/>
      </c>
      <c r="D1501" s="109" t="str">
        <f t="shared" si="95"/>
        <v/>
      </c>
      <c r="E1501" s="106" t="s">
        <v>1470</v>
      </c>
      <c r="F1501" s="58" t="s">
        <v>2897</v>
      </c>
      <c r="G1501" s="106">
        <v>12</v>
      </c>
      <c r="H1501" s="107"/>
      <c r="I1501" s="107"/>
      <c r="J1501" s="107"/>
      <c r="K1501" s="107"/>
      <c r="L1501" s="107"/>
      <c r="M1501" s="107"/>
      <c r="N1501" s="107"/>
      <c r="O1501" s="107"/>
      <c r="P1501" s="107"/>
    </row>
    <row r="1502" spans="1:16" x14ac:dyDescent="0.3">
      <c r="A1502" s="58" t="str">
        <f t="shared" si="96"/>
        <v>A098460</v>
      </c>
      <c r="B1502" s="59" t="str">
        <f t="shared" si="93"/>
        <v/>
      </c>
      <c r="C1502" s="59" t="str">
        <f t="shared" si="94"/>
        <v/>
      </c>
      <c r="D1502" s="109" t="str">
        <f t="shared" si="95"/>
        <v/>
      </c>
      <c r="E1502" s="106" t="s">
        <v>1471</v>
      </c>
      <c r="F1502" s="58" t="s">
        <v>2898</v>
      </c>
      <c r="G1502" s="106">
        <v>12</v>
      </c>
      <c r="H1502" s="107"/>
      <c r="I1502" s="107"/>
      <c r="J1502" s="107"/>
      <c r="K1502" s="107"/>
      <c r="L1502" s="107"/>
      <c r="M1502" s="107"/>
      <c r="N1502" s="107"/>
      <c r="O1502" s="107"/>
      <c r="P1502" s="107"/>
    </row>
    <row r="1503" spans="1:16" x14ac:dyDescent="0.3">
      <c r="A1503" s="58" t="str">
        <f t="shared" si="96"/>
        <v>A098660</v>
      </c>
      <c r="B1503" s="59" t="str">
        <f t="shared" si="93"/>
        <v/>
      </c>
      <c r="C1503" s="59" t="str">
        <f t="shared" si="94"/>
        <v/>
      </c>
      <c r="D1503" s="109" t="str">
        <f t="shared" si="95"/>
        <v/>
      </c>
      <c r="E1503" s="106" t="s">
        <v>1472</v>
      </c>
      <c r="F1503" s="58" t="s">
        <v>2899</v>
      </c>
      <c r="G1503" s="106">
        <v>12</v>
      </c>
      <c r="H1503" s="107"/>
      <c r="I1503" s="107"/>
      <c r="J1503" s="107"/>
      <c r="K1503" s="107"/>
      <c r="L1503" s="107"/>
      <c r="M1503" s="107"/>
      <c r="N1503" s="107"/>
      <c r="O1503" s="107"/>
      <c r="P1503" s="107"/>
    </row>
    <row r="1504" spans="1:16" x14ac:dyDescent="0.3">
      <c r="A1504" s="58" t="str">
        <f t="shared" si="96"/>
        <v>A099190</v>
      </c>
      <c r="B1504" s="59" t="str">
        <f t="shared" si="93"/>
        <v/>
      </c>
      <c r="C1504" s="59" t="str">
        <f t="shared" si="94"/>
        <v/>
      </c>
      <c r="D1504" s="109" t="str">
        <f t="shared" si="95"/>
        <v/>
      </c>
      <c r="E1504" s="106" t="s">
        <v>3604</v>
      </c>
      <c r="F1504" s="58" t="s">
        <v>3612</v>
      </c>
      <c r="G1504" s="106">
        <v>12</v>
      </c>
      <c r="H1504" s="107"/>
      <c r="I1504" s="107"/>
      <c r="J1504" s="107"/>
      <c r="K1504" s="107"/>
      <c r="L1504" s="107"/>
      <c r="M1504" s="107"/>
      <c r="N1504" s="107"/>
      <c r="O1504" s="107"/>
      <c r="P1504" s="107"/>
    </row>
    <row r="1505" spans="1:16" x14ac:dyDescent="0.3">
      <c r="A1505" s="58" t="str">
        <f t="shared" si="96"/>
        <v>A099220</v>
      </c>
      <c r="B1505" s="59" t="str">
        <f t="shared" si="93"/>
        <v/>
      </c>
      <c r="C1505" s="59" t="str">
        <f t="shared" si="94"/>
        <v/>
      </c>
      <c r="D1505" s="109" t="str">
        <f t="shared" si="95"/>
        <v/>
      </c>
      <c r="E1505" s="106" t="s">
        <v>1473</v>
      </c>
      <c r="F1505" s="58" t="s">
        <v>2900</v>
      </c>
      <c r="G1505" s="106">
        <v>12</v>
      </c>
      <c r="H1505" s="107"/>
      <c r="I1505" s="107"/>
      <c r="J1505" s="107"/>
      <c r="K1505" s="107"/>
      <c r="L1505" s="107"/>
      <c r="M1505" s="107"/>
      <c r="N1505" s="107"/>
      <c r="O1505" s="107"/>
      <c r="P1505" s="107"/>
    </row>
    <row r="1506" spans="1:16" x14ac:dyDescent="0.3">
      <c r="A1506" s="58" t="str">
        <f t="shared" si="96"/>
        <v>A099320</v>
      </c>
      <c r="B1506" s="59" t="str">
        <f t="shared" si="93"/>
        <v/>
      </c>
      <c r="C1506" s="59" t="str">
        <f t="shared" si="94"/>
        <v/>
      </c>
      <c r="D1506" s="109" t="str">
        <f t="shared" si="95"/>
        <v/>
      </c>
      <c r="E1506" s="106" t="s">
        <v>1474</v>
      </c>
      <c r="F1506" s="58" t="s">
        <v>2901</v>
      </c>
      <c r="G1506" s="106">
        <v>12</v>
      </c>
      <c r="H1506" s="107"/>
      <c r="I1506" s="107"/>
      <c r="J1506" s="107"/>
      <c r="K1506" s="107"/>
      <c r="L1506" s="107"/>
      <c r="M1506" s="107"/>
      <c r="N1506" s="107"/>
      <c r="O1506" s="107"/>
      <c r="P1506" s="107"/>
    </row>
    <row r="1507" spans="1:16" x14ac:dyDescent="0.3">
      <c r="A1507" s="58" t="str">
        <f t="shared" si="96"/>
        <v>A099410</v>
      </c>
      <c r="B1507" s="59" t="str">
        <f t="shared" si="93"/>
        <v/>
      </c>
      <c r="C1507" s="59" t="str">
        <f t="shared" si="94"/>
        <v/>
      </c>
      <c r="D1507" s="109" t="str">
        <f t="shared" si="95"/>
        <v/>
      </c>
      <c r="E1507" s="106" t="s">
        <v>1475</v>
      </c>
      <c r="F1507" s="58" t="s">
        <v>2902</v>
      </c>
      <c r="G1507" s="106">
        <v>12</v>
      </c>
      <c r="H1507" s="107"/>
      <c r="I1507" s="107"/>
      <c r="J1507" s="107"/>
      <c r="K1507" s="107"/>
      <c r="L1507" s="107"/>
      <c r="M1507" s="107"/>
      <c r="N1507" s="107"/>
      <c r="O1507" s="107"/>
      <c r="P1507" s="107"/>
    </row>
    <row r="1508" spans="1:16" x14ac:dyDescent="0.3">
      <c r="A1508" s="58" t="str">
        <f t="shared" si="96"/>
        <v>A099440</v>
      </c>
      <c r="B1508" s="59">
        <f t="shared" si="93"/>
        <v>41481</v>
      </c>
      <c r="C1508" s="59">
        <f t="shared" si="94"/>
        <v>41481</v>
      </c>
      <c r="D1508" s="109">
        <f t="shared" si="95"/>
        <v>2.8</v>
      </c>
      <c r="E1508" s="106" t="s">
        <v>1476</v>
      </c>
      <c r="F1508" s="58" t="s">
        <v>3534</v>
      </c>
      <c r="G1508" s="106">
        <v>12</v>
      </c>
      <c r="H1508" s="107">
        <v>20130726</v>
      </c>
      <c r="I1508" s="107">
        <v>20130726</v>
      </c>
      <c r="J1508" s="107">
        <v>2.8</v>
      </c>
      <c r="K1508" s="107"/>
      <c r="L1508" s="107"/>
      <c r="M1508" s="107"/>
      <c r="N1508" s="107"/>
      <c r="O1508" s="107"/>
      <c r="P1508" s="107"/>
    </row>
    <row r="1509" spans="1:16" x14ac:dyDescent="0.3">
      <c r="A1509" s="58" t="str">
        <f t="shared" si="96"/>
        <v>A099520</v>
      </c>
      <c r="B1509" s="59" t="str">
        <f t="shared" si="93"/>
        <v/>
      </c>
      <c r="C1509" s="59" t="str">
        <f t="shared" si="94"/>
        <v/>
      </c>
      <c r="D1509" s="109" t="str">
        <f t="shared" si="95"/>
        <v/>
      </c>
      <c r="E1509" s="106" t="s">
        <v>3191</v>
      </c>
      <c r="F1509" s="58" t="s">
        <v>3392</v>
      </c>
      <c r="G1509" s="106">
        <v>12</v>
      </c>
      <c r="H1509" s="107"/>
      <c r="I1509" s="107"/>
      <c r="J1509" s="107"/>
      <c r="K1509" s="107"/>
      <c r="L1509" s="107"/>
      <c r="M1509" s="107"/>
      <c r="N1509" s="107"/>
      <c r="O1509" s="107"/>
      <c r="P1509" s="107"/>
    </row>
    <row r="1510" spans="1:16" x14ac:dyDescent="0.3">
      <c r="A1510" s="58" t="str">
        <f t="shared" si="96"/>
        <v>A099660</v>
      </c>
      <c r="B1510" s="59" t="str">
        <f t="shared" si="93"/>
        <v/>
      </c>
      <c r="C1510" s="59" t="str">
        <f t="shared" si="94"/>
        <v/>
      </c>
      <c r="D1510" s="109" t="str">
        <f t="shared" si="95"/>
        <v/>
      </c>
      <c r="E1510" s="106" t="s">
        <v>1477</v>
      </c>
      <c r="F1510" s="58" t="s">
        <v>3655</v>
      </c>
      <c r="G1510" s="106">
        <v>12</v>
      </c>
      <c r="H1510" s="107"/>
      <c r="I1510" s="107"/>
      <c r="J1510" s="107"/>
      <c r="K1510" s="107"/>
      <c r="L1510" s="107"/>
      <c r="M1510" s="107"/>
      <c r="N1510" s="107"/>
      <c r="O1510" s="107"/>
      <c r="P1510" s="107"/>
    </row>
    <row r="1511" spans="1:16" x14ac:dyDescent="0.3">
      <c r="A1511" s="58" t="str">
        <f t="shared" si="96"/>
        <v>A099830</v>
      </c>
      <c r="B1511" s="59" t="str">
        <f t="shared" si="93"/>
        <v/>
      </c>
      <c r="C1511" s="59" t="str">
        <f t="shared" si="94"/>
        <v/>
      </c>
      <c r="D1511" s="109" t="str">
        <f t="shared" si="95"/>
        <v/>
      </c>
      <c r="E1511" s="106" t="s">
        <v>3192</v>
      </c>
      <c r="F1511" s="58" t="s">
        <v>3393</v>
      </c>
      <c r="G1511" s="106">
        <v>12</v>
      </c>
      <c r="H1511" s="107"/>
      <c r="I1511" s="107"/>
      <c r="J1511" s="107"/>
      <c r="K1511" s="107"/>
      <c r="L1511" s="107"/>
      <c r="M1511" s="107"/>
      <c r="N1511" s="107"/>
      <c r="O1511" s="107"/>
      <c r="P1511" s="107"/>
    </row>
    <row r="1512" spans="1:16" x14ac:dyDescent="0.3">
      <c r="A1512" s="58" t="str">
        <f t="shared" si="96"/>
        <v>A100030</v>
      </c>
      <c r="B1512" s="59" t="str">
        <f t="shared" si="93"/>
        <v/>
      </c>
      <c r="C1512" s="59" t="str">
        <f t="shared" si="94"/>
        <v/>
      </c>
      <c r="D1512" s="109" t="str">
        <f t="shared" si="95"/>
        <v/>
      </c>
      <c r="E1512" s="106" t="s">
        <v>3193</v>
      </c>
      <c r="F1512" s="58" t="s">
        <v>3394</v>
      </c>
      <c r="G1512" s="106">
        <v>12</v>
      </c>
      <c r="H1512" s="107"/>
      <c r="I1512" s="107"/>
      <c r="J1512" s="107"/>
      <c r="K1512" s="107"/>
      <c r="L1512" s="107"/>
      <c r="M1512" s="107"/>
      <c r="N1512" s="107"/>
      <c r="O1512" s="107"/>
      <c r="P1512" s="107"/>
    </row>
    <row r="1513" spans="1:16" x14ac:dyDescent="0.3">
      <c r="A1513" s="58" t="str">
        <f t="shared" si="96"/>
        <v>A100090</v>
      </c>
      <c r="B1513" s="59" t="str">
        <f t="shared" si="93"/>
        <v/>
      </c>
      <c r="C1513" s="59" t="str">
        <f t="shared" si="94"/>
        <v/>
      </c>
      <c r="D1513" s="109" t="str">
        <f t="shared" si="95"/>
        <v/>
      </c>
      <c r="E1513" s="106" t="s">
        <v>1478</v>
      </c>
      <c r="F1513" s="58" t="s">
        <v>2903</v>
      </c>
      <c r="G1513" s="106">
        <v>12</v>
      </c>
      <c r="H1513" s="107"/>
      <c r="I1513" s="107"/>
      <c r="J1513" s="107"/>
      <c r="K1513" s="107"/>
      <c r="L1513" s="107"/>
      <c r="M1513" s="107"/>
      <c r="N1513" s="107"/>
      <c r="O1513" s="107"/>
      <c r="P1513" s="107"/>
    </row>
    <row r="1514" spans="1:16" x14ac:dyDescent="0.3">
      <c r="A1514" s="58" t="str">
        <f t="shared" si="96"/>
        <v>A100120</v>
      </c>
      <c r="B1514" s="59" t="str">
        <f t="shared" si="93"/>
        <v/>
      </c>
      <c r="C1514" s="59" t="str">
        <f t="shared" si="94"/>
        <v/>
      </c>
      <c r="D1514" s="109" t="str">
        <f t="shared" si="95"/>
        <v/>
      </c>
      <c r="E1514" s="106" t="s">
        <v>1479</v>
      </c>
      <c r="F1514" s="58" t="s">
        <v>2904</v>
      </c>
      <c r="G1514" s="106">
        <v>12</v>
      </c>
      <c r="H1514" s="107"/>
      <c r="I1514" s="107"/>
      <c r="J1514" s="107"/>
      <c r="K1514" s="107"/>
      <c r="L1514" s="107"/>
      <c r="M1514" s="107"/>
      <c r="N1514" s="107"/>
      <c r="O1514" s="107"/>
      <c r="P1514" s="107"/>
    </row>
    <row r="1515" spans="1:16" x14ac:dyDescent="0.3">
      <c r="A1515" s="58" t="str">
        <f t="shared" si="96"/>
        <v>A100130</v>
      </c>
      <c r="B1515" s="59" t="str">
        <f t="shared" si="93"/>
        <v/>
      </c>
      <c r="C1515" s="59" t="str">
        <f t="shared" si="94"/>
        <v/>
      </c>
      <c r="D1515" s="109" t="str">
        <f t="shared" si="95"/>
        <v/>
      </c>
      <c r="E1515" s="106" t="s">
        <v>1480</v>
      </c>
      <c r="F1515" s="58" t="s">
        <v>2905</v>
      </c>
      <c r="G1515" s="106">
        <v>12</v>
      </c>
      <c r="H1515" s="107"/>
      <c r="I1515" s="107"/>
      <c r="J1515" s="107"/>
      <c r="K1515" s="107"/>
      <c r="L1515" s="107"/>
      <c r="M1515" s="107"/>
      <c r="N1515" s="107"/>
      <c r="O1515" s="107"/>
      <c r="P1515" s="107"/>
    </row>
    <row r="1516" spans="1:16" x14ac:dyDescent="0.3">
      <c r="A1516" s="58" t="str">
        <f t="shared" si="96"/>
        <v>A100220</v>
      </c>
      <c r="B1516" s="59" t="str">
        <f t="shared" si="93"/>
        <v/>
      </c>
      <c r="C1516" s="59" t="str">
        <f t="shared" si="94"/>
        <v/>
      </c>
      <c r="D1516" s="109" t="str">
        <f t="shared" si="95"/>
        <v/>
      </c>
      <c r="E1516" s="106" t="s">
        <v>1481</v>
      </c>
      <c r="F1516" s="58" t="s">
        <v>2906</v>
      </c>
      <c r="G1516" s="106">
        <v>12</v>
      </c>
      <c r="H1516" s="107"/>
      <c r="I1516" s="107"/>
      <c r="J1516" s="107"/>
      <c r="K1516" s="107"/>
      <c r="L1516" s="107"/>
      <c r="M1516" s="107"/>
      <c r="N1516" s="107"/>
      <c r="O1516" s="107"/>
      <c r="P1516" s="107"/>
    </row>
    <row r="1517" spans="1:16" x14ac:dyDescent="0.3">
      <c r="A1517" s="58" t="str">
        <f t="shared" si="96"/>
        <v>A100250</v>
      </c>
      <c r="B1517" s="59" t="str">
        <f t="shared" si="93"/>
        <v/>
      </c>
      <c r="C1517" s="59" t="str">
        <f t="shared" si="94"/>
        <v/>
      </c>
      <c r="D1517" s="109" t="str">
        <f t="shared" si="95"/>
        <v/>
      </c>
      <c r="E1517" s="106" t="s">
        <v>1482</v>
      </c>
      <c r="F1517" s="58" t="s">
        <v>2907</v>
      </c>
      <c r="G1517" s="106">
        <v>12</v>
      </c>
      <c r="H1517" s="107"/>
      <c r="I1517" s="107"/>
      <c r="J1517" s="107"/>
      <c r="K1517" s="107"/>
      <c r="L1517" s="107"/>
      <c r="M1517" s="107"/>
      <c r="N1517" s="107"/>
      <c r="O1517" s="107"/>
      <c r="P1517" s="107"/>
    </row>
    <row r="1518" spans="1:16" x14ac:dyDescent="0.3">
      <c r="A1518" s="58" t="str">
        <f t="shared" si="96"/>
        <v>A100660</v>
      </c>
      <c r="B1518" s="59" t="str">
        <f t="shared" si="93"/>
        <v/>
      </c>
      <c r="C1518" s="59" t="str">
        <f t="shared" si="94"/>
        <v/>
      </c>
      <c r="D1518" s="109" t="str">
        <f t="shared" si="95"/>
        <v/>
      </c>
      <c r="E1518" s="106" t="s">
        <v>3194</v>
      </c>
      <c r="F1518" s="58" t="s">
        <v>3395</v>
      </c>
      <c r="G1518" s="106">
        <v>12</v>
      </c>
      <c r="H1518" s="107"/>
      <c r="I1518" s="107"/>
      <c r="J1518" s="107"/>
      <c r="K1518" s="107"/>
      <c r="L1518" s="107"/>
      <c r="M1518" s="107"/>
      <c r="N1518" s="107"/>
      <c r="O1518" s="107"/>
      <c r="P1518" s="107"/>
    </row>
    <row r="1519" spans="1:16" x14ac:dyDescent="0.3">
      <c r="A1519" s="58" t="str">
        <f t="shared" si="96"/>
        <v>A100700</v>
      </c>
      <c r="B1519" s="59" t="str">
        <f t="shared" si="93"/>
        <v/>
      </c>
      <c r="C1519" s="59" t="str">
        <f t="shared" si="94"/>
        <v/>
      </c>
      <c r="D1519" s="109" t="str">
        <f t="shared" si="95"/>
        <v/>
      </c>
      <c r="E1519" s="106" t="s">
        <v>1483</v>
      </c>
      <c r="F1519" s="58" t="s">
        <v>2908</v>
      </c>
      <c r="G1519" s="106">
        <v>12</v>
      </c>
      <c r="H1519" s="107"/>
      <c r="I1519" s="107"/>
      <c r="J1519" s="107"/>
      <c r="K1519" s="107"/>
      <c r="L1519" s="107"/>
      <c r="M1519" s="107"/>
      <c r="N1519" s="107"/>
      <c r="O1519" s="107"/>
      <c r="P1519" s="107"/>
    </row>
    <row r="1520" spans="1:16" x14ac:dyDescent="0.3">
      <c r="A1520" s="58" t="str">
        <f t="shared" si="96"/>
        <v>A100840</v>
      </c>
      <c r="B1520" s="59" t="str">
        <f t="shared" si="93"/>
        <v/>
      </c>
      <c r="C1520" s="59" t="str">
        <f t="shared" si="94"/>
        <v/>
      </c>
      <c r="D1520" s="109" t="str">
        <f t="shared" si="95"/>
        <v/>
      </c>
      <c r="E1520" s="106" t="s">
        <v>1484</v>
      </c>
      <c r="F1520" s="58" t="s">
        <v>2909</v>
      </c>
      <c r="G1520" s="106">
        <v>12</v>
      </c>
      <c r="H1520" s="107"/>
      <c r="I1520" s="107"/>
      <c r="J1520" s="107"/>
      <c r="K1520" s="107"/>
      <c r="L1520" s="107"/>
      <c r="M1520" s="107"/>
      <c r="N1520" s="107"/>
      <c r="O1520" s="107"/>
      <c r="P1520" s="107"/>
    </row>
    <row r="1521" spans="1:16" x14ac:dyDescent="0.3">
      <c r="A1521" s="58" t="str">
        <f t="shared" si="96"/>
        <v>A101000</v>
      </c>
      <c r="B1521" s="59" t="str">
        <f t="shared" si="93"/>
        <v/>
      </c>
      <c r="C1521" s="59" t="str">
        <f t="shared" si="94"/>
        <v/>
      </c>
      <c r="D1521" s="109" t="str">
        <f t="shared" si="95"/>
        <v/>
      </c>
      <c r="E1521" s="106" t="s">
        <v>1485</v>
      </c>
      <c r="F1521" s="58" t="s">
        <v>2910</v>
      </c>
      <c r="G1521" s="106">
        <v>12</v>
      </c>
      <c r="H1521" s="107"/>
      <c r="I1521" s="107"/>
      <c r="J1521" s="107"/>
      <c r="K1521" s="107"/>
      <c r="L1521" s="107"/>
      <c r="M1521" s="107"/>
      <c r="N1521" s="107"/>
      <c r="O1521" s="107"/>
      <c r="P1521" s="107"/>
    </row>
    <row r="1522" spans="1:16" x14ac:dyDescent="0.3">
      <c r="A1522" s="58" t="str">
        <f t="shared" si="96"/>
        <v>A101060</v>
      </c>
      <c r="B1522" s="59" t="str">
        <f t="shared" si="93"/>
        <v/>
      </c>
      <c r="C1522" s="59" t="str">
        <f t="shared" si="94"/>
        <v/>
      </c>
      <c r="D1522" s="109" t="str">
        <f t="shared" si="95"/>
        <v/>
      </c>
      <c r="E1522" s="106" t="s">
        <v>1486</v>
      </c>
      <c r="F1522" s="58" t="s">
        <v>2911</v>
      </c>
      <c r="G1522" s="106">
        <v>12</v>
      </c>
      <c r="H1522" s="107"/>
      <c r="I1522" s="107"/>
      <c r="J1522" s="107"/>
      <c r="K1522" s="107"/>
      <c r="L1522" s="107"/>
      <c r="M1522" s="107"/>
      <c r="N1522" s="107"/>
      <c r="O1522" s="107"/>
      <c r="P1522" s="107"/>
    </row>
    <row r="1523" spans="1:16" x14ac:dyDescent="0.3">
      <c r="A1523" s="58" t="str">
        <f t="shared" si="96"/>
        <v>A101140</v>
      </c>
      <c r="B1523" s="59" t="str">
        <f t="shared" si="93"/>
        <v/>
      </c>
      <c r="C1523" s="59" t="str">
        <f t="shared" si="94"/>
        <v/>
      </c>
      <c r="D1523" s="109" t="str">
        <f t="shared" si="95"/>
        <v/>
      </c>
      <c r="E1523" s="106" t="s">
        <v>1487</v>
      </c>
      <c r="F1523" s="58" t="s">
        <v>2912</v>
      </c>
      <c r="G1523" s="106">
        <v>12</v>
      </c>
      <c r="H1523" s="107"/>
      <c r="I1523" s="107"/>
      <c r="J1523" s="107"/>
      <c r="K1523" s="107"/>
      <c r="L1523" s="107"/>
      <c r="M1523" s="107"/>
      <c r="N1523" s="107"/>
      <c r="O1523" s="107"/>
      <c r="P1523" s="107"/>
    </row>
    <row r="1524" spans="1:16" x14ac:dyDescent="0.3">
      <c r="A1524" s="58" t="str">
        <f t="shared" si="96"/>
        <v>A101160</v>
      </c>
      <c r="B1524" s="59" t="str">
        <f t="shared" si="93"/>
        <v/>
      </c>
      <c r="C1524" s="59" t="str">
        <f t="shared" si="94"/>
        <v/>
      </c>
      <c r="D1524" s="109" t="str">
        <f t="shared" si="95"/>
        <v/>
      </c>
      <c r="E1524" s="106" t="s">
        <v>1488</v>
      </c>
      <c r="F1524" s="58" t="s">
        <v>2913</v>
      </c>
      <c r="G1524" s="106">
        <v>12</v>
      </c>
      <c r="H1524" s="107"/>
      <c r="I1524" s="107"/>
      <c r="J1524" s="107"/>
      <c r="K1524" s="107"/>
      <c r="L1524" s="107"/>
      <c r="M1524" s="107"/>
      <c r="N1524" s="107"/>
      <c r="O1524" s="107"/>
      <c r="P1524" s="107"/>
    </row>
    <row r="1525" spans="1:16" x14ac:dyDescent="0.3">
      <c r="A1525" s="58" t="str">
        <f t="shared" si="96"/>
        <v>A101170</v>
      </c>
      <c r="B1525" s="59" t="str">
        <f t="shared" si="93"/>
        <v/>
      </c>
      <c r="C1525" s="59" t="str">
        <f t="shared" si="94"/>
        <v/>
      </c>
      <c r="D1525" s="109" t="str">
        <f t="shared" si="95"/>
        <v/>
      </c>
      <c r="E1525" s="106" t="s">
        <v>1489</v>
      </c>
      <c r="F1525" s="58" t="s">
        <v>2914</v>
      </c>
      <c r="G1525" s="106">
        <v>12</v>
      </c>
      <c r="H1525" s="107"/>
      <c r="I1525" s="107"/>
      <c r="J1525" s="107"/>
      <c r="K1525" s="107"/>
      <c r="L1525" s="107"/>
      <c r="M1525" s="107"/>
      <c r="N1525" s="107"/>
      <c r="O1525" s="107"/>
      <c r="P1525" s="107"/>
    </row>
    <row r="1526" spans="1:16" x14ac:dyDescent="0.3">
      <c r="A1526" s="58" t="str">
        <f t="shared" si="96"/>
        <v>A101240</v>
      </c>
      <c r="B1526" s="59" t="str">
        <f t="shared" si="93"/>
        <v/>
      </c>
      <c r="C1526" s="59" t="str">
        <f t="shared" si="94"/>
        <v/>
      </c>
      <c r="D1526" s="109" t="str">
        <f t="shared" si="95"/>
        <v/>
      </c>
      <c r="E1526" s="106" t="s">
        <v>3195</v>
      </c>
      <c r="F1526" s="58" t="s">
        <v>3396</v>
      </c>
      <c r="G1526" s="106">
        <v>12</v>
      </c>
      <c r="H1526" s="107"/>
      <c r="I1526" s="107"/>
      <c r="J1526" s="107"/>
      <c r="K1526" s="107"/>
      <c r="L1526" s="107"/>
      <c r="M1526" s="107"/>
      <c r="N1526" s="107"/>
      <c r="O1526" s="107"/>
      <c r="P1526" s="107"/>
    </row>
    <row r="1527" spans="1:16" x14ac:dyDescent="0.3">
      <c r="A1527" s="58" t="str">
        <f t="shared" si="96"/>
        <v>A101330</v>
      </c>
      <c r="B1527" s="59" t="str">
        <f t="shared" si="93"/>
        <v/>
      </c>
      <c r="C1527" s="59" t="str">
        <f t="shared" si="94"/>
        <v/>
      </c>
      <c r="D1527" s="109" t="str">
        <f t="shared" si="95"/>
        <v/>
      </c>
      <c r="E1527" s="106" t="s">
        <v>3196</v>
      </c>
      <c r="F1527" s="58" t="s">
        <v>3397</v>
      </c>
      <c r="G1527" s="106">
        <v>12</v>
      </c>
      <c r="H1527" s="107"/>
      <c r="I1527" s="107"/>
      <c r="J1527" s="107"/>
      <c r="K1527" s="107"/>
      <c r="L1527" s="107"/>
      <c r="M1527" s="107"/>
      <c r="N1527" s="107"/>
      <c r="O1527" s="107"/>
      <c r="P1527" s="107"/>
    </row>
    <row r="1528" spans="1:16" x14ac:dyDescent="0.3">
      <c r="A1528" s="58" t="str">
        <f t="shared" si="96"/>
        <v>A101390</v>
      </c>
      <c r="B1528" s="59" t="str">
        <f t="shared" si="93"/>
        <v/>
      </c>
      <c r="C1528" s="59" t="str">
        <f t="shared" si="94"/>
        <v/>
      </c>
      <c r="D1528" s="109" t="str">
        <f t="shared" si="95"/>
        <v/>
      </c>
      <c r="E1528" s="106" t="s">
        <v>1490</v>
      </c>
      <c r="F1528" s="58" t="s">
        <v>2915</v>
      </c>
      <c r="G1528" s="106">
        <v>12</v>
      </c>
      <c r="H1528" s="107"/>
      <c r="I1528" s="107"/>
      <c r="J1528" s="107"/>
      <c r="K1528" s="107"/>
      <c r="L1528" s="107"/>
      <c r="M1528" s="107"/>
      <c r="N1528" s="107"/>
      <c r="O1528" s="107"/>
      <c r="P1528" s="107"/>
    </row>
    <row r="1529" spans="1:16" x14ac:dyDescent="0.3">
      <c r="A1529" s="58" t="str">
        <f t="shared" si="96"/>
        <v>A101400</v>
      </c>
      <c r="B1529" s="59" t="str">
        <f t="shared" si="93"/>
        <v/>
      </c>
      <c r="C1529" s="59" t="str">
        <f t="shared" si="94"/>
        <v/>
      </c>
      <c r="D1529" s="109" t="str">
        <f t="shared" si="95"/>
        <v/>
      </c>
      <c r="E1529" s="106" t="s">
        <v>1491</v>
      </c>
      <c r="F1529" s="58" t="s">
        <v>2916</v>
      </c>
      <c r="G1529" s="106">
        <v>12</v>
      </c>
      <c r="H1529" s="107"/>
      <c r="I1529" s="107"/>
      <c r="J1529" s="107"/>
      <c r="K1529" s="107"/>
      <c r="L1529" s="107"/>
      <c r="M1529" s="107"/>
      <c r="N1529" s="107"/>
      <c r="O1529" s="107"/>
      <c r="P1529" s="107"/>
    </row>
    <row r="1530" spans="1:16" x14ac:dyDescent="0.3">
      <c r="A1530" s="58" t="str">
        <f t="shared" si="96"/>
        <v>A101490</v>
      </c>
      <c r="B1530" s="59" t="str">
        <f t="shared" si="93"/>
        <v/>
      </c>
      <c r="C1530" s="59" t="str">
        <f t="shared" si="94"/>
        <v/>
      </c>
      <c r="D1530" s="109" t="str">
        <f t="shared" si="95"/>
        <v/>
      </c>
      <c r="E1530" s="106" t="s">
        <v>1492</v>
      </c>
      <c r="F1530" s="58" t="s">
        <v>2917</v>
      </c>
      <c r="G1530" s="106">
        <v>12</v>
      </c>
      <c r="H1530" s="107"/>
      <c r="I1530" s="107"/>
      <c r="J1530" s="107"/>
      <c r="K1530" s="107"/>
      <c r="L1530" s="107"/>
      <c r="M1530" s="107"/>
      <c r="N1530" s="107"/>
      <c r="O1530" s="107"/>
      <c r="P1530" s="107"/>
    </row>
    <row r="1531" spans="1:16" x14ac:dyDescent="0.3">
      <c r="A1531" s="58" t="str">
        <f t="shared" si="96"/>
        <v>A101670</v>
      </c>
      <c r="B1531" s="59" t="str">
        <f t="shared" si="93"/>
        <v/>
      </c>
      <c r="C1531" s="59" t="str">
        <f t="shared" si="94"/>
        <v/>
      </c>
      <c r="D1531" s="109" t="str">
        <f t="shared" si="95"/>
        <v/>
      </c>
      <c r="E1531" s="106" t="s">
        <v>1493</v>
      </c>
      <c r="F1531" s="58" t="s">
        <v>2918</v>
      </c>
      <c r="G1531" s="106">
        <v>12</v>
      </c>
      <c r="H1531" s="107"/>
      <c r="I1531" s="107"/>
      <c r="J1531" s="107"/>
      <c r="K1531" s="107"/>
      <c r="L1531" s="107"/>
      <c r="M1531" s="107"/>
      <c r="N1531" s="107"/>
      <c r="O1531" s="107"/>
      <c r="P1531" s="107"/>
    </row>
    <row r="1532" spans="1:16" x14ac:dyDescent="0.3">
      <c r="A1532" s="58" t="str">
        <f t="shared" si="96"/>
        <v>A101680</v>
      </c>
      <c r="B1532" s="59" t="str">
        <f t="shared" si="93"/>
        <v/>
      </c>
      <c r="C1532" s="59" t="str">
        <f t="shared" si="94"/>
        <v/>
      </c>
      <c r="D1532" s="109" t="str">
        <f t="shared" si="95"/>
        <v/>
      </c>
      <c r="E1532" s="106" t="s">
        <v>1494</v>
      </c>
      <c r="F1532" s="58" t="s">
        <v>2919</v>
      </c>
      <c r="G1532" s="106">
        <v>12</v>
      </c>
      <c r="H1532" s="107"/>
      <c r="I1532" s="107"/>
      <c r="J1532" s="107"/>
      <c r="K1532" s="107"/>
      <c r="L1532" s="107"/>
      <c r="M1532" s="107"/>
      <c r="N1532" s="107"/>
      <c r="O1532" s="107"/>
      <c r="P1532" s="107"/>
    </row>
    <row r="1533" spans="1:16" x14ac:dyDescent="0.3">
      <c r="A1533" s="58" t="str">
        <f t="shared" si="96"/>
        <v>A101730</v>
      </c>
      <c r="B1533" s="59">
        <f t="shared" si="93"/>
        <v>41499</v>
      </c>
      <c r="C1533" s="59" t="str">
        <f t="shared" si="94"/>
        <v/>
      </c>
      <c r="D1533" s="109" t="str">
        <f t="shared" si="95"/>
        <v/>
      </c>
      <c r="E1533" s="106" t="s">
        <v>1495</v>
      </c>
      <c r="F1533" s="58" t="s">
        <v>2920</v>
      </c>
      <c r="G1533" s="106">
        <v>12</v>
      </c>
      <c r="H1533" s="107">
        <v>20130813</v>
      </c>
      <c r="I1533" s="107"/>
      <c r="J1533" s="107"/>
      <c r="K1533" s="107"/>
      <c r="L1533" s="107"/>
      <c r="M1533" s="107"/>
      <c r="N1533" s="107"/>
      <c r="O1533" s="107"/>
      <c r="P1533" s="107"/>
    </row>
    <row r="1534" spans="1:16" x14ac:dyDescent="0.3">
      <c r="A1534" s="58" t="str">
        <f t="shared" si="96"/>
        <v>A101930</v>
      </c>
      <c r="B1534" s="59" t="str">
        <f t="shared" si="93"/>
        <v/>
      </c>
      <c r="C1534" s="59" t="str">
        <f t="shared" si="94"/>
        <v/>
      </c>
      <c r="D1534" s="109" t="str">
        <f t="shared" si="95"/>
        <v/>
      </c>
      <c r="E1534" s="106" t="s">
        <v>3197</v>
      </c>
      <c r="F1534" s="58" t="s">
        <v>3398</v>
      </c>
      <c r="G1534" s="106">
        <v>12</v>
      </c>
      <c r="H1534" s="107"/>
      <c r="I1534" s="107"/>
      <c r="J1534" s="107"/>
      <c r="K1534" s="107"/>
      <c r="L1534" s="107"/>
      <c r="M1534" s="107"/>
      <c r="N1534" s="107"/>
      <c r="O1534" s="107"/>
      <c r="P1534" s="107"/>
    </row>
    <row r="1535" spans="1:16" x14ac:dyDescent="0.3">
      <c r="A1535" s="58" t="str">
        <f t="shared" si="96"/>
        <v>A101970</v>
      </c>
      <c r="B1535" s="59" t="str">
        <f t="shared" si="93"/>
        <v/>
      </c>
      <c r="C1535" s="59" t="str">
        <f t="shared" si="94"/>
        <v/>
      </c>
      <c r="D1535" s="109" t="str">
        <f t="shared" si="95"/>
        <v/>
      </c>
      <c r="E1535" s="106" t="s">
        <v>3198</v>
      </c>
      <c r="F1535" s="58" t="s">
        <v>3399</v>
      </c>
      <c r="G1535" s="106">
        <v>12</v>
      </c>
      <c r="H1535" s="107"/>
      <c r="I1535" s="107"/>
      <c r="J1535" s="107"/>
      <c r="K1535" s="107"/>
      <c r="L1535" s="107"/>
      <c r="M1535" s="107"/>
      <c r="N1535" s="107"/>
      <c r="O1535" s="107"/>
      <c r="P1535" s="107"/>
    </row>
    <row r="1536" spans="1:16" x14ac:dyDescent="0.3">
      <c r="A1536" s="58" t="str">
        <f t="shared" si="96"/>
        <v>A101990</v>
      </c>
      <c r="B1536" s="59" t="str">
        <f t="shared" si="93"/>
        <v/>
      </c>
      <c r="C1536" s="59" t="str">
        <f t="shared" si="94"/>
        <v/>
      </c>
      <c r="D1536" s="109" t="str">
        <f t="shared" si="95"/>
        <v/>
      </c>
      <c r="E1536" s="106" t="s">
        <v>1496</v>
      </c>
      <c r="F1536" s="58" t="s">
        <v>2921</v>
      </c>
      <c r="G1536" s="106">
        <v>12</v>
      </c>
      <c r="H1536" s="107"/>
      <c r="I1536" s="107"/>
      <c r="J1536" s="107"/>
      <c r="K1536" s="107"/>
      <c r="L1536" s="107"/>
      <c r="M1536" s="107"/>
      <c r="N1536" s="107"/>
      <c r="O1536" s="107"/>
      <c r="P1536" s="107"/>
    </row>
    <row r="1537" spans="1:16" x14ac:dyDescent="0.3">
      <c r="A1537" s="58" t="str">
        <f t="shared" si="96"/>
        <v>A102120</v>
      </c>
      <c r="B1537" s="59" t="str">
        <f t="shared" si="93"/>
        <v/>
      </c>
      <c r="C1537" s="59" t="str">
        <f t="shared" si="94"/>
        <v/>
      </c>
      <c r="D1537" s="109" t="str">
        <f t="shared" si="95"/>
        <v/>
      </c>
      <c r="E1537" s="106" t="s">
        <v>1497</v>
      </c>
      <c r="F1537" s="58" t="s">
        <v>2922</v>
      </c>
      <c r="G1537" s="106">
        <v>12</v>
      </c>
      <c r="H1537" s="107"/>
      <c r="I1537" s="107"/>
      <c r="J1537" s="107"/>
      <c r="K1537" s="107"/>
      <c r="L1537" s="107"/>
      <c r="M1537" s="107"/>
      <c r="N1537" s="107"/>
      <c r="O1537" s="107"/>
      <c r="P1537" s="107"/>
    </row>
    <row r="1538" spans="1:16" x14ac:dyDescent="0.3">
      <c r="A1538" s="58" t="str">
        <f t="shared" si="96"/>
        <v>A102210</v>
      </c>
      <c r="B1538" s="59" t="str">
        <f t="shared" si="93"/>
        <v/>
      </c>
      <c r="C1538" s="59" t="str">
        <f t="shared" si="94"/>
        <v/>
      </c>
      <c r="D1538" s="109" t="str">
        <f t="shared" si="95"/>
        <v/>
      </c>
      <c r="E1538" s="106" t="s">
        <v>1498</v>
      </c>
      <c r="F1538" s="58" t="s">
        <v>2923</v>
      </c>
      <c r="G1538" s="106">
        <v>12</v>
      </c>
      <c r="H1538" s="107"/>
      <c r="I1538" s="107"/>
      <c r="J1538" s="107"/>
      <c r="K1538" s="107"/>
      <c r="L1538" s="107"/>
      <c r="M1538" s="107"/>
      <c r="N1538" s="107"/>
      <c r="O1538" s="107"/>
      <c r="P1538" s="107"/>
    </row>
    <row r="1539" spans="1:16" x14ac:dyDescent="0.3">
      <c r="A1539" s="58" t="str">
        <f t="shared" si="96"/>
        <v>A102260</v>
      </c>
      <c r="B1539" s="59" t="str">
        <f t="shared" si="93"/>
        <v/>
      </c>
      <c r="C1539" s="59" t="str">
        <f t="shared" si="94"/>
        <v/>
      </c>
      <c r="D1539" s="109" t="str">
        <f t="shared" si="95"/>
        <v/>
      </c>
      <c r="E1539" s="106" t="s">
        <v>1499</v>
      </c>
      <c r="F1539" s="58" t="s">
        <v>2924</v>
      </c>
      <c r="G1539" s="106">
        <v>12</v>
      </c>
      <c r="H1539" s="107"/>
      <c r="I1539" s="107"/>
      <c r="J1539" s="107"/>
      <c r="K1539" s="107"/>
      <c r="L1539" s="107"/>
      <c r="M1539" s="107"/>
      <c r="N1539" s="107"/>
      <c r="O1539" s="107"/>
      <c r="P1539" s="107"/>
    </row>
    <row r="1540" spans="1:16" x14ac:dyDescent="0.3">
      <c r="A1540" s="58" t="str">
        <f t="shared" si="96"/>
        <v>A102280</v>
      </c>
      <c r="B1540" s="59" t="str">
        <f t="shared" si="93"/>
        <v/>
      </c>
      <c r="C1540" s="59" t="str">
        <f t="shared" si="94"/>
        <v/>
      </c>
      <c r="D1540" s="109" t="str">
        <f t="shared" si="95"/>
        <v/>
      </c>
      <c r="E1540" s="106" t="s">
        <v>1500</v>
      </c>
      <c r="F1540" s="58" t="s">
        <v>2925</v>
      </c>
      <c r="G1540" s="106">
        <v>12</v>
      </c>
      <c r="H1540" s="107"/>
      <c r="I1540" s="107"/>
      <c r="J1540" s="107"/>
      <c r="K1540" s="107"/>
      <c r="L1540" s="107"/>
      <c r="M1540" s="107"/>
      <c r="N1540" s="107"/>
      <c r="O1540" s="107"/>
      <c r="P1540" s="107"/>
    </row>
    <row r="1541" spans="1:16" x14ac:dyDescent="0.3">
      <c r="A1541" s="58" t="str">
        <f t="shared" si="96"/>
        <v>A102460</v>
      </c>
      <c r="B1541" s="59" t="str">
        <f t="shared" si="93"/>
        <v/>
      </c>
      <c r="C1541" s="59" t="str">
        <f t="shared" si="94"/>
        <v/>
      </c>
      <c r="D1541" s="109" t="str">
        <f t="shared" si="95"/>
        <v/>
      </c>
      <c r="E1541" s="106" t="s">
        <v>3199</v>
      </c>
      <c r="F1541" s="58" t="s">
        <v>3400</v>
      </c>
      <c r="G1541" s="106">
        <v>12</v>
      </c>
      <c r="H1541" s="107"/>
      <c r="I1541" s="107"/>
      <c r="J1541" s="107"/>
      <c r="K1541" s="107"/>
      <c r="L1541" s="107"/>
      <c r="M1541" s="107"/>
      <c r="N1541" s="107"/>
      <c r="O1541" s="107"/>
      <c r="P1541" s="107"/>
    </row>
    <row r="1542" spans="1:16" x14ac:dyDescent="0.3">
      <c r="A1542" s="58" t="str">
        <f t="shared" si="96"/>
        <v>A102710</v>
      </c>
      <c r="B1542" s="59" t="str">
        <f t="shared" si="93"/>
        <v/>
      </c>
      <c r="C1542" s="59" t="str">
        <f t="shared" si="94"/>
        <v/>
      </c>
      <c r="D1542" s="109" t="str">
        <f t="shared" si="95"/>
        <v/>
      </c>
      <c r="E1542" s="106" t="s">
        <v>1501</v>
      </c>
      <c r="F1542" s="58" t="s">
        <v>2926</v>
      </c>
      <c r="G1542" s="106">
        <v>12</v>
      </c>
      <c r="H1542" s="107"/>
      <c r="I1542" s="107"/>
      <c r="J1542" s="107"/>
      <c r="K1542" s="107"/>
      <c r="L1542" s="107"/>
      <c r="M1542" s="107"/>
      <c r="N1542" s="107"/>
      <c r="O1542" s="107"/>
      <c r="P1542" s="107"/>
    </row>
    <row r="1543" spans="1:16" x14ac:dyDescent="0.3">
      <c r="A1543" s="58" t="str">
        <f t="shared" si="96"/>
        <v>A102940</v>
      </c>
      <c r="B1543" s="59">
        <f t="shared" si="93"/>
        <v>41477</v>
      </c>
      <c r="C1543" s="59">
        <f t="shared" si="94"/>
        <v>41477</v>
      </c>
      <c r="D1543" s="109">
        <f t="shared" si="95"/>
        <v>5.17</v>
      </c>
      <c r="E1543" s="106" t="s">
        <v>1502</v>
      </c>
      <c r="F1543" s="58" t="s">
        <v>2927</v>
      </c>
      <c r="G1543" s="106">
        <v>12</v>
      </c>
      <c r="H1543" s="107">
        <v>20130722</v>
      </c>
      <c r="I1543" s="107">
        <v>20130722</v>
      </c>
      <c r="J1543" s="107">
        <v>5.17</v>
      </c>
      <c r="K1543" s="107"/>
      <c r="L1543" s="107"/>
      <c r="M1543" s="107"/>
      <c r="N1543" s="107"/>
      <c r="O1543" s="107"/>
      <c r="P1543" s="107"/>
    </row>
    <row r="1544" spans="1:16" x14ac:dyDescent="0.3">
      <c r="A1544" s="58" t="str">
        <f t="shared" si="96"/>
        <v>A103130</v>
      </c>
      <c r="B1544" s="59" t="str">
        <f t="shared" si="93"/>
        <v/>
      </c>
      <c r="C1544" s="59" t="str">
        <f t="shared" si="94"/>
        <v/>
      </c>
      <c r="D1544" s="109" t="str">
        <f t="shared" si="95"/>
        <v/>
      </c>
      <c r="E1544" s="106" t="s">
        <v>3200</v>
      </c>
      <c r="F1544" s="58" t="s">
        <v>3401</v>
      </c>
      <c r="G1544" s="106">
        <v>12</v>
      </c>
      <c r="H1544" s="107"/>
      <c r="I1544" s="107"/>
      <c r="J1544" s="107"/>
      <c r="K1544" s="107"/>
      <c r="L1544" s="107"/>
      <c r="M1544" s="107"/>
      <c r="N1544" s="107"/>
      <c r="O1544" s="107"/>
      <c r="P1544" s="107"/>
    </row>
    <row r="1545" spans="1:16" x14ac:dyDescent="0.3">
      <c r="A1545" s="58" t="str">
        <f t="shared" si="96"/>
        <v>A103140</v>
      </c>
      <c r="B1545" s="59">
        <f t="shared" si="93"/>
        <v>41485</v>
      </c>
      <c r="C1545" s="59">
        <f t="shared" si="94"/>
        <v>41485</v>
      </c>
      <c r="D1545" s="109">
        <f t="shared" si="95"/>
        <v>21.86</v>
      </c>
      <c r="E1545" s="106" t="s">
        <v>1503</v>
      </c>
      <c r="F1545" s="58" t="s">
        <v>2928</v>
      </c>
      <c r="G1545" s="106">
        <v>12</v>
      </c>
      <c r="H1545" s="107">
        <v>20130730</v>
      </c>
      <c r="I1545" s="107">
        <v>20130730</v>
      </c>
      <c r="J1545" s="107">
        <v>21.86</v>
      </c>
      <c r="K1545" s="107"/>
      <c r="L1545" s="107"/>
      <c r="M1545" s="107"/>
      <c r="N1545" s="107"/>
      <c r="O1545" s="107"/>
      <c r="P1545" s="107"/>
    </row>
    <row r="1546" spans="1:16" x14ac:dyDescent="0.3">
      <c r="A1546" s="58" t="str">
        <f t="shared" si="96"/>
        <v>A103230</v>
      </c>
      <c r="B1546" s="59" t="str">
        <f t="shared" si="93"/>
        <v/>
      </c>
      <c r="C1546" s="59" t="str">
        <f t="shared" si="94"/>
        <v/>
      </c>
      <c r="D1546" s="109" t="str">
        <f t="shared" si="95"/>
        <v/>
      </c>
      <c r="E1546" s="106" t="s">
        <v>1504</v>
      </c>
      <c r="F1546" s="58" t="s">
        <v>2929</v>
      </c>
      <c r="G1546" s="106">
        <v>12</v>
      </c>
      <c r="H1546" s="107"/>
      <c r="I1546" s="107"/>
      <c r="J1546" s="107"/>
      <c r="K1546" s="107"/>
      <c r="L1546" s="107"/>
      <c r="M1546" s="107"/>
      <c r="N1546" s="107"/>
      <c r="O1546" s="107"/>
      <c r="P1546" s="107"/>
    </row>
    <row r="1547" spans="1:16" x14ac:dyDescent="0.3">
      <c r="A1547" s="58" t="str">
        <f t="shared" si="96"/>
        <v>A103590</v>
      </c>
      <c r="B1547" s="59" t="str">
        <f t="shared" si="93"/>
        <v/>
      </c>
      <c r="C1547" s="59" t="str">
        <f t="shared" si="94"/>
        <v/>
      </c>
      <c r="D1547" s="109" t="str">
        <f t="shared" si="95"/>
        <v/>
      </c>
      <c r="E1547" s="106" t="s">
        <v>1505</v>
      </c>
      <c r="F1547" s="58" t="s">
        <v>2930</v>
      </c>
      <c r="G1547" s="106">
        <v>12</v>
      </c>
      <c r="H1547" s="107"/>
      <c r="I1547" s="107"/>
      <c r="J1547" s="107"/>
      <c r="K1547" s="107"/>
      <c r="L1547" s="107"/>
      <c r="M1547" s="107"/>
      <c r="N1547" s="107"/>
      <c r="O1547" s="107"/>
      <c r="P1547" s="107"/>
    </row>
    <row r="1548" spans="1:16" x14ac:dyDescent="0.3">
      <c r="A1548" s="58" t="str">
        <f t="shared" si="96"/>
        <v>A104040</v>
      </c>
      <c r="B1548" s="59" t="str">
        <f t="shared" si="93"/>
        <v/>
      </c>
      <c r="C1548" s="59" t="str">
        <f t="shared" si="94"/>
        <v/>
      </c>
      <c r="D1548" s="109" t="str">
        <f t="shared" si="95"/>
        <v/>
      </c>
      <c r="E1548" s="106" t="s">
        <v>1506</v>
      </c>
      <c r="F1548" s="58" t="s">
        <v>2931</v>
      </c>
      <c r="G1548" s="106">
        <v>12</v>
      </c>
      <c r="H1548" s="107"/>
      <c r="I1548" s="107"/>
      <c r="J1548" s="107"/>
      <c r="K1548" s="107"/>
      <c r="L1548" s="107"/>
      <c r="M1548" s="107"/>
      <c r="N1548" s="107"/>
      <c r="O1548" s="107"/>
      <c r="P1548" s="107"/>
    </row>
    <row r="1549" spans="1:16" x14ac:dyDescent="0.3">
      <c r="A1549" s="58" t="str">
        <f t="shared" si="96"/>
        <v>A104110</v>
      </c>
      <c r="B1549" s="59" t="str">
        <f t="shared" si="93"/>
        <v/>
      </c>
      <c r="C1549" s="59" t="str">
        <f t="shared" si="94"/>
        <v/>
      </c>
      <c r="D1549" s="109" t="str">
        <f t="shared" si="95"/>
        <v/>
      </c>
      <c r="E1549" s="106" t="s">
        <v>1507</v>
      </c>
      <c r="F1549" s="58" t="s">
        <v>2932</v>
      </c>
      <c r="G1549" s="106">
        <v>12</v>
      </c>
      <c r="H1549" s="107"/>
      <c r="I1549" s="107"/>
      <c r="J1549" s="107"/>
      <c r="K1549" s="107"/>
      <c r="L1549" s="107"/>
      <c r="M1549" s="107"/>
      <c r="N1549" s="107"/>
      <c r="O1549" s="107"/>
      <c r="P1549" s="107"/>
    </row>
    <row r="1550" spans="1:16" x14ac:dyDescent="0.3">
      <c r="A1550" s="58" t="str">
        <f t="shared" si="96"/>
        <v>A104120</v>
      </c>
      <c r="B1550" s="59" t="str">
        <f t="shared" si="93"/>
        <v/>
      </c>
      <c r="C1550" s="59" t="str">
        <f t="shared" si="94"/>
        <v/>
      </c>
      <c r="D1550" s="109" t="str">
        <f t="shared" si="95"/>
        <v/>
      </c>
      <c r="E1550" s="106" t="s">
        <v>1508</v>
      </c>
      <c r="F1550" s="58" t="s">
        <v>2933</v>
      </c>
      <c r="G1550" s="106">
        <v>12</v>
      </c>
      <c r="H1550" s="107"/>
      <c r="I1550" s="107"/>
      <c r="J1550" s="107"/>
      <c r="K1550" s="107"/>
      <c r="L1550" s="107"/>
      <c r="M1550" s="107"/>
      <c r="N1550" s="107"/>
      <c r="O1550" s="107"/>
      <c r="P1550" s="107"/>
    </row>
    <row r="1551" spans="1:16" x14ac:dyDescent="0.3">
      <c r="A1551" s="58" t="str">
        <f t="shared" si="96"/>
        <v>A104200</v>
      </c>
      <c r="B1551" s="59" t="str">
        <f t="shared" ref="B1551:B1614" si="97">IFERROR(IF(ISNUMBER(H1551),DATE(LEFT(H1551,4),MID(H1551,5,2),RIGHT(H1551,2)),NA()),"")</f>
        <v/>
      </c>
      <c r="C1551" s="59" t="str">
        <f t="shared" ref="C1551:C1614" si="98">IFERROR(IF(ISNUMBER(I1551),DATE(LEFT(I1551,4),MID(I1551,5,2),RIGHT(I1551,2)),NA()),"")</f>
        <v/>
      </c>
      <c r="D1551" s="109" t="str">
        <f t="shared" ref="D1551:D1614" si="99">IFERROR(IF(ISNUMBER(J1551),J1551,NA()),"")</f>
        <v/>
      </c>
      <c r="E1551" s="106" t="s">
        <v>1509</v>
      </c>
      <c r="F1551" s="58" t="s">
        <v>2934</v>
      </c>
      <c r="G1551" s="106">
        <v>12</v>
      </c>
      <c r="H1551" s="107"/>
      <c r="I1551" s="107"/>
      <c r="J1551" s="107"/>
      <c r="K1551" s="107"/>
      <c r="L1551" s="107"/>
      <c r="M1551" s="107"/>
      <c r="N1551" s="107"/>
      <c r="O1551" s="107"/>
      <c r="P1551" s="107"/>
    </row>
    <row r="1552" spans="1:16" x14ac:dyDescent="0.3">
      <c r="A1552" s="58" t="str">
        <f t="shared" si="96"/>
        <v>A104460</v>
      </c>
      <c r="B1552" s="59" t="str">
        <f t="shared" si="97"/>
        <v/>
      </c>
      <c r="C1552" s="59" t="str">
        <f t="shared" si="98"/>
        <v/>
      </c>
      <c r="D1552" s="109" t="str">
        <f t="shared" si="99"/>
        <v/>
      </c>
      <c r="E1552" s="106" t="s">
        <v>3201</v>
      </c>
      <c r="F1552" s="58" t="s">
        <v>3402</v>
      </c>
      <c r="G1552" s="106">
        <v>12</v>
      </c>
      <c r="H1552" s="107"/>
      <c r="I1552" s="107"/>
      <c r="J1552" s="107"/>
      <c r="K1552" s="107"/>
      <c r="L1552" s="107"/>
      <c r="M1552" s="107"/>
      <c r="N1552" s="107"/>
      <c r="O1552" s="107"/>
      <c r="P1552" s="107"/>
    </row>
    <row r="1553" spans="1:16" x14ac:dyDescent="0.3">
      <c r="A1553" s="58" t="str">
        <f t="shared" si="96"/>
        <v>A104480</v>
      </c>
      <c r="B1553" s="59" t="str">
        <f t="shared" si="97"/>
        <v/>
      </c>
      <c r="C1553" s="59" t="str">
        <f t="shared" si="98"/>
        <v/>
      </c>
      <c r="D1553" s="109" t="str">
        <f t="shared" si="99"/>
        <v/>
      </c>
      <c r="E1553" s="106" t="s">
        <v>3202</v>
      </c>
      <c r="F1553" s="58" t="s">
        <v>3403</v>
      </c>
      <c r="G1553" s="106">
        <v>12</v>
      </c>
      <c r="H1553" s="107"/>
      <c r="I1553" s="107"/>
      <c r="J1553" s="107"/>
      <c r="K1553" s="107"/>
      <c r="L1553" s="107"/>
      <c r="M1553" s="107"/>
      <c r="N1553" s="107"/>
      <c r="O1553" s="107"/>
      <c r="P1553" s="107"/>
    </row>
    <row r="1554" spans="1:16" x14ac:dyDescent="0.3">
      <c r="A1554" s="58" t="str">
        <f t="shared" si="96"/>
        <v>A104540</v>
      </c>
      <c r="B1554" s="59" t="str">
        <f t="shared" si="97"/>
        <v/>
      </c>
      <c r="C1554" s="59" t="str">
        <f t="shared" si="98"/>
        <v/>
      </c>
      <c r="D1554" s="109" t="str">
        <f t="shared" si="99"/>
        <v/>
      </c>
      <c r="E1554" s="106" t="s">
        <v>3625</v>
      </c>
      <c r="F1554" s="58" t="s">
        <v>3656</v>
      </c>
      <c r="G1554" s="106">
        <v>12</v>
      </c>
      <c r="H1554" s="107"/>
      <c r="I1554" s="107"/>
      <c r="J1554" s="107"/>
      <c r="K1554" s="107"/>
      <c r="L1554" s="107"/>
      <c r="M1554" s="107"/>
      <c r="N1554" s="107"/>
      <c r="O1554" s="107"/>
      <c r="P1554" s="107"/>
    </row>
    <row r="1555" spans="1:16" x14ac:dyDescent="0.3">
      <c r="A1555" s="58" t="str">
        <f t="shared" si="96"/>
        <v>A104700</v>
      </c>
      <c r="B1555" s="59" t="str">
        <f t="shared" si="97"/>
        <v/>
      </c>
      <c r="C1555" s="59" t="str">
        <f t="shared" si="98"/>
        <v/>
      </c>
      <c r="D1555" s="109" t="str">
        <f t="shared" si="99"/>
        <v/>
      </c>
      <c r="E1555" s="106" t="s">
        <v>1510</v>
      </c>
      <c r="F1555" s="58" t="s">
        <v>2935</v>
      </c>
      <c r="G1555" s="106">
        <v>12</v>
      </c>
      <c r="H1555" s="107"/>
      <c r="I1555" s="107"/>
      <c r="J1555" s="107"/>
      <c r="K1555" s="107"/>
      <c r="L1555" s="107"/>
      <c r="M1555" s="107"/>
      <c r="N1555" s="107"/>
      <c r="O1555" s="107"/>
      <c r="P1555" s="107"/>
    </row>
    <row r="1556" spans="1:16" x14ac:dyDescent="0.3">
      <c r="A1556" s="58" t="str">
        <f t="shared" si="96"/>
        <v>A104830</v>
      </c>
      <c r="B1556" s="59" t="str">
        <f t="shared" si="97"/>
        <v/>
      </c>
      <c r="C1556" s="59" t="str">
        <f t="shared" si="98"/>
        <v/>
      </c>
      <c r="D1556" s="109" t="str">
        <f t="shared" si="99"/>
        <v/>
      </c>
      <c r="E1556" s="106" t="s">
        <v>3203</v>
      </c>
      <c r="F1556" s="58" t="s">
        <v>3404</v>
      </c>
      <c r="G1556" s="106">
        <v>12</v>
      </c>
      <c r="H1556" s="107"/>
      <c r="I1556" s="107"/>
      <c r="J1556" s="107"/>
      <c r="K1556" s="107"/>
      <c r="L1556" s="107"/>
      <c r="M1556" s="107"/>
      <c r="N1556" s="107"/>
      <c r="O1556" s="107"/>
      <c r="P1556" s="107"/>
    </row>
    <row r="1557" spans="1:16" x14ac:dyDescent="0.3">
      <c r="A1557" s="58" t="str">
        <f t="shared" si="96"/>
        <v>A105330</v>
      </c>
      <c r="B1557" s="59" t="str">
        <f t="shared" si="97"/>
        <v/>
      </c>
      <c r="C1557" s="59" t="str">
        <f t="shared" si="98"/>
        <v/>
      </c>
      <c r="D1557" s="109" t="str">
        <f t="shared" si="99"/>
        <v/>
      </c>
      <c r="E1557" s="106" t="s">
        <v>1511</v>
      </c>
      <c r="F1557" s="58" t="s">
        <v>2936</v>
      </c>
      <c r="G1557" s="106">
        <v>12</v>
      </c>
      <c r="H1557" s="107"/>
      <c r="I1557" s="107"/>
      <c r="J1557" s="107"/>
      <c r="K1557" s="107"/>
      <c r="L1557" s="107"/>
      <c r="M1557" s="107"/>
      <c r="N1557" s="107"/>
      <c r="O1557" s="107"/>
      <c r="P1557" s="107"/>
    </row>
    <row r="1558" spans="1:16" x14ac:dyDescent="0.3">
      <c r="A1558" s="58" t="str">
        <f t="shared" ref="A1558:A1621" si="100">E1558</f>
        <v>A105560</v>
      </c>
      <c r="B1558" s="59">
        <f t="shared" si="97"/>
        <v>41481</v>
      </c>
      <c r="C1558" s="59">
        <f t="shared" si="98"/>
        <v>41481</v>
      </c>
      <c r="D1558" s="109">
        <f t="shared" si="99"/>
        <v>451.5</v>
      </c>
      <c r="E1558" s="106" t="s">
        <v>1512</v>
      </c>
      <c r="F1558" s="58" t="s">
        <v>2937</v>
      </c>
      <c r="G1558" s="106">
        <v>12</v>
      </c>
      <c r="H1558" s="107">
        <v>20130726</v>
      </c>
      <c r="I1558" s="107">
        <v>20130726</v>
      </c>
      <c r="J1558" s="107">
        <v>451.5</v>
      </c>
      <c r="K1558" s="107"/>
      <c r="L1558" s="107"/>
      <c r="M1558" s="107"/>
      <c r="N1558" s="107"/>
      <c r="O1558" s="107"/>
      <c r="P1558" s="107"/>
    </row>
    <row r="1559" spans="1:16" x14ac:dyDescent="0.3">
      <c r="A1559" s="58" t="str">
        <f t="shared" si="100"/>
        <v>A105630</v>
      </c>
      <c r="B1559" s="59" t="str">
        <f t="shared" si="97"/>
        <v/>
      </c>
      <c r="C1559" s="59" t="str">
        <f t="shared" si="98"/>
        <v/>
      </c>
      <c r="D1559" s="109" t="str">
        <f t="shared" si="99"/>
        <v/>
      </c>
      <c r="E1559" s="106" t="s">
        <v>1513</v>
      </c>
      <c r="F1559" s="58" t="s">
        <v>2938</v>
      </c>
      <c r="G1559" s="106">
        <v>12</v>
      </c>
      <c r="H1559" s="107"/>
      <c r="I1559" s="107"/>
      <c r="J1559" s="107"/>
      <c r="K1559" s="107"/>
      <c r="L1559" s="107"/>
      <c r="M1559" s="107"/>
      <c r="N1559" s="107"/>
      <c r="O1559" s="107"/>
      <c r="P1559" s="107"/>
    </row>
    <row r="1560" spans="1:16" x14ac:dyDescent="0.3">
      <c r="A1560" s="58" t="str">
        <f t="shared" si="100"/>
        <v>A105740</v>
      </c>
      <c r="B1560" s="59" t="str">
        <f t="shared" si="97"/>
        <v/>
      </c>
      <c r="C1560" s="59" t="str">
        <f t="shared" si="98"/>
        <v/>
      </c>
      <c r="D1560" s="109" t="str">
        <f t="shared" si="99"/>
        <v/>
      </c>
      <c r="E1560" s="106" t="s">
        <v>3204</v>
      </c>
      <c r="F1560" s="58" t="s">
        <v>3405</v>
      </c>
      <c r="G1560" s="106">
        <v>12</v>
      </c>
      <c r="H1560" s="107"/>
      <c r="I1560" s="107"/>
      <c r="J1560" s="107"/>
      <c r="K1560" s="107"/>
      <c r="L1560" s="107"/>
      <c r="M1560" s="107"/>
      <c r="N1560" s="107"/>
      <c r="O1560" s="107"/>
      <c r="P1560" s="107"/>
    </row>
    <row r="1561" spans="1:16" x14ac:dyDescent="0.3">
      <c r="A1561" s="58" t="str">
        <f t="shared" si="100"/>
        <v>A105840</v>
      </c>
      <c r="B1561" s="59" t="str">
        <f t="shared" si="97"/>
        <v/>
      </c>
      <c r="C1561" s="59" t="str">
        <f t="shared" si="98"/>
        <v/>
      </c>
      <c r="D1561" s="109" t="str">
        <f t="shared" si="99"/>
        <v/>
      </c>
      <c r="E1561" s="106" t="s">
        <v>3205</v>
      </c>
      <c r="F1561" s="58" t="s">
        <v>3406</v>
      </c>
      <c r="G1561" s="106">
        <v>12</v>
      </c>
      <c r="H1561" s="107"/>
      <c r="I1561" s="107"/>
      <c r="J1561" s="107"/>
      <c r="K1561" s="107"/>
      <c r="L1561" s="107"/>
      <c r="M1561" s="107"/>
      <c r="N1561" s="107"/>
      <c r="O1561" s="107"/>
      <c r="P1561" s="107"/>
    </row>
    <row r="1562" spans="1:16" x14ac:dyDescent="0.3">
      <c r="A1562" s="58" t="str">
        <f t="shared" si="100"/>
        <v>A106080</v>
      </c>
      <c r="B1562" s="59" t="str">
        <f t="shared" si="97"/>
        <v/>
      </c>
      <c r="C1562" s="59" t="str">
        <f t="shared" si="98"/>
        <v/>
      </c>
      <c r="D1562" s="109" t="str">
        <f t="shared" si="99"/>
        <v/>
      </c>
      <c r="E1562" s="106" t="s">
        <v>3206</v>
      </c>
      <c r="F1562" s="58" t="s">
        <v>3407</v>
      </c>
      <c r="G1562" s="106">
        <v>12</v>
      </c>
      <c r="H1562" s="107"/>
      <c r="I1562" s="107"/>
      <c r="J1562" s="107"/>
      <c r="K1562" s="107"/>
      <c r="L1562" s="107"/>
      <c r="M1562" s="107"/>
      <c r="N1562" s="107"/>
      <c r="O1562" s="107"/>
      <c r="P1562" s="107"/>
    </row>
    <row r="1563" spans="1:16" x14ac:dyDescent="0.3">
      <c r="A1563" s="58" t="str">
        <f t="shared" si="100"/>
        <v>A106190</v>
      </c>
      <c r="B1563" s="59" t="str">
        <f t="shared" si="97"/>
        <v/>
      </c>
      <c r="C1563" s="59" t="str">
        <f t="shared" si="98"/>
        <v/>
      </c>
      <c r="D1563" s="109" t="str">
        <f t="shared" si="99"/>
        <v/>
      </c>
      <c r="E1563" s="106" t="s">
        <v>3207</v>
      </c>
      <c r="F1563" s="58" t="s">
        <v>3408</v>
      </c>
      <c r="G1563" s="106">
        <v>12</v>
      </c>
      <c r="H1563" s="107"/>
      <c r="I1563" s="107"/>
      <c r="J1563" s="107"/>
      <c r="K1563" s="107"/>
      <c r="L1563" s="107"/>
      <c r="M1563" s="107"/>
      <c r="N1563" s="107"/>
      <c r="O1563" s="107"/>
      <c r="P1563" s="107"/>
    </row>
    <row r="1564" spans="1:16" x14ac:dyDescent="0.3">
      <c r="A1564" s="58" t="str">
        <f t="shared" si="100"/>
        <v>A106240</v>
      </c>
      <c r="B1564" s="59" t="str">
        <f t="shared" si="97"/>
        <v/>
      </c>
      <c r="C1564" s="59" t="str">
        <f t="shared" si="98"/>
        <v/>
      </c>
      <c r="D1564" s="109" t="str">
        <f t="shared" si="99"/>
        <v/>
      </c>
      <c r="E1564" s="106" t="s">
        <v>1514</v>
      </c>
      <c r="F1564" s="58" t="s">
        <v>2939</v>
      </c>
      <c r="G1564" s="106">
        <v>12</v>
      </c>
      <c r="H1564" s="107"/>
      <c r="I1564" s="107"/>
      <c r="J1564" s="107"/>
      <c r="K1564" s="107"/>
      <c r="L1564" s="107"/>
      <c r="M1564" s="107"/>
      <c r="N1564" s="107"/>
      <c r="O1564" s="107"/>
      <c r="P1564" s="107"/>
    </row>
    <row r="1565" spans="1:16" x14ac:dyDescent="0.3">
      <c r="A1565" s="58" t="str">
        <f t="shared" si="100"/>
        <v>A106520</v>
      </c>
      <c r="B1565" s="59" t="str">
        <f t="shared" si="97"/>
        <v/>
      </c>
      <c r="C1565" s="59" t="str">
        <f t="shared" si="98"/>
        <v/>
      </c>
      <c r="D1565" s="109" t="str">
        <f t="shared" si="99"/>
        <v/>
      </c>
      <c r="E1565" s="106" t="s">
        <v>3208</v>
      </c>
      <c r="F1565" s="58" t="s">
        <v>3409</v>
      </c>
      <c r="G1565" s="106">
        <v>12</v>
      </c>
      <c r="H1565" s="107"/>
      <c r="I1565" s="107"/>
      <c r="J1565" s="107"/>
      <c r="K1565" s="107"/>
      <c r="L1565" s="107"/>
      <c r="M1565" s="107"/>
      <c r="N1565" s="107"/>
      <c r="O1565" s="107"/>
      <c r="P1565" s="107"/>
    </row>
    <row r="1566" spans="1:16" x14ac:dyDescent="0.3">
      <c r="A1566" s="58" t="str">
        <f t="shared" si="100"/>
        <v>A107590</v>
      </c>
      <c r="B1566" s="59" t="str">
        <f t="shared" si="97"/>
        <v/>
      </c>
      <c r="C1566" s="59" t="str">
        <f t="shared" si="98"/>
        <v/>
      </c>
      <c r="D1566" s="109" t="str">
        <f t="shared" si="99"/>
        <v/>
      </c>
      <c r="E1566" s="106" t="s">
        <v>1515</v>
      </c>
      <c r="F1566" s="58" t="s">
        <v>2940</v>
      </c>
      <c r="G1566" s="106">
        <v>12</v>
      </c>
      <c r="H1566" s="107"/>
      <c r="I1566" s="107"/>
      <c r="J1566" s="107"/>
      <c r="K1566" s="107"/>
      <c r="L1566" s="107"/>
      <c r="M1566" s="107"/>
      <c r="N1566" s="107"/>
      <c r="O1566" s="107"/>
      <c r="P1566" s="107"/>
    </row>
    <row r="1567" spans="1:16" x14ac:dyDescent="0.3">
      <c r="A1567" s="58" t="str">
        <f t="shared" si="100"/>
        <v>A108230</v>
      </c>
      <c r="B1567" s="59" t="str">
        <f t="shared" si="97"/>
        <v/>
      </c>
      <c r="C1567" s="59" t="str">
        <f t="shared" si="98"/>
        <v/>
      </c>
      <c r="D1567" s="109" t="str">
        <f t="shared" si="99"/>
        <v/>
      </c>
      <c r="E1567" s="106" t="s">
        <v>1516</v>
      </c>
      <c r="F1567" s="58" t="s">
        <v>2941</v>
      </c>
      <c r="G1567" s="106">
        <v>12</v>
      </c>
      <c r="H1567" s="107"/>
      <c r="I1567" s="107"/>
      <c r="J1567" s="107"/>
      <c r="K1567" s="107"/>
      <c r="L1567" s="107"/>
      <c r="M1567" s="107"/>
      <c r="N1567" s="107"/>
      <c r="O1567" s="107"/>
      <c r="P1567" s="107"/>
    </row>
    <row r="1568" spans="1:16" x14ac:dyDescent="0.3">
      <c r="A1568" s="58" t="str">
        <f t="shared" si="100"/>
        <v>A108320</v>
      </c>
      <c r="B1568" s="59" t="str">
        <f t="shared" si="97"/>
        <v/>
      </c>
      <c r="C1568" s="59" t="str">
        <f t="shared" si="98"/>
        <v/>
      </c>
      <c r="D1568" s="109" t="str">
        <f t="shared" si="99"/>
        <v/>
      </c>
      <c r="E1568" s="106" t="s">
        <v>3209</v>
      </c>
      <c r="F1568" s="58" t="s">
        <v>3410</v>
      </c>
      <c r="G1568" s="106">
        <v>12</v>
      </c>
      <c r="H1568" s="107"/>
      <c r="I1568" s="107"/>
      <c r="J1568" s="107"/>
      <c r="K1568" s="107"/>
      <c r="L1568" s="107"/>
      <c r="M1568" s="107"/>
      <c r="N1568" s="107"/>
      <c r="O1568" s="107"/>
      <c r="P1568" s="107"/>
    </row>
    <row r="1569" spans="1:16" x14ac:dyDescent="0.3">
      <c r="A1569" s="58" t="str">
        <f t="shared" si="100"/>
        <v>A108380</v>
      </c>
      <c r="B1569" s="59" t="str">
        <f t="shared" si="97"/>
        <v/>
      </c>
      <c r="C1569" s="59" t="str">
        <f t="shared" si="98"/>
        <v/>
      </c>
      <c r="D1569" s="109" t="str">
        <f t="shared" si="99"/>
        <v/>
      </c>
      <c r="E1569" s="106" t="s">
        <v>3210</v>
      </c>
      <c r="F1569" s="58" t="s">
        <v>3411</v>
      </c>
      <c r="G1569" s="106">
        <v>12</v>
      </c>
      <c r="H1569" s="107"/>
      <c r="I1569" s="107"/>
      <c r="J1569" s="107"/>
      <c r="K1569" s="107"/>
      <c r="L1569" s="107"/>
      <c r="M1569" s="107"/>
      <c r="N1569" s="107"/>
      <c r="O1569" s="107"/>
      <c r="P1569" s="107"/>
    </row>
    <row r="1570" spans="1:16" x14ac:dyDescent="0.3">
      <c r="A1570" s="58" t="str">
        <f t="shared" si="100"/>
        <v>A108670</v>
      </c>
      <c r="B1570" s="59">
        <f t="shared" si="97"/>
        <v>41477</v>
      </c>
      <c r="C1570" s="59">
        <f t="shared" si="98"/>
        <v>41477</v>
      </c>
      <c r="D1570" s="109">
        <f t="shared" si="99"/>
        <v>46.32</v>
      </c>
      <c r="E1570" s="106" t="s">
        <v>1517</v>
      </c>
      <c r="F1570" s="58" t="s">
        <v>2942</v>
      </c>
      <c r="G1570" s="106">
        <v>12</v>
      </c>
      <c r="H1570" s="107">
        <v>20130722</v>
      </c>
      <c r="I1570" s="107">
        <v>20130722</v>
      </c>
      <c r="J1570" s="107">
        <v>46.32</v>
      </c>
      <c r="K1570" s="107"/>
      <c r="L1570" s="107"/>
      <c r="M1570" s="107"/>
      <c r="N1570" s="107"/>
      <c r="O1570" s="107"/>
      <c r="P1570" s="107"/>
    </row>
    <row r="1571" spans="1:16" x14ac:dyDescent="0.3">
      <c r="A1571" s="58" t="str">
        <f t="shared" si="100"/>
        <v>A108860</v>
      </c>
      <c r="B1571" s="59" t="str">
        <f t="shared" si="97"/>
        <v/>
      </c>
      <c r="C1571" s="59" t="str">
        <f t="shared" si="98"/>
        <v/>
      </c>
      <c r="D1571" s="109" t="str">
        <f t="shared" si="99"/>
        <v/>
      </c>
      <c r="E1571" s="106" t="s">
        <v>3211</v>
      </c>
      <c r="F1571" s="58" t="s">
        <v>3412</v>
      </c>
      <c r="G1571" s="106">
        <v>12</v>
      </c>
      <c r="H1571" s="107"/>
      <c r="I1571" s="107"/>
      <c r="J1571" s="107"/>
      <c r="K1571" s="107"/>
      <c r="L1571" s="107"/>
      <c r="M1571" s="107"/>
      <c r="N1571" s="107"/>
      <c r="O1571" s="107"/>
      <c r="P1571" s="107"/>
    </row>
    <row r="1572" spans="1:16" x14ac:dyDescent="0.3">
      <c r="A1572" s="58" t="str">
        <f t="shared" si="100"/>
        <v>A109070</v>
      </c>
      <c r="B1572" s="59" t="str">
        <f t="shared" si="97"/>
        <v/>
      </c>
      <c r="C1572" s="59" t="str">
        <f t="shared" si="98"/>
        <v/>
      </c>
      <c r="D1572" s="109" t="str">
        <f t="shared" si="99"/>
        <v/>
      </c>
      <c r="E1572" s="106" t="s">
        <v>1518</v>
      </c>
      <c r="F1572" s="58" t="s">
        <v>2943</v>
      </c>
      <c r="G1572" s="106">
        <v>12</v>
      </c>
      <c r="H1572" s="107"/>
      <c r="I1572" s="107"/>
      <c r="J1572" s="107"/>
      <c r="K1572" s="107"/>
      <c r="L1572" s="107"/>
      <c r="M1572" s="107"/>
      <c r="N1572" s="107"/>
      <c r="O1572" s="107"/>
      <c r="P1572" s="107"/>
    </row>
    <row r="1573" spans="1:16" x14ac:dyDescent="0.3">
      <c r="A1573" s="58" t="str">
        <f t="shared" si="100"/>
        <v>A109080</v>
      </c>
      <c r="B1573" s="59" t="str">
        <f t="shared" si="97"/>
        <v/>
      </c>
      <c r="C1573" s="59" t="str">
        <f t="shared" si="98"/>
        <v/>
      </c>
      <c r="D1573" s="109" t="str">
        <f t="shared" si="99"/>
        <v/>
      </c>
      <c r="E1573" s="106" t="s">
        <v>3212</v>
      </c>
      <c r="F1573" s="58" t="s">
        <v>3413</v>
      </c>
      <c r="G1573" s="106">
        <v>12</v>
      </c>
      <c r="H1573" s="107"/>
      <c r="I1573" s="107"/>
      <c r="J1573" s="107"/>
      <c r="K1573" s="107"/>
      <c r="L1573" s="107"/>
      <c r="M1573" s="107"/>
      <c r="N1573" s="107"/>
      <c r="O1573" s="107"/>
      <c r="P1573" s="107"/>
    </row>
    <row r="1574" spans="1:16" x14ac:dyDescent="0.3">
      <c r="A1574" s="58" t="str">
        <f t="shared" si="100"/>
        <v>A109740</v>
      </c>
      <c r="B1574" s="59" t="str">
        <f t="shared" si="97"/>
        <v/>
      </c>
      <c r="C1574" s="59" t="str">
        <f t="shared" si="98"/>
        <v/>
      </c>
      <c r="D1574" s="109" t="str">
        <f t="shared" si="99"/>
        <v/>
      </c>
      <c r="E1574" s="106" t="s">
        <v>1519</v>
      </c>
      <c r="F1574" s="58" t="s">
        <v>2944</v>
      </c>
      <c r="G1574" s="106">
        <v>12</v>
      </c>
      <c r="H1574" s="107"/>
      <c r="I1574" s="107"/>
      <c r="J1574" s="107"/>
      <c r="K1574" s="107"/>
      <c r="L1574" s="107"/>
      <c r="M1574" s="107"/>
      <c r="N1574" s="107"/>
      <c r="O1574" s="107"/>
      <c r="P1574" s="107"/>
    </row>
    <row r="1575" spans="1:16" x14ac:dyDescent="0.3">
      <c r="A1575" s="58" t="str">
        <f t="shared" si="100"/>
        <v>A109820</v>
      </c>
      <c r="B1575" s="59" t="str">
        <f t="shared" si="97"/>
        <v/>
      </c>
      <c r="C1575" s="59" t="str">
        <f t="shared" si="98"/>
        <v/>
      </c>
      <c r="D1575" s="109" t="str">
        <f t="shared" si="99"/>
        <v/>
      </c>
      <c r="E1575" s="106" t="s">
        <v>1520</v>
      </c>
      <c r="F1575" s="58" t="s">
        <v>2945</v>
      </c>
      <c r="G1575" s="106">
        <v>12</v>
      </c>
      <c r="H1575" s="107"/>
      <c r="I1575" s="107"/>
      <c r="J1575" s="107"/>
      <c r="K1575" s="107"/>
      <c r="L1575" s="107"/>
      <c r="M1575" s="107"/>
      <c r="N1575" s="107"/>
      <c r="O1575" s="107"/>
      <c r="P1575" s="107"/>
    </row>
    <row r="1576" spans="1:16" x14ac:dyDescent="0.3">
      <c r="A1576" s="58" t="str">
        <f t="shared" si="100"/>
        <v>A109860</v>
      </c>
      <c r="B1576" s="59" t="str">
        <f t="shared" si="97"/>
        <v/>
      </c>
      <c r="C1576" s="59" t="str">
        <f t="shared" si="98"/>
        <v/>
      </c>
      <c r="D1576" s="109" t="str">
        <f t="shared" si="99"/>
        <v/>
      </c>
      <c r="E1576" s="106" t="s">
        <v>1521</v>
      </c>
      <c r="F1576" s="58" t="s">
        <v>2946</v>
      </c>
      <c r="G1576" s="106">
        <v>12</v>
      </c>
      <c r="H1576" s="107"/>
      <c r="I1576" s="107"/>
      <c r="J1576" s="107"/>
      <c r="K1576" s="107"/>
      <c r="L1576" s="107"/>
      <c r="M1576" s="107"/>
      <c r="N1576" s="107"/>
      <c r="O1576" s="107"/>
      <c r="P1576" s="107"/>
    </row>
    <row r="1577" spans="1:16" x14ac:dyDescent="0.3">
      <c r="A1577" s="58" t="str">
        <f t="shared" si="100"/>
        <v>A109960</v>
      </c>
      <c r="B1577" s="59" t="str">
        <f t="shared" si="97"/>
        <v/>
      </c>
      <c r="C1577" s="59" t="str">
        <f t="shared" si="98"/>
        <v/>
      </c>
      <c r="D1577" s="109" t="str">
        <f t="shared" si="99"/>
        <v/>
      </c>
      <c r="E1577" s="106" t="s">
        <v>1522</v>
      </c>
      <c r="F1577" s="58" t="s">
        <v>2947</v>
      </c>
      <c r="G1577" s="106">
        <v>12</v>
      </c>
      <c r="H1577" s="107"/>
      <c r="I1577" s="107"/>
      <c r="J1577" s="107"/>
      <c r="K1577" s="107"/>
      <c r="L1577" s="107"/>
      <c r="M1577" s="107"/>
      <c r="N1577" s="107"/>
      <c r="O1577" s="107"/>
      <c r="P1577" s="107"/>
    </row>
    <row r="1578" spans="1:16" x14ac:dyDescent="0.3">
      <c r="A1578" s="58" t="str">
        <f t="shared" si="100"/>
        <v>A110310</v>
      </c>
      <c r="B1578" s="59" t="str">
        <f t="shared" si="97"/>
        <v/>
      </c>
      <c r="C1578" s="59" t="str">
        <f t="shared" si="98"/>
        <v/>
      </c>
      <c r="D1578" s="109" t="str">
        <f t="shared" si="99"/>
        <v/>
      </c>
      <c r="E1578" s="106" t="s">
        <v>1523</v>
      </c>
      <c r="F1578" s="58" t="s">
        <v>2948</v>
      </c>
      <c r="G1578" s="106">
        <v>12</v>
      </c>
      <c r="H1578" s="107"/>
      <c r="I1578" s="107"/>
      <c r="J1578" s="107"/>
      <c r="K1578" s="107"/>
      <c r="L1578" s="107"/>
      <c r="M1578" s="107"/>
      <c r="N1578" s="107"/>
      <c r="O1578" s="107"/>
      <c r="P1578" s="107"/>
    </row>
    <row r="1579" spans="1:16" x14ac:dyDescent="0.3">
      <c r="A1579" s="58" t="str">
        <f t="shared" si="100"/>
        <v>A110500</v>
      </c>
      <c r="B1579" s="59" t="str">
        <f t="shared" si="97"/>
        <v/>
      </c>
      <c r="C1579" s="59" t="str">
        <f t="shared" si="98"/>
        <v/>
      </c>
      <c r="D1579" s="109" t="str">
        <f t="shared" si="99"/>
        <v/>
      </c>
      <c r="E1579" s="106" t="s">
        <v>3213</v>
      </c>
      <c r="F1579" s="58" t="s">
        <v>3414</v>
      </c>
      <c r="G1579" s="106">
        <v>12</v>
      </c>
      <c r="H1579" s="107"/>
      <c r="I1579" s="107"/>
      <c r="J1579" s="107"/>
      <c r="K1579" s="107"/>
      <c r="L1579" s="107"/>
      <c r="M1579" s="107"/>
      <c r="N1579" s="107"/>
      <c r="O1579" s="107"/>
      <c r="P1579" s="107"/>
    </row>
    <row r="1580" spans="1:16" x14ac:dyDescent="0.3">
      <c r="A1580" s="58" t="str">
        <f t="shared" si="100"/>
        <v>A110570</v>
      </c>
      <c r="B1580" s="59" t="str">
        <f t="shared" si="97"/>
        <v/>
      </c>
      <c r="C1580" s="59" t="str">
        <f t="shared" si="98"/>
        <v/>
      </c>
      <c r="D1580" s="109" t="str">
        <f t="shared" si="99"/>
        <v/>
      </c>
      <c r="E1580" s="106" t="s">
        <v>3214</v>
      </c>
      <c r="F1580" s="58" t="s">
        <v>3415</v>
      </c>
      <c r="G1580" s="106">
        <v>12</v>
      </c>
      <c r="H1580" s="107"/>
      <c r="I1580" s="107"/>
      <c r="J1580" s="107"/>
      <c r="K1580" s="107"/>
      <c r="L1580" s="107"/>
      <c r="M1580" s="107"/>
      <c r="N1580" s="107"/>
      <c r="O1580" s="107"/>
      <c r="P1580" s="107"/>
    </row>
    <row r="1581" spans="1:16" x14ac:dyDescent="0.3">
      <c r="A1581" s="58" t="str">
        <f t="shared" si="100"/>
        <v>A111610</v>
      </c>
      <c r="B1581" s="59" t="str">
        <f t="shared" si="97"/>
        <v/>
      </c>
      <c r="C1581" s="59" t="str">
        <f t="shared" si="98"/>
        <v/>
      </c>
      <c r="D1581" s="109" t="str">
        <f t="shared" si="99"/>
        <v/>
      </c>
      <c r="E1581" s="106" t="s">
        <v>3215</v>
      </c>
      <c r="F1581" s="58" t="s">
        <v>3667</v>
      </c>
      <c r="G1581" s="106">
        <v>12</v>
      </c>
      <c r="H1581" s="107"/>
      <c r="I1581" s="107"/>
      <c r="J1581" s="107"/>
      <c r="K1581" s="107"/>
      <c r="L1581" s="107"/>
      <c r="M1581" s="107"/>
      <c r="N1581" s="107"/>
      <c r="O1581" s="107"/>
      <c r="P1581" s="107"/>
    </row>
    <row r="1582" spans="1:16" x14ac:dyDescent="0.3">
      <c r="A1582" s="58" t="str">
        <f t="shared" si="100"/>
        <v>A111770</v>
      </c>
      <c r="B1582" s="59" t="str">
        <f t="shared" si="97"/>
        <v/>
      </c>
      <c r="C1582" s="59" t="str">
        <f t="shared" si="98"/>
        <v/>
      </c>
      <c r="D1582" s="109" t="str">
        <f t="shared" si="99"/>
        <v/>
      </c>
      <c r="E1582" s="106" t="s">
        <v>1524</v>
      </c>
      <c r="F1582" s="58" t="s">
        <v>2949</v>
      </c>
      <c r="G1582" s="106">
        <v>12</v>
      </c>
      <c r="H1582" s="107"/>
      <c r="I1582" s="107"/>
      <c r="J1582" s="107"/>
      <c r="K1582" s="107"/>
      <c r="L1582" s="107"/>
      <c r="M1582" s="107"/>
      <c r="N1582" s="107"/>
      <c r="O1582" s="107"/>
      <c r="P1582" s="107"/>
    </row>
    <row r="1583" spans="1:16" x14ac:dyDescent="0.3">
      <c r="A1583" s="58" t="str">
        <f t="shared" si="100"/>
        <v>A111820</v>
      </c>
      <c r="B1583" s="59" t="str">
        <f t="shared" si="97"/>
        <v/>
      </c>
      <c r="C1583" s="59" t="str">
        <f t="shared" si="98"/>
        <v/>
      </c>
      <c r="D1583" s="109" t="str">
        <f t="shared" si="99"/>
        <v/>
      </c>
      <c r="E1583" s="106" t="s">
        <v>3216</v>
      </c>
      <c r="F1583" s="58" t="s">
        <v>3416</v>
      </c>
      <c r="G1583" s="106">
        <v>12</v>
      </c>
      <c r="H1583" s="107"/>
      <c r="I1583" s="107"/>
      <c r="J1583" s="107"/>
      <c r="K1583" s="107"/>
      <c r="L1583" s="107"/>
      <c r="M1583" s="107"/>
      <c r="N1583" s="107"/>
      <c r="O1583" s="107"/>
      <c r="P1583" s="107"/>
    </row>
    <row r="1584" spans="1:16" x14ac:dyDescent="0.3">
      <c r="A1584" s="58" t="str">
        <f t="shared" si="100"/>
        <v>A111870</v>
      </c>
      <c r="B1584" s="59" t="str">
        <f t="shared" si="97"/>
        <v/>
      </c>
      <c r="C1584" s="59" t="str">
        <f t="shared" si="98"/>
        <v/>
      </c>
      <c r="D1584" s="109" t="str">
        <f t="shared" si="99"/>
        <v/>
      </c>
      <c r="E1584" s="106" t="s">
        <v>3217</v>
      </c>
      <c r="F1584" s="58" t="s">
        <v>3417</v>
      </c>
      <c r="G1584" s="106">
        <v>12</v>
      </c>
      <c r="H1584" s="107"/>
      <c r="I1584" s="107"/>
      <c r="J1584" s="107"/>
      <c r="K1584" s="107"/>
      <c r="L1584" s="107"/>
      <c r="M1584" s="107"/>
      <c r="N1584" s="107"/>
      <c r="O1584" s="107"/>
      <c r="P1584" s="107"/>
    </row>
    <row r="1585" spans="1:16" x14ac:dyDescent="0.3">
      <c r="A1585" s="58" t="str">
        <f t="shared" si="100"/>
        <v>A112040</v>
      </c>
      <c r="B1585" s="59">
        <f t="shared" si="97"/>
        <v>41499</v>
      </c>
      <c r="C1585" s="59" t="str">
        <f t="shared" si="98"/>
        <v/>
      </c>
      <c r="D1585" s="109" t="str">
        <f t="shared" si="99"/>
        <v/>
      </c>
      <c r="E1585" s="106" t="s">
        <v>3218</v>
      </c>
      <c r="F1585" s="58" t="s">
        <v>3535</v>
      </c>
      <c r="G1585" s="106">
        <v>12</v>
      </c>
      <c r="H1585" s="107">
        <v>20130813</v>
      </c>
      <c r="I1585" s="107"/>
      <c r="J1585" s="107"/>
      <c r="K1585" s="107"/>
      <c r="L1585" s="107"/>
      <c r="M1585" s="107"/>
      <c r="N1585" s="107"/>
      <c r="O1585" s="107"/>
      <c r="P1585" s="107"/>
    </row>
    <row r="1586" spans="1:16" x14ac:dyDescent="0.3">
      <c r="A1586" s="58" t="str">
        <f t="shared" si="100"/>
        <v>A112240</v>
      </c>
      <c r="B1586" s="59" t="str">
        <f t="shared" si="97"/>
        <v/>
      </c>
      <c r="C1586" s="59" t="str">
        <f t="shared" si="98"/>
        <v/>
      </c>
      <c r="D1586" s="109" t="str">
        <f t="shared" si="99"/>
        <v/>
      </c>
      <c r="E1586" s="106" t="s">
        <v>3219</v>
      </c>
      <c r="F1586" s="58" t="s">
        <v>3418</v>
      </c>
      <c r="G1586" s="106">
        <v>12</v>
      </c>
      <c r="H1586" s="107"/>
      <c r="I1586" s="107"/>
      <c r="J1586" s="107"/>
      <c r="K1586" s="107"/>
      <c r="L1586" s="107"/>
      <c r="M1586" s="107"/>
      <c r="N1586" s="107"/>
      <c r="O1586" s="107"/>
      <c r="P1586" s="107"/>
    </row>
    <row r="1587" spans="1:16" x14ac:dyDescent="0.3">
      <c r="A1587" s="58" t="str">
        <f t="shared" si="100"/>
        <v>A113810</v>
      </c>
      <c r="B1587" s="59" t="str">
        <f t="shared" si="97"/>
        <v/>
      </c>
      <c r="C1587" s="59" t="str">
        <f t="shared" si="98"/>
        <v/>
      </c>
      <c r="D1587" s="109" t="str">
        <f t="shared" si="99"/>
        <v/>
      </c>
      <c r="E1587" s="106" t="s">
        <v>3543</v>
      </c>
      <c r="F1587" s="58" t="s">
        <v>3555</v>
      </c>
      <c r="G1587" s="106">
        <v>12</v>
      </c>
      <c r="H1587" s="107"/>
      <c r="I1587" s="107"/>
      <c r="J1587" s="107"/>
      <c r="K1587" s="107"/>
      <c r="L1587" s="107"/>
      <c r="M1587" s="107"/>
      <c r="N1587" s="107"/>
      <c r="O1587" s="107"/>
      <c r="P1587" s="107"/>
    </row>
    <row r="1588" spans="1:16" x14ac:dyDescent="0.3">
      <c r="A1588" s="58" t="str">
        <f t="shared" si="100"/>
        <v>A114090</v>
      </c>
      <c r="B1588" s="59" t="str">
        <f t="shared" si="97"/>
        <v/>
      </c>
      <c r="C1588" s="59" t="str">
        <f t="shared" si="98"/>
        <v/>
      </c>
      <c r="D1588" s="109" t="str">
        <f t="shared" si="99"/>
        <v/>
      </c>
      <c r="E1588" s="106" t="s">
        <v>1525</v>
      </c>
      <c r="F1588" s="58" t="s">
        <v>2950</v>
      </c>
      <c r="G1588" s="106">
        <v>12</v>
      </c>
      <c r="H1588" s="107"/>
      <c r="I1588" s="107"/>
      <c r="J1588" s="107"/>
      <c r="K1588" s="107"/>
      <c r="L1588" s="107"/>
      <c r="M1588" s="107"/>
      <c r="N1588" s="107"/>
      <c r="O1588" s="107"/>
      <c r="P1588" s="107"/>
    </row>
    <row r="1589" spans="1:16" x14ac:dyDescent="0.3">
      <c r="A1589" s="58" t="str">
        <f t="shared" si="100"/>
        <v>A114120</v>
      </c>
      <c r="B1589" s="59" t="str">
        <f t="shared" si="97"/>
        <v/>
      </c>
      <c r="C1589" s="59" t="str">
        <f t="shared" si="98"/>
        <v/>
      </c>
      <c r="D1589" s="109" t="str">
        <f t="shared" si="99"/>
        <v/>
      </c>
      <c r="E1589" s="106" t="s">
        <v>3220</v>
      </c>
      <c r="F1589" s="58" t="s">
        <v>3419</v>
      </c>
      <c r="G1589" s="106">
        <v>12</v>
      </c>
      <c r="H1589" s="107"/>
      <c r="I1589" s="107"/>
      <c r="J1589" s="107"/>
      <c r="K1589" s="107"/>
      <c r="L1589" s="107"/>
      <c r="M1589" s="107"/>
      <c r="N1589" s="107"/>
      <c r="O1589" s="107"/>
      <c r="P1589" s="107"/>
    </row>
    <row r="1590" spans="1:16" x14ac:dyDescent="0.3">
      <c r="A1590" s="58" t="str">
        <f t="shared" si="100"/>
        <v>A114190</v>
      </c>
      <c r="B1590" s="59" t="str">
        <f t="shared" si="97"/>
        <v/>
      </c>
      <c r="C1590" s="59" t="str">
        <f t="shared" si="98"/>
        <v/>
      </c>
      <c r="D1590" s="109" t="str">
        <f t="shared" si="99"/>
        <v/>
      </c>
      <c r="E1590" s="106" t="s">
        <v>1526</v>
      </c>
      <c r="F1590" s="58" t="s">
        <v>2951</v>
      </c>
      <c r="G1590" s="106">
        <v>12</v>
      </c>
      <c r="H1590" s="107"/>
      <c r="I1590" s="107"/>
      <c r="J1590" s="107"/>
      <c r="K1590" s="107"/>
      <c r="L1590" s="107"/>
      <c r="M1590" s="107"/>
      <c r="N1590" s="107"/>
      <c r="O1590" s="107"/>
      <c r="P1590" s="107"/>
    </row>
    <row r="1591" spans="1:16" x14ac:dyDescent="0.3">
      <c r="A1591" s="58" t="str">
        <f t="shared" si="100"/>
        <v>A114450</v>
      </c>
      <c r="B1591" s="59" t="str">
        <f t="shared" si="97"/>
        <v/>
      </c>
      <c r="C1591" s="59" t="str">
        <f t="shared" si="98"/>
        <v/>
      </c>
      <c r="D1591" s="109" t="str">
        <f t="shared" si="99"/>
        <v/>
      </c>
      <c r="E1591" s="106" t="s">
        <v>3221</v>
      </c>
      <c r="F1591" s="58" t="s">
        <v>3420</v>
      </c>
      <c r="G1591" s="106">
        <v>12</v>
      </c>
      <c r="H1591" s="107"/>
      <c r="I1591" s="107"/>
      <c r="J1591" s="107"/>
      <c r="K1591" s="107"/>
      <c r="L1591" s="107"/>
      <c r="M1591" s="107"/>
      <c r="N1591" s="107"/>
      <c r="O1591" s="107"/>
      <c r="P1591" s="107"/>
    </row>
    <row r="1592" spans="1:16" x14ac:dyDescent="0.3">
      <c r="A1592" s="58" t="str">
        <f t="shared" si="100"/>
        <v>A114570</v>
      </c>
      <c r="B1592" s="59" t="str">
        <f t="shared" si="97"/>
        <v/>
      </c>
      <c r="C1592" s="59" t="str">
        <f t="shared" si="98"/>
        <v/>
      </c>
      <c r="D1592" s="109" t="str">
        <f t="shared" si="99"/>
        <v/>
      </c>
      <c r="E1592" s="106" t="s">
        <v>3222</v>
      </c>
      <c r="F1592" s="58" t="s">
        <v>3421</v>
      </c>
      <c r="G1592" s="106">
        <v>12</v>
      </c>
      <c r="H1592" s="107"/>
      <c r="I1592" s="107"/>
      <c r="J1592" s="107"/>
      <c r="K1592" s="107"/>
      <c r="L1592" s="107"/>
      <c r="M1592" s="107"/>
      <c r="N1592" s="107"/>
      <c r="O1592" s="107"/>
      <c r="P1592" s="107"/>
    </row>
    <row r="1593" spans="1:16" x14ac:dyDescent="0.3">
      <c r="A1593" s="58" t="str">
        <f t="shared" si="100"/>
        <v>A114630</v>
      </c>
      <c r="B1593" s="59" t="str">
        <f t="shared" si="97"/>
        <v/>
      </c>
      <c r="C1593" s="59" t="str">
        <f t="shared" si="98"/>
        <v/>
      </c>
      <c r="D1593" s="109" t="str">
        <f t="shared" si="99"/>
        <v/>
      </c>
      <c r="E1593" s="106" t="s">
        <v>3223</v>
      </c>
      <c r="F1593" s="58" t="s">
        <v>3422</v>
      </c>
      <c r="G1593" s="106">
        <v>12</v>
      </c>
      <c r="H1593" s="107"/>
      <c r="I1593" s="107"/>
      <c r="J1593" s="107"/>
      <c r="K1593" s="107"/>
      <c r="L1593" s="107"/>
      <c r="M1593" s="107"/>
      <c r="N1593" s="107"/>
      <c r="O1593" s="107"/>
      <c r="P1593" s="107"/>
    </row>
    <row r="1594" spans="1:16" x14ac:dyDescent="0.3">
      <c r="A1594" s="58" t="str">
        <f t="shared" si="100"/>
        <v>A114810</v>
      </c>
      <c r="B1594" s="59" t="str">
        <f t="shared" si="97"/>
        <v/>
      </c>
      <c r="C1594" s="59" t="str">
        <f t="shared" si="98"/>
        <v/>
      </c>
      <c r="D1594" s="109" t="str">
        <f t="shared" si="99"/>
        <v/>
      </c>
      <c r="E1594" s="106" t="s">
        <v>3605</v>
      </c>
      <c r="F1594" s="58" t="s">
        <v>3613</v>
      </c>
      <c r="G1594" s="106">
        <v>12</v>
      </c>
      <c r="H1594" s="107"/>
      <c r="I1594" s="107"/>
      <c r="J1594" s="107"/>
      <c r="K1594" s="107"/>
      <c r="L1594" s="107"/>
      <c r="M1594" s="107"/>
      <c r="N1594" s="107"/>
      <c r="O1594" s="107"/>
      <c r="P1594" s="107"/>
    </row>
    <row r="1595" spans="1:16" x14ac:dyDescent="0.3">
      <c r="A1595" s="58" t="str">
        <f t="shared" si="100"/>
        <v>A115160</v>
      </c>
      <c r="B1595" s="59" t="str">
        <f t="shared" si="97"/>
        <v/>
      </c>
      <c r="C1595" s="59" t="str">
        <f t="shared" si="98"/>
        <v/>
      </c>
      <c r="D1595" s="109" t="str">
        <f t="shared" si="99"/>
        <v/>
      </c>
      <c r="E1595" s="106" t="s">
        <v>1527</v>
      </c>
      <c r="F1595" s="58" t="s">
        <v>2952</v>
      </c>
      <c r="G1595" s="106">
        <v>12</v>
      </c>
      <c r="H1595" s="107"/>
      <c r="I1595" s="107"/>
      <c r="J1595" s="107"/>
      <c r="K1595" s="107"/>
      <c r="L1595" s="107"/>
      <c r="M1595" s="107"/>
      <c r="N1595" s="107"/>
      <c r="O1595" s="107"/>
      <c r="P1595" s="107"/>
    </row>
    <row r="1596" spans="1:16" x14ac:dyDescent="0.3">
      <c r="A1596" s="58" t="str">
        <f t="shared" si="100"/>
        <v>A115310</v>
      </c>
      <c r="B1596" s="59" t="str">
        <f t="shared" si="97"/>
        <v/>
      </c>
      <c r="C1596" s="59" t="str">
        <f t="shared" si="98"/>
        <v/>
      </c>
      <c r="D1596" s="109" t="str">
        <f t="shared" si="99"/>
        <v/>
      </c>
      <c r="E1596" s="106" t="s">
        <v>3224</v>
      </c>
      <c r="F1596" s="58" t="s">
        <v>3423</v>
      </c>
      <c r="G1596" s="106">
        <v>12</v>
      </c>
      <c r="H1596" s="107"/>
      <c r="I1596" s="107"/>
      <c r="J1596" s="107"/>
      <c r="K1596" s="107"/>
      <c r="L1596" s="107"/>
      <c r="M1596" s="107"/>
      <c r="N1596" s="107"/>
      <c r="O1596" s="107"/>
      <c r="P1596" s="107"/>
    </row>
    <row r="1597" spans="1:16" x14ac:dyDescent="0.3">
      <c r="A1597" s="58" t="str">
        <f t="shared" si="100"/>
        <v>A115390</v>
      </c>
      <c r="B1597" s="59" t="str">
        <f t="shared" si="97"/>
        <v/>
      </c>
      <c r="C1597" s="59" t="str">
        <f t="shared" si="98"/>
        <v/>
      </c>
      <c r="D1597" s="109" t="str">
        <f t="shared" si="99"/>
        <v/>
      </c>
      <c r="E1597" s="106" t="s">
        <v>3225</v>
      </c>
      <c r="F1597" s="58" t="s">
        <v>3424</v>
      </c>
      <c r="G1597" s="106">
        <v>12</v>
      </c>
      <c r="H1597" s="107"/>
      <c r="I1597" s="107"/>
      <c r="J1597" s="107"/>
      <c r="K1597" s="107"/>
      <c r="L1597" s="107"/>
      <c r="M1597" s="107"/>
      <c r="N1597" s="107"/>
      <c r="O1597" s="107"/>
      <c r="P1597" s="107"/>
    </row>
    <row r="1598" spans="1:16" x14ac:dyDescent="0.3">
      <c r="A1598" s="58" t="str">
        <f t="shared" si="100"/>
        <v>A115440</v>
      </c>
      <c r="B1598" s="59" t="str">
        <f t="shared" si="97"/>
        <v/>
      </c>
      <c r="C1598" s="59" t="str">
        <f t="shared" si="98"/>
        <v/>
      </c>
      <c r="D1598" s="109" t="str">
        <f t="shared" si="99"/>
        <v/>
      </c>
      <c r="E1598" s="106" t="s">
        <v>3226</v>
      </c>
      <c r="F1598" s="58" t="s">
        <v>3425</v>
      </c>
      <c r="G1598" s="106">
        <v>12</v>
      </c>
      <c r="H1598" s="107"/>
      <c r="I1598" s="107"/>
      <c r="J1598" s="107"/>
      <c r="K1598" s="107"/>
      <c r="L1598" s="107"/>
      <c r="M1598" s="107"/>
      <c r="N1598" s="107"/>
      <c r="O1598" s="107"/>
      <c r="P1598" s="107"/>
    </row>
    <row r="1599" spans="1:16" x14ac:dyDescent="0.3">
      <c r="A1599" s="58" t="str">
        <f t="shared" si="100"/>
        <v>A115450</v>
      </c>
      <c r="B1599" s="59" t="str">
        <f t="shared" si="97"/>
        <v/>
      </c>
      <c r="C1599" s="59" t="str">
        <f t="shared" si="98"/>
        <v/>
      </c>
      <c r="D1599" s="109" t="str">
        <f t="shared" si="99"/>
        <v/>
      </c>
      <c r="E1599" s="106" t="s">
        <v>3227</v>
      </c>
      <c r="F1599" s="58" t="s">
        <v>3426</v>
      </c>
      <c r="G1599" s="106">
        <v>12</v>
      </c>
      <c r="H1599" s="107"/>
      <c r="I1599" s="107"/>
      <c r="J1599" s="107"/>
      <c r="K1599" s="107"/>
      <c r="L1599" s="107"/>
      <c r="M1599" s="107"/>
      <c r="N1599" s="107"/>
      <c r="O1599" s="107"/>
      <c r="P1599" s="107"/>
    </row>
    <row r="1600" spans="1:16" x14ac:dyDescent="0.3">
      <c r="A1600" s="58" t="str">
        <f t="shared" si="100"/>
        <v>A115480</v>
      </c>
      <c r="B1600" s="59" t="str">
        <f t="shared" si="97"/>
        <v/>
      </c>
      <c r="C1600" s="59" t="str">
        <f t="shared" si="98"/>
        <v/>
      </c>
      <c r="D1600" s="109" t="str">
        <f t="shared" si="99"/>
        <v/>
      </c>
      <c r="E1600" s="106" t="s">
        <v>3228</v>
      </c>
      <c r="F1600" s="58" t="s">
        <v>3536</v>
      </c>
      <c r="G1600" s="106">
        <v>12</v>
      </c>
      <c r="H1600" s="107"/>
      <c r="I1600" s="107"/>
      <c r="J1600" s="107"/>
      <c r="K1600" s="107"/>
      <c r="L1600" s="107"/>
      <c r="M1600" s="107"/>
      <c r="N1600" s="107"/>
      <c r="O1600" s="107"/>
      <c r="P1600" s="107"/>
    </row>
    <row r="1601" spans="1:16" x14ac:dyDescent="0.3">
      <c r="A1601" s="58" t="str">
        <f t="shared" si="100"/>
        <v>A115500</v>
      </c>
      <c r="B1601" s="59" t="str">
        <f t="shared" si="97"/>
        <v/>
      </c>
      <c r="C1601" s="59" t="str">
        <f t="shared" si="98"/>
        <v/>
      </c>
      <c r="D1601" s="109" t="str">
        <f t="shared" si="99"/>
        <v/>
      </c>
      <c r="E1601" s="106" t="s">
        <v>3229</v>
      </c>
      <c r="F1601" s="58" t="s">
        <v>3427</v>
      </c>
      <c r="G1601" s="106">
        <v>12</v>
      </c>
      <c r="H1601" s="107"/>
      <c r="I1601" s="107"/>
      <c r="J1601" s="107"/>
      <c r="K1601" s="107"/>
      <c r="L1601" s="107"/>
      <c r="M1601" s="107"/>
      <c r="N1601" s="107"/>
      <c r="O1601" s="107"/>
      <c r="P1601" s="107"/>
    </row>
    <row r="1602" spans="1:16" x14ac:dyDescent="0.3">
      <c r="A1602" s="58" t="str">
        <f t="shared" si="100"/>
        <v>A115530</v>
      </c>
      <c r="B1602" s="59" t="str">
        <f t="shared" si="97"/>
        <v/>
      </c>
      <c r="C1602" s="59" t="str">
        <f t="shared" si="98"/>
        <v/>
      </c>
      <c r="D1602" s="109" t="str">
        <f t="shared" si="99"/>
        <v/>
      </c>
      <c r="E1602" s="106" t="s">
        <v>3230</v>
      </c>
      <c r="F1602" s="58" t="s">
        <v>3428</v>
      </c>
      <c r="G1602" s="106">
        <v>12</v>
      </c>
      <c r="H1602" s="107"/>
      <c r="I1602" s="107"/>
      <c r="J1602" s="107"/>
      <c r="K1602" s="107"/>
      <c r="L1602" s="107"/>
      <c r="M1602" s="107"/>
      <c r="N1602" s="107"/>
      <c r="O1602" s="107"/>
      <c r="P1602" s="107"/>
    </row>
    <row r="1603" spans="1:16" x14ac:dyDescent="0.3">
      <c r="A1603" s="58" t="str">
        <f t="shared" si="100"/>
        <v>A115570</v>
      </c>
      <c r="B1603" s="59" t="str">
        <f t="shared" si="97"/>
        <v/>
      </c>
      <c r="C1603" s="59" t="str">
        <f t="shared" si="98"/>
        <v/>
      </c>
      <c r="D1603" s="109" t="str">
        <f t="shared" si="99"/>
        <v/>
      </c>
      <c r="E1603" s="106" t="s">
        <v>3231</v>
      </c>
      <c r="F1603" s="58" t="s">
        <v>3429</v>
      </c>
      <c r="G1603" s="106">
        <v>12</v>
      </c>
      <c r="H1603" s="107"/>
      <c r="I1603" s="107"/>
      <c r="J1603" s="107"/>
      <c r="K1603" s="107"/>
      <c r="L1603" s="107"/>
      <c r="M1603" s="107"/>
      <c r="N1603" s="107"/>
      <c r="O1603" s="107"/>
      <c r="P1603" s="107"/>
    </row>
    <row r="1604" spans="1:16" x14ac:dyDescent="0.3">
      <c r="A1604" s="58" t="str">
        <f t="shared" si="100"/>
        <v>A115610</v>
      </c>
      <c r="B1604" s="59" t="str">
        <f t="shared" si="97"/>
        <v/>
      </c>
      <c r="C1604" s="59" t="str">
        <f t="shared" si="98"/>
        <v/>
      </c>
      <c r="D1604" s="109" t="str">
        <f t="shared" si="99"/>
        <v/>
      </c>
      <c r="E1604" s="106" t="s">
        <v>3232</v>
      </c>
      <c r="F1604" s="58" t="s">
        <v>3537</v>
      </c>
      <c r="G1604" s="106">
        <v>12</v>
      </c>
      <c r="H1604" s="107"/>
      <c r="I1604" s="107"/>
      <c r="J1604" s="107"/>
      <c r="K1604" s="107"/>
      <c r="L1604" s="107"/>
      <c r="M1604" s="107"/>
      <c r="N1604" s="107"/>
      <c r="O1604" s="107"/>
      <c r="P1604" s="107"/>
    </row>
    <row r="1605" spans="1:16" x14ac:dyDescent="0.3">
      <c r="A1605" s="58" t="str">
        <f t="shared" si="100"/>
        <v>A117580</v>
      </c>
      <c r="B1605" s="59" t="str">
        <f t="shared" si="97"/>
        <v/>
      </c>
      <c r="C1605" s="59" t="str">
        <f t="shared" si="98"/>
        <v/>
      </c>
      <c r="D1605" s="109" t="str">
        <f t="shared" si="99"/>
        <v/>
      </c>
      <c r="E1605" s="106" t="s">
        <v>3233</v>
      </c>
      <c r="F1605" s="58" t="s">
        <v>3430</v>
      </c>
      <c r="G1605" s="106">
        <v>12</v>
      </c>
      <c r="H1605" s="107"/>
      <c r="I1605" s="107"/>
      <c r="J1605" s="107"/>
      <c r="K1605" s="107"/>
      <c r="L1605" s="107"/>
      <c r="M1605" s="107"/>
      <c r="N1605" s="107"/>
      <c r="O1605" s="107"/>
      <c r="P1605" s="107"/>
    </row>
    <row r="1606" spans="1:16" x14ac:dyDescent="0.3">
      <c r="A1606" s="58" t="str">
        <f t="shared" si="100"/>
        <v>A117670</v>
      </c>
      <c r="B1606" s="59" t="str">
        <f t="shared" si="97"/>
        <v/>
      </c>
      <c r="C1606" s="59" t="str">
        <f t="shared" si="98"/>
        <v/>
      </c>
      <c r="D1606" s="109" t="str">
        <f t="shared" si="99"/>
        <v/>
      </c>
      <c r="E1606" s="106" t="s">
        <v>3234</v>
      </c>
      <c r="F1606" s="58" t="s">
        <v>3431</v>
      </c>
      <c r="G1606" s="106">
        <v>12</v>
      </c>
      <c r="H1606" s="107"/>
      <c r="I1606" s="107"/>
      <c r="J1606" s="107"/>
      <c r="K1606" s="107"/>
      <c r="L1606" s="107"/>
      <c r="M1606" s="107"/>
      <c r="N1606" s="107"/>
      <c r="O1606" s="107"/>
      <c r="P1606" s="107"/>
    </row>
    <row r="1607" spans="1:16" x14ac:dyDescent="0.3">
      <c r="A1607" s="58" t="str">
        <f t="shared" si="100"/>
        <v>A117930</v>
      </c>
      <c r="B1607" s="59" t="str">
        <f t="shared" si="97"/>
        <v/>
      </c>
      <c r="C1607" s="59" t="str">
        <f t="shared" si="98"/>
        <v/>
      </c>
      <c r="D1607" s="109" t="str">
        <f t="shared" si="99"/>
        <v/>
      </c>
      <c r="E1607" s="106" t="s">
        <v>3235</v>
      </c>
      <c r="F1607" s="58" t="s">
        <v>3432</v>
      </c>
      <c r="G1607" s="106">
        <v>12</v>
      </c>
      <c r="H1607" s="107"/>
      <c r="I1607" s="107"/>
      <c r="J1607" s="107"/>
      <c r="K1607" s="107"/>
      <c r="L1607" s="107"/>
      <c r="M1607" s="107"/>
      <c r="N1607" s="107"/>
      <c r="O1607" s="107"/>
      <c r="P1607" s="107"/>
    </row>
    <row r="1608" spans="1:16" x14ac:dyDescent="0.3">
      <c r="A1608" s="58" t="str">
        <f t="shared" si="100"/>
        <v>A118000</v>
      </c>
      <c r="B1608" s="59" t="str">
        <f t="shared" si="97"/>
        <v/>
      </c>
      <c r="C1608" s="59" t="str">
        <f t="shared" si="98"/>
        <v/>
      </c>
      <c r="D1608" s="109" t="str">
        <f t="shared" si="99"/>
        <v/>
      </c>
      <c r="E1608" s="106" t="s">
        <v>3236</v>
      </c>
      <c r="F1608" s="58" t="s">
        <v>3433</v>
      </c>
      <c r="G1608" s="106">
        <v>12</v>
      </c>
      <c r="H1608" s="107"/>
      <c r="I1608" s="107"/>
      <c r="J1608" s="107"/>
      <c r="K1608" s="107"/>
      <c r="L1608" s="107"/>
      <c r="M1608" s="107"/>
      <c r="N1608" s="107"/>
      <c r="O1608" s="107"/>
      <c r="P1608" s="107"/>
    </row>
    <row r="1609" spans="1:16" x14ac:dyDescent="0.3">
      <c r="A1609" s="58" t="str">
        <f t="shared" si="100"/>
        <v>A119500</v>
      </c>
      <c r="B1609" s="59" t="str">
        <f t="shared" si="97"/>
        <v/>
      </c>
      <c r="C1609" s="59" t="str">
        <f t="shared" si="98"/>
        <v/>
      </c>
      <c r="D1609" s="109" t="str">
        <f t="shared" si="99"/>
        <v/>
      </c>
      <c r="E1609" s="106" t="s">
        <v>3237</v>
      </c>
      <c r="F1609" s="58" t="s">
        <v>3434</v>
      </c>
      <c r="G1609" s="106">
        <v>12</v>
      </c>
      <c r="H1609" s="107"/>
      <c r="I1609" s="107"/>
      <c r="J1609" s="107"/>
      <c r="K1609" s="107"/>
      <c r="L1609" s="107"/>
      <c r="M1609" s="107"/>
      <c r="N1609" s="107"/>
      <c r="O1609" s="107"/>
      <c r="P1609" s="107"/>
    </row>
    <row r="1610" spans="1:16" x14ac:dyDescent="0.3">
      <c r="A1610" s="58" t="str">
        <f t="shared" si="100"/>
        <v>A119610</v>
      </c>
      <c r="B1610" s="59" t="str">
        <f t="shared" si="97"/>
        <v/>
      </c>
      <c r="C1610" s="59" t="str">
        <f t="shared" si="98"/>
        <v/>
      </c>
      <c r="D1610" s="109" t="str">
        <f t="shared" si="99"/>
        <v/>
      </c>
      <c r="E1610" s="106" t="s">
        <v>3238</v>
      </c>
      <c r="F1610" s="58" t="s">
        <v>3435</v>
      </c>
      <c r="G1610" s="106">
        <v>12</v>
      </c>
      <c r="H1610" s="107"/>
      <c r="I1610" s="107"/>
      <c r="J1610" s="107"/>
      <c r="K1610" s="107"/>
      <c r="L1610" s="107"/>
      <c r="M1610" s="107"/>
      <c r="N1610" s="107"/>
      <c r="O1610" s="107"/>
      <c r="P1610" s="107"/>
    </row>
    <row r="1611" spans="1:16" x14ac:dyDescent="0.3">
      <c r="A1611" s="58" t="str">
        <f t="shared" si="100"/>
        <v>A119650</v>
      </c>
      <c r="B1611" s="59" t="str">
        <f t="shared" si="97"/>
        <v/>
      </c>
      <c r="C1611" s="59" t="str">
        <f t="shared" si="98"/>
        <v/>
      </c>
      <c r="D1611" s="109" t="str">
        <f t="shared" si="99"/>
        <v/>
      </c>
      <c r="E1611" s="106" t="s">
        <v>3239</v>
      </c>
      <c r="F1611" s="58" t="s">
        <v>3436</v>
      </c>
      <c r="G1611" s="106">
        <v>12</v>
      </c>
      <c r="H1611" s="107"/>
      <c r="I1611" s="107"/>
      <c r="J1611" s="107"/>
      <c r="K1611" s="107"/>
      <c r="L1611" s="107"/>
      <c r="M1611" s="107"/>
      <c r="N1611" s="107"/>
      <c r="O1611" s="107"/>
      <c r="P1611" s="107"/>
    </row>
    <row r="1612" spans="1:16" x14ac:dyDescent="0.3">
      <c r="A1612" s="58" t="str">
        <f t="shared" si="100"/>
        <v>A119830</v>
      </c>
      <c r="B1612" s="59" t="str">
        <f t="shared" si="97"/>
        <v/>
      </c>
      <c r="C1612" s="59" t="str">
        <f t="shared" si="98"/>
        <v/>
      </c>
      <c r="D1612" s="109" t="str">
        <f t="shared" si="99"/>
        <v/>
      </c>
      <c r="E1612" s="106" t="s">
        <v>3240</v>
      </c>
      <c r="F1612" s="58" t="s">
        <v>3437</v>
      </c>
      <c r="G1612" s="106">
        <v>12</v>
      </c>
      <c r="H1612" s="107"/>
      <c r="I1612" s="107"/>
      <c r="J1612" s="107"/>
      <c r="K1612" s="107"/>
      <c r="L1612" s="107"/>
      <c r="M1612" s="107"/>
      <c r="N1612" s="107"/>
      <c r="O1612" s="107"/>
      <c r="P1612" s="107"/>
    </row>
    <row r="1613" spans="1:16" x14ac:dyDescent="0.3">
      <c r="A1613" s="58" t="str">
        <f t="shared" si="100"/>
        <v>A119860</v>
      </c>
      <c r="B1613" s="59" t="str">
        <f t="shared" si="97"/>
        <v/>
      </c>
      <c r="C1613" s="59" t="str">
        <f t="shared" si="98"/>
        <v/>
      </c>
      <c r="D1613" s="109" t="str">
        <f t="shared" si="99"/>
        <v/>
      </c>
      <c r="E1613" s="106" t="s">
        <v>3241</v>
      </c>
      <c r="F1613" s="58" t="s">
        <v>3438</v>
      </c>
      <c r="G1613" s="106">
        <v>12</v>
      </c>
      <c r="H1613" s="107"/>
      <c r="I1613" s="107"/>
      <c r="J1613" s="107"/>
      <c r="K1613" s="107"/>
      <c r="L1613" s="107"/>
      <c r="M1613" s="107"/>
      <c r="N1613" s="107"/>
      <c r="O1613" s="107"/>
      <c r="P1613" s="107"/>
    </row>
    <row r="1614" spans="1:16" x14ac:dyDescent="0.3">
      <c r="A1614" s="58" t="str">
        <f t="shared" si="100"/>
        <v>A120030</v>
      </c>
      <c r="B1614" s="59" t="str">
        <f t="shared" si="97"/>
        <v/>
      </c>
      <c r="C1614" s="59" t="str">
        <f t="shared" si="98"/>
        <v/>
      </c>
      <c r="D1614" s="109" t="str">
        <f t="shared" si="99"/>
        <v/>
      </c>
      <c r="E1614" s="106" t="s">
        <v>3242</v>
      </c>
      <c r="F1614" s="58" t="s">
        <v>3439</v>
      </c>
      <c r="G1614" s="106">
        <v>12</v>
      </c>
      <c r="H1614" s="107"/>
      <c r="I1614" s="107"/>
      <c r="J1614" s="107"/>
      <c r="K1614" s="107"/>
      <c r="L1614" s="107"/>
      <c r="M1614" s="107"/>
      <c r="N1614" s="107"/>
      <c r="O1614" s="107"/>
      <c r="P1614" s="107"/>
    </row>
    <row r="1615" spans="1:16" x14ac:dyDescent="0.3">
      <c r="A1615" s="58" t="str">
        <f t="shared" si="100"/>
        <v>A120110</v>
      </c>
      <c r="B1615" s="59" t="str">
        <f t="shared" ref="B1615:B1678" si="101">IFERROR(IF(ISNUMBER(H1615),DATE(LEFT(H1615,4),MID(H1615,5,2),RIGHT(H1615,2)),NA()),"")</f>
        <v/>
      </c>
      <c r="C1615" s="59" t="str">
        <f t="shared" ref="C1615:C1678" si="102">IFERROR(IF(ISNUMBER(I1615),DATE(LEFT(I1615,4),MID(I1615,5,2),RIGHT(I1615,2)),NA()),"")</f>
        <v/>
      </c>
      <c r="D1615" s="109" t="str">
        <f t="shared" ref="D1615:D1678" si="103">IFERROR(IF(ISNUMBER(J1615),J1615,NA()),"")</f>
        <v/>
      </c>
      <c r="E1615" s="106" t="s">
        <v>3243</v>
      </c>
      <c r="F1615" s="58" t="s">
        <v>3440</v>
      </c>
      <c r="G1615" s="106">
        <v>12</v>
      </c>
      <c r="H1615" s="107"/>
      <c r="I1615" s="107"/>
      <c r="J1615" s="107"/>
      <c r="K1615" s="107"/>
      <c r="L1615" s="107"/>
      <c r="M1615" s="107"/>
      <c r="N1615" s="107"/>
      <c r="O1615" s="107"/>
      <c r="P1615" s="107"/>
    </row>
    <row r="1616" spans="1:16" x14ac:dyDescent="0.3">
      <c r="A1616" s="58" t="str">
        <f t="shared" si="100"/>
        <v>A120240</v>
      </c>
      <c r="B1616" s="59" t="str">
        <f t="shared" si="101"/>
        <v/>
      </c>
      <c r="C1616" s="59" t="str">
        <f t="shared" si="102"/>
        <v/>
      </c>
      <c r="D1616" s="109" t="str">
        <f t="shared" si="103"/>
        <v/>
      </c>
      <c r="E1616" s="106" t="s">
        <v>3244</v>
      </c>
      <c r="F1616" s="58" t="s">
        <v>3441</v>
      </c>
      <c r="G1616" s="106">
        <v>12</v>
      </c>
      <c r="H1616" s="107"/>
      <c r="I1616" s="107"/>
      <c r="J1616" s="107"/>
      <c r="K1616" s="107"/>
      <c r="L1616" s="107"/>
      <c r="M1616" s="107"/>
      <c r="N1616" s="107"/>
      <c r="O1616" s="107"/>
      <c r="P1616" s="107"/>
    </row>
    <row r="1617" spans="1:16" x14ac:dyDescent="0.3">
      <c r="A1617" s="58" t="str">
        <f t="shared" si="100"/>
        <v>A121440</v>
      </c>
      <c r="B1617" s="59" t="str">
        <f t="shared" si="101"/>
        <v/>
      </c>
      <c r="C1617" s="59" t="str">
        <f t="shared" si="102"/>
        <v/>
      </c>
      <c r="D1617" s="109" t="str">
        <f t="shared" si="103"/>
        <v/>
      </c>
      <c r="E1617" s="106" t="s">
        <v>3245</v>
      </c>
      <c r="F1617" s="58" t="s">
        <v>3442</v>
      </c>
      <c r="G1617" s="106">
        <v>12</v>
      </c>
      <c r="H1617" s="107"/>
      <c r="I1617" s="107"/>
      <c r="J1617" s="107"/>
      <c r="K1617" s="107"/>
      <c r="L1617" s="107"/>
      <c r="M1617" s="107"/>
      <c r="N1617" s="107"/>
      <c r="O1617" s="107"/>
      <c r="P1617" s="107"/>
    </row>
    <row r="1618" spans="1:16" x14ac:dyDescent="0.3">
      <c r="A1618" s="58" t="str">
        <f t="shared" si="100"/>
        <v>A121600</v>
      </c>
      <c r="B1618" s="59" t="str">
        <f t="shared" si="101"/>
        <v/>
      </c>
      <c r="C1618" s="59" t="str">
        <f t="shared" si="102"/>
        <v/>
      </c>
      <c r="D1618" s="109" t="str">
        <f t="shared" si="103"/>
        <v/>
      </c>
      <c r="E1618" s="106" t="s">
        <v>3246</v>
      </c>
      <c r="F1618" s="58" t="s">
        <v>3443</v>
      </c>
      <c r="G1618" s="106">
        <v>12</v>
      </c>
      <c r="H1618" s="107"/>
      <c r="I1618" s="107"/>
      <c r="J1618" s="107"/>
      <c r="K1618" s="107"/>
      <c r="L1618" s="107"/>
      <c r="M1618" s="107"/>
      <c r="N1618" s="107"/>
      <c r="O1618" s="107"/>
      <c r="P1618" s="107"/>
    </row>
    <row r="1619" spans="1:16" x14ac:dyDescent="0.3">
      <c r="A1619" s="58" t="str">
        <f t="shared" si="100"/>
        <v>A121800</v>
      </c>
      <c r="B1619" s="59" t="str">
        <f t="shared" si="101"/>
        <v/>
      </c>
      <c r="C1619" s="59" t="str">
        <f t="shared" si="102"/>
        <v/>
      </c>
      <c r="D1619" s="109" t="str">
        <f t="shared" si="103"/>
        <v/>
      </c>
      <c r="E1619" s="106" t="s">
        <v>3247</v>
      </c>
      <c r="F1619" s="58" t="s">
        <v>3444</v>
      </c>
      <c r="G1619" s="106">
        <v>12</v>
      </c>
      <c r="H1619" s="107"/>
      <c r="I1619" s="107"/>
      <c r="J1619" s="107"/>
      <c r="K1619" s="107"/>
      <c r="L1619" s="107"/>
      <c r="M1619" s="107"/>
      <c r="N1619" s="107"/>
      <c r="O1619" s="107"/>
      <c r="P1619" s="107"/>
    </row>
    <row r="1620" spans="1:16" x14ac:dyDescent="0.3">
      <c r="A1620" s="58" t="str">
        <f t="shared" si="100"/>
        <v>A121850</v>
      </c>
      <c r="B1620" s="59" t="str">
        <f t="shared" si="101"/>
        <v/>
      </c>
      <c r="C1620" s="59" t="str">
        <f t="shared" si="102"/>
        <v/>
      </c>
      <c r="D1620" s="109" t="str">
        <f t="shared" si="103"/>
        <v/>
      </c>
      <c r="E1620" s="106" t="s">
        <v>3248</v>
      </c>
      <c r="F1620" s="58" t="s">
        <v>3445</v>
      </c>
      <c r="G1620" s="106">
        <v>12</v>
      </c>
      <c r="H1620" s="107"/>
      <c r="I1620" s="107"/>
      <c r="J1620" s="107"/>
      <c r="K1620" s="107"/>
      <c r="L1620" s="107"/>
      <c r="M1620" s="107"/>
      <c r="N1620" s="107"/>
      <c r="O1620" s="107"/>
      <c r="P1620" s="107"/>
    </row>
    <row r="1621" spans="1:16" x14ac:dyDescent="0.3">
      <c r="A1621" s="58" t="str">
        <f t="shared" si="100"/>
        <v>A121890</v>
      </c>
      <c r="B1621" s="59" t="str">
        <f t="shared" si="101"/>
        <v/>
      </c>
      <c r="C1621" s="59" t="str">
        <f t="shared" si="102"/>
        <v/>
      </c>
      <c r="D1621" s="109" t="str">
        <f t="shared" si="103"/>
        <v/>
      </c>
      <c r="E1621" s="106" t="s">
        <v>3249</v>
      </c>
      <c r="F1621" s="58" t="s">
        <v>3446</v>
      </c>
      <c r="G1621" s="106">
        <v>12</v>
      </c>
      <c r="H1621" s="107"/>
      <c r="I1621" s="107"/>
      <c r="J1621" s="107"/>
      <c r="K1621" s="107"/>
      <c r="L1621" s="107"/>
      <c r="M1621" s="107"/>
      <c r="N1621" s="107"/>
      <c r="O1621" s="107"/>
      <c r="P1621" s="107"/>
    </row>
    <row r="1622" spans="1:16" x14ac:dyDescent="0.3">
      <c r="A1622" s="58" t="str">
        <f t="shared" ref="A1622:A1685" si="104">E1622</f>
        <v>A122350</v>
      </c>
      <c r="B1622" s="59" t="str">
        <f t="shared" si="101"/>
        <v/>
      </c>
      <c r="C1622" s="59" t="str">
        <f t="shared" si="102"/>
        <v/>
      </c>
      <c r="D1622" s="109" t="str">
        <f t="shared" si="103"/>
        <v/>
      </c>
      <c r="E1622" s="106" t="s">
        <v>3250</v>
      </c>
      <c r="F1622" s="58" t="s">
        <v>3447</v>
      </c>
      <c r="G1622" s="106">
        <v>12</v>
      </c>
      <c r="H1622" s="107"/>
      <c r="I1622" s="107"/>
      <c r="J1622" s="107"/>
      <c r="K1622" s="107"/>
      <c r="L1622" s="107"/>
      <c r="M1622" s="107"/>
      <c r="N1622" s="107"/>
      <c r="O1622" s="107"/>
      <c r="P1622" s="107"/>
    </row>
    <row r="1623" spans="1:16" x14ac:dyDescent="0.3">
      <c r="A1623" s="58" t="str">
        <f t="shared" si="104"/>
        <v>A122450</v>
      </c>
      <c r="B1623" s="59" t="str">
        <f t="shared" si="101"/>
        <v/>
      </c>
      <c r="C1623" s="59" t="str">
        <f t="shared" si="102"/>
        <v/>
      </c>
      <c r="D1623" s="109" t="str">
        <f t="shared" si="103"/>
        <v/>
      </c>
      <c r="E1623" s="106" t="s">
        <v>3251</v>
      </c>
      <c r="F1623" s="58" t="s">
        <v>3448</v>
      </c>
      <c r="G1623" s="106">
        <v>12</v>
      </c>
      <c r="H1623" s="107"/>
      <c r="I1623" s="107"/>
      <c r="J1623" s="107"/>
      <c r="K1623" s="107"/>
      <c r="L1623" s="107"/>
      <c r="M1623" s="107"/>
      <c r="N1623" s="107"/>
      <c r="O1623" s="107"/>
      <c r="P1623" s="107"/>
    </row>
    <row r="1624" spans="1:16" x14ac:dyDescent="0.3">
      <c r="A1624" s="58" t="str">
        <f t="shared" si="104"/>
        <v>A122690</v>
      </c>
      <c r="B1624" s="59" t="str">
        <f t="shared" si="101"/>
        <v/>
      </c>
      <c r="C1624" s="59" t="str">
        <f t="shared" si="102"/>
        <v/>
      </c>
      <c r="D1624" s="109" t="str">
        <f t="shared" si="103"/>
        <v/>
      </c>
      <c r="E1624" s="106" t="s">
        <v>3252</v>
      </c>
      <c r="F1624" s="58" t="s">
        <v>3449</v>
      </c>
      <c r="G1624" s="106">
        <v>12</v>
      </c>
      <c r="H1624" s="107"/>
      <c r="I1624" s="107"/>
      <c r="J1624" s="107"/>
      <c r="K1624" s="107"/>
      <c r="L1624" s="107"/>
      <c r="M1624" s="107"/>
      <c r="N1624" s="107"/>
      <c r="O1624" s="107"/>
      <c r="P1624" s="107"/>
    </row>
    <row r="1625" spans="1:16" x14ac:dyDescent="0.3">
      <c r="A1625" s="58" t="str">
        <f t="shared" si="104"/>
        <v>A122800</v>
      </c>
      <c r="B1625" s="59" t="str">
        <f t="shared" si="101"/>
        <v/>
      </c>
      <c r="C1625" s="59" t="str">
        <f t="shared" si="102"/>
        <v/>
      </c>
      <c r="D1625" s="109" t="str">
        <f t="shared" si="103"/>
        <v/>
      </c>
      <c r="E1625" s="106" t="s">
        <v>3253</v>
      </c>
      <c r="F1625" s="58" t="s">
        <v>3450</v>
      </c>
      <c r="G1625" s="106">
        <v>12</v>
      </c>
      <c r="H1625" s="107"/>
      <c r="I1625" s="107"/>
      <c r="J1625" s="107"/>
      <c r="K1625" s="107"/>
      <c r="L1625" s="107"/>
      <c r="M1625" s="107"/>
      <c r="N1625" s="107"/>
      <c r="O1625" s="107"/>
      <c r="P1625" s="107"/>
    </row>
    <row r="1626" spans="1:16" x14ac:dyDescent="0.3">
      <c r="A1626" s="58" t="str">
        <f t="shared" si="104"/>
        <v>A122870</v>
      </c>
      <c r="B1626" s="59" t="str">
        <f t="shared" si="101"/>
        <v/>
      </c>
      <c r="C1626" s="59" t="str">
        <f t="shared" si="102"/>
        <v/>
      </c>
      <c r="D1626" s="109" t="str">
        <f t="shared" si="103"/>
        <v/>
      </c>
      <c r="E1626" s="106" t="s">
        <v>3254</v>
      </c>
      <c r="F1626" s="58" t="s">
        <v>3451</v>
      </c>
      <c r="G1626" s="106">
        <v>12</v>
      </c>
      <c r="H1626" s="107"/>
      <c r="I1626" s="107"/>
      <c r="J1626" s="107"/>
      <c r="K1626" s="107"/>
      <c r="L1626" s="107"/>
      <c r="M1626" s="107"/>
      <c r="N1626" s="107"/>
      <c r="O1626" s="107"/>
      <c r="P1626" s="107"/>
    </row>
    <row r="1627" spans="1:16" x14ac:dyDescent="0.3">
      <c r="A1627" s="58" t="str">
        <f t="shared" si="104"/>
        <v>A122900</v>
      </c>
      <c r="B1627" s="59" t="str">
        <f t="shared" si="101"/>
        <v/>
      </c>
      <c r="C1627" s="59" t="str">
        <f t="shared" si="102"/>
        <v/>
      </c>
      <c r="D1627" s="109" t="str">
        <f t="shared" si="103"/>
        <v/>
      </c>
      <c r="E1627" s="106" t="s">
        <v>3255</v>
      </c>
      <c r="F1627" s="58" t="s">
        <v>3452</v>
      </c>
      <c r="G1627" s="106">
        <v>12</v>
      </c>
      <c r="H1627" s="107"/>
      <c r="I1627" s="107"/>
      <c r="J1627" s="107"/>
      <c r="K1627" s="107"/>
      <c r="L1627" s="107"/>
      <c r="M1627" s="107"/>
      <c r="N1627" s="107"/>
      <c r="O1627" s="107"/>
      <c r="P1627" s="107"/>
    </row>
    <row r="1628" spans="1:16" x14ac:dyDescent="0.3">
      <c r="A1628" s="58" t="str">
        <f t="shared" si="104"/>
        <v>A122990</v>
      </c>
      <c r="B1628" s="59" t="str">
        <f t="shared" si="101"/>
        <v/>
      </c>
      <c r="C1628" s="59" t="str">
        <f t="shared" si="102"/>
        <v/>
      </c>
      <c r="D1628" s="109" t="str">
        <f t="shared" si="103"/>
        <v/>
      </c>
      <c r="E1628" s="106" t="s">
        <v>3256</v>
      </c>
      <c r="F1628" s="58" t="s">
        <v>3453</v>
      </c>
      <c r="G1628" s="106">
        <v>12</v>
      </c>
      <c r="H1628" s="107"/>
      <c r="I1628" s="107"/>
      <c r="J1628" s="107"/>
      <c r="K1628" s="107"/>
      <c r="L1628" s="107"/>
      <c r="M1628" s="107"/>
      <c r="N1628" s="107"/>
      <c r="O1628" s="107"/>
      <c r="P1628" s="107"/>
    </row>
    <row r="1629" spans="1:16" x14ac:dyDescent="0.3">
      <c r="A1629" s="58" t="str">
        <f t="shared" si="104"/>
        <v>A123040</v>
      </c>
      <c r="B1629" s="59" t="str">
        <f t="shared" si="101"/>
        <v/>
      </c>
      <c r="C1629" s="59" t="str">
        <f t="shared" si="102"/>
        <v/>
      </c>
      <c r="D1629" s="109" t="str">
        <f t="shared" si="103"/>
        <v/>
      </c>
      <c r="E1629" s="106" t="s">
        <v>3257</v>
      </c>
      <c r="F1629" s="58" t="s">
        <v>3454</v>
      </c>
      <c r="G1629" s="106">
        <v>12</v>
      </c>
      <c r="H1629" s="107"/>
      <c r="I1629" s="107"/>
      <c r="J1629" s="107"/>
      <c r="K1629" s="107"/>
      <c r="L1629" s="107"/>
      <c r="M1629" s="107"/>
      <c r="N1629" s="107"/>
      <c r="O1629" s="107"/>
      <c r="P1629" s="107"/>
    </row>
    <row r="1630" spans="1:16" x14ac:dyDescent="0.3">
      <c r="A1630" s="58" t="str">
        <f t="shared" si="104"/>
        <v>A123100</v>
      </c>
      <c r="B1630" s="59" t="str">
        <f t="shared" si="101"/>
        <v/>
      </c>
      <c r="C1630" s="59" t="str">
        <f t="shared" si="102"/>
        <v/>
      </c>
      <c r="D1630" s="109" t="str">
        <f t="shared" si="103"/>
        <v/>
      </c>
      <c r="E1630" s="106" t="s">
        <v>3258</v>
      </c>
      <c r="F1630" s="58" t="s">
        <v>3455</v>
      </c>
      <c r="G1630" s="106">
        <v>12</v>
      </c>
      <c r="H1630" s="107"/>
      <c r="I1630" s="107"/>
      <c r="J1630" s="107"/>
      <c r="K1630" s="107"/>
      <c r="L1630" s="107"/>
      <c r="M1630" s="107"/>
      <c r="N1630" s="107"/>
      <c r="O1630" s="107"/>
      <c r="P1630" s="107"/>
    </row>
    <row r="1631" spans="1:16" x14ac:dyDescent="0.3">
      <c r="A1631" s="58" t="str">
        <f t="shared" si="104"/>
        <v>A123260</v>
      </c>
      <c r="B1631" s="59" t="str">
        <f t="shared" si="101"/>
        <v/>
      </c>
      <c r="C1631" s="59" t="str">
        <f t="shared" si="102"/>
        <v/>
      </c>
      <c r="D1631" s="109" t="str">
        <f t="shared" si="103"/>
        <v/>
      </c>
      <c r="E1631" s="106" t="s">
        <v>3259</v>
      </c>
      <c r="F1631" s="58" t="s">
        <v>3456</v>
      </c>
      <c r="G1631" s="106">
        <v>12</v>
      </c>
      <c r="H1631" s="107"/>
      <c r="I1631" s="107"/>
      <c r="J1631" s="107"/>
      <c r="K1631" s="107"/>
      <c r="L1631" s="107"/>
      <c r="M1631" s="107"/>
      <c r="N1631" s="107"/>
      <c r="O1631" s="107"/>
      <c r="P1631" s="107"/>
    </row>
    <row r="1632" spans="1:16" x14ac:dyDescent="0.3">
      <c r="A1632" s="58" t="str">
        <f t="shared" si="104"/>
        <v>A123330</v>
      </c>
      <c r="B1632" s="59" t="str">
        <f t="shared" si="101"/>
        <v/>
      </c>
      <c r="C1632" s="59" t="str">
        <f t="shared" si="102"/>
        <v/>
      </c>
      <c r="D1632" s="109" t="str">
        <f t="shared" si="103"/>
        <v/>
      </c>
      <c r="E1632" s="106" t="s">
        <v>3260</v>
      </c>
      <c r="F1632" s="58" t="s">
        <v>3457</v>
      </c>
      <c r="G1632" s="106">
        <v>12</v>
      </c>
      <c r="H1632" s="107"/>
      <c r="I1632" s="107"/>
      <c r="J1632" s="107"/>
      <c r="K1632" s="107"/>
      <c r="L1632" s="107"/>
      <c r="M1632" s="107"/>
      <c r="N1632" s="107"/>
      <c r="O1632" s="107"/>
      <c r="P1632" s="107"/>
    </row>
    <row r="1633" spans="1:16" x14ac:dyDescent="0.3">
      <c r="A1633" s="58" t="str">
        <f t="shared" si="104"/>
        <v>A123410</v>
      </c>
      <c r="B1633" s="59" t="str">
        <f t="shared" si="101"/>
        <v/>
      </c>
      <c r="C1633" s="59" t="str">
        <f t="shared" si="102"/>
        <v/>
      </c>
      <c r="D1633" s="109" t="str">
        <f t="shared" si="103"/>
        <v/>
      </c>
      <c r="E1633" s="106" t="s">
        <v>3261</v>
      </c>
      <c r="F1633" s="58" t="s">
        <v>3458</v>
      </c>
      <c r="G1633" s="106">
        <v>12</v>
      </c>
      <c r="H1633" s="107"/>
      <c r="I1633" s="107"/>
      <c r="J1633" s="107"/>
      <c r="K1633" s="107"/>
      <c r="L1633" s="107"/>
      <c r="M1633" s="107"/>
      <c r="N1633" s="107"/>
      <c r="O1633" s="107"/>
      <c r="P1633" s="107"/>
    </row>
    <row r="1634" spans="1:16" x14ac:dyDescent="0.3">
      <c r="A1634" s="58" t="str">
        <f t="shared" si="104"/>
        <v>A123570</v>
      </c>
      <c r="B1634" s="59" t="str">
        <f t="shared" si="101"/>
        <v/>
      </c>
      <c r="C1634" s="59" t="str">
        <f t="shared" si="102"/>
        <v/>
      </c>
      <c r="D1634" s="109" t="str">
        <f t="shared" si="103"/>
        <v/>
      </c>
      <c r="E1634" s="106" t="s">
        <v>3262</v>
      </c>
      <c r="F1634" s="58" t="s">
        <v>3459</v>
      </c>
      <c r="G1634" s="106">
        <v>12</v>
      </c>
      <c r="H1634" s="107"/>
      <c r="I1634" s="107"/>
      <c r="J1634" s="107"/>
      <c r="K1634" s="107"/>
      <c r="L1634" s="107"/>
      <c r="M1634" s="107"/>
      <c r="N1634" s="107"/>
      <c r="O1634" s="107"/>
      <c r="P1634" s="107"/>
    </row>
    <row r="1635" spans="1:16" x14ac:dyDescent="0.3">
      <c r="A1635" s="58" t="str">
        <f t="shared" si="104"/>
        <v>A123690</v>
      </c>
      <c r="B1635" s="59" t="str">
        <f t="shared" si="101"/>
        <v/>
      </c>
      <c r="C1635" s="59" t="str">
        <f t="shared" si="102"/>
        <v/>
      </c>
      <c r="D1635" s="109" t="str">
        <f t="shared" si="103"/>
        <v/>
      </c>
      <c r="E1635" s="106" t="s">
        <v>3263</v>
      </c>
      <c r="F1635" s="58" t="s">
        <v>3460</v>
      </c>
      <c r="G1635" s="106">
        <v>12</v>
      </c>
      <c r="H1635" s="107"/>
      <c r="I1635" s="107"/>
      <c r="J1635" s="107"/>
      <c r="K1635" s="107"/>
      <c r="L1635" s="107"/>
      <c r="M1635" s="107"/>
      <c r="N1635" s="107"/>
      <c r="O1635" s="107"/>
      <c r="P1635" s="107"/>
    </row>
    <row r="1636" spans="1:16" x14ac:dyDescent="0.3">
      <c r="A1636" s="58" t="str">
        <f t="shared" si="104"/>
        <v>A123700</v>
      </c>
      <c r="B1636" s="59" t="str">
        <f t="shared" si="101"/>
        <v/>
      </c>
      <c r="C1636" s="59" t="str">
        <f t="shared" si="102"/>
        <v/>
      </c>
      <c r="D1636" s="109" t="str">
        <f t="shared" si="103"/>
        <v/>
      </c>
      <c r="E1636" s="106" t="s">
        <v>3264</v>
      </c>
      <c r="F1636" s="58" t="s">
        <v>3461</v>
      </c>
      <c r="G1636" s="106">
        <v>12</v>
      </c>
      <c r="H1636" s="107"/>
      <c r="I1636" s="107"/>
      <c r="J1636" s="107"/>
      <c r="K1636" s="107"/>
      <c r="L1636" s="107"/>
      <c r="M1636" s="107"/>
      <c r="N1636" s="107"/>
      <c r="O1636" s="107"/>
      <c r="P1636" s="107"/>
    </row>
    <row r="1637" spans="1:16" x14ac:dyDescent="0.3">
      <c r="A1637" s="58" t="str">
        <f t="shared" si="104"/>
        <v>A123750</v>
      </c>
      <c r="B1637" s="59" t="str">
        <f t="shared" si="101"/>
        <v/>
      </c>
      <c r="C1637" s="59" t="str">
        <f t="shared" si="102"/>
        <v/>
      </c>
      <c r="D1637" s="109" t="str">
        <f t="shared" si="103"/>
        <v/>
      </c>
      <c r="E1637" s="106" t="s">
        <v>3265</v>
      </c>
      <c r="F1637" s="58" t="s">
        <v>3462</v>
      </c>
      <c r="G1637" s="106">
        <v>12</v>
      </c>
      <c r="H1637" s="107"/>
      <c r="I1637" s="107"/>
      <c r="J1637" s="107"/>
      <c r="K1637" s="107"/>
      <c r="L1637" s="107"/>
      <c r="M1637" s="107"/>
      <c r="N1637" s="107"/>
      <c r="O1637" s="107"/>
      <c r="P1637" s="107"/>
    </row>
    <row r="1638" spans="1:16" x14ac:dyDescent="0.3">
      <c r="A1638" s="58" t="str">
        <f t="shared" si="104"/>
        <v>A123860</v>
      </c>
      <c r="B1638" s="59" t="str">
        <f t="shared" si="101"/>
        <v/>
      </c>
      <c r="C1638" s="59" t="str">
        <f t="shared" si="102"/>
        <v/>
      </c>
      <c r="D1638" s="109" t="str">
        <f t="shared" si="103"/>
        <v/>
      </c>
      <c r="E1638" s="106" t="s">
        <v>3266</v>
      </c>
      <c r="F1638" s="58" t="s">
        <v>3463</v>
      </c>
      <c r="G1638" s="106">
        <v>12</v>
      </c>
      <c r="H1638" s="107"/>
      <c r="I1638" s="107"/>
      <c r="J1638" s="107"/>
      <c r="K1638" s="107"/>
      <c r="L1638" s="107"/>
      <c r="M1638" s="107"/>
      <c r="N1638" s="107"/>
      <c r="O1638" s="107"/>
      <c r="P1638" s="107"/>
    </row>
    <row r="1639" spans="1:16" x14ac:dyDescent="0.3">
      <c r="A1639" s="58" t="str">
        <f t="shared" si="104"/>
        <v>A126560</v>
      </c>
      <c r="B1639" s="59" t="str">
        <f t="shared" si="101"/>
        <v/>
      </c>
      <c r="C1639" s="59" t="str">
        <f t="shared" si="102"/>
        <v/>
      </c>
      <c r="D1639" s="109" t="str">
        <f t="shared" si="103"/>
        <v/>
      </c>
      <c r="E1639" s="106" t="s">
        <v>3267</v>
      </c>
      <c r="F1639" s="58" t="s">
        <v>3464</v>
      </c>
      <c r="G1639" s="106">
        <v>12</v>
      </c>
      <c r="H1639" s="107"/>
      <c r="I1639" s="107"/>
      <c r="J1639" s="107"/>
      <c r="K1639" s="107"/>
      <c r="L1639" s="107"/>
      <c r="M1639" s="107"/>
      <c r="N1639" s="107"/>
      <c r="O1639" s="107"/>
      <c r="P1639" s="107"/>
    </row>
    <row r="1640" spans="1:16" x14ac:dyDescent="0.3">
      <c r="A1640" s="58" t="str">
        <f t="shared" si="104"/>
        <v>A126600</v>
      </c>
      <c r="B1640" s="59" t="str">
        <f t="shared" si="101"/>
        <v/>
      </c>
      <c r="C1640" s="59" t="str">
        <f t="shared" si="102"/>
        <v/>
      </c>
      <c r="D1640" s="109" t="str">
        <f t="shared" si="103"/>
        <v/>
      </c>
      <c r="E1640" s="106" t="s">
        <v>3268</v>
      </c>
      <c r="F1640" s="58" t="s">
        <v>3465</v>
      </c>
      <c r="G1640" s="106">
        <v>12</v>
      </c>
      <c r="H1640" s="107"/>
      <c r="I1640" s="107"/>
      <c r="J1640" s="107"/>
      <c r="K1640" s="107"/>
      <c r="L1640" s="107"/>
      <c r="M1640" s="107"/>
      <c r="N1640" s="107"/>
      <c r="O1640" s="107"/>
      <c r="P1640" s="107"/>
    </row>
    <row r="1641" spans="1:16" x14ac:dyDescent="0.3">
      <c r="A1641" s="58" t="str">
        <f t="shared" si="104"/>
        <v>A126640</v>
      </c>
      <c r="B1641" s="59" t="str">
        <f t="shared" si="101"/>
        <v/>
      </c>
      <c r="C1641" s="59" t="str">
        <f t="shared" si="102"/>
        <v/>
      </c>
      <c r="D1641" s="109" t="str">
        <f t="shared" si="103"/>
        <v/>
      </c>
      <c r="E1641" s="106" t="s">
        <v>3269</v>
      </c>
      <c r="F1641" s="58" t="s">
        <v>3466</v>
      </c>
      <c r="G1641" s="106">
        <v>12</v>
      </c>
      <c r="H1641" s="107"/>
      <c r="I1641" s="107"/>
      <c r="J1641" s="107"/>
      <c r="K1641" s="107"/>
      <c r="L1641" s="107"/>
      <c r="M1641" s="107"/>
      <c r="N1641" s="107"/>
      <c r="O1641" s="107"/>
      <c r="P1641" s="107"/>
    </row>
    <row r="1642" spans="1:16" x14ac:dyDescent="0.3">
      <c r="A1642" s="58" t="str">
        <f t="shared" si="104"/>
        <v>A126700</v>
      </c>
      <c r="B1642" s="59">
        <f t="shared" si="101"/>
        <v>41477</v>
      </c>
      <c r="C1642" s="59">
        <f t="shared" si="102"/>
        <v>41477</v>
      </c>
      <c r="D1642" s="109">
        <f t="shared" si="103"/>
        <v>6.23</v>
      </c>
      <c r="E1642" s="106" t="s">
        <v>3270</v>
      </c>
      <c r="F1642" s="58" t="s">
        <v>3467</v>
      </c>
      <c r="G1642" s="106">
        <v>12</v>
      </c>
      <c r="H1642" s="107">
        <v>20130722</v>
      </c>
      <c r="I1642" s="107">
        <v>20130722</v>
      </c>
      <c r="J1642" s="107">
        <v>6.23</v>
      </c>
      <c r="K1642" s="107"/>
      <c r="L1642" s="107"/>
      <c r="M1642" s="107"/>
      <c r="N1642" s="107"/>
      <c r="O1642" s="107"/>
      <c r="P1642" s="107"/>
    </row>
    <row r="1643" spans="1:16" x14ac:dyDescent="0.3">
      <c r="A1643" s="58" t="str">
        <f t="shared" si="104"/>
        <v>A126870</v>
      </c>
      <c r="B1643" s="59" t="str">
        <f t="shared" si="101"/>
        <v/>
      </c>
      <c r="C1643" s="59" t="str">
        <f t="shared" si="102"/>
        <v/>
      </c>
      <c r="D1643" s="109" t="str">
        <f t="shared" si="103"/>
        <v/>
      </c>
      <c r="E1643" s="106" t="s">
        <v>3271</v>
      </c>
      <c r="F1643" s="58" t="s">
        <v>3468</v>
      </c>
      <c r="G1643" s="106">
        <v>12</v>
      </c>
      <c r="H1643" s="107"/>
      <c r="I1643" s="107"/>
      <c r="J1643" s="107"/>
      <c r="K1643" s="107"/>
      <c r="L1643" s="107"/>
      <c r="M1643" s="107"/>
      <c r="N1643" s="107"/>
      <c r="O1643" s="107"/>
      <c r="P1643" s="107"/>
    </row>
    <row r="1644" spans="1:16" x14ac:dyDescent="0.3">
      <c r="A1644" s="58" t="str">
        <f t="shared" si="104"/>
        <v>A126880</v>
      </c>
      <c r="B1644" s="59" t="str">
        <f t="shared" si="101"/>
        <v/>
      </c>
      <c r="C1644" s="59" t="str">
        <f t="shared" si="102"/>
        <v/>
      </c>
      <c r="D1644" s="109" t="str">
        <f t="shared" si="103"/>
        <v/>
      </c>
      <c r="E1644" s="106" t="s">
        <v>3272</v>
      </c>
      <c r="F1644" s="58" t="s">
        <v>3469</v>
      </c>
      <c r="G1644" s="106">
        <v>12</v>
      </c>
      <c r="H1644" s="107"/>
      <c r="I1644" s="107"/>
      <c r="J1644" s="107"/>
      <c r="K1644" s="107"/>
      <c r="L1644" s="107"/>
      <c r="M1644" s="107"/>
      <c r="N1644" s="107"/>
      <c r="O1644" s="107"/>
      <c r="P1644" s="107"/>
    </row>
    <row r="1645" spans="1:16" x14ac:dyDescent="0.3">
      <c r="A1645" s="58" t="str">
        <f t="shared" si="104"/>
        <v>A127120</v>
      </c>
      <c r="B1645" s="59" t="str">
        <f t="shared" si="101"/>
        <v/>
      </c>
      <c r="C1645" s="59" t="str">
        <f t="shared" si="102"/>
        <v/>
      </c>
      <c r="D1645" s="109" t="str">
        <f t="shared" si="103"/>
        <v/>
      </c>
      <c r="E1645" s="106" t="s">
        <v>3273</v>
      </c>
      <c r="F1645" s="58" t="s">
        <v>3470</v>
      </c>
      <c r="G1645" s="106">
        <v>12</v>
      </c>
      <c r="H1645" s="107"/>
      <c r="I1645" s="107"/>
      <c r="J1645" s="107"/>
      <c r="K1645" s="107"/>
      <c r="L1645" s="107"/>
      <c r="M1645" s="107"/>
      <c r="N1645" s="107"/>
      <c r="O1645" s="107"/>
      <c r="P1645" s="107"/>
    </row>
    <row r="1646" spans="1:16" x14ac:dyDescent="0.3">
      <c r="A1646" s="58" t="str">
        <f t="shared" si="104"/>
        <v>A128660</v>
      </c>
      <c r="B1646" s="59" t="str">
        <f t="shared" si="101"/>
        <v/>
      </c>
      <c r="C1646" s="59" t="str">
        <f t="shared" si="102"/>
        <v/>
      </c>
      <c r="D1646" s="109" t="str">
        <f t="shared" si="103"/>
        <v/>
      </c>
      <c r="E1646" s="106" t="s">
        <v>3274</v>
      </c>
      <c r="F1646" s="58" t="s">
        <v>3471</v>
      </c>
      <c r="G1646" s="106">
        <v>12</v>
      </c>
      <c r="H1646" s="107"/>
      <c r="I1646" s="107"/>
      <c r="J1646" s="107"/>
      <c r="K1646" s="107"/>
      <c r="L1646" s="107"/>
      <c r="M1646" s="107"/>
      <c r="N1646" s="107"/>
      <c r="O1646" s="107"/>
      <c r="P1646" s="107"/>
    </row>
    <row r="1647" spans="1:16" x14ac:dyDescent="0.3">
      <c r="A1647" s="58" t="str">
        <f t="shared" si="104"/>
        <v>A128820</v>
      </c>
      <c r="B1647" s="59" t="str">
        <f t="shared" si="101"/>
        <v/>
      </c>
      <c r="C1647" s="59" t="str">
        <f t="shared" si="102"/>
        <v/>
      </c>
      <c r="D1647" s="109" t="str">
        <f t="shared" si="103"/>
        <v/>
      </c>
      <c r="E1647" s="106" t="s">
        <v>3275</v>
      </c>
      <c r="F1647" s="58" t="s">
        <v>3472</v>
      </c>
      <c r="G1647" s="106">
        <v>12</v>
      </c>
      <c r="H1647" s="107"/>
      <c r="I1647" s="107"/>
      <c r="J1647" s="107"/>
      <c r="K1647" s="107"/>
      <c r="L1647" s="107"/>
      <c r="M1647" s="107"/>
      <c r="N1647" s="107"/>
      <c r="O1647" s="107"/>
      <c r="P1647" s="107"/>
    </row>
    <row r="1648" spans="1:16" x14ac:dyDescent="0.3">
      <c r="A1648" s="58" t="str">
        <f t="shared" si="104"/>
        <v>A128940</v>
      </c>
      <c r="B1648" s="59">
        <f t="shared" si="101"/>
        <v>41495</v>
      </c>
      <c r="C1648" s="59" t="str">
        <f t="shared" si="102"/>
        <v/>
      </c>
      <c r="D1648" s="109" t="str">
        <f t="shared" si="103"/>
        <v/>
      </c>
      <c r="E1648" s="106" t="s">
        <v>3276</v>
      </c>
      <c r="F1648" s="58" t="s">
        <v>3473</v>
      </c>
      <c r="G1648" s="106">
        <v>12</v>
      </c>
      <c r="H1648" s="107">
        <v>20130809</v>
      </c>
      <c r="I1648" s="107"/>
      <c r="J1648" s="107"/>
      <c r="K1648" s="107"/>
      <c r="L1648" s="107"/>
      <c r="M1648" s="107"/>
      <c r="N1648" s="107"/>
      <c r="O1648" s="107"/>
      <c r="P1648" s="107"/>
    </row>
    <row r="1649" spans="1:16" x14ac:dyDescent="0.3">
      <c r="A1649" s="58" t="str">
        <f t="shared" si="104"/>
        <v>A129260</v>
      </c>
      <c r="B1649" s="59" t="str">
        <f t="shared" si="101"/>
        <v/>
      </c>
      <c r="C1649" s="59" t="str">
        <f t="shared" si="102"/>
        <v/>
      </c>
      <c r="D1649" s="109" t="str">
        <f t="shared" si="103"/>
        <v/>
      </c>
      <c r="E1649" s="106" t="s">
        <v>3277</v>
      </c>
      <c r="F1649" s="58" t="s">
        <v>3474</v>
      </c>
      <c r="G1649" s="106">
        <v>12</v>
      </c>
      <c r="H1649" s="107"/>
      <c r="I1649" s="107"/>
      <c r="J1649" s="107"/>
      <c r="K1649" s="107"/>
      <c r="L1649" s="107"/>
      <c r="M1649" s="107"/>
      <c r="N1649" s="107"/>
      <c r="O1649" s="107"/>
      <c r="P1649" s="107"/>
    </row>
    <row r="1650" spans="1:16" x14ac:dyDescent="0.3">
      <c r="A1650" s="58" t="str">
        <f t="shared" si="104"/>
        <v>A130580</v>
      </c>
      <c r="B1650" s="59" t="str">
        <f t="shared" si="101"/>
        <v/>
      </c>
      <c r="C1650" s="59" t="str">
        <f t="shared" si="102"/>
        <v/>
      </c>
      <c r="D1650" s="109" t="str">
        <f t="shared" si="103"/>
        <v/>
      </c>
      <c r="E1650" s="106" t="s">
        <v>3278</v>
      </c>
      <c r="F1650" s="58" t="s">
        <v>3475</v>
      </c>
      <c r="G1650" s="106">
        <v>12</v>
      </c>
      <c r="H1650" s="107"/>
      <c r="I1650" s="107"/>
      <c r="J1650" s="107"/>
      <c r="K1650" s="107"/>
      <c r="L1650" s="107"/>
      <c r="M1650" s="107"/>
      <c r="N1650" s="107"/>
      <c r="O1650" s="107"/>
      <c r="P1650" s="107"/>
    </row>
    <row r="1651" spans="1:16" x14ac:dyDescent="0.3">
      <c r="A1651" s="58" t="str">
        <f t="shared" si="104"/>
        <v>A130660</v>
      </c>
      <c r="B1651" s="59" t="str">
        <f t="shared" si="101"/>
        <v/>
      </c>
      <c r="C1651" s="59" t="str">
        <f t="shared" si="102"/>
        <v/>
      </c>
      <c r="D1651" s="109" t="str">
        <f t="shared" si="103"/>
        <v/>
      </c>
      <c r="E1651" s="106" t="s">
        <v>3279</v>
      </c>
      <c r="F1651" s="58" t="s">
        <v>3476</v>
      </c>
      <c r="G1651" s="106">
        <v>12</v>
      </c>
      <c r="H1651" s="107"/>
      <c r="I1651" s="107"/>
      <c r="J1651" s="107"/>
      <c r="K1651" s="107"/>
      <c r="L1651" s="107"/>
      <c r="M1651" s="107"/>
      <c r="N1651" s="107"/>
      <c r="O1651" s="107"/>
      <c r="P1651" s="107"/>
    </row>
    <row r="1652" spans="1:16" x14ac:dyDescent="0.3">
      <c r="A1652" s="58" t="str">
        <f t="shared" si="104"/>
        <v>A130740</v>
      </c>
      <c r="B1652" s="59" t="str">
        <f t="shared" si="101"/>
        <v/>
      </c>
      <c r="C1652" s="59" t="str">
        <f t="shared" si="102"/>
        <v/>
      </c>
      <c r="D1652" s="109" t="str">
        <f t="shared" si="103"/>
        <v/>
      </c>
      <c r="E1652" s="106" t="s">
        <v>3280</v>
      </c>
      <c r="F1652" s="58" t="s">
        <v>3477</v>
      </c>
      <c r="G1652" s="106">
        <v>12</v>
      </c>
      <c r="H1652" s="107"/>
      <c r="I1652" s="107"/>
      <c r="J1652" s="107"/>
      <c r="K1652" s="107"/>
      <c r="L1652" s="107"/>
      <c r="M1652" s="107"/>
      <c r="N1652" s="107"/>
      <c r="O1652" s="107"/>
      <c r="P1652" s="107"/>
    </row>
    <row r="1653" spans="1:16" x14ac:dyDescent="0.3">
      <c r="A1653" s="58" t="str">
        <f t="shared" si="104"/>
        <v>A130960</v>
      </c>
      <c r="B1653" s="59" t="str">
        <f t="shared" si="101"/>
        <v/>
      </c>
      <c r="C1653" s="59" t="str">
        <f t="shared" si="102"/>
        <v/>
      </c>
      <c r="D1653" s="109" t="str">
        <f t="shared" si="103"/>
        <v/>
      </c>
      <c r="E1653" s="106" t="s">
        <v>3281</v>
      </c>
      <c r="F1653" s="58" t="s">
        <v>3478</v>
      </c>
      <c r="G1653" s="106">
        <v>12</v>
      </c>
      <c r="H1653" s="107"/>
      <c r="I1653" s="107"/>
      <c r="J1653" s="107"/>
      <c r="K1653" s="107"/>
      <c r="L1653" s="107"/>
      <c r="M1653" s="107"/>
      <c r="N1653" s="107"/>
      <c r="O1653" s="107"/>
      <c r="P1653" s="107"/>
    </row>
    <row r="1654" spans="1:16" x14ac:dyDescent="0.3">
      <c r="A1654" s="58" t="str">
        <f t="shared" si="104"/>
        <v>A131090</v>
      </c>
      <c r="B1654" s="59" t="str">
        <f t="shared" si="101"/>
        <v/>
      </c>
      <c r="C1654" s="59" t="str">
        <f t="shared" si="102"/>
        <v/>
      </c>
      <c r="D1654" s="109" t="str">
        <f t="shared" si="103"/>
        <v/>
      </c>
      <c r="E1654" s="106" t="s">
        <v>3282</v>
      </c>
      <c r="F1654" s="58" t="s">
        <v>3479</v>
      </c>
      <c r="G1654" s="106">
        <v>12</v>
      </c>
      <c r="H1654" s="107"/>
      <c r="I1654" s="107"/>
      <c r="J1654" s="107"/>
      <c r="K1654" s="107"/>
      <c r="L1654" s="107"/>
      <c r="M1654" s="107"/>
      <c r="N1654" s="107"/>
      <c r="O1654" s="107"/>
      <c r="P1654" s="107"/>
    </row>
    <row r="1655" spans="1:16" x14ac:dyDescent="0.3">
      <c r="A1655" s="58" t="str">
        <f t="shared" si="104"/>
        <v>A131100</v>
      </c>
      <c r="B1655" s="59" t="str">
        <f t="shared" si="101"/>
        <v/>
      </c>
      <c r="C1655" s="59" t="str">
        <f t="shared" si="102"/>
        <v/>
      </c>
      <c r="D1655" s="109" t="str">
        <f t="shared" si="103"/>
        <v/>
      </c>
      <c r="E1655" s="106" t="s">
        <v>3283</v>
      </c>
      <c r="F1655" s="58" t="s">
        <v>3480</v>
      </c>
      <c r="G1655" s="106">
        <v>12</v>
      </c>
      <c r="H1655" s="107"/>
      <c r="I1655" s="107"/>
      <c r="J1655" s="107"/>
      <c r="K1655" s="107"/>
      <c r="L1655" s="107"/>
      <c r="M1655" s="107"/>
      <c r="N1655" s="107"/>
      <c r="O1655" s="107"/>
      <c r="P1655" s="107"/>
    </row>
    <row r="1656" spans="1:16" x14ac:dyDescent="0.3">
      <c r="A1656" s="58" t="str">
        <f t="shared" si="104"/>
        <v>A131180</v>
      </c>
      <c r="B1656" s="59" t="str">
        <f t="shared" si="101"/>
        <v/>
      </c>
      <c r="C1656" s="59" t="str">
        <f t="shared" si="102"/>
        <v/>
      </c>
      <c r="D1656" s="109" t="str">
        <f t="shared" si="103"/>
        <v/>
      </c>
      <c r="E1656" s="106" t="s">
        <v>3284</v>
      </c>
      <c r="F1656" s="58" t="s">
        <v>3481</v>
      </c>
      <c r="G1656" s="106">
        <v>12</v>
      </c>
      <c r="H1656" s="107"/>
      <c r="I1656" s="107"/>
      <c r="J1656" s="107"/>
      <c r="K1656" s="107"/>
      <c r="L1656" s="107"/>
      <c r="M1656" s="107"/>
      <c r="N1656" s="107"/>
      <c r="O1656" s="107"/>
      <c r="P1656" s="107"/>
    </row>
    <row r="1657" spans="1:16" x14ac:dyDescent="0.3">
      <c r="A1657" s="58" t="str">
        <f t="shared" si="104"/>
        <v>A131220</v>
      </c>
      <c r="B1657" s="59" t="str">
        <f t="shared" si="101"/>
        <v/>
      </c>
      <c r="C1657" s="59" t="str">
        <f t="shared" si="102"/>
        <v/>
      </c>
      <c r="D1657" s="109" t="str">
        <f t="shared" si="103"/>
        <v/>
      </c>
      <c r="E1657" s="106" t="s">
        <v>3285</v>
      </c>
      <c r="F1657" s="58" t="s">
        <v>3482</v>
      </c>
      <c r="G1657" s="106">
        <v>12</v>
      </c>
      <c r="H1657" s="107"/>
      <c r="I1657" s="107"/>
      <c r="J1657" s="107"/>
      <c r="K1657" s="107"/>
      <c r="L1657" s="107"/>
      <c r="M1657" s="107"/>
      <c r="N1657" s="107"/>
      <c r="O1657" s="107"/>
      <c r="P1657" s="107"/>
    </row>
    <row r="1658" spans="1:16" x14ac:dyDescent="0.3">
      <c r="A1658" s="58" t="str">
        <f t="shared" si="104"/>
        <v>A131290</v>
      </c>
      <c r="B1658" s="59" t="str">
        <f t="shared" si="101"/>
        <v/>
      </c>
      <c r="C1658" s="59" t="str">
        <f t="shared" si="102"/>
        <v/>
      </c>
      <c r="D1658" s="109" t="str">
        <f t="shared" si="103"/>
        <v/>
      </c>
      <c r="E1658" s="106" t="s">
        <v>3286</v>
      </c>
      <c r="F1658" s="58" t="s">
        <v>3483</v>
      </c>
      <c r="G1658" s="106">
        <v>12</v>
      </c>
      <c r="H1658" s="107"/>
      <c r="I1658" s="107"/>
      <c r="J1658" s="107"/>
      <c r="K1658" s="107"/>
      <c r="L1658" s="107"/>
      <c r="M1658" s="107"/>
      <c r="N1658" s="107"/>
      <c r="O1658" s="107"/>
      <c r="P1658" s="107"/>
    </row>
    <row r="1659" spans="1:16" x14ac:dyDescent="0.3">
      <c r="A1659" s="58" t="str">
        <f t="shared" si="104"/>
        <v>A131390</v>
      </c>
      <c r="B1659" s="59" t="str">
        <f t="shared" si="101"/>
        <v/>
      </c>
      <c r="C1659" s="59" t="str">
        <f t="shared" si="102"/>
        <v/>
      </c>
      <c r="D1659" s="109" t="str">
        <f t="shared" si="103"/>
        <v/>
      </c>
      <c r="E1659" s="106" t="s">
        <v>3287</v>
      </c>
      <c r="F1659" s="58" t="s">
        <v>3484</v>
      </c>
      <c r="G1659" s="106">
        <v>12</v>
      </c>
      <c r="H1659" s="107"/>
      <c r="I1659" s="107"/>
      <c r="J1659" s="107"/>
      <c r="K1659" s="107"/>
      <c r="L1659" s="107"/>
      <c r="M1659" s="107"/>
      <c r="N1659" s="107"/>
      <c r="O1659" s="107"/>
      <c r="P1659" s="107"/>
    </row>
    <row r="1660" spans="1:16" x14ac:dyDescent="0.3">
      <c r="A1660" s="58" t="str">
        <f t="shared" si="104"/>
        <v>A131400</v>
      </c>
      <c r="B1660" s="59" t="str">
        <f t="shared" si="101"/>
        <v/>
      </c>
      <c r="C1660" s="59" t="str">
        <f t="shared" si="102"/>
        <v/>
      </c>
      <c r="D1660" s="109" t="str">
        <f t="shared" si="103"/>
        <v/>
      </c>
      <c r="E1660" s="106" t="s">
        <v>3288</v>
      </c>
      <c r="F1660" s="58" t="s">
        <v>3485</v>
      </c>
      <c r="G1660" s="106">
        <v>12</v>
      </c>
      <c r="H1660" s="107"/>
      <c r="I1660" s="107"/>
      <c r="J1660" s="107"/>
      <c r="K1660" s="107"/>
      <c r="L1660" s="107"/>
      <c r="M1660" s="107"/>
      <c r="N1660" s="107"/>
      <c r="O1660" s="107"/>
      <c r="P1660" s="107"/>
    </row>
    <row r="1661" spans="1:16" x14ac:dyDescent="0.3">
      <c r="A1661" s="58" t="str">
        <f t="shared" si="104"/>
        <v>A134060</v>
      </c>
      <c r="B1661" s="59" t="str">
        <f t="shared" si="101"/>
        <v/>
      </c>
      <c r="C1661" s="59" t="str">
        <f t="shared" si="102"/>
        <v/>
      </c>
      <c r="D1661" s="109" t="str">
        <f t="shared" si="103"/>
        <v/>
      </c>
      <c r="E1661" s="106" t="s">
        <v>3289</v>
      </c>
      <c r="F1661" s="58" t="s">
        <v>3486</v>
      </c>
      <c r="G1661" s="106">
        <v>12</v>
      </c>
      <c r="H1661" s="107"/>
      <c r="I1661" s="107"/>
      <c r="J1661" s="107"/>
      <c r="K1661" s="107"/>
      <c r="L1661" s="107"/>
      <c r="M1661" s="107"/>
      <c r="N1661" s="107"/>
      <c r="O1661" s="107"/>
      <c r="P1661" s="107"/>
    </row>
    <row r="1662" spans="1:16" x14ac:dyDescent="0.3">
      <c r="A1662" s="58" t="str">
        <f t="shared" si="104"/>
        <v>A134380</v>
      </c>
      <c r="B1662" s="59">
        <f t="shared" si="101"/>
        <v>41467</v>
      </c>
      <c r="C1662" s="59">
        <f t="shared" si="102"/>
        <v>41467</v>
      </c>
      <c r="D1662" s="109">
        <f t="shared" si="103"/>
        <v>3.22</v>
      </c>
      <c r="E1662" s="106" t="s">
        <v>3290</v>
      </c>
      <c r="F1662" s="58" t="s">
        <v>3487</v>
      </c>
      <c r="G1662" s="106">
        <v>12</v>
      </c>
      <c r="H1662" s="107">
        <v>20130712</v>
      </c>
      <c r="I1662" s="107">
        <v>20130712</v>
      </c>
      <c r="J1662" s="107">
        <v>3.22</v>
      </c>
      <c r="K1662" s="107"/>
      <c r="L1662" s="107"/>
      <c r="M1662" s="107"/>
      <c r="N1662" s="107"/>
      <c r="O1662" s="107"/>
      <c r="P1662" s="107"/>
    </row>
    <row r="1663" spans="1:16" x14ac:dyDescent="0.3">
      <c r="A1663" s="58" t="str">
        <f t="shared" si="104"/>
        <v>A134780</v>
      </c>
      <c r="B1663" s="59" t="str">
        <f t="shared" si="101"/>
        <v/>
      </c>
      <c r="C1663" s="59" t="str">
        <f t="shared" si="102"/>
        <v/>
      </c>
      <c r="D1663" s="109" t="str">
        <f t="shared" si="103"/>
        <v/>
      </c>
      <c r="E1663" s="106" t="s">
        <v>3291</v>
      </c>
      <c r="F1663" s="58" t="s">
        <v>3488</v>
      </c>
      <c r="G1663" s="106">
        <v>12</v>
      </c>
      <c r="H1663" s="107"/>
      <c r="I1663" s="107"/>
      <c r="J1663" s="107"/>
      <c r="K1663" s="107"/>
      <c r="L1663" s="107"/>
      <c r="M1663" s="107"/>
      <c r="N1663" s="107"/>
      <c r="O1663" s="107"/>
      <c r="P1663" s="107"/>
    </row>
    <row r="1664" spans="1:16" x14ac:dyDescent="0.3">
      <c r="A1664" s="58" t="str">
        <f t="shared" si="104"/>
        <v>A134790</v>
      </c>
      <c r="B1664" s="59" t="str">
        <f t="shared" si="101"/>
        <v/>
      </c>
      <c r="C1664" s="59" t="str">
        <f t="shared" si="102"/>
        <v/>
      </c>
      <c r="D1664" s="109" t="str">
        <f t="shared" si="103"/>
        <v/>
      </c>
      <c r="E1664" s="106" t="s">
        <v>3292</v>
      </c>
      <c r="F1664" s="58" t="s">
        <v>3489</v>
      </c>
      <c r="G1664" s="106">
        <v>12</v>
      </c>
      <c r="H1664" s="107"/>
      <c r="I1664" s="107"/>
      <c r="J1664" s="107"/>
      <c r="K1664" s="107"/>
      <c r="L1664" s="107"/>
      <c r="M1664" s="107"/>
      <c r="N1664" s="107"/>
      <c r="O1664" s="107"/>
      <c r="P1664" s="107"/>
    </row>
    <row r="1665" spans="1:16" x14ac:dyDescent="0.3">
      <c r="A1665" s="58" t="str">
        <f t="shared" si="104"/>
        <v>A136480</v>
      </c>
      <c r="B1665" s="59" t="str">
        <f t="shared" si="101"/>
        <v/>
      </c>
      <c r="C1665" s="59" t="str">
        <f t="shared" si="102"/>
        <v/>
      </c>
      <c r="D1665" s="109" t="str">
        <f t="shared" si="103"/>
        <v/>
      </c>
      <c r="E1665" s="106" t="s">
        <v>3293</v>
      </c>
      <c r="F1665" s="58" t="s">
        <v>3490</v>
      </c>
      <c r="G1665" s="106">
        <v>12</v>
      </c>
      <c r="H1665" s="107"/>
      <c r="I1665" s="107"/>
      <c r="J1665" s="107"/>
      <c r="K1665" s="107"/>
      <c r="L1665" s="107"/>
      <c r="M1665" s="107"/>
      <c r="N1665" s="107"/>
      <c r="O1665" s="107"/>
      <c r="P1665" s="107"/>
    </row>
    <row r="1666" spans="1:16" x14ac:dyDescent="0.3">
      <c r="A1666" s="58" t="str">
        <f t="shared" si="104"/>
        <v>A136490</v>
      </c>
      <c r="B1666" s="59" t="str">
        <f t="shared" si="101"/>
        <v/>
      </c>
      <c r="C1666" s="59" t="str">
        <f t="shared" si="102"/>
        <v/>
      </c>
      <c r="D1666" s="109" t="str">
        <f t="shared" si="103"/>
        <v/>
      </c>
      <c r="E1666" s="106" t="s">
        <v>3294</v>
      </c>
      <c r="F1666" s="58" t="s">
        <v>3491</v>
      </c>
      <c r="G1666" s="106">
        <v>12</v>
      </c>
      <c r="H1666" s="107"/>
      <c r="I1666" s="107"/>
      <c r="J1666" s="107"/>
      <c r="K1666" s="107"/>
      <c r="L1666" s="107"/>
      <c r="M1666" s="107"/>
      <c r="N1666" s="107"/>
      <c r="O1666" s="107"/>
      <c r="P1666" s="107"/>
    </row>
    <row r="1667" spans="1:16" x14ac:dyDescent="0.3">
      <c r="A1667" s="58" t="str">
        <f t="shared" si="104"/>
        <v>A136510</v>
      </c>
      <c r="B1667" s="59" t="str">
        <f t="shared" si="101"/>
        <v/>
      </c>
      <c r="C1667" s="59" t="str">
        <f t="shared" si="102"/>
        <v/>
      </c>
      <c r="D1667" s="109" t="str">
        <f t="shared" si="103"/>
        <v/>
      </c>
      <c r="E1667" s="106" t="s">
        <v>3295</v>
      </c>
      <c r="F1667" s="58" t="s">
        <v>3492</v>
      </c>
      <c r="G1667" s="106">
        <v>12</v>
      </c>
      <c r="H1667" s="107"/>
      <c r="I1667" s="107"/>
      <c r="J1667" s="107"/>
      <c r="K1667" s="107"/>
      <c r="L1667" s="107"/>
      <c r="M1667" s="107"/>
      <c r="N1667" s="107"/>
      <c r="O1667" s="107"/>
      <c r="P1667" s="107"/>
    </row>
    <row r="1668" spans="1:16" x14ac:dyDescent="0.3">
      <c r="A1668" s="58" t="str">
        <f t="shared" si="104"/>
        <v>A136540</v>
      </c>
      <c r="B1668" s="59">
        <f t="shared" si="101"/>
        <v>41484</v>
      </c>
      <c r="C1668" s="59">
        <f t="shared" si="102"/>
        <v>41484</v>
      </c>
      <c r="D1668" s="109">
        <f t="shared" si="103"/>
        <v>3.3</v>
      </c>
      <c r="E1668" s="106" t="s">
        <v>3296</v>
      </c>
      <c r="F1668" s="58" t="s">
        <v>3493</v>
      </c>
      <c r="G1668" s="106">
        <v>12</v>
      </c>
      <c r="H1668" s="107">
        <v>20130729</v>
      </c>
      <c r="I1668" s="107">
        <v>20130729</v>
      </c>
      <c r="J1668" s="107">
        <v>3.3</v>
      </c>
      <c r="K1668" s="107"/>
      <c r="L1668" s="107"/>
      <c r="M1668" s="107"/>
      <c r="N1668" s="107"/>
      <c r="O1668" s="107"/>
      <c r="P1668" s="107"/>
    </row>
    <row r="1669" spans="1:16" x14ac:dyDescent="0.3">
      <c r="A1669" s="58" t="str">
        <f t="shared" si="104"/>
        <v>A137400</v>
      </c>
      <c r="B1669" s="59" t="str">
        <f t="shared" si="101"/>
        <v/>
      </c>
      <c r="C1669" s="59" t="str">
        <f t="shared" si="102"/>
        <v/>
      </c>
      <c r="D1669" s="109" t="str">
        <f t="shared" si="103"/>
        <v/>
      </c>
      <c r="E1669" s="106" t="s">
        <v>3297</v>
      </c>
      <c r="F1669" s="58" t="s">
        <v>3494</v>
      </c>
      <c r="G1669" s="106">
        <v>12</v>
      </c>
      <c r="H1669" s="107"/>
      <c r="I1669" s="107"/>
      <c r="J1669" s="107"/>
      <c r="K1669" s="107"/>
      <c r="L1669" s="107"/>
      <c r="M1669" s="107"/>
      <c r="N1669" s="107"/>
      <c r="O1669" s="107"/>
      <c r="P1669" s="107"/>
    </row>
    <row r="1670" spans="1:16" x14ac:dyDescent="0.3">
      <c r="A1670" s="58" t="str">
        <f t="shared" si="104"/>
        <v>A137940</v>
      </c>
      <c r="B1670" s="59" t="str">
        <f t="shared" si="101"/>
        <v/>
      </c>
      <c r="C1670" s="59" t="str">
        <f t="shared" si="102"/>
        <v/>
      </c>
      <c r="D1670" s="109" t="str">
        <f t="shared" si="103"/>
        <v/>
      </c>
      <c r="E1670" s="106" t="s">
        <v>3298</v>
      </c>
      <c r="F1670" s="58" t="s">
        <v>3495</v>
      </c>
      <c r="G1670" s="106">
        <v>12</v>
      </c>
      <c r="H1670" s="107"/>
      <c r="I1670" s="107"/>
      <c r="J1670" s="107"/>
      <c r="K1670" s="107"/>
      <c r="L1670" s="107"/>
      <c r="M1670" s="107"/>
      <c r="N1670" s="107"/>
      <c r="O1670" s="107"/>
      <c r="P1670" s="107"/>
    </row>
    <row r="1671" spans="1:16" x14ac:dyDescent="0.3">
      <c r="A1671" s="58" t="str">
        <f t="shared" si="104"/>
        <v>A137950</v>
      </c>
      <c r="B1671" s="59" t="str">
        <f t="shared" si="101"/>
        <v/>
      </c>
      <c r="C1671" s="59" t="str">
        <f t="shared" si="102"/>
        <v/>
      </c>
      <c r="D1671" s="109" t="str">
        <f t="shared" si="103"/>
        <v/>
      </c>
      <c r="E1671" s="106" t="s">
        <v>3299</v>
      </c>
      <c r="F1671" s="58" t="s">
        <v>3496</v>
      </c>
      <c r="G1671" s="106">
        <v>12</v>
      </c>
      <c r="H1671" s="107"/>
      <c r="I1671" s="107"/>
      <c r="J1671" s="107"/>
      <c r="K1671" s="107"/>
      <c r="L1671" s="107"/>
      <c r="M1671" s="107"/>
      <c r="N1671" s="107"/>
      <c r="O1671" s="107"/>
      <c r="P1671" s="107"/>
    </row>
    <row r="1672" spans="1:16" x14ac:dyDescent="0.3">
      <c r="A1672" s="58" t="str">
        <f t="shared" si="104"/>
        <v>A138040</v>
      </c>
      <c r="B1672" s="59" t="str">
        <f t="shared" si="101"/>
        <v/>
      </c>
      <c r="C1672" s="59" t="str">
        <f t="shared" si="102"/>
        <v/>
      </c>
      <c r="D1672" s="109" t="str">
        <f t="shared" si="103"/>
        <v/>
      </c>
      <c r="E1672" s="106" t="s">
        <v>3300</v>
      </c>
      <c r="F1672" s="58" t="s">
        <v>3497</v>
      </c>
      <c r="G1672" s="106">
        <v>3</v>
      </c>
      <c r="H1672" s="107"/>
      <c r="I1672" s="107"/>
      <c r="J1672" s="107"/>
      <c r="K1672" s="107"/>
      <c r="L1672" s="107"/>
      <c r="M1672" s="107"/>
      <c r="N1672" s="107"/>
      <c r="O1672" s="107"/>
      <c r="P1672" s="107"/>
    </row>
    <row r="1673" spans="1:16" x14ac:dyDescent="0.3">
      <c r="A1673" s="58" t="str">
        <f t="shared" si="104"/>
        <v>A138070</v>
      </c>
      <c r="B1673" s="59" t="str">
        <f t="shared" si="101"/>
        <v/>
      </c>
      <c r="C1673" s="59" t="str">
        <f t="shared" si="102"/>
        <v/>
      </c>
      <c r="D1673" s="109" t="str">
        <f t="shared" si="103"/>
        <v/>
      </c>
      <c r="E1673" s="106" t="s">
        <v>3301</v>
      </c>
      <c r="F1673" s="58" t="s">
        <v>3498</v>
      </c>
      <c r="G1673" s="106">
        <v>12</v>
      </c>
      <c r="H1673" s="107"/>
      <c r="I1673" s="107"/>
      <c r="J1673" s="107"/>
      <c r="K1673" s="107"/>
      <c r="L1673" s="107"/>
      <c r="M1673" s="107"/>
      <c r="N1673" s="107"/>
      <c r="O1673" s="107"/>
      <c r="P1673" s="107"/>
    </row>
    <row r="1674" spans="1:16" x14ac:dyDescent="0.3">
      <c r="A1674" s="58" t="str">
        <f t="shared" si="104"/>
        <v>A138490</v>
      </c>
      <c r="B1674" s="59" t="str">
        <f t="shared" si="101"/>
        <v/>
      </c>
      <c r="C1674" s="59" t="str">
        <f t="shared" si="102"/>
        <v/>
      </c>
      <c r="D1674" s="109" t="str">
        <f t="shared" si="103"/>
        <v/>
      </c>
      <c r="E1674" s="106" t="s">
        <v>3302</v>
      </c>
      <c r="F1674" s="58" t="s">
        <v>3499</v>
      </c>
      <c r="G1674" s="106">
        <v>12</v>
      </c>
      <c r="H1674" s="107"/>
      <c r="I1674" s="107"/>
      <c r="J1674" s="107"/>
      <c r="K1674" s="107"/>
      <c r="L1674" s="107"/>
      <c r="M1674" s="107"/>
      <c r="N1674" s="107"/>
      <c r="O1674" s="107"/>
      <c r="P1674" s="107"/>
    </row>
    <row r="1675" spans="1:16" x14ac:dyDescent="0.3">
      <c r="A1675" s="58" t="str">
        <f t="shared" si="104"/>
        <v>A138610</v>
      </c>
      <c r="B1675" s="59" t="str">
        <f t="shared" si="101"/>
        <v/>
      </c>
      <c r="C1675" s="59" t="str">
        <f t="shared" si="102"/>
        <v/>
      </c>
      <c r="D1675" s="109" t="str">
        <f t="shared" si="103"/>
        <v/>
      </c>
      <c r="E1675" s="106" t="s">
        <v>3303</v>
      </c>
      <c r="F1675" s="58" t="s">
        <v>3500</v>
      </c>
      <c r="G1675" s="106">
        <v>12</v>
      </c>
      <c r="H1675" s="107"/>
      <c r="I1675" s="107"/>
      <c r="J1675" s="107"/>
      <c r="K1675" s="107"/>
      <c r="L1675" s="107"/>
      <c r="M1675" s="107"/>
      <c r="N1675" s="107"/>
      <c r="O1675" s="107"/>
      <c r="P1675" s="107"/>
    </row>
    <row r="1676" spans="1:16" x14ac:dyDescent="0.3">
      <c r="A1676" s="58" t="str">
        <f t="shared" si="104"/>
        <v>A138690</v>
      </c>
      <c r="B1676" s="59" t="str">
        <f t="shared" si="101"/>
        <v/>
      </c>
      <c r="C1676" s="59" t="str">
        <f t="shared" si="102"/>
        <v/>
      </c>
      <c r="D1676" s="109" t="str">
        <f t="shared" si="103"/>
        <v/>
      </c>
      <c r="E1676" s="106" t="s">
        <v>3304</v>
      </c>
      <c r="F1676" s="58" t="s">
        <v>3501</v>
      </c>
      <c r="G1676" s="106">
        <v>12</v>
      </c>
      <c r="H1676" s="107"/>
      <c r="I1676" s="107"/>
      <c r="J1676" s="107"/>
      <c r="K1676" s="107"/>
      <c r="L1676" s="107"/>
      <c r="M1676" s="107"/>
      <c r="N1676" s="107"/>
      <c r="O1676" s="107"/>
      <c r="P1676" s="107"/>
    </row>
    <row r="1677" spans="1:16" x14ac:dyDescent="0.3">
      <c r="A1677" s="58" t="str">
        <f t="shared" si="104"/>
        <v>A138930</v>
      </c>
      <c r="B1677" s="59">
        <f t="shared" si="101"/>
        <v>41488</v>
      </c>
      <c r="C1677" s="59" t="str">
        <f t="shared" si="102"/>
        <v/>
      </c>
      <c r="D1677" s="109" t="str">
        <f t="shared" si="103"/>
        <v/>
      </c>
      <c r="E1677" s="106" t="s">
        <v>3305</v>
      </c>
      <c r="F1677" s="58" t="s">
        <v>3502</v>
      </c>
      <c r="G1677" s="106">
        <v>12</v>
      </c>
      <c r="H1677" s="107">
        <v>20130802</v>
      </c>
      <c r="I1677" s="107"/>
      <c r="J1677" s="107"/>
      <c r="K1677" s="107"/>
      <c r="L1677" s="107"/>
      <c r="M1677" s="107"/>
      <c r="N1677" s="107"/>
      <c r="O1677" s="107"/>
      <c r="P1677" s="107"/>
    </row>
    <row r="1678" spans="1:16" x14ac:dyDescent="0.3">
      <c r="A1678" s="58" t="str">
        <f t="shared" si="104"/>
        <v>A139050</v>
      </c>
      <c r="B1678" s="59" t="str">
        <f t="shared" si="101"/>
        <v/>
      </c>
      <c r="C1678" s="59" t="str">
        <f t="shared" si="102"/>
        <v/>
      </c>
      <c r="D1678" s="109" t="str">
        <f t="shared" si="103"/>
        <v/>
      </c>
      <c r="E1678" s="106" t="s">
        <v>3306</v>
      </c>
      <c r="F1678" s="58" t="s">
        <v>3503</v>
      </c>
      <c r="G1678" s="106">
        <v>12</v>
      </c>
      <c r="H1678" s="107"/>
      <c r="I1678" s="107"/>
      <c r="J1678" s="107"/>
      <c r="K1678" s="107"/>
      <c r="L1678" s="107"/>
      <c r="M1678" s="107"/>
      <c r="N1678" s="107"/>
      <c r="O1678" s="107"/>
      <c r="P1678" s="107"/>
    </row>
    <row r="1679" spans="1:16" x14ac:dyDescent="0.3">
      <c r="A1679" s="58" t="str">
        <f t="shared" si="104"/>
        <v>A139130</v>
      </c>
      <c r="B1679" s="59">
        <f t="shared" ref="B1679:B1742" si="105">IFERROR(IF(ISNUMBER(H1679),DATE(LEFT(H1679,4),MID(H1679,5,2),RIGHT(H1679,2)),NA()),"")</f>
        <v>41488</v>
      </c>
      <c r="C1679" s="59" t="str">
        <f t="shared" ref="C1679:C1742" si="106">IFERROR(IF(ISNUMBER(I1679),DATE(LEFT(I1679,4),MID(I1679,5,2),RIGHT(I1679,2)),NA()),"")</f>
        <v/>
      </c>
      <c r="D1679" s="109" t="str">
        <f t="shared" ref="D1679:D1742" si="107">IFERROR(IF(ISNUMBER(J1679),J1679,NA()),"")</f>
        <v/>
      </c>
      <c r="E1679" s="106" t="s">
        <v>3307</v>
      </c>
      <c r="F1679" s="58" t="s">
        <v>3504</v>
      </c>
      <c r="G1679" s="106">
        <v>12</v>
      </c>
      <c r="H1679" s="107">
        <v>20130802</v>
      </c>
      <c r="I1679" s="107"/>
      <c r="J1679" s="107"/>
      <c r="K1679" s="107"/>
      <c r="L1679" s="107"/>
      <c r="M1679" s="107"/>
      <c r="N1679" s="107"/>
      <c r="O1679" s="107"/>
      <c r="P1679" s="107"/>
    </row>
    <row r="1680" spans="1:16" x14ac:dyDescent="0.3">
      <c r="A1680" s="58" t="str">
        <f t="shared" si="104"/>
        <v>A139480</v>
      </c>
      <c r="B1680" s="59" t="str">
        <f t="shared" si="105"/>
        <v/>
      </c>
      <c r="C1680" s="59" t="str">
        <f t="shared" si="106"/>
        <v/>
      </c>
      <c r="D1680" s="109" t="str">
        <f t="shared" si="107"/>
        <v/>
      </c>
      <c r="E1680" s="106" t="s">
        <v>3308</v>
      </c>
      <c r="F1680" s="58" t="s">
        <v>3505</v>
      </c>
      <c r="G1680" s="106">
        <v>12</v>
      </c>
      <c r="H1680" s="107"/>
      <c r="I1680" s="107"/>
      <c r="J1680" s="107"/>
      <c r="K1680" s="107"/>
      <c r="L1680" s="107"/>
      <c r="M1680" s="107"/>
      <c r="N1680" s="107"/>
      <c r="O1680" s="107"/>
      <c r="P1680" s="107"/>
    </row>
    <row r="1681" spans="1:16" x14ac:dyDescent="0.3">
      <c r="A1681" s="58" t="str">
        <f t="shared" si="104"/>
        <v>A139670</v>
      </c>
      <c r="B1681" s="59" t="str">
        <f t="shared" si="105"/>
        <v/>
      </c>
      <c r="C1681" s="59" t="str">
        <f t="shared" si="106"/>
        <v/>
      </c>
      <c r="D1681" s="109" t="str">
        <f t="shared" si="107"/>
        <v/>
      </c>
      <c r="E1681" s="106" t="s">
        <v>3309</v>
      </c>
      <c r="F1681" s="58" t="s">
        <v>3506</v>
      </c>
      <c r="G1681" s="106">
        <v>12</v>
      </c>
      <c r="H1681" s="107"/>
      <c r="I1681" s="107"/>
      <c r="J1681" s="107"/>
      <c r="K1681" s="107"/>
      <c r="L1681" s="107"/>
      <c r="M1681" s="107"/>
      <c r="N1681" s="107"/>
      <c r="O1681" s="107"/>
      <c r="P1681" s="107"/>
    </row>
    <row r="1682" spans="1:16" x14ac:dyDescent="0.3">
      <c r="A1682" s="58" t="str">
        <f t="shared" si="104"/>
        <v>A140410</v>
      </c>
      <c r="B1682" s="59" t="str">
        <f t="shared" si="105"/>
        <v/>
      </c>
      <c r="C1682" s="59" t="str">
        <f t="shared" si="106"/>
        <v/>
      </c>
      <c r="D1682" s="109" t="str">
        <f t="shared" si="107"/>
        <v/>
      </c>
      <c r="E1682" s="106" t="s">
        <v>3310</v>
      </c>
      <c r="F1682" s="58" t="s">
        <v>3657</v>
      </c>
      <c r="G1682" s="106">
        <v>12</v>
      </c>
      <c r="H1682" s="107"/>
      <c r="I1682" s="107"/>
      <c r="J1682" s="107"/>
      <c r="K1682" s="107"/>
      <c r="L1682" s="107"/>
      <c r="M1682" s="107"/>
      <c r="N1682" s="107"/>
      <c r="O1682" s="107"/>
      <c r="P1682" s="107"/>
    </row>
    <row r="1683" spans="1:16" x14ac:dyDescent="0.3">
      <c r="A1683" s="58" t="str">
        <f t="shared" si="104"/>
        <v>A141000</v>
      </c>
      <c r="B1683" s="59" t="str">
        <f t="shared" si="105"/>
        <v/>
      </c>
      <c r="C1683" s="59" t="str">
        <f t="shared" si="106"/>
        <v/>
      </c>
      <c r="D1683" s="109" t="str">
        <f t="shared" si="107"/>
        <v/>
      </c>
      <c r="E1683" s="106" t="s">
        <v>3311</v>
      </c>
      <c r="F1683" s="58" t="s">
        <v>3507</v>
      </c>
      <c r="G1683" s="106">
        <v>12</v>
      </c>
      <c r="H1683" s="107"/>
      <c r="I1683" s="107"/>
      <c r="J1683" s="107"/>
      <c r="K1683" s="107"/>
      <c r="L1683" s="107"/>
      <c r="M1683" s="107"/>
      <c r="N1683" s="107"/>
      <c r="O1683" s="107"/>
      <c r="P1683" s="107"/>
    </row>
    <row r="1684" spans="1:16" x14ac:dyDescent="0.3">
      <c r="A1684" s="58" t="str">
        <f t="shared" si="104"/>
        <v>A141020</v>
      </c>
      <c r="B1684" s="59" t="str">
        <f t="shared" si="105"/>
        <v/>
      </c>
      <c r="C1684" s="59" t="str">
        <f t="shared" si="106"/>
        <v/>
      </c>
      <c r="D1684" s="109" t="str">
        <f t="shared" si="107"/>
        <v/>
      </c>
      <c r="E1684" s="106" t="s">
        <v>3606</v>
      </c>
      <c r="F1684" s="58" t="s">
        <v>3614</v>
      </c>
      <c r="G1684" s="106">
        <v>12</v>
      </c>
      <c r="H1684" s="107"/>
      <c r="I1684" s="107"/>
      <c r="J1684" s="107"/>
      <c r="K1684" s="107"/>
      <c r="L1684" s="107"/>
      <c r="M1684" s="107"/>
      <c r="N1684" s="107"/>
      <c r="O1684" s="107"/>
      <c r="P1684" s="107"/>
    </row>
    <row r="1685" spans="1:16" x14ac:dyDescent="0.3">
      <c r="A1685" s="58" t="str">
        <f t="shared" si="104"/>
        <v>A141070</v>
      </c>
      <c r="B1685" s="59" t="str">
        <f t="shared" si="105"/>
        <v/>
      </c>
      <c r="C1685" s="59" t="str">
        <f t="shared" si="106"/>
        <v/>
      </c>
      <c r="D1685" s="109" t="str">
        <f t="shared" si="107"/>
        <v/>
      </c>
      <c r="E1685" s="106" t="s">
        <v>3544</v>
      </c>
      <c r="F1685" s="58" t="s">
        <v>3556</v>
      </c>
      <c r="G1685" s="106">
        <v>12</v>
      </c>
      <c r="H1685" s="107"/>
      <c r="I1685" s="107"/>
      <c r="J1685" s="107"/>
      <c r="K1685" s="107"/>
      <c r="L1685" s="107"/>
      <c r="M1685" s="107"/>
      <c r="N1685" s="107"/>
      <c r="O1685" s="107"/>
      <c r="P1685" s="107"/>
    </row>
    <row r="1686" spans="1:16" x14ac:dyDescent="0.3">
      <c r="A1686" s="58" t="str">
        <f t="shared" ref="A1686:A1749" si="108">E1686</f>
        <v>A141080</v>
      </c>
      <c r="B1686" s="59" t="str">
        <f t="shared" si="105"/>
        <v/>
      </c>
      <c r="C1686" s="59" t="str">
        <f t="shared" si="106"/>
        <v/>
      </c>
      <c r="D1686" s="109" t="str">
        <f t="shared" si="107"/>
        <v/>
      </c>
      <c r="E1686" s="106" t="s">
        <v>3660</v>
      </c>
      <c r="F1686" s="58" t="s">
        <v>3668</v>
      </c>
      <c r="G1686" s="106">
        <v>12</v>
      </c>
      <c r="H1686" s="107"/>
      <c r="I1686" s="107"/>
      <c r="J1686" s="107"/>
      <c r="K1686" s="107"/>
      <c r="L1686" s="107"/>
      <c r="M1686" s="107"/>
      <c r="N1686" s="107"/>
      <c r="O1686" s="107"/>
      <c r="P1686" s="107"/>
    </row>
    <row r="1687" spans="1:16" x14ac:dyDescent="0.3">
      <c r="A1687" s="58" t="str">
        <f t="shared" si="108"/>
        <v>A143160</v>
      </c>
      <c r="B1687" s="59" t="str">
        <f t="shared" si="105"/>
        <v/>
      </c>
      <c r="C1687" s="59" t="str">
        <f t="shared" si="106"/>
        <v/>
      </c>
      <c r="D1687" s="109" t="str">
        <f t="shared" si="107"/>
        <v/>
      </c>
      <c r="E1687" s="106" t="s">
        <v>3312</v>
      </c>
      <c r="F1687" s="58" t="s">
        <v>3508</v>
      </c>
      <c r="G1687" s="106">
        <v>12</v>
      </c>
      <c r="H1687" s="107"/>
      <c r="I1687" s="107"/>
      <c r="J1687" s="107"/>
      <c r="K1687" s="107"/>
      <c r="L1687" s="107"/>
      <c r="M1687" s="107"/>
      <c r="N1687" s="107"/>
      <c r="O1687" s="107"/>
      <c r="P1687" s="107"/>
    </row>
    <row r="1688" spans="1:16" x14ac:dyDescent="0.3">
      <c r="A1688" s="58" t="str">
        <f t="shared" si="108"/>
        <v>A143240</v>
      </c>
      <c r="B1688" s="59" t="str">
        <f t="shared" si="105"/>
        <v/>
      </c>
      <c r="C1688" s="59" t="str">
        <f t="shared" si="106"/>
        <v/>
      </c>
      <c r="D1688" s="109" t="str">
        <f t="shared" si="107"/>
        <v/>
      </c>
      <c r="E1688" s="106" t="s">
        <v>3313</v>
      </c>
      <c r="F1688" s="58" t="s">
        <v>3509</v>
      </c>
      <c r="G1688" s="106">
        <v>12</v>
      </c>
      <c r="H1688" s="107"/>
      <c r="I1688" s="107"/>
      <c r="J1688" s="107"/>
      <c r="K1688" s="107"/>
      <c r="L1688" s="107"/>
      <c r="M1688" s="107"/>
      <c r="N1688" s="107"/>
      <c r="O1688" s="107"/>
      <c r="P1688" s="107"/>
    </row>
    <row r="1689" spans="1:16" x14ac:dyDescent="0.3">
      <c r="A1689" s="58" t="str">
        <f t="shared" si="108"/>
        <v>A144620</v>
      </c>
      <c r="B1689" s="59" t="str">
        <f t="shared" si="105"/>
        <v/>
      </c>
      <c r="C1689" s="59" t="str">
        <f t="shared" si="106"/>
        <v/>
      </c>
      <c r="D1689" s="109" t="str">
        <f t="shared" si="107"/>
        <v/>
      </c>
      <c r="E1689" s="106" t="s">
        <v>3314</v>
      </c>
      <c r="F1689" s="58" t="s">
        <v>3510</v>
      </c>
      <c r="G1689" s="106">
        <v>12</v>
      </c>
      <c r="H1689" s="107"/>
      <c r="I1689" s="107"/>
      <c r="J1689" s="107"/>
      <c r="K1689" s="107"/>
      <c r="L1689" s="107"/>
      <c r="M1689" s="107"/>
      <c r="N1689" s="107"/>
      <c r="O1689" s="107"/>
      <c r="P1689" s="107"/>
    </row>
    <row r="1690" spans="1:16" x14ac:dyDescent="0.3">
      <c r="A1690" s="58" t="str">
        <f t="shared" si="108"/>
        <v>A145990</v>
      </c>
      <c r="B1690" s="59" t="str">
        <f t="shared" si="105"/>
        <v/>
      </c>
      <c r="C1690" s="59" t="str">
        <f t="shared" si="106"/>
        <v/>
      </c>
      <c r="D1690" s="109" t="str">
        <f t="shared" si="107"/>
        <v/>
      </c>
      <c r="E1690" s="106" t="s">
        <v>3315</v>
      </c>
      <c r="F1690" s="58" t="s">
        <v>3511</v>
      </c>
      <c r="G1690" s="106">
        <v>12</v>
      </c>
      <c r="H1690" s="107"/>
      <c r="I1690" s="107"/>
      <c r="J1690" s="107"/>
      <c r="K1690" s="107"/>
      <c r="L1690" s="107"/>
      <c r="M1690" s="107"/>
      <c r="N1690" s="107"/>
      <c r="O1690" s="107"/>
      <c r="P1690" s="107"/>
    </row>
    <row r="1691" spans="1:16" x14ac:dyDescent="0.3">
      <c r="A1691" s="58" t="str">
        <f t="shared" si="108"/>
        <v>A147830</v>
      </c>
      <c r="B1691" s="59" t="str">
        <f t="shared" si="105"/>
        <v/>
      </c>
      <c r="C1691" s="59" t="str">
        <f t="shared" si="106"/>
        <v/>
      </c>
      <c r="D1691" s="109" t="str">
        <f t="shared" si="107"/>
        <v/>
      </c>
      <c r="E1691" s="106" t="s">
        <v>3316</v>
      </c>
      <c r="F1691" s="58" t="s">
        <v>3512</v>
      </c>
      <c r="G1691" s="106">
        <v>12</v>
      </c>
      <c r="H1691" s="107"/>
      <c r="I1691" s="107"/>
      <c r="J1691" s="107"/>
      <c r="K1691" s="107"/>
      <c r="L1691" s="107"/>
      <c r="M1691" s="107"/>
      <c r="N1691" s="107"/>
      <c r="O1691" s="107"/>
      <c r="P1691" s="107"/>
    </row>
    <row r="1692" spans="1:16" x14ac:dyDescent="0.3">
      <c r="A1692" s="58" t="str">
        <f t="shared" si="108"/>
        <v>A149940</v>
      </c>
      <c r="B1692" s="59" t="str">
        <f t="shared" si="105"/>
        <v/>
      </c>
      <c r="C1692" s="59" t="str">
        <f t="shared" si="106"/>
        <v/>
      </c>
      <c r="D1692" s="109" t="str">
        <f t="shared" si="107"/>
        <v/>
      </c>
      <c r="E1692" s="106" t="s">
        <v>3317</v>
      </c>
      <c r="F1692" s="58" t="s">
        <v>3513</v>
      </c>
      <c r="G1692" s="106">
        <v>12</v>
      </c>
      <c r="H1692" s="107"/>
      <c r="I1692" s="107"/>
      <c r="J1692" s="107"/>
      <c r="K1692" s="107"/>
      <c r="L1692" s="107"/>
      <c r="M1692" s="107"/>
      <c r="N1692" s="107"/>
      <c r="O1692" s="107"/>
      <c r="P1692" s="107"/>
    </row>
    <row r="1693" spans="1:16" x14ac:dyDescent="0.3">
      <c r="A1693" s="58" t="str">
        <f t="shared" si="108"/>
        <v>A149950</v>
      </c>
      <c r="B1693" s="59" t="str">
        <f t="shared" si="105"/>
        <v/>
      </c>
      <c r="C1693" s="59" t="str">
        <f t="shared" si="106"/>
        <v/>
      </c>
      <c r="D1693" s="109" t="str">
        <f t="shared" si="107"/>
        <v/>
      </c>
      <c r="E1693" s="106" t="s">
        <v>3545</v>
      </c>
      <c r="F1693" s="58" t="s">
        <v>3557</v>
      </c>
      <c r="G1693" s="106">
        <v>12</v>
      </c>
      <c r="H1693" s="107"/>
      <c r="I1693" s="107"/>
      <c r="J1693" s="107"/>
      <c r="K1693" s="107"/>
      <c r="L1693" s="107"/>
      <c r="M1693" s="107"/>
      <c r="N1693" s="107"/>
      <c r="O1693" s="107"/>
      <c r="P1693" s="107"/>
    </row>
    <row r="1694" spans="1:16" x14ac:dyDescent="0.3">
      <c r="A1694" s="58" t="str">
        <f t="shared" si="108"/>
        <v>A151910</v>
      </c>
      <c r="B1694" s="59" t="str">
        <f t="shared" si="105"/>
        <v/>
      </c>
      <c r="C1694" s="59" t="str">
        <f t="shared" si="106"/>
        <v/>
      </c>
      <c r="D1694" s="109" t="str">
        <f t="shared" si="107"/>
        <v/>
      </c>
      <c r="E1694" s="106" t="s">
        <v>3318</v>
      </c>
      <c r="F1694" s="58" t="s">
        <v>3514</v>
      </c>
      <c r="G1694" s="106">
        <v>12</v>
      </c>
      <c r="H1694" s="107"/>
      <c r="I1694" s="107"/>
      <c r="J1694" s="107"/>
      <c r="K1694" s="107"/>
      <c r="L1694" s="107"/>
      <c r="M1694" s="107"/>
      <c r="N1694" s="107"/>
      <c r="O1694" s="107"/>
      <c r="P1694" s="107"/>
    </row>
    <row r="1695" spans="1:16" x14ac:dyDescent="0.3">
      <c r="A1695" s="58" t="str">
        <f t="shared" si="108"/>
        <v>A153460</v>
      </c>
      <c r="B1695" s="59" t="str">
        <f t="shared" si="105"/>
        <v/>
      </c>
      <c r="C1695" s="59" t="str">
        <f t="shared" si="106"/>
        <v/>
      </c>
      <c r="D1695" s="109" t="str">
        <f t="shared" si="107"/>
        <v/>
      </c>
      <c r="E1695" s="106" t="s">
        <v>3319</v>
      </c>
      <c r="F1695" s="58" t="s">
        <v>3515</v>
      </c>
      <c r="G1695" s="106">
        <v>12</v>
      </c>
      <c r="H1695" s="107"/>
      <c r="I1695" s="107"/>
      <c r="J1695" s="107"/>
      <c r="K1695" s="107"/>
      <c r="L1695" s="107"/>
      <c r="M1695" s="107"/>
      <c r="N1695" s="107"/>
      <c r="O1695" s="107"/>
      <c r="P1695" s="107"/>
    </row>
    <row r="1696" spans="1:16" x14ac:dyDescent="0.3">
      <c r="A1696" s="58" t="str">
        <f t="shared" si="108"/>
        <v>A153490</v>
      </c>
      <c r="B1696" s="59" t="str">
        <f t="shared" si="105"/>
        <v/>
      </c>
      <c r="C1696" s="59" t="str">
        <f t="shared" si="106"/>
        <v/>
      </c>
      <c r="D1696" s="109" t="str">
        <f t="shared" si="107"/>
        <v/>
      </c>
      <c r="E1696" s="106" t="s">
        <v>3607</v>
      </c>
      <c r="F1696" s="58" t="s">
        <v>3615</v>
      </c>
      <c r="G1696" s="106">
        <v>12</v>
      </c>
      <c r="H1696" s="107"/>
      <c r="I1696" s="107"/>
      <c r="J1696" s="107"/>
      <c r="K1696" s="107"/>
      <c r="L1696" s="107"/>
      <c r="M1696" s="107"/>
      <c r="N1696" s="107"/>
      <c r="O1696" s="107"/>
      <c r="P1696" s="107"/>
    </row>
    <row r="1697" spans="1:16" x14ac:dyDescent="0.3">
      <c r="A1697" s="58" t="str">
        <f t="shared" si="108"/>
        <v>A155650</v>
      </c>
      <c r="B1697" s="59" t="str">
        <f t="shared" si="105"/>
        <v/>
      </c>
      <c r="C1697" s="59" t="str">
        <f t="shared" si="106"/>
        <v/>
      </c>
      <c r="D1697" s="109" t="str">
        <f t="shared" si="107"/>
        <v/>
      </c>
      <c r="E1697" s="106" t="s">
        <v>3546</v>
      </c>
      <c r="F1697" s="58" t="s">
        <v>3558</v>
      </c>
      <c r="G1697" s="106">
        <v>12</v>
      </c>
      <c r="H1697" s="107"/>
      <c r="I1697" s="107"/>
      <c r="J1697" s="107"/>
      <c r="K1697" s="107"/>
      <c r="L1697" s="107"/>
      <c r="M1697" s="107"/>
      <c r="N1697" s="107"/>
      <c r="O1697" s="107"/>
      <c r="P1697" s="107"/>
    </row>
    <row r="1698" spans="1:16" x14ac:dyDescent="0.3">
      <c r="A1698" s="58" t="str">
        <f t="shared" si="108"/>
        <v>A155660</v>
      </c>
      <c r="B1698" s="59" t="str">
        <f t="shared" si="105"/>
        <v/>
      </c>
      <c r="C1698" s="59" t="str">
        <f t="shared" si="106"/>
        <v/>
      </c>
      <c r="D1698" s="109" t="str">
        <f t="shared" si="107"/>
        <v/>
      </c>
      <c r="E1698" s="106" t="s">
        <v>3661</v>
      </c>
      <c r="F1698" s="58" t="s">
        <v>3669</v>
      </c>
      <c r="G1698" s="106">
        <v>12</v>
      </c>
      <c r="H1698" s="107"/>
      <c r="I1698" s="107"/>
      <c r="J1698" s="107"/>
      <c r="K1698" s="107"/>
      <c r="L1698" s="107"/>
      <c r="M1698" s="107"/>
      <c r="N1698" s="107"/>
      <c r="O1698" s="107"/>
      <c r="P1698" s="107"/>
    </row>
    <row r="1699" spans="1:16" x14ac:dyDescent="0.3">
      <c r="A1699" s="58" t="str">
        <f t="shared" si="108"/>
        <v>A155960</v>
      </c>
      <c r="B1699" s="59" t="str">
        <f t="shared" si="105"/>
        <v/>
      </c>
      <c r="C1699" s="59" t="str">
        <f t="shared" si="106"/>
        <v/>
      </c>
      <c r="D1699" s="109" t="str">
        <f t="shared" si="107"/>
        <v/>
      </c>
      <c r="E1699" s="106" t="s">
        <v>3608</v>
      </c>
      <c r="F1699" s="58" t="s">
        <v>3616</v>
      </c>
      <c r="G1699" s="106">
        <v>12</v>
      </c>
      <c r="H1699" s="107"/>
      <c r="I1699" s="107"/>
      <c r="J1699" s="107"/>
      <c r="K1699" s="107"/>
      <c r="L1699" s="107"/>
      <c r="M1699" s="107"/>
      <c r="N1699" s="107"/>
      <c r="O1699" s="107"/>
      <c r="P1699" s="107"/>
    </row>
    <row r="1700" spans="1:16" x14ac:dyDescent="0.3">
      <c r="A1700" s="58" t="str">
        <f t="shared" si="108"/>
        <v>A158310</v>
      </c>
      <c r="B1700" s="59">
        <f t="shared" si="105"/>
        <v>41479</v>
      </c>
      <c r="C1700" s="59">
        <f t="shared" si="106"/>
        <v>41479</v>
      </c>
      <c r="D1700" s="109">
        <f t="shared" si="107"/>
        <v>2.2400000000000002</v>
      </c>
      <c r="E1700" s="106" t="s">
        <v>3626</v>
      </c>
      <c r="F1700" s="58" t="s">
        <v>3658</v>
      </c>
      <c r="G1700" s="106">
        <v>12</v>
      </c>
      <c r="H1700" s="107">
        <v>20130724</v>
      </c>
      <c r="I1700" s="107">
        <v>20130724</v>
      </c>
      <c r="J1700" s="107">
        <v>2.2400000000000002</v>
      </c>
      <c r="K1700" s="107"/>
      <c r="L1700" s="107"/>
      <c r="M1700" s="107"/>
      <c r="N1700" s="107"/>
      <c r="O1700" s="107"/>
      <c r="P1700" s="107"/>
    </row>
    <row r="1701" spans="1:16" x14ac:dyDescent="0.3">
      <c r="A1701" s="58" t="str">
        <f t="shared" si="108"/>
        <v>A158380</v>
      </c>
      <c r="B1701" s="59" t="str">
        <f t="shared" si="105"/>
        <v/>
      </c>
      <c r="C1701" s="59" t="str">
        <f t="shared" si="106"/>
        <v/>
      </c>
      <c r="D1701" s="109" t="str">
        <f t="shared" si="107"/>
        <v/>
      </c>
      <c r="E1701" s="106" t="s">
        <v>3662</v>
      </c>
      <c r="F1701" s="58" t="s">
        <v>3670</v>
      </c>
      <c r="G1701" s="106">
        <v>12</v>
      </c>
      <c r="H1701" s="107"/>
      <c r="I1701" s="107"/>
      <c r="J1701" s="107"/>
      <c r="K1701" s="107"/>
      <c r="L1701" s="107"/>
      <c r="M1701" s="107"/>
      <c r="N1701" s="107"/>
      <c r="O1701" s="107"/>
      <c r="P1701" s="107"/>
    </row>
    <row r="1702" spans="1:16" x14ac:dyDescent="0.3">
      <c r="A1702" s="58" t="str">
        <f t="shared" si="108"/>
        <v>A159580</v>
      </c>
      <c r="B1702" s="59" t="str">
        <f t="shared" si="105"/>
        <v/>
      </c>
      <c r="C1702" s="59" t="str">
        <f t="shared" si="106"/>
        <v/>
      </c>
      <c r="D1702" s="109" t="str">
        <f t="shared" si="107"/>
        <v/>
      </c>
      <c r="E1702" s="106" t="s">
        <v>3609</v>
      </c>
      <c r="F1702" s="58" t="s">
        <v>3617</v>
      </c>
      <c r="G1702" s="106">
        <v>12</v>
      </c>
      <c r="H1702" s="107"/>
      <c r="I1702" s="107"/>
      <c r="J1702" s="107"/>
      <c r="K1702" s="107"/>
      <c r="L1702" s="107"/>
      <c r="M1702" s="107"/>
      <c r="N1702" s="107"/>
      <c r="O1702" s="107"/>
      <c r="P1702" s="107"/>
    </row>
    <row r="1703" spans="1:16" x14ac:dyDescent="0.3">
      <c r="A1703" s="58" t="str">
        <f t="shared" si="108"/>
        <v>A159910</v>
      </c>
      <c r="B1703" s="59" t="str">
        <f t="shared" si="105"/>
        <v/>
      </c>
      <c r="C1703" s="59" t="str">
        <f t="shared" si="106"/>
        <v/>
      </c>
      <c r="D1703" s="109" t="str">
        <f t="shared" si="107"/>
        <v/>
      </c>
      <c r="E1703" s="106" t="s">
        <v>3599</v>
      </c>
      <c r="F1703" s="58" t="s">
        <v>3600</v>
      </c>
      <c r="G1703" s="106">
        <v>12</v>
      </c>
      <c r="H1703" s="107"/>
      <c r="I1703" s="107"/>
      <c r="J1703" s="107"/>
      <c r="K1703" s="107"/>
      <c r="L1703" s="107"/>
      <c r="M1703" s="107"/>
      <c r="N1703" s="107"/>
      <c r="O1703" s="107"/>
      <c r="P1703" s="107"/>
    </row>
    <row r="1704" spans="1:16" x14ac:dyDescent="0.3">
      <c r="A1704" s="58" t="str">
        <f t="shared" si="108"/>
        <v>A161000</v>
      </c>
      <c r="B1704" s="59" t="str">
        <f t="shared" si="105"/>
        <v/>
      </c>
      <c r="C1704" s="59" t="str">
        <f t="shared" si="106"/>
        <v/>
      </c>
      <c r="D1704" s="109" t="str">
        <f t="shared" si="107"/>
        <v/>
      </c>
      <c r="E1704" s="106" t="s">
        <v>3320</v>
      </c>
      <c r="F1704" s="58" t="s">
        <v>3516</v>
      </c>
      <c r="G1704" s="106">
        <v>12</v>
      </c>
      <c r="H1704" s="107"/>
      <c r="I1704" s="107"/>
      <c r="J1704" s="107"/>
      <c r="K1704" s="107"/>
      <c r="L1704" s="107"/>
      <c r="M1704" s="107"/>
      <c r="N1704" s="107"/>
      <c r="O1704" s="107"/>
      <c r="P1704" s="107"/>
    </row>
    <row r="1705" spans="1:16" x14ac:dyDescent="0.3">
      <c r="A1705" s="58" t="str">
        <f t="shared" si="108"/>
        <v>A161390</v>
      </c>
      <c r="B1705" s="59">
        <f t="shared" si="105"/>
        <v>41485</v>
      </c>
      <c r="C1705" s="59">
        <f t="shared" si="106"/>
        <v>41485</v>
      </c>
      <c r="D1705" s="109">
        <f t="shared" si="107"/>
        <v>271.35000000000002</v>
      </c>
      <c r="E1705" s="106" t="s">
        <v>3547</v>
      </c>
      <c r="F1705" s="58" t="s">
        <v>3559</v>
      </c>
      <c r="G1705" s="106">
        <v>12</v>
      </c>
      <c r="H1705" s="107">
        <v>20130730</v>
      </c>
      <c r="I1705" s="107">
        <v>20130730</v>
      </c>
      <c r="J1705" s="107">
        <v>271.35000000000002</v>
      </c>
      <c r="K1705" s="107"/>
      <c r="L1705" s="107"/>
      <c r="M1705" s="107"/>
      <c r="N1705" s="107"/>
      <c r="O1705" s="107"/>
      <c r="P1705" s="107"/>
    </row>
    <row r="1706" spans="1:16" x14ac:dyDescent="0.3">
      <c r="A1706" s="58" t="str">
        <f t="shared" si="108"/>
        <v>A161890</v>
      </c>
      <c r="B1706" s="59" t="str">
        <f t="shared" si="105"/>
        <v/>
      </c>
      <c r="C1706" s="59" t="str">
        <f t="shared" si="106"/>
        <v/>
      </c>
      <c r="D1706" s="109" t="str">
        <f t="shared" si="107"/>
        <v/>
      </c>
      <c r="E1706" s="106" t="s">
        <v>3548</v>
      </c>
      <c r="F1706" s="58" t="s">
        <v>3560</v>
      </c>
      <c r="G1706" s="106">
        <v>3</v>
      </c>
      <c r="H1706" s="107"/>
      <c r="I1706" s="107"/>
      <c r="J1706" s="107"/>
      <c r="K1706" s="107"/>
      <c r="L1706" s="107"/>
      <c r="M1706" s="107"/>
      <c r="N1706" s="107"/>
      <c r="O1706" s="107"/>
      <c r="P1706" s="107"/>
    </row>
    <row r="1707" spans="1:16" x14ac:dyDescent="0.3">
      <c r="A1707" s="58" t="str">
        <f t="shared" si="108"/>
        <v>A163560</v>
      </c>
      <c r="B1707" s="59" t="str">
        <f t="shared" si="105"/>
        <v/>
      </c>
      <c r="C1707" s="59" t="str">
        <f t="shared" si="106"/>
        <v/>
      </c>
      <c r="D1707" s="109" t="str">
        <f t="shared" si="107"/>
        <v/>
      </c>
      <c r="E1707" s="106" t="s">
        <v>3549</v>
      </c>
      <c r="F1707" s="58" t="s">
        <v>3561</v>
      </c>
      <c r="G1707" s="106">
        <v>12</v>
      </c>
      <c r="H1707" s="107"/>
      <c r="I1707" s="107"/>
      <c r="J1707" s="107"/>
      <c r="K1707" s="107"/>
      <c r="L1707" s="107"/>
      <c r="M1707" s="107"/>
      <c r="N1707" s="107"/>
      <c r="O1707" s="107"/>
      <c r="P1707" s="107"/>
    </row>
    <row r="1708" spans="1:16" x14ac:dyDescent="0.3">
      <c r="A1708" s="58" t="str">
        <f t="shared" si="108"/>
        <v>A170900</v>
      </c>
      <c r="B1708" s="59">
        <f t="shared" si="105"/>
        <v>41485</v>
      </c>
      <c r="C1708" s="59">
        <f t="shared" si="106"/>
        <v>41485</v>
      </c>
      <c r="D1708" s="109">
        <f t="shared" si="107"/>
        <v>10.6</v>
      </c>
      <c r="E1708" s="106" t="s">
        <v>3627</v>
      </c>
      <c r="F1708" s="58" t="s">
        <v>3659</v>
      </c>
      <c r="G1708" s="106">
        <v>12</v>
      </c>
      <c r="H1708" s="107">
        <v>20130730</v>
      </c>
      <c r="I1708" s="107">
        <v>20130730</v>
      </c>
      <c r="J1708" s="107">
        <v>10.6</v>
      </c>
      <c r="K1708" s="107"/>
      <c r="L1708" s="107"/>
      <c r="M1708" s="107"/>
      <c r="N1708" s="107"/>
      <c r="O1708" s="107"/>
      <c r="P1708" s="107"/>
    </row>
    <row r="1709" spans="1:16" x14ac:dyDescent="0.3">
      <c r="A1709" s="58" t="str">
        <f t="shared" si="108"/>
        <v>A900040</v>
      </c>
      <c r="B1709" s="59" t="str">
        <f t="shared" si="105"/>
        <v/>
      </c>
      <c r="C1709" s="59" t="str">
        <f t="shared" si="106"/>
        <v/>
      </c>
      <c r="D1709" s="109" t="str">
        <f t="shared" si="107"/>
        <v/>
      </c>
      <c r="E1709" s="106" t="s">
        <v>1528</v>
      </c>
      <c r="F1709" s="58" t="s">
        <v>2954</v>
      </c>
      <c r="G1709" s="106">
        <v>12</v>
      </c>
      <c r="H1709" s="107"/>
      <c r="I1709" s="107"/>
      <c r="J1709" s="107"/>
      <c r="K1709" s="107"/>
      <c r="L1709" s="107"/>
      <c r="M1709" s="107"/>
      <c r="N1709" s="107"/>
      <c r="O1709" s="107"/>
      <c r="P1709" s="107"/>
    </row>
    <row r="1710" spans="1:16" x14ac:dyDescent="0.3">
      <c r="A1710" s="58" t="str">
        <f t="shared" si="108"/>
        <v>A900050</v>
      </c>
      <c r="B1710" s="59" t="str">
        <f t="shared" si="105"/>
        <v/>
      </c>
      <c r="C1710" s="59" t="str">
        <f t="shared" si="106"/>
        <v/>
      </c>
      <c r="D1710" s="109" t="str">
        <f t="shared" si="107"/>
        <v/>
      </c>
      <c r="E1710" s="106" t="s">
        <v>1529</v>
      </c>
      <c r="F1710" s="58" t="s">
        <v>2955</v>
      </c>
      <c r="G1710" s="106">
        <v>12</v>
      </c>
      <c r="H1710" s="107"/>
      <c r="I1710" s="107"/>
      <c r="J1710" s="107"/>
      <c r="K1710" s="107"/>
      <c r="L1710" s="107"/>
      <c r="M1710" s="107"/>
      <c r="N1710" s="107"/>
      <c r="O1710" s="107"/>
      <c r="P1710" s="107"/>
    </row>
    <row r="1711" spans="1:16" x14ac:dyDescent="0.3">
      <c r="A1711" s="58" t="str">
        <f t="shared" si="108"/>
        <v>A900060</v>
      </c>
      <c r="B1711" s="59" t="str">
        <f t="shared" si="105"/>
        <v/>
      </c>
      <c r="C1711" s="59" t="str">
        <f t="shared" si="106"/>
        <v/>
      </c>
      <c r="D1711" s="109" t="str">
        <f t="shared" si="107"/>
        <v/>
      </c>
      <c r="E1711" s="106" t="s">
        <v>1530</v>
      </c>
      <c r="F1711" s="58" t="s">
        <v>2956</v>
      </c>
      <c r="G1711" s="106">
        <v>3</v>
      </c>
      <c r="H1711" s="107"/>
      <c r="I1711" s="107"/>
      <c r="J1711" s="107"/>
      <c r="K1711" s="107"/>
      <c r="L1711" s="107"/>
      <c r="M1711" s="107"/>
      <c r="N1711" s="107"/>
      <c r="O1711" s="107"/>
      <c r="P1711" s="107"/>
    </row>
    <row r="1712" spans="1:16" x14ac:dyDescent="0.3">
      <c r="A1712" s="58" t="str">
        <f t="shared" si="108"/>
        <v>A900070</v>
      </c>
      <c r="B1712" s="59" t="str">
        <f t="shared" si="105"/>
        <v/>
      </c>
      <c r="C1712" s="59" t="str">
        <f t="shared" si="106"/>
        <v/>
      </c>
      <c r="D1712" s="109" t="str">
        <f t="shared" si="107"/>
        <v/>
      </c>
      <c r="E1712" s="106" t="s">
        <v>3321</v>
      </c>
      <c r="F1712" s="58" t="s">
        <v>3517</v>
      </c>
      <c r="G1712" s="106">
        <v>12</v>
      </c>
      <c r="H1712" s="107"/>
      <c r="I1712" s="107"/>
      <c r="J1712" s="107"/>
      <c r="K1712" s="107"/>
      <c r="L1712" s="107"/>
      <c r="M1712" s="107"/>
      <c r="N1712" s="107"/>
      <c r="O1712" s="107"/>
      <c r="P1712" s="107"/>
    </row>
    <row r="1713" spans="1:16" x14ac:dyDescent="0.3">
      <c r="A1713" s="58" t="str">
        <f t="shared" si="108"/>
        <v>A900080</v>
      </c>
      <c r="B1713" s="59" t="str">
        <f t="shared" si="105"/>
        <v/>
      </c>
      <c r="C1713" s="59" t="str">
        <f t="shared" si="106"/>
        <v/>
      </c>
      <c r="D1713" s="109" t="str">
        <f t="shared" si="107"/>
        <v/>
      </c>
      <c r="E1713" s="106" t="s">
        <v>3322</v>
      </c>
      <c r="F1713" s="58" t="s">
        <v>3518</v>
      </c>
      <c r="G1713" s="106">
        <v>12</v>
      </c>
      <c r="H1713" s="107"/>
      <c r="I1713" s="107"/>
      <c r="J1713" s="107"/>
      <c r="K1713" s="107"/>
      <c r="L1713" s="107"/>
      <c r="M1713" s="107"/>
      <c r="N1713" s="107"/>
      <c r="O1713" s="107"/>
      <c r="P1713" s="107"/>
    </row>
    <row r="1714" spans="1:16" x14ac:dyDescent="0.3">
      <c r="A1714" s="58" t="str">
        <f t="shared" si="108"/>
        <v>A900090</v>
      </c>
      <c r="B1714" s="59" t="str">
        <f t="shared" si="105"/>
        <v/>
      </c>
      <c r="C1714" s="59" t="str">
        <f t="shared" si="106"/>
        <v/>
      </c>
      <c r="D1714" s="109" t="str">
        <f t="shared" si="107"/>
        <v/>
      </c>
      <c r="E1714" s="106" t="s">
        <v>3323</v>
      </c>
      <c r="F1714" s="58" t="s">
        <v>3519</v>
      </c>
      <c r="G1714" s="106">
        <v>12</v>
      </c>
      <c r="H1714" s="107"/>
      <c r="I1714" s="107"/>
      <c r="J1714" s="107"/>
      <c r="K1714" s="107"/>
      <c r="L1714" s="107"/>
      <c r="M1714" s="107"/>
      <c r="N1714" s="107"/>
      <c r="O1714" s="107"/>
      <c r="P1714" s="107"/>
    </row>
    <row r="1715" spans="1:16" x14ac:dyDescent="0.3">
      <c r="A1715" s="58" t="str">
        <f t="shared" si="108"/>
        <v>A900100</v>
      </c>
      <c r="B1715" s="59" t="str">
        <f t="shared" si="105"/>
        <v/>
      </c>
      <c r="C1715" s="59" t="str">
        <f t="shared" si="106"/>
        <v/>
      </c>
      <c r="D1715" s="109" t="str">
        <f t="shared" si="107"/>
        <v/>
      </c>
      <c r="E1715" s="106" t="s">
        <v>3324</v>
      </c>
      <c r="F1715" s="58" t="s">
        <v>3520</v>
      </c>
      <c r="G1715" s="106">
        <v>12</v>
      </c>
      <c r="H1715" s="107"/>
      <c r="I1715" s="107"/>
      <c r="J1715" s="107"/>
      <c r="K1715" s="107"/>
      <c r="L1715" s="107"/>
      <c r="M1715" s="107"/>
      <c r="N1715" s="107"/>
      <c r="O1715" s="107"/>
      <c r="P1715" s="107"/>
    </row>
    <row r="1716" spans="1:16" x14ac:dyDescent="0.3">
      <c r="A1716" s="58" t="str">
        <f t="shared" si="108"/>
        <v>A900110</v>
      </c>
      <c r="B1716" s="59" t="str">
        <f t="shared" si="105"/>
        <v/>
      </c>
      <c r="C1716" s="59" t="str">
        <f t="shared" si="106"/>
        <v/>
      </c>
      <c r="D1716" s="109" t="str">
        <f t="shared" si="107"/>
        <v/>
      </c>
      <c r="E1716" s="106" t="s">
        <v>3325</v>
      </c>
      <c r="F1716" s="58" t="s">
        <v>3521</v>
      </c>
      <c r="G1716" s="106">
        <v>12</v>
      </c>
      <c r="H1716" s="107"/>
      <c r="I1716" s="107"/>
      <c r="J1716" s="107"/>
      <c r="K1716" s="107"/>
      <c r="L1716" s="107"/>
      <c r="M1716" s="107"/>
      <c r="N1716" s="107"/>
      <c r="O1716" s="107"/>
      <c r="P1716" s="107"/>
    </row>
    <row r="1717" spans="1:16" x14ac:dyDescent="0.3">
      <c r="A1717" s="58" t="str">
        <f t="shared" si="108"/>
        <v>A900120</v>
      </c>
      <c r="B1717" s="59" t="str">
        <f t="shared" si="105"/>
        <v/>
      </c>
      <c r="C1717" s="59" t="str">
        <f t="shared" si="106"/>
        <v/>
      </c>
      <c r="D1717" s="109" t="str">
        <f t="shared" si="107"/>
        <v/>
      </c>
      <c r="E1717" s="106" t="s">
        <v>3326</v>
      </c>
      <c r="F1717" s="58" t="s">
        <v>3522</v>
      </c>
      <c r="G1717" s="106">
        <v>6</v>
      </c>
      <c r="H1717" s="107"/>
      <c r="I1717" s="107"/>
      <c r="J1717" s="107"/>
      <c r="K1717" s="107"/>
      <c r="L1717" s="107"/>
      <c r="M1717" s="107"/>
      <c r="N1717" s="107"/>
      <c r="O1717" s="107"/>
      <c r="P1717" s="107"/>
    </row>
    <row r="1718" spans="1:16" x14ac:dyDescent="0.3">
      <c r="A1718" s="58" t="str">
        <f t="shared" si="108"/>
        <v>A900130</v>
      </c>
      <c r="B1718" s="59" t="str">
        <f t="shared" si="105"/>
        <v/>
      </c>
      <c r="C1718" s="59" t="str">
        <f t="shared" si="106"/>
        <v/>
      </c>
      <c r="D1718" s="109" t="str">
        <f t="shared" si="107"/>
        <v/>
      </c>
      <c r="E1718" s="106" t="s">
        <v>3327</v>
      </c>
      <c r="F1718" s="58" t="s">
        <v>3538</v>
      </c>
      <c r="G1718" s="106">
        <v>12</v>
      </c>
      <c r="H1718" s="107"/>
      <c r="I1718" s="107"/>
      <c r="J1718" s="107"/>
      <c r="K1718" s="107"/>
      <c r="L1718" s="107"/>
      <c r="M1718" s="107"/>
      <c r="N1718" s="107"/>
      <c r="O1718" s="107"/>
      <c r="P1718" s="107"/>
    </row>
    <row r="1719" spans="1:16" x14ac:dyDescent="0.3">
      <c r="A1719" s="58" t="str">
        <f t="shared" si="108"/>
        <v>A900140</v>
      </c>
      <c r="B1719" s="59" t="str">
        <f t="shared" si="105"/>
        <v/>
      </c>
      <c r="C1719" s="59" t="str">
        <f t="shared" si="106"/>
        <v/>
      </c>
      <c r="D1719" s="109" t="str">
        <f t="shared" si="107"/>
        <v/>
      </c>
      <c r="E1719" s="106" t="s">
        <v>3328</v>
      </c>
      <c r="F1719" s="58" t="s">
        <v>3523</v>
      </c>
      <c r="G1719" s="106">
        <v>12</v>
      </c>
      <c r="H1719" s="107"/>
      <c r="I1719" s="107"/>
      <c r="J1719" s="107"/>
      <c r="K1719" s="107"/>
      <c r="L1719" s="107"/>
      <c r="M1719" s="107"/>
      <c r="N1719" s="107"/>
      <c r="O1719" s="107"/>
      <c r="P1719" s="107"/>
    </row>
    <row r="1720" spans="1:16" x14ac:dyDescent="0.3">
      <c r="A1720" s="58" t="str">
        <f t="shared" si="108"/>
        <v>A900180</v>
      </c>
      <c r="B1720" s="59" t="str">
        <f t="shared" si="105"/>
        <v/>
      </c>
      <c r="C1720" s="59" t="str">
        <f t="shared" si="106"/>
        <v/>
      </c>
      <c r="D1720" s="109" t="str">
        <f t="shared" si="107"/>
        <v/>
      </c>
      <c r="E1720" s="106" t="s">
        <v>3329</v>
      </c>
      <c r="F1720" s="58" t="s">
        <v>3524</v>
      </c>
      <c r="G1720" s="106">
        <v>12</v>
      </c>
      <c r="H1720" s="107"/>
      <c r="I1720" s="107"/>
      <c r="J1720" s="107"/>
      <c r="K1720" s="107"/>
      <c r="L1720" s="107"/>
      <c r="M1720" s="107"/>
      <c r="N1720" s="107"/>
      <c r="O1720" s="107"/>
      <c r="P1720" s="107"/>
    </row>
    <row r="1721" spans="1:16" x14ac:dyDescent="0.3">
      <c r="A1721" s="58" t="str">
        <f t="shared" si="108"/>
        <v>A950010</v>
      </c>
      <c r="B1721" s="59" t="str">
        <f t="shared" si="105"/>
        <v/>
      </c>
      <c r="C1721" s="59" t="str">
        <f t="shared" si="106"/>
        <v/>
      </c>
      <c r="D1721" s="109" t="str">
        <f t="shared" si="107"/>
        <v/>
      </c>
      <c r="E1721" s="106" t="s">
        <v>1531</v>
      </c>
      <c r="F1721" s="58" t="s">
        <v>2957</v>
      </c>
      <c r="G1721" s="106">
        <v>9</v>
      </c>
      <c r="H1721" s="107"/>
      <c r="I1721" s="107"/>
      <c r="J1721" s="107"/>
      <c r="K1721" s="107"/>
      <c r="L1721" s="107"/>
      <c r="M1721" s="107"/>
      <c r="N1721" s="107"/>
      <c r="O1721" s="107"/>
      <c r="P1721" s="107"/>
    </row>
    <row r="1722" spans="1:16" x14ac:dyDescent="0.3">
      <c r="A1722" s="58" t="str">
        <f t="shared" si="108"/>
        <v>A950070</v>
      </c>
      <c r="B1722" s="59" t="str">
        <f t="shared" si="105"/>
        <v/>
      </c>
      <c r="C1722" s="59" t="str">
        <f t="shared" si="106"/>
        <v/>
      </c>
      <c r="D1722" s="109" t="str">
        <f t="shared" si="107"/>
        <v/>
      </c>
      <c r="E1722" s="106" t="s">
        <v>3330</v>
      </c>
      <c r="F1722" s="58" t="s">
        <v>3525</v>
      </c>
      <c r="G1722" s="106">
        <v>12</v>
      </c>
      <c r="H1722" s="107"/>
      <c r="I1722" s="107"/>
      <c r="J1722" s="107"/>
      <c r="K1722" s="107"/>
      <c r="L1722" s="107"/>
      <c r="M1722" s="107"/>
      <c r="N1722" s="107"/>
      <c r="O1722" s="107"/>
      <c r="P1722" s="107"/>
    </row>
    <row r="1723" spans="1:16" x14ac:dyDescent="0.3">
      <c r="A1723" s="58" t="str">
        <f t="shared" si="108"/>
        <v>A950100</v>
      </c>
      <c r="B1723" s="59" t="str">
        <f t="shared" si="105"/>
        <v/>
      </c>
      <c r="C1723" s="59" t="str">
        <f t="shared" si="106"/>
        <v/>
      </c>
      <c r="D1723" s="109" t="str">
        <f t="shared" si="107"/>
        <v/>
      </c>
      <c r="E1723" s="106" t="s">
        <v>3331</v>
      </c>
      <c r="F1723" s="58" t="s">
        <v>3539</v>
      </c>
      <c r="G1723" s="106">
        <v>3</v>
      </c>
      <c r="H1723" s="107"/>
      <c r="I1723" s="107"/>
      <c r="J1723" s="107"/>
      <c r="K1723" s="107"/>
      <c r="L1723" s="107"/>
      <c r="M1723" s="107"/>
      <c r="N1723" s="107"/>
      <c r="O1723" s="107"/>
      <c r="P1723" s="107"/>
    </row>
    <row r="1724" spans="1:16" x14ac:dyDescent="0.3">
      <c r="A1724" s="58" t="str">
        <f t="shared" si="108"/>
        <v>A950110</v>
      </c>
      <c r="B1724" s="59" t="str">
        <f t="shared" si="105"/>
        <v/>
      </c>
      <c r="C1724" s="59" t="str">
        <f t="shared" si="106"/>
        <v/>
      </c>
      <c r="D1724" s="109" t="str">
        <f t="shared" si="107"/>
        <v/>
      </c>
      <c r="E1724" s="106" t="s">
        <v>3597</v>
      </c>
      <c r="F1724" s="58" t="s">
        <v>3598</v>
      </c>
      <c r="G1724" s="106">
        <v>3</v>
      </c>
      <c r="H1724" s="107"/>
      <c r="I1724" s="107"/>
      <c r="J1724" s="107"/>
      <c r="K1724" s="107"/>
      <c r="L1724" s="107"/>
      <c r="M1724" s="107"/>
      <c r="N1724" s="107"/>
      <c r="O1724" s="107"/>
      <c r="P1724" s="107"/>
    </row>
    <row r="1725" spans="1:16" x14ac:dyDescent="0.3">
      <c r="A1725" s="58" t="str">
        <f t="shared" si="108"/>
        <v>A950130</v>
      </c>
      <c r="B1725" s="59" t="str">
        <f t="shared" si="105"/>
        <v/>
      </c>
      <c r="C1725" s="59" t="str">
        <f t="shared" si="106"/>
        <v/>
      </c>
      <c r="D1725" s="109" t="str">
        <f t="shared" si="107"/>
        <v/>
      </c>
      <c r="E1725" s="106" t="s">
        <v>3708</v>
      </c>
      <c r="F1725" s="58" t="s">
        <v>3709</v>
      </c>
      <c r="G1725" s="106">
        <v>12</v>
      </c>
      <c r="H1725" s="107"/>
      <c r="I1725" s="107"/>
      <c r="J1725" s="107"/>
      <c r="K1725" s="107"/>
      <c r="L1725" s="107"/>
      <c r="M1725" s="107"/>
      <c r="N1725" s="107"/>
      <c r="O1725" s="107"/>
      <c r="P1725" s="107"/>
    </row>
    <row r="1726" spans="1:16" x14ac:dyDescent="0.3">
      <c r="A1726" s="58">
        <f t="shared" si="108"/>
        <v>0</v>
      </c>
      <c r="B1726" s="59" t="str">
        <f t="shared" si="105"/>
        <v/>
      </c>
      <c r="C1726" s="59" t="str">
        <f t="shared" si="106"/>
        <v/>
      </c>
      <c r="D1726" s="109" t="str">
        <f t="shared" si="107"/>
        <v/>
      </c>
      <c r="E1726" s="106"/>
      <c r="G1726" s="106"/>
      <c r="H1726" s="107"/>
      <c r="I1726" s="107"/>
      <c r="J1726" s="107"/>
      <c r="K1726" s="107"/>
      <c r="L1726" s="107"/>
      <c r="M1726" s="107"/>
      <c r="N1726" s="107"/>
      <c r="O1726" s="107"/>
      <c r="P1726" s="107"/>
    </row>
    <row r="1727" spans="1:16" x14ac:dyDescent="0.3">
      <c r="A1727" s="58">
        <f t="shared" si="108"/>
        <v>0</v>
      </c>
      <c r="B1727" s="59" t="str">
        <f t="shared" si="105"/>
        <v/>
      </c>
      <c r="C1727" s="59" t="str">
        <f t="shared" si="106"/>
        <v/>
      </c>
      <c r="D1727" s="109" t="str">
        <f t="shared" si="107"/>
        <v/>
      </c>
      <c r="E1727" s="106"/>
      <c r="G1727" s="106"/>
      <c r="H1727" s="107"/>
      <c r="I1727" s="107"/>
      <c r="J1727" s="107"/>
      <c r="K1727" s="107"/>
      <c r="L1727" s="107"/>
      <c r="M1727" s="107"/>
      <c r="N1727" s="107"/>
      <c r="O1727" s="107"/>
      <c r="P1727" s="107"/>
    </row>
    <row r="1728" spans="1:16" x14ac:dyDescent="0.3">
      <c r="A1728" s="58">
        <f t="shared" si="108"/>
        <v>0</v>
      </c>
      <c r="B1728" s="59" t="str">
        <f t="shared" si="105"/>
        <v/>
      </c>
      <c r="C1728" s="59" t="str">
        <f t="shared" si="106"/>
        <v/>
      </c>
      <c r="D1728" s="109" t="str">
        <f t="shared" si="107"/>
        <v/>
      </c>
      <c r="E1728" s="106"/>
      <c r="G1728" s="106"/>
      <c r="H1728" s="107"/>
      <c r="I1728" s="107"/>
      <c r="J1728" s="107"/>
      <c r="K1728" s="107"/>
      <c r="L1728" s="107"/>
      <c r="M1728" s="107"/>
      <c r="N1728" s="107"/>
      <c r="O1728" s="107"/>
      <c r="P1728" s="107"/>
    </row>
    <row r="1729" spans="1:16" x14ac:dyDescent="0.3">
      <c r="A1729" s="58">
        <f t="shared" si="108"/>
        <v>0</v>
      </c>
      <c r="B1729" s="59" t="str">
        <f t="shared" si="105"/>
        <v/>
      </c>
      <c r="C1729" s="59" t="str">
        <f t="shared" si="106"/>
        <v/>
      </c>
      <c r="D1729" s="109" t="str">
        <f t="shared" si="107"/>
        <v/>
      </c>
      <c r="E1729" s="106"/>
      <c r="G1729" s="106"/>
      <c r="H1729" s="107"/>
      <c r="I1729" s="107"/>
      <c r="J1729" s="107"/>
      <c r="K1729" s="107"/>
      <c r="L1729" s="107"/>
      <c r="M1729" s="107"/>
      <c r="N1729" s="107"/>
      <c r="O1729" s="107"/>
      <c r="P1729" s="107"/>
    </row>
    <row r="1730" spans="1:16" x14ac:dyDescent="0.3">
      <c r="A1730" s="58">
        <f t="shared" si="108"/>
        <v>0</v>
      </c>
      <c r="B1730" s="59" t="str">
        <f t="shared" si="105"/>
        <v/>
      </c>
      <c r="C1730" s="59" t="str">
        <f t="shared" si="106"/>
        <v/>
      </c>
      <c r="D1730" s="109" t="str">
        <f t="shared" si="107"/>
        <v/>
      </c>
      <c r="E1730" s="106"/>
      <c r="G1730" s="106"/>
      <c r="H1730" s="107"/>
      <c r="I1730" s="107"/>
      <c r="J1730" s="107"/>
      <c r="K1730" s="107"/>
      <c r="L1730" s="107"/>
      <c r="M1730" s="107"/>
      <c r="N1730" s="107"/>
      <c r="O1730" s="107"/>
      <c r="P1730" s="107"/>
    </row>
    <row r="1731" spans="1:16" x14ac:dyDescent="0.3">
      <c r="A1731" s="58">
        <f t="shared" si="108"/>
        <v>0</v>
      </c>
      <c r="B1731" s="59" t="str">
        <f t="shared" si="105"/>
        <v/>
      </c>
      <c r="C1731" s="59" t="str">
        <f t="shared" si="106"/>
        <v/>
      </c>
      <c r="D1731" s="109" t="str">
        <f t="shared" si="107"/>
        <v/>
      </c>
      <c r="E1731" s="106"/>
      <c r="G1731" s="106"/>
      <c r="H1731" s="107"/>
      <c r="I1731" s="107"/>
      <c r="J1731" s="107"/>
      <c r="K1731" s="107"/>
      <c r="L1731" s="107"/>
      <c r="M1731" s="107"/>
      <c r="N1731" s="107"/>
      <c r="O1731" s="107"/>
      <c r="P1731" s="107"/>
    </row>
    <row r="1732" spans="1:16" x14ac:dyDescent="0.3">
      <c r="A1732" s="58">
        <f t="shared" si="108"/>
        <v>0</v>
      </c>
      <c r="B1732" s="59" t="str">
        <f t="shared" si="105"/>
        <v/>
      </c>
      <c r="C1732" s="59" t="str">
        <f t="shared" si="106"/>
        <v/>
      </c>
      <c r="D1732" s="109" t="str">
        <f t="shared" si="107"/>
        <v/>
      </c>
      <c r="E1732" s="106"/>
      <c r="G1732" s="106"/>
      <c r="H1732" s="107"/>
      <c r="I1732" s="107"/>
      <c r="J1732" s="107"/>
      <c r="K1732" s="107"/>
      <c r="L1732" s="107"/>
      <c r="M1732" s="107"/>
      <c r="N1732" s="107"/>
      <c r="O1732" s="107"/>
      <c r="P1732" s="107"/>
    </row>
    <row r="1733" spans="1:16" x14ac:dyDescent="0.3">
      <c r="A1733" s="58">
        <f t="shared" si="108"/>
        <v>0</v>
      </c>
      <c r="B1733" s="59" t="str">
        <f t="shared" si="105"/>
        <v/>
      </c>
      <c r="C1733" s="59" t="str">
        <f t="shared" si="106"/>
        <v/>
      </c>
      <c r="D1733" s="109" t="str">
        <f t="shared" si="107"/>
        <v/>
      </c>
      <c r="E1733" s="106"/>
      <c r="G1733" s="106"/>
      <c r="H1733" s="107"/>
      <c r="I1733" s="107"/>
      <c r="J1733" s="107"/>
      <c r="K1733" s="107"/>
      <c r="L1733" s="107"/>
      <c r="M1733" s="107"/>
      <c r="N1733" s="107"/>
      <c r="O1733" s="107"/>
      <c r="P1733" s="107"/>
    </row>
    <row r="1734" spans="1:16" x14ac:dyDescent="0.3">
      <c r="A1734" s="58">
        <f t="shared" si="108"/>
        <v>0</v>
      </c>
      <c r="B1734" s="59" t="str">
        <f t="shared" si="105"/>
        <v/>
      </c>
      <c r="C1734" s="59" t="str">
        <f t="shared" si="106"/>
        <v/>
      </c>
      <c r="D1734" s="109" t="str">
        <f t="shared" si="107"/>
        <v/>
      </c>
      <c r="E1734" s="106"/>
      <c r="G1734" s="106"/>
      <c r="H1734" s="107"/>
      <c r="I1734" s="107"/>
      <c r="J1734" s="107"/>
      <c r="K1734" s="107"/>
      <c r="L1734" s="107"/>
      <c r="M1734" s="107"/>
      <c r="N1734" s="107"/>
      <c r="O1734" s="107"/>
      <c r="P1734" s="107"/>
    </row>
    <row r="1735" spans="1:16" x14ac:dyDescent="0.3">
      <c r="A1735" s="58">
        <f t="shared" si="108"/>
        <v>0</v>
      </c>
      <c r="B1735" s="59" t="str">
        <f t="shared" si="105"/>
        <v/>
      </c>
      <c r="C1735" s="59" t="str">
        <f t="shared" si="106"/>
        <v/>
      </c>
      <c r="D1735" s="109" t="str">
        <f t="shared" si="107"/>
        <v/>
      </c>
      <c r="E1735" s="106"/>
      <c r="G1735" s="106"/>
      <c r="H1735" s="107"/>
      <c r="I1735" s="107"/>
      <c r="J1735" s="107"/>
      <c r="K1735" s="107"/>
      <c r="L1735" s="107"/>
      <c r="M1735" s="107"/>
      <c r="N1735" s="107"/>
      <c r="O1735" s="107"/>
      <c r="P1735" s="107"/>
    </row>
    <row r="1736" spans="1:16" x14ac:dyDescent="0.3">
      <c r="A1736" s="58">
        <f t="shared" si="108"/>
        <v>0</v>
      </c>
      <c r="B1736" s="59" t="str">
        <f t="shared" si="105"/>
        <v/>
      </c>
      <c r="C1736" s="59" t="str">
        <f t="shared" si="106"/>
        <v/>
      </c>
      <c r="D1736" s="109" t="str">
        <f t="shared" si="107"/>
        <v/>
      </c>
      <c r="E1736" s="106"/>
      <c r="G1736" s="106"/>
      <c r="H1736" s="107"/>
      <c r="I1736" s="107"/>
      <c r="J1736" s="107"/>
      <c r="K1736" s="107"/>
      <c r="L1736" s="107"/>
      <c r="M1736" s="107"/>
      <c r="N1736" s="107"/>
      <c r="O1736" s="107"/>
      <c r="P1736" s="107"/>
    </row>
    <row r="1737" spans="1:16" x14ac:dyDescent="0.3">
      <c r="A1737" s="58">
        <f t="shared" si="108"/>
        <v>0</v>
      </c>
      <c r="B1737" s="59" t="str">
        <f t="shared" si="105"/>
        <v/>
      </c>
      <c r="C1737" s="59" t="str">
        <f t="shared" si="106"/>
        <v/>
      </c>
      <c r="D1737" s="109" t="str">
        <f t="shared" si="107"/>
        <v/>
      </c>
      <c r="E1737" s="106"/>
      <c r="G1737" s="106"/>
      <c r="H1737" s="107"/>
      <c r="I1737" s="107"/>
      <c r="J1737" s="107"/>
      <c r="K1737" s="107"/>
      <c r="L1737" s="107"/>
      <c r="M1737" s="107"/>
      <c r="N1737" s="107"/>
      <c r="O1737" s="107"/>
      <c r="P1737" s="107"/>
    </row>
    <row r="1738" spans="1:16" x14ac:dyDescent="0.3">
      <c r="A1738" s="58">
        <f t="shared" si="108"/>
        <v>0</v>
      </c>
      <c r="B1738" s="59" t="str">
        <f t="shared" si="105"/>
        <v/>
      </c>
      <c r="C1738" s="59" t="str">
        <f t="shared" si="106"/>
        <v/>
      </c>
      <c r="D1738" s="109" t="str">
        <f t="shared" si="107"/>
        <v/>
      </c>
      <c r="E1738" s="106"/>
      <c r="G1738" s="106"/>
      <c r="H1738" s="107"/>
      <c r="I1738" s="107"/>
      <c r="J1738" s="107"/>
      <c r="K1738" s="107"/>
      <c r="L1738" s="107"/>
      <c r="M1738" s="107"/>
      <c r="N1738" s="107"/>
      <c r="O1738" s="107"/>
      <c r="P1738" s="107"/>
    </row>
    <row r="1739" spans="1:16" x14ac:dyDescent="0.3">
      <c r="A1739" s="58">
        <f t="shared" si="108"/>
        <v>0</v>
      </c>
      <c r="B1739" s="59" t="str">
        <f t="shared" si="105"/>
        <v/>
      </c>
      <c r="C1739" s="59" t="str">
        <f t="shared" si="106"/>
        <v/>
      </c>
      <c r="D1739" s="109" t="str">
        <f t="shared" si="107"/>
        <v/>
      </c>
      <c r="E1739" s="106"/>
      <c r="G1739" s="106"/>
      <c r="H1739" s="107"/>
      <c r="I1739" s="107"/>
      <c r="J1739" s="107"/>
      <c r="K1739" s="107"/>
      <c r="L1739" s="107"/>
      <c r="M1739" s="107"/>
      <c r="N1739" s="107"/>
      <c r="O1739" s="107"/>
      <c r="P1739" s="107"/>
    </row>
    <row r="1740" spans="1:16" x14ac:dyDescent="0.3">
      <c r="A1740" s="58">
        <f t="shared" si="108"/>
        <v>0</v>
      </c>
      <c r="B1740" s="59" t="str">
        <f t="shared" si="105"/>
        <v/>
      </c>
      <c r="C1740" s="59" t="str">
        <f t="shared" si="106"/>
        <v/>
      </c>
      <c r="D1740" s="109" t="str">
        <f t="shared" si="107"/>
        <v/>
      </c>
      <c r="E1740" s="106"/>
      <c r="G1740" s="106"/>
      <c r="H1740" s="107"/>
      <c r="I1740" s="107"/>
      <c r="J1740" s="107"/>
      <c r="K1740" s="107"/>
      <c r="L1740" s="107"/>
      <c r="M1740" s="107"/>
      <c r="N1740" s="107"/>
      <c r="O1740" s="107"/>
      <c r="P1740" s="107"/>
    </row>
    <row r="1741" spans="1:16" x14ac:dyDescent="0.3">
      <c r="A1741" s="58">
        <f t="shared" si="108"/>
        <v>0</v>
      </c>
      <c r="B1741" s="59" t="str">
        <f t="shared" si="105"/>
        <v/>
      </c>
      <c r="C1741" s="59" t="str">
        <f t="shared" si="106"/>
        <v/>
      </c>
      <c r="D1741" s="109" t="str">
        <f t="shared" si="107"/>
        <v/>
      </c>
      <c r="E1741" s="106"/>
      <c r="G1741" s="106"/>
      <c r="H1741" s="107"/>
      <c r="I1741" s="107"/>
      <c r="J1741" s="107"/>
      <c r="K1741" s="107"/>
      <c r="L1741" s="107"/>
      <c r="M1741" s="107"/>
      <c r="N1741" s="107"/>
      <c r="O1741" s="107"/>
      <c r="P1741" s="107"/>
    </row>
    <row r="1742" spans="1:16" x14ac:dyDescent="0.3">
      <c r="A1742" s="58">
        <f t="shared" si="108"/>
        <v>0</v>
      </c>
      <c r="B1742" s="59" t="str">
        <f t="shared" si="105"/>
        <v/>
      </c>
      <c r="C1742" s="59" t="str">
        <f t="shared" si="106"/>
        <v/>
      </c>
      <c r="D1742" s="109" t="str">
        <f t="shared" si="107"/>
        <v/>
      </c>
      <c r="E1742" s="106"/>
      <c r="G1742" s="106"/>
      <c r="H1742" s="107"/>
      <c r="I1742" s="107"/>
      <c r="J1742" s="107"/>
      <c r="K1742" s="107"/>
      <c r="L1742" s="107"/>
      <c r="M1742" s="107"/>
      <c r="N1742" s="107"/>
      <c r="O1742" s="107"/>
      <c r="P1742" s="107"/>
    </row>
    <row r="1743" spans="1:16" x14ac:dyDescent="0.3">
      <c r="A1743" s="58">
        <f t="shared" si="108"/>
        <v>0</v>
      </c>
      <c r="B1743" s="59" t="str">
        <f t="shared" ref="B1743:B1794" si="109">IFERROR(IF(ISNUMBER(H1743),DATE(LEFT(H1743,4),MID(H1743,5,2),RIGHT(H1743,2)),NA()),"")</f>
        <v/>
      </c>
      <c r="C1743" s="59" t="str">
        <f t="shared" ref="C1743:C1794" si="110">IFERROR(IF(ISNUMBER(I1743),DATE(LEFT(I1743,4),MID(I1743,5,2),RIGHT(I1743,2)),NA()),"")</f>
        <v/>
      </c>
      <c r="D1743" s="109" t="str">
        <f t="shared" ref="D1743:D1794" si="111">IFERROR(IF(ISNUMBER(J1743),J1743,NA()),"")</f>
        <v/>
      </c>
      <c r="E1743" s="106"/>
      <c r="G1743" s="106"/>
      <c r="H1743" s="107"/>
      <c r="I1743" s="107"/>
      <c r="J1743" s="107"/>
      <c r="K1743" s="107"/>
      <c r="L1743" s="107"/>
      <c r="M1743" s="107"/>
      <c r="N1743" s="107"/>
      <c r="O1743" s="107"/>
      <c r="P1743" s="107"/>
    </row>
    <row r="1744" spans="1:16" x14ac:dyDescent="0.3">
      <c r="A1744" s="58">
        <f t="shared" si="108"/>
        <v>0</v>
      </c>
      <c r="B1744" s="59" t="str">
        <f t="shared" si="109"/>
        <v/>
      </c>
      <c r="C1744" s="59" t="str">
        <f t="shared" si="110"/>
        <v/>
      </c>
      <c r="D1744" s="109" t="str">
        <f t="shared" si="111"/>
        <v/>
      </c>
      <c r="E1744" s="106"/>
      <c r="G1744" s="106"/>
      <c r="H1744" s="107"/>
      <c r="I1744" s="107"/>
      <c r="J1744" s="107"/>
      <c r="K1744" s="107"/>
      <c r="L1744" s="107"/>
      <c r="M1744" s="107"/>
      <c r="N1744" s="107"/>
      <c r="O1744" s="107"/>
      <c r="P1744" s="107"/>
    </row>
    <row r="1745" spans="1:16" x14ac:dyDescent="0.3">
      <c r="A1745" s="58">
        <f t="shared" si="108"/>
        <v>0</v>
      </c>
      <c r="B1745" s="59" t="str">
        <f t="shared" si="109"/>
        <v/>
      </c>
      <c r="C1745" s="59" t="str">
        <f t="shared" si="110"/>
        <v/>
      </c>
      <c r="D1745" s="109" t="str">
        <f t="shared" si="111"/>
        <v/>
      </c>
      <c r="E1745" s="106"/>
      <c r="G1745" s="106"/>
      <c r="H1745" s="107"/>
      <c r="I1745" s="107"/>
      <c r="J1745" s="107"/>
      <c r="K1745" s="107"/>
      <c r="L1745" s="107"/>
      <c r="M1745" s="107"/>
      <c r="N1745" s="107"/>
      <c r="O1745" s="107"/>
      <c r="P1745" s="107"/>
    </row>
    <row r="1746" spans="1:16" x14ac:dyDescent="0.3">
      <c r="A1746" s="58">
        <f t="shared" si="108"/>
        <v>0</v>
      </c>
      <c r="B1746" s="59" t="str">
        <f t="shared" si="109"/>
        <v/>
      </c>
      <c r="C1746" s="59" t="str">
        <f t="shared" si="110"/>
        <v/>
      </c>
      <c r="D1746" s="109" t="str">
        <f t="shared" si="111"/>
        <v/>
      </c>
      <c r="E1746" s="106"/>
      <c r="G1746" s="106"/>
      <c r="H1746" s="107"/>
      <c r="I1746" s="107"/>
      <c r="J1746" s="107"/>
      <c r="K1746" s="107"/>
      <c r="L1746" s="107"/>
      <c r="M1746" s="107"/>
      <c r="N1746" s="107"/>
      <c r="O1746" s="107"/>
      <c r="P1746" s="107"/>
    </row>
    <row r="1747" spans="1:16" x14ac:dyDescent="0.3">
      <c r="A1747" s="58">
        <f t="shared" si="108"/>
        <v>0</v>
      </c>
      <c r="B1747" s="59" t="str">
        <f t="shared" si="109"/>
        <v/>
      </c>
      <c r="C1747" s="59" t="str">
        <f t="shared" si="110"/>
        <v/>
      </c>
      <c r="D1747" s="109" t="str">
        <f t="shared" si="111"/>
        <v/>
      </c>
      <c r="E1747" s="106"/>
      <c r="G1747" s="106"/>
      <c r="H1747" s="107"/>
      <c r="I1747" s="107"/>
      <c r="J1747" s="107"/>
      <c r="K1747" s="107"/>
      <c r="L1747" s="107"/>
      <c r="M1747" s="107"/>
      <c r="N1747" s="107"/>
      <c r="O1747" s="107"/>
      <c r="P1747" s="107"/>
    </row>
    <row r="1748" spans="1:16" x14ac:dyDescent="0.3">
      <c r="A1748" s="58">
        <f t="shared" si="108"/>
        <v>0</v>
      </c>
      <c r="B1748" s="59" t="str">
        <f t="shared" si="109"/>
        <v/>
      </c>
      <c r="C1748" s="59" t="str">
        <f t="shared" si="110"/>
        <v/>
      </c>
      <c r="D1748" s="109" t="str">
        <f t="shared" si="111"/>
        <v/>
      </c>
      <c r="E1748" s="106"/>
      <c r="G1748" s="106"/>
      <c r="H1748" s="107"/>
      <c r="I1748" s="107"/>
      <c r="J1748" s="107"/>
      <c r="K1748" s="107"/>
      <c r="L1748" s="107"/>
      <c r="M1748" s="107"/>
      <c r="N1748" s="107"/>
      <c r="O1748" s="107"/>
      <c r="P1748" s="107"/>
    </row>
    <row r="1749" spans="1:16" x14ac:dyDescent="0.3">
      <c r="A1749" s="58">
        <f t="shared" si="108"/>
        <v>0</v>
      </c>
      <c r="B1749" s="59" t="str">
        <f t="shared" si="109"/>
        <v/>
      </c>
      <c r="C1749" s="59" t="str">
        <f t="shared" si="110"/>
        <v/>
      </c>
      <c r="D1749" s="109" t="str">
        <f t="shared" si="111"/>
        <v/>
      </c>
      <c r="E1749" s="106"/>
      <c r="G1749" s="106"/>
      <c r="H1749" s="107"/>
      <c r="I1749" s="107"/>
      <c r="J1749" s="107"/>
      <c r="K1749" s="107"/>
      <c r="L1749" s="107"/>
      <c r="M1749" s="107"/>
      <c r="N1749" s="107"/>
      <c r="O1749" s="107"/>
      <c r="P1749" s="107"/>
    </row>
    <row r="1750" spans="1:16" x14ac:dyDescent="0.3">
      <c r="A1750" s="58">
        <f t="shared" ref="A1750:A1794" si="112">E1750</f>
        <v>0</v>
      </c>
      <c r="B1750" s="59" t="str">
        <f t="shared" si="109"/>
        <v/>
      </c>
      <c r="C1750" s="59" t="str">
        <f t="shared" si="110"/>
        <v/>
      </c>
      <c r="D1750" s="109" t="str">
        <f t="shared" si="111"/>
        <v/>
      </c>
      <c r="E1750" s="106"/>
      <c r="G1750" s="106"/>
      <c r="H1750" s="107"/>
      <c r="I1750" s="107"/>
      <c r="J1750" s="107"/>
      <c r="K1750" s="107"/>
      <c r="L1750" s="107"/>
      <c r="M1750" s="107"/>
      <c r="N1750" s="107"/>
      <c r="O1750" s="107"/>
      <c r="P1750" s="107"/>
    </row>
    <row r="1751" spans="1:16" x14ac:dyDescent="0.3">
      <c r="A1751" s="58">
        <f t="shared" si="112"/>
        <v>0</v>
      </c>
      <c r="B1751" s="59" t="str">
        <f t="shared" si="109"/>
        <v/>
      </c>
      <c r="C1751" s="59" t="str">
        <f t="shared" si="110"/>
        <v/>
      </c>
      <c r="D1751" s="109" t="str">
        <f t="shared" si="111"/>
        <v/>
      </c>
      <c r="E1751" s="106"/>
      <c r="G1751" s="106"/>
      <c r="H1751" s="107"/>
      <c r="I1751" s="107"/>
      <c r="J1751" s="107"/>
      <c r="K1751" s="107"/>
      <c r="L1751" s="107"/>
      <c r="M1751" s="107"/>
      <c r="N1751" s="107"/>
      <c r="O1751" s="107"/>
      <c r="P1751" s="107"/>
    </row>
    <row r="1752" spans="1:16" x14ac:dyDescent="0.3">
      <c r="A1752" s="58">
        <f t="shared" si="112"/>
        <v>0</v>
      </c>
      <c r="B1752" s="59" t="str">
        <f t="shared" si="109"/>
        <v/>
      </c>
      <c r="C1752" s="59" t="str">
        <f t="shared" si="110"/>
        <v/>
      </c>
      <c r="D1752" s="109" t="str">
        <f t="shared" si="111"/>
        <v/>
      </c>
      <c r="E1752" s="106"/>
      <c r="G1752" s="106"/>
      <c r="H1752" s="107"/>
      <c r="I1752" s="107"/>
      <c r="J1752" s="107"/>
      <c r="K1752" s="107"/>
      <c r="L1752" s="107"/>
      <c r="M1752" s="107"/>
      <c r="N1752" s="107"/>
      <c r="O1752" s="107"/>
      <c r="P1752" s="107"/>
    </row>
    <row r="1753" spans="1:16" x14ac:dyDescent="0.3">
      <c r="A1753" s="58">
        <f t="shared" si="112"/>
        <v>0</v>
      </c>
      <c r="B1753" s="59" t="str">
        <f t="shared" si="109"/>
        <v/>
      </c>
      <c r="C1753" s="59" t="str">
        <f t="shared" si="110"/>
        <v/>
      </c>
      <c r="D1753" s="109" t="str">
        <f t="shared" si="111"/>
        <v/>
      </c>
      <c r="E1753" s="106"/>
      <c r="G1753" s="106"/>
      <c r="H1753" s="107"/>
      <c r="I1753" s="107"/>
      <c r="J1753" s="107"/>
      <c r="K1753" s="107"/>
      <c r="L1753" s="107"/>
      <c r="M1753" s="107"/>
      <c r="N1753" s="107"/>
      <c r="O1753" s="107"/>
      <c r="P1753" s="107"/>
    </row>
    <row r="1754" spans="1:16" x14ac:dyDescent="0.3">
      <c r="A1754" s="58">
        <f t="shared" si="112"/>
        <v>0</v>
      </c>
      <c r="B1754" s="59" t="str">
        <f t="shared" si="109"/>
        <v/>
      </c>
      <c r="C1754" s="59" t="str">
        <f t="shared" si="110"/>
        <v/>
      </c>
      <c r="D1754" s="109" t="str">
        <f t="shared" si="111"/>
        <v/>
      </c>
      <c r="E1754" s="106"/>
      <c r="G1754" s="106"/>
      <c r="H1754" s="107"/>
      <c r="I1754" s="107"/>
      <c r="J1754" s="107"/>
      <c r="K1754" s="107"/>
      <c r="L1754" s="107"/>
      <c r="M1754" s="107"/>
      <c r="N1754" s="107"/>
      <c r="O1754" s="107"/>
      <c r="P1754" s="107"/>
    </row>
    <row r="1755" spans="1:16" x14ac:dyDescent="0.3">
      <c r="A1755" s="58">
        <f t="shared" si="112"/>
        <v>0</v>
      </c>
      <c r="B1755" s="59" t="str">
        <f t="shared" si="109"/>
        <v/>
      </c>
      <c r="C1755" s="59" t="str">
        <f t="shared" si="110"/>
        <v/>
      </c>
      <c r="D1755" s="109" t="str">
        <f t="shared" si="111"/>
        <v/>
      </c>
      <c r="E1755" s="106"/>
      <c r="G1755" s="106"/>
      <c r="H1755" s="107"/>
      <c r="I1755" s="107"/>
      <c r="J1755" s="107"/>
      <c r="K1755" s="107"/>
      <c r="L1755" s="107"/>
      <c r="M1755" s="107"/>
      <c r="N1755" s="107"/>
      <c r="O1755" s="107"/>
      <c r="P1755" s="107"/>
    </row>
    <row r="1756" spans="1:16" x14ac:dyDescent="0.3">
      <c r="A1756" s="58">
        <f t="shared" si="112"/>
        <v>0</v>
      </c>
      <c r="B1756" s="59" t="str">
        <f t="shared" si="109"/>
        <v/>
      </c>
      <c r="C1756" s="59" t="str">
        <f t="shared" si="110"/>
        <v/>
      </c>
      <c r="D1756" s="109" t="str">
        <f t="shared" si="111"/>
        <v/>
      </c>
      <c r="E1756" s="106"/>
      <c r="G1756" s="106"/>
      <c r="H1756" s="107"/>
      <c r="I1756" s="107"/>
      <c r="J1756" s="107"/>
      <c r="K1756" s="107"/>
      <c r="L1756" s="107"/>
      <c r="M1756" s="107"/>
      <c r="N1756" s="107"/>
      <c r="O1756" s="107"/>
      <c r="P1756" s="107"/>
    </row>
    <row r="1757" spans="1:16" x14ac:dyDescent="0.3">
      <c r="A1757" s="58">
        <f t="shared" si="112"/>
        <v>0</v>
      </c>
      <c r="B1757" s="59" t="str">
        <f t="shared" si="109"/>
        <v/>
      </c>
      <c r="C1757" s="59" t="str">
        <f t="shared" si="110"/>
        <v/>
      </c>
      <c r="D1757" s="109" t="str">
        <f t="shared" si="111"/>
        <v/>
      </c>
      <c r="E1757" s="106"/>
      <c r="G1757" s="106"/>
      <c r="H1757" s="107"/>
      <c r="I1757" s="107"/>
      <c r="J1757" s="107"/>
      <c r="K1757" s="107"/>
      <c r="L1757" s="107"/>
      <c r="M1757" s="107"/>
      <c r="N1757" s="107"/>
      <c r="O1757" s="107"/>
      <c r="P1757" s="107"/>
    </row>
    <row r="1758" spans="1:16" x14ac:dyDescent="0.3">
      <c r="A1758" s="58">
        <f t="shared" si="112"/>
        <v>0</v>
      </c>
      <c r="B1758" s="59" t="str">
        <f t="shared" si="109"/>
        <v/>
      </c>
      <c r="C1758" s="59" t="str">
        <f t="shared" si="110"/>
        <v/>
      </c>
      <c r="D1758" s="109" t="str">
        <f t="shared" si="111"/>
        <v/>
      </c>
      <c r="E1758" s="106"/>
      <c r="G1758" s="106"/>
      <c r="H1758" s="107"/>
      <c r="I1758" s="107"/>
      <c r="J1758" s="107"/>
      <c r="K1758" s="107"/>
      <c r="L1758" s="107"/>
      <c r="M1758" s="107"/>
      <c r="N1758" s="107"/>
      <c r="O1758" s="107"/>
      <c r="P1758" s="107"/>
    </row>
    <row r="1759" spans="1:16" x14ac:dyDescent="0.3">
      <c r="A1759" s="58">
        <f t="shared" si="112"/>
        <v>0</v>
      </c>
      <c r="B1759" s="59" t="str">
        <f t="shared" si="109"/>
        <v/>
      </c>
      <c r="C1759" s="59" t="str">
        <f t="shared" si="110"/>
        <v/>
      </c>
      <c r="D1759" s="109" t="str">
        <f t="shared" si="111"/>
        <v/>
      </c>
      <c r="E1759" s="106"/>
      <c r="G1759" s="106"/>
      <c r="H1759" s="107"/>
      <c r="I1759" s="107"/>
      <c r="J1759" s="107"/>
      <c r="K1759" s="107"/>
      <c r="L1759" s="107"/>
      <c r="M1759" s="107"/>
      <c r="N1759" s="107"/>
      <c r="O1759" s="107"/>
      <c r="P1759" s="107"/>
    </row>
    <row r="1760" spans="1:16" x14ac:dyDescent="0.3">
      <c r="A1760" s="58">
        <f t="shared" si="112"/>
        <v>0</v>
      </c>
      <c r="B1760" s="59" t="str">
        <f t="shared" si="109"/>
        <v/>
      </c>
      <c r="C1760" s="59" t="str">
        <f t="shared" si="110"/>
        <v/>
      </c>
      <c r="D1760" s="109" t="str">
        <f t="shared" si="111"/>
        <v/>
      </c>
      <c r="E1760" s="106"/>
      <c r="G1760" s="106"/>
      <c r="H1760" s="107"/>
      <c r="I1760" s="107"/>
      <c r="J1760" s="107"/>
      <c r="K1760" s="107"/>
      <c r="L1760" s="107"/>
      <c r="M1760" s="107"/>
      <c r="N1760" s="107"/>
      <c r="O1760" s="107"/>
      <c r="P1760" s="107"/>
    </row>
    <row r="1761" spans="1:16" x14ac:dyDescent="0.3">
      <c r="A1761" s="58">
        <f t="shared" si="112"/>
        <v>0</v>
      </c>
      <c r="B1761" s="59" t="str">
        <f t="shared" si="109"/>
        <v/>
      </c>
      <c r="C1761" s="59" t="str">
        <f t="shared" si="110"/>
        <v/>
      </c>
      <c r="D1761" s="109" t="str">
        <f t="shared" si="111"/>
        <v/>
      </c>
      <c r="E1761" s="106"/>
      <c r="G1761" s="106"/>
      <c r="H1761" s="107"/>
      <c r="I1761" s="107"/>
      <c r="J1761" s="107"/>
      <c r="K1761" s="107"/>
      <c r="L1761" s="107"/>
      <c r="M1761" s="107"/>
      <c r="N1761" s="107"/>
      <c r="O1761" s="107"/>
      <c r="P1761" s="107"/>
    </row>
    <row r="1762" spans="1:16" x14ac:dyDescent="0.3">
      <c r="A1762" s="58">
        <f t="shared" si="112"/>
        <v>0</v>
      </c>
      <c r="B1762" s="59" t="str">
        <f t="shared" si="109"/>
        <v/>
      </c>
      <c r="C1762" s="59" t="str">
        <f t="shared" si="110"/>
        <v/>
      </c>
      <c r="D1762" s="109" t="str">
        <f t="shared" si="111"/>
        <v/>
      </c>
      <c r="E1762" s="106"/>
      <c r="G1762" s="106"/>
      <c r="H1762" s="107"/>
      <c r="I1762" s="107"/>
      <c r="J1762" s="107"/>
      <c r="K1762" s="107"/>
      <c r="L1762" s="107"/>
      <c r="M1762" s="107"/>
      <c r="N1762" s="107"/>
      <c r="O1762" s="107"/>
      <c r="P1762" s="107"/>
    </row>
    <row r="1763" spans="1:16" x14ac:dyDescent="0.3">
      <c r="A1763" s="58">
        <f t="shared" si="112"/>
        <v>0</v>
      </c>
      <c r="B1763" s="59" t="str">
        <f t="shared" si="109"/>
        <v/>
      </c>
      <c r="C1763" s="59" t="str">
        <f t="shared" si="110"/>
        <v/>
      </c>
      <c r="D1763" s="109" t="str">
        <f t="shared" si="111"/>
        <v/>
      </c>
      <c r="E1763" s="106"/>
      <c r="G1763" s="106"/>
      <c r="H1763" s="107"/>
      <c r="I1763" s="107"/>
      <c r="J1763" s="107"/>
      <c r="K1763" s="107"/>
      <c r="L1763" s="107"/>
      <c r="M1763" s="107"/>
      <c r="N1763" s="107"/>
      <c r="O1763" s="107"/>
      <c r="P1763" s="107"/>
    </row>
    <row r="1764" spans="1:16" x14ac:dyDescent="0.3">
      <c r="A1764" s="58">
        <f t="shared" si="112"/>
        <v>0</v>
      </c>
      <c r="B1764" s="59" t="str">
        <f t="shared" si="109"/>
        <v/>
      </c>
      <c r="C1764" s="59" t="str">
        <f t="shared" si="110"/>
        <v/>
      </c>
      <c r="D1764" s="109" t="str">
        <f t="shared" si="111"/>
        <v/>
      </c>
      <c r="E1764" s="106"/>
      <c r="G1764" s="106"/>
      <c r="H1764" s="107"/>
      <c r="I1764" s="107"/>
      <c r="J1764" s="107"/>
      <c r="K1764" s="107"/>
      <c r="L1764" s="107"/>
      <c r="M1764" s="107"/>
      <c r="N1764" s="107"/>
      <c r="O1764" s="107"/>
      <c r="P1764" s="107"/>
    </row>
    <row r="1765" spans="1:16" x14ac:dyDescent="0.3">
      <c r="A1765" s="58">
        <f t="shared" si="112"/>
        <v>0</v>
      </c>
      <c r="B1765" s="59" t="str">
        <f t="shared" si="109"/>
        <v/>
      </c>
      <c r="C1765" s="59" t="str">
        <f t="shared" si="110"/>
        <v/>
      </c>
      <c r="D1765" s="109" t="str">
        <f t="shared" si="111"/>
        <v/>
      </c>
      <c r="E1765" s="106"/>
      <c r="G1765" s="106"/>
      <c r="H1765" s="107"/>
      <c r="I1765" s="107"/>
      <c r="J1765" s="107"/>
      <c r="K1765" s="107"/>
      <c r="L1765" s="107"/>
      <c r="M1765" s="107"/>
      <c r="N1765" s="107"/>
      <c r="O1765" s="107"/>
      <c r="P1765" s="107"/>
    </row>
    <row r="1766" spans="1:16" x14ac:dyDescent="0.3">
      <c r="A1766" s="58">
        <f t="shared" si="112"/>
        <v>0</v>
      </c>
      <c r="B1766" s="59" t="str">
        <f t="shared" si="109"/>
        <v/>
      </c>
      <c r="C1766" s="59" t="str">
        <f t="shared" si="110"/>
        <v/>
      </c>
      <c r="D1766" s="109" t="str">
        <f t="shared" si="111"/>
        <v/>
      </c>
      <c r="E1766" s="106"/>
      <c r="G1766" s="106"/>
      <c r="H1766" s="107"/>
      <c r="I1766" s="107"/>
      <c r="J1766" s="107"/>
    </row>
    <row r="1767" spans="1:16" x14ac:dyDescent="0.3">
      <c r="A1767" s="58">
        <f t="shared" si="112"/>
        <v>0</v>
      </c>
      <c r="B1767" s="59" t="str">
        <f t="shared" si="109"/>
        <v/>
      </c>
      <c r="C1767" s="59" t="str">
        <f t="shared" si="110"/>
        <v/>
      </c>
      <c r="D1767" s="109" t="str">
        <f t="shared" si="111"/>
        <v/>
      </c>
      <c r="E1767" s="106"/>
      <c r="G1767" s="106"/>
      <c r="H1767" s="107"/>
      <c r="I1767" s="107"/>
      <c r="J1767" s="107"/>
    </row>
    <row r="1768" spans="1:16" x14ac:dyDescent="0.3">
      <c r="A1768" s="58">
        <f t="shared" si="112"/>
        <v>0</v>
      </c>
      <c r="B1768" s="59" t="str">
        <f t="shared" si="109"/>
        <v/>
      </c>
      <c r="C1768" s="59" t="str">
        <f t="shared" si="110"/>
        <v/>
      </c>
      <c r="D1768" s="109" t="str">
        <f t="shared" si="111"/>
        <v/>
      </c>
      <c r="E1768" s="106"/>
      <c r="G1768" s="106"/>
      <c r="H1768" s="107"/>
      <c r="I1768" s="107"/>
      <c r="J1768" s="107"/>
    </row>
    <row r="1769" spans="1:16" x14ac:dyDescent="0.3">
      <c r="A1769" s="58">
        <f t="shared" si="112"/>
        <v>0</v>
      </c>
      <c r="B1769" s="59" t="str">
        <f t="shared" si="109"/>
        <v/>
      </c>
      <c r="C1769" s="59" t="str">
        <f t="shared" si="110"/>
        <v/>
      </c>
      <c r="D1769" s="109" t="str">
        <f t="shared" si="111"/>
        <v/>
      </c>
      <c r="E1769" s="106"/>
      <c r="G1769" s="106"/>
      <c r="H1769" s="107"/>
      <c r="I1769" s="107"/>
      <c r="J1769" s="107"/>
    </row>
    <row r="1770" spans="1:16" x14ac:dyDescent="0.3">
      <c r="A1770" s="58">
        <f t="shared" si="112"/>
        <v>0</v>
      </c>
      <c r="B1770" s="59" t="str">
        <f t="shared" si="109"/>
        <v/>
      </c>
      <c r="C1770" s="59" t="str">
        <f t="shared" si="110"/>
        <v/>
      </c>
      <c r="D1770" s="109" t="str">
        <f t="shared" si="111"/>
        <v/>
      </c>
      <c r="E1770" s="106"/>
      <c r="G1770" s="106"/>
      <c r="H1770" s="107"/>
      <c r="I1770" s="107"/>
      <c r="J1770" s="107"/>
    </row>
    <row r="1771" spans="1:16" x14ac:dyDescent="0.3">
      <c r="A1771" s="58">
        <f t="shared" si="112"/>
        <v>0</v>
      </c>
      <c r="B1771" s="59" t="str">
        <f t="shared" si="109"/>
        <v/>
      </c>
      <c r="C1771" s="59" t="str">
        <f t="shared" si="110"/>
        <v/>
      </c>
      <c r="D1771" s="109" t="str">
        <f t="shared" si="111"/>
        <v/>
      </c>
      <c r="E1771" s="106"/>
      <c r="G1771" s="106"/>
      <c r="H1771" s="107"/>
      <c r="I1771" s="107"/>
      <c r="J1771" s="107"/>
    </row>
    <row r="1772" spans="1:16" x14ac:dyDescent="0.3">
      <c r="A1772" s="58">
        <f t="shared" si="112"/>
        <v>0</v>
      </c>
      <c r="B1772" s="59" t="str">
        <f t="shared" si="109"/>
        <v/>
      </c>
      <c r="C1772" s="59" t="str">
        <f t="shared" si="110"/>
        <v/>
      </c>
      <c r="D1772" s="109" t="str">
        <f t="shared" si="111"/>
        <v/>
      </c>
      <c r="E1772" s="106"/>
      <c r="G1772" s="106"/>
      <c r="H1772" s="107"/>
      <c r="I1772" s="107"/>
      <c r="J1772" s="107"/>
    </row>
    <row r="1773" spans="1:16" x14ac:dyDescent="0.3">
      <c r="A1773" s="58">
        <f t="shared" si="112"/>
        <v>0</v>
      </c>
      <c r="B1773" s="59" t="str">
        <f t="shared" si="109"/>
        <v/>
      </c>
      <c r="C1773" s="59" t="str">
        <f t="shared" si="110"/>
        <v/>
      </c>
      <c r="D1773" s="109" t="str">
        <f t="shared" si="111"/>
        <v/>
      </c>
      <c r="E1773" s="106"/>
      <c r="G1773" s="106"/>
      <c r="H1773" s="107"/>
      <c r="I1773" s="107"/>
      <c r="J1773" s="107"/>
    </row>
    <row r="1774" spans="1:16" x14ac:dyDescent="0.3">
      <c r="A1774" s="58">
        <f t="shared" si="112"/>
        <v>0</v>
      </c>
      <c r="B1774" s="59" t="str">
        <f t="shared" si="109"/>
        <v/>
      </c>
      <c r="C1774" s="59" t="str">
        <f t="shared" si="110"/>
        <v/>
      </c>
      <c r="D1774" s="109" t="str">
        <f t="shared" si="111"/>
        <v/>
      </c>
      <c r="E1774" s="106"/>
      <c r="G1774" s="106"/>
      <c r="H1774" s="107"/>
      <c r="I1774" s="107"/>
      <c r="J1774" s="107"/>
    </row>
    <row r="1775" spans="1:16" x14ac:dyDescent="0.3">
      <c r="A1775" s="58">
        <f t="shared" si="112"/>
        <v>0</v>
      </c>
      <c r="B1775" s="59" t="str">
        <f t="shared" si="109"/>
        <v/>
      </c>
      <c r="C1775" s="59" t="str">
        <f t="shared" si="110"/>
        <v/>
      </c>
      <c r="D1775" s="109" t="str">
        <f t="shared" si="111"/>
        <v/>
      </c>
      <c r="E1775" s="106"/>
      <c r="G1775" s="106"/>
      <c r="H1775" s="107"/>
      <c r="I1775" s="107"/>
      <c r="J1775" s="107"/>
    </row>
    <row r="1776" spans="1:16" x14ac:dyDescent="0.3">
      <c r="A1776" s="58">
        <f t="shared" si="112"/>
        <v>0</v>
      </c>
      <c r="B1776" s="59" t="str">
        <f t="shared" si="109"/>
        <v/>
      </c>
      <c r="C1776" s="59" t="str">
        <f t="shared" si="110"/>
        <v/>
      </c>
      <c r="D1776" s="109" t="str">
        <f t="shared" si="111"/>
        <v/>
      </c>
      <c r="E1776" s="106"/>
      <c r="G1776" s="106"/>
      <c r="H1776" s="107"/>
      <c r="I1776" s="107"/>
      <c r="J1776" s="107"/>
    </row>
    <row r="1777" spans="1:10" x14ac:dyDescent="0.3">
      <c r="A1777" s="58">
        <f t="shared" si="112"/>
        <v>0</v>
      </c>
      <c r="B1777" s="59" t="str">
        <f t="shared" si="109"/>
        <v/>
      </c>
      <c r="C1777" s="59" t="str">
        <f t="shared" si="110"/>
        <v/>
      </c>
      <c r="D1777" s="109" t="str">
        <f t="shared" si="111"/>
        <v/>
      </c>
      <c r="E1777" s="106"/>
      <c r="G1777" s="106"/>
      <c r="H1777" s="107"/>
      <c r="I1777" s="107"/>
      <c r="J1777" s="107"/>
    </row>
    <row r="1778" spans="1:10" x14ac:dyDescent="0.3">
      <c r="A1778" s="58">
        <f t="shared" si="112"/>
        <v>0</v>
      </c>
      <c r="B1778" s="59" t="str">
        <f t="shared" si="109"/>
        <v/>
      </c>
      <c r="C1778" s="59" t="str">
        <f t="shared" si="110"/>
        <v/>
      </c>
      <c r="D1778" s="109" t="str">
        <f t="shared" si="111"/>
        <v/>
      </c>
      <c r="E1778" s="106"/>
      <c r="G1778" s="106"/>
      <c r="H1778" s="107"/>
      <c r="I1778" s="107"/>
      <c r="J1778" s="107"/>
    </row>
    <row r="1779" spans="1:10" x14ac:dyDescent="0.3">
      <c r="A1779" s="58">
        <f t="shared" si="112"/>
        <v>0</v>
      </c>
      <c r="B1779" s="59" t="str">
        <f t="shared" si="109"/>
        <v/>
      </c>
      <c r="C1779" s="59" t="str">
        <f t="shared" si="110"/>
        <v/>
      </c>
      <c r="D1779" s="109" t="str">
        <f t="shared" si="111"/>
        <v/>
      </c>
      <c r="E1779" s="106"/>
      <c r="G1779" s="106"/>
      <c r="H1779" s="107"/>
      <c r="I1779" s="107"/>
      <c r="J1779" s="107"/>
    </row>
    <row r="1780" spans="1:10" x14ac:dyDescent="0.3">
      <c r="A1780" s="58">
        <f t="shared" si="112"/>
        <v>0</v>
      </c>
      <c r="B1780" s="59" t="str">
        <f t="shared" si="109"/>
        <v/>
      </c>
      <c r="C1780" s="59" t="str">
        <f t="shared" si="110"/>
        <v/>
      </c>
      <c r="D1780" s="109" t="str">
        <f t="shared" si="111"/>
        <v/>
      </c>
      <c r="E1780" s="106"/>
      <c r="G1780" s="106"/>
      <c r="H1780" s="107"/>
      <c r="I1780" s="107"/>
      <c r="J1780" s="107"/>
    </row>
    <row r="1781" spans="1:10" x14ac:dyDescent="0.3">
      <c r="A1781" s="58">
        <f t="shared" si="112"/>
        <v>0</v>
      </c>
      <c r="B1781" s="59" t="str">
        <f t="shared" si="109"/>
        <v/>
      </c>
      <c r="C1781" s="59" t="str">
        <f t="shared" si="110"/>
        <v/>
      </c>
      <c r="D1781" s="109" t="str">
        <f t="shared" si="111"/>
        <v/>
      </c>
      <c r="E1781" s="106"/>
      <c r="G1781" s="106"/>
      <c r="H1781" s="107"/>
      <c r="I1781" s="107"/>
      <c r="J1781" s="107"/>
    </row>
    <row r="1782" spans="1:10" x14ac:dyDescent="0.3">
      <c r="A1782" s="58">
        <f t="shared" si="112"/>
        <v>0</v>
      </c>
      <c r="B1782" s="59" t="str">
        <f t="shared" si="109"/>
        <v/>
      </c>
      <c r="C1782" s="59" t="str">
        <f t="shared" si="110"/>
        <v/>
      </c>
      <c r="D1782" s="109" t="str">
        <f t="shared" si="111"/>
        <v/>
      </c>
      <c r="E1782" s="106"/>
      <c r="G1782" s="106"/>
      <c r="H1782" s="107"/>
      <c r="I1782" s="107"/>
      <c r="J1782" s="107"/>
    </row>
    <row r="1783" spans="1:10" x14ac:dyDescent="0.3">
      <c r="A1783" s="58">
        <f t="shared" si="112"/>
        <v>0</v>
      </c>
      <c r="B1783" s="59" t="str">
        <f t="shared" si="109"/>
        <v/>
      </c>
      <c r="C1783" s="59" t="str">
        <f t="shared" si="110"/>
        <v/>
      </c>
      <c r="D1783" s="109" t="str">
        <f t="shared" si="111"/>
        <v/>
      </c>
      <c r="E1783" s="106"/>
      <c r="G1783" s="106"/>
      <c r="H1783" s="107"/>
      <c r="I1783" s="107"/>
      <c r="J1783" s="107"/>
    </row>
    <row r="1784" spans="1:10" x14ac:dyDescent="0.3">
      <c r="A1784" s="58">
        <f t="shared" si="112"/>
        <v>0</v>
      </c>
      <c r="B1784" s="59" t="str">
        <f t="shared" si="109"/>
        <v/>
      </c>
      <c r="C1784" s="59" t="str">
        <f t="shared" si="110"/>
        <v/>
      </c>
      <c r="D1784" s="109" t="str">
        <f t="shared" si="111"/>
        <v/>
      </c>
      <c r="E1784" s="106"/>
      <c r="G1784" s="106"/>
      <c r="H1784" s="107"/>
      <c r="I1784" s="107"/>
      <c r="J1784" s="107"/>
    </row>
    <row r="1785" spans="1:10" x14ac:dyDescent="0.3">
      <c r="A1785" s="58">
        <f t="shared" si="112"/>
        <v>0</v>
      </c>
      <c r="B1785" s="59" t="str">
        <f t="shared" si="109"/>
        <v/>
      </c>
      <c r="C1785" s="59" t="str">
        <f t="shared" si="110"/>
        <v/>
      </c>
      <c r="D1785" s="109" t="str">
        <f t="shared" si="111"/>
        <v/>
      </c>
      <c r="E1785" s="106"/>
      <c r="G1785" s="106"/>
      <c r="H1785" s="107"/>
      <c r="I1785" s="107"/>
    </row>
    <row r="1786" spans="1:10" x14ac:dyDescent="0.3">
      <c r="A1786" s="58">
        <f t="shared" si="112"/>
        <v>0</v>
      </c>
      <c r="B1786" s="59" t="str">
        <f t="shared" si="109"/>
        <v/>
      </c>
      <c r="C1786" s="59" t="str">
        <f t="shared" si="110"/>
        <v/>
      </c>
      <c r="D1786" s="109" t="str">
        <f t="shared" si="111"/>
        <v/>
      </c>
      <c r="E1786" s="106"/>
      <c r="G1786" s="106"/>
      <c r="H1786" s="107"/>
      <c r="I1786" s="107"/>
    </row>
    <row r="1787" spans="1:10" x14ac:dyDescent="0.3">
      <c r="A1787" s="58">
        <f t="shared" si="112"/>
        <v>0</v>
      </c>
      <c r="B1787" s="59" t="str">
        <f t="shared" si="109"/>
        <v/>
      </c>
      <c r="C1787" s="59" t="str">
        <f t="shared" si="110"/>
        <v/>
      </c>
      <c r="D1787" s="109" t="str">
        <f t="shared" si="111"/>
        <v/>
      </c>
      <c r="E1787" s="106"/>
      <c r="G1787" s="106"/>
      <c r="H1787" s="107"/>
      <c r="I1787" s="107"/>
    </row>
    <row r="1788" spans="1:10" x14ac:dyDescent="0.3">
      <c r="A1788" s="58">
        <f t="shared" si="112"/>
        <v>0</v>
      </c>
      <c r="B1788" s="59" t="str">
        <f t="shared" si="109"/>
        <v/>
      </c>
      <c r="C1788" s="59" t="str">
        <f t="shared" si="110"/>
        <v/>
      </c>
      <c r="D1788" s="109" t="str">
        <f t="shared" si="111"/>
        <v/>
      </c>
      <c r="E1788" s="106"/>
      <c r="G1788" s="106"/>
      <c r="H1788" s="107"/>
      <c r="I1788" s="107"/>
    </row>
    <row r="1789" spans="1:10" x14ac:dyDescent="0.3">
      <c r="A1789" s="58">
        <f t="shared" si="112"/>
        <v>0</v>
      </c>
      <c r="B1789" s="59" t="str">
        <f t="shared" si="109"/>
        <v/>
      </c>
      <c r="C1789" s="59" t="str">
        <f t="shared" si="110"/>
        <v/>
      </c>
      <c r="D1789" s="109" t="str">
        <f t="shared" si="111"/>
        <v/>
      </c>
      <c r="E1789" s="106"/>
      <c r="G1789" s="106"/>
      <c r="H1789" s="107"/>
      <c r="I1789" s="107"/>
    </row>
    <row r="1790" spans="1:10" x14ac:dyDescent="0.3">
      <c r="A1790" s="58">
        <f t="shared" si="112"/>
        <v>0</v>
      </c>
      <c r="B1790" s="59" t="str">
        <f t="shared" si="109"/>
        <v/>
      </c>
      <c r="C1790" s="59" t="str">
        <f t="shared" si="110"/>
        <v/>
      </c>
      <c r="D1790" s="109" t="str">
        <f t="shared" si="111"/>
        <v/>
      </c>
      <c r="E1790" s="106"/>
      <c r="G1790" s="106"/>
      <c r="H1790" s="107"/>
      <c r="I1790" s="107"/>
    </row>
    <row r="1791" spans="1:10" x14ac:dyDescent="0.3">
      <c r="A1791" s="58">
        <f t="shared" si="112"/>
        <v>0</v>
      </c>
      <c r="B1791" s="59" t="str">
        <f t="shared" si="109"/>
        <v/>
      </c>
      <c r="C1791" s="59" t="str">
        <f t="shared" si="110"/>
        <v/>
      </c>
      <c r="D1791" s="109" t="str">
        <f t="shared" si="111"/>
        <v/>
      </c>
      <c r="E1791" s="106"/>
      <c r="G1791" s="106"/>
      <c r="H1791" s="107"/>
      <c r="I1791" s="107"/>
    </row>
    <row r="1792" spans="1:10" x14ac:dyDescent="0.3">
      <c r="A1792" s="58">
        <f t="shared" si="112"/>
        <v>0</v>
      </c>
      <c r="B1792" s="59" t="str">
        <f t="shared" si="109"/>
        <v/>
      </c>
      <c r="C1792" s="59" t="str">
        <f t="shared" si="110"/>
        <v/>
      </c>
      <c r="D1792" s="109" t="str">
        <f t="shared" si="111"/>
        <v/>
      </c>
      <c r="E1792" s="106"/>
      <c r="G1792" s="106"/>
      <c r="H1792" s="107"/>
      <c r="I1792" s="107"/>
    </row>
    <row r="1793" spans="1:9" x14ac:dyDescent="0.3">
      <c r="A1793" s="58">
        <f t="shared" si="112"/>
        <v>0</v>
      </c>
      <c r="B1793" s="59" t="str">
        <f t="shared" si="109"/>
        <v/>
      </c>
      <c r="C1793" s="59" t="str">
        <f t="shared" si="110"/>
        <v/>
      </c>
      <c r="D1793" s="109" t="str">
        <f t="shared" si="111"/>
        <v/>
      </c>
      <c r="E1793" s="106"/>
      <c r="G1793" s="106"/>
      <c r="H1793" s="107"/>
      <c r="I1793" s="107"/>
    </row>
    <row r="1794" spans="1:9" x14ac:dyDescent="0.3">
      <c r="A1794" s="58">
        <f t="shared" si="112"/>
        <v>0</v>
      </c>
      <c r="B1794" s="59" t="str">
        <f t="shared" si="109"/>
        <v/>
      </c>
      <c r="C1794" s="59" t="str">
        <f t="shared" si="110"/>
        <v/>
      </c>
      <c r="D1794" s="109" t="str">
        <f t="shared" si="111"/>
        <v/>
      </c>
      <c r="E1794" s="106"/>
      <c r="G1794" s="106"/>
      <c r="H1794" s="107"/>
      <c r="I1794" s="107"/>
    </row>
    <row r="1795" spans="1:9" x14ac:dyDescent="0.3">
      <c r="D1795" s="109"/>
      <c r="E1795" s="106"/>
      <c r="G1795" s="106"/>
      <c r="H1795" s="107"/>
      <c r="I1795" s="107"/>
    </row>
    <row r="1796" spans="1:9" x14ac:dyDescent="0.3">
      <c r="D1796" s="109"/>
      <c r="E1796" s="106"/>
      <c r="G1796" s="106"/>
      <c r="H1796" s="107"/>
      <c r="I1796" s="107"/>
    </row>
    <row r="1797" spans="1:9" x14ac:dyDescent="0.3">
      <c r="D1797" s="109"/>
      <c r="E1797" s="106"/>
      <c r="G1797" s="106"/>
      <c r="H1797" s="107"/>
      <c r="I1797" s="107"/>
    </row>
    <row r="1798" spans="1:9" x14ac:dyDescent="0.3">
      <c r="D1798" s="109"/>
      <c r="E1798" s="106"/>
      <c r="G1798" s="106"/>
      <c r="H1798" s="107"/>
      <c r="I1798" s="107"/>
    </row>
    <row r="1799" spans="1:9" x14ac:dyDescent="0.3">
      <c r="D1799" s="109"/>
      <c r="E1799" s="106"/>
      <c r="G1799" s="106"/>
      <c r="H1799" s="107"/>
      <c r="I1799" s="107"/>
    </row>
    <row r="1800" spans="1:9" x14ac:dyDescent="0.3">
      <c r="D1800" s="109"/>
      <c r="E1800" s="106"/>
      <c r="G1800" s="106"/>
      <c r="H1800" s="107"/>
      <c r="I1800" s="107"/>
    </row>
    <row r="1801" spans="1:9" x14ac:dyDescent="0.3">
      <c r="D1801" s="109"/>
      <c r="E1801" s="106"/>
      <c r="G1801" s="106"/>
      <c r="H1801" s="107"/>
      <c r="I1801" s="107"/>
    </row>
    <row r="1802" spans="1:9" x14ac:dyDescent="0.3">
      <c r="D1802" s="109"/>
      <c r="E1802" s="106"/>
      <c r="G1802" s="106"/>
      <c r="H1802" s="107"/>
      <c r="I1802" s="107"/>
    </row>
    <row r="1803" spans="1:9" x14ac:dyDescent="0.3">
      <c r="D1803" s="109"/>
      <c r="E1803" s="106"/>
      <c r="G1803" s="106"/>
      <c r="H1803" s="107"/>
      <c r="I1803" s="107"/>
    </row>
    <row r="1804" spans="1:9" x14ac:dyDescent="0.3">
      <c r="D1804" s="109"/>
      <c r="E1804" s="106"/>
      <c r="G1804" s="106"/>
      <c r="H1804" s="107"/>
      <c r="I1804" s="107"/>
    </row>
    <row r="1805" spans="1:9" x14ac:dyDescent="0.3">
      <c r="D1805" s="109"/>
      <c r="E1805" s="106"/>
      <c r="G1805" s="106"/>
      <c r="H1805" s="107"/>
      <c r="I1805" s="107"/>
    </row>
    <row r="1806" spans="1:9" x14ac:dyDescent="0.3">
      <c r="D1806" s="109"/>
      <c r="E1806" s="106"/>
      <c r="G1806" s="106"/>
      <c r="H1806" s="107"/>
      <c r="I1806" s="107"/>
    </row>
    <row r="1807" spans="1:9" x14ac:dyDescent="0.3">
      <c r="D1807" s="109"/>
      <c r="E1807" s="106"/>
      <c r="G1807" s="106"/>
      <c r="H1807" s="107"/>
      <c r="I1807" s="107"/>
    </row>
    <row r="1808" spans="1:9" x14ac:dyDescent="0.3">
      <c r="D1808" s="109"/>
      <c r="E1808" s="106"/>
      <c r="G1808" s="106"/>
      <c r="H1808" s="107"/>
      <c r="I1808" s="107"/>
    </row>
    <row r="1809" spans="4:9" x14ac:dyDescent="0.3">
      <c r="D1809" s="109"/>
      <c r="E1809" s="106"/>
      <c r="G1809" s="106"/>
      <c r="H1809" s="107"/>
      <c r="I1809" s="107"/>
    </row>
    <row r="1810" spans="4:9" x14ac:dyDescent="0.3">
      <c r="D1810" s="109"/>
      <c r="E1810" s="106"/>
      <c r="G1810" s="106"/>
      <c r="H1810" s="107"/>
      <c r="I1810" s="107"/>
    </row>
    <row r="1811" spans="4:9" x14ac:dyDescent="0.3">
      <c r="D1811" s="109"/>
      <c r="E1811" s="106"/>
      <c r="G1811" s="106"/>
      <c r="H1811" s="107"/>
      <c r="I1811" s="107"/>
    </row>
    <row r="1812" spans="4:9" x14ac:dyDescent="0.3">
      <c r="D1812" s="109"/>
      <c r="E1812" s="106"/>
      <c r="G1812" s="106"/>
      <c r="H1812" s="107"/>
      <c r="I1812" s="107"/>
    </row>
    <row r="1813" spans="4:9" x14ac:dyDescent="0.3">
      <c r="D1813" s="109"/>
      <c r="E1813" s="106"/>
      <c r="G1813" s="106"/>
      <c r="H1813" s="107"/>
      <c r="I1813" s="107"/>
    </row>
    <row r="1814" spans="4:9" x14ac:dyDescent="0.3">
      <c r="D1814" s="109"/>
      <c r="E1814" s="106"/>
      <c r="G1814" s="106"/>
      <c r="H1814" s="107"/>
      <c r="I1814" s="107"/>
    </row>
    <row r="1815" spans="4:9" x14ac:dyDescent="0.3">
      <c r="D1815" s="109"/>
      <c r="E1815" s="106"/>
      <c r="G1815" s="106"/>
      <c r="H1815" s="107"/>
      <c r="I1815" s="107"/>
    </row>
    <row r="1816" spans="4:9" x14ac:dyDescent="0.3">
      <c r="D1816" s="109"/>
      <c r="E1816" s="106"/>
      <c r="G1816" s="106"/>
      <c r="H1816" s="107"/>
      <c r="I1816" s="107"/>
    </row>
    <row r="1817" spans="4:9" x14ac:dyDescent="0.3">
      <c r="D1817" s="109"/>
      <c r="E1817" s="106"/>
      <c r="G1817" s="106"/>
      <c r="H1817" s="107"/>
      <c r="I1817" s="107"/>
    </row>
    <row r="1818" spans="4:9" x14ac:dyDescent="0.3">
      <c r="D1818" s="109"/>
      <c r="E1818" s="106"/>
      <c r="G1818" s="106"/>
      <c r="H1818" s="107"/>
      <c r="I1818" s="107"/>
    </row>
    <row r="1819" spans="4:9" x14ac:dyDescent="0.3">
      <c r="D1819" s="109"/>
      <c r="E1819" s="106"/>
      <c r="G1819" s="106"/>
      <c r="H1819" s="107"/>
      <c r="I1819" s="107"/>
    </row>
    <row r="1820" spans="4:9" x14ac:dyDescent="0.3">
      <c r="D1820" s="109"/>
      <c r="E1820" s="106"/>
      <c r="G1820" s="106"/>
      <c r="H1820" s="107"/>
      <c r="I1820" s="107"/>
    </row>
    <row r="1821" spans="4:9" x14ac:dyDescent="0.3">
      <c r="D1821" s="109"/>
      <c r="E1821" s="106"/>
      <c r="G1821" s="106"/>
      <c r="H1821" s="107"/>
      <c r="I1821" s="107"/>
    </row>
    <row r="1822" spans="4:9" x14ac:dyDescent="0.3">
      <c r="D1822" s="109"/>
      <c r="E1822" s="106"/>
      <c r="G1822" s="106"/>
      <c r="H1822" s="107"/>
      <c r="I1822" s="107"/>
    </row>
    <row r="1823" spans="4:9" x14ac:dyDescent="0.3">
      <c r="D1823" s="109"/>
      <c r="E1823" s="106"/>
      <c r="G1823" s="106"/>
      <c r="H1823" s="107"/>
      <c r="I1823" s="107"/>
    </row>
    <row r="1824" spans="4:9" x14ac:dyDescent="0.3">
      <c r="D1824" s="109"/>
      <c r="E1824" s="106"/>
      <c r="G1824" s="106"/>
      <c r="H1824" s="107"/>
      <c r="I1824" s="107"/>
    </row>
    <row r="1825" spans="4:9" x14ac:dyDescent="0.3">
      <c r="D1825" s="109"/>
      <c r="E1825" s="106"/>
      <c r="G1825" s="106"/>
      <c r="H1825" s="107"/>
      <c r="I1825" s="107"/>
    </row>
    <row r="1826" spans="4:9" x14ac:dyDescent="0.3">
      <c r="D1826" s="109"/>
      <c r="E1826" s="106"/>
      <c r="G1826" s="106"/>
      <c r="H1826" s="107"/>
      <c r="I1826" s="107"/>
    </row>
    <row r="1827" spans="4:9" x14ac:dyDescent="0.3">
      <c r="D1827" s="109"/>
      <c r="E1827" s="106"/>
      <c r="G1827" s="106"/>
      <c r="H1827" s="107"/>
      <c r="I1827" s="107"/>
    </row>
    <row r="1828" spans="4:9" x14ac:dyDescent="0.3">
      <c r="D1828" s="109"/>
      <c r="E1828" s="106"/>
      <c r="G1828" s="106"/>
      <c r="H1828" s="107"/>
      <c r="I1828" s="107"/>
    </row>
    <row r="1829" spans="4:9" x14ac:dyDescent="0.3">
      <c r="D1829" s="109"/>
      <c r="E1829" s="106"/>
      <c r="G1829" s="106"/>
      <c r="H1829" s="107"/>
      <c r="I1829" s="107"/>
    </row>
    <row r="1830" spans="4:9" x14ac:dyDescent="0.3">
      <c r="D1830" s="109"/>
      <c r="E1830" s="106"/>
      <c r="G1830" s="106"/>
      <c r="H1830" s="107"/>
      <c r="I1830" s="107"/>
    </row>
    <row r="1831" spans="4:9" x14ac:dyDescent="0.3">
      <c r="D1831" s="109"/>
      <c r="E1831" s="106"/>
      <c r="G1831" s="106"/>
      <c r="H1831" s="107"/>
      <c r="I1831" s="107"/>
    </row>
    <row r="1832" spans="4:9" x14ac:dyDescent="0.3">
      <c r="D1832" s="109"/>
      <c r="E1832" s="106"/>
      <c r="G1832" s="106"/>
      <c r="H1832" s="107"/>
      <c r="I1832" s="107"/>
    </row>
    <row r="1833" spans="4:9" x14ac:dyDescent="0.3">
      <c r="D1833" s="109"/>
      <c r="E1833" s="106"/>
      <c r="G1833" s="106"/>
      <c r="H1833" s="107"/>
      <c r="I1833" s="107"/>
    </row>
    <row r="1834" spans="4:9" x14ac:dyDescent="0.3">
      <c r="D1834" s="109"/>
      <c r="E1834" s="106"/>
      <c r="G1834" s="106"/>
      <c r="H1834" s="107"/>
      <c r="I1834" s="107"/>
    </row>
    <row r="1835" spans="4:9" x14ac:dyDescent="0.3">
      <c r="D1835" s="109"/>
      <c r="E1835" s="106"/>
      <c r="G1835" s="106"/>
      <c r="H1835" s="107"/>
      <c r="I1835" s="107"/>
    </row>
    <row r="1836" spans="4:9" x14ac:dyDescent="0.3">
      <c r="D1836" s="109"/>
      <c r="E1836" s="106"/>
      <c r="G1836" s="106"/>
      <c r="H1836" s="107"/>
      <c r="I1836" s="107"/>
    </row>
    <row r="1837" spans="4:9" x14ac:dyDescent="0.3">
      <c r="D1837" s="109"/>
      <c r="E1837" s="106"/>
      <c r="G1837" s="106"/>
      <c r="H1837" s="107"/>
      <c r="I1837" s="107"/>
    </row>
    <row r="1838" spans="4:9" x14ac:dyDescent="0.3">
      <c r="D1838" s="109"/>
      <c r="E1838" s="106"/>
      <c r="G1838" s="106"/>
      <c r="H1838" s="107"/>
      <c r="I1838" s="107"/>
    </row>
    <row r="1839" spans="4:9" x14ac:dyDescent="0.3">
      <c r="D1839" s="109"/>
      <c r="E1839" s="106"/>
      <c r="G1839" s="106"/>
      <c r="H1839" s="107"/>
      <c r="I1839" s="107"/>
    </row>
    <row r="1840" spans="4:9" x14ac:dyDescent="0.3">
      <c r="D1840" s="109"/>
      <c r="E1840" s="106"/>
      <c r="G1840" s="106"/>
      <c r="H1840" s="107"/>
      <c r="I1840" s="107"/>
    </row>
    <row r="1841" spans="4:15" x14ac:dyDescent="0.3">
      <c r="D1841" s="109"/>
      <c r="E1841" s="106"/>
      <c r="G1841" s="106"/>
      <c r="H1841" s="107"/>
      <c r="I1841" s="107"/>
    </row>
    <row r="1842" spans="4:15" x14ac:dyDescent="0.3">
      <c r="D1842" s="109"/>
      <c r="E1842" s="106"/>
      <c r="G1842" s="106"/>
      <c r="H1842" s="107"/>
      <c r="I1842" s="107"/>
    </row>
    <row r="1843" spans="4:15" x14ac:dyDescent="0.3">
      <c r="D1843" s="109"/>
      <c r="E1843" s="106"/>
      <c r="G1843" s="106"/>
      <c r="H1843" s="107"/>
      <c r="I1843" s="107"/>
    </row>
    <row r="1844" spans="4:15" x14ac:dyDescent="0.3">
      <c r="D1844" s="109"/>
      <c r="E1844" s="106"/>
      <c r="G1844" s="106"/>
      <c r="H1844" s="107"/>
      <c r="I1844" s="107"/>
    </row>
    <row r="1845" spans="4:15" x14ac:dyDescent="0.3">
      <c r="D1845" s="109"/>
      <c r="E1845" s="106"/>
      <c r="G1845" s="106"/>
      <c r="H1845" s="107"/>
      <c r="I1845" s="107"/>
    </row>
    <row r="1846" spans="4:15" x14ac:dyDescent="0.3">
      <c r="D1846" s="109"/>
      <c r="E1846" s="106"/>
      <c r="G1846" s="106"/>
      <c r="H1846" s="107"/>
      <c r="I1846" s="107"/>
    </row>
    <row r="1847" spans="4:15" x14ac:dyDescent="0.3">
      <c r="D1847" s="109"/>
      <c r="E1847" s="106"/>
      <c r="G1847" s="106"/>
      <c r="H1847" s="107"/>
      <c r="I1847" s="107"/>
    </row>
    <row r="1848" spans="4:15" x14ac:dyDescent="0.3">
      <c r="D1848" s="109"/>
      <c r="E1848" s="106"/>
      <c r="G1848" s="106"/>
      <c r="H1848" s="107"/>
      <c r="I1848" s="107"/>
    </row>
    <row r="1849" spans="4:15" x14ac:dyDescent="0.3">
      <c r="D1849" s="109"/>
      <c r="E1849" s="106"/>
      <c r="G1849" s="106"/>
      <c r="H1849" s="107"/>
      <c r="I1849" s="107"/>
    </row>
    <row r="1850" spans="4:15" x14ac:dyDescent="0.3">
      <c r="D1850" s="109"/>
      <c r="E1850" s="106"/>
      <c r="G1850" s="106"/>
      <c r="H1850" s="107"/>
      <c r="I1850" s="107"/>
    </row>
    <row r="1851" spans="4:15" x14ac:dyDescent="0.3">
      <c r="D1851" s="109"/>
      <c r="E1851" s="106"/>
      <c r="G1851" s="106"/>
      <c r="H1851" s="107"/>
      <c r="I1851" s="107"/>
    </row>
    <row r="1852" spans="4:15" x14ac:dyDescent="0.3">
      <c r="D1852" s="109"/>
      <c r="E1852" s="106"/>
      <c r="G1852" s="106"/>
      <c r="H1852" s="107"/>
      <c r="I1852" s="107"/>
    </row>
    <row r="1853" spans="4:15" x14ac:dyDescent="0.3">
      <c r="D1853" s="109"/>
      <c r="E1853" s="106"/>
      <c r="G1853" s="106"/>
      <c r="H1853" s="107"/>
      <c r="I1853" s="107"/>
    </row>
    <row r="1854" spans="4:15" x14ac:dyDescent="0.3">
      <c r="D1854" s="109"/>
      <c r="E1854" s="106"/>
      <c r="G1854" s="106"/>
      <c r="H1854" s="107"/>
      <c r="I1854" s="107"/>
      <c r="O1854" s="108"/>
    </row>
    <row r="1855" spans="4:15" x14ac:dyDescent="0.3">
      <c r="D1855" s="109"/>
      <c r="E1855" s="106"/>
      <c r="G1855" s="106"/>
      <c r="H1855" s="107"/>
      <c r="I1855" s="107"/>
    </row>
    <row r="1856" spans="4:15" x14ac:dyDescent="0.3">
      <c r="D1856" s="109"/>
      <c r="E1856" s="106"/>
      <c r="G1856" s="106"/>
      <c r="H1856" s="107"/>
      <c r="I1856" s="107"/>
    </row>
    <row r="1857" spans="4:15" x14ac:dyDescent="0.3">
      <c r="D1857" s="109"/>
      <c r="E1857" s="106"/>
      <c r="G1857" s="106"/>
      <c r="H1857" s="107"/>
      <c r="I1857" s="107"/>
    </row>
    <row r="1858" spans="4:15" x14ac:dyDescent="0.3">
      <c r="D1858" s="109"/>
      <c r="E1858" s="106"/>
      <c r="G1858" s="106"/>
      <c r="H1858" s="107"/>
      <c r="I1858" s="107"/>
    </row>
    <row r="1859" spans="4:15" x14ac:dyDescent="0.3">
      <c r="D1859" s="109"/>
      <c r="E1859" s="106"/>
      <c r="G1859" s="106"/>
      <c r="H1859" s="107"/>
      <c r="I1859" s="107"/>
    </row>
    <row r="1860" spans="4:15" x14ac:dyDescent="0.3">
      <c r="D1860" s="109"/>
      <c r="E1860" s="106"/>
      <c r="G1860" s="106"/>
      <c r="H1860" s="107"/>
      <c r="I1860" s="107"/>
    </row>
    <row r="1861" spans="4:15" x14ac:dyDescent="0.3">
      <c r="D1861" s="109"/>
      <c r="E1861" s="106"/>
      <c r="G1861" s="106"/>
      <c r="H1861" s="107"/>
      <c r="I1861" s="107"/>
    </row>
    <row r="1862" spans="4:15" x14ac:dyDescent="0.3">
      <c r="D1862" s="109"/>
      <c r="E1862" s="106"/>
      <c r="G1862" s="106"/>
      <c r="H1862" s="107"/>
      <c r="I1862" s="107"/>
      <c r="O1862" s="108"/>
    </row>
    <row r="1863" spans="4:15" x14ac:dyDescent="0.3">
      <c r="D1863" s="109"/>
      <c r="E1863" s="106"/>
      <c r="G1863" s="106"/>
      <c r="H1863" s="107"/>
      <c r="I1863" s="107"/>
    </row>
    <row r="1864" spans="4:15" x14ac:dyDescent="0.3">
      <c r="D1864" s="109"/>
      <c r="E1864" s="106"/>
      <c r="G1864" s="106"/>
      <c r="H1864" s="107"/>
      <c r="I1864" s="107"/>
    </row>
    <row r="1865" spans="4:15" x14ac:dyDescent="0.3">
      <c r="D1865" s="109"/>
      <c r="E1865" s="106"/>
      <c r="G1865" s="106"/>
      <c r="H1865" s="107"/>
      <c r="I1865" s="107"/>
      <c r="O1865" s="108"/>
    </row>
    <row r="1866" spans="4:15" x14ac:dyDescent="0.3">
      <c r="D1866" s="109"/>
      <c r="E1866" s="106"/>
      <c r="G1866" s="106"/>
      <c r="H1866" s="107"/>
      <c r="I1866" s="107"/>
      <c r="O1866" s="108"/>
    </row>
    <row r="1867" spans="4:15" x14ac:dyDescent="0.3">
      <c r="D1867" s="109"/>
      <c r="E1867" s="106"/>
      <c r="G1867" s="106"/>
      <c r="H1867" s="107"/>
      <c r="I1867" s="107"/>
    </row>
    <row r="1868" spans="4:15" x14ac:dyDescent="0.3">
      <c r="D1868" s="109"/>
      <c r="E1868" s="106"/>
      <c r="G1868" s="106"/>
      <c r="H1868" s="107"/>
      <c r="I1868" s="107"/>
    </row>
    <row r="1869" spans="4:15" x14ac:dyDescent="0.3">
      <c r="D1869" s="109"/>
      <c r="E1869" s="106"/>
      <c r="G1869" s="106"/>
      <c r="H1869" s="107"/>
      <c r="I1869" s="107"/>
    </row>
    <row r="1870" spans="4:15" x14ac:dyDescent="0.3">
      <c r="D1870" s="109"/>
      <c r="E1870" s="106"/>
      <c r="G1870" s="106"/>
      <c r="H1870" s="107"/>
      <c r="I1870" s="107"/>
    </row>
    <row r="1871" spans="4:15" x14ac:dyDescent="0.3">
      <c r="D1871" s="109"/>
      <c r="E1871" s="106"/>
      <c r="G1871" s="106"/>
      <c r="H1871" s="107"/>
      <c r="I1871" s="107"/>
    </row>
    <row r="1872" spans="4:15" x14ac:dyDescent="0.3">
      <c r="D1872" s="109"/>
      <c r="E1872" s="106"/>
      <c r="G1872" s="106"/>
      <c r="H1872" s="107"/>
      <c r="I1872" s="107"/>
      <c r="O1872" s="108"/>
    </row>
    <row r="1873" spans="4:15" x14ac:dyDescent="0.3">
      <c r="D1873" s="109"/>
      <c r="E1873" s="106"/>
      <c r="G1873" s="106"/>
      <c r="H1873" s="107"/>
      <c r="I1873" s="107"/>
    </row>
    <row r="1874" spans="4:15" x14ac:dyDescent="0.3">
      <c r="D1874" s="109"/>
      <c r="E1874" s="106"/>
      <c r="G1874" s="106"/>
      <c r="H1874" s="107"/>
      <c r="I1874" s="107"/>
    </row>
    <row r="1875" spans="4:15" x14ac:dyDescent="0.3">
      <c r="D1875" s="109"/>
      <c r="E1875" s="106"/>
      <c r="G1875" s="106"/>
      <c r="H1875" s="107"/>
      <c r="I1875" s="107"/>
      <c r="O1875" s="108"/>
    </row>
    <row r="1876" spans="4:15" x14ac:dyDescent="0.3">
      <c r="D1876" s="109"/>
      <c r="E1876" s="106"/>
      <c r="G1876" s="106"/>
      <c r="H1876" s="107"/>
      <c r="I1876" s="107"/>
    </row>
    <row r="1877" spans="4:15" x14ac:dyDescent="0.3">
      <c r="D1877" s="109"/>
      <c r="E1877" s="106"/>
      <c r="G1877" s="106"/>
      <c r="H1877" s="107"/>
      <c r="I1877" s="107"/>
    </row>
    <row r="1878" spans="4:15" x14ac:dyDescent="0.3">
      <c r="D1878" s="109"/>
      <c r="E1878" s="106"/>
      <c r="G1878" s="106"/>
      <c r="H1878" s="107"/>
      <c r="I1878" s="107"/>
      <c r="O1878" s="108"/>
    </row>
    <row r="1879" spans="4:15" x14ac:dyDescent="0.3">
      <c r="D1879" s="109"/>
      <c r="E1879" s="106"/>
      <c r="G1879" s="106"/>
      <c r="H1879" s="107"/>
      <c r="I1879" s="107"/>
      <c r="O1879" s="108"/>
    </row>
    <row r="1880" spans="4:15" x14ac:dyDescent="0.3">
      <c r="D1880" s="109"/>
      <c r="E1880" s="106"/>
      <c r="G1880" s="106"/>
      <c r="H1880" s="107"/>
      <c r="I1880" s="107"/>
    </row>
    <row r="1881" spans="4:15" x14ac:dyDescent="0.3">
      <c r="D1881" s="109"/>
      <c r="E1881" s="106"/>
      <c r="G1881" s="106"/>
      <c r="H1881" s="107"/>
      <c r="I1881" s="107"/>
    </row>
    <row r="1882" spans="4:15" x14ac:dyDescent="0.3">
      <c r="D1882" s="109"/>
      <c r="E1882" s="106"/>
      <c r="G1882" s="106"/>
      <c r="H1882" s="107"/>
      <c r="I1882" s="107"/>
    </row>
    <row r="1883" spans="4:15" x14ac:dyDescent="0.3">
      <c r="D1883" s="109"/>
      <c r="E1883" s="106"/>
      <c r="G1883" s="106"/>
      <c r="H1883" s="107"/>
      <c r="I1883" s="107"/>
    </row>
    <row r="1884" spans="4:15" x14ac:dyDescent="0.3">
      <c r="D1884" s="109"/>
      <c r="E1884" s="106"/>
      <c r="G1884" s="106"/>
      <c r="H1884" s="107"/>
      <c r="I1884" s="107"/>
    </row>
    <row r="1885" spans="4:15" x14ac:dyDescent="0.3">
      <c r="D1885" s="109"/>
      <c r="E1885" s="106"/>
      <c r="G1885" s="106"/>
      <c r="H1885" s="107"/>
      <c r="I1885" s="107"/>
      <c r="O1885" s="108"/>
    </row>
    <row r="1886" spans="4:15" x14ac:dyDescent="0.3">
      <c r="D1886" s="109"/>
      <c r="E1886" s="106"/>
      <c r="G1886" s="106"/>
      <c r="H1886" s="107"/>
      <c r="I1886" s="107"/>
    </row>
    <row r="1887" spans="4:15" x14ac:dyDescent="0.3">
      <c r="D1887" s="109"/>
      <c r="E1887" s="106"/>
      <c r="G1887" s="106"/>
      <c r="H1887" s="107"/>
      <c r="I1887" s="107"/>
      <c r="O1887" s="108"/>
    </row>
    <row r="1888" spans="4:15" x14ac:dyDescent="0.3">
      <c r="D1888" s="109"/>
      <c r="E1888" s="106"/>
      <c r="G1888" s="106"/>
      <c r="H1888" s="107"/>
      <c r="I1888" s="107"/>
    </row>
    <row r="1889" spans="4:15" x14ac:dyDescent="0.3">
      <c r="D1889" s="109"/>
      <c r="E1889" s="106"/>
      <c r="G1889" s="106"/>
      <c r="H1889" s="107"/>
      <c r="I1889" s="107"/>
    </row>
    <row r="1890" spans="4:15" x14ac:dyDescent="0.3">
      <c r="D1890" s="109"/>
      <c r="E1890" s="106"/>
      <c r="G1890" s="106"/>
      <c r="H1890" s="107"/>
      <c r="I1890" s="107"/>
    </row>
    <row r="1891" spans="4:15" x14ac:dyDescent="0.3">
      <c r="D1891" s="109"/>
      <c r="E1891" s="106"/>
      <c r="G1891" s="106"/>
      <c r="H1891" s="107"/>
      <c r="I1891" s="107"/>
    </row>
    <row r="1892" spans="4:15" x14ac:dyDescent="0.3">
      <c r="D1892" s="109"/>
      <c r="E1892" s="106"/>
      <c r="G1892" s="106"/>
      <c r="H1892" s="107"/>
      <c r="I1892" s="107"/>
    </row>
    <row r="1893" spans="4:15" x14ac:dyDescent="0.3">
      <c r="D1893" s="109"/>
      <c r="E1893" s="106"/>
      <c r="G1893" s="106"/>
      <c r="H1893" s="107"/>
      <c r="I1893" s="107"/>
    </row>
    <row r="1894" spans="4:15" x14ac:dyDescent="0.3">
      <c r="D1894" s="109"/>
      <c r="E1894" s="106"/>
      <c r="G1894" s="106"/>
      <c r="H1894" s="107"/>
      <c r="I1894" s="107"/>
    </row>
    <row r="1895" spans="4:15" x14ac:dyDescent="0.3">
      <c r="D1895" s="109"/>
      <c r="E1895" s="106"/>
      <c r="G1895" s="106"/>
      <c r="H1895" s="107"/>
      <c r="I1895" s="107"/>
    </row>
    <row r="1896" spans="4:15" x14ac:dyDescent="0.3">
      <c r="D1896" s="109"/>
      <c r="E1896" s="106"/>
      <c r="G1896" s="106"/>
      <c r="H1896" s="107"/>
      <c r="I1896" s="107"/>
    </row>
    <row r="1897" spans="4:15" x14ac:dyDescent="0.3">
      <c r="D1897" s="109"/>
      <c r="E1897" s="106"/>
      <c r="G1897" s="106"/>
      <c r="H1897" s="107"/>
      <c r="I1897" s="107"/>
    </row>
    <row r="1898" spans="4:15" x14ac:dyDescent="0.3">
      <c r="D1898" s="109"/>
      <c r="E1898" s="106"/>
      <c r="G1898" s="106"/>
      <c r="H1898" s="107"/>
      <c r="I1898" s="107"/>
      <c r="O1898" s="108"/>
    </row>
    <row r="1899" spans="4:15" x14ac:dyDescent="0.3">
      <c r="D1899" s="109"/>
      <c r="E1899" s="106"/>
      <c r="G1899" s="106"/>
      <c r="H1899" s="107"/>
      <c r="I1899" s="107"/>
    </row>
    <row r="1900" spans="4:15" x14ac:dyDescent="0.3">
      <c r="D1900" s="109"/>
      <c r="E1900" s="106"/>
      <c r="G1900" s="106"/>
      <c r="H1900" s="107"/>
      <c r="I1900" s="107"/>
    </row>
    <row r="1901" spans="4:15" x14ac:dyDescent="0.3">
      <c r="D1901" s="109"/>
      <c r="E1901" s="106"/>
      <c r="G1901" s="106"/>
      <c r="H1901" s="107"/>
      <c r="I1901" s="107"/>
    </row>
    <row r="1902" spans="4:15" x14ac:dyDescent="0.3">
      <c r="D1902" s="109"/>
      <c r="E1902" s="106"/>
      <c r="G1902" s="106"/>
      <c r="H1902" s="107"/>
      <c r="I1902" s="107"/>
    </row>
    <row r="1903" spans="4:15" x14ac:dyDescent="0.3">
      <c r="D1903" s="109"/>
      <c r="E1903" s="106"/>
      <c r="G1903" s="106"/>
      <c r="H1903" s="107"/>
      <c r="I1903" s="107"/>
    </row>
    <row r="1904" spans="4:15" x14ac:dyDescent="0.3">
      <c r="D1904" s="109"/>
      <c r="E1904" s="106"/>
      <c r="G1904" s="106"/>
      <c r="H1904" s="107"/>
      <c r="I1904" s="107"/>
    </row>
    <row r="1905" spans="4:15" x14ac:dyDescent="0.3">
      <c r="D1905" s="109"/>
      <c r="E1905" s="106"/>
      <c r="G1905" s="106"/>
      <c r="H1905" s="107"/>
      <c r="I1905" s="107"/>
    </row>
    <row r="1906" spans="4:15" x14ac:dyDescent="0.3">
      <c r="D1906" s="109"/>
      <c r="E1906" s="106"/>
      <c r="G1906" s="106"/>
      <c r="H1906" s="107"/>
      <c r="I1906" s="107"/>
    </row>
    <row r="1907" spans="4:15" x14ac:dyDescent="0.3">
      <c r="D1907" s="109"/>
      <c r="E1907" s="106"/>
      <c r="G1907" s="106"/>
      <c r="H1907" s="107"/>
      <c r="I1907" s="107"/>
    </row>
    <row r="1908" spans="4:15" x14ac:dyDescent="0.3">
      <c r="D1908" s="109"/>
      <c r="E1908" s="106"/>
      <c r="G1908" s="106"/>
      <c r="H1908" s="107"/>
      <c r="I1908" s="107"/>
    </row>
    <row r="1909" spans="4:15" x14ac:dyDescent="0.3">
      <c r="D1909" s="109"/>
      <c r="E1909" s="106"/>
      <c r="G1909" s="106"/>
      <c r="H1909" s="107"/>
      <c r="I1909" s="107"/>
      <c r="O1909" s="108"/>
    </row>
    <row r="1910" spans="4:15" x14ac:dyDescent="0.3">
      <c r="D1910" s="109"/>
      <c r="E1910" s="106"/>
      <c r="G1910" s="106"/>
      <c r="H1910" s="107"/>
      <c r="I1910" s="107"/>
      <c r="O1910" s="108"/>
    </row>
    <row r="1911" spans="4:15" x14ac:dyDescent="0.3">
      <c r="D1911" s="109"/>
      <c r="E1911" s="106"/>
      <c r="G1911" s="106"/>
      <c r="H1911" s="107"/>
      <c r="I1911" s="107"/>
    </row>
    <row r="1912" spans="4:15" x14ac:dyDescent="0.3">
      <c r="D1912" s="109"/>
      <c r="E1912" s="106"/>
      <c r="G1912" s="106"/>
      <c r="H1912" s="107"/>
      <c r="I1912" s="107"/>
    </row>
    <row r="1913" spans="4:15" x14ac:dyDescent="0.3">
      <c r="D1913" s="109"/>
      <c r="E1913" s="106"/>
      <c r="G1913" s="106"/>
      <c r="H1913" s="107"/>
      <c r="I1913" s="107"/>
    </row>
    <row r="1914" spans="4:15" x14ac:dyDescent="0.3">
      <c r="D1914" s="109"/>
      <c r="E1914" s="106"/>
      <c r="G1914" s="106"/>
      <c r="H1914" s="107"/>
      <c r="I1914" s="107"/>
    </row>
    <row r="1915" spans="4:15" x14ac:dyDescent="0.3">
      <c r="D1915" s="109"/>
      <c r="E1915" s="106"/>
      <c r="G1915" s="106"/>
      <c r="H1915" s="107"/>
      <c r="I1915" s="107"/>
    </row>
    <row r="1916" spans="4:15" x14ac:dyDescent="0.3">
      <c r="D1916" s="109"/>
      <c r="E1916" s="106"/>
      <c r="G1916" s="106"/>
      <c r="H1916" s="107"/>
      <c r="I1916" s="107"/>
    </row>
    <row r="1917" spans="4:15" x14ac:dyDescent="0.3">
      <c r="D1917" s="109"/>
      <c r="E1917" s="106"/>
      <c r="G1917" s="106"/>
      <c r="H1917" s="107"/>
      <c r="I1917" s="107"/>
    </row>
    <row r="1918" spans="4:15" x14ac:dyDescent="0.3">
      <c r="D1918" s="109"/>
      <c r="E1918" s="106"/>
      <c r="G1918" s="106"/>
      <c r="H1918" s="107"/>
      <c r="I1918" s="107"/>
    </row>
    <row r="1919" spans="4:15" x14ac:dyDescent="0.3">
      <c r="D1919" s="109"/>
      <c r="E1919" s="106"/>
      <c r="G1919" s="106"/>
      <c r="H1919" s="107"/>
      <c r="I1919" s="107"/>
      <c r="O1919" s="108"/>
    </row>
    <row r="1920" spans="4:15" x14ac:dyDescent="0.3">
      <c r="D1920" s="109"/>
      <c r="E1920" s="106"/>
      <c r="G1920" s="106"/>
      <c r="H1920" s="107"/>
      <c r="I1920" s="107"/>
      <c r="O1920" s="108"/>
    </row>
    <row r="1921" spans="4:15" x14ac:dyDescent="0.3">
      <c r="D1921" s="109"/>
      <c r="E1921" s="106"/>
      <c r="G1921" s="106"/>
      <c r="H1921" s="107"/>
      <c r="I1921" s="107"/>
      <c r="O1921" s="108"/>
    </row>
    <row r="1922" spans="4:15" x14ac:dyDescent="0.3">
      <c r="D1922" s="109"/>
      <c r="E1922" s="106"/>
      <c r="G1922" s="106"/>
      <c r="H1922" s="107"/>
      <c r="I1922" s="107"/>
      <c r="O1922" s="108"/>
    </row>
    <row r="1923" spans="4:15" x14ac:dyDescent="0.3">
      <c r="D1923" s="109"/>
      <c r="E1923" s="106"/>
      <c r="G1923" s="106"/>
      <c r="H1923" s="107"/>
      <c r="I1923" s="107"/>
      <c r="O1923" s="108"/>
    </row>
    <row r="1924" spans="4:15" x14ac:dyDescent="0.3">
      <c r="D1924" s="109"/>
      <c r="E1924" s="106"/>
      <c r="G1924" s="106"/>
      <c r="H1924" s="107"/>
      <c r="I1924" s="107"/>
      <c r="O1924" s="108"/>
    </row>
    <row r="1925" spans="4:15" x14ac:dyDescent="0.3">
      <c r="D1925" s="109"/>
      <c r="E1925" s="106"/>
      <c r="G1925" s="106"/>
      <c r="H1925" s="107"/>
      <c r="I1925" s="107"/>
      <c r="O1925" s="108"/>
    </row>
    <row r="1926" spans="4:15" x14ac:dyDescent="0.3">
      <c r="D1926" s="109"/>
      <c r="E1926" s="106"/>
      <c r="G1926" s="106"/>
      <c r="H1926" s="107"/>
      <c r="I1926" s="107"/>
      <c r="O1926" s="108"/>
    </row>
    <row r="1927" spans="4:15" x14ac:dyDescent="0.3">
      <c r="D1927" s="109"/>
      <c r="E1927" s="106"/>
      <c r="G1927" s="106"/>
      <c r="H1927" s="107"/>
      <c r="I1927" s="107"/>
      <c r="O1927" s="108"/>
    </row>
    <row r="1928" spans="4:15" x14ac:dyDescent="0.3">
      <c r="D1928" s="109"/>
      <c r="E1928" s="106"/>
      <c r="G1928" s="106"/>
      <c r="H1928" s="107"/>
      <c r="I1928" s="107"/>
      <c r="O1928" s="108"/>
    </row>
    <row r="1929" spans="4:15" x14ac:dyDescent="0.3">
      <c r="D1929" s="109"/>
      <c r="E1929" s="106"/>
      <c r="G1929" s="106"/>
      <c r="H1929" s="107"/>
      <c r="I1929" s="107"/>
      <c r="O1929" s="108"/>
    </row>
    <row r="1930" spans="4:15" x14ac:dyDescent="0.3">
      <c r="D1930" s="109"/>
      <c r="E1930" s="106"/>
      <c r="G1930" s="106"/>
      <c r="H1930" s="107"/>
      <c r="I1930" s="107"/>
      <c r="O1930" s="108"/>
    </row>
    <row r="1931" spans="4:15" x14ac:dyDescent="0.3">
      <c r="D1931" s="109"/>
      <c r="E1931" s="106"/>
      <c r="G1931" s="106"/>
      <c r="H1931" s="107"/>
      <c r="I1931" s="107"/>
      <c r="O1931" s="108"/>
    </row>
    <row r="1932" spans="4:15" x14ac:dyDescent="0.3">
      <c r="D1932" s="109"/>
      <c r="E1932" s="106"/>
      <c r="G1932" s="106"/>
      <c r="H1932" s="107"/>
      <c r="I1932" s="107"/>
      <c r="O1932" s="108"/>
    </row>
    <row r="1933" spans="4:15" x14ac:dyDescent="0.3">
      <c r="D1933" s="109"/>
      <c r="E1933" s="106"/>
      <c r="G1933" s="106"/>
      <c r="H1933" s="107"/>
      <c r="I1933" s="107"/>
      <c r="O1933" s="108"/>
    </row>
    <row r="1934" spans="4:15" x14ac:dyDescent="0.3">
      <c r="D1934" s="109"/>
      <c r="E1934" s="106"/>
      <c r="G1934" s="106"/>
      <c r="H1934" s="107"/>
      <c r="I1934" s="107"/>
      <c r="O1934" s="108"/>
    </row>
    <row r="1935" spans="4:15" x14ac:dyDescent="0.3">
      <c r="E1935" s="106"/>
      <c r="G1935" s="106"/>
      <c r="H1935" s="107"/>
      <c r="I1935" s="107"/>
    </row>
    <row r="1936" spans="4:15" x14ac:dyDescent="0.3">
      <c r="E1936" s="106"/>
      <c r="G1936" s="106"/>
      <c r="H1936" s="107"/>
      <c r="I1936" s="107"/>
    </row>
    <row r="1937" spans="5:9" x14ac:dyDescent="0.3">
      <c r="E1937" s="106"/>
      <c r="G1937" s="106"/>
      <c r="H1937" s="107"/>
      <c r="I1937" s="107"/>
    </row>
    <row r="1938" spans="5:9" x14ac:dyDescent="0.3">
      <c r="E1938" s="106"/>
      <c r="G1938" s="106"/>
      <c r="H1938" s="107"/>
      <c r="I1938" s="107"/>
    </row>
    <row r="1939" spans="5:9" x14ac:dyDescent="0.3">
      <c r="E1939" s="106"/>
      <c r="G1939" s="106"/>
      <c r="H1939" s="107"/>
      <c r="I1939" s="107"/>
    </row>
    <row r="1940" spans="5:9" x14ac:dyDescent="0.3">
      <c r="E1940" s="106"/>
      <c r="G1940" s="106"/>
      <c r="H1940" s="107"/>
      <c r="I1940" s="107"/>
    </row>
    <row r="1941" spans="5:9" x14ac:dyDescent="0.3">
      <c r="E1941" s="106"/>
      <c r="G1941" s="106"/>
      <c r="H1941" s="107"/>
      <c r="I1941" s="107"/>
    </row>
    <row r="1942" spans="5:9" x14ac:dyDescent="0.3">
      <c r="E1942" s="106"/>
      <c r="G1942" s="106"/>
      <c r="H1942" s="107"/>
      <c r="I1942" s="107"/>
    </row>
    <row r="1943" spans="5:9" x14ac:dyDescent="0.3">
      <c r="E1943" s="106"/>
      <c r="G1943" s="106"/>
      <c r="H1943" s="107"/>
      <c r="I1943" s="107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7" r:id="rId4" name="RefreshBtn1">
          <controlPr defaultSize="0" autoLine="0" autoPict="0" r:id="rId5">
            <anchor moveWithCells="1">
              <from>
                <xdr:col>4</xdr:col>
                <xdr:colOff>9525</xdr:colOff>
                <xdr:row>0</xdr:row>
                <xdr:rowOff>9525</xdr:rowOff>
              </from>
              <to>
                <xdr:col>4</xdr:col>
                <xdr:colOff>647700</xdr:colOff>
                <xdr:row>1</xdr:row>
                <xdr:rowOff>9525</xdr:rowOff>
              </to>
            </anchor>
          </controlPr>
        </control>
      </mc:Choice>
      <mc:Fallback>
        <control shapeId="29697" r:id="rId4" name="RefreshBt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S1745"/>
  <sheetViews>
    <sheetView workbookViewId="0">
      <selection activeCell="B1756" sqref="B1756"/>
    </sheetView>
  </sheetViews>
  <sheetFormatPr defaultColWidth="9" defaultRowHeight="12" x14ac:dyDescent="0.3"/>
  <cols>
    <col min="1" max="1" width="9" style="58"/>
    <col min="2" max="2" width="21.375" style="58" bestFit="1" customWidth="1"/>
    <col min="3" max="3" width="13.375" style="58" customWidth="1"/>
    <col min="4" max="4" width="5.125" style="58" bestFit="1" customWidth="1"/>
    <col min="5" max="5" width="11.125" style="110" bestFit="1" customWidth="1"/>
    <col min="6" max="6" width="5.125" style="58" bestFit="1" customWidth="1"/>
    <col min="7" max="7" width="11.625" style="110" customWidth="1"/>
    <col min="8" max="8" width="2.375" style="58" bestFit="1" customWidth="1"/>
    <col min="9" max="9" width="12.25" style="58" bestFit="1" customWidth="1"/>
    <col min="10" max="10" width="9" style="58"/>
    <col min="11" max="11" width="9.75" style="58" bestFit="1" customWidth="1"/>
    <col min="12" max="12" width="9" style="58"/>
    <col min="13" max="13" width="9.75" style="58" bestFit="1" customWidth="1"/>
    <col min="14" max="14" width="9" style="58"/>
    <col min="15" max="15" width="9.75" style="58" bestFit="1" customWidth="1"/>
    <col min="16" max="16384" width="9" style="58"/>
  </cols>
  <sheetData>
    <row r="2" spans="1:19" x14ac:dyDescent="0.3">
      <c r="A2" s="113" t="s">
        <v>3586</v>
      </c>
    </row>
    <row r="3" spans="1:19" x14ac:dyDescent="0.3">
      <c r="A3" s="113" t="s">
        <v>3587</v>
      </c>
    </row>
    <row r="13" spans="1:19" x14ac:dyDescent="0.3">
      <c r="A13" s="58">
        <v>1</v>
      </c>
      <c r="B13" s="58">
        <v>2</v>
      </c>
      <c r="C13" s="58">
        <v>3</v>
      </c>
      <c r="D13" s="58">
        <v>4</v>
      </c>
      <c r="E13" s="58">
        <v>5</v>
      </c>
      <c r="F13" s="58">
        <v>6</v>
      </c>
      <c r="G13" s="58">
        <v>7</v>
      </c>
      <c r="H13" s="58">
        <v>8</v>
      </c>
      <c r="I13" s="58">
        <v>9</v>
      </c>
    </row>
    <row r="14" spans="1:19" x14ac:dyDescent="0.3">
      <c r="A14" s="111"/>
      <c r="B14" s="111"/>
      <c r="C14" s="111"/>
      <c r="D14" s="112"/>
      <c r="E14" s="112" t="s">
        <v>3710</v>
      </c>
      <c r="F14" s="111"/>
      <c r="G14" s="148" t="s">
        <v>3713</v>
      </c>
      <c r="H14" s="111"/>
      <c r="I14" s="148"/>
      <c r="J14" s="111"/>
      <c r="K14" s="148"/>
      <c r="L14" s="111"/>
      <c r="M14" s="148"/>
      <c r="N14" s="111"/>
      <c r="O14" s="148"/>
      <c r="P14" s="111"/>
      <c r="Q14" s="111"/>
      <c r="R14" s="111"/>
      <c r="S14" s="111"/>
    </row>
    <row r="15" spans="1:19" x14ac:dyDescent="0.3">
      <c r="A15" s="111" t="str">
        <f>Schedule!E13</f>
        <v>Code</v>
      </c>
      <c r="B15" s="111" t="s">
        <v>3673</v>
      </c>
      <c r="C15" s="111" t="s">
        <v>3565</v>
      </c>
      <c r="D15" s="111" t="s">
        <v>3585</v>
      </c>
      <c r="E15" s="112" t="s">
        <v>3126</v>
      </c>
      <c r="F15" s="111" t="s">
        <v>3711</v>
      </c>
      <c r="G15" s="149" t="s">
        <v>3712</v>
      </c>
      <c r="H15" s="111"/>
      <c r="I15" s="149" t="s">
        <v>3714</v>
      </c>
      <c r="J15" s="111"/>
      <c r="K15" s="149"/>
      <c r="L15" s="111"/>
      <c r="M15" s="149"/>
      <c r="N15" s="111"/>
      <c r="O15" s="149"/>
      <c r="P15" s="111"/>
      <c r="Q15" s="111"/>
      <c r="R15" s="111"/>
      <c r="S15" s="111"/>
    </row>
    <row r="16" spans="1:19" x14ac:dyDescent="0.3">
      <c r="A16" s="58" t="str">
        <f>Schedule!E14</f>
        <v>A000020</v>
      </c>
      <c r="B16" s="58" t="s">
        <v>1532</v>
      </c>
      <c r="C16" s="58" t="str">
        <f>RIGHT(A16,6)&amp;" KS"</f>
        <v>000020 KS</v>
      </c>
      <c r="D16" s="58" t="s">
        <v>3671</v>
      </c>
      <c r="E16" s="110" t="s">
        <v>3527</v>
      </c>
      <c r="F16" s="110" t="str">
        <f>IFERROR(VLOOKUP(C16,[1]evdl298!$B:$D,3,0),"")</f>
        <v>E</v>
      </c>
      <c r="G16" s="110">
        <f>IFERROR(VLOOKUP(C16,[1]evdl298!$B:$C,2,0),"")</f>
        <v>41460</v>
      </c>
      <c r="H16" s="110" t="str">
        <f>F16</f>
        <v>E</v>
      </c>
      <c r="I16" s="110">
        <f>IF(ISNUMBER(G16),G16,E16)</f>
        <v>41460</v>
      </c>
      <c r="J16" s="110"/>
      <c r="K16" s="110"/>
      <c r="M16" s="110"/>
      <c r="O16" s="110"/>
    </row>
    <row r="17" spans="1:15" x14ac:dyDescent="0.3">
      <c r="A17" s="58" t="str">
        <f>Schedule!E15</f>
        <v>A000040</v>
      </c>
      <c r="B17" s="58" t="s">
        <v>1533</v>
      </c>
      <c r="C17" s="58" t="str">
        <f t="shared" ref="C17:C80" si="0">RIGHT(A17,6)&amp;" KS"</f>
        <v>000040 KS</v>
      </c>
      <c r="D17" s="58" t="s">
        <v>3671</v>
      </c>
      <c r="E17" s="110" t="s">
        <v>3527</v>
      </c>
      <c r="F17" s="110" t="str">
        <f>IFERROR(VLOOKUP(C17,[1]evdl298!$B:$D,3,0),"")</f>
        <v>E</v>
      </c>
      <c r="G17" s="110">
        <f>IFERROR(VLOOKUP(C17,[1]evdl298!$B:$C,2,0),"")</f>
        <v>41495</v>
      </c>
      <c r="H17" s="110" t="str">
        <f t="shared" ref="H17:H80" si="1">F17</f>
        <v>E</v>
      </c>
      <c r="I17" s="110">
        <f t="shared" ref="I17:I80" si="2">IF(ISNUMBER(G17),G17,E17)</f>
        <v>41495</v>
      </c>
      <c r="J17" s="110"/>
      <c r="K17" s="110"/>
      <c r="M17" s="110"/>
      <c r="O17" s="110"/>
    </row>
    <row r="18" spans="1:15" x14ac:dyDescent="0.3">
      <c r="A18" s="58" t="str">
        <f>Schedule!E16</f>
        <v>A000050</v>
      </c>
      <c r="B18" s="58" t="s">
        <v>1534</v>
      </c>
      <c r="C18" s="58" t="str">
        <f t="shared" si="0"/>
        <v>000050 KS</v>
      </c>
      <c r="D18" s="58" t="s">
        <v>3671</v>
      </c>
      <c r="E18" s="110" t="s">
        <v>3527</v>
      </c>
      <c r="F18" s="110" t="str">
        <f>IFERROR(VLOOKUP(C18,[1]evdl298!$B:$D,3,0),"")</f>
        <v/>
      </c>
      <c r="G18" s="110" t="str">
        <f>IFERROR(VLOOKUP(C18,[1]evdl298!$B:$C,2,0),"")</f>
        <v/>
      </c>
      <c r="H18" s="110" t="str">
        <f t="shared" si="1"/>
        <v/>
      </c>
      <c r="I18" s="110" t="str">
        <f t="shared" si="2"/>
        <v/>
      </c>
      <c r="J18" s="110"/>
      <c r="K18" s="110"/>
      <c r="M18" s="110"/>
      <c r="O18" s="110"/>
    </row>
    <row r="19" spans="1:15" x14ac:dyDescent="0.3">
      <c r="A19" s="58" t="str">
        <f>Schedule!E17</f>
        <v>A000060</v>
      </c>
      <c r="B19" s="58" t="s">
        <v>1535</v>
      </c>
      <c r="C19" s="58" t="str">
        <f t="shared" si="0"/>
        <v>000060 KS</v>
      </c>
      <c r="D19" s="58" t="s">
        <v>3671</v>
      </c>
      <c r="E19" s="110" t="s">
        <v>3674</v>
      </c>
      <c r="F19" s="110" t="str">
        <f>IFERROR(VLOOKUP(C19,[1]evdl298!$B:$D,3,0),"")</f>
        <v>E</v>
      </c>
      <c r="G19" s="110">
        <f>IFERROR(VLOOKUP(C19,[1]evdl298!$B:$C,2,0),"")</f>
        <v>41481</v>
      </c>
      <c r="H19" s="110" t="str">
        <f t="shared" si="1"/>
        <v>E</v>
      </c>
      <c r="I19" s="110">
        <f t="shared" si="2"/>
        <v>41481</v>
      </c>
      <c r="J19" s="110"/>
      <c r="K19" s="110"/>
      <c r="M19" s="110"/>
      <c r="O19" s="110"/>
    </row>
    <row r="20" spans="1:15" x14ac:dyDescent="0.3">
      <c r="A20" s="58" t="str">
        <f>Schedule!E18</f>
        <v>A000070</v>
      </c>
      <c r="B20" s="58" t="s">
        <v>1536</v>
      </c>
      <c r="C20" s="58" t="str">
        <f t="shared" si="0"/>
        <v>000070 KS</v>
      </c>
      <c r="D20" s="58" t="s">
        <v>3671</v>
      </c>
      <c r="E20" s="110" t="s">
        <v>3527</v>
      </c>
      <c r="F20" s="110" t="str">
        <f>IFERROR(VLOOKUP(C20,[1]evdl298!$B:$D,3,0),"")</f>
        <v>E</v>
      </c>
      <c r="G20" s="110">
        <f>IFERROR(VLOOKUP(C20,[1]evdl298!$B:$C,2,0),"")</f>
        <v>41500</v>
      </c>
      <c r="H20" s="110" t="str">
        <f t="shared" si="1"/>
        <v>E</v>
      </c>
      <c r="I20" s="110">
        <f t="shared" si="2"/>
        <v>41500</v>
      </c>
      <c r="J20" s="110"/>
      <c r="K20" s="110"/>
      <c r="M20" s="110"/>
      <c r="O20" s="110"/>
    </row>
    <row r="21" spans="1:15" x14ac:dyDescent="0.3">
      <c r="A21" s="58" t="str">
        <f>Schedule!E19</f>
        <v>A000080</v>
      </c>
      <c r="B21" s="58" t="s">
        <v>1537</v>
      </c>
      <c r="C21" s="58" t="str">
        <f t="shared" si="0"/>
        <v>000080 KS</v>
      </c>
      <c r="D21" s="58" t="s">
        <v>3671</v>
      </c>
      <c r="E21" s="110" t="s">
        <v>3675</v>
      </c>
      <c r="F21" s="110" t="str">
        <f>IFERROR(VLOOKUP(C21,[1]evdl298!$B:$D,3,0),"")</f>
        <v>E</v>
      </c>
      <c r="G21" s="110">
        <f>IFERROR(VLOOKUP(C21,[1]evdl298!$B:$C,2,0),"")</f>
        <v>41500</v>
      </c>
      <c r="H21" s="110" t="str">
        <f t="shared" si="1"/>
        <v>E</v>
      </c>
      <c r="I21" s="110">
        <f t="shared" si="2"/>
        <v>41500</v>
      </c>
      <c r="J21" s="110"/>
      <c r="K21" s="110"/>
      <c r="M21" s="110"/>
      <c r="O21" s="110"/>
    </row>
    <row r="22" spans="1:15" x14ac:dyDescent="0.3">
      <c r="A22" s="58" t="str">
        <f>Schedule!E20</f>
        <v>A000100</v>
      </c>
      <c r="B22" s="58" t="s">
        <v>4</v>
      </c>
      <c r="C22" s="58" t="str">
        <f t="shared" si="0"/>
        <v>000100 KS</v>
      </c>
      <c r="D22" s="58" t="s">
        <v>3671</v>
      </c>
      <c r="E22" s="110" t="s">
        <v>3527</v>
      </c>
      <c r="F22" s="110" t="str">
        <f>IFERROR(VLOOKUP(C22,[1]evdl298!$B:$D,3,0),"")</f>
        <v>E</v>
      </c>
      <c r="G22" s="110">
        <f>IFERROR(VLOOKUP(C22,[1]evdl298!$B:$C,2,0),"")</f>
        <v>41515</v>
      </c>
      <c r="H22" s="110" t="str">
        <f t="shared" si="1"/>
        <v>E</v>
      </c>
      <c r="I22" s="110">
        <f t="shared" si="2"/>
        <v>41515</v>
      </c>
      <c r="J22" s="110"/>
      <c r="K22" s="110"/>
      <c r="M22" s="110"/>
      <c r="O22" s="110"/>
    </row>
    <row r="23" spans="1:15" x14ac:dyDescent="0.3">
      <c r="A23" s="58" t="str">
        <f>Schedule!E21</f>
        <v>A000120</v>
      </c>
      <c r="B23" s="58" t="s">
        <v>1538</v>
      </c>
      <c r="C23" s="58" t="str">
        <f t="shared" si="0"/>
        <v>000120 KS</v>
      </c>
      <c r="D23" s="58" t="s">
        <v>3671</v>
      </c>
      <c r="E23" s="110" t="s">
        <v>3676</v>
      </c>
      <c r="F23" s="110" t="str">
        <f>IFERROR(VLOOKUP(C23,[1]evdl298!$B:$D,3,0),"")</f>
        <v>E</v>
      </c>
      <c r="G23" s="110">
        <f>IFERROR(VLOOKUP(C23,[1]evdl298!$B:$C,2,0),"")</f>
        <v>41488</v>
      </c>
      <c r="H23" s="110" t="str">
        <f t="shared" si="1"/>
        <v>E</v>
      </c>
      <c r="I23" s="110">
        <f t="shared" si="2"/>
        <v>41488</v>
      </c>
      <c r="J23" s="110"/>
      <c r="K23" s="110"/>
      <c r="M23" s="110"/>
      <c r="O23" s="110"/>
    </row>
    <row r="24" spans="1:15" x14ac:dyDescent="0.3">
      <c r="A24" s="58" t="str">
        <f>Schedule!E22</f>
        <v>A000140</v>
      </c>
      <c r="B24" s="58" t="s">
        <v>1539</v>
      </c>
      <c r="C24" s="58" t="str">
        <f t="shared" si="0"/>
        <v>000140 KS</v>
      </c>
      <c r="D24" s="58" t="s">
        <v>3671</v>
      </c>
      <c r="E24" s="110" t="s">
        <v>3527</v>
      </c>
      <c r="F24" s="110" t="str">
        <f>IFERROR(VLOOKUP(C24,[1]evdl298!$B:$D,3,0),"")</f>
        <v>E</v>
      </c>
      <c r="G24" s="110">
        <f>IFERROR(VLOOKUP(C24,[1]evdl298!$B:$C,2,0),"")</f>
        <v>41500</v>
      </c>
      <c r="H24" s="110" t="str">
        <f t="shared" si="1"/>
        <v>E</v>
      </c>
      <c r="I24" s="110">
        <f t="shared" si="2"/>
        <v>41500</v>
      </c>
      <c r="J24" s="110"/>
      <c r="K24" s="110"/>
      <c r="M24" s="110"/>
      <c r="O24" s="110"/>
    </row>
    <row r="25" spans="1:15" x14ac:dyDescent="0.3">
      <c r="A25" s="58" t="str">
        <f>Schedule!E23</f>
        <v>A000150</v>
      </c>
      <c r="B25" s="58" t="s">
        <v>1540</v>
      </c>
      <c r="C25" s="58" t="str">
        <f t="shared" si="0"/>
        <v>000150 KS</v>
      </c>
      <c r="D25" s="58" t="s">
        <v>3671</v>
      </c>
      <c r="E25" s="110">
        <v>41488</v>
      </c>
      <c r="F25" s="110" t="str">
        <f>IFERROR(VLOOKUP(C25,[1]evdl298!$B:$D,3,0),"")</f>
        <v>E</v>
      </c>
      <c r="G25" s="110">
        <f>IFERROR(VLOOKUP(C25,[1]evdl298!$B:$C,2,0),"")</f>
        <v>41481</v>
      </c>
      <c r="H25" s="110" t="str">
        <f t="shared" si="1"/>
        <v>E</v>
      </c>
      <c r="I25" s="110">
        <f t="shared" si="2"/>
        <v>41481</v>
      </c>
      <c r="J25" s="110"/>
      <c r="K25" s="110"/>
      <c r="M25" s="110"/>
      <c r="O25" s="110"/>
    </row>
    <row r="26" spans="1:15" x14ac:dyDescent="0.3">
      <c r="A26" s="58" t="str">
        <f>Schedule!E24</f>
        <v>A000180</v>
      </c>
      <c r="B26" s="58" t="s">
        <v>1541</v>
      </c>
      <c r="C26" s="58" t="str">
        <f t="shared" si="0"/>
        <v>000180 KS</v>
      </c>
      <c r="D26" s="58" t="s">
        <v>3671</v>
      </c>
      <c r="E26" s="110" t="s">
        <v>3527</v>
      </c>
      <c r="F26" s="110" t="str">
        <f>IFERROR(VLOOKUP(C26,[1]evdl298!$B:$D,3,0),"")</f>
        <v>E</v>
      </c>
      <c r="G26" s="110">
        <f>IFERROR(VLOOKUP(C26,[1]evdl298!$B:$C,2,0),"")</f>
        <v>41515</v>
      </c>
      <c r="H26" s="110" t="str">
        <f t="shared" si="1"/>
        <v>E</v>
      </c>
      <c r="I26" s="110">
        <f t="shared" si="2"/>
        <v>41515</v>
      </c>
      <c r="J26" s="110"/>
      <c r="K26" s="110"/>
      <c r="M26" s="110"/>
      <c r="O26" s="110"/>
    </row>
    <row r="27" spans="1:15" x14ac:dyDescent="0.3">
      <c r="A27" s="58" t="str">
        <f>Schedule!E25</f>
        <v>A000210</v>
      </c>
      <c r="B27" s="58" t="s">
        <v>1542</v>
      </c>
      <c r="C27" s="58" t="str">
        <f t="shared" si="0"/>
        <v>000210 KS</v>
      </c>
      <c r="D27" s="58" t="s">
        <v>3671</v>
      </c>
      <c r="E27" s="110" t="s">
        <v>3677</v>
      </c>
      <c r="F27" s="110" t="str">
        <f>IFERROR(VLOOKUP(C27,[1]evdl298!$B:$D,3,0),"")</f>
        <v>E</v>
      </c>
      <c r="G27" s="110">
        <f>IFERROR(VLOOKUP(C27,[1]evdl298!$B:$C,2,0),"")</f>
        <v>41488</v>
      </c>
      <c r="H27" s="110" t="str">
        <f t="shared" si="1"/>
        <v>E</v>
      </c>
      <c r="I27" s="110">
        <f t="shared" si="2"/>
        <v>41488</v>
      </c>
      <c r="J27" s="110"/>
      <c r="K27" s="110"/>
      <c r="M27" s="110"/>
      <c r="O27" s="110"/>
    </row>
    <row r="28" spans="1:15" x14ac:dyDescent="0.3">
      <c r="A28" s="58" t="str">
        <f>Schedule!E26</f>
        <v>A000220</v>
      </c>
      <c r="B28" s="58" t="s">
        <v>1543</v>
      </c>
      <c r="C28" s="58" t="str">
        <f t="shared" si="0"/>
        <v>000220 KS</v>
      </c>
      <c r="D28" s="58" t="s">
        <v>3671</v>
      </c>
      <c r="E28" s="110" t="s">
        <v>3527</v>
      </c>
      <c r="F28" s="110" t="str">
        <f>IFERROR(VLOOKUP(C28,[1]evdl298!$B:$D,3,0),"")</f>
        <v>C</v>
      </c>
      <c r="G28" s="110">
        <f>IFERROR(VLOOKUP(C28,[1]evdl298!$B:$C,2,0),"")</f>
        <v>41456</v>
      </c>
      <c r="H28" s="110" t="str">
        <f t="shared" si="1"/>
        <v>C</v>
      </c>
      <c r="I28" s="110">
        <f t="shared" si="2"/>
        <v>41456</v>
      </c>
      <c r="J28" s="110"/>
      <c r="K28" s="110"/>
      <c r="M28" s="110"/>
      <c r="O28" s="110"/>
    </row>
    <row r="29" spans="1:15" x14ac:dyDescent="0.3">
      <c r="A29" s="58" t="str">
        <f>Schedule!E27</f>
        <v>A000230</v>
      </c>
      <c r="B29" s="58" t="s">
        <v>1544</v>
      </c>
      <c r="C29" s="58" t="str">
        <f t="shared" si="0"/>
        <v>000230 KS</v>
      </c>
      <c r="D29" s="58" t="s">
        <v>3671</v>
      </c>
      <c r="E29" s="110" t="s">
        <v>3527</v>
      </c>
      <c r="F29" s="110" t="str">
        <f>IFERROR(VLOOKUP(C29,[1]evdl298!$B:$D,3,0),"")</f>
        <v>E</v>
      </c>
      <c r="G29" s="110">
        <f>IFERROR(VLOOKUP(C29,[1]evdl298!$B:$C,2,0),"")</f>
        <v>41515</v>
      </c>
      <c r="H29" s="110" t="str">
        <f t="shared" si="1"/>
        <v>E</v>
      </c>
      <c r="I29" s="110">
        <f t="shared" si="2"/>
        <v>41515</v>
      </c>
      <c r="J29" s="110"/>
      <c r="K29" s="110"/>
      <c r="M29" s="110"/>
      <c r="O29" s="110"/>
    </row>
    <row r="30" spans="1:15" x14ac:dyDescent="0.3">
      <c r="A30" s="58" t="str">
        <f>Schedule!E28</f>
        <v>A000240</v>
      </c>
      <c r="B30" s="58" t="s">
        <v>1545</v>
      </c>
      <c r="C30" s="58" t="str">
        <f t="shared" si="0"/>
        <v>000240 KS</v>
      </c>
      <c r="D30" s="58" t="s">
        <v>3671</v>
      </c>
      <c r="E30" s="110" t="s">
        <v>3527</v>
      </c>
      <c r="F30" s="110" t="str">
        <f>IFERROR(VLOOKUP(C30,[1]evdl298!$B:$D,3,0),"")</f>
        <v>E</v>
      </c>
      <c r="G30" s="110">
        <f>IFERROR(VLOOKUP(C30,[1]evdl298!$B:$C,2,0),"")</f>
        <v>41478</v>
      </c>
      <c r="H30" s="110" t="str">
        <f t="shared" si="1"/>
        <v>E</v>
      </c>
      <c r="I30" s="110">
        <f t="shared" si="2"/>
        <v>41478</v>
      </c>
      <c r="J30" s="110"/>
      <c r="K30" s="110"/>
      <c r="M30" s="110"/>
      <c r="O30" s="110"/>
    </row>
    <row r="31" spans="1:15" x14ac:dyDescent="0.3">
      <c r="A31" s="58" t="str">
        <f>Schedule!E29</f>
        <v>A000250</v>
      </c>
      <c r="B31" s="58" t="s">
        <v>1546</v>
      </c>
      <c r="C31" s="58" t="str">
        <f t="shared" si="0"/>
        <v>000250 KS</v>
      </c>
      <c r="D31" s="58" t="s">
        <v>3671</v>
      </c>
      <c r="E31" s="110" t="s">
        <v>3527</v>
      </c>
      <c r="F31" s="110" t="str">
        <f>IFERROR(VLOOKUP(C31,[1]evdl298!$B:$D,3,0),"")</f>
        <v/>
      </c>
      <c r="G31" s="110" t="str">
        <f>IFERROR(VLOOKUP(C31,[1]evdl298!$B:$C,2,0),"")</f>
        <v/>
      </c>
      <c r="H31" s="110" t="str">
        <f t="shared" si="1"/>
        <v/>
      </c>
      <c r="I31" s="110" t="str">
        <f t="shared" si="2"/>
        <v/>
      </c>
      <c r="J31" s="110"/>
      <c r="K31" s="110"/>
      <c r="M31" s="110"/>
      <c r="O31" s="110"/>
    </row>
    <row r="32" spans="1:15" x14ac:dyDescent="0.3">
      <c r="A32" s="58" t="str">
        <f>Schedule!E30</f>
        <v>A000270</v>
      </c>
      <c r="B32" s="58" t="s">
        <v>1547</v>
      </c>
      <c r="C32" s="58" t="str">
        <f t="shared" si="0"/>
        <v>000270 KS</v>
      </c>
      <c r="D32" s="58" t="s">
        <v>3671</v>
      </c>
      <c r="E32" s="110" t="s">
        <v>3678</v>
      </c>
      <c r="F32" s="110" t="str">
        <f>IFERROR(VLOOKUP(C32,[1]evdl298!$B:$D,3,0),"")</f>
        <v>E</v>
      </c>
      <c r="G32" s="110">
        <f>IFERROR(VLOOKUP(C32,[1]evdl298!$B:$C,2,0),"")</f>
        <v>41481</v>
      </c>
      <c r="H32" s="110" t="str">
        <f t="shared" si="1"/>
        <v>E</v>
      </c>
      <c r="I32" s="110">
        <f t="shared" si="2"/>
        <v>41481</v>
      </c>
      <c r="J32" s="110"/>
      <c r="K32" s="110"/>
      <c r="M32" s="110"/>
      <c r="O32" s="110"/>
    </row>
    <row r="33" spans="1:15" x14ac:dyDescent="0.3">
      <c r="A33" s="58" t="str">
        <f>Schedule!E31</f>
        <v>A000300</v>
      </c>
      <c r="B33" s="58" t="s">
        <v>1548</v>
      </c>
      <c r="C33" s="58" t="str">
        <f t="shared" si="0"/>
        <v>000300 KS</v>
      </c>
      <c r="D33" s="58" t="s">
        <v>3671</v>
      </c>
      <c r="E33" s="110" t="s">
        <v>3527</v>
      </c>
      <c r="F33" s="110" t="str">
        <f>IFERROR(VLOOKUP(C33,[1]evdl298!$B:$D,3,0),"")</f>
        <v/>
      </c>
      <c r="G33" s="110" t="str">
        <f>IFERROR(VLOOKUP(C33,[1]evdl298!$B:$C,2,0),"")</f>
        <v/>
      </c>
      <c r="H33" s="110" t="str">
        <f t="shared" si="1"/>
        <v/>
      </c>
      <c r="I33" s="110" t="str">
        <f t="shared" si="2"/>
        <v/>
      </c>
      <c r="J33" s="110"/>
      <c r="K33" s="110"/>
      <c r="M33" s="110"/>
      <c r="O33" s="110"/>
    </row>
    <row r="34" spans="1:15" x14ac:dyDescent="0.3">
      <c r="A34" s="58" t="str">
        <f>Schedule!E32</f>
        <v>A000320</v>
      </c>
      <c r="B34" s="58" t="s">
        <v>1549</v>
      </c>
      <c r="C34" s="58" t="str">
        <f t="shared" si="0"/>
        <v>000320 KS</v>
      </c>
      <c r="D34" s="58" t="s">
        <v>3671</v>
      </c>
      <c r="E34" s="110" t="s">
        <v>3527</v>
      </c>
      <c r="F34" s="110" t="str">
        <f>IFERROR(VLOOKUP(C34,[1]evdl298!$B:$D,3,0),"")</f>
        <v/>
      </c>
      <c r="G34" s="110" t="str">
        <f>IFERROR(VLOOKUP(C34,[1]evdl298!$B:$C,2,0),"")</f>
        <v/>
      </c>
      <c r="H34" s="110" t="str">
        <f t="shared" si="1"/>
        <v/>
      </c>
      <c r="I34" s="110" t="str">
        <f t="shared" si="2"/>
        <v/>
      </c>
      <c r="J34" s="110"/>
      <c r="K34" s="110"/>
      <c r="M34" s="110"/>
      <c r="O34" s="110"/>
    </row>
    <row r="35" spans="1:15" x14ac:dyDescent="0.3">
      <c r="A35" s="58" t="str">
        <f>Schedule!E33</f>
        <v>A000360</v>
      </c>
      <c r="B35" s="58" t="s">
        <v>1550</v>
      </c>
      <c r="C35" s="58" t="str">
        <f t="shared" si="0"/>
        <v>000360 KS</v>
      </c>
      <c r="D35" s="58" t="s">
        <v>3671</v>
      </c>
      <c r="E35" s="110" t="s">
        <v>3527</v>
      </c>
      <c r="F35" s="110" t="str">
        <f>IFERROR(VLOOKUP(C35,[1]evdl298!$B:$D,3,0),"")</f>
        <v/>
      </c>
      <c r="G35" s="110" t="str">
        <f>IFERROR(VLOOKUP(C35,[1]evdl298!$B:$C,2,0),"")</f>
        <v/>
      </c>
      <c r="H35" s="110" t="str">
        <f t="shared" si="1"/>
        <v/>
      </c>
      <c r="I35" s="110" t="str">
        <f t="shared" si="2"/>
        <v/>
      </c>
      <c r="J35" s="110"/>
      <c r="K35" s="110"/>
      <c r="M35" s="110"/>
      <c r="O35" s="110"/>
    </row>
    <row r="36" spans="1:15" x14ac:dyDescent="0.3">
      <c r="A36" s="58" t="str">
        <f>Schedule!E34</f>
        <v>A000370</v>
      </c>
      <c r="B36" s="58" t="s">
        <v>1551</v>
      </c>
      <c r="C36" s="58" t="str">
        <f t="shared" si="0"/>
        <v>000370 KS</v>
      </c>
      <c r="D36" s="58" t="s">
        <v>3671</v>
      </c>
      <c r="E36" s="110" t="s">
        <v>3527</v>
      </c>
      <c r="F36" s="110" t="str">
        <f>IFERROR(VLOOKUP(C36,[1]evdl298!$B:$D,3,0),"")</f>
        <v>E</v>
      </c>
      <c r="G36" s="110">
        <f>IFERROR(VLOOKUP(C36,[1]evdl298!$B:$C,2,0),"")</f>
        <v>41486</v>
      </c>
      <c r="H36" s="110" t="str">
        <f t="shared" si="1"/>
        <v>E</v>
      </c>
      <c r="I36" s="110">
        <f t="shared" si="2"/>
        <v>41486</v>
      </c>
      <c r="J36" s="110"/>
      <c r="K36" s="110"/>
      <c r="M36" s="110"/>
      <c r="O36" s="110"/>
    </row>
    <row r="37" spans="1:15" x14ac:dyDescent="0.3">
      <c r="A37" s="58" t="str">
        <f>Schedule!E35</f>
        <v>A000390</v>
      </c>
      <c r="B37" s="58" t="s">
        <v>1552</v>
      </c>
      <c r="C37" s="58" t="str">
        <f t="shared" si="0"/>
        <v>000390 KS</v>
      </c>
      <c r="D37" s="58" t="s">
        <v>3671</v>
      </c>
      <c r="E37" s="110" t="s">
        <v>3527</v>
      </c>
      <c r="F37" s="110" t="str">
        <f>IFERROR(VLOOKUP(C37,[1]evdl298!$B:$D,3,0),"")</f>
        <v>E</v>
      </c>
      <c r="G37" s="110">
        <f>IFERROR(VLOOKUP(C37,[1]evdl298!$B:$C,2,0),"")</f>
        <v>41515</v>
      </c>
      <c r="H37" s="110" t="str">
        <f t="shared" si="1"/>
        <v>E</v>
      </c>
      <c r="I37" s="110">
        <f t="shared" si="2"/>
        <v>41515</v>
      </c>
      <c r="J37" s="110"/>
      <c r="K37" s="110"/>
      <c r="M37" s="110"/>
      <c r="O37" s="110"/>
    </row>
    <row r="38" spans="1:15" x14ac:dyDescent="0.3">
      <c r="A38" s="58" t="str">
        <f>Schedule!E36</f>
        <v>A000400</v>
      </c>
      <c r="B38" s="58" t="s">
        <v>1553</v>
      </c>
      <c r="C38" s="58" t="str">
        <f t="shared" si="0"/>
        <v>000400 KS</v>
      </c>
      <c r="D38" s="58" t="s">
        <v>3671</v>
      </c>
      <c r="E38" s="110" t="s">
        <v>3527</v>
      </c>
      <c r="F38" s="110" t="str">
        <f>IFERROR(VLOOKUP(C38,[1]evdl298!$B:$D,3,0),"")</f>
        <v>E</v>
      </c>
      <c r="G38" s="110">
        <f>IFERROR(VLOOKUP(C38,[1]evdl298!$B:$C,2,0),"")</f>
        <v>41492</v>
      </c>
      <c r="H38" s="110" t="str">
        <f t="shared" si="1"/>
        <v>E</v>
      </c>
      <c r="I38" s="110">
        <f t="shared" si="2"/>
        <v>41492</v>
      </c>
      <c r="J38" s="110"/>
      <c r="K38" s="110"/>
      <c r="M38" s="110"/>
      <c r="O38" s="110"/>
    </row>
    <row r="39" spans="1:15" x14ac:dyDescent="0.3">
      <c r="A39" s="58" t="str">
        <f>Schedule!E37</f>
        <v>A000420</v>
      </c>
      <c r="B39" s="58" t="s">
        <v>1554</v>
      </c>
      <c r="C39" s="58" t="str">
        <f t="shared" si="0"/>
        <v>000420 KS</v>
      </c>
      <c r="D39" s="58" t="s">
        <v>3671</v>
      </c>
      <c r="E39" s="110" t="s">
        <v>3527</v>
      </c>
      <c r="F39" s="110" t="str">
        <f>IFERROR(VLOOKUP(C39,[1]evdl298!$B:$D,3,0),"")</f>
        <v/>
      </c>
      <c r="G39" s="110" t="str">
        <f>IFERROR(VLOOKUP(C39,[1]evdl298!$B:$C,2,0),"")</f>
        <v/>
      </c>
      <c r="H39" s="110" t="str">
        <f t="shared" si="1"/>
        <v/>
      </c>
      <c r="I39" s="110" t="str">
        <f t="shared" si="2"/>
        <v/>
      </c>
      <c r="J39" s="110"/>
      <c r="K39" s="110"/>
      <c r="M39" s="110"/>
      <c r="O39" s="110"/>
    </row>
    <row r="40" spans="1:15" x14ac:dyDescent="0.3">
      <c r="A40" s="58" t="str">
        <f>Schedule!E38</f>
        <v>A000430</v>
      </c>
      <c r="B40" s="58" t="s">
        <v>1555</v>
      </c>
      <c r="C40" s="58" t="str">
        <f t="shared" si="0"/>
        <v>000430 KS</v>
      </c>
      <c r="D40" s="58" t="s">
        <v>3671</v>
      </c>
      <c r="E40" s="110" t="s">
        <v>3527</v>
      </c>
      <c r="F40" s="110" t="str">
        <f>IFERROR(VLOOKUP(C40,[1]evdl298!$B:$D,3,0),"")</f>
        <v>E</v>
      </c>
      <c r="G40" s="110">
        <f>IFERROR(VLOOKUP(C40,[1]evdl298!$B:$C,2,0),"")</f>
        <v>41515</v>
      </c>
      <c r="H40" s="110" t="str">
        <f t="shared" si="1"/>
        <v>E</v>
      </c>
      <c r="I40" s="110">
        <f t="shared" si="2"/>
        <v>41515</v>
      </c>
      <c r="J40" s="110"/>
      <c r="K40" s="110"/>
      <c r="M40" s="110"/>
      <c r="O40" s="110"/>
    </row>
    <row r="41" spans="1:15" x14ac:dyDescent="0.3">
      <c r="A41" s="58" t="str">
        <f>Schedule!E39</f>
        <v>A000440</v>
      </c>
      <c r="B41" s="58" t="s">
        <v>1556</v>
      </c>
      <c r="C41" s="58" t="str">
        <f t="shared" si="0"/>
        <v>000440 KS</v>
      </c>
      <c r="D41" s="58" t="s">
        <v>3671</v>
      </c>
      <c r="E41" s="110" t="s">
        <v>3527</v>
      </c>
      <c r="F41" s="110" t="str">
        <f>IFERROR(VLOOKUP(C41,[1]evdl298!$B:$D,3,0),"")</f>
        <v>E</v>
      </c>
      <c r="G41" s="110">
        <f>IFERROR(VLOOKUP(C41,[1]evdl298!$B:$C,2,0),"")</f>
        <v>41500</v>
      </c>
      <c r="H41" s="110" t="str">
        <f t="shared" si="1"/>
        <v>E</v>
      </c>
      <c r="I41" s="110">
        <f t="shared" si="2"/>
        <v>41500</v>
      </c>
      <c r="J41" s="110"/>
      <c r="K41" s="110"/>
      <c r="M41" s="110"/>
      <c r="O41" s="110"/>
    </row>
    <row r="42" spans="1:15" x14ac:dyDescent="0.3">
      <c r="A42" s="58" t="str">
        <f>Schedule!E40</f>
        <v>A000480</v>
      </c>
      <c r="B42" s="58" t="s">
        <v>1557</v>
      </c>
      <c r="C42" s="58" t="str">
        <f t="shared" si="0"/>
        <v>000480 KS</v>
      </c>
      <c r="D42" s="58" t="s">
        <v>3671</v>
      </c>
      <c r="E42" s="110" t="s">
        <v>3527</v>
      </c>
      <c r="F42" s="110" t="str">
        <f>IFERROR(VLOOKUP(C42,[1]evdl298!$B:$D,3,0),"")</f>
        <v/>
      </c>
      <c r="G42" s="110" t="str">
        <f>IFERROR(VLOOKUP(C42,[1]evdl298!$B:$C,2,0),"")</f>
        <v/>
      </c>
      <c r="H42" s="110" t="str">
        <f t="shared" si="1"/>
        <v/>
      </c>
      <c r="I42" s="110" t="str">
        <f t="shared" si="2"/>
        <v/>
      </c>
      <c r="J42" s="110"/>
      <c r="K42" s="110"/>
      <c r="M42" s="110"/>
      <c r="O42" s="110"/>
    </row>
    <row r="43" spans="1:15" x14ac:dyDescent="0.3">
      <c r="A43" s="58" t="str">
        <f>Schedule!E41</f>
        <v>A000490</v>
      </c>
      <c r="B43" s="58" t="s">
        <v>1558</v>
      </c>
      <c r="C43" s="58" t="str">
        <f t="shared" si="0"/>
        <v>000490 KS</v>
      </c>
      <c r="D43" s="58" t="s">
        <v>3671</v>
      </c>
      <c r="E43" s="110" t="s">
        <v>3527</v>
      </c>
      <c r="F43" s="110" t="str">
        <f>IFERROR(VLOOKUP(C43,[1]evdl298!$B:$D,3,0),"")</f>
        <v>E</v>
      </c>
      <c r="G43" s="110">
        <f>IFERROR(VLOOKUP(C43,[1]evdl298!$B:$C,2,0),"")</f>
        <v>41515</v>
      </c>
      <c r="H43" s="110" t="str">
        <f t="shared" si="1"/>
        <v>E</v>
      </c>
      <c r="I43" s="110">
        <f t="shared" si="2"/>
        <v>41515</v>
      </c>
      <c r="J43" s="110"/>
      <c r="K43" s="110"/>
      <c r="M43" s="110"/>
      <c r="O43" s="110"/>
    </row>
    <row r="44" spans="1:15" x14ac:dyDescent="0.3">
      <c r="A44" s="58" t="str">
        <f>Schedule!E42</f>
        <v>A000500</v>
      </c>
      <c r="B44" s="58" t="s">
        <v>1559</v>
      </c>
      <c r="C44" s="58" t="str">
        <f t="shared" si="0"/>
        <v>000500 KS</v>
      </c>
      <c r="D44" s="58" t="s">
        <v>3671</v>
      </c>
      <c r="E44" s="110" t="s">
        <v>3527</v>
      </c>
      <c r="F44" s="110" t="str">
        <f>IFERROR(VLOOKUP(C44,[1]evdl298!$B:$D,3,0),"")</f>
        <v/>
      </c>
      <c r="G44" s="110" t="str">
        <f>IFERROR(VLOOKUP(C44,[1]evdl298!$B:$C,2,0),"")</f>
        <v/>
      </c>
      <c r="H44" s="110" t="str">
        <f t="shared" si="1"/>
        <v/>
      </c>
      <c r="I44" s="110" t="str">
        <f t="shared" si="2"/>
        <v/>
      </c>
      <c r="J44" s="110"/>
      <c r="K44" s="110"/>
      <c r="M44" s="110"/>
      <c r="O44" s="110"/>
    </row>
    <row r="45" spans="1:15" x14ac:dyDescent="0.3">
      <c r="A45" s="58" t="str">
        <f>Schedule!E43</f>
        <v>A000520</v>
      </c>
      <c r="B45" s="58" t="s">
        <v>1560</v>
      </c>
      <c r="C45" s="58" t="str">
        <f t="shared" si="0"/>
        <v>000520 KS</v>
      </c>
      <c r="D45" s="58" t="s">
        <v>3671</v>
      </c>
      <c r="E45" s="110" t="s">
        <v>3527</v>
      </c>
      <c r="F45" s="110" t="str">
        <f>IFERROR(VLOOKUP(C45,[1]evdl298!$B:$D,3,0),"")</f>
        <v/>
      </c>
      <c r="G45" s="110" t="str">
        <f>IFERROR(VLOOKUP(C45,[1]evdl298!$B:$C,2,0),"")</f>
        <v/>
      </c>
      <c r="H45" s="110" t="str">
        <f t="shared" si="1"/>
        <v/>
      </c>
      <c r="I45" s="110" t="str">
        <f t="shared" si="2"/>
        <v/>
      </c>
      <c r="J45" s="110"/>
      <c r="K45" s="110"/>
      <c r="M45" s="110"/>
      <c r="O45" s="110"/>
    </row>
    <row r="46" spans="1:15" x14ac:dyDescent="0.3">
      <c r="A46" s="58" t="str">
        <f>Schedule!E44</f>
        <v>A000540</v>
      </c>
      <c r="B46" s="58" t="s">
        <v>1561</v>
      </c>
      <c r="C46" s="58" t="str">
        <f t="shared" si="0"/>
        <v>000540 KS</v>
      </c>
      <c r="D46" s="58" t="s">
        <v>3671</v>
      </c>
      <c r="E46" s="110" t="s">
        <v>3527</v>
      </c>
      <c r="F46" s="110" t="str">
        <f>IFERROR(VLOOKUP(C46,[1]evdl298!$B:$D,3,0),"")</f>
        <v>E</v>
      </c>
      <c r="G46" s="110">
        <f>IFERROR(VLOOKUP(C46,[1]evdl298!$B:$C,2,0),"")</f>
        <v>41492</v>
      </c>
      <c r="H46" s="110" t="str">
        <f t="shared" si="1"/>
        <v>E</v>
      </c>
      <c r="I46" s="110">
        <f t="shared" si="2"/>
        <v>41492</v>
      </c>
      <c r="J46" s="110"/>
      <c r="K46" s="110"/>
      <c r="M46" s="110"/>
      <c r="O46" s="110"/>
    </row>
    <row r="47" spans="1:15" x14ac:dyDescent="0.3">
      <c r="A47" s="58" t="str">
        <f>Schedule!E45</f>
        <v>A000590</v>
      </c>
      <c r="B47" s="58" t="s">
        <v>1562</v>
      </c>
      <c r="C47" s="58" t="str">
        <f t="shared" si="0"/>
        <v>000590 KS</v>
      </c>
      <c r="D47" s="58" t="s">
        <v>3671</v>
      </c>
      <c r="E47" s="110" t="s">
        <v>3527</v>
      </c>
      <c r="F47" s="110" t="str">
        <f>IFERROR(VLOOKUP(C47,[1]evdl298!$B:$D,3,0),"")</f>
        <v/>
      </c>
      <c r="G47" s="110" t="str">
        <f>IFERROR(VLOOKUP(C47,[1]evdl298!$B:$C,2,0),"")</f>
        <v/>
      </c>
      <c r="H47" s="110" t="str">
        <f t="shared" si="1"/>
        <v/>
      </c>
      <c r="I47" s="110" t="str">
        <f t="shared" si="2"/>
        <v/>
      </c>
      <c r="J47" s="110"/>
      <c r="K47" s="110"/>
      <c r="M47" s="110"/>
      <c r="O47" s="110"/>
    </row>
    <row r="48" spans="1:15" x14ac:dyDescent="0.3">
      <c r="A48" s="58" t="str">
        <f>Schedule!E46</f>
        <v>A000640</v>
      </c>
      <c r="B48" s="58" t="s">
        <v>3628</v>
      </c>
      <c r="C48" s="58" t="str">
        <f t="shared" si="0"/>
        <v>000640 KS</v>
      </c>
      <c r="D48" s="58" t="s">
        <v>3671</v>
      </c>
      <c r="E48" s="110" t="s">
        <v>3527</v>
      </c>
      <c r="F48" s="110" t="str">
        <f>IFERROR(VLOOKUP(C48,[1]evdl298!$B:$D,3,0),"")</f>
        <v>E</v>
      </c>
      <c r="G48" s="110">
        <f>IFERROR(VLOOKUP(C48,[1]evdl298!$B:$C,2,0),"")</f>
        <v>41481</v>
      </c>
      <c r="H48" s="110" t="str">
        <f t="shared" si="1"/>
        <v>E</v>
      </c>
      <c r="I48" s="110">
        <f t="shared" si="2"/>
        <v>41481</v>
      </c>
      <c r="J48" s="110"/>
      <c r="K48" s="110"/>
      <c r="M48" s="110"/>
      <c r="O48" s="110"/>
    </row>
    <row r="49" spans="1:15" x14ac:dyDescent="0.3">
      <c r="A49" s="58" t="str">
        <f>Schedule!E47</f>
        <v>A000650</v>
      </c>
      <c r="B49" s="58" t="s">
        <v>1563</v>
      </c>
      <c r="C49" s="58" t="str">
        <f t="shared" si="0"/>
        <v>000650 KS</v>
      </c>
      <c r="D49" s="58" t="s">
        <v>3671</v>
      </c>
      <c r="E49" s="110" t="s">
        <v>3527</v>
      </c>
      <c r="F49" s="110" t="str">
        <f>IFERROR(VLOOKUP(C49,[1]evdl298!$B:$D,3,0),"")</f>
        <v>E</v>
      </c>
      <c r="G49" s="110">
        <f>IFERROR(VLOOKUP(C49,[1]evdl298!$B:$C,2,0),"")</f>
        <v>41500</v>
      </c>
      <c r="H49" s="110" t="str">
        <f t="shared" si="1"/>
        <v>E</v>
      </c>
      <c r="I49" s="110">
        <f t="shared" si="2"/>
        <v>41500</v>
      </c>
      <c r="J49" s="110"/>
      <c r="K49" s="110"/>
      <c r="M49" s="110"/>
      <c r="O49" s="110"/>
    </row>
    <row r="50" spans="1:15" x14ac:dyDescent="0.3">
      <c r="A50" s="58" t="str">
        <f>Schedule!E48</f>
        <v>A000660</v>
      </c>
      <c r="B50" s="58" t="s">
        <v>1564</v>
      </c>
      <c r="C50" s="58" t="str">
        <f t="shared" si="0"/>
        <v>000660 KS</v>
      </c>
      <c r="D50" s="58" t="s">
        <v>3671</v>
      </c>
      <c r="E50" s="110" t="s">
        <v>3679</v>
      </c>
      <c r="F50" s="110" t="str">
        <f>IFERROR(VLOOKUP(C50,[1]evdl298!$B:$D,3,0),"")</f>
        <v>C</v>
      </c>
      <c r="G50" s="110">
        <f>IFERROR(VLOOKUP(C50,[1]evdl298!$B:$C,2,0),"")</f>
        <v>41480</v>
      </c>
      <c r="H50" s="110" t="str">
        <f t="shared" si="1"/>
        <v>C</v>
      </c>
      <c r="I50" s="110">
        <f t="shared" si="2"/>
        <v>41480</v>
      </c>
      <c r="J50" s="110"/>
      <c r="K50" s="110"/>
      <c r="M50" s="110"/>
      <c r="O50" s="110"/>
    </row>
    <row r="51" spans="1:15" x14ac:dyDescent="0.3">
      <c r="A51" s="58" t="str">
        <f>Schedule!E49</f>
        <v>A000670</v>
      </c>
      <c r="B51" s="58" t="s">
        <v>1565</v>
      </c>
      <c r="C51" s="58" t="str">
        <f t="shared" si="0"/>
        <v>000670 KS</v>
      </c>
      <c r="D51" s="58" t="s">
        <v>3671</v>
      </c>
      <c r="E51" s="110" t="s">
        <v>3527</v>
      </c>
      <c r="F51" s="110" t="str">
        <f>IFERROR(VLOOKUP(C51,[1]evdl298!$B:$D,3,0),"")</f>
        <v/>
      </c>
      <c r="G51" s="110" t="str">
        <f>IFERROR(VLOOKUP(C51,[1]evdl298!$B:$C,2,0),"")</f>
        <v/>
      </c>
      <c r="H51" s="110" t="str">
        <f t="shared" si="1"/>
        <v/>
      </c>
      <c r="I51" s="110" t="str">
        <f t="shared" si="2"/>
        <v/>
      </c>
      <c r="J51" s="110"/>
      <c r="K51" s="110"/>
      <c r="M51" s="110"/>
      <c r="O51" s="110"/>
    </row>
    <row r="52" spans="1:15" x14ac:dyDescent="0.3">
      <c r="A52" s="58" t="str">
        <f>Schedule!E50</f>
        <v>A000680</v>
      </c>
      <c r="B52" s="58" t="s">
        <v>1566</v>
      </c>
      <c r="C52" s="58" t="str">
        <f t="shared" si="0"/>
        <v>000680 KS</v>
      </c>
      <c r="D52" s="58" t="s">
        <v>3671</v>
      </c>
      <c r="E52" s="110" t="s">
        <v>3527</v>
      </c>
      <c r="F52" s="110" t="str">
        <f>IFERROR(VLOOKUP(C52,[1]evdl298!$B:$D,3,0),"")</f>
        <v>E</v>
      </c>
      <c r="G52" s="110">
        <f>IFERROR(VLOOKUP(C52,[1]evdl298!$B:$C,2,0),"")</f>
        <v>41515</v>
      </c>
      <c r="H52" s="110" t="str">
        <f t="shared" si="1"/>
        <v>E</v>
      </c>
      <c r="I52" s="110">
        <f t="shared" si="2"/>
        <v>41515</v>
      </c>
      <c r="J52" s="110"/>
      <c r="K52" s="110"/>
      <c r="M52" s="110"/>
      <c r="O52" s="110"/>
    </row>
    <row r="53" spans="1:15" x14ac:dyDescent="0.3">
      <c r="A53" s="58" t="str">
        <f>Schedule!E51</f>
        <v>A000700</v>
      </c>
      <c r="B53" s="58" t="s">
        <v>1567</v>
      </c>
      <c r="C53" s="58" t="str">
        <f t="shared" si="0"/>
        <v>000700 KS</v>
      </c>
      <c r="D53" s="58" t="s">
        <v>3671</v>
      </c>
      <c r="E53" s="110" t="s">
        <v>3527</v>
      </c>
      <c r="F53" s="110" t="str">
        <f>IFERROR(VLOOKUP(C53,[1]evdl298!$B:$D,3,0),"")</f>
        <v/>
      </c>
      <c r="G53" s="110" t="str">
        <f>IFERROR(VLOOKUP(C53,[1]evdl298!$B:$C,2,0),"")</f>
        <v/>
      </c>
      <c r="H53" s="110" t="str">
        <f t="shared" si="1"/>
        <v/>
      </c>
      <c r="I53" s="110" t="str">
        <f t="shared" si="2"/>
        <v/>
      </c>
      <c r="J53" s="110"/>
      <c r="K53" s="110"/>
      <c r="M53" s="110"/>
      <c r="O53" s="110"/>
    </row>
    <row r="54" spans="1:15" x14ac:dyDescent="0.3">
      <c r="A54" s="58" t="str">
        <f>Schedule!E52</f>
        <v>A000720</v>
      </c>
      <c r="B54" s="58" t="s">
        <v>1568</v>
      </c>
      <c r="C54" s="58" t="str">
        <f t="shared" si="0"/>
        <v>000720 KS</v>
      </c>
      <c r="D54" s="58" t="s">
        <v>3671</v>
      </c>
      <c r="E54" s="110" t="s">
        <v>3678</v>
      </c>
      <c r="F54" s="110" t="str">
        <f>IFERROR(VLOOKUP(C54,[1]evdl298!$B:$D,3,0),"")</f>
        <v>E</v>
      </c>
      <c r="G54" s="110">
        <f>IFERROR(VLOOKUP(C54,[1]evdl298!$B:$C,2,0),"")</f>
        <v>41481</v>
      </c>
      <c r="H54" s="110" t="str">
        <f t="shared" si="1"/>
        <v>E</v>
      </c>
      <c r="I54" s="110">
        <f t="shared" si="2"/>
        <v>41481</v>
      </c>
      <c r="J54" s="110"/>
      <c r="K54" s="110"/>
      <c r="M54" s="110"/>
      <c r="O54" s="110"/>
    </row>
    <row r="55" spans="1:15" x14ac:dyDescent="0.3">
      <c r="A55" s="58" t="str">
        <f>Schedule!E53</f>
        <v>A000760</v>
      </c>
      <c r="B55" s="58" t="s">
        <v>1569</v>
      </c>
      <c r="C55" s="58" t="str">
        <f t="shared" si="0"/>
        <v>000760 KS</v>
      </c>
      <c r="D55" s="58" t="s">
        <v>3671</v>
      </c>
      <c r="E55" s="110" t="s">
        <v>3527</v>
      </c>
      <c r="F55" s="110" t="str">
        <f>IFERROR(VLOOKUP(C55,[1]evdl298!$B:$D,3,0),"")</f>
        <v>E</v>
      </c>
      <c r="G55" s="110">
        <f>IFERROR(VLOOKUP(C55,[1]evdl298!$B:$C,2,0),"")</f>
        <v>41495</v>
      </c>
      <c r="H55" s="110" t="str">
        <f t="shared" si="1"/>
        <v>E</v>
      </c>
      <c r="I55" s="110">
        <f t="shared" si="2"/>
        <v>41495</v>
      </c>
      <c r="J55" s="110"/>
      <c r="K55" s="110"/>
      <c r="M55" s="110"/>
      <c r="O55" s="110"/>
    </row>
    <row r="56" spans="1:15" x14ac:dyDescent="0.3">
      <c r="A56" s="58" t="str">
        <f>Schedule!E54</f>
        <v>A000800</v>
      </c>
      <c r="B56" s="58" t="s">
        <v>1570</v>
      </c>
      <c r="C56" s="58" t="str">
        <f t="shared" si="0"/>
        <v>000800 KS</v>
      </c>
      <c r="D56" s="58" t="s">
        <v>3671</v>
      </c>
      <c r="E56" s="110" t="s">
        <v>3527</v>
      </c>
      <c r="F56" s="110" t="str">
        <f>IFERROR(VLOOKUP(C56,[1]evdl298!$B:$D,3,0),"")</f>
        <v/>
      </c>
      <c r="G56" s="110" t="str">
        <f>IFERROR(VLOOKUP(C56,[1]evdl298!$B:$C,2,0),"")</f>
        <v/>
      </c>
      <c r="H56" s="110" t="str">
        <f t="shared" si="1"/>
        <v/>
      </c>
      <c r="I56" s="110" t="str">
        <f t="shared" si="2"/>
        <v/>
      </c>
      <c r="J56" s="110"/>
      <c r="K56" s="110"/>
      <c r="M56" s="110"/>
      <c r="O56" s="110"/>
    </row>
    <row r="57" spans="1:15" x14ac:dyDescent="0.3">
      <c r="A57" s="58" t="str">
        <f>Schedule!E55</f>
        <v>A000810</v>
      </c>
      <c r="B57" s="58" t="s">
        <v>1571</v>
      </c>
      <c r="C57" s="58" t="str">
        <f t="shared" si="0"/>
        <v>000810 KS</v>
      </c>
      <c r="D57" s="58" t="s">
        <v>3671</v>
      </c>
      <c r="E57" s="110" t="s">
        <v>3674</v>
      </c>
      <c r="F57" s="110" t="str">
        <f>IFERROR(VLOOKUP(C57,[1]evdl298!$B:$D,3,0),"")</f>
        <v>E</v>
      </c>
      <c r="G57" s="110">
        <f>IFERROR(VLOOKUP(C57,[1]evdl298!$B:$C,2,0),"")</f>
        <v>41486</v>
      </c>
      <c r="H57" s="110" t="str">
        <f t="shared" si="1"/>
        <v>E</v>
      </c>
      <c r="I57" s="110">
        <f t="shared" si="2"/>
        <v>41486</v>
      </c>
      <c r="J57" s="110"/>
      <c r="K57" s="110"/>
      <c r="M57" s="110"/>
      <c r="O57" s="110"/>
    </row>
    <row r="58" spans="1:15" x14ac:dyDescent="0.3">
      <c r="A58" s="58" t="str">
        <f>Schedule!E56</f>
        <v>A000830</v>
      </c>
      <c r="B58" s="58" t="s">
        <v>1572</v>
      </c>
      <c r="C58" s="58" t="str">
        <f t="shared" si="0"/>
        <v>000830 KS</v>
      </c>
      <c r="D58" s="58" t="s">
        <v>3671</v>
      </c>
      <c r="E58" s="110" t="s">
        <v>3679</v>
      </c>
      <c r="F58" s="110" t="str">
        <f>IFERROR(VLOOKUP(C58,[1]evdl298!$B:$D,3,0),"")</f>
        <v>E</v>
      </c>
      <c r="G58" s="110">
        <f>IFERROR(VLOOKUP(C58,[1]evdl298!$B:$C,2,0),"")</f>
        <v>41474</v>
      </c>
      <c r="H58" s="110" t="str">
        <f t="shared" si="1"/>
        <v>E</v>
      </c>
      <c r="I58" s="110">
        <f t="shared" si="2"/>
        <v>41474</v>
      </c>
      <c r="J58" s="110"/>
      <c r="K58" s="110"/>
      <c r="M58" s="110"/>
      <c r="O58" s="110"/>
    </row>
    <row r="59" spans="1:15" x14ac:dyDescent="0.3">
      <c r="A59" s="58" t="str">
        <f>Schedule!E57</f>
        <v>A000850</v>
      </c>
      <c r="B59" s="58" t="s">
        <v>1573</v>
      </c>
      <c r="C59" s="58" t="str">
        <f t="shared" si="0"/>
        <v>000850 KS</v>
      </c>
      <c r="D59" s="58" t="s">
        <v>3671</v>
      </c>
      <c r="E59" s="110" t="s">
        <v>3527</v>
      </c>
      <c r="F59" s="110" t="str">
        <f>IFERROR(VLOOKUP(C59,[1]evdl298!$B:$D,3,0),"")</f>
        <v/>
      </c>
      <c r="G59" s="110" t="str">
        <f>IFERROR(VLOOKUP(C59,[1]evdl298!$B:$C,2,0),"")</f>
        <v/>
      </c>
      <c r="H59" s="110" t="str">
        <f t="shared" si="1"/>
        <v/>
      </c>
      <c r="I59" s="110" t="str">
        <f t="shared" si="2"/>
        <v/>
      </c>
      <c r="J59" s="110"/>
      <c r="K59" s="110"/>
      <c r="M59" s="110"/>
      <c r="O59" s="110"/>
    </row>
    <row r="60" spans="1:15" x14ac:dyDescent="0.3">
      <c r="A60" s="58" t="str">
        <f>Schedule!E58</f>
        <v>A000860</v>
      </c>
      <c r="B60" s="58" t="s">
        <v>1574</v>
      </c>
      <c r="C60" s="58" t="str">
        <f t="shared" si="0"/>
        <v>000860 KS</v>
      </c>
      <c r="D60" s="58" t="s">
        <v>3671</v>
      </c>
      <c r="E60" s="110" t="s">
        <v>3527</v>
      </c>
      <c r="F60" s="110" t="str">
        <f>IFERROR(VLOOKUP(C60,[1]evdl298!$B:$D,3,0),"")</f>
        <v/>
      </c>
      <c r="G60" s="110" t="str">
        <f>IFERROR(VLOOKUP(C60,[1]evdl298!$B:$C,2,0),"")</f>
        <v/>
      </c>
      <c r="H60" s="110" t="str">
        <f t="shared" si="1"/>
        <v/>
      </c>
      <c r="I60" s="110" t="str">
        <f t="shared" si="2"/>
        <v/>
      </c>
      <c r="J60" s="110"/>
      <c r="K60" s="110"/>
      <c r="M60" s="110"/>
      <c r="O60" s="110"/>
    </row>
    <row r="61" spans="1:15" x14ac:dyDescent="0.3">
      <c r="A61" s="58" t="str">
        <f>Schedule!E59</f>
        <v>A000880</v>
      </c>
      <c r="B61" s="58" t="s">
        <v>1575</v>
      </c>
      <c r="C61" s="58" t="str">
        <f t="shared" si="0"/>
        <v>000880 KS</v>
      </c>
      <c r="D61" s="58" t="s">
        <v>3671</v>
      </c>
      <c r="E61" s="110" t="s">
        <v>3680</v>
      </c>
      <c r="F61" s="110" t="str">
        <f>IFERROR(VLOOKUP(C61,[1]evdl298!$B:$D,3,0),"")</f>
        <v>E</v>
      </c>
      <c r="G61" s="110">
        <f>IFERROR(VLOOKUP(C61,[1]evdl298!$B:$C,2,0),"")</f>
        <v>41500</v>
      </c>
      <c r="H61" s="110" t="str">
        <f t="shared" si="1"/>
        <v>E</v>
      </c>
      <c r="I61" s="110">
        <f t="shared" si="2"/>
        <v>41500</v>
      </c>
      <c r="J61" s="110"/>
      <c r="K61" s="110"/>
      <c r="M61" s="110"/>
      <c r="O61" s="110"/>
    </row>
    <row r="62" spans="1:15" x14ac:dyDescent="0.3">
      <c r="A62" s="58" t="str">
        <f>Schedule!E60</f>
        <v>A000890</v>
      </c>
      <c r="B62" s="58" t="s">
        <v>1576</v>
      </c>
      <c r="C62" s="58" t="str">
        <f t="shared" si="0"/>
        <v>000890 KS</v>
      </c>
      <c r="D62" s="58" t="s">
        <v>3671</v>
      </c>
      <c r="E62" s="110" t="s">
        <v>3527</v>
      </c>
      <c r="F62" s="110" t="str">
        <f>IFERROR(VLOOKUP(C62,[1]evdl298!$B:$D,3,0),"")</f>
        <v/>
      </c>
      <c r="G62" s="110" t="str">
        <f>IFERROR(VLOOKUP(C62,[1]evdl298!$B:$C,2,0),"")</f>
        <v/>
      </c>
      <c r="H62" s="110" t="str">
        <f t="shared" si="1"/>
        <v/>
      </c>
      <c r="I62" s="110" t="str">
        <f t="shared" si="2"/>
        <v/>
      </c>
      <c r="J62" s="110"/>
      <c r="K62" s="110"/>
      <c r="M62" s="110"/>
      <c r="O62" s="110"/>
    </row>
    <row r="63" spans="1:15" x14ac:dyDescent="0.3">
      <c r="A63" s="58" t="str">
        <f>Schedule!E61</f>
        <v>A000910</v>
      </c>
      <c r="B63" s="58" t="s">
        <v>1577</v>
      </c>
      <c r="C63" s="58" t="str">
        <f t="shared" si="0"/>
        <v>000910 KS</v>
      </c>
      <c r="D63" s="58" t="s">
        <v>3671</v>
      </c>
      <c r="E63" s="110" t="s">
        <v>3527</v>
      </c>
      <c r="F63" s="110" t="str">
        <f>IFERROR(VLOOKUP(C63,[1]evdl298!$B:$D,3,0),"")</f>
        <v/>
      </c>
      <c r="G63" s="110" t="str">
        <f>IFERROR(VLOOKUP(C63,[1]evdl298!$B:$C,2,0),"")</f>
        <v/>
      </c>
      <c r="H63" s="110" t="str">
        <f t="shared" si="1"/>
        <v/>
      </c>
      <c r="I63" s="110" t="str">
        <f t="shared" si="2"/>
        <v/>
      </c>
      <c r="J63" s="110"/>
      <c r="K63" s="110"/>
      <c r="M63" s="110"/>
      <c r="O63" s="110"/>
    </row>
    <row r="64" spans="1:15" x14ac:dyDescent="0.3">
      <c r="A64" s="58" t="str">
        <f>Schedule!E62</f>
        <v>A000950</v>
      </c>
      <c r="B64" s="58" t="s">
        <v>1578</v>
      </c>
      <c r="C64" s="58" t="str">
        <f t="shared" si="0"/>
        <v>000950 KS</v>
      </c>
      <c r="D64" s="58" t="s">
        <v>3671</v>
      </c>
      <c r="E64" s="110" t="s">
        <v>3527</v>
      </c>
      <c r="F64" s="110" t="str">
        <f>IFERROR(VLOOKUP(C64,[1]evdl298!$B:$D,3,0),"")</f>
        <v/>
      </c>
      <c r="G64" s="110" t="str">
        <f>IFERROR(VLOOKUP(C64,[1]evdl298!$B:$C,2,0),"")</f>
        <v/>
      </c>
      <c r="H64" s="110" t="str">
        <f t="shared" si="1"/>
        <v/>
      </c>
      <c r="I64" s="110" t="str">
        <f t="shared" si="2"/>
        <v/>
      </c>
      <c r="J64" s="110"/>
      <c r="K64" s="110"/>
      <c r="M64" s="110"/>
      <c r="O64" s="110"/>
    </row>
    <row r="65" spans="1:15" x14ac:dyDescent="0.3">
      <c r="A65" s="58" t="str">
        <f>Schedule!E63</f>
        <v>A000970</v>
      </c>
      <c r="B65" s="58" t="s">
        <v>1579</v>
      </c>
      <c r="C65" s="58" t="str">
        <f t="shared" si="0"/>
        <v>000970 KS</v>
      </c>
      <c r="D65" s="58" t="s">
        <v>3671</v>
      </c>
      <c r="E65" s="110" t="s">
        <v>3527</v>
      </c>
      <c r="F65" s="110" t="str">
        <f>IFERROR(VLOOKUP(C65,[1]evdl298!$B:$D,3,0),"")</f>
        <v>C</v>
      </c>
      <c r="G65" s="110">
        <f>IFERROR(VLOOKUP(C65,[1]evdl298!$B:$C,2,0),"")</f>
        <v>41456</v>
      </c>
      <c r="H65" s="110" t="str">
        <f t="shared" si="1"/>
        <v>C</v>
      </c>
      <c r="I65" s="110">
        <f t="shared" si="2"/>
        <v>41456</v>
      </c>
      <c r="J65" s="110"/>
      <c r="K65" s="110"/>
      <c r="M65" s="110"/>
      <c r="O65" s="110"/>
    </row>
    <row r="66" spans="1:15" x14ac:dyDescent="0.3">
      <c r="A66" s="58" t="str">
        <f>Schedule!E64</f>
        <v>A000990</v>
      </c>
      <c r="B66" s="58" t="s">
        <v>1580</v>
      </c>
      <c r="C66" s="58" t="str">
        <f t="shared" si="0"/>
        <v>000990 KS</v>
      </c>
      <c r="D66" s="58" t="s">
        <v>3671</v>
      </c>
      <c r="E66" s="110" t="s">
        <v>3527</v>
      </c>
      <c r="F66" s="110" t="str">
        <f>IFERROR(VLOOKUP(C66,[1]evdl298!$B:$D,3,0),"")</f>
        <v>E</v>
      </c>
      <c r="G66" s="110">
        <f>IFERROR(VLOOKUP(C66,[1]evdl298!$B:$C,2,0),"")</f>
        <v>41500</v>
      </c>
      <c r="H66" s="110" t="str">
        <f t="shared" si="1"/>
        <v>E</v>
      </c>
      <c r="I66" s="110">
        <f t="shared" si="2"/>
        <v>41500</v>
      </c>
      <c r="J66" s="110"/>
      <c r="K66" s="110"/>
      <c r="M66" s="110"/>
      <c r="O66" s="110"/>
    </row>
    <row r="67" spans="1:15" x14ac:dyDescent="0.3">
      <c r="A67" s="58" t="str">
        <f>Schedule!E65</f>
        <v>A001000</v>
      </c>
      <c r="B67" s="58" t="s">
        <v>1581</v>
      </c>
      <c r="C67" s="58" t="str">
        <f t="shared" si="0"/>
        <v>001000 KS</v>
      </c>
      <c r="D67" s="58" t="s">
        <v>3671</v>
      </c>
      <c r="E67" s="110" t="s">
        <v>3527</v>
      </c>
      <c r="F67" s="110" t="str">
        <f>IFERROR(VLOOKUP(C67,[1]evdl298!$B:$D,3,0),"")</f>
        <v>E</v>
      </c>
      <c r="G67" s="110">
        <f>IFERROR(VLOOKUP(C67,[1]evdl298!$B:$C,2,0),"")</f>
        <v>41500</v>
      </c>
      <c r="H67" s="110" t="str">
        <f t="shared" si="1"/>
        <v>E</v>
      </c>
      <c r="I67" s="110">
        <f t="shared" si="2"/>
        <v>41500</v>
      </c>
      <c r="J67" s="110"/>
      <c r="K67" s="110"/>
      <c r="M67" s="110"/>
      <c r="O67" s="110"/>
    </row>
    <row r="68" spans="1:15" x14ac:dyDescent="0.3">
      <c r="A68" s="58" t="str">
        <f>Schedule!E66</f>
        <v>A001020</v>
      </c>
      <c r="B68" s="58" t="s">
        <v>1582</v>
      </c>
      <c r="C68" s="58" t="str">
        <f t="shared" si="0"/>
        <v>001020 KS</v>
      </c>
      <c r="D68" s="58" t="s">
        <v>3671</v>
      </c>
      <c r="E68" s="110" t="s">
        <v>3527</v>
      </c>
      <c r="F68" s="110" t="str">
        <f>IFERROR(VLOOKUP(C68,[1]evdl298!$B:$D,3,0),"")</f>
        <v>E</v>
      </c>
      <c r="G68" s="110">
        <f>IFERROR(VLOOKUP(C68,[1]evdl298!$B:$C,2,0),"")</f>
        <v>41495</v>
      </c>
      <c r="H68" s="110" t="str">
        <f t="shared" si="1"/>
        <v>E</v>
      </c>
      <c r="I68" s="110">
        <f t="shared" si="2"/>
        <v>41495</v>
      </c>
      <c r="J68" s="110"/>
      <c r="K68" s="110"/>
      <c r="M68" s="110"/>
      <c r="O68" s="110"/>
    </row>
    <row r="69" spans="1:15" x14ac:dyDescent="0.3">
      <c r="A69" s="58" t="str">
        <f>Schedule!E67</f>
        <v>A001040</v>
      </c>
      <c r="B69" s="58" t="s">
        <v>1583</v>
      </c>
      <c r="C69" s="58" t="str">
        <f t="shared" si="0"/>
        <v>001040 KS</v>
      </c>
      <c r="D69" s="58" t="s">
        <v>3671</v>
      </c>
      <c r="E69" s="110">
        <v>41501</v>
      </c>
      <c r="F69" s="110" t="str">
        <f>IFERROR(VLOOKUP(C69,[1]evdl298!$B:$D,3,0),"")</f>
        <v>E</v>
      </c>
      <c r="G69" s="110">
        <f>IFERROR(VLOOKUP(C69,[1]evdl298!$B:$C,2,0),"")</f>
        <v>41500</v>
      </c>
      <c r="H69" s="110" t="str">
        <f t="shared" si="1"/>
        <v>E</v>
      </c>
      <c r="I69" s="110">
        <f t="shared" si="2"/>
        <v>41500</v>
      </c>
      <c r="J69" s="110"/>
      <c r="K69" s="110"/>
      <c r="M69" s="110"/>
      <c r="O69" s="110"/>
    </row>
    <row r="70" spans="1:15" x14ac:dyDescent="0.3">
      <c r="A70" s="58" t="str">
        <f>Schedule!E68</f>
        <v>A001060</v>
      </c>
      <c r="B70" s="58" t="s">
        <v>1584</v>
      </c>
      <c r="C70" s="58" t="str">
        <f t="shared" si="0"/>
        <v>001060 KS</v>
      </c>
      <c r="D70" s="58" t="s">
        <v>3671</v>
      </c>
      <c r="E70" s="110" t="s">
        <v>3527</v>
      </c>
      <c r="F70" s="110" t="str">
        <f>IFERROR(VLOOKUP(C70,[1]evdl298!$B:$D,3,0),"")</f>
        <v/>
      </c>
      <c r="G70" s="110" t="str">
        <f>IFERROR(VLOOKUP(C70,[1]evdl298!$B:$C,2,0),"")</f>
        <v/>
      </c>
      <c r="H70" s="110" t="str">
        <f t="shared" si="1"/>
        <v/>
      </c>
      <c r="I70" s="110" t="str">
        <f t="shared" si="2"/>
        <v/>
      </c>
      <c r="J70" s="110"/>
      <c r="K70" s="110"/>
      <c r="M70" s="110"/>
      <c r="O70" s="110"/>
    </row>
    <row r="71" spans="1:15" x14ac:dyDescent="0.3">
      <c r="A71" s="58" t="str">
        <f>Schedule!E69</f>
        <v>A001070</v>
      </c>
      <c r="B71" s="58" t="s">
        <v>1585</v>
      </c>
      <c r="C71" s="58" t="str">
        <f t="shared" si="0"/>
        <v>001070 KS</v>
      </c>
      <c r="D71" s="58" t="s">
        <v>3671</v>
      </c>
      <c r="E71" s="110" t="s">
        <v>3527</v>
      </c>
      <c r="F71" s="110" t="str">
        <f>IFERROR(VLOOKUP(C71,[1]evdl298!$B:$D,3,0),"")</f>
        <v/>
      </c>
      <c r="G71" s="110" t="str">
        <f>IFERROR(VLOOKUP(C71,[1]evdl298!$B:$C,2,0),"")</f>
        <v/>
      </c>
      <c r="H71" s="110" t="str">
        <f t="shared" si="1"/>
        <v/>
      </c>
      <c r="I71" s="110" t="str">
        <f t="shared" si="2"/>
        <v/>
      </c>
      <c r="J71" s="110"/>
      <c r="K71" s="110"/>
      <c r="M71" s="110"/>
      <c r="O71" s="110"/>
    </row>
    <row r="72" spans="1:15" x14ac:dyDescent="0.3">
      <c r="A72" s="58" t="str">
        <f>Schedule!E70</f>
        <v>A001080</v>
      </c>
      <c r="B72" s="58" t="s">
        <v>1586</v>
      </c>
      <c r="C72" s="58" t="str">
        <f t="shared" si="0"/>
        <v>001080 KS</v>
      </c>
      <c r="D72" s="58" t="s">
        <v>3671</v>
      </c>
      <c r="E72" s="110" t="s">
        <v>3527</v>
      </c>
      <c r="F72" s="110" t="str">
        <f>IFERROR(VLOOKUP(C72,[1]evdl298!$B:$D,3,0),"")</f>
        <v/>
      </c>
      <c r="G72" s="110" t="str">
        <f>IFERROR(VLOOKUP(C72,[1]evdl298!$B:$C,2,0),"")</f>
        <v/>
      </c>
      <c r="H72" s="110" t="str">
        <f t="shared" si="1"/>
        <v/>
      </c>
      <c r="I72" s="110" t="str">
        <f t="shared" si="2"/>
        <v/>
      </c>
      <c r="J72" s="110"/>
      <c r="K72" s="110"/>
      <c r="M72" s="110"/>
      <c r="O72" s="110"/>
    </row>
    <row r="73" spans="1:15" x14ac:dyDescent="0.3">
      <c r="A73" s="58" t="str">
        <f>Schedule!E71</f>
        <v>A001120</v>
      </c>
      <c r="B73" s="58" t="s">
        <v>1587</v>
      </c>
      <c r="C73" s="58" t="str">
        <f t="shared" si="0"/>
        <v>001120 KS</v>
      </c>
      <c r="D73" s="58" t="s">
        <v>3671</v>
      </c>
      <c r="E73" s="110" t="s">
        <v>3527</v>
      </c>
      <c r="F73" s="110" t="str">
        <f>IFERROR(VLOOKUP(C73,[1]evdl298!$B:$D,3,0),"")</f>
        <v>E</v>
      </c>
      <c r="G73" s="110">
        <f>IFERROR(VLOOKUP(C73,[1]evdl298!$B:$C,2,0),"")</f>
        <v>41500</v>
      </c>
      <c r="H73" s="110" t="str">
        <f t="shared" si="1"/>
        <v>E</v>
      </c>
      <c r="I73" s="110">
        <f t="shared" si="2"/>
        <v>41500</v>
      </c>
      <c r="J73" s="110"/>
      <c r="K73" s="110"/>
      <c r="M73" s="110"/>
      <c r="O73" s="110"/>
    </row>
    <row r="74" spans="1:15" x14ac:dyDescent="0.3">
      <c r="A74" s="58" t="str">
        <f>Schedule!E72</f>
        <v>A001130</v>
      </c>
      <c r="B74" s="58" t="s">
        <v>1588</v>
      </c>
      <c r="C74" s="58" t="str">
        <f t="shared" si="0"/>
        <v>001130 KS</v>
      </c>
      <c r="D74" s="58" t="s">
        <v>3671</v>
      </c>
      <c r="E74" s="110" t="s">
        <v>3527</v>
      </c>
      <c r="F74" s="110" t="str">
        <f>IFERROR(VLOOKUP(C74,[1]evdl298!$B:$D,3,0),"")</f>
        <v>E</v>
      </c>
      <c r="G74" s="110">
        <f>IFERROR(VLOOKUP(C74,[1]evdl298!$B:$C,2,0),"")</f>
        <v>41495</v>
      </c>
      <c r="H74" s="110" t="str">
        <f t="shared" si="1"/>
        <v>E</v>
      </c>
      <c r="I74" s="110">
        <f t="shared" si="2"/>
        <v>41495</v>
      </c>
      <c r="J74" s="110"/>
      <c r="K74" s="110"/>
      <c r="M74" s="110"/>
      <c r="O74" s="110"/>
    </row>
    <row r="75" spans="1:15" x14ac:dyDescent="0.3">
      <c r="A75" s="58" t="str">
        <f>Schedule!E73</f>
        <v>A001140</v>
      </c>
      <c r="B75" s="58" t="s">
        <v>1589</v>
      </c>
      <c r="C75" s="58" t="str">
        <f t="shared" si="0"/>
        <v>001140 KS</v>
      </c>
      <c r="D75" s="58" t="s">
        <v>3671</v>
      </c>
      <c r="E75" s="110" t="s">
        <v>3527</v>
      </c>
      <c r="F75" s="110" t="str">
        <f>IFERROR(VLOOKUP(C75,[1]evdl298!$B:$D,3,0),"")</f>
        <v/>
      </c>
      <c r="G75" s="110" t="str">
        <f>IFERROR(VLOOKUP(C75,[1]evdl298!$B:$C,2,0),"")</f>
        <v/>
      </c>
      <c r="H75" s="110" t="str">
        <f t="shared" si="1"/>
        <v/>
      </c>
      <c r="I75" s="110" t="str">
        <f t="shared" si="2"/>
        <v/>
      </c>
      <c r="J75" s="110"/>
      <c r="K75" s="110"/>
      <c r="M75" s="110"/>
      <c r="O75" s="110"/>
    </row>
    <row r="76" spans="1:15" x14ac:dyDescent="0.3">
      <c r="A76" s="58" t="str">
        <f>Schedule!E74</f>
        <v>A001200</v>
      </c>
      <c r="B76" s="58" t="s">
        <v>1590</v>
      </c>
      <c r="C76" s="58" t="str">
        <f t="shared" si="0"/>
        <v>001200 KS</v>
      </c>
      <c r="D76" s="58" t="s">
        <v>3671</v>
      </c>
      <c r="E76" s="110" t="s">
        <v>3527</v>
      </c>
      <c r="F76" s="110" t="str">
        <f>IFERROR(VLOOKUP(C76,[1]evdl298!$B:$D,3,0),"")</f>
        <v>E</v>
      </c>
      <c r="G76" s="110">
        <f>IFERROR(VLOOKUP(C76,[1]evdl298!$B:$C,2,0),"")</f>
        <v>41500</v>
      </c>
      <c r="H76" s="110" t="str">
        <f t="shared" si="1"/>
        <v>E</v>
      </c>
      <c r="I76" s="110">
        <f t="shared" si="2"/>
        <v>41500</v>
      </c>
      <c r="J76" s="110"/>
      <c r="K76" s="110"/>
      <c r="M76" s="110"/>
      <c r="O76" s="110"/>
    </row>
    <row r="77" spans="1:15" x14ac:dyDescent="0.3">
      <c r="A77" s="58" t="str">
        <f>Schedule!E75</f>
        <v>A001210</v>
      </c>
      <c r="B77" s="58" t="s">
        <v>1591</v>
      </c>
      <c r="C77" s="58" t="str">
        <f t="shared" si="0"/>
        <v>001210 KS</v>
      </c>
      <c r="D77" s="58" t="s">
        <v>3671</v>
      </c>
      <c r="E77" s="110" t="s">
        <v>3527</v>
      </c>
      <c r="F77" s="110" t="str">
        <f>IFERROR(VLOOKUP(C77,[1]evdl298!$B:$D,3,0),"")</f>
        <v/>
      </c>
      <c r="G77" s="110" t="str">
        <f>IFERROR(VLOOKUP(C77,[1]evdl298!$B:$C,2,0),"")</f>
        <v/>
      </c>
      <c r="H77" s="110" t="str">
        <f t="shared" si="1"/>
        <v/>
      </c>
      <c r="I77" s="110" t="str">
        <f t="shared" si="2"/>
        <v/>
      </c>
      <c r="J77" s="110"/>
      <c r="K77" s="110"/>
      <c r="M77" s="110"/>
      <c r="O77" s="110"/>
    </row>
    <row r="78" spans="1:15" x14ac:dyDescent="0.3">
      <c r="A78" s="58" t="str">
        <f>Schedule!E76</f>
        <v>A001230</v>
      </c>
      <c r="B78" s="58" t="s">
        <v>1592</v>
      </c>
      <c r="C78" s="58" t="str">
        <f t="shared" si="0"/>
        <v>001230 KS</v>
      </c>
      <c r="D78" s="58" t="s">
        <v>3671</v>
      </c>
      <c r="E78" s="110">
        <v>41511</v>
      </c>
      <c r="F78" s="110" t="str">
        <f>IFERROR(VLOOKUP(C78,[1]evdl298!$B:$D,3,0),"")</f>
        <v>E</v>
      </c>
      <c r="G78" s="110">
        <f>IFERROR(VLOOKUP(C78,[1]evdl298!$B:$C,2,0),"")</f>
        <v>41500</v>
      </c>
      <c r="H78" s="110" t="str">
        <f t="shared" si="1"/>
        <v>E</v>
      </c>
      <c r="I78" s="110">
        <f t="shared" si="2"/>
        <v>41500</v>
      </c>
      <c r="J78" s="110"/>
      <c r="K78" s="110"/>
      <c r="M78" s="110"/>
      <c r="O78" s="110"/>
    </row>
    <row r="79" spans="1:15" x14ac:dyDescent="0.3">
      <c r="A79" s="58" t="str">
        <f>Schedule!E77</f>
        <v>A001250</v>
      </c>
      <c r="B79" s="58" t="s">
        <v>1593</v>
      </c>
      <c r="C79" s="58" t="str">
        <f t="shared" si="0"/>
        <v>001250 KS</v>
      </c>
      <c r="D79" s="58" t="s">
        <v>3671</v>
      </c>
      <c r="E79" s="110" t="s">
        <v>3527</v>
      </c>
      <c r="F79" s="110" t="str">
        <f>IFERROR(VLOOKUP(C79,[1]evdl298!$B:$D,3,0),"")</f>
        <v>E</v>
      </c>
      <c r="G79" s="110">
        <f>IFERROR(VLOOKUP(C79,[1]evdl298!$B:$C,2,0),"")</f>
        <v>41500</v>
      </c>
      <c r="H79" s="110" t="str">
        <f t="shared" si="1"/>
        <v>E</v>
      </c>
      <c r="I79" s="110">
        <f t="shared" si="2"/>
        <v>41500</v>
      </c>
      <c r="J79" s="110"/>
      <c r="K79" s="110"/>
      <c r="M79" s="110"/>
      <c r="O79" s="110"/>
    </row>
    <row r="80" spans="1:15" x14ac:dyDescent="0.3">
      <c r="A80" s="58" t="str">
        <f>Schedule!E78</f>
        <v>A001260</v>
      </c>
      <c r="B80" s="58" t="s">
        <v>1594</v>
      </c>
      <c r="C80" s="58" t="str">
        <f t="shared" si="0"/>
        <v>001260 KS</v>
      </c>
      <c r="D80" s="58" t="s">
        <v>3671</v>
      </c>
      <c r="E80" s="110" t="s">
        <v>3527</v>
      </c>
      <c r="F80" s="110" t="str">
        <f>IFERROR(VLOOKUP(C80,[1]evdl298!$B:$D,3,0),"")</f>
        <v/>
      </c>
      <c r="G80" s="110" t="str">
        <f>IFERROR(VLOOKUP(C80,[1]evdl298!$B:$C,2,0),"")</f>
        <v/>
      </c>
      <c r="H80" s="110" t="str">
        <f t="shared" si="1"/>
        <v/>
      </c>
      <c r="I80" s="110" t="str">
        <f t="shared" si="2"/>
        <v/>
      </c>
      <c r="J80" s="110"/>
      <c r="K80" s="110"/>
      <c r="M80" s="110"/>
      <c r="O80" s="110"/>
    </row>
    <row r="81" spans="1:15" x14ac:dyDescent="0.3">
      <c r="A81" s="58" t="str">
        <f>Schedule!E79</f>
        <v>A001270</v>
      </c>
      <c r="B81" s="58" t="s">
        <v>1595</v>
      </c>
      <c r="C81" s="58" t="str">
        <f t="shared" ref="C81:C144" si="3">RIGHT(A81,6)&amp;" KS"</f>
        <v>001270 KS</v>
      </c>
      <c r="D81" s="58" t="s">
        <v>3671</v>
      </c>
      <c r="E81" s="110" t="s">
        <v>3527</v>
      </c>
      <c r="F81" s="110" t="str">
        <f>IFERROR(VLOOKUP(C81,[1]evdl298!$B:$D,3,0),"")</f>
        <v>E</v>
      </c>
      <c r="G81" s="110">
        <f>IFERROR(VLOOKUP(C81,[1]evdl298!$B:$C,2,0),"")</f>
        <v>41500</v>
      </c>
      <c r="H81" s="110" t="str">
        <f t="shared" ref="H81:H144" si="4">F81</f>
        <v>E</v>
      </c>
      <c r="I81" s="110">
        <f t="shared" ref="I81:I144" si="5">IF(ISNUMBER(G81),G81,E81)</f>
        <v>41500</v>
      </c>
      <c r="J81" s="110"/>
      <c r="K81" s="110"/>
      <c r="M81" s="110"/>
      <c r="O81" s="110"/>
    </row>
    <row r="82" spans="1:15" x14ac:dyDescent="0.3">
      <c r="A82" s="58" t="str">
        <f>Schedule!E80</f>
        <v>A001290</v>
      </c>
      <c r="B82" s="58" t="s">
        <v>1596</v>
      </c>
      <c r="C82" s="58" t="str">
        <f t="shared" si="3"/>
        <v>001290 KS</v>
      </c>
      <c r="D82" s="58" t="s">
        <v>3671</v>
      </c>
      <c r="E82" s="110" t="s">
        <v>3527</v>
      </c>
      <c r="F82" s="110" t="str">
        <f>IFERROR(VLOOKUP(C82,[1]evdl298!$B:$D,3,0),"")</f>
        <v>E</v>
      </c>
      <c r="G82" s="110">
        <f>IFERROR(VLOOKUP(C82,[1]evdl298!$B:$C,2,0),"")</f>
        <v>41500</v>
      </c>
      <c r="H82" s="110" t="str">
        <f t="shared" si="4"/>
        <v>E</v>
      </c>
      <c r="I82" s="110">
        <f t="shared" si="5"/>
        <v>41500</v>
      </c>
      <c r="J82" s="110"/>
      <c r="K82" s="110"/>
      <c r="M82" s="110"/>
      <c r="O82" s="110"/>
    </row>
    <row r="83" spans="1:15" x14ac:dyDescent="0.3">
      <c r="A83" s="58" t="str">
        <f>Schedule!E81</f>
        <v>A001300</v>
      </c>
      <c r="B83" s="58" t="s">
        <v>1597</v>
      </c>
      <c r="C83" s="58" t="str">
        <f t="shared" si="3"/>
        <v>001300 KS</v>
      </c>
      <c r="D83" s="58" t="s">
        <v>3671</v>
      </c>
      <c r="E83" s="110" t="s">
        <v>3681</v>
      </c>
      <c r="F83" s="110" t="str">
        <f>IFERROR(VLOOKUP(C83,[1]evdl298!$B:$D,3,0),"")</f>
        <v>E</v>
      </c>
      <c r="G83" s="110">
        <f>IFERROR(VLOOKUP(C83,[1]evdl298!$B:$C,2,0),"")</f>
        <v>41486</v>
      </c>
      <c r="H83" s="110" t="str">
        <f t="shared" si="4"/>
        <v>E</v>
      </c>
      <c r="I83" s="110">
        <f t="shared" si="5"/>
        <v>41486</v>
      </c>
      <c r="J83" s="110"/>
      <c r="K83" s="110"/>
      <c r="M83" s="110"/>
      <c r="O83" s="110"/>
    </row>
    <row r="84" spans="1:15" x14ac:dyDescent="0.3">
      <c r="A84" s="58" t="str">
        <f>Schedule!E82</f>
        <v>A001340</v>
      </c>
      <c r="B84" s="58" t="s">
        <v>1598</v>
      </c>
      <c r="C84" s="58" t="str">
        <f t="shared" si="3"/>
        <v>001340 KS</v>
      </c>
      <c r="D84" s="58" t="s">
        <v>3671</v>
      </c>
      <c r="E84" s="110" t="s">
        <v>3527</v>
      </c>
      <c r="F84" s="110" t="str">
        <f>IFERROR(VLOOKUP(C84,[1]evdl298!$B:$D,3,0),"")</f>
        <v>E</v>
      </c>
      <c r="G84" s="110">
        <f>IFERROR(VLOOKUP(C84,[1]evdl298!$B:$C,2,0),"")</f>
        <v>41500</v>
      </c>
      <c r="H84" s="110" t="str">
        <f t="shared" si="4"/>
        <v>E</v>
      </c>
      <c r="I84" s="110">
        <f t="shared" si="5"/>
        <v>41500</v>
      </c>
      <c r="J84" s="110"/>
      <c r="K84" s="110"/>
      <c r="M84" s="110"/>
      <c r="O84" s="110"/>
    </row>
    <row r="85" spans="1:15" x14ac:dyDescent="0.3">
      <c r="A85" s="58" t="str">
        <f>Schedule!E83</f>
        <v>A001360</v>
      </c>
      <c r="B85" s="58" t="s">
        <v>1599</v>
      </c>
      <c r="C85" s="58" t="str">
        <f t="shared" si="3"/>
        <v>001360 KS</v>
      </c>
      <c r="D85" s="58" t="s">
        <v>3671</v>
      </c>
      <c r="E85" s="110" t="s">
        <v>3527</v>
      </c>
      <c r="F85" s="110" t="str">
        <f>IFERROR(VLOOKUP(C85,[1]evdl298!$B:$D,3,0),"")</f>
        <v>E</v>
      </c>
      <c r="G85" s="110">
        <f>IFERROR(VLOOKUP(C85,[1]evdl298!$B:$C,2,0),"")</f>
        <v>41460</v>
      </c>
      <c r="H85" s="110" t="str">
        <f t="shared" si="4"/>
        <v>E</v>
      </c>
      <c r="I85" s="110">
        <f t="shared" si="5"/>
        <v>41460</v>
      </c>
      <c r="J85" s="110"/>
      <c r="K85" s="110"/>
      <c r="M85" s="110"/>
      <c r="O85" s="110"/>
    </row>
    <row r="86" spans="1:15" x14ac:dyDescent="0.3">
      <c r="A86" s="58" t="str">
        <f>Schedule!E84</f>
        <v>A001380</v>
      </c>
      <c r="B86" s="58" t="s">
        <v>1600</v>
      </c>
      <c r="C86" s="58" t="str">
        <f t="shared" si="3"/>
        <v>001380 KS</v>
      </c>
      <c r="D86" s="58" t="s">
        <v>3671</v>
      </c>
      <c r="E86" s="110" t="s">
        <v>3527</v>
      </c>
      <c r="F86" s="110" t="str">
        <f>IFERROR(VLOOKUP(C86,[1]evdl298!$B:$D,3,0),"")</f>
        <v/>
      </c>
      <c r="G86" s="110" t="str">
        <f>IFERROR(VLOOKUP(C86,[1]evdl298!$B:$C,2,0),"")</f>
        <v/>
      </c>
      <c r="H86" s="110" t="str">
        <f t="shared" si="4"/>
        <v/>
      </c>
      <c r="I86" s="110" t="str">
        <f t="shared" si="5"/>
        <v/>
      </c>
      <c r="J86" s="110"/>
      <c r="K86" s="110"/>
      <c r="M86" s="110"/>
      <c r="O86" s="110"/>
    </row>
    <row r="87" spans="1:15" x14ac:dyDescent="0.3">
      <c r="A87" s="58" t="str">
        <f>Schedule!E85</f>
        <v>A001390</v>
      </c>
      <c r="B87" s="58" t="s">
        <v>1601</v>
      </c>
      <c r="C87" s="58" t="str">
        <f t="shared" si="3"/>
        <v>001390 KS</v>
      </c>
      <c r="D87" s="58" t="s">
        <v>3671</v>
      </c>
      <c r="E87" s="110" t="s">
        <v>3527</v>
      </c>
      <c r="F87" s="110" t="str">
        <f>IFERROR(VLOOKUP(C87,[1]evdl298!$B:$D,3,0),"")</f>
        <v/>
      </c>
      <c r="G87" s="110" t="str">
        <f>IFERROR(VLOOKUP(C87,[1]evdl298!$B:$C,2,0),"")</f>
        <v/>
      </c>
      <c r="H87" s="110" t="str">
        <f t="shared" si="4"/>
        <v/>
      </c>
      <c r="I87" s="110" t="str">
        <f t="shared" si="5"/>
        <v/>
      </c>
      <c r="J87" s="110"/>
      <c r="K87" s="110"/>
      <c r="M87" s="110"/>
      <c r="O87" s="110"/>
    </row>
    <row r="88" spans="1:15" x14ac:dyDescent="0.3">
      <c r="A88" s="58" t="str">
        <f>Schedule!E86</f>
        <v>A001420</v>
      </c>
      <c r="B88" s="58" t="s">
        <v>1602</v>
      </c>
      <c r="C88" s="58" t="str">
        <f t="shared" si="3"/>
        <v>001420 KS</v>
      </c>
      <c r="D88" s="58" t="s">
        <v>3671</v>
      </c>
      <c r="E88" s="110" t="s">
        <v>3527</v>
      </c>
      <c r="F88" s="110" t="str">
        <f>IFERROR(VLOOKUP(C88,[1]evdl298!$B:$D,3,0),"")</f>
        <v>E</v>
      </c>
      <c r="G88" s="110">
        <f>IFERROR(VLOOKUP(C88,[1]evdl298!$B:$C,2,0),"")</f>
        <v>41500</v>
      </c>
      <c r="H88" s="110" t="str">
        <f t="shared" si="4"/>
        <v>E</v>
      </c>
      <c r="I88" s="110">
        <f t="shared" si="5"/>
        <v>41500</v>
      </c>
      <c r="J88" s="110"/>
      <c r="K88" s="110"/>
      <c r="M88" s="110"/>
      <c r="O88" s="110"/>
    </row>
    <row r="89" spans="1:15" x14ac:dyDescent="0.3">
      <c r="A89" s="58" t="str">
        <f>Schedule!E87</f>
        <v>A001430</v>
      </c>
      <c r="B89" s="58" t="s">
        <v>1603</v>
      </c>
      <c r="C89" s="58" t="str">
        <f t="shared" si="3"/>
        <v>001430 KS</v>
      </c>
      <c r="D89" s="58" t="s">
        <v>3671</v>
      </c>
      <c r="E89" s="110" t="s">
        <v>3527</v>
      </c>
      <c r="F89" s="110" t="str">
        <f>IFERROR(VLOOKUP(C89,[1]evdl298!$B:$D,3,0),"")</f>
        <v>E</v>
      </c>
      <c r="G89" s="110">
        <f>IFERROR(VLOOKUP(C89,[1]evdl298!$B:$C,2,0),"")</f>
        <v>41481</v>
      </c>
      <c r="H89" s="110" t="str">
        <f t="shared" si="4"/>
        <v>E</v>
      </c>
      <c r="I89" s="110">
        <f t="shared" si="5"/>
        <v>41481</v>
      </c>
      <c r="J89" s="110"/>
      <c r="K89" s="110"/>
      <c r="M89" s="110"/>
      <c r="O89" s="110"/>
    </row>
    <row r="90" spans="1:15" x14ac:dyDescent="0.3">
      <c r="A90" s="58" t="str">
        <f>Schedule!E88</f>
        <v>A001440</v>
      </c>
      <c r="B90" s="58" t="s">
        <v>1604</v>
      </c>
      <c r="C90" s="58" t="str">
        <f t="shared" si="3"/>
        <v>001440 KS</v>
      </c>
      <c r="D90" s="58" t="s">
        <v>3671</v>
      </c>
      <c r="E90" s="110" t="s">
        <v>3527</v>
      </c>
      <c r="F90" s="110" t="str">
        <f>IFERROR(VLOOKUP(C90,[1]evdl298!$B:$D,3,0),"")</f>
        <v>E</v>
      </c>
      <c r="G90" s="110">
        <f>IFERROR(VLOOKUP(C90,[1]evdl298!$B:$C,2,0),"")</f>
        <v>41500</v>
      </c>
      <c r="H90" s="110" t="str">
        <f t="shared" si="4"/>
        <v>E</v>
      </c>
      <c r="I90" s="110">
        <f t="shared" si="5"/>
        <v>41500</v>
      </c>
      <c r="J90" s="110"/>
      <c r="K90" s="110"/>
      <c r="M90" s="110"/>
      <c r="O90" s="110"/>
    </row>
    <row r="91" spans="1:15" x14ac:dyDescent="0.3">
      <c r="A91" s="58" t="str">
        <f>Schedule!E89</f>
        <v>A001450</v>
      </c>
      <c r="B91" s="58" t="s">
        <v>1605</v>
      </c>
      <c r="C91" s="58" t="str">
        <f t="shared" si="3"/>
        <v>001450 KS</v>
      </c>
      <c r="D91" s="58" t="s">
        <v>3671</v>
      </c>
      <c r="E91" s="110" t="s">
        <v>3674</v>
      </c>
      <c r="F91" s="110" t="str">
        <f>IFERROR(VLOOKUP(C91,[1]evdl298!$B:$D,3,0),"")</f>
        <v>E</v>
      </c>
      <c r="G91" s="110">
        <f>IFERROR(VLOOKUP(C91,[1]evdl298!$B:$C,2,0),"")</f>
        <v>41486</v>
      </c>
      <c r="H91" s="110" t="str">
        <f t="shared" si="4"/>
        <v>E</v>
      </c>
      <c r="I91" s="110">
        <f t="shared" si="5"/>
        <v>41486</v>
      </c>
      <c r="J91" s="110"/>
      <c r="K91" s="110"/>
      <c r="M91" s="110"/>
      <c r="O91" s="110"/>
    </row>
    <row r="92" spans="1:15" x14ac:dyDescent="0.3">
      <c r="A92" s="58" t="str">
        <f>Schedule!E90</f>
        <v>A001460</v>
      </c>
      <c r="B92" s="58" t="s">
        <v>1606</v>
      </c>
      <c r="C92" s="58" t="str">
        <f t="shared" si="3"/>
        <v>001460 KS</v>
      </c>
      <c r="D92" s="58" t="s">
        <v>3671</v>
      </c>
      <c r="E92" s="110" t="s">
        <v>3527</v>
      </c>
      <c r="F92" s="110" t="str">
        <f>IFERROR(VLOOKUP(C92,[1]evdl298!$B:$D,3,0),"")</f>
        <v/>
      </c>
      <c r="G92" s="110" t="str">
        <f>IFERROR(VLOOKUP(C92,[1]evdl298!$B:$C,2,0),"")</f>
        <v/>
      </c>
      <c r="H92" s="110" t="str">
        <f t="shared" si="4"/>
        <v/>
      </c>
      <c r="I92" s="110" t="str">
        <f t="shared" si="5"/>
        <v/>
      </c>
      <c r="J92" s="110"/>
      <c r="K92" s="110"/>
      <c r="M92" s="110"/>
      <c r="O92" s="110"/>
    </row>
    <row r="93" spans="1:15" x14ac:dyDescent="0.3">
      <c r="A93" s="58" t="str">
        <f>Schedule!E91</f>
        <v>A001470</v>
      </c>
      <c r="B93" s="58" t="s">
        <v>1607</v>
      </c>
      <c r="C93" s="58" t="str">
        <f t="shared" si="3"/>
        <v>001470 KS</v>
      </c>
      <c r="D93" s="58" t="s">
        <v>3671</v>
      </c>
      <c r="E93" s="110" t="s">
        <v>3527</v>
      </c>
      <c r="F93" s="110" t="str">
        <f>IFERROR(VLOOKUP(C93,[1]evdl298!$B:$D,3,0),"")</f>
        <v/>
      </c>
      <c r="G93" s="110" t="str">
        <f>IFERROR(VLOOKUP(C93,[1]evdl298!$B:$C,2,0),"")</f>
        <v/>
      </c>
      <c r="H93" s="110" t="str">
        <f t="shared" si="4"/>
        <v/>
      </c>
      <c r="I93" s="110" t="str">
        <f t="shared" si="5"/>
        <v/>
      </c>
      <c r="J93" s="110"/>
      <c r="K93" s="110"/>
      <c r="M93" s="110"/>
      <c r="O93" s="110"/>
    </row>
    <row r="94" spans="1:15" x14ac:dyDescent="0.3">
      <c r="A94" s="58" t="str">
        <f>Schedule!E92</f>
        <v>A001500</v>
      </c>
      <c r="B94" s="58" t="s">
        <v>1608</v>
      </c>
      <c r="C94" s="58" t="str">
        <f t="shared" si="3"/>
        <v>001500 KS</v>
      </c>
      <c r="D94" s="58" t="s">
        <v>3671</v>
      </c>
      <c r="E94" s="110" t="s">
        <v>3527</v>
      </c>
      <c r="F94" s="110" t="str">
        <f>IFERROR(VLOOKUP(C94,[1]evdl298!$B:$D,3,0),"")</f>
        <v>E</v>
      </c>
      <c r="G94" s="110">
        <f>IFERROR(VLOOKUP(C94,[1]evdl298!$B:$C,2,0),"")</f>
        <v>41481</v>
      </c>
      <c r="H94" s="110" t="str">
        <f t="shared" si="4"/>
        <v>E</v>
      </c>
      <c r="I94" s="110">
        <f t="shared" si="5"/>
        <v>41481</v>
      </c>
      <c r="J94" s="110"/>
      <c r="K94" s="110"/>
      <c r="M94" s="110"/>
      <c r="O94" s="110"/>
    </row>
    <row r="95" spans="1:15" x14ac:dyDescent="0.3">
      <c r="A95" s="58" t="str">
        <f>Schedule!E93</f>
        <v>A001510</v>
      </c>
      <c r="B95" s="58" t="s">
        <v>18</v>
      </c>
      <c r="C95" s="58" t="str">
        <f t="shared" si="3"/>
        <v>001510 KS</v>
      </c>
      <c r="D95" s="58" t="s">
        <v>3671</v>
      </c>
      <c r="E95" s="110" t="s">
        <v>3527</v>
      </c>
      <c r="F95" s="110" t="str">
        <f>IFERROR(VLOOKUP(C95,[1]evdl298!$B:$D,3,0),"")</f>
        <v>E</v>
      </c>
      <c r="G95" s="110">
        <f>IFERROR(VLOOKUP(C95,[1]evdl298!$B:$C,2,0),"")</f>
        <v>41500</v>
      </c>
      <c r="H95" s="110" t="str">
        <f t="shared" si="4"/>
        <v>E</v>
      </c>
      <c r="I95" s="110">
        <f t="shared" si="5"/>
        <v>41500</v>
      </c>
      <c r="J95" s="110"/>
      <c r="K95" s="110"/>
      <c r="M95" s="110"/>
      <c r="O95" s="110"/>
    </row>
    <row r="96" spans="1:15" x14ac:dyDescent="0.3">
      <c r="A96" s="58" t="str">
        <f>Schedule!E94</f>
        <v>A001520</v>
      </c>
      <c r="B96" s="58" t="s">
        <v>1609</v>
      </c>
      <c r="C96" s="58" t="str">
        <f t="shared" si="3"/>
        <v>001520 KS</v>
      </c>
      <c r="D96" s="58" t="s">
        <v>3671</v>
      </c>
      <c r="E96" s="110" t="s">
        <v>3527</v>
      </c>
      <c r="F96" s="110" t="str">
        <f>IFERROR(VLOOKUP(C96,[1]evdl298!$B:$D,3,0),"")</f>
        <v/>
      </c>
      <c r="G96" s="110" t="str">
        <f>IFERROR(VLOOKUP(C96,[1]evdl298!$B:$C,2,0),"")</f>
        <v/>
      </c>
      <c r="H96" s="110" t="str">
        <f t="shared" si="4"/>
        <v/>
      </c>
      <c r="I96" s="110" t="str">
        <f t="shared" si="5"/>
        <v/>
      </c>
      <c r="J96" s="110"/>
      <c r="K96" s="110"/>
      <c r="M96" s="110"/>
      <c r="O96" s="110"/>
    </row>
    <row r="97" spans="1:15" x14ac:dyDescent="0.3">
      <c r="A97" s="58" t="str">
        <f>Schedule!E95</f>
        <v>A001530</v>
      </c>
      <c r="B97" s="58" t="s">
        <v>1610</v>
      </c>
      <c r="C97" s="58" t="str">
        <f t="shared" si="3"/>
        <v>001530 KS</v>
      </c>
      <c r="D97" s="58" t="s">
        <v>3671</v>
      </c>
      <c r="E97" s="110" t="s">
        <v>3527</v>
      </c>
      <c r="F97" s="110" t="str">
        <f>IFERROR(VLOOKUP(C97,[1]evdl298!$B:$D,3,0),"")</f>
        <v/>
      </c>
      <c r="G97" s="110" t="str">
        <f>IFERROR(VLOOKUP(C97,[1]evdl298!$B:$C,2,0),"")</f>
        <v/>
      </c>
      <c r="H97" s="110" t="str">
        <f t="shared" si="4"/>
        <v/>
      </c>
      <c r="I97" s="110" t="str">
        <f t="shared" si="5"/>
        <v/>
      </c>
      <c r="J97" s="110"/>
      <c r="K97" s="110"/>
      <c r="M97" s="110"/>
      <c r="O97" s="110"/>
    </row>
    <row r="98" spans="1:15" x14ac:dyDescent="0.3">
      <c r="A98" s="58" t="str">
        <f>Schedule!E96</f>
        <v>A001540</v>
      </c>
      <c r="B98" s="58" t="s">
        <v>1611</v>
      </c>
      <c r="C98" s="58" t="str">
        <f t="shared" si="3"/>
        <v>001540 KS</v>
      </c>
      <c r="D98" s="58" t="s">
        <v>3671</v>
      </c>
      <c r="E98" s="110" t="s">
        <v>3527</v>
      </c>
      <c r="F98" s="110" t="str">
        <f>IFERROR(VLOOKUP(C98,[1]evdl298!$B:$D,3,0),"")</f>
        <v>E</v>
      </c>
      <c r="G98" s="110">
        <f>IFERROR(VLOOKUP(C98,[1]evdl298!$B:$C,2,0),"")</f>
        <v>41515</v>
      </c>
      <c r="H98" s="110" t="str">
        <f t="shared" si="4"/>
        <v>E</v>
      </c>
      <c r="I98" s="110">
        <f t="shared" si="5"/>
        <v>41515</v>
      </c>
      <c r="J98" s="110"/>
      <c r="K98" s="110"/>
      <c r="M98" s="110"/>
      <c r="O98" s="110"/>
    </row>
    <row r="99" spans="1:15" x14ac:dyDescent="0.3">
      <c r="A99" s="58" t="str">
        <f>Schedule!E97</f>
        <v>A001550</v>
      </c>
      <c r="B99" s="58" t="s">
        <v>1612</v>
      </c>
      <c r="C99" s="58" t="str">
        <f t="shared" si="3"/>
        <v>001550 KS</v>
      </c>
      <c r="D99" s="58" t="s">
        <v>3671</v>
      </c>
      <c r="E99" s="110" t="s">
        <v>3527</v>
      </c>
      <c r="F99" s="110" t="str">
        <f>IFERROR(VLOOKUP(C99,[1]evdl298!$B:$D,3,0),"")</f>
        <v>E</v>
      </c>
      <c r="G99" s="110">
        <f>IFERROR(VLOOKUP(C99,[1]evdl298!$B:$C,2,0),"")</f>
        <v>41500</v>
      </c>
      <c r="H99" s="110" t="str">
        <f t="shared" si="4"/>
        <v>E</v>
      </c>
      <c r="I99" s="110">
        <f t="shared" si="5"/>
        <v>41500</v>
      </c>
      <c r="J99" s="110"/>
      <c r="K99" s="110"/>
      <c r="M99" s="110"/>
      <c r="O99" s="110"/>
    </row>
    <row r="100" spans="1:15" x14ac:dyDescent="0.3">
      <c r="A100" s="58" t="str">
        <f>Schedule!E98</f>
        <v>A001560</v>
      </c>
      <c r="B100" s="58" t="s">
        <v>1613</v>
      </c>
      <c r="C100" s="58" t="str">
        <f t="shared" si="3"/>
        <v>001560 KS</v>
      </c>
      <c r="D100" s="58" t="s">
        <v>3671</v>
      </c>
      <c r="E100" s="110" t="s">
        <v>3527</v>
      </c>
      <c r="F100" s="110" t="str">
        <f>IFERROR(VLOOKUP(C100,[1]evdl298!$B:$D,3,0),"")</f>
        <v/>
      </c>
      <c r="G100" s="110" t="str">
        <f>IFERROR(VLOOKUP(C100,[1]evdl298!$B:$C,2,0),"")</f>
        <v/>
      </c>
      <c r="H100" s="110" t="str">
        <f t="shared" si="4"/>
        <v/>
      </c>
      <c r="I100" s="110" t="str">
        <f t="shared" si="5"/>
        <v/>
      </c>
      <c r="J100" s="110"/>
      <c r="K100" s="110"/>
      <c r="M100" s="110"/>
      <c r="O100" s="110"/>
    </row>
    <row r="101" spans="1:15" x14ac:dyDescent="0.3">
      <c r="A101" s="58" t="str">
        <f>Schedule!E99</f>
        <v>A001570</v>
      </c>
      <c r="B101" s="58" t="s">
        <v>1614</v>
      </c>
      <c r="C101" s="58" t="str">
        <f t="shared" si="3"/>
        <v>001570 KS</v>
      </c>
      <c r="D101" s="58" t="s">
        <v>3671</v>
      </c>
      <c r="E101" s="110" t="s">
        <v>3527</v>
      </c>
      <c r="F101" s="110" t="str">
        <f>IFERROR(VLOOKUP(C101,[1]evdl298!$B:$D,3,0),"")</f>
        <v/>
      </c>
      <c r="G101" s="110" t="str">
        <f>IFERROR(VLOOKUP(C101,[1]evdl298!$B:$C,2,0),"")</f>
        <v/>
      </c>
      <c r="H101" s="110" t="str">
        <f t="shared" si="4"/>
        <v/>
      </c>
      <c r="I101" s="110" t="str">
        <f t="shared" si="5"/>
        <v/>
      </c>
      <c r="J101" s="110"/>
      <c r="K101" s="110"/>
      <c r="M101" s="110"/>
      <c r="O101" s="110"/>
    </row>
    <row r="102" spans="1:15" x14ac:dyDescent="0.3">
      <c r="A102" s="58" t="str">
        <f>Schedule!E100</f>
        <v>A001620</v>
      </c>
      <c r="B102" s="58" t="s">
        <v>1615</v>
      </c>
      <c r="C102" s="58" t="str">
        <f t="shared" si="3"/>
        <v>001620 KS</v>
      </c>
      <c r="D102" s="58" t="s">
        <v>3671</v>
      </c>
      <c r="E102" s="110" t="s">
        <v>3527</v>
      </c>
      <c r="F102" s="110" t="str">
        <f>IFERROR(VLOOKUP(C102,[1]evdl298!$B:$D,3,0),"")</f>
        <v/>
      </c>
      <c r="G102" s="110" t="str">
        <f>IFERROR(VLOOKUP(C102,[1]evdl298!$B:$C,2,0),"")</f>
        <v/>
      </c>
      <c r="H102" s="110" t="str">
        <f t="shared" si="4"/>
        <v/>
      </c>
      <c r="I102" s="110" t="str">
        <f t="shared" si="5"/>
        <v/>
      </c>
      <c r="J102" s="110"/>
      <c r="K102" s="110"/>
      <c r="M102" s="110"/>
      <c r="O102" s="110"/>
    </row>
    <row r="103" spans="1:15" x14ac:dyDescent="0.3">
      <c r="A103" s="58" t="str">
        <f>Schedule!E101</f>
        <v>A001630</v>
      </c>
      <c r="B103" s="58" t="s">
        <v>1616</v>
      </c>
      <c r="C103" s="58" t="str">
        <f t="shared" si="3"/>
        <v>001630 KS</v>
      </c>
      <c r="D103" s="58" t="s">
        <v>3671</v>
      </c>
      <c r="E103" s="110" t="s">
        <v>3527</v>
      </c>
      <c r="F103" s="110" t="str">
        <f>IFERROR(VLOOKUP(C103,[1]evdl298!$B:$D,3,0),"")</f>
        <v>E</v>
      </c>
      <c r="G103" s="110">
        <f>IFERROR(VLOOKUP(C103,[1]evdl298!$B:$C,2,0),"")</f>
        <v>41515</v>
      </c>
      <c r="H103" s="110" t="str">
        <f t="shared" si="4"/>
        <v>E</v>
      </c>
      <c r="I103" s="110">
        <f t="shared" si="5"/>
        <v>41515</v>
      </c>
      <c r="J103" s="110"/>
      <c r="K103" s="110"/>
      <c r="M103" s="110"/>
      <c r="O103" s="110"/>
    </row>
    <row r="104" spans="1:15" x14ac:dyDescent="0.3">
      <c r="A104" s="58" t="str">
        <f>Schedule!E102</f>
        <v>A001680</v>
      </c>
      <c r="B104" s="58" t="s">
        <v>1617</v>
      </c>
      <c r="C104" s="58" t="str">
        <f t="shared" si="3"/>
        <v>001680 KS</v>
      </c>
      <c r="D104" s="58" t="s">
        <v>3671</v>
      </c>
      <c r="E104" s="110" t="s">
        <v>3682</v>
      </c>
      <c r="F104" s="110" t="str">
        <f>IFERROR(VLOOKUP(C104,[1]evdl298!$B:$D,3,0),"")</f>
        <v/>
      </c>
      <c r="G104" s="110" t="str">
        <f>IFERROR(VLOOKUP(C104,[1]evdl298!$B:$C,2,0),"")</f>
        <v/>
      </c>
      <c r="H104" s="110" t="str">
        <f t="shared" si="4"/>
        <v/>
      </c>
      <c r="I104" s="110" t="str">
        <f t="shared" si="5"/>
        <v>2013-08-25</v>
      </c>
      <c r="J104" s="110"/>
      <c r="K104" s="110"/>
      <c r="M104" s="110"/>
      <c r="O104" s="110"/>
    </row>
    <row r="105" spans="1:15" x14ac:dyDescent="0.3">
      <c r="A105" s="58" t="str">
        <f>Schedule!E103</f>
        <v>A001720</v>
      </c>
      <c r="B105" s="58" t="s">
        <v>19</v>
      </c>
      <c r="C105" s="58" t="str">
        <f t="shared" si="3"/>
        <v>001720 KS</v>
      </c>
      <c r="D105" s="58" t="s">
        <v>3671</v>
      </c>
      <c r="E105" s="110" t="s">
        <v>3527</v>
      </c>
      <c r="F105" s="110" t="str">
        <f>IFERROR(VLOOKUP(C105,[1]evdl298!$B:$D,3,0),"")</f>
        <v>E</v>
      </c>
      <c r="G105" s="110">
        <f>IFERROR(VLOOKUP(C105,[1]evdl298!$B:$C,2,0),"")</f>
        <v>41500</v>
      </c>
      <c r="H105" s="110" t="str">
        <f t="shared" si="4"/>
        <v>E</v>
      </c>
      <c r="I105" s="110">
        <f t="shared" si="5"/>
        <v>41500</v>
      </c>
      <c r="J105" s="110"/>
      <c r="K105" s="110"/>
      <c r="M105" s="110"/>
      <c r="O105" s="110"/>
    </row>
    <row r="106" spans="1:15" x14ac:dyDescent="0.3">
      <c r="A106" s="58" t="str">
        <f>Schedule!E104</f>
        <v>A001740</v>
      </c>
      <c r="B106" s="58" t="s">
        <v>1618</v>
      </c>
      <c r="C106" s="58" t="str">
        <f t="shared" si="3"/>
        <v>001740 KS</v>
      </c>
      <c r="D106" s="58" t="s">
        <v>3671</v>
      </c>
      <c r="E106" s="110" t="s">
        <v>3527</v>
      </c>
      <c r="F106" s="110" t="str">
        <f>IFERROR(VLOOKUP(C106,[1]evdl298!$B:$D,3,0),"")</f>
        <v>E</v>
      </c>
      <c r="G106" s="110">
        <f>IFERROR(VLOOKUP(C106,[1]evdl298!$B:$C,2,0),"")</f>
        <v>41487</v>
      </c>
      <c r="H106" s="110" t="str">
        <f t="shared" si="4"/>
        <v>E</v>
      </c>
      <c r="I106" s="110">
        <f t="shared" si="5"/>
        <v>41487</v>
      </c>
      <c r="J106" s="110"/>
      <c r="K106" s="110"/>
      <c r="M106" s="110"/>
      <c r="O106" s="110"/>
    </row>
    <row r="107" spans="1:15" x14ac:dyDescent="0.3">
      <c r="A107" s="58" t="str">
        <f>Schedule!E105</f>
        <v>A001750</v>
      </c>
      <c r="B107" s="58" t="s">
        <v>1619</v>
      </c>
      <c r="C107" s="58" t="str">
        <f t="shared" si="3"/>
        <v>001750 KS</v>
      </c>
      <c r="D107" s="58" t="s">
        <v>3671</v>
      </c>
      <c r="E107" s="110" t="s">
        <v>3527</v>
      </c>
      <c r="F107" s="110" t="str">
        <f>IFERROR(VLOOKUP(C107,[1]evdl298!$B:$D,3,0),"")</f>
        <v>E</v>
      </c>
      <c r="G107" s="110">
        <f>IFERROR(VLOOKUP(C107,[1]evdl298!$B:$C,2,0),"")</f>
        <v>41500</v>
      </c>
      <c r="H107" s="110" t="str">
        <f t="shared" si="4"/>
        <v>E</v>
      </c>
      <c r="I107" s="110">
        <f t="shared" si="5"/>
        <v>41500</v>
      </c>
      <c r="J107" s="110"/>
      <c r="K107" s="110"/>
      <c r="M107" s="110"/>
      <c r="O107" s="110"/>
    </row>
    <row r="108" spans="1:15" x14ac:dyDescent="0.3">
      <c r="A108" s="58" t="str">
        <f>Schedule!E106</f>
        <v>A001770</v>
      </c>
      <c r="B108" s="58" t="s">
        <v>1620</v>
      </c>
      <c r="C108" s="58" t="str">
        <f t="shared" si="3"/>
        <v>001770 KS</v>
      </c>
      <c r="D108" s="58" t="s">
        <v>3671</v>
      </c>
      <c r="E108" s="110" t="s">
        <v>3527</v>
      </c>
      <c r="F108" s="110" t="str">
        <f>IFERROR(VLOOKUP(C108,[1]evdl298!$B:$D,3,0),"")</f>
        <v>E</v>
      </c>
      <c r="G108" s="110">
        <f>IFERROR(VLOOKUP(C108,[1]evdl298!$B:$C,2,0),"")</f>
        <v>41500</v>
      </c>
      <c r="H108" s="110" t="str">
        <f t="shared" si="4"/>
        <v>E</v>
      </c>
      <c r="I108" s="110">
        <f t="shared" si="5"/>
        <v>41500</v>
      </c>
      <c r="J108" s="110"/>
      <c r="K108" s="110"/>
      <c r="M108" s="110"/>
      <c r="O108" s="110"/>
    </row>
    <row r="109" spans="1:15" x14ac:dyDescent="0.3">
      <c r="A109" s="58" t="str">
        <f>Schedule!E107</f>
        <v>A001780</v>
      </c>
      <c r="B109" s="58" t="s">
        <v>1621</v>
      </c>
      <c r="C109" s="58" t="str">
        <f t="shared" si="3"/>
        <v>001780 KS</v>
      </c>
      <c r="D109" s="58" t="s">
        <v>3671</v>
      </c>
      <c r="E109" s="110" t="s">
        <v>3527</v>
      </c>
      <c r="F109" s="110" t="str">
        <f>IFERROR(VLOOKUP(C109,[1]evdl298!$B:$D,3,0),"")</f>
        <v/>
      </c>
      <c r="G109" s="110" t="str">
        <f>IFERROR(VLOOKUP(C109,[1]evdl298!$B:$C,2,0),"")</f>
        <v/>
      </c>
      <c r="H109" s="110" t="str">
        <f t="shared" si="4"/>
        <v/>
      </c>
      <c r="I109" s="110" t="str">
        <f t="shared" si="5"/>
        <v/>
      </c>
      <c r="J109" s="110"/>
      <c r="K109" s="110"/>
      <c r="M109" s="110"/>
      <c r="O109" s="110"/>
    </row>
    <row r="110" spans="1:15" x14ac:dyDescent="0.3">
      <c r="A110" s="58" t="str">
        <f>Schedule!E108</f>
        <v>A001790</v>
      </c>
      <c r="B110" s="58" t="s">
        <v>1622</v>
      </c>
      <c r="C110" s="58" t="str">
        <f t="shared" si="3"/>
        <v>001790 KS</v>
      </c>
      <c r="D110" s="58" t="s">
        <v>3671</v>
      </c>
      <c r="E110" s="110" t="s">
        <v>3527</v>
      </c>
      <c r="F110" s="110" t="str">
        <f>IFERROR(VLOOKUP(C110,[1]evdl298!$B:$D,3,0),"")</f>
        <v>E</v>
      </c>
      <c r="G110" s="110">
        <f>IFERROR(VLOOKUP(C110,[1]evdl298!$B:$C,2,0),"")</f>
        <v>41478</v>
      </c>
      <c r="H110" s="110" t="str">
        <f t="shared" si="4"/>
        <v>E</v>
      </c>
      <c r="I110" s="110">
        <f t="shared" si="5"/>
        <v>41478</v>
      </c>
      <c r="J110" s="110"/>
      <c r="K110" s="110"/>
      <c r="M110" s="110"/>
      <c r="O110" s="110"/>
    </row>
    <row r="111" spans="1:15" x14ac:dyDescent="0.3">
      <c r="A111" s="58" t="str">
        <f>Schedule!E109</f>
        <v>A001800</v>
      </c>
      <c r="B111" s="58" t="s">
        <v>1623</v>
      </c>
      <c r="C111" s="58" t="str">
        <f t="shared" si="3"/>
        <v>001800 KS</v>
      </c>
      <c r="D111" s="58" t="s">
        <v>3671</v>
      </c>
      <c r="E111" s="110">
        <v>41500</v>
      </c>
      <c r="F111" s="110" t="str">
        <f>IFERROR(VLOOKUP(C111,[1]evdl298!$B:$D,3,0),"")</f>
        <v>E</v>
      </c>
      <c r="G111" s="110">
        <f>IFERROR(VLOOKUP(C111,[1]evdl298!$B:$C,2,0),"")</f>
        <v>41500</v>
      </c>
      <c r="H111" s="110" t="str">
        <f t="shared" si="4"/>
        <v>E</v>
      </c>
      <c r="I111" s="110">
        <f t="shared" si="5"/>
        <v>41500</v>
      </c>
      <c r="J111" s="110"/>
      <c r="K111" s="110"/>
      <c r="M111" s="110"/>
      <c r="O111" s="110"/>
    </row>
    <row r="112" spans="1:15" x14ac:dyDescent="0.3">
      <c r="A112" s="58" t="str">
        <f>Schedule!E110</f>
        <v>A001810</v>
      </c>
      <c r="B112" s="58" t="s">
        <v>1624</v>
      </c>
      <c r="C112" s="58" t="str">
        <f t="shared" si="3"/>
        <v>001810 KS</v>
      </c>
      <c r="D112" s="58" t="s">
        <v>3671</v>
      </c>
      <c r="E112" s="110" t="s">
        <v>3527</v>
      </c>
      <c r="F112" s="110" t="str">
        <f>IFERROR(VLOOKUP(C112,[1]evdl298!$B:$D,3,0),"")</f>
        <v/>
      </c>
      <c r="G112" s="110" t="str">
        <f>IFERROR(VLOOKUP(C112,[1]evdl298!$B:$C,2,0),"")</f>
        <v/>
      </c>
      <c r="H112" s="110" t="str">
        <f t="shared" si="4"/>
        <v/>
      </c>
      <c r="I112" s="110" t="str">
        <f t="shared" si="5"/>
        <v/>
      </c>
      <c r="J112" s="110"/>
      <c r="K112" s="110"/>
      <c r="M112" s="110"/>
      <c r="O112" s="110"/>
    </row>
    <row r="113" spans="1:15" x14ac:dyDescent="0.3">
      <c r="A113" s="58" t="str">
        <f>Schedule!E111</f>
        <v>A001820</v>
      </c>
      <c r="B113" s="58" t="s">
        <v>1625</v>
      </c>
      <c r="C113" s="58" t="str">
        <f t="shared" si="3"/>
        <v>001820 KS</v>
      </c>
      <c r="D113" s="58" t="s">
        <v>3671</v>
      </c>
      <c r="E113" s="110" t="s">
        <v>3527</v>
      </c>
      <c r="F113" s="110" t="str">
        <f>IFERROR(VLOOKUP(C113,[1]evdl298!$B:$D,3,0),"")</f>
        <v/>
      </c>
      <c r="G113" s="110" t="str">
        <f>IFERROR(VLOOKUP(C113,[1]evdl298!$B:$C,2,0),"")</f>
        <v/>
      </c>
      <c r="H113" s="110" t="str">
        <f t="shared" si="4"/>
        <v/>
      </c>
      <c r="I113" s="110" t="str">
        <f t="shared" si="5"/>
        <v/>
      </c>
      <c r="J113" s="110"/>
      <c r="K113" s="110"/>
      <c r="M113" s="110"/>
      <c r="O113" s="110"/>
    </row>
    <row r="114" spans="1:15" x14ac:dyDescent="0.3">
      <c r="A114" s="58" t="str">
        <f>Schedule!E112</f>
        <v>A001840</v>
      </c>
      <c r="B114" s="58" t="s">
        <v>1626</v>
      </c>
      <c r="C114" s="58" t="str">
        <f t="shared" si="3"/>
        <v>001840 KS</v>
      </c>
      <c r="D114" s="58" t="s">
        <v>3671</v>
      </c>
      <c r="E114" s="110" t="s">
        <v>3527</v>
      </c>
      <c r="F114" s="110" t="str">
        <f>IFERROR(VLOOKUP(C114,[1]evdl298!$B:$D,3,0),"")</f>
        <v>E</v>
      </c>
      <c r="G114" s="110">
        <f>IFERROR(VLOOKUP(C114,[1]evdl298!$B:$C,2,0),"")</f>
        <v>41500</v>
      </c>
      <c r="H114" s="110" t="str">
        <f t="shared" si="4"/>
        <v>E</v>
      </c>
      <c r="I114" s="110">
        <f t="shared" si="5"/>
        <v>41500</v>
      </c>
      <c r="J114" s="110"/>
      <c r="K114" s="110"/>
      <c r="M114" s="110"/>
      <c r="O114" s="110"/>
    </row>
    <row r="115" spans="1:15" x14ac:dyDescent="0.3">
      <c r="A115" s="58" t="str">
        <f>Schedule!E113</f>
        <v>A001880</v>
      </c>
      <c r="B115" s="58" t="s">
        <v>1627</v>
      </c>
      <c r="C115" s="58" t="str">
        <f t="shared" si="3"/>
        <v>001880 KS</v>
      </c>
      <c r="D115" s="58" t="s">
        <v>3671</v>
      </c>
      <c r="E115" s="110" t="s">
        <v>3527</v>
      </c>
      <c r="F115" s="110" t="str">
        <f>IFERROR(VLOOKUP(C115,[1]evdl298!$B:$D,3,0),"")</f>
        <v>E</v>
      </c>
      <c r="G115" s="110">
        <f>IFERROR(VLOOKUP(C115,[1]evdl298!$B:$C,2,0),"")</f>
        <v>41500</v>
      </c>
      <c r="H115" s="110" t="str">
        <f t="shared" si="4"/>
        <v>E</v>
      </c>
      <c r="I115" s="110">
        <f t="shared" si="5"/>
        <v>41500</v>
      </c>
      <c r="J115" s="110"/>
      <c r="K115" s="110"/>
      <c r="M115" s="110"/>
      <c r="O115" s="110"/>
    </row>
    <row r="116" spans="1:15" x14ac:dyDescent="0.3">
      <c r="A116" s="58" t="str">
        <f>Schedule!E114</f>
        <v>A001940</v>
      </c>
      <c r="B116" s="58" t="s">
        <v>1628</v>
      </c>
      <c r="C116" s="58" t="str">
        <f t="shared" si="3"/>
        <v>001940 KS</v>
      </c>
      <c r="D116" s="58" t="s">
        <v>3671</v>
      </c>
      <c r="E116" s="110" t="s">
        <v>3527</v>
      </c>
      <c r="F116" s="110" t="str">
        <f>IFERROR(VLOOKUP(C116,[1]evdl298!$B:$D,3,0),"")</f>
        <v>E</v>
      </c>
      <c r="G116" s="110">
        <f>IFERROR(VLOOKUP(C116,[1]evdl298!$B:$C,2,0),"")</f>
        <v>41515</v>
      </c>
      <c r="H116" s="110" t="str">
        <f t="shared" si="4"/>
        <v>E</v>
      </c>
      <c r="I116" s="110">
        <f t="shared" si="5"/>
        <v>41515</v>
      </c>
      <c r="J116" s="110"/>
      <c r="K116" s="110"/>
      <c r="M116" s="110"/>
      <c r="O116" s="110"/>
    </row>
    <row r="117" spans="1:15" x14ac:dyDescent="0.3">
      <c r="A117" s="58" t="str">
        <f>Schedule!E115</f>
        <v>A002000</v>
      </c>
      <c r="B117" s="58" t="s">
        <v>1629</v>
      </c>
      <c r="C117" s="58" t="str">
        <f t="shared" si="3"/>
        <v>002000 KS</v>
      </c>
      <c r="D117" s="58" t="s">
        <v>3671</v>
      </c>
      <c r="E117" s="110" t="s">
        <v>3527</v>
      </c>
      <c r="F117" s="110" t="str">
        <f>IFERROR(VLOOKUP(C117,[1]evdl298!$B:$D,3,0),"")</f>
        <v>E</v>
      </c>
      <c r="G117" s="110">
        <f>IFERROR(VLOOKUP(C117,[1]evdl298!$B:$C,2,0),"")</f>
        <v>41499</v>
      </c>
      <c r="H117" s="110" t="str">
        <f t="shared" si="4"/>
        <v>E</v>
      </c>
      <c r="I117" s="110">
        <f t="shared" si="5"/>
        <v>41499</v>
      </c>
      <c r="J117" s="110"/>
      <c r="K117" s="110"/>
      <c r="M117" s="110"/>
      <c r="O117" s="110"/>
    </row>
    <row r="118" spans="1:15" x14ac:dyDescent="0.3">
      <c r="A118" s="58" t="str">
        <f>Schedule!E116</f>
        <v>A002020</v>
      </c>
      <c r="B118" s="58" t="s">
        <v>1630</v>
      </c>
      <c r="C118" s="58" t="str">
        <f t="shared" si="3"/>
        <v>002020 KS</v>
      </c>
      <c r="D118" s="58" t="s">
        <v>3671</v>
      </c>
      <c r="E118" s="110" t="s">
        <v>3527</v>
      </c>
      <c r="F118" s="110" t="str">
        <f>IFERROR(VLOOKUP(C118,[1]evdl298!$B:$D,3,0),"")</f>
        <v>E</v>
      </c>
      <c r="G118" s="110">
        <f>IFERROR(VLOOKUP(C118,[1]evdl298!$B:$C,2,0),"")</f>
        <v>41500</v>
      </c>
      <c r="H118" s="110" t="str">
        <f t="shared" si="4"/>
        <v>E</v>
      </c>
      <c r="I118" s="110">
        <f t="shared" si="5"/>
        <v>41500</v>
      </c>
      <c r="J118" s="110"/>
      <c r="K118" s="110"/>
      <c r="M118" s="110"/>
      <c r="O118" s="110"/>
    </row>
    <row r="119" spans="1:15" x14ac:dyDescent="0.3">
      <c r="A119" s="58" t="str">
        <f>Schedule!E117</f>
        <v>A002030</v>
      </c>
      <c r="B119" s="58" t="s">
        <v>1631</v>
      </c>
      <c r="C119" s="58" t="str">
        <f t="shared" si="3"/>
        <v>002030 KS</v>
      </c>
      <c r="D119" s="58" t="s">
        <v>3671</v>
      </c>
      <c r="E119" s="110" t="s">
        <v>3527</v>
      </c>
      <c r="F119" s="110" t="str">
        <f>IFERROR(VLOOKUP(C119,[1]evdl298!$B:$D,3,0),"")</f>
        <v/>
      </c>
      <c r="G119" s="110" t="str">
        <f>IFERROR(VLOOKUP(C119,[1]evdl298!$B:$C,2,0),"")</f>
        <v/>
      </c>
      <c r="H119" s="110" t="str">
        <f t="shared" si="4"/>
        <v/>
      </c>
      <c r="I119" s="110" t="str">
        <f t="shared" si="5"/>
        <v/>
      </c>
      <c r="J119" s="110"/>
      <c r="K119" s="110"/>
      <c r="M119" s="110"/>
      <c r="O119" s="110"/>
    </row>
    <row r="120" spans="1:15" x14ac:dyDescent="0.3">
      <c r="A120" s="58" t="str">
        <f>Schedule!E118</f>
        <v>A002070</v>
      </c>
      <c r="B120" s="58" t="s">
        <v>1632</v>
      </c>
      <c r="C120" s="58" t="str">
        <f t="shared" si="3"/>
        <v>002070 KS</v>
      </c>
      <c r="D120" s="58" t="s">
        <v>3671</v>
      </c>
      <c r="E120" s="110" t="s">
        <v>3527</v>
      </c>
      <c r="F120" s="110" t="str">
        <f>IFERROR(VLOOKUP(C120,[1]evdl298!$B:$D,3,0),"")</f>
        <v/>
      </c>
      <c r="G120" s="110" t="str">
        <f>IFERROR(VLOOKUP(C120,[1]evdl298!$B:$C,2,0),"")</f>
        <v/>
      </c>
      <c r="H120" s="110" t="str">
        <f t="shared" si="4"/>
        <v/>
      </c>
      <c r="I120" s="110" t="str">
        <f t="shared" si="5"/>
        <v/>
      </c>
      <c r="J120" s="110"/>
      <c r="K120" s="110"/>
      <c r="M120" s="110"/>
      <c r="O120" s="110"/>
    </row>
    <row r="121" spans="1:15" x14ac:dyDescent="0.3">
      <c r="A121" s="58" t="str">
        <f>Schedule!E119</f>
        <v>A002100</v>
      </c>
      <c r="B121" s="58" t="s">
        <v>1633</v>
      </c>
      <c r="C121" s="58" t="str">
        <f t="shared" si="3"/>
        <v>002100 KS</v>
      </c>
      <c r="D121" s="58" t="s">
        <v>3671</v>
      </c>
      <c r="E121" s="110" t="s">
        <v>3527</v>
      </c>
      <c r="F121" s="110" t="str">
        <f>IFERROR(VLOOKUP(C121,[1]evdl298!$B:$D,3,0),"")</f>
        <v>E</v>
      </c>
      <c r="G121" s="110">
        <f>IFERROR(VLOOKUP(C121,[1]evdl298!$B:$C,2,0),"")</f>
        <v>41515</v>
      </c>
      <c r="H121" s="110" t="str">
        <f t="shared" si="4"/>
        <v>E</v>
      </c>
      <c r="I121" s="110">
        <f t="shared" si="5"/>
        <v>41515</v>
      </c>
      <c r="J121" s="110"/>
      <c r="K121" s="110"/>
      <c r="M121" s="110"/>
      <c r="O121" s="110"/>
    </row>
    <row r="122" spans="1:15" x14ac:dyDescent="0.3">
      <c r="A122" s="58" t="str">
        <f>Schedule!E120</f>
        <v>A002140</v>
      </c>
      <c r="B122" s="58" t="s">
        <v>1634</v>
      </c>
      <c r="C122" s="58" t="str">
        <f t="shared" si="3"/>
        <v>002140 KS</v>
      </c>
      <c r="D122" s="58" t="s">
        <v>3671</v>
      </c>
      <c r="E122" s="110" t="s">
        <v>3527</v>
      </c>
      <c r="F122" s="110" t="str">
        <f>IFERROR(VLOOKUP(C122,[1]evdl298!$B:$D,3,0),"")</f>
        <v/>
      </c>
      <c r="G122" s="110" t="str">
        <f>IFERROR(VLOOKUP(C122,[1]evdl298!$B:$C,2,0),"")</f>
        <v/>
      </c>
      <c r="H122" s="110" t="str">
        <f t="shared" si="4"/>
        <v/>
      </c>
      <c r="I122" s="110" t="str">
        <f t="shared" si="5"/>
        <v/>
      </c>
      <c r="J122" s="110"/>
      <c r="K122" s="110"/>
      <c r="M122" s="110"/>
      <c r="O122" s="110"/>
    </row>
    <row r="123" spans="1:15" x14ac:dyDescent="0.3">
      <c r="A123" s="58" t="str">
        <f>Schedule!E121</f>
        <v>A002150</v>
      </c>
      <c r="B123" s="58" t="s">
        <v>3332</v>
      </c>
      <c r="C123" s="58" t="str">
        <f t="shared" si="3"/>
        <v>002150 KS</v>
      </c>
      <c r="D123" s="58" t="s">
        <v>3671</v>
      </c>
      <c r="E123" s="110" t="s">
        <v>3527</v>
      </c>
      <c r="F123" s="110" t="str">
        <f>IFERROR(VLOOKUP(C123,[1]evdl298!$B:$D,3,0),"")</f>
        <v>E</v>
      </c>
      <c r="G123" s="110">
        <f>IFERROR(VLOOKUP(C123,[1]evdl298!$B:$C,2,0),"")</f>
        <v>41460</v>
      </c>
      <c r="H123" s="110" t="str">
        <f t="shared" si="4"/>
        <v>E</v>
      </c>
      <c r="I123" s="110">
        <f t="shared" si="5"/>
        <v>41460</v>
      </c>
      <c r="J123" s="110"/>
      <c r="K123" s="110"/>
      <c r="M123" s="110"/>
      <c r="O123" s="110"/>
    </row>
    <row r="124" spans="1:15" x14ac:dyDescent="0.3">
      <c r="A124" s="58" t="str">
        <f>Schedule!E122</f>
        <v>A002170</v>
      </c>
      <c r="B124" s="58" t="s">
        <v>1635</v>
      </c>
      <c r="C124" s="58" t="str">
        <f t="shared" si="3"/>
        <v>002170 KS</v>
      </c>
      <c r="D124" s="58" t="s">
        <v>3671</v>
      </c>
      <c r="E124" s="110" t="s">
        <v>3527</v>
      </c>
      <c r="F124" s="110" t="str">
        <f>IFERROR(VLOOKUP(C124,[1]evdl298!$B:$D,3,0),"")</f>
        <v/>
      </c>
      <c r="G124" s="110" t="str">
        <f>IFERROR(VLOOKUP(C124,[1]evdl298!$B:$C,2,0),"")</f>
        <v/>
      </c>
      <c r="H124" s="110" t="str">
        <f t="shared" si="4"/>
        <v/>
      </c>
      <c r="I124" s="110" t="str">
        <f t="shared" si="5"/>
        <v/>
      </c>
      <c r="J124" s="110"/>
      <c r="K124" s="110"/>
      <c r="M124" s="110"/>
      <c r="O124" s="110"/>
    </row>
    <row r="125" spans="1:15" x14ac:dyDescent="0.3">
      <c r="A125" s="58" t="str">
        <f>Schedule!E123</f>
        <v>A002200</v>
      </c>
      <c r="B125" s="58" t="s">
        <v>1636</v>
      </c>
      <c r="C125" s="58" t="str">
        <f t="shared" si="3"/>
        <v>002200 KS</v>
      </c>
      <c r="D125" s="58" t="s">
        <v>3671</v>
      </c>
      <c r="E125" s="110" t="s">
        <v>3527</v>
      </c>
      <c r="F125" s="110" t="str">
        <f>IFERROR(VLOOKUP(C125,[1]evdl298!$B:$D,3,0),"")</f>
        <v/>
      </c>
      <c r="G125" s="110" t="str">
        <f>IFERROR(VLOOKUP(C125,[1]evdl298!$B:$C,2,0),"")</f>
        <v/>
      </c>
      <c r="H125" s="110" t="str">
        <f t="shared" si="4"/>
        <v/>
      </c>
      <c r="I125" s="110" t="str">
        <f t="shared" si="5"/>
        <v/>
      </c>
      <c r="J125" s="110"/>
      <c r="K125" s="110"/>
      <c r="M125" s="110"/>
      <c r="O125" s="110"/>
    </row>
    <row r="126" spans="1:15" x14ac:dyDescent="0.3">
      <c r="A126" s="58" t="str">
        <f>Schedule!E124</f>
        <v>A002210</v>
      </c>
      <c r="B126" s="58" t="s">
        <v>1637</v>
      </c>
      <c r="C126" s="58" t="str">
        <f t="shared" si="3"/>
        <v>002210 KS</v>
      </c>
      <c r="D126" s="58" t="s">
        <v>3671</v>
      </c>
      <c r="E126" s="110" t="s">
        <v>3527</v>
      </c>
      <c r="F126" s="110" t="str">
        <f>IFERROR(VLOOKUP(C126,[1]evdl298!$B:$D,3,0),"")</f>
        <v>E</v>
      </c>
      <c r="G126" s="110">
        <f>IFERROR(VLOOKUP(C126,[1]evdl298!$B:$C,2,0),"")</f>
        <v>41500</v>
      </c>
      <c r="H126" s="110" t="str">
        <f t="shared" si="4"/>
        <v>E</v>
      </c>
      <c r="I126" s="110">
        <f t="shared" si="5"/>
        <v>41500</v>
      </c>
      <c r="J126" s="110"/>
      <c r="K126" s="110"/>
      <c r="M126" s="110"/>
      <c r="O126" s="110"/>
    </row>
    <row r="127" spans="1:15" x14ac:dyDescent="0.3">
      <c r="A127" s="58" t="str">
        <f>Schedule!E125</f>
        <v>A002220</v>
      </c>
      <c r="B127" s="58" t="s">
        <v>1638</v>
      </c>
      <c r="C127" s="58" t="str">
        <f t="shared" si="3"/>
        <v>002220 KS</v>
      </c>
      <c r="D127" s="58" t="s">
        <v>3671</v>
      </c>
      <c r="E127" s="110" t="s">
        <v>3527</v>
      </c>
      <c r="F127" s="110" t="str">
        <f>IFERROR(VLOOKUP(C127,[1]evdl298!$B:$D,3,0),"")</f>
        <v>E</v>
      </c>
      <c r="G127" s="110">
        <f>IFERROR(VLOOKUP(C127,[1]evdl298!$B:$C,2,0),"")</f>
        <v>41500</v>
      </c>
      <c r="H127" s="110" t="str">
        <f t="shared" si="4"/>
        <v>E</v>
      </c>
      <c r="I127" s="110">
        <f t="shared" si="5"/>
        <v>41500</v>
      </c>
      <c r="J127" s="110"/>
      <c r="K127" s="110"/>
      <c r="M127" s="110"/>
      <c r="O127" s="110"/>
    </row>
    <row r="128" spans="1:15" x14ac:dyDescent="0.3">
      <c r="A128" s="58" t="str">
        <f>Schedule!E126</f>
        <v>A002230</v>
      </c>
      <c r="B128" s="58" t="s">
        <v>1639</v>
      </c>
      <c r="C128" s="58" t="str">
        <f t="shared" si="3"/>
        <v>002230 KS</v>
      </c>
      <c r="D128" s="58" t="s">
        <v>3671</v>
      </c>
      <c r="E128" s="110" t="s">
        <v>3527</v>
      </c>
      <c r="F128" s="110" t="str">
        <f>IFERROR(VLOOKUP(C128,[1]evdl298!$B:$D,3,0),"")</f>
        <v>E</v>
      </c>
      <c r="G128" s="110">
        <f>IFERROR(VLOOKUP(C128,[1]evdl298!$B:$C,2,0),"")</f>
        <v>41500</v>
      </c>
      <c r="H128" s="110" t="str">
        <f t="shared" si="4"/>
        <v>E</v>
      </c>
      <c r="I128" s="110">
        <f t="shared" si="5"/>
        <v>41500</v>
      </c>
      <c r="J128" s="110"/>
      <c r="K128" s="110"/>
      <c r="M128" s="110"/>
      <c r="O128" s="110"/>
    </row>
    <row r="129" spans="1:15" x14ac:dyDescent="0.3">
      <c r="A129" s="58" t="str">
        <f>Schedule!E127</f>
        <v>A002240</v>
      </c>
      <c r="B129" s="58" t="s">
        <v>1640</v>
      </c>
      <c r="C129" s="58" t="str">
        <f t="shared" si="3"/>
        <v>002240 KS</v>
      </c>
      <c r="D129" s="58" t="s">
        <v>3671</v>
      </c>
      <c r="E129" s="110" t="s">
        <v>3527</v>
      </c>
      <c r="F129" s="110" t="str">
        <f>IFERROR(VLOOKUP(C129,[1]evdl298!$B:$D,3,0),"")</f>
        <v/>
      </c>
      <c r="G129" s="110" t="str">
        <f>IFERROR(VLOOKUP(C129,[1]evdl298!$B:$C,2,0),"")</f>
        <v/>
      </c>
      <c r="H129" s="110" t="str">
        <f t="shared" si="4"/>
        <v/>
      </c>
      <c r="I129" s="110" t="str">
        <f t="shared" si="5"/>
        <v/>
      </c>
      <c r="J129" s="110"/>
      <c r="K129" s="110"/>
      <c r="M129" s="110"/>
      <c r="O129" s="110"/>
    </row>
    <row r="130" spans="1:15" x14ac:dyDescent="0.3">
      <c r="A130" s="58" t="str">
        <f>Schedule!E128</f>
        <v>A002250</v>
      </c>
      <c r="B130" s="58" t="s">
        <v>1641</v>
      </c>
      <c r="C130" s="58" t="str">
        <f t="shared" si="3"/>
        <v>002250 KS</v>
      </c>
      <c r="D130" s="58" t="s">
        <v>3671</v>
      </c>
      <c r="E130" s="110" t="s">
        <v>3527</v>
      </c>
      <c r="F130" s="110" t="str">
        <f>IFERROR(VLOOKUP(C130,[1]evdl298!$B:$D,3,0),"")</f>
        <v>E</v>
      </c>
      <c r="G130" s="110">
        <f>IFERROR(VLOOKUP(C130,[1]evdl298!$B:$C,2,0),"")</f>
        <v>41500</v>
      </c>
      <c r="H130" s="110" t="str">
        <f t="shared" si="4"/>
        <v>E</v>
      </c>
      <c r="I130" s="110">
        <f t="shared" si="5"/>
        <v>41500</v>
      </c>
      <c r="J130" s="110"/>
      <c r="K130" s="110"/>
      <c r="M130" s="110"/>
      <c r="O130" s="110"/>
    </row>
    <row r="131" spans="1:15" x14ac:dyDescent="0.3">
      <c r="A131" s="58" t="str">
        <f>Schedule!E129</f>
        <v>A002270</v>
      </c>
      <c r="B131" s="58" t="s">
        <v>3629</v>
      </c>
      <c r="C131" s="58" t="str">
        <f t="shared" si="3"/>
        <v>002270 KS</v>
      </c>
      <c r="D131" s="58" t="s">
        <v>3671</v>
      </c>
      <c r="E131" s="110" t="s">
        <v>3527</v>
      </c>
      <c r="F131" s="110" t="str">
        <f>IFERROR(VLOOKUP(C131,[1]evdl298!$B:$D,3,0),"")</f>
        <v>E</v>
      </c>
      <c r="G131" s="110">
        <f>IFERROR(VLOOKUP(C131,[1]evdl298!$B:$C,2,0),"")</f>
        <v>41500</v>
      </c>
      <c r="H131" s="110" t="str">
        <f t="shared" si="4"/>
        <v>E</v>
      </c>
      <c r="I131" s="110">
        <f t="shared" si="5"/>
        <v>41500</v>
      </c>
      <c r="J131" s="110"/>
      <c r="K131" s="110"/>
      <c r="M131" s="110"/>
      <c r="O131" s="110"/>
    </row>
    <row r="132" spans="1:15" x14ac:dyDescent="0.3">
      <c r="A132" s="58" t="str">
        <f>Schedule!E130</f>
        <v>A002290</v>
      </c>
      <c r="B132" s="58" t="s">
        <v>1642</v>
      </c>
      <c r="C132" s="58" t="str">
        <f t="shared" si="3"/>
        <v>002290 KS</v>
      </c>
      <c r="D132" s="58" t="s">
        <v>3671</v>
      </c>
      <c r="E132" s="110" t="s">
        <v>3527</v>
      </c>
      <c r="F132" s="110" t="str">
        <f>IFERROR(VLOOKUP(C132,[1]evdl298!$B:$D,3,0),"")</f>
        <v>E</v>
      </c>
      <c r="G132" s="110">
        <f>IFERROR(VLOOKUP(C132,[1]evdl298!$B:$C,2,0),"")</f>
        <v>41499</v>
      </c>
      <c r="H132" s="110" t="str">
        <f t="shared" si="4"/>
        <v>E</v>
      </c>
      <c r="I132" s="110">
        <f t="shared" si="5"/>
        <v>41499</v>
      </c>
      <c r="J132" s="110"/>
      <c r="K132" s="110"/>
      <c r="M132" s="110"/>
      <c r="O132" s="110"/>
    </row>
    <row r="133" spans="1:15" x14ac:dyDescent="0.3">
      <c r="A133" s="58" t="str">
        <f>Schedule!E131</f>
        <v>A002300</v>
      </c>
      <c r="B133" s="58" t="s">
        <v>1643</v>
      </c>
      <c r="C133" s="58" t="str">
        <f t="shared" si="3"/>
        <v>002300 KS</v>
      </c>
      <c r="D133" s="58" t="s">
        <v>3671</v>
      </c>
      <c r="E133" s="110" t="s">
        <v>3527</v>
      </c>
      <c r="F133" s="110" t="str">
        <f>IFERROR(VLOOKUP(C133,[1]evdl298!$B:$D,3,0),"")</f>
        <v/>
      </c>
      <c r="G133" s="110" t="str">
        <f>IFERROR(VLOOKUP(C133,[1]evdl298!$B:$C,2,0),"")</f>
        <v/>
      </c>
      <c r="H133" s="110" t="str">
        <f t="shared" si="4"/>
        <v/>
      </c>
      <c r="I133" s="110" t="str">
        <f t="shared" si="5"/>
        <v/>
      </c>
      <c r="J133" s="110"/>
      <c r="K133" s="110"/>
      <c r="M133" s="110"/>
      <c r="O133" s="110"/>
    </row>
    <row r="134" spans="1:15" x14ac:dyDescent="0.3">
      <c r="A134" s="58" t="str">
        <f>Schedule!E132</f>
        <v>A002310</v>
      </c>
      <c r="B134" s="58" t="s">
        <v>1644</v>
      </c>
      <c r="C134" s="58" t="str">
        <f t="shared" si="3"/>
        <v>002310 KS</v>
      </c>
      <c r="D134" s="58" t="s">
        <v>3671</v>
      </c>
      <c r="E134" s="110" t="s">
        <v>3527</v>
      </c>
      <c r="F134" s="110" t="str">
        <f>IFERROR(VLOOKUP(C134,[1]evdl298!$B:$D,3,0),"")</f>
        <v>E</v>
      </c>
      <c r="G134" s="110">
        <f>IFERROR(VLOOKUP(C134,[1]evdl298!$B:$C,2,0),"")</f>
        <v>41500</v>
      </c>
      <c r="H134" s="110" t="str">
        <f t="shared" si="4"/>
        <v>E</v>
      </c>
      <c r="I134" s="110">
        <f t="shared" si="5"/>
        <v>41500</v>
      </c>
      <c r="J134" s="110"/>
      <c r="K134" s="110"/>
      <c r="M134" s="110"/>
      <c r="O134" s="110"/>
    </row>
    <row r="135" spans="1:15" x14ac:dyDescent="0.3">
      <c r="A135" s="58" t="str">
        <f>Schedule!E133</f>
        <v>A002320</v>
      </c>
      <c r="B135" s="58" t="s">
        <v>1645</v>
      </c>
      <c r="C135" s="58" t="str">
        <f t="shared" si="3"/>
        <v>002320 KS</v>
      </c>
      <c r="D135" s="58" t="s">
        <v>3671</v>
      </c>
      <c r="E135" s="110" t="s">
        <v>3527</v>
      </c>
      <c r="F135" s="110" t="str">
        <f>IFERROR(VLOOKUP(C135,[1]evdl298!$B:$D,3,0),"")</f>
        <v/>
      </c>
      <c r="G135" s="110" t="str">
        <f>IFERROR(VLOOKUP(C135,[1]evdl298!$B:$C,2,0),"")</f>
        <v/>
      </c>
      <c r="H135" s="110" t="str">
        <f t="shared" si="4"/>
        <v/>
      </c>
      <c r="I135" s="110" t="str">
        <f t="shared" si="5"/>
        <v/>
      </c>
      <c r="J135" s="110"/>
      <c r="K135" s="110"/>
      <c r="M135" s="110"/>
      <c r="O135" s="110"/>
    </row>
    <row r="136" spans="1:15" x14ac:dyDescent="0.3">
      <c r="A136" s="58" t="str">
        <f>Schedule!E134</f>
        <v>A002350</v>
      </c>
      <c r="B136" s="58" t="s">
        <v>1646</v>
      </c>
      <c r="C136" s="58" t="str">
        <f t="shared" si="3"/>
        <v>002350 KS</v>
      </c>
      <c r="D136" s="58" t="s">
        <v>3671</v>
      </c>
      <c r="E136" s="110" t="s">
        <v>3527</v>
      </c>
      <c r="F136" s="110" t="str">
        <f>IFERROR(VLOOKUP(C136,[1]evdl298!$B:$D,3,0),"")</f>
        <v>E</v>
      </c>
      <c r="G136" s="110">
        <f>IFERROR(VLOOKUP(C136,[1]evdl298!$B:$C,2,0),"")</f>
        <v>41495</v>
      </c>
      <c r="H136" s="110" t="str">
        <f t="shared" si="4"/>
        <v>E</v>
      </c>
      <c r="I136" s="110">
        <f t="shared" si="5"/>
        <v>41495</v>
      </c>
      <c r="J136" s="110"/>
      <c r="K136" s="110"/>
      <c r="M136" s="110"/>
      <c r="O136" s="110"/>
    </row>
    <row r="137" spans="1:15" x14ac:dyDescent="0.3">
      <c r="A137" s="58" t="str">
        <f>Schedule!E135</f>
        <v>A002360</v>
      </c>
      <c r="B137" s="58" t="s">
        <v>1647</v>
      </c>
      <c r="C137" s="58" t="str">
        <f t="shared" si="3"/>
        <v>002360 KS</v>
      </c>
      <c r="D137" s="58" t="s">
        <v>3671</v>
      </c>
      <c r="E137" s="110" t="s">
        <v>3527</v>
      </c>
      <c r="F137" s="110" t="str">
        <f>IFERROR(VLOOKUP(C137,[1]evdl298!$B:$D,3,0),"")</f>
        <v/>
      </c>
      <c r="G137" s="110" t="str">
        <f>IFERROR(VLOOKUP(C137,[1]evdl298!$B:$C,2,0),"")</f>
        <v/>
      </c>
      <c r="H137" s="110" t="str">
        <f t="shared" si="4"/>
        <v/>
      </c>
      <c r="I137" s="110" t="str">
        <f t="shared" si="5"/>
        <v/>
      </c>
      <c r="J137" s="110"/>
      <c r="K137" s="110"/>
      <c r="M137" s="110"/>
      <c r="O137" s="110"/>
    </row>
    <row r="138" spans="1:15" x14ac:dyDescent="0.3">
      <c r="A138" s="58" t="str">
        <f>Schedule!E136</f>
        <v>A002380</v>
      </c>
      <c r="B138" s="58" t="s">
        <v>1648</v>
      </c>
      <c r="C138" s="58" t="str">
        <f t="shared" si="3"/>
        <v>002380 KS</v>
      </c>
      <c r="D138" s="58" t="s">
        <v>3671</v>
      </c>
      <c r="E138" s="110" t="s">
        <v>3527</v>
      </c>
      <c r="F138" s="110" t="str">
        <f>IFERROR(VLOOKUP(C138,[1]evdl298!$B:$D,3,0),"")</f>
        <v>E</v>
      </c>
      <c r="G138" s="110">
        <f>IFERROR(VLOOKUP(C138,[1]evdl298!$B:$C,2,0),"")</f>
        <v>41500</v>
      </c>
      <c r="H138" s="110" t="str">
        <f t="shared" si="4"/>
        <v>E</v>
      </c>
      <c r="I138" s="110">
        <f t="shared" si="5"/>
        <v>41500</v>
      </c>
      <c r="J138" s="110"/>
      <c r="K138" s="110"/>
      <c r="M138" s="110"/>
      <c r="O138" s="110"/>
    </row>
    <row r="139" spans="1:15" x14ac:dyDescent="0.3">
      <c r="A139" s="58" t="str">
        <f>Schedule!E137</f>
        <v>A002390</v>
      </c>
      <c r="B139" s="58" t="s">
        <v>1649</v>
      </c>
      <c r="C139" s="58" t="str">
        <f t="shared" si="3"/>
        <v>002390 KS</v>
      </c>
      <c r="D139" s="58" t="s">
        <v>3671</v>
      </c>
      <c r="E139" s="110" t="s">
        <v>3527</v>
      </c>
      <c r="F139" s="110" t="str">
        <f>IFERROR(VLOOKUP(C139,[1]evdl298!$B:$D,3,0),"")</f>
        <v>E</v>
      </c>
      <c r="G139" s="110">
        <f>IFERROR(VLOOKUP(C139,[1]evdl298!$B:$C,2,0),"")</f>
        <v>41515</v>
      </c>
      <c r="H139" s="110" t="str">
        <f t="shared" si="4"/>
        <v>E</v>
      </c>
      <c r="I139" s="110">
        <f t="shared" si="5"/>
        <v>41515</v>
      </c>
      <c r="J139" s="110"/>
      <c r="K139" s="110"/>
      <c r="M139" s="110"/>
      <c r="O139" s="110"/>
    </row>
    <row r="140" spans="1:15" x14ac:dyDescent="0.3">
      <c r="A140" s="58" t="str">
        <f>Schedule!E138</f>
        <v>A002410</v>
      </c>
      <c r="B140" s="58" t="s">
        <v>1650</v>
      </c>
      <c r="C140" s="58" t="str">
        <f t="shared" si="3"/>
        <v>002410 KS</v>
      </c>
      <c r="D140" s="58" t="s">
        <v>3671</v>
      </c>
      <c r="E140" s="110" t="s">
        <v>3527</v>
      </c>
      <c r="F140" s="110" t="str">
        <f>IFERROR(VLOOKUP(C140,[1]evdl298!$B:$D,3,0),"")</f>
        <v/>
      </c>
      <c r="G140" s="110" t="str">
        <f>IFERROR(VLOOKUP(C140,[1]evdl298!$B:$C,2,0),"")</f>
        <v/>
      </c>
      <c r="H140" s="110" t="str">
        <f t="shared" si="4"/>
        <v/>
      </c>
      <c r="I140" s="110" t="str">
        <f t="shared" si="5"/>
        <v/>
      </c>
      <c r="J140" s="110"/>
      <c r="K140" s="110"/>
      <c r="M140" s="110"/>
      <c r="O140" s="110"/>
    </row>
    <row r="141" spans="1:15" x14ac:dyDescent="0.3">
      <c r="A141" s="58" t="str">
        <f>Schedule!E139</f>
        <v>A002420</v>
      </c>
      <c r="B141" s="58" t="s">
        <v>1651</v>
      </c>
      <c r="C141" s="58" t="str">
        <f t="shared" si="3"/>
        <v>002420 KS</v>
      </c>
      <c r="D141" s="58" t="s">
        <v>3671</v>
      </c>
      <c r="E141" s="110" t="s">
        <v>3527</v>
      </c>
      <c r="F141" s="110" t="str">
        <f>IFERROR(VLOOKUP(C141,[1]evdl298!$B:$D,3,0),"")</f>
        <v>E</v>
      </c>
      <c r="G141" s="110">
        <f>IFERROR(VLOOKUP(C141,[1]evdl298!$B:$C,2,0),"")</f>
        <v>41515</v>
      </c>
      <c r="H141" s="110" t="str">
        <f t="shared" si="4"/>
        <v>E</v>
      </c>
      <c r="I141" s="110">
        <f t="shared" si="5"/>
        <v>41515</v>
      </c>
      <c r="J141" s="110"/>
      <c r="K141" s="110"/>
      <c r="M141" s="110"/>
      <c r="O141" s="110"/>
    </row>
    <row r="142" spans="1:15" x14ac:dyDescent="0.3">
      <c r="A142" s="58" t="str">
        <f>Schedule!E140</f>
        <v>A002450</v>
      </c>
      <c r="B142" s="58" t="s">
        <v>1652</v>
      </c>
      <c r="C142" s="58" t="str">
        <f t="shared" si="3"/>
        <v>002450 KS</v>
      </c>
      <c r="D142" s="58" t="s">
        <v>3671</v>
      </c>
      <c r="E142" s="110" t="s">
        <v>3527</v>
      </c>
      <c r="F142" s="110" t="str">
        <f>IFERROR(VLOOKUP(C142,[1]evdl298!$B:$D,3,0),"")</f>
        <v/>
      </c>
      <c r="G142" s="110" t="str">
        <f>IFERROR(VLOOKUP(C142,[1]evdl298!$B:$C,2,0),"")</f>
        <v/>
      </c>
      <c r="H142" s="110" t="str">
        <f t="shared" si="4"/>
        <v/>
      </c>
      <c r="I142" s="110" t="str">
        <f t="shared" si="5"/>
        <v/>
      </c>
      <c r="J142" s="110"/>
      <c r="K142" s="110"/>
      <c r="M142" s="110"/>
      <c r="O142" s="110"/>
    </row>
    <row r="143" spans="1:15" x14ac:dyDescent="0.3">
      <c r="A143" s="58" t="str">
        <f>Schedule!E141</f>
        <v>A002460</v>
      </c>
      <c r="B143" s="58" t="s">
        <v>1653</v>
      </c>
      <c r="C143" s="58" t="str">
        <f t="shared" si="3"/>
        <v>002460 KS</v>
      </c>
      <c r="D143" s="58" t="s">
        <v>3671</v>
      </c>
      <c r="E143" s="110" t="s">
        <v>3527</v>
      </c>
      <c r="F143" s="110" t="str">
        <f>IFERROR(VLOOKUP(C143,[1]evdl298!$B:$D,3,0),"")</f>
        <v>E</v>
      </c>
      <c r="G143" s="110">
        <f>IFERROR(VLOOKUP(C143,[1]evdl298!$B:$C,2,0),"")</f>
        <v>41515</v>
      </c>
      <c r="H143" s="110" t="str">
        <f t="shared" si="4"/>
        <v>E</v>
      </c>
      <c r="I143" s="110">
        <f t="shared" si="5"/>
        <v>41515</v>
      </c>
      <c r="J143" s="110"/>
      <c r="K143" s="110"/>
      <c r="M143" s="110"/>
      <c r="O143" s="110"/>
    </row>
    <row r="144" spans="1:15" x14ac:dyDescent="0.3">
      <c r="A144" s="58" t="str">
        <f>Schedule!E142</f>
        <v>A002530</v>
      </c>
      <c r="B144" s="58" t="s">
        <v>1654</v>
      </c>
      <c r="C144" s="58" t="str">
        <f t="shared" si="3"/>
        <v>002530 KS</v>
      </c>
      <c r="D144" s="58" t="s">
        <v>3671</v>
      </c>
      <c r="E144" s="110" t="s">
        <v>3527</v>
      </c>
      <c r="F144" s="110" t="str">
        <f>IFERROR(VLOOKUP(C144,[1]evdl298!$B:$D,3,0),"")</f>
        <v/>
      </c>
      <c r="G144" s="110" t="str">
        <f>IFERROR(VLOOKUP(C144,[1]evdl298!$B:$C,2,0),"")</f>
        <v/>
      </c>
      <c r="H144" s="110" t="str">
        <f t="shared" si="4"/>
        <v/>
      </c>
      <c r="I144" s="110" t="str">
        <f t="shared" si="5"/>
        <v/>
      </c>
      <c r="J144" s="110"/>
      <c r="K144" s="110"/>
      <c r="M144" s="110"/>
      <c r="O144" s="110"/>
    </row>
    <row r="145" spans="1:15" x14ac:dyDescent="0.3">
      <c r="A145" s="58" t="str">
        <f>Schedule!E143</f>
        <v>A002550</v>
      </c>
      <c r="B145" s="58" t="s">
        <v>1655</v>
      </c>
      <c r="C145" s="58" t="str">
        <f t="shared" ref="C145:C208" si="6">RIGHT(A145,6)&amp;" KS"</f>
        <v>002550 KS</v>
      </c>
      <c r="D145" s="58" t="s">
        <v>3671</v>
      </c>
      <c r="E145" s="110" t="s">
        <v>3674</v>
      </c>
      <c r="F145" s="110" t="str">
        <f>IFERROR(VLOOKUP(C145,[1]evdl298!$B:$D,3,0),"")</f>
        <v>E</v>
      </c>
      <c r="G145" s="110">
        <f>IFERROR(VLOOKUP(C145,[1]evdl298!$B:$C,2,0),"")</f>
        <v>41486</v>
      </c>
      <c r="H145" s="110" t="str">
        <f t="shared" ref="H145:H208" si="7">F145</f>
        <v>E</v>
      </c>
      <c r="I145" s="110">
        <f t="shared" ref="I145:I208" si="8">IF(ISNUMBER(G145),G145,E145)</f>
        <v>41486</v>
      </c>
      <c r="J145" s="110"/>
      <c r="K145" s="110"/>
      <c r="M145" s="110"/>
      <c r="O145" s="110"/>
    </row>
    <row r="146" spans="1:15" x14ac:dyDescent="0.3">
      <c r="A146" s="58" t="str">
        <f>Schedule!E144</f>
        <v>A002600</v>
      </c>
      <c r="B146" s="58" t="s">
        <v>1656</v>
      </c>
      <c r="C146" s="58" t="str">
        <f t="shared" si="6"/>
        <v>002600 KS</v>
      </c>
      <c r="D146" s="58" t="s">
        <v>3671</v>
      </c>
      <c r="E146" s="110" t="s">
        <v>3527</v>
      </c>
      <c r="F146" s="110" t="str">
        <f>IFERROR(VLOOKUP(C146,[1]evdl298!$B:$D,3,0),"")</f>
        <v>E</v>
      </c>
      <c r="G146" s="110">
        <f>IFERROR(VLOOKUP(C146,[1]evdl298!$B:$C,2,0),"")</f>
        <v>41499</v>
      </c>
      <c r="H146" s="110" t="str">
        <f t="shared" si="7"/>
        <v>E</v>
      </c>
      <c r="I146" s="110">
        <f t="shared" si="8"/>
        <v>41499</v>
      </c>
      <c r="J146" s="110"/>
      <c r="K146" s="110"/>
      <c r="M146" s="110"/>
      <c r="O146" s="110"/>
    </row>
    <row r="147" spans="1:15" x14ac:dyDescent="0.3">
      <c r="A147" s="58" t="str">
        <f>Schedule!E145</f>
        <v>A002620</v>
      </c>
      <c r="B147" s="58" t="s">
        <v>1657</v>
      </c>
      <c r="C147" s="58" t="str">
        <f t="shared" si="6"/>
        <v>002620 KS</v>
      </c>
      <c r="D147" s="58" t="s">
        <v>3671</v>
      </c>
      <c r="E147" s="110" t="s">
        <v>3527</v>
      </c>
      <c r="F147" s="110" t="str">
        <f>IFERROR(VLOOKUP(C147,[1]evdl298!$B:$D,3,0),"")</f>
        <v>E</v>
      </c>
      <c r="G147" s="110">
        <f>IFERROR(VLOOKUP(C147,[1]evdl298!$B:$C,2,0),"")</f>
        <v>41500</v>
      </c>
      <c r="H147" s="110" t="str">
        <f t="shared" si="7"/>
        <v>E</v>
      </c>
      <c r="I147" s="110">
        <f t="shared" si="8"/>
        <v>41500</v>
      </c>
      <c r="J147" s="110"/>
      <c r="K147" s="110"/>
      <c r="M147" s="110"/>
      <c r="O147" s="110"/>
    </row>
    <row r="148" spans="1:15" x14ac:dyDescent="0.3">
      <c r="A148" s="58" t="str">
        <f>Schedule!E146</f>
        <v>A002630</v>
      </c>
      <c r="B148" s="58" t="s">
        <v>1658</v>
      </c>
      <c r="C148" s="58" t="str">
        <f t="shared" si="6"/>
        <v>002630 KS</v>
      </c>
      <c r="D148" s="58" t="s">
        <v>3671</v>
      </c>
      <c r="E148" s="110" t="s">
        <v>3527</v>
      </c>
      <c r="F148" s="110" t="str">
        <f>IFERROR(VLOOKUP(C148,[1]evdl298!$B:$D,3,0),"")</f>
        <v>E</v>
      </c>
      <c r="G148" s="110">
        <f>IFERROR(VLOOKUP(C148,[1]evdl298!$B:$C,2,0),"")</f>
        <v>41500</v>
      </c>
      <c r="H148" s="110" t="str">
        <f t="shared" si="7"/>
        <v>E</v>
      </c>
      <c r="I148" s="110">
        <f t="shared" si="8"/>
        <v>41500</v>
      </c>
      <c r="J148" s="110"/>
      <c r="K148" s="110"/>
      <c r="M148" s="110"/>
      <c r="O148" s="110"/>
    </row>
    <row r="149" spans="1:15" x14ac:dyDescent="0.3">
      <c r="A149" s="58" t="str">
        <f>Schedule!E147</f>
        <v>A002680</v>
      </c>
      <c r="B149" s="58" t="s">
        <v>1659</v>
      </c>
      <c r="C149" s="58" t="str">
        <f t="shared" si="6"/>
        <v>002680 KS</v>
      </c>
      <c r="D149" s="58" t="s">
        <v>3671</v>
      </c>
      <c r="E149" s="110" t="s">
        <v>3527</v>
      </c>
      <c r="F149" s="110" t="str">
        <f>IFERROR(VLOOKUP(C149,[1]evdl298!$B:$D,3,0),"")</f>
        <v/>
      </c>
      <c r="G149" s="110" t="str">
        <f>IFERROR(VLOOKUP(C149,[1]evdl298!$B:$C,2,0),"")</f>
        <v/>
      </c>
      <c r="H149" s="110" t="str">
        <f t="shared" si="7"/>
        <v/>
      </c>
      <c r="I149" s="110" t="str">
        <f t="shared" si="8"/>
        <v/>
      </c>
      <c r="J149" s="110"/>
      <c r="K149" s="110"/>
      <c r="M149" s="110"/>
      <c r="O149" s="110"/>
    </row>
    <row r="150" spans="1:15" x14ac:dyDescent="0.3">
      <c r="A150" s="58" t="str">
        <f>Schedule!E148</f>
        <v>A002700</v>
      </c>
      <c r="B150" s="58" t="s">
        <v>1660</v>
      </c>
      <c r="C150" s="58" t="str">
        <f t="shared" si="6"/>
        <v>002700 KS</v>
      </c>
      <c r="D150" s="58" t="s">
        <v>3671</v>
      </c>
      <c r="E150" s="110" t="s">
        <v>3527</v>
      </c>
      <c r="F150" s="110" t="str">
        <f>IFERROR(VLOOKUP(C150,[1]evdl298!$B:$D,3,0),"")</f>
        <v>E</v>
      </c>
      <c r="G150" s="110">
        <f>IFERROR(VLOOKUP(C150,[1]evdl298!$B:$C,2,0),"")</f>
        <v>41500</v>
      </c>
      <c r="H150" s="110" t="str">
        <f t="shared" si="7"/>
        <v>E</v>
      </c>
      <c r="I150" s="110">
        <f t="shared" si="8"/>
        <v>41500</v>
      </c>
      <c r="J150" s="110"/>
      <c r="K150" s="110"/>
      <c r="M150" s="110"/>
      <c r="O150" s="110"/>
    </row>
    <row r="151" spans="1:15" x14ac:dyDescent="0.3">
      <c r="A151" s="58" t="str">
        <f>Schedule!E149</f>
        <v>A002710</v>
      </c>
      <c r="B151" s="58" t="s">
        <v>1661</v>
      </c>
      <c r="C151" s="58" t="str">
        <f t="shared" si="6"/>
        <v>002710 KS</v>
      </c>
      <c r="D151" s="58" t="s">
        <v>3671</v>
      </c>
      <c r="E151" s="110" t="s">
        <v>3527</v>
      </c>
      <c r="F151" s="110" t="str">
        <f>IFERROR(VLOOKUP(C151,[1]evdl298!$B:$D,3,0),"")</f>
        <v/>
      </c>
      <c r="G151" s="110" t="str">
        <f>IFERROR(VLOOKUP(C151,[1]evdl298!$B:$C,2,0),"")</f>
        <v/>
      </c>
      <c r="H151" s="110" t="str">
        <f t="shared" si="7"/>
        <v/>
      </c>
      <c r="I151" s="110" t="str">
        <f t="shared" si="8"/>
        <v/>
      </c>
      <c r="J151" s="110"/>
      <c r="K151" s="110"/>
      <c r="M151" s="110"/>
      <c r="O151" s="110"/>
    </row>
    <row r="152" spans="1:15" x14ac:dyDescent="0.3">
      <c r="A152" s="58" t="str">
        <f>Schedule!E150</f>
        <v>A002720</v>
      </c>
      <c r="B152" s="58" t="s">
        <v>1662</v>
      </c>
      <c r="C152" s="58" t="str">
        <f t="shared" si="6"/>
        <v>002720 KS</v>
      </c>
      <c r="D152" s="58" t="s">
        <v>3671</v>
      </c>
      <c r="E152" s="110" t="s">
        <v>3527</v>
      </c>
      <c r="F152" s="110" t="str">
        <f>IFERROR(VLOOKUP(C152,[1]evdl298!$B:$D,3,0),"")</f>
        <v/>
      </c>
      <c r="G152" s="110" t="str">
        <f>IFERROR(VLOOKUP(C152,[1]evdl298!$B:$C,2,0),"")</f>
        <v/>
      </c>
      <c r="H152" s="110" t="str">
        <f t="shared" si="7"/>
        <v/>
      </c>
      <c r="I152" s="110" t="str">
        <f t="shared" si="8"/>
        <v/>
      </c>
      <c r="J152" s="110"/>
      <c r="K152" s="110"/>
      <c r="M152" s="110"/>
      <c r="O152" s="110"/>
    </row>
    <row r="153" spans="1:15" x14ac:dyDescent="0.3">
      <c r="A153" s="58" t="str">
        <f>Schedule!E151</f>
        <v>A002760</v>
      </c>
      <c r="B153" s="58" t="s">
        <v>1663</v>
      </c>
      <c r="C153" s="58" t="str">
        <f t="shared" si="6"/>
        <v>002760 KS</v>
      </c>
      <c r="D153" s="58" t="s">
        <v>3671</v>
      </c>
      <c r="E153" s="110" t="s">
        <v>3527</v>
      </c>
      <c r="F153" s="110" t="str">
        <f>IFERROR(VLOOKUP(C153,[1]evdl298!$B:$D,3,0),"")</f>
        <v>E</v>
      </c>
      <c r="G153" s="110">
        <f>IFERROR(VLOOKUP(C153,[1]evdl298!$B:$C,2,0),"")</f>
        <v>41460</v>
      </c>
      <c r="H153" s="110" t="str">
        <f t="shared" si="7"/>
        <v>E</v>
      </c>
      <c r="I153" s="110">
        <f t="shared" si="8"/>
        <v>41460</v>
      </c>
      <c r="J153" s="110"/>
      <c r="K153" s="110"/>
      <c r="M153" s="110"/>
      <c r="O153" s="110"/>
    </row>
    <row r="154" spans="1:15" x14ac:dyDescent="0.3">
      <c r="A154" s="58" t="str">
        <f>Schedule!E152</f>
        <v>A002780</v>
      </c>
      <c r="B154" s="58" t="s">
        <v>1664</v>
      </c>
      <c r="C154" s="58" t="str">
        <f t="shared" si="6"/>
        <v>002780 KS</v>
      </c>
      <c r="D154" s="58" t="s">
        <v>3671</v>
      </c>
      <c r="E154" s="110" t="s">
        <v>3527</v>
      </c>
      <c r="F154" s="110" t="str">
        <f>IFERROR(VLOOKUP(C154,[1]evdl298!$B:$D,3,0),"")</f>
        <v/>
      </c>
      <c r="G154" s="110" t="str">
        <f>IFERROR(VLOOKUP(C154,[1]evdl298!$B:$C,2,0),"")</f>
        <v/>
      </c>
      <c r="H154" s="110" t="str">
        <f t="shared" si="7"/>
        <v/>
      </c>
      <c r="I154" s="110" t="str">
        <f t="shared" si="8"/>
        <v/>
      </c>
      <c r="J154" s="110"/>
      <c r="K154" s="110"/>
      <c r="M154" s="110"/>
      <c r="O154" s="110"/>
    </row>
    <row r="155" spans="1:15" x14ac:dyDescent="0.3">
      <c r="A155" s="58" t="str">
        <f>Schedule!E153</f>
        <v>A002790</v>
      </c>
      <c r="B155" s="58" t="s">
        <v>1665</v>
      </c>
      <c r="C155" s="58" t="str">
        <f t="shared" si="6"/>
        <v>002790 KS</v>
      </c>
      <c r="D155" s="58" t="s">
        <v>3671</v>
      </c>
      <c r="E155" s="110" t="s">
        <v>3527</v>
      </c>
      <c r="F155" s="110" t="str">
        <f>IFERROR(VLOOKUP(C155,[1]evdl298!$B:$D,3,0),"")</f>
        <v>E</v>
      </c>
      <c r="G155" s="110">
        <f>IFERROR(VLOOKUP(C155,[1]evdl298!$B:$C,2,0),"")</f>
        <v>41495</v>
      </c>
      <c r="H155" s="110" t="str">
        <f t="shared" si="7"/>
        <v>E</v>
      </c>
      <c r="I155" s="110">
        <f t="shared" si="8"/>
        <v>41495</v>
      </c>
      <c r="J155" s="110"/>
      <c r="K155" s="110"/>
      <c r="M155" s="110"/>
      <c r="O155" s="110"/>
    </row>
    <row r="156" spans="1:15" x14ac:dyDescent="0.3">
      <c r="A156" s="58" t="str">
        <f>Schedule!E154</f>
        <v>A002810</v>
      </c>
      <c r="B156" s="58" t="s">
        <v>1666</v>
      </c>
      <c r="C156" s="58" t="str">
        <f t="shared" si="6"/>
        <v>002810 KS</v>
      </c>
      <c r="D156" s="58" t="s">
        <v>3671</v>
      </c>
      <c r="E156" s="110" t="s">
        <v>3527</v>
      </c>
      <c r="F156" s="110" t="str">
        <f>IFERROR(VLOOKUP(C156,[1]evdl298!$B:$D,3,0),"")</f>
        <v/>
      </c>
      <c r="G156" s="110" t="str">
        <f>IFERROR(VLOOKUP(C156,[1]evdl298!$B:$C,2,0),"")</f>
        <v/>
      </c>
      <c r="H156" s="110" t="str">
        <f t="shared" si="7"/>
        <v/>
      </c>
      <c r="I156" s="110" t="str">
        <f t="shared" si="8"/>
        <v/>
      </c>
      <c r="J156" s="110"/>
      <c r="K156" s="110"/>
      <c r="M156" s="110"/>
      <c r="O156" s="110"/>
    </row>
    <row r="157" spans="1:15" x14ac:dyDescent="0.3">
      <c r="A157" s="58" t="str">
        <f>Schedule!E155</f>
        <v>A002820</v>
      </c>
      <c r="B157" s="58" t="s">
        <v>1667</v>
      </c>
      <c r="C157" s="58" t="str">
        <f t="shared" si="6"/>
        <v>002820 KS</v>
      </c>
      <c r="D157" s="58" t="s">
        <v>3671</v>
      </c>
      <c r="E157" s="110" t="s">
        <v>3527</v>
      </c>
      <c r="F157" s="110" t="str">
        <f>IFERROR(VLOOKUP(C157,[1]evdl298!$B:$D,3,0),"")</f>
        <v/>
      </c>
      <c r="G157" s="110" t="str">
        <f>IFERROR(VLOOKUP(C157,[1]evdl298!$B:$C,2,0),"")</f>
        <v/>
      </c>
      <c r="H157" s="110" t="str">
        <f t="shared" si="7"/>
        <v/>
      </c>
      <c r="I157" s="110" t="str">
        <f t="shared" si="8"/>
        <v/>
      </c>
      <c r="J157" s="110"/>
      <c r="K157" s="110"/>
      <c r="M157" s="110"/>
      <c r="O157" s="110"/>
    </row>
    <row r="158" spans="1:15" x14ac:dyDescent="0.3">
      <c r="A158" s="58" t="str">
        <f>Schedule!E156</f>
        <v>A002840</v>
      </c>
      <c r="B158" s="58" t="s">
        <v>1668</v>
      </c>
      <c r="C158" s="58" t="str">
        <f t="shared" si="6"/>
        <v>002840 KS</v>
      </c>
      <c r="D158" s="58" t="s">
        <v>3671</v>
      </c>
      <c r="E158" s="110" t="s">
        <v>3527</v>
      </c>
      <c r="F158" s="110" t="str">
        <f>IFERROR(VLOOKUP(C158,[1]evdl298!$B:$D,3,0),"")</f>
        <v>C</v>
      </c>
      <c r="G158" s="110">
        <f>IFERROR(VLOOKUP(C158,[1]evdl298!$B:$C,2,0),"")</f>
        <v>41466</v>
      </c>
      <c r="H158" s="110" t="str">
        <f t="shared" si="7"/>
        <v>C</v>
      </c>
      <c r="I158" s="110">
        <f t="shared" si="8"/>
        <v>41466</v>
      </c>
      <c r="J158" s="110"/>
      <c r="K158" s="110"/>
      <c r="M158" s="110"/>
      <c r="O158" s="110"/>
    </row>
    <row r="159" spans="1:15" x14ac:dyDescent="0.3">
      <c r="A159" s="58" t="str">
        <f>Schedule!E157</f>
        <v>A002870</v>
      </c>
      <c r="B159" s="58" t="s">
        <v>1669</v>
      </c>
      <c r="C159" s="58" t="str">
        <f t="shared" si="6"/>
        <v>002870 KS</v>
      </c>
      <c r="D159" s="58" t="s">
        <v>3671</v>
      </c>
      <c r="E159" s="110" t="s">
        <v>3527</v>
      </c>
      <c r="F159" s="110" t="str">
        <f>IFERROR(VLOOKUP(C159,[1]evdl298!$B:$D,3,0),"")</f>
        <v/>
      </c>
      <c r="G159" s="110" t="str">
        <f>IFERROR(VLOOKUP(C159,[1]evdl298!$B:$C,2,0),"")</f>
        <v/>
      </c>
      <c r="H159" s="110" t="str">
        <f t="shared" si="7"/>
        <v/>
      </c>
      <c r="I159" s="110" t="str">
        <f t="shared" si="8"/>
        <v/>
      </c>
      <c r="J159" s="110"/>
      <c r="K159" s="110"/>
      <c r="M159" s="110"/>
      <c r="O159" s="110"/>
    </row>
    <row r="160" spans="1:15" x14ac:dyDescent="0.3">
      <c r="A160" s="58" t="str">
        <f>Schedule!E158</f>
        <v>A002880</v>
      </c>
      <c r="B160" s="58" t="s">
        <v>1670</v>
      </c>
      <c r="C160" s="58" t="str">
        <f t="shared" si="6"/>
        <v>002880 KS</v>
      </c>
      <c r="D160" s="58" t="s">
        <v>3671</v>
      </c>
      <c r="E160" s="110" t="s">
        <v>3527</v>
      </c>
      <c r="F160" s="110" t="str">
        <f>IFERROR(VLOOKUP(C160,[1]evdl298!$B:$D,3,0),"")</f>
        <v>E</v>
      </c>
      <c r="G160" s="110">
        <f>IFERROR(VLOOKUP(C160,[1]evdl298!$B:$C,2,0),"")</f>
        <v>41473</v>
      </c>
      <c r="H160" s="110" t="str">
        <f t="shared" si="7"/>
        <v>E</v>
      </c>
      <c r="I160" s="110">
        <f t="shared" si="8"/>
        <v>41473</v>
      </c>
      <c r="J160" s="110"/>
      <c r="K160" s="110"/>
      <c r="M160" s="110"/>
      <c r="O160" s="110"/>
    </row>
    <row r="161" spans="1:15" x14ac:dyDescent="0.3">
      <c r="A161" s="58" t="str">
        <f>Schedule!E159</f>
        <v>A002900</v>
      </c>
      <c r="B161" s="58" t="s">
        <v>1671</v>
      </c>
      <c r="C161" s="58" t="str">
        <f t="shared" si="6"/>
        <v>002900 KS</v>
      </c>
      <c r="D161" s="58" t="s">
        <v>3671</v>
      </c>
      <c r="E161" s="110" t="s">
        <v>3527</v>
      </c>
      <c r="F161" s="110" t="str">
        <f>IFERROR(VLOOKUP(C161,[1]evdl298!$B:$D,3,0),"")</f>
        <v>E</v>
      </c>
      <c r="G161" s="110">
        <f>IFERROR(VLOOKUP(C161,[1]evdl298!$B:$C,2,0),"")</f>
        <v>41500</v>
      </c>
      <c r="H161" s="110" t="str">
        <f t="shared" si="7"/>
        <v>E</v>
      </c>
      <c r="I161" s="110">
        <f t="shared" si="8"/>
        <v>41500</v>
      </c>
      <c r="J161" s="110"/>
      <c r="K161" s="110"/>
      <c r="M161" s="110"/>
      <c r="O161" s="110"/>
    </row>
    <row r="162" spans="1:15" x14ac:dyDescent="0.3">
      <c r="A162" s="58" t="str">
        <f>Schedule!E160</f>
        <v>A002920</v>
      </c>
      <c r="B162" s="58" t="s">
        <v>1672</v>
      </c>
      <c r="C162" s="58" t="str">
        <f t="shared" si="6"/>
        <v>002920 KS</v>
      </c>
      <c r="D162" s="58" t="s">
        <v>3671</v>
      </c>
      <c r="E162" s="110" t="s">
        <v>3527</v>
      </c>
      <c r="F162" s="110" t="str">
        <f>IFERROR(VLOOKUP(C162,[1]evdl298!$B:$D,3,0),"")</f>
        <v/>
      </c>
      <c r="G162" s="110" t="str">
        <f>IFERROR(VLOOKUP(C162,[1]evdl298!$B:$C,2,0),"")</f>
        <v/>
      </c>
      <c r="H162" s="110" t="str">
        <f t="shared" si="7"/>
        <v/>
      </c>
      <c r="I162" s="110" t="str">
        <f t="shared" si="8"/>
        <v/>
      </c>
      <c r="J162" s="110"/>
      <c r="K162" s="110"/>
      <c r="M162" s="110"/>
      <c r="O162" s="110"/>
    </row>
    <row r="163" spans="1:15" x14ac:dyDescent="0.3">
      <c r="A163" s="58" t="str">
        <f>Schedule!E161</f>
        <v>A002960</v>
      </c>
      <c r="B163" s="58" t="s">
        <v>1673</v>
      </c>
      <c r="C163" s="58" t="str">
        <f t="shared" si="6"/>
        <v>002960 KS</v>
      </c>
      <c r="D163" s="58" t="s">
        <v>3671</v>
      </c>
      <c r="E163" s="110" t="s">
        <v>3527</v>
      </c>
      <c r="F163" s="110" t="str">
        <f>IFERROR(VLOOKUP(C163,[1]evdl298!$B:$D,3,0),"")</f>
        <v>E</v>
      </c>
      <c r="G163" s="110">
        <f>IFERROR(VLOOKUP(C163,[1]evdl298!$B:$C,2,0),"")</f>
        <v>41499</v>
      </c>
      <c r="H163" s="110" t="str">
        <f t="shared" si="7"/>
        <v>E</v>
      </c>
      <c r="I163" s="110">
        <f t="shared" si="8"/>
        <v>41499</v>
      </c>
      <c r="J163" s="110"/>
      <c r="K163" s="110"/>
      <c r="M163" s="110"/>
      <c r="O163" s="110"/>
    </row>
    <row r="164" spans="1:15" x14ac:dyDescent="0.3">
      <c r="A164" s="58" t="str">
        <f>Schedule!E162</f>
        <v>A002990</v>
      </c>
      <c r="B164" s="58" t="s">
        <v>1674</v>
      </c>
      <c r="C164" s="58" t="str">
        <f t="shared" si="6"/>
        <v>002990 KS</v>
      </c>
      <c r="D164" s="58" t="s">
        <v>3671</v>
      </c>
      <c r="E164" s="110" t="s">
        <v>3527</v>
      </c>
      <c r="F164" s="110" t="str">
        <f>IFERROR(VLOOKUP(C164,[1]evdl298!$B:$D,3,0),"")</f>
        <v>E</v>
      </c>
      <c r="G164" s="110">
        <f>IFERROR(VLOOKUP(C164,[1]evdl298!$B:$C,2,0),"")</f>
        <v>41500</v>
      </c>
      <c r="H164" s="110" t="str">
        <f t="shared" si="7"/>
        <v>E</v>
      </c>
      <c r="I164" s="110">
        <f t="shared" si="8"/>
        <v>41500</v>
      </c>
      <c r="J164" s="110"/>
      <c r="K164" s="110"/>
      <c r="M164" s="110"/>
      <c r="O164" s="110"/>
    </row>
    <row r="165" spans="1:15" x14ac:dyDescent="0.3">
      <c r="A165" s="58" t="str">
        <f>Schedule!E163</f>
        <v>A003000</v>
      </c>
      <c r="B165" s="58" t="s">
        <v>1675</v>
      </c>
      <c r="C165" s="58" t="str">
        <f t="shared" si="6"/>
        <v>003000 KS</v>
      </c>
      <c r="D165" s="58" t="s">
        <v>3671</v>
      </c>
      <c r="E165" s="110" t="s">
        <v>3527</v>
      </c>
      <c r="F165" s="110" t="str">
        <f>IFERROR(VLOOKUP(C165,[1]evdl298!$B:$D,3,0),"")</f>
        <v>E</v>
      </c>
      <c r="G165" s="110">
        <f>IFERROR(VLOOKUP(C165,[1]evdl298!$B:$C,2,0),"")</f>
        <v>41500</v>
      </c>
      <c r="H165" s="110" t="str">
        <f t="shared" si="7"/>
        <v>E</v>
      </c>
      <c r="I165" s="110">
        <f t="shared" si="8"/>
        <v>41500</v>
      </c>
      <c r="J165" s="110"/>
      <c r="K165" s="110"/>
      <c r="M165" s="110"/>
      <c r="O165" s="110"/>
    </row>
    <row r="166" spans="1:15" x14ac:dyDescent="0.3">
      <c r="A166" s="58" t="str">
        <f>Schedule!E164</f>
        <v>A003010</v>
      </c>
      <c r="B166" s="58" t="s">
        <v>1676</v>
      </c>
      <c r="C166" s="58" t="str">
        <f t="shared" si="6"/>
        <v>003010 KS</v>
      </c>
      <c r="D166" s="58" t="s">
        <v>3671</v>
      </c>
      <c r="E166" s="110" t="s">
        <v>3527</v>
      </c>
      <c r="F166" s="110" t="str">
        <f>IFERROR(VLOOKUP(C166,[1]evdl298!$B:$D,3,0),"")</f>
        <v/>
      </c>
      <c r="G166" s="110" t="str">
        <f>IFERROR(VLOOKUP(C166,[1]evdl298!$B:$C,2,0),"")</f>
        <v/>
      </c>
      <c r="H166" s="110" t="str">
        <f t="shared" si="7"/>
        <v/>
      </c>
      <c r="I166" s="110" t="str">
        <f t="shared" si="8"/>
        <v/>
      </c>
      <c r="J166" s="110"/>
      <c r="K166" s="110"/>
      <c r="M166" s="110"/>
      <c r="O166" s="110"/>
    </row>
    <row r="167" spans="1:15" x14ac:dyDescent="0.3">
      <c r="A167" s="58" t="str">
        <f>Schedule!E165</f>
        <v>A003030</v>
      </c>
      <c r="B167" s="58" t="s">
        <v>1677</v>
      </c>
      <c r="C167" s="58" t="str">
        <f t="shared" si="6"/>
        <v>003030 KS</v>
      </c>
      <c r="D167" s="58" t="s">
        <v>3671</v>
      </c>
      <c r="E167" s="110" t="s">
        <v>3527</v>
      </c>
      <c r="F167" s="110" t="str">
        <f>IFERROR(VLOOKUP(C167,[1]evdl298!$B:$D,3,0),"")</f>
        <v>E</v>
      </c>
      <c r="G167" s="110">
        <f>IFERROR(VLOOKUP(C167,[1]evdl298!$B:$C,2,0),"")</f>
        <v>41515</v>
      </c>
      <c r="H167" s="110" t="str">
        <f t="shared" si="7"/>
        <v>E</v>
      </c>
      <c r="I167" s="110">
        <f t="shared" si="8"/>
        <v>41515</v>
      </c>
      <c r="J167" s="110"/>
      <c r="K167" s="110"/>
      <c r="M167" s="110"/>
      <c r="O167" s="110"/>
    </row>
    <row r="168" spans="1:15" x14ac:dyDescent="0.3">
      <c r="A168" s="58" t="str">
        <f>Schedule!E166</f>
        <v>A003060</v>
      </c>
      <c r="B168" s="58" t="s">
        <v>1678</v>
      </c>
      <c r="C168" s="58" t="str">
        <f t="shared" si="6"/>
        <v>003060 KS</v>
      </c>
      <c r="D168" s="58" t="s">
        <v>3671</v>
      </c>
      <c r="E168" s="110" t="s">
        <v>3527</v>
      </c>
      <c r="F168" s="110" t="str">
        <f>IFERROR(VLOOKUP(C168,[1]evdl298!$B:$D,3,0),"")</f>
        <v/>
      </c>
      <c r="G168" s="110" t="str">
        <f>IFERROR(VLOOKUP(C168,[1]evdl298!$B:$C,2,0),"")</f>
        <v/>
      </c>
      <c r="H168" s="110" t="str">
        <f t="shared" si="7"/>
        <v/>
      </c>
      <c r="I168" s="110" t="str">
        <f t="shared" si="8"/>
        <v/>
      </c>
      <c r="J168" s="110"/>
      <c r="K168" s="110"/>
      <c r="M168" s="110"/>
      <c r="O168" s="110"/>
    </row>
    <row r="169" spans="1:15" x14ac:dyDescent="0.3">
      <c r="A169" s="58" t="str">
        <f>Schedule!E167</f>
        <v>A003070</v>
      </c>
      <c r="B169" s="58" t="s">
        <v>1679</v>
      </c>
      <c r="C169" s="58" t="str">
        <f t="shared" si="6"/>
        <v>003070 KS</v>
      </c>
      <c r="D169" s="58" t="s">
        <v>3671</v>
      </c>
      <c r="E169" s="110" t="s">
        <v>3527</v>
      </c>
      <c r="F169" s="110" t="str">
        <f>IFERROR(VLOOKUP(C169,[1]evdl298!$B:$D,3,0),"")</f>
        <v/>
      </c>
      <c r="G169" s="110" t="str">
        <f>IFERROR(VLOOKUP(C169,[1]evdl298!$B:$C,2,0),"")</f>
        <v/>
      </c>
      <c r="H169" s="110" t="str">
        <f t="shared" si="7"/>
        <v/>
      </c>
      <c r="I169" s="110" t="str">
        <f t="shared" si="8"/>
        <v/>
      </c>
      <c r="J169" s="110"/>
      <c r="K169" s="110"/>
      <c r="M169" s="110"/>
      <c r="O169" s="110"/>
    </row>
    <row r="170" spans="1:15" x14ac:dyDescent="0.3">
      <c r="A170" s="58" t="str">
        <f>Schedule!E168</f>
        <v>A003080</v>
      </c>
      <c r="B170" s="58" t="s">
        <v>1680</v>
      </c>
      <c r="C170" s="58" t="str">
        <f t="shared" si="6"/>
        <v>003080 KS</v>
      </c>
      <c r="D170" s="58" t="s">
        <v>3671</v>
      </c>
      <c r="E170" s="110" t="s">
        <v>3527</v>
      </c>
      <c r="F170" s="110" t="str">
        <f>IFERROR(VLOOKUP(C170,[1]evdl298!$B:$D,3,0),"")</f>
        <v>E</v>
      </c>
      <c r="G170" s="110">
        <f>IFERROR(VLOOKUP(C170,[1]evdl298!$B:$C,2,0),"")</f>
        <v>41500</v>
      </c>
      <c r="H170" s="110" t="str">
        <f t="shared" si="7"/>
        <v>E</v>
      </c>
      <c r="I170" s="110">
        <f t="shared" si="8"/>
        <v>41500</v>
      </c>
      <c r="J170" s="110"/>
      <c r="K170" s="110"/>
      <c r="M170" s="110"/>
      <c r="O170" s="110"/>
    </row>
    <row r="171" spans="1:15" x14ac:dyDescent="0.3">
      <c r="A171" s="58" t="str">
        <f>Schedule!E169</f>
        <v>A003090</v>
      </c>
      <c r="B171" s="58" t="s">
        <v>1681</v>
      </c>
      <c r="C171" s="58" t="str">
        <f t="shared" si="6"/>
        <v>003090 KS</v>
      </c>
      <c r="D171" s="58" t="s">
        <v>3671</v>
      </c>
      <c r="E171" s="110" t="s">
        <v>3527</v>
      </c>
      <c r="F171" s="110" t="str">
        <f>IFERROR(VLOOKUP(C171,[1]evdl298!$B:$D,3,0),"")</f>
        <v/>
      </c>
      <c r="G171" s="110" t="str">
        <f>IFERROR(VLOOKUP(C171,[1]evdl298!$B:$C,2,0),"")</f>
        <v/>
      </c>
      <c r="H171" s="110" t="str">
        <f t="shared" si="7"/>
        <v/>
      </c>
      <c r="I171" s="110" t="str">
        <f t="shared" si="8"/>
        <v/>
      </c>
      <c r="J171" s="110"/>
      <c r="K171" s="110"/>
      <c r="M171" s="110"/>
      <c r="O171" s="110"/>
    </row>
    <row r="172" spans="1:15" x14ac:dyDescent="0.3">
      <c r="A172" s="58" t="str">
        <f>Schedule!E170</f>
        <v>A003100</v>
      </c>
      <c r="B172" s="58" t="s">
        <v>1682</v>
      </c>
      <c r="C172" s="58" t="str">
        <f t="shared" si="6"/>
        <v>003100 KS</v>
      </c>
      <c r="D172" s="58" t="s">
        <v>3671</v>
      </c>
      <c r="E172" s="110" t="s">
        <v>3527</v>
      </c>
      <c r="F172" s="110" t="str">
        <f>IFERROR(VLOOKUP(C172,[1]evdl298!$B:$D,3,0),"")</f>
        <v/>
      </c>
      <c r="G172" s="110" t="str">
        <f>IFERROR(VLOOKUP(C172,[1]evdl298!$B:$C,2,0),"")</f>
        <v/>
      </c>
      <c r="H172" s="110" t="str">
        <f t="shared" si="7"/>
        <v/>
      </c>
      <c r="I172" s="110" t="str">
        <f t="shared" si="8"/>
        <v/>
      </c>
      <c r="J172" s="110"/>
      <c r="K172" s="110"/>
      <c r="M172" s="110"/>
      <c r="O172" s="110"/>
    </row>
    <row r="173" spans="1:15" x14ac:dyDescent="0.3">
      <c r="A173" s="58" t="str">
        <f>Schedule!E171</f>
        <v>A003120</v>
      </c>
      <c r="B173" s="58" t="s">
        <v>1683</v>
      </c>
      <c r="C173" s="58" t="str">
        <f t="shared" si="6"/>
        <v>003120 KS</v>
      </c>
      <c r="D173" s="58" t="s">
        <v>3671</v>
      </c>
      <c r="E173" s="110" t="s">
        <v>3527</v>
      </c>
      <c r="F173" s="110" t="str">
        <f>IFERROR(VLOOKUP(C173,[1]evdl298!$B:$D,3,0),"")</f>
        <v>E</v>
      </c>
      <c r="G173" s="110">
        <f>IFERROR(VLOOKUP(C173,[1]evdl298!$B:$C,2,0),"")</f>
        <v>41500</v>
      </c>
      <c r="H173" s="110" t="str">
        <f t="shared" si="7"/>
        <v>E</v>
      </c>
      <c r="I173" s="110">
        <f t="shared" si="8"/>
        <v>41500</v>
      </c>
      <c r="J173" s="110"/>
      <c r="K173" s="110"/>
      <c r="M173" s="110"/>
      <c r="O173" s="110"/>
    </row>
    <row r="174" spans="1:15" x14ac:dyDescent="0.3">
      <c r="A174" s="58" t="str">
        <f>Schedule!E172</f>
        <v>A003160</v>
      </c>
      <c r="B174" s="58" t="s">
        <v>1684</v>
      </c>
      <c r="C174" s="58" t="str">
        <f t="shared" si="6"/>
        <v>003160 KS</v>
      </c>
      <c r="D174" s="58" t="s">
        <v>3671</v>
      </c>
      <c r="E174" s="110" t="s">
        <v>3527</v>
      </c>
      <c r="F174" s="110" t="str">
        <f>IFERROR(VLOOKUP(C174,[1]evdl298!$B:$D,3,0),"")</f>
        <v>E</v>
      </c>
      <c r="G174" s="110">
        <f>IFERROR(VLOOKUP(C174,[1]evdl298!$B:$C,2,0),"")</f>
        <v>41500</v>
      </c>
      <c r="H174" s="110" t="str">
        <f t="shared" si="7"/>
        <v>E</v>
      </c>
      <c r="I174" s="110">
        <f t="shared" si="8"/>
        <v>41500</v>
      </c>
      <c r="J174" s="110"/>
      <c r="K174" s="110"/>
      <c r="M174" s="110"/>
      <c r="O174" s="110"/>
    </row>
    <row r="175" spans="1:15" x14ac:dyDescent="0.3">
      <c r="A175" s="58" t="str">
        <f>Schedule!E173</f>
        <v>A003200</v>
      </c>
      <c r="B175" s="58" t="s">
        <v>1685</v>
      </c>
      <c r="C175" s="58" t="str">
        <f t="shared" si="6"/>
        <v>003200 KS</v>
      </c>
      <c r="D175" s="58" t="s">
        <v>3671</v>
      </c>
      <c r="E175" s="110" t="s">
        <v>3527</v>
      </c>
      <c r="F175" s="110" t="str">
        <f>IFERROR(VLOOKUP(C175,[1]evdl298!$B:$D,3,0),"")</f>
        <v/>
      </c>
      <c r="G175" s="110" t="str">
        <f>IFERROR(VLOOKUP(C175,[1]evdl298!$B:$C,2,0),"")</f>
        <v/>
      </c>
      <c r="H175" s="110" t="str">
        <f t="shared" si="7"/>
        <v/>
      </c>
      <c r="I175" s="110" t="str">
        <f t="shared" si="8"/>
        <v/>
      </c>
      <c r="J175" s="110"/>
      <c r="K175" s="110"/>
      <c r="M175" s="110"/>
      <c r="O175" s="110"/>
    </row>
    <row r="176" spans="1:15" x14ac:dyDescent="0.3">
      <c r="A176" s="58" t="str">
        <f>Schedule!E174</f>
        <v>A003220</v>
      </c>
      <c r="B176" s="58" t="s">
        <v>1686</v>
      </c>
      <c r="C176" s="58" t="str">
        <f t="shared" si="6"/>
        <v>003220 KS</v>
      </c>
      <c r="D176" s="58" t="s">
        <v>3671</v>
      </c>
      <c r="E176" s="110" t="s">
        <v>3527</v>
      </c>
      <c r="F176" s="110" t="str">
        <f>IFERROR(VLOOKUP(C176,[1]evdl298!$B:$D,3,0),"")</f>
        <v/>
      </c>
      <c r="G176" s="110" t="str">
        <f>IFERROR(VLOOKUP(C176,[1]evdl298!$B:$C,2,0),"")</f>
        <v/>
      </c>
      <c r="H176" s="110" t="str">
        <f t="shared" si="7"/>
        <v/>
      </c>
      <c r="I176" s="110" t="str">
        <f t="shared" si="8"/>
        <v/>
      </c>
      <c r="J176" s="110"/>
      <c r="K176" s="110"/>
      <c r="M176" s="110"/>
      <c r="O176" s="110"/>
    </row>
    <row r="177" spans="1:15" x14ac:dyDescent="0.3">
      <c r="A177" s="58" t="str">
        <f>Schedule!E175</f>
        <v>A003230</v>
      </c>
      <c r="B177" s="58" t="s">
        <v>1687</v>
      </c>
      <c r="C177" s="58" t="str">
        <f t="shared" si="6"/>
        <v>003230 KS</v>
      </c>
      <c r="D177" s="58" t="s">
        <v>3671</v>
      </c>
      <c r="E177" s="110" t="s">
        <v>3527</v>
      </c>
      <c r="F177" s="110" t="str">
        <f>IFERROR(VLOOKUP(C177,[1]evdl298!$B:$D,3,0),"")</f>
        <v/>
      </c>
      <c r="G177" s="110" t="str">
        <f>IFERROR(VLOOKUP(C177,[1]evdl298!$B:$C,2,0),"")</f>
        <v/>
      </c>
      <c r="H177" s="110" t="str">
        <f t="shared" si="7"/>
        <v/>
      </c>
      <c r="I177" s="110" t="str">
        <f t="shared" si="8"/>
        <v/>
      </c>
      <c r="J177" s="110"/>
      <c r="K177" s="110"/>
      <c r="M177" s="110"/>
      <c r="O177" s="110"/>
    </row>
    <row r="178" spans="1:15" x14ac:dyDescent="0.3">
      <c r="A178" s="58" t="str">
        <f>Schedule!E176</f>
        <v>A003240</v>
      </c>
      <c r="B178" s="58" t="s">
        <v>1688</v>
      </c>
      <c r="C178" s="58" t="str">
        <f t="shared" si="6"/>
        <v>003240 KS</v>
      </c>
      <c r="D178" s="58" t="s">
        <v>3671</v>
      </c>
      <c r="E178" s="110" t="s">
        <v>3527</v>
      </c>
      <c r="F178" s="110" t="str">
        <f>IFERROR(VLOOKUP(C178,[1]evdl298!$B:$D,3,0),"")</f>
        <v/>
      </c>
      <c r="G178" s="110" t="str">
        <f>IFERROR(VLOOKUP(C178,[1]evdl298!$B:$C,2,0),"")</f>
        <v/>
      </c>
      <c r="H178" s="110" t="str">
        <f t="shared" si="7"/>
        <v/>
      </c>
      <c r="I178" s="110" t="str">
        <f t="shared" si="8"/>
        <v/>
      </c>
      <c r="J178" s="110"/>
      <c r="K178" s="110"/>
      <c r="M178" s="110"/>
      <c r="O178" s="110"/>
    </row>
    <row r="179" spans="1:15" x14ac:dyDescent="0.3">
      <c r="A179" s="58" t="str">
        <f>Schedule!E177</f>
        <v>A003280</v>
      </c>
      <c r="B179" s="58" t="s">
        <v>1689</v>
      </c>
      <c r="C179" s="58" t="str">
        <f t="shared" si="6"/>
        <v>003280 KS</v>
      </c>
      <c r="D179" s="58" t="s">
        <v>3671</v>
      </c>
      <c r="E179" s="110" t="s">
        <v>3527</v>
      </c>
      <c r="F179" s="110" t="str">
        <f>IFERROR(VLOOKUP(C179,[1]evdl298!$B:$D,3,0),"")</f>
        <v/>
      </c>
      <c r="G179" s="110" t="str">
        <f>IFERROR(VLOOKUP(C179,[1]evdl298!$B:$C,2,0),"")</f>
        <v/>
      </c>
      <c r="H179" s="110" t="str">
        <f t="shared" si="7"/>
        <v/>
      </c>
      <c r="I179" s="110" t="str">
        <f t="shared" si="8"/>
        <v/>
      </c>
      <c r="J179" s="110"/>
      <c r="K179" s="110"/>
      <c r="M179" s="110"/>
      <c r="O179" s="110"/>
    </row>
    <row r="180" spans="1:15" x14ac:dyDescent="0.3">
      <c r="A180" s="58" t="str">
        <f>Schedule!E178</f>
        <v>A003300</v>
      </c>
      <c r="B180" s="58" t="s">
        <v>1690</v>
      </c>
      <c r="C180" s="58" t="str">
        <f t="shared" si="6"/>
        <v>003300 KS</v>
      </c>
      <c r="D180" s="58" t="s">
        <v>3671</v>
      </c>
      <c r="E180" s="110" t="s">
        <v>3527</v>
      </c>
      <c r="F180" s="110" t="str">
        <f>IFERROR(VLOOKUP(C180,[1]evdl298!$B:$D,3,0),"")</f>
        <v/>
      </c>
      <c r="G180" s="110" t="str">
        <f>IFERROR(VLOOKUP(C180,[1]evdl298!$B:$C,2,0),"")</f>
        <v/>
      </c>
      <c r="H180" s="110" t="str">
        <f t="shared" si="7"/>
        <v/>
      </c>
      <c r="I180" s="110" t="str">
        <f t="shared" si="8"/>
        <v/>
      </c>
      <c r="J180" s="110"/>
      <c r="K180" s="110"/>
      <c r="M180" s="110"/>
      <c r="O180" s="110"/>
    </row>
    <row r="181" spans="1:15" x14ac:dyDescent="0.3">
      <c r="A181" s="58" t="str">
        <f>Schedule!E179</f>
        <v>A003310</v>
      </c>
      <c r="B181" s="58" t="s">
        <v>1691</v>
      </c>
      <c r="C181" s="58" t="str">
        <f t="shared" si="6"/>
        <v>003310 KS</v>
      </c>
      <c r="D181" s="58" t="s">
        <v>3671</v>
      </c>
      <c r="E181" s="110" t="s">
        <v>3527</v>
      </c>
      <c r="F181" s="110" t="str">
        <f>IFERROR(VLOOKUP(C181,[1]evdl298!$B:$D,3,0),"")</f>
        <v/>
      </c>
      <c r="G181" s="110" t="str">
        <f>IFERROR(VLOOKUP(C181,[1]evdl298!$B:$C,2,0),"")</f>
        <v/>
      </c>
      <c r="H181" s="110" t="str">
        <f t="shared" si="7"/>
        <v/>
      </c>
      <c r="I181" s="110" t="str">
        <f t="shared" si="8"/>
        <v/>
      </c>
      <c r="J181" s="110"/>
      <c r="K181" s="110"/>
      <c r="M181" s="110"/>
      <c r="O181" s="110"/>
    </row>
    <row r="182" spans="1:15" x14ac:dyDescent="0.3">
      <c r="A182" s="58" t="str">
        <f>Schedule!E180</f>
        <v>A003350</v>
      </c>
      <c r="B182" s="58" t="s">
        <v>1692</v>
      </c>
      <c r="C182" s="58" t="str">
        <f t="shared" si="6"/>
        <v>003350 KS</v>
      </c>
      <c r="D182" s="58" t="s">
        <v>3671</v>
      </c>
      <c r="E182" s="110" t="s">
        <v>3527</v>
      </c>
      <c r="F182" s="110" t="str">
        <f>IFERROR(VLOOKUP(C182,[1]evdl298!$B:$D,3,0),"")</f>
        <v>E</v>
      </c>
      <c r="G182" s="110">
        <f>IFERROR(VLOOKUP(C182,[1]evdl298!$B:$C,2,0),"")</f>
        <v>41500</v>
      </c>
      <c r="H182" s="110" t="str">
        <f t="shared" si="7"/>
        <v>E</v>
      </c>
      <c r="I182" s="110">
        <f t="shared" si="8"/>
        <v>41500</v>
      </c>
      <c r="J182" s="110"/>
      <c r="K182" s="110"/>
      <c r="M182" s="110"/>
      <c r="O182" s="110"/>
    </row>
    <row r="183" spans="1:15" x14ac:dyDescent="0.3">
      <c r="A183" s="58" t="str">
        <f>Schedule!E181</f>
        <v>A003410</v>
      </c>
      <c r="B183" s="58" t="s">
        <v>1693</v>
      </c>
      <c r="C183" s="58" t="str">
        <f t="shared" si="6"/>
        <v>003410 KS</v>
      </c>
      <c r="D183" s="58" t="s">
        <v>3671</v>
      </c>
      <c r="E183" s="110" t="s">
        <v>3527</v>
      </c>
      <c r="F183" s="110" t="str">
        <f>IFERROR(VLOOKUP(C183,[1]evdl298!$B:$D,3,0),"")</f>
        <v>E</v>
      </c>
      <c r="G183" s="110">
        <f>IFERROR(VLOOKUP(C183,[1]evdl298!$B:$C,2,0),"")</f>
        <v>41500</v>
      </c>
      <c r="H183" s="110" t="str">
        <f t="shared" si="7"/>
        <v>E</v>
      </c>
      <c r="I183" s="110">
        <f t="shared" si="8"/>
        <v>41500</v>
      </c>
      <c r="J183" s="110"/>
      <c r="K183" s="110"/>
      <c r="M183" s="110"/>
      <c r="O183" s="110"/>
    </row>
    <row r="184" spans="1:15" x14ac:dyDescent="0.3">
      <c r="A184" s="58" t="str">
        <f>Schedule!E182</f>
        <v>A003450</v>
      </c>
      <c r="B184" s="58" t="s">
        <v>8</v>
      </c>
      <c r="C184" s="58" t="str">
        <f t="shared" si="6"/>
        <v>003450 KS</v>
      </c>
      <c r="D184" s="58" t="s">
        <v>3671</v>
      </c>
      <c r="E184" s="110" t="s">
        <v>3527</v>
      </c>
      <c r="F184" s="110" t="str">
        <f>IFERROR(VLOOKUP(C184,[1]evdl298!$B:$D,3,0),"")</f>
        <v>E</v>
      </c>
      <c r="G184" s="110">
        <f>IFERROR(VLOOKUP(C184,[1]evdl298!$B:$C,2,0),"")</f>
        <v>41500</v>
      </c>
      <c r="H184" s="110" t="str">
        <f t="shared" si="7"/>
        <v>E</v>
      </c>
      <c r="I184" s="110">
        <f t="shared" si="8"/>
        <v>41500</v>
      </c>
      <c r="J184" s="110"/>
      <c r="K184" s="110"/>
      <c r="M184" s="110"/>
      <c r="O184" s="110"/>
    </row>
    <row r="185" spans="1:15" x14ac:dyDescent="0.3">
      <c r="A185" s="58" t="str">
        <f>Schedule!E183</f>
        <v>A003460</v>
      </c>
      <c r="B185" s="58" t="s">
        <v>1694</v>
      </c>
      <c r="C185" s="58" t="str">
        <f t="shared" si="6"/>
        <v>003460 KS</v>
      </c>
      <c r="D185" s="58" t="s">
        <v>3671</v>
      </c>
      <c r="E185" s="110" t="s">
        <v>3527</v>
      </c>
      <c r="F185" s="110" t="str">
        <f>IFERROR(VLOOKUP(C185,[1]evdl298!$B:$D,3,0),"")</f>
        <v>E</v>
      </c>
      <c r="G185" s="110">
        <f>IFERROR(VLOOKUP(C185,[1]evdl298!$B:$C,2,0),"")</f>
        <v>41460</v>
      </c>
      <c r="H185" s="110" t="str">
        <f t="shared" si="7"/>
        <v>E</v>
      </c>
      <c r="I185" s="110">
        <f t="shared" si="8"/>
        <v>41460</v>
      </c>
      <c r="J185" s="110"/>
      <c r="K185" s="110"/>
      <c r="M185" s="110"/>
      <c r="O185" s="110"/>
    </row>
    <row r="186" spans="1:15" x14ac:dyDescent="0.3">
      <c r="A186" s="58" t="str">
        <f>Schedule!E184</f>
        <v>A003470</v>
      </c>
      <c r="B186" s="58" t="s">
        <v>11</v>
      </c>
      <c r="C186" s="58" t="str">
        <f t="shared" si="6"/>
        <v>003470 KS</v>
      </c>
      <c r="D186" s="58" t="s">
        <v>3671</v>
      </c>
      <c r="E186" s="110" t="s">
        <v>3527</v>
      </c>
      <c r="F186" s="110" t="str">
        <f>IFERROR(VLOOKUP(C186,[1]evdl298!$B:$D,3,0),"")</f>
        <v>E</v>
      </c>
      <c r="G186" s="110">
        <f>IFERROR(VLOOKUP(C186,[1]evdl298!$B:$C,2,0),"")</f>
        <v>41500</v>
      </c>
      <c r="H186" s="110" t="str">
        <f t="shared" si="7"/>
        <v>E</v>
      </c>
      <c r="I186" s="110">
        <f t="shared" si="8"/>
        <v>41500</v>
      </c>
      <c r="J186" s="110"/>
      <c r="K186" s="110"/>
      <c r="M186" s="110"/>
      <c r="O186" s="110"/>
    </row>
    <row r="187" spans="1:15" x14ac:dyDescent="0.3">
      <c r="A187" s="58" t="str">
        <f>Schedule!E185</f>
        <v>A003480</v>
      </c>
      <c r="B187" s="58" t="s">
        <v>1695</v>
      </c>
      <c r="C187" s="58" t="str">
        <f t="shared" si="6"/>
        <v>003480 KS</v>
      </c>
      <c r="D187" s="58" t="s">
        <v>3671</v>
      </c>
      <c r="E187" s="110" t="s">
        <v>3527</v>
      </c>
      <c r="F187" s="110" t="str">
        <f>IFERROR(VLOOKUP(C187,[1]evdl298!$B:$D,3,0),"")</f>
        <v>E</v>
      </c>
      <c r="G187" s="110">
        <f>IFERROR(VLOOKUP(C187,[1]evdl298!$B:$C,2,0),"")</f>
        <v>41500</v>
      </c>
      <c r="H187" s="110" t="str">
        <f t="shared" si="7"/>
        <v>E</v>
      </c>
      <c r="I187" s="110">
        <f t="shared" si="8"/>
        <v>41500</v>
      </c>
      <c r="J187" s="110"/>
      <c r="K187" s="110"/>
      <c r="M187" s="110"/>
      <c r="O187" s="110"/>
    </row>
    <row r="188" spans="1:15" x14ac:dyDescent="0.3">
      <c r="A188" s="58" t="str">
        <f>Schedule!E186</f>
        <v>A003490</v>
      </c>
      <c r="B188" s="58" t="s">
        <v>1696</v>
      </c>
      <c r="C188" s="58" t="str">
        <f t="shared" si="6"/>
        <v>003490 KS</v>
      </c>
      <c r="D188" s="58" t="s">
        <v>3671</v>
      </c>
      <c r="E188" s="110">
        <v>41487</v>
      </c>
      <c r="F188" s="110" t="str">
        <f>IFERROR(VLOOKUP(C188,[1]evdl298!$B:$D,3,0),"")</f>
        <v>C</v>
      </c>
      <c r="G188" s="110">
        <f>IFERROR(VLOOKUP(C188,[1]evdl298!$B:$C,2,0),"")</f>
        <v>41500</v>
      </c>
      <c r="H188" s="110" t="str">
        <f t="shared" si="7"/>
        <v>C</v>
      </c>
      <c r="I188" s="110">
        <f t="shared" si="8"/>
        <v>41500</v>
      </c>
      <c r="J188" s="110"/>
      <c r="K188" s="110"/>
      <c r="M188" s="110"/>
      <c r="O188" s="110"/>
    </row>
    <row r="189" spans="1:15" x14ac:dyDescent="0.3">
      <c r="A189" s="58" t="str">
        <f>Schedule!E187</f>
        <v>A003520</v>
      </c>
      <c r="B189" s="58" t="s">
        <v>1697</v>
      </c>
      <c r="C189" s="58" t="str">
        <f t="shared" si="6"/>
        <v>003520 KS</v>
      </c>
      <c r="D189" s="58" t="s">
        <v>3671</v>
      </c>
      <c r="E189" s="110" t="s">
        <v>3527</v>
      </c>
      <c r="F189" s="110" t="str">
        <f>IFERROR(VLOOKUP(C189,[1]evdl298!$B:$D,3,0),"")</f>
        <v>E</v>
      </c>
      <c r="G189" s="110">
        <f>IFERROR(VLOOKUP(C189,[1]evdl298!$B:$C,2,0),"")</f>
        <v>41473</v>
      </c>
      <c r="H189" s="110" t="str">
        <f t="shared" si="7"/>
        <v>E</v>
      </c>
      <c r="I189" s="110">
        <f t="shared" si="8"/>
        <v>41473</v>
      </c>
      <c r="J189" s="110"/>
      <c r="K189" s="110"/>
      <c r="M189" s="110"/>
      <c r="O189" s="110"/>
    </row>
    <row r="190" spans="1:15" x14ac:dyDescent="0.3">
      <c r="A190" s="58" t="str">
        <f>Schedule!E188</f>
        <v>A003530</v>
      </c>
      <c r="B190" s="58" t="s">
        <v>1698</v>
      </c>
      <c r="C190" s="58" t="str">
        <f t="shared" si="6"/>
        <v>003530 KS</v>
      </c>
      <c r="D190" s="58" t="s">
        <v>3671</v>
      </c>
      <c r="E190" s="110" t="s">
        <v>3527</v>
      </c>
      <c r="F190" s="110" t="str">
        <f>IFERROR(VLOOKUP(C190,[1]evdl298!$B:$D,3,0),"")</f>
        <v>E</v>
      </c>
      <c r="G190" s="110">
        <f>IFERROR(VLOOKUP(C190,[1]evdl298!$B:$C,2,0),"")</f>
        <v>41500</v>
      </c>
      <c r="H190" s="110" t="str">
        <f t="shared" si="7"/>
        <v>E</v>
      </c>
      <c r="I190" s="110">
        <f t="shared" si="8"/>
        <v>41500</v>
      </c>
      <c r="J190" s="110"/>
      <c r="K190" s="110"/>
      <c r="M190" s="110"/>
      <c r="O190" s="110"/>
    </row>
    <row r="191" spans="1:15" x14ac:dyDescent="0.3">
      <c r="A191" s="58" t="str">
        <f>Schedule!E189</f>
        <v>A003540</v>
      </c>
      <c r="B191" s="58" t="s">
        <v>20</v>
      </c>
      <c r="C191" s="58" t="str">
        <f t="shared" si="6"/>
        <v>003540 KS</v>
      </c>
      <c r="D191" s="58" t="s">
        <v>3671</v>
      </c>
      <c r="E191" s="110" t="s">
        <v>3527</v>
      </c>
      <c r="F191" s="110" t="str">
        <f>IFERROR(VLOOKUP(C191,[1]evdl298!$B:$D,3,0),"")</f>
        <v>E</v>
      </c>
      <c r="G191" s="110">
        <f>IFERROR(VLOOKUP(C191,[1]evdl298!$B:$C,2,0),"")</f>
        <v>41500</v>
      </c>
      <c r="H191" s="110" t="str">
        <f t="shared" si="7"/>
        <v>E</v>
      </c>
      <c r="I191" s="110">
        <f t="shared" si="8"/>
        <v>41500</v>
      </c>
      <c r="J191" s="110"/>
      <c r="K191" s="110"/>
      <c r="M191" s="110"/>
      <c r="O191" s="110"/>
    </row>
    <row r="192" spans="1:15" x14ac:dyDescent="0.3">
      <c r="A192" s="58" t="str">
        <f>Schedule!E190</f>
        <v>A003550</v>
      </c>
      <c r="B192" s="58" t="s">
        <v>1699</v>
      </c>
      <c r="C192" s="58" t="str">
        <f t="shared" si="6"/>
        <v>003550 KS</v>
      </c>
      <c r="D192" s="58" t="s">
        <v>3671</v>
      </c>
      <c r="E192" s="110" t="s">
        <v>3684</v>
      </c>
      <c r="F192" s="110" t="str">
        <f>IFERROR(VLOOKUP(C192,[1]evdl298!$B:$D,3,0),"")</f>
        <v>E</v>
      </c>
      <c r="G192" s="110">
        <f>IFERROR(VLOOKUP(C192,[1]evdl298!$B:$C,2,0),"")</f>
        <v>41500</v>
      </c>
      <c r="H192" s="110" t="str">
        <f t="shared" si="7"/>
        <v>E</v>
      </c>
      <c r="I192" s="110">
        <f t="shared" si="8"/>
        <v>41500</v>
      </c>
      <c r="J192" s="110"/>
      <c r="K192" s="110"/>
      <c r="M192" s="110"/>
      <c r="O192" s="110"/>
    </row>
    <row r="193" spans="1:15" x14ac:dyDescent="0.3">
      <c r="A193" s="58" t="str">
        <f>Schedule!E191</f>
        <v>A003560</v>
      </c>
      <c r="B193" s="58" t="s">
        <v>1700</v>
      </c>
      <c r="C193" s="58" t="str">
        <f t="shared" si="6"/>
        <v>003560 KS</v>
      </c>
      <c r="D193" s="58" t="s">
        <v>3671</v>
      </c>
      <c r="E193" s="110" t="s">
        <v>3527</v>
      </c>
      <c r="F193" s="110" t="str">
        <f>IFERROR(VLOOKUP(C193,[1]evdl298!$B:$D,3,0),"")</f>
        <v>E</v>
      </c>
      <c r="G193" s="110">
        <f>IFERROR(VLOOKUP(C193,[1]evdl298!$B:$C,2,0),"")</f>
        <v>41515</v>
      </c>
      <c r="H193" s="110" t="str">
        <f t="shared" si="7"/>
        <v>E</v>
      </c>
      <c r="I193" s="110">
        <f t="shared" si="8"/>
        <v>41515</v>
      </c>
      <c r="J193" s="110"/>
      <c r="K193" s="110"/>
      <c r="M193" s="110"/>
      <c r="O193" s="110"/>
    </row>
    <row r="194" spans="1:15" x14ac:dyDescent="0.3">
      <c r="A194" s="58" t="str">
        <f>Schedule!E192</f>
        <v>A003570</v>
      </c>
      <c r="B194" s="58" t="s">
        <v>1701</v>
      </c>
      <c r="C194" s="58" t="str">
        <f t="shared" si="6"/>
        <v>003570 KS</v>
      </c>
      <c r="D194" s="58" t="s">
        <v>3671</v>
      </c>
      <c r="E194" s="110" t="s">
        <v>3685</v>
      </c>
      <c r="F194" s="110" t="str">
        <f>IFERROR(VLOOKUP(C194,[1]evdl298!$B:$D,3,0),"")</f>
        <v>E</v>
      </c>
      <c r="G194" s="110">
        <f>IFERROR(VLOOKUP(C194,[1]evdl298!$B:$C,2,0),"")</f>
        <v>41495</v>
      </c>
      <c r="H194" s="110" t="str">
        <f t="shared" si="7"/>
        <v>E</v>
      </c>
      <c r="I194" s="110">
        <f t="shared" si="8"/>
        <v>41495</v>
      </c>
      <c r="J194" s="110"/>
      <c r="K194" s="110"/>
      <c r="M194" s="110"/>
      <c r="O194" s="110"/>
    </row>
    <row r="195" spans="1:15" x14ac:dyDescent="0.3">
      <c r="A195" s="58" t="str">
        <f>Schedule!E193</f>
        <v>A003580</v>
      </c>
      <c r="B195" s="58" t="s">
        <v>1702</v>
      </c>
      <c r="C195" s="58" t="str">
        <f t="shared" si="6"/>
        <v>003580 KS</v>
      </c>
      <c r="D195" s="58" t="s">
        <v>3671</v>
      </c>
      <c r="E195" s="110" t="s">
        <v>3527</v>
      </c>
      <c r="F195" s="110" t="str">
        <f>IFERROR(VLOOKUP(C195,[1]evdl298!$B:$D,3,0),"")</f>
        <v>E</v>
      </c>
      <c r="G195" s="110">
        <f>IFERROR(VLOOKUP(C195,[1]evdl298!$B:$C,2,0),"")</f>
        <v>41500</v>
      </c>
      <c r="H195" s="110" t="str">
        <f t="shared" si="7"/>
        <v>E</v>
      </c>
      <c r="I195" s="110">
        <f t="shared" si="8"/>
        <v>41500</v>
      </c>
      <c r="J195" s="110"/>
      <c r="K195" s="110"/>
      <c r="M195" s="110"/>
      <c r="O195" s="110"/>
    </row>
    <row r="196" spans="1:15" x14ac:dyDescent="0.3">
      <c r="A196" s="58" t="str">
        <f>Schedule!E194</f>
        <v>A003600</v>
      </c>
      <c r="B196" s="58" t="s">
        <v>1703</v>
      </c>
      <c r="C196" s="58" t="str">
        <f t="shared" si="6"/>
        <v>003600 KS</v>
      </c>
      <c r="D196" s="58" t="s">
        <v>3671</v>
      </c>
      <c r="E196" s="110" t="s">
        <v>3684</v>
      </c>
      <c r="F196" s="110" t="str">
        <f>IFERROR(VLOOKUP(C196,[1]evdl298!$B:$D,3,0),"")</f>
        <v>C</v>
      </c>
      <c r="G196" s="110">
        <f>IFERROR(VLOOKUP(C196,[1]evdl298!$B:$C,2,0),"")</f>
        <v>41481</v>
      </c>
      <c r="H196" s="110" t="str">
        <f t="shared" si="7"/>
        <v>C</v>
      </c>
      <c r="I196" s="110">
        <f t="shared" si="8"/>
        <v>41481</v>
      </c>
      <c r="J196" s="110"/>
      <c r="K196" s="110"/>
      <c r="M196" s="110"/>
      <c r="O196" s="110"/>
    </row>
    <row r="197" spans="1:15" x14ac:dyDescent="0.3">
      <c r="A197" s="58" t="str">
        <f>Schedule!E195</f>
        <v>A003610</v>
      </c>
      <c r="B197" s="58" t="s">
        <v>1704</v>
      </c>
      <c r="C197" s="58" t="str">
        <f t="shared" si="6"/>
        <v>003610 KS</v>
      </c>
      <c r="D197" s="58" t="s">
        <v>3671</v>
      </c>
      <c r="E197" s="110" t="s">
        <v>3527</v>
      </c>
      <c r="F197" s="110" t="str">
        <f>IFERROR(VLOOKUP(C197,[1]evdl298!$B:$D,3,0),"")</f>
        <v>E</v>
      </c>
      <c r="G197" s="110">
        <f>IFERROR(VLOOKUP(C197,[1]evdl298!$B:$C,2,0),"")</f>
        <v>41500</v>
      </c>
      <c r="H197" s="110" t="str">
        <f t="shared" si="7"/>
        <v>E</v>
      </c>
      <c r="I197" s="110">
        <f t="shared" si="8"/>
        <v>41500</v>
      </c>
      <c r="J197" s="110"/>
      <c r="K197" s="110"/>
      <c r="M197" s="110"/>
      <c r="O197" s="110"/>
    </row>
    <row r="198" spans="1:15" x14ac:dyDescent="0.3">
      <c r="A198" s="58" t="str">
        <f>Schedule!E196</f>
        <v>A003620</v>
      </c>
      <c r="B198" s="58" t="s">
        <v>1705</v>
      </c>
      <c r="C198" s="58" t="str">
        <f t="shared" si="6"/>
        <v>003620 KS</v>
      </c>
      <c r="D198" s="58" t="s">
        <v>3671</v>
      </c>
      <c r="E198" s="110" t="s">
        <v>3527</v>
      </c>
      <c r="F198" s="110" t="str">
        <f>IFERROR(VLOOKUP(C198,[1]evdl298!$B:$D,3,0),"")</f>
        <v>E</v>
      </c>
      <c r="G198" s="110">
        <f>IFERROR(VLOOKUP(C198,[1]evdl298!$B:$C,2,0),"")</f>
        <v>41515</v>
      </c>
      <c r="H198" s="110" t="str">
        <f t="shared" si="7"/>
        <v>E</v>
      </c>
      <c r="I198" s="110">
        <f t="shared" si="8"/>
        <v>41515</v>
      </c>
      <c r="J198" s="110"/>
      <c r="K198" s="110"/>
      <c r="M198" s="110"/>
      <c r="O198" s="110"/>
    </row>
    <row r="199" spans="1:15" x14ac:dyDescent="0.3">
      <c r="A199" s="58" t="str">
        <f>Schedule!E197</f>
        <v>A003640</v>
      </c>
      <c r="B199" s="58" t="s">
        <v>1706</v>
      </c>
      <c r="C199" s="58" t="str">
        <f t="shared" si="6"/>
        <v>003640 KS</v>
      </c>
      <c r="D199" s="58" t="s">
        <v>3671</v>
      </c>
      <c r="E199" s="110" t="s">
        <v>3527</v>
      </c>
      <c r="F199" s="110" t="str">
        <f>IFERROR(VLOOKUP(C199,[1]evdl298!$B:$D,3,0),"")</f>
        <v/>
      </c>
      <c r="G199" s="110" t="str">
        <f>IFERROR(VLOOKUP(C199,[1]evdl298!$B:$C,2,0),"")</f>
        <v/>
      </c>
      <c r="H199" s="110" t="str">
        <f t="shared" si="7"/>
        <v/>
      </c>
      <c r="I199" s="110" t="str">
        <f t="shared" si="8"/>
        <v/>
      </c>
      <c r="J199" s="110"/>
      <c r="K199" s="110"/>
      <c r="M199" s="110"/>
      <c r="O199" s="110"/>
    </row>
    <row r="200" spans="1:15" x14ac:dyDescent="0.3">
      <c r="A200" s="58" t="str">
        <f>Schedule!E198</f>
        <v>A003650</v>
      </c>
      <c r="B200" s="58" t="s">
        <v>1707</v>
      </c>
      <c r="C200" s="58" t="str">
        <f t="shared" si="6"/>
        <v>003650 KS</v>
      </c>
      <c r="D200" s="58" t="s">
        <v>3671</v>
      </c>
      <c r="E200" s="110" t="s">
        <v>3527</v>
      </c>
      <c r="F200" s="110" t="str">
        <f>IFERROR(VLOOKUP(C200,[1]evdl298!$B:$D,3,0),"")</f>
        <v>E</v>
      </c>
      <c r="G200" s="110">
        <f>IFERROR(VLOOKUP(C200,[1]evdl298!$B:$C,2,0),"")</f>
        <v>41460</v>
      </c>
      <c r="H200" s="110" t="str">
        <f t="shared" si="7"/>
        <v>E</v>
      </c>
      <c r="I200" s="110">
        <f t="shared" si="8"/>
        <v>41460</v>
      </c>
      <c r="J200" s="110"/>
      <c r="K200" s="110"/>
      <c r="M200" s="110"/>
      <c r="O200" s="110"/>
    </row>
    <row r="201" spans="1:15" x14ac:dyDescent="0.3">
      <c r="A201" s="58" t="str">
        <f>Schedule!E199</f>
        <v>A003670</v>
      </c>
      <c r="B201" s="58" t="s">
        <v>1708</v>
      </c>
      <c r="C201" s="58" t="str">
        <f t="shared" si="6"/>
        <v>003670 KS</v>
      </c>
      <c r="D201" s="58" t="s">
        <v>3671</v>
      </c>
      <c r="E201" s="110" t="s">
        <v>3527</v>
      </c>
      <c r="F201" s="110" t="str">
        <f>IFERROR(VLOOKUP(C201,[1]evdl298!$B:$D,3,0),"")</f>
        <v>E</v>
      </c>
      <c r="G201" s="110">
        <f>IFERROR(VLOOKUP(C201,[1]evdl298!$B:$C,2,0),"")</f>
        <v>41474</v>
      </c>
      <c r="H201" s="110" t="str">
        <f t="shared" si="7"/>
        <v>E</v>
      </c>
      <c r="I201" s="110">
        <f t="shared" si="8"/>
        <v>41474</v>
      </c>
      <c r="J201" s="110"/>
      <c r="K201" s="110"/>
      <c r="M201" s="110"/>
      <c r="O201" s="110"/>
    </row>
    <row r="202" spans="1:15" x14ac:dyDescent="0.3">
      <c r="A202" s="58" t="str">
        <f>Schedule!E200</f>
        <v>A003680</v>
      </c>
      <c r="B202" s="58" t="s">
        <v>1709</v>
      </c>
      <c r="C202" s="58" t="str">
        <f t="shared" si="6"/>
        <v>003680 KS</v>
      </c>
      <c r="D202" s="58" t="s">
        <v>3671</v>
      </c>
      <c r="E202" s="110" t="s">
        <v>3527</v>
      </c>
      <c r="F202" s="110" t="str">
        <f>IFERROR(VLOOKUP(C202,[1]evdl298!$B:$D,3,0),"")</f>
        <v/>
      </c>
      <c r="G202" s="110" t="str">
        <f>IFERROR(VLOOKUP(C202,[1]evdl298!$B:$C,2,0),"")</f>
        <v/>
      </c>
      <c r="H202" s="110" t="str">
        <f t="shared" si="7"/>
        <v/>
      </c>
      <c r="I202" s="110" t="str">
        <f t="shared" si="8"/>
        <v/>
      </c>
      <c r="J202" s="110"/>
      <c r="K202" s="110"/>
      <c r="M202" s="110"/>
      <c r="O202" s="110"/>
    </row>
    <row r="203" spans="1:15" x14ac:dyDescent="0.3">
      <c r="A203" s="58" t="str">
        <f>Schedule!E201</f>
        <v>A003690</v>
      </c>
      <c r="B203" s="58" t="s">
        <v>1710</v>
      </c>
      <c r="C203" s="58" t="str">
        <f t="shared" si="6"/>
        <v>003690 KS</v>
      </c>
      <c r="D203" s="58" t="s">
        <v>3671</v>
      </c>
      <c r="E203" s="110" t="s">
        <v>3527</v>
      </c>
      <c r="F203" s="110" t="str">
        <f>IFERROR(VLOOKUP(C203,[1]evdl298!$B:$D,3,0),"")</f>
        <v>E</v>
      </c>
      <c r="G203" s="110">
        <f>IFERROR(VLOOKUP(C203,[1]evdl298!$B:$C,2,0),"")</f>
        <v>41486</v>
      </c>
      <c r="H203" s="110" t="str">
        <f t="shared" si="7"/>
        <v>E</v>
      </c>
      <c r="I203" s="110">
        <f t="shared" si="8"/>
        <v>41486</v>
      </c>
      <c r="J203" s="110"/>
      <c r="K203" s="110"/>
      <c r="M203" s="110"/>
      <c r="O203" s="110"/>
    </row>
    <row r="204" spans="1:15" x14ac:dyDescent="0.3">
      <c r="A204" s="58" t="str">
        <f>Schedule!E202</f>
        <v>A003720</v>
      </c>
      <c r="B204" s="58" t="s">
        <v>1711</v>
      </c>
      <c r="C204" s="58" t="str">
        <f t="shared" si="6"/>
        <v>003720 KS</v>
      </c>
      <c r="D204" s="58" t="s">
        <v>3671</v>
      </c>
      <c r="E204" s="110" t="s">
        <v>3527</v>
      </c>
      <c r="F204" s="110" t="str">
        <f>IFERROR(VLOOKUP(C204,[1]evdl298!$B:$D,3,0),"")</f>
        <v/>
      </c>
      <c r="G204" s="110" t="str">
        <f>IFERROR(VLOOKUP(C204,[1]evdl298!$B:$C,2,0),"")</f>
        <v/>
      </c>
      <c r="H204" s="110" t="str">
        <f t="shared" si="7"/>
        <v/>
      </c>
      <c r="I204" s="110" t="str">
        <f t="shared" si="8"/>
        <v/>
      </c>
      <c r="J204" s="110"/>
      <c r="K204" s="110"/>
      <c r="M204" s="110"/>
      <c r="O204" s="110"/>
    </row>
    <row r="205" spans="1:15" x14ac:dyDescent="0.3">
      <c r="A205" s="58" t="str">
        <f>Schedule!E203</f>
        <v>A003780</v>
      </c>
      <c r="B205" s="58" t="s">
        <v>1712</v>
      </c>
      <c r="C205" s="58" t="str">
        <f t="shared" si="6"/>
        <v>003780 KS</v>
      </c>
      <c r="D205" s="58" t="s">
        <v>3671</v>
      </c>
      <c r="E205" s="110" t="s">
        <v>3527</v>
      </c>
      <c r="F205" s="110" t="str">
        <f>IFERROR(VLOOKUP(C205,[1]evdl298!$B:$D,3,0),"")</f>
        <v/>
      </c>
      <c r="G205" s="110" t="str">
        <f>IFERROR(VLOOKUP(C205,[1]evdl298!$B:$C,2,0),"")</f>
        <v/>
      </c>
      <c r="H205" s="110" t="str">
        <f t="shared" si="7"/>
        <v/>
      </c>
      <c r="I205" s="110" t="str">
        <f t="shared" si="8"/>
        <v/>
      </c>
      <c r="J205" s="110"/>
      <c r="K205" s="110"/>
      <c r="M205" s="110"/>
      <c r="O205" s="110"/>
    </row>
    <row r="206" spans="1:15" x14ac:dyDescent="0.3">
      <c r="A206" s="58" t="str">
        <f>Schedule!E204</f>
        <v>A003800</v>
      </c>
      <c r="B206" s="58" t="s">
        <v>1713</v>
      </c>
      <c r="C206" s="58" t="str">
        <f t="shared" si="6"/>
        <v>003800 KS</v>
      </c>
      <c r="D206" s="58" t="s">
        <v>3671</v>
      </c>
      <c r="E206" s="110" t="s">
        <v>3527</v>
      </c>
      <c r="F206" s="110" t="str">
        <f>IFERROR(VLOOKUP(C206,[1]evdl298!$B:$D,3,0),"")</f>
        <v>E</v>
      </c>
      <c r="G206" s="110">
        <f>IFERROR(VLOOKUP(C206,[1]evdl298!$B:$C,2,0),"")</f>
        <v>41515</v>
      </c>
      <c r="H206" s="110" t="str">
        <f t="shared" si="7"/>
        <v>E</v>
      </c>
      <c r="I206" s="110">
        <f t="shared" si="8"/>
        <v>41515</v>
      </c>
      <c r="J206" s="110"/>
      <c r="K206" s="110"/>
      <c r="M206" s="110"/>
      <c r="O206" s="110"/>
    </row>
    <row r="207" spans="1:15" x14ac:dyDescent="0.3">
      <c r="A207" s="58" t="str">
        <f>Schedule!E205</f>
        <v>A003830</v>
      </c>
      <c r="B207" s="58" t="s">
        <v>1714</v>
      </c>
      <c r="C207" s="58" t="str">
        <f t="shared" si="6"/>
        <v>003830 KS</v>
      </c>
      <c r="D207" s="58" t="s">
        <v>3671</v>
      </c>
      <c r="E207" s="110" t="s">
        <v>3527</v>
      </c>
      <c r="F207" s="110" t="str">
        <f>IFERROR(VLOOKUP(C207,[1]evdl298!$B:$D,3,0),"")</f>
        <v>E</v>
      </c>
      <c r="G207" s="110">
        <f>IFERROR(VLOOKUP(C207,[1]evdl298!$B:$C,2,0),"")</f>
        <v>41460</v>
      </c>
      <c r="H207" s="110" t="str">
        <f t="shared" si="7"/>
        <v>E</v>
      </c>
      <c r="I207" s="110">
        <f t="shared" si="8"/>
        <v>41460</v>
      </c>
      <c r="J207" s="110"/>
      <c r="K207" s="110"/>
      <c r="M207" s="110"/>
      <c r="O207" s="110"/>
    </row>
    <row r="208" spans="1:15" x14ac:dyDescent="0.3">
      <c r="A208" s="58" t="str">
        <f>Schedule!E206</f>
        <v>A003850</v>
      </c>
      <c r="B208" s="58" t="s">
        <v>1715</v>
      </c>
      <c r="C208" s="58" t="str">
        <f t="shared" si="6"/>
        <v>003850 KS</v>
      </c>
      <c r="D208" s="58" t="s">
        <v>3671</v>
      </c>
      <c r="E208" s="110" t="s">
        <v>3527</v>
      </c>
      <c r="F208" s="110" t="str">
        <f>IFERROR(VLOOKUP(C208,[1]evdl298!$B:$D,3,0),"")</f>
        <v>E</v>
      </c>
      <c r="G208" s="110">
        <f>IFERROR(VLOOKUP(C208,[1]evdl298!$B:$C,2,0),"")</f>
        <v>41500</v>
      </c>
      <c r="H208" s="110" t="str">
        <f t="shared" si="7"/>
        <v>E</v>
      </c>
      <c r="I208" s="110">
        <f t="shared" si="8"/>
        <v>41500</v>
      </c>
      <c r="J208" s="110"/>
      <c r="K208" s="110"/>
      <c r="M208" s="110"/>
      <c r="O208" s="110"/>
    </row>
    <row r="209" spans="1:15" x14ac:dyDescent="0.3">
      <c r="A209" s="58" t="str">
        <f>Schedule!E207</f>
        <v>A003920</v>
      </c>
      <c r="B209" s="58" t="s">
        <v>1716</v>
      </c>
      <c r="C209" s="58" t="str">
        <f t="shared" ref="C209:C272" si="9">RIGHT(A209,6)&amp;" KS"</f>
        <v>003920 KS</v>
      </c>
      <c r="D209" s="58" t="s">
        <v>3671</v>
      </c>
      <c r="E209" s="110" t="s">
        <v>3527</v>
      </c>
      <c r="F209" s="110" t="str">
        <f>IFERROR(VLOOKUP(C209,[1]evdl298!$B:$D,3,0),"")</f>
        <v/>
      </c>
      <c r="G209" s="110" t="str">
        <f>IFERROR(VLOOKUP(C209,[1]evdl298!$B:$C,2,0),"")</f>
        <v/>
      </c>
      <c r="H209" s="110" t="str">
        <f t="shared" ref="H209:H272" si="10">F209</f>
        <v/>
      </c>
      <c r="I209" s="110" t="str">
        <f t="shared" ref="I209:I272" si="11">IF(ISNUMBER(G209),G209,E209)</f>
        <v/>
      </c>
      <c r="J209" s="110"/>
      <c r="K209" s="110"/>
      <c r="M209" s="110"/>
      <c r="O209" s="110"/>
    </row>
    <row r="210" spans="1:15" x14ac:dyDescent="0.3">
      <c r="A210" s="58" t="str">
        <f>Schedule!E208</f>
        <v>A003940</v>
      </c>
      <c r="B210" s="58" t="s">
        <v>1717</v>
      </c>
      <c r="C210" s="58" t="str">
        <f t="shared" si="9"/>
        <v>003940 KS</v>
      </c>
      <c r="D210" s="58" t="s">
        <v>3671</v>
      </c>
      <c r="E210" s="110" t="s">
        <v>3527</v>
      </c>
      <c r="F210" s="110" t="str">
        <f>IFERROR(VLOOKUP(C210,[1]evdl298!$B:$D,3,0),"")</f>
        <v>E</v>
      </c>
      <c r="G210" s="110">
        <f>IFERROR(VLOOKUP(C210,[1]evdl298!$B:$C,2,0),"")</f>
        <v>41500</v>
      </c>
      <c r="H210" s="110" t="str">
        <f t="shared" si="10"/>
        <v>E</v>
      </c>
      <c r="I210" s="110">
        <f t="shared" si="11"/>
        <v>41500</v>
      </c>
      <c r="J210" s="110"/>
      <c r="K210" s="110"/>
      <c r="M210" s="110"/>
      <c r="O210" s="110"/>
    </row>
    <row r="211" spans="1:15" x14ac:dyDescent="0.3">
      <c r="A211" s="58" t="str">
        <f>Schedule!E209</f>
        <v>A003960</v>
      </c>
      <c r="B211" s="58" t="s">
        <v>1718</v>
      </c>
      <c r="C211" s="58" t="str">
        <f t="shared" si="9"/>
        <v>003960 KS</v>
      </c>
      <c r="D211" s="58" t="s">
        <v>3671</v>
      </c>
      <c r="E211" s="110" t="s">
        <v>3527</v>
      </c>
      <c r="F211" s="110" t="str">
        <f>IFERROR(VLOOKUP(C211,[1]evdl298!$B:$D,3,0),"")</f>
        <v/>
      </c>
      <c r="G211" s="110" t="str">
        <f>IFERROR(VLOOKUP(C211,[1]evdl298!$B:$C,2,0),"")</f>
        <v/>
      </c>
      <c r="H211" s="110" t="str">
        <f t="shared" si="10"/>
        <v/>
      </c>
      <c r="I211" s="110" t="str">
        <f t="shared" si="11"/>
        <v/>
      </c>
      <c r="J211" s="110"/>
      <c r="K211" s="110"/>
      <c r="M211" s="110"/>
      <c r="O211" s="110"/>
    </row>
    <row r="212" spans="1:15" x14ac:dyDescent="0.3">
      <c r="A212" s="58" t="str">
        <f>Schedule!E210</f>
        <v>A004000</v>
      </c>
      <c r="B212" s="58" t="s">
        <v>1719</v>
      </c>
      <c r="C212" s="58" t="str">
        <f t="shared" si="9"/>
        <v>004000 KS</v>
      </c>
      <c r="D212" s="58" t="s">
        <v>3671</v>
      </c>
      <c r="E212" s="110" t="s">
        <v>3527</v>
      </c>
      <c r="F212" s="110" t="str">
        <f>IFERROR(VLOOKUP(C212,[1]evdl298!$B:$D,3,0),"")</f>
        <v>E</v>
      </c>
      <c r="G212" s="110">
        <f>IFERROR(VLOOKUP(C212,[1]evdl298!$B:$C,2,0),"")</f>
        <v>41481</v>
      </c>
      <c r="H212" s="110" t="str">
        <f t="shared" si="10"/>
        <v>E</v>
      </c>
      <c r="I212" s="110">
        <f t="shared" si="11"/>
        <v>41481</v>
      </c>
      <c r="J212" s="110"/>
      <c r="K212" s="110"/>
      <c r="M212" s="110"/>
      <c r="O212" s="110"/>
    </row>
    <row r="213" spans="1:15" x14ac:dyDescent="0.3">
      <c r="A213" s="58" t="str">
        <f>Schedule!E211</f>
        <v>A004020</v>
      </c>
      <c r="B213" s="58" t="s">
        <v>1720</v>
      </c>
      <c r="C213" s="58" t="str">
        <f t="shared" si="9"/>
        <v>004020 KS</v>
      </c>
      <c r="D213" s="58" t="s">
        <v>3671</v>
      </c>
      <c r="E213" s="110" t="s">
        <v>3686</v>
      </c>
      <c r="F213" s="110" t="str">
        <f>IFERROR(VLOOKUP(C213,[1]evdl298!$B:$D,3,0),"")</f>
        <v>C</v>
      </c>
      <c r="G213" s="110">
        <f>IFERROR(VLOOKUP(C213,[1]evdl298!$B:$C,2,0),"")</f>
        <v>41481</v>
      </c>
      <c r="H213" s="110" t="str">
        <f t="shared" si="10"/>
        <v>C</v>
      </c>
      <c r="I213" s="110">
        <f t="shared" si="11"/>
        <v>41481</v>
      </c>
      <c r="J213" s="110"/>
      <c r="K213" s="110"/>
      <c r="M213" s="110"/>
      <c r="O213" s="110"/>
    </row>
    <row r="214" spans="1:15" x14ac:dyDescent="0.3">
      <c r="A214" s="58" t="str">
        <f>Schedule!E212</f>
        <v>A004060</v>
      </c>
      <c r="B214" s="58" t="s">
        <v>1721</v>
      </c>
      <c r="C214" s="58" t="str">
        <f t="shared" si="9"/>
        <v>004060 KS</v>
      </c>
      <c r="D214" s="58" t="s">
        <v>3671</v>
      </c>
      <c r="E214" s="110" t="s">
        <v>3527</v>
      </c>
      <c r="F214" s="110" t="str">
        <f>IFERROR(VLOOKUP(C214,[1]evdl298!$B:$D,3,0),"")</f>
        <v>E</v>
      </c>
      <c r="G214" s="110">
        <f>IFERROR(VLOOKUP(C214,[1]evdl298!$B:$C,2,0),"")</f>
        <v>41495</v>
      </c>
      <c r="H214" s="110" t="str">
        <f t="shared" si="10"/>
        <v>E</v>
      </c>
      <c r="I214" s="110">
        <f t="shared" si="11"/>
        <v>41495</v>
      </c>
      <c r="J214" s="110"/>
      <c r="K214" s="110"/>
      <c r="M214" s="110"/>
      <c r="O214" s="110"/>
    </row>
    <row r="215" spans="1:15" x14ac:dyDescent="0.3">
      <c r="A215" s="58" t="str">
        <f>Schedule!E213</f>
        <v>A004080</v>
      </c>
      <c r="B215" s="58" t="s">
        <v>1722</v>
      </c>
      <c r="C215" s="58" t="str">
        <f t="shared" si="9"/>
        <v>004080 KS</v>
      </c>
      <c r="D215" s="58" t="s">
        <v>3671</v>
      </c>
      <c r="E215" s="110" t="s">
        <v>3527</v>
      </c>
      <c r="F215" s="110" t="str">
        <f>IFERROR(VLOOKUP(C215,[1]evdl298!$B:$D,3,0),"")</f>
        <v/>
      </c>
      <c r="G215" s="110" t="str">
        <f>IFERROR(VLOOKUP(C215,[1]evdl298!$B:$C,2,0),"")</f>
        <v/>
      </c>
      <c r="H215" s="110" t="str">
        <f t="shared" si="10"/>
        <v/>
      </c>
      <c r="I215" s="110" t="str">
        <f t="shared" si="11"/>
        <v/>
      </c>
      <c r="J215" s="110"/>
      <c r="K215" s="110"/>
      <c r="M215" s="110"/>
      <c r="O215" s="110"/>
    </row>
    <row r="216" spans="1:15" x14ac:dyDescent="0.3">
      <c r="A216" s="58" t="str">
        <f>Schedule!E214</f>
        <v>A004090</v>
      </c>
      <c r="B216" s="58" t="s">
        <v>1723</v>
      </c>
      <c r="C216" s="58" t="str">
        <f t="shared" si="9"/>
        <v>004090 KS</v>
      </c>
      <c r="D216" s="58" t="s">
        <v>3671</v>
      </c>
      <c r="E216" s="110" t="s">
        <v>3527</v>
      </c>
      <c r="F216" s="110" t="str">
        <f>IFERROR(VLOOKUP(C216,[1]evdl298!$B:$D,3,0),"")</f>
        <v/>
      </c>
      <c r="G216" s="110" t="str">
        <f>IFERROR(VLOOKUP(C216,[1]evdl298!$B:$C,2,0),"")</f>
        <v/>
      </c>
      <c r="H216" s="110" t="str">
        <f t="shared" si="10"/>
        <v/>
      </c>
      <c r="I216" s="110" t="str">
        <f t="shared" si="11"/>
        <v/>
      </c>
      <c r="J216" s="110"/>
      <c r="K216" s="110"/>
      <c r="M216" s="110"/>
      <c r="O216" s="110"/>
    </row>
    <row r="217" spans="1:15" x14ac:dyDescent="0.3">
      <c r="A217" s="58" t="str">
        <f>Schedule!E215</f>
        <v>A004100</v>
      </c>
      <c r="B217" s="58" t="s">
        <v>1724</v>
      </c>
      <c r="C217" s="58" t="str">
        <f t="shared" si="9"/>
        <v>004100 KS</v>
      </c>
      <c r="D217" s="58" t="s">
        <v>3671</v>
      </c>
      <c r="E217" s="110" t="s">
        <v>3527</v>
      </c>
      <c r="F217" s="110" t="str">
        <f>IFERROR(VLOOKUP(C217,[1]evdl298!$B:$D,3,0),"")</f>
        <v/>
      </c>
      <c r="G217" s="110" t="str">
        <f>IFERROR(VLOOKUP(C217,[1]evdl298!$B:$C,2,0),"")</f>
        <v/>
      </c>
      <c r="H217" s="110" t="str">
        <f t="shared" si="10"/>
        <v/>
      </c>
      <c r="I217" s="110" t="str">
        <f t="shared" si="11"/>
        <v/>
      </c>
      <c r="J217" s="110"/>
      <c r="K217" s="110"/>
      <c r="M217" s="110"/>
      <c r="O217" s="110"/>
    </row>
    <row r="218" spans="1:15" x14ac:dyDescent="0.3">
      <c r="A218" s="58" t="str">
        <f>Schedule!E216</f>
        <v>A004130</v>
      </c>
      <c r="B218" s="58" t="s">
        <v>1725</v>
      </c>
      <c r="C218" s="58" t="str">
        <f t="shared" si="9"/>
        <v>004130 KS</v>
      </c>
      <c r="D218" s="58" t="s">
        <v>3671</v>
      </c>
      <c r="E218" s="110" t="s">
        <v>3527</v>
      </c>
      <c r="F218" s="110" t="str">
        <f>IFERROR(VLOOKUP(C218,[1]evdl298!$B:$D,3,0),"")</f>
        <v/>
      </c>
      <c r="G218" s="110" t="str">
        <f>IFERROR(VLOOKUP(C218,[1]evdl298!$B:$C,2,0),"")</f>
        <v/>
      </c>
      <c r="H218" s="110" t="str">
        <f t="shared" si="10"/>
        <v/>
      </c>
      <c r="I218" s="110" t="str">
        <f t="shared" si="11"/>
        <v/>
      </c>
      <c r="J218" s="110"/>
      <c r="K218" s="110"/>
      <c r="M218" s="110"/>
      <c r="O218" s="110"/>
    </row>
    <row r="219" spans="1:15" x14ac:dyDescent="0.3">
      <c r="A219" s="58" t="str">
        <f>Schedule!E217</f>
        <v>A004140</v>
      </c>
      <c r="B219" s="58" t="s">
        <v>1726</v>
      </c>
      <c r="C219" s="58" t="str">
        <f t="shared" si="9"/>
        <v>004140 KS</v>
      </c>
      <c r="D219" s="58" t="s">
        <v>3671</v>
      </c>
      <c r="E219" s="110" t="s">
        <v>3527</v>
      </c>
      <c r="F219" s="110" t="str">
        <f>IFERROR(VLOOKUP(C219,[1]evdl298!$B:$D,3,0),"")</f>
        <v/>
      </c>
      <c r="G219" s="110" t="str">
        <f>IFERROR(VLOOKUP(C219,[1]evdl298!$B:$C,2,0),"")</f>
        <v/>
      </c>
      <c r="H219" s="110" t="str">
        <f t="shared" si="10"/>
        <v/>
      </c>
      <c r="I219" s="110" t="str">
        <f t="shared" si="11"/>
        <v/>
      </c>
      <c r="J219" s="110"/>
      <c r="K219" s="110"/>
      <c r="M219" s="110"/>
      <c r="O219" s="110"/>
    </row>
    <row r="220" spans="1:15" x14ac:dyDescent="0.3">
      <c r="A220" s="58" t="str">
        <f>Schedule!E218</f>
        <v>A004150</v>
      </c>
      <c r="B220" s="58" t="s">
        <v>1727</v>
      </c>
      <c r="C220" s="58" t="str">
        <f t="shared" si="9"/>
        <v>004150 KS</v>
      </c>
      <c r="D220" s="58" t="s">
        <v>3671</v>
      </c>
      <c r="E220" s="110" t="s">
        <v>3527</v>
      </c>
      <c r="F220" s="110" t="str">
        <f>IFERROR(VLOOKUP(C220,[1]evdl298!$B:$D,3,0),"")</f>
        <v>E</v>
      </c>
      <c r="G220" s="110">
        <f>IFERROR(VLOOKUP(C220,[1]evdl298!$B:$C,2,0),"")</f>
        <v>41480</v>
      </c>
      <c r="H220" s="110" t="str">
        <f t="shared" si="10"/>
        <v>E</v>
      </c>
      <c r="I220" s="110">
        <f t="shared" si="11"/>
        <v>41480</v>
      </c>
      <c r="J220" s="110"/>
      <c r="K220" s="110"/>
      <c r="M220" s="110"/>
      <c r="O220" s="110"/>
    </row>
    <row r="221" spans="1:15" x14ac:dyDescent="0.3">
      <c r="A221" s="58" t="str">
        <f>Schedule!E219</f>
        <v>A004170</v>
      </c>
      <c r="B221" s="58" t="s">
        <v>1728</v>
      </c>
      <c r="C221" s="58" t="str">
        <f t="shared" si="9"/>
        <v>004170 KS</v>
      </c>
      <c r="D221" s="58" t="s">
        <v>3671</v>
      </c>
      <c r="E221" s="110" t="s">
        <v>3687</v>
      </c>
      <c r="F221" s="110" t="str">
        <f>IFERROR(VLOOKUP(C221,[1]evdl298!$B:$D,3,0),"")</f>
        <v>E</v>
      </c>
      <c r="G221" s="110">
        <f>IFERROR(VLOOKUP(C221,[1]evdl298!$B:$C,2,0),"")</f>
        <v>41472</v>
      </c>
      <c r="H221" s="110" t="str">
        <f t="shared" si="10"/>
        <v>E</v>
      </c>
      <c r="I221" s="110">
        <f t="shared" si="11"/>
        <v>41472</v>
      </c>
      <c r="J221" s="110"/>
      <c r="K221" s="110"/>
      <c r="M221" s="110"/>
      <c r="O221" s="110"/>
    </row>
    <row r="222" spans="1:15" x14ac:dyDescent="0.3">
      <c r="A222" s="58" t="str">
        <f>Schedule!E220</f>
        <v>A004200</v>
      </c>
      <c r="B222" s="58" t="s">
        <v>1729</v>
      </c>
      <c r="C222" s="58" t="str">
        <f t="shared" si="9"/>
        <v>004200 KS</v>
      </c>
      <c r="D222" s="58" t="s">
        <v>3671</v>
      </c>
      <c r="E222" s="110" t="s">
        <v>3527</v>
      </c>
      <c r="F222" s="110" t="str">
        <f>IFERROR(VLOOKUP(C222,[1]evdl298!$B:$D,3,0),"")</f>
        <v>E</v>
      </c>
      <c r="G222" s="110">
        <f>IFERROR(VLOOKUP(C222,[1]evdl298!$B:$C,2,0),"")</f>
        <v>41460</v>
      </c>
      <c r="H222" s="110" t="str">
        <f t="shared" si="10"/>
        <v>E</v>
      </c>
      <c r="I222" s="110">
        <f t="shared" si="11"/>
        <v>41460</v>
      </c>
      <c r="J222" s="110"/>
      <c r="K222" s="110"/>
      <c r="M222" s="110"/>
      <c r="O222" s="110"/>
    </row>
    <row r="223" spans="1:15" x14ac:dyDescent="0.3">
      <c r="A223" s="58" t="str">
        <f>Schedule!E221</f>
        <v>A004250</v>
      </c>
      <c r="B223" s="58" t="s">
        <v>1730</v>
      </c>
      <c r="C223" s="58" t="str">
        <f t="shared" si="9"/>
        <v>004250 KS</v>
      </c>
      <c r="D223" s="58" t="s">
        <v>3671</v>
      </c>
      <c r="E223" s="110" t="s">
        <v>3527</v>
      </c>
      <c r="F223" s="110" t="str">
        <f>IFERROR(VLOOKUP(C223,[1]evdl298!$B:$D,3,0),"")</f>
        <v>E</v>
      </c>
      <c r="G223" s="110">
        <f>IFERROR(VLOOKUP(C223,[1]evdl298!$B:$C,2,0),"")</f>
        <v>41515</v>
      </c>
      <c r="H223" s="110" t="str">
        <f t="shared" si="10"/>
        <v>E</v>
      </c>
      <c r="I223" s="110">
        <f t="shared" si="11"/>
        <v>41515</v>
      </c>
      <c r="J223" s="110"/>
      <c r="K223" s="110"/>
      <c r="M223" s="110"/>
      <c r="O223" s="110"/>
    </row>
    <row r="224" spans="1:15" x14ac:dyDescent="0.3">
      <c r="A224" s="58" t="str">
        <f>Schedule!E222</f>
        <v>A004270</v>
      </c>
      <c r="B224" s="58" t="s">
        <v>1731</v>
      </c>
      <c r="C224" s="58" t="str">
        <f t="shared" si="9"/>
        <v>004270 KS</v>
      </c>
      <c r="D224" s="58" t="s">
        <v>3671</v>
      </c>
      <c r="E224" s="110" t="s">
        <v>3527</v>
      </c>
      <c r="F224" s="110" t="str">
        <f>IFERROR(VLOOKUP(C224,[1]evdl298!$B:$D,3,0),"")</f>
        <v/>
      </c>
      <c r="G224" s="110" t="str">
        <f>IFERROR(VLOOKUP(C224,[1]evdl298!$B:$C,2,0),"")</f>
        <v/>
      </c>
      <c r="H224" s="110" t="str">
        <f t="shared" si="10"/>
        <v/>
      </c>
      <c r="I224" s="110" t="str">
        <f t="shared" si="11"/>
        <v/>
      </c>
      <c r="J224" s="110"/>
      <c r="K224" s="110"/>
      <c r="M224" s="110"/>
      <c r="O224" s="110"/>
    </row>
    <row r="225" spans="1:15" x14ac:dyDescent="0.3">
      <c r="A225" s="58" t="str">
        <f>Schedule!E223</f>
        <v>A004310</v>
      </c>
      <c r="B225" s="58" t="s">
        <v>1732</v>
      </c>
      <c r="C225" s="58" t="str">
        <f t="shared" si="9"/>
        <v>004310 KS</v>
      </c>
      <c r="D225" s="58" t="s">
        <v>3671</v>
      </c>
      <c r="E225" s="110" t="s">
        <v>3527</v>
      </c>
      <c r="F225" s="110" t="str">
        <f>IFERROR(VLOOKUP(C225,[1]evdl298!$B:$D,3,0),"")</f>
        <v>C</v>
      </c>
      <c r="G225" s="110">
        <f>IFERROR(VLOOKUP(C225,[1]evdl298!$B:$C,2,0),"")</f>
        <v>41470</v>
      </c>
      <c r="H225" s="110" t="str">
        <f t="shared" si="10"/>
        <v>C</v>
      </c>
      <c r="I225" s="110">
        <f t="shared" si="11"/>
        <v>41470</v>
      </c>
      <c r="J225" s="110"/>
      <c r="K225" s="110"/>
      <c r="M225" s="110"/>
      <c r="O225" s="110"/>
    </row>
    <row r="226" spans="1:15" x14ac:dyDescent="0.3">
      <c r="A226" s="58" t="str">
        <f>Schedule!E224</f>
        <v>A004320</v>
      </c>
      <c r="B226" s="58" t="s">
        <v>1733</v>
      </c>
      <c r="C226" s="58" t="str">
        <f t="shared" si="9"/>
        <v>004320 KS</v>
      </c>
      <c r="D226" s="58" t="s">
        <v>3671</v>
      </c>
      <c r="E226" s="110" t="s">
        <v>3527</v>
      </c>
      <c r="F226" s="110" t="str">
        <f>IFERROR(VLOOKUP(C226,[1]evdl298!$B:$D,3,0),"")</f>
        <v/>
      </c>
      <c r="G226" s="110" t="str">
        <f>IFERROR(VLOOKUP(C226,[1]evdl298!$B:$C,2,0),"")</f>
        <v/>
      </c>
      <c r="H226" s="110" t="str">
        <f t="shared" si="10"/>
        <v/>
      </c>
      <c r="I226" s="110" t="str">
        <f t="shared" si="11"/>
        <v/>
      </c>
      <c r="J226" s="110"/>
      <c r="K226" s="110"/>
      <c r="M226" s="110"/>
      <c r="O226" s="110"/>
    </row>
    <row r="227" spans="1:15" x14ac:dyDescent="0.3">
      <c r="A227" s="58" t="str">
        <f>Schedule!E225</f>
        <v>A004360</v>
      </c>
      <c r="B227" s="58" t="s">
        <v>1734</v>
      </c>
      <c r="C227" s="58" t="str">
        <f t="shared" si="9"/>
        <v>004360 KS</v>
      </c>
      <c r="D227" s="58" t="s">
        <v>3671</v>
      </c>
      <c r="E227" s="110" t="s">
        <v>3527</v>
      </c>
      <c r="F227" s="110" t="str">
        <f>IFERROR(VLOOKUP(C227,[1]evdl298!$B:$D,3,0),"")</f>
        <v/>
      </c>
      <c r="G227" s="110" t="str">
        <f>IFERROR(VLOOKUP(C227,[1]evdl298!$B:$C,2,0),"")</f>
        <v/>
      </c>
      <c r="H227" s="110" t="str">
        <f t="shared" si="10"/>
        <v/>
      </c>
      <c r="I227" s="110" t="str">
        <f t="shared" si="11"/>
        <v/>
      </c>
      <c r="J227" s="110"/>
      <c r="K227" s="110"/>
      <c r="M227" s="110"/>
      <c r="O227" s="110"/>
    </row>
    <row r="228" spans="1:15" x14ac:dyDescent="0.3">
      <c r="A228" s="58" t="str">
        <f>Schedule!E226</f>
        <v>A004370</v>
      </c>
      <c r="B228" s="58" t="s">
        <v>1735</v>
      </c>
      <c r="C228" s="58" t="str">
        <f t="shared" si="9"/>
        <v>004370 KS</v>
      </c>
      <c r="D228" s="58" t="s">
        <v>3671</v>
      </c>
      <c r="E228" s="110" t="s">
        <v>3680</v>
      </c>
      <c r="F228" s="110" t="str">
        <f>IFERROR(VLOOKUP(C228,[1]evdl298!$B:$D,3,0),"")</f>
        <v>E</v>
      </c>
      <c r="G228" s="110">
        <f>IFERROR(VLOOKUP(C228,[1]evdl298!$B:$C,2,0),"")</f>
        <v>41515</v>
      </c>
      <c r="H228" s="110" t="str">
        <f t="shared" si="10"/>
        <v>E</v>
      </c>
      <c r="I228" s="110">
        <f t="shared" si="11"/>
        <v>41515</v>
      </c>
      <c r="J228" s="110"/>
      <c r="K228" s="110"/>
      <c r="M228" s="110"/>
      <c r="O228" s="110"/>
    </row>
    <row r="229" spans="1:15" x14ac:dyDescent="0.3">
      <c r="A229" s="58" t="str">
        <f>Schedule!E227</f>
        <v>A004380</v>
      </c>
      <c r="B229" s="58" t="s">
        <v>1736</v>
      </c>
      <c r="C229" s="58" t="str">
        <f t="shared" si="9"/>
        <v>004380 KS</v>
      </c>
      <c r="D229" s="58" t="s">
        <v>3671</v>
      </c>
      <c r="E229" s="110" t="s">
        <v>3527</v>
      </c>
      <c r="F229" s="110" t="str">
        <f>IFERROR(VLOOKUP(C229,[1]evdl298!$B:$D,3,0),"")</f>
        <v>E</v>
      </c>
      <c r="G229" s="110">
        <f>IFERROR(VLOOKUP(C229,[1]evdl298!$B:$C,2,0),"")</f>
        <v>41500</v>
      </c>
      <c r="H229" s="110" t="str">
        <f t="shared" si="10"/>
        <v>E</v>
      </c>
      <c r="I229" s="110">
        <f t="shared" si="11"/>
        <v>41500</v>
      </c>
      <c r="J229" s="110"/>
      <c r="K229" s="110"/>
      <c r="M229" s="110"/>
      <c r="O229" s="110"/>
    </row>
    <row r="230" spans="1:15" x14ac:dyDescent="0.3">
      <c r="A230" s="58" t="str">
        <f>Schedule!E228</f>
        <v>A004410</v>
      </c>
      <c r="B230" s="58" t="s">
        <v>1737</v>
      </c>
      <c r="C230" s="58" t="str">
        <f t="shared" si="9"/>
        <v>004410 KS</v>
      </c>
      <c r="D230" s="58" t="s">
        <v>3671</v>
      </c>
      <c r="E230" s="110" t="s">
        <v>3527</v>
      </c>
      <c r="F230" s="110" t="str">
        <f>IFERROR(VLOOKUP(C230,[1]evdl298!$B:$D,3,0),"")</f>
        <v>E</v>
      </c>
      <c r="G230" s="110">
        <f>IFERROR(VLOOKUP(C230,[1]evdl298!$B:$C,2,0),"")</f>
        <v>41495</v>
      </c>
      <c r="H230" s="110" t="str">
        <f t="shared" si="10"/>
        <v>E</v>
      </c>
      <c r="I230" s="110">
        <f t="shared" si="11"/>
        <v>41495</v>
      </c>
      <c r="J230" s="110"/>
      <c r="K230" s="110"/>
      <c r="M230" s="110"/>
      <c r="O230" s="110"/>
    </row>
    <row r="231" spans="1:15" x14ac:dyDescent="0.3">
      <c r="A231" s="58" t="str">
        <f>Schedule!E229</f>
        <v>A004430</v>
      </c>
      <c r="B231" s="58" t="s">
        <v>1738</v>
      </c>
      <c r="C231" s="58" t="str">
        <f t="shared" si="9"/>
        <v>004430 KS</v>
      </c>
      <c r="D231" s="58" t="s">
        <v>3671</v>
      </c>
      <c r="E231" s="110" t="s">
        <v>3527</v>
      </c>
      <c r="F231" s="110" t="str">
        <f>IFERROR(VLOOKUP(C231,[1]evdl298!$B:$D,3,0),"")</f>
        <v>E</v>
      </c>
      <c r="G231" s="110">
        <f>IFERROR(VLOOKUP(C231,[1]evdl298!$B:$C,2,0),"")</f>
        <v>41515</v>
      </c>
      <c r="H231" s="110" t="str">
        <f t="shared" si="10"/>
        <v>E</v>
      </c>
      <c r="I231" s="110">
        <f t="shared" si="11"/>
        <v>41515</v>
      </c>
      <c r="J231" s="110"/>
      <c r="K231" s="110"/>
      <c r="M231" s="110"/>
      <c r="O231" s="110"/>
    </row>
    <row r="232" spans="1:15" x14ac:dyDescent="0.3">
      <c r="A232" s="58" t="str">
        <f>Schedule!E230</f>
        <v>A004450</v>
      </c>
      <c r="B232" s="58" t="s">
        <v>1739</v>
      </c>
      <c r="C232" s="58" t="str">
        <f t="shared" si="9"/>
        <v>004450 KS</v>
      </c>
      <c r="D232" s="58" t="s">
        <v>3671</v>
      </c>
      <c r="E232" s="110" t="s">
        <v>3527</v>
      </c>
      <c r="F232" s="110" t="str">
        <f>IFERROR(VLOOKUP(C232,[1]evdl298!$B:$D,3,0),"")</f>
        <v>E</v>
      </c>
      <c r="G232" s="110">
        <f>IFERROR(VLOOKUP(C232,[1]evdl298!$B:$C,2,0),"")</f>
        <v>41488</v>
      </c>
      <c r="H232" s="110" t="str">
        <f t="shared" si="10"/>
        <v>E</v>
      </c>
      <c r="I232" s="110">
        <f t="shared" si="11"/>
        <v>41488</v>
      </c>
      <c r="J232" s="110"/>
      <c r="K232" s="110"/>
      <c r="M232" s="110"/>
      <c r="O232" s="110"/>
    </row>
    <row r="233" spans="1:15" x14ac:dyDescent="0.3">
      <c r="A233" s="58" t="str">
        <f>Schedule!E231</f>
        <v>A004490</v>
      </c>
      <c r="B233" s="58" t="s">
        <v>1740</v>
      </c>
      <c r="C233" s="58" t="str">
        <f t="shared" si="9"/>
        <v>004490 KS</v>
      </c>
      <c r="D233" s="58" t="s">
        <v>3671</v>
      </c>
      <c r="E233" s="110" t="s">
        <v>3527</v>
      </c>
      <c r="F233" s="110" t="str">
        <f>IFERROR(VLOOKUP(C233,[1]evdl298!$B:$D,3,0),"")</f>
        <v>E</v>
      </c>
      <c r="G233" s="110">
        <f>IFERROR(VLOOKUP(C233,[1]evdl298!$B:$C,2,0),"")</f>
        <v>41460</v>
      </c>
      <c r="H233" s="110" t="str">
        <f t="shared" si="10"/>
        <v>E</v>
      </c>
      <c r="I233" s="110">
        <f t="shared" si="11"/>
        <v>41460</v>
      </c>
      <c r="J233" s="110"/>
      <c r="K233" s="110"/>
      <c r="M233" s="110"/>
      <c r="O233" s="110"/>
    </row>
    <row r="234" spans="1:15" x14ac:dyDescent="0.3">
      <c r="A234" s="58" t="str">
        <f>Schedule!E232</f>
        <v>A004540</v>
      </c>
      <c r="B234" s="58" t="s">
        <v>1741</v>
      </c>
      <c r="C234" s="58" t="str">
        <f t="shared" si="9"/>
        <v>004540 KS</v>
      </c>
      <c r="D234" s="58" t="s">
        <v>3671</v>
      </c>
      <c r="E234" s="110" t="s">
        <v>3527</v>
      </c>
      <c r="F234" s="110" t="str">
        <f>IFERROR(VLOOKUP(C234,[1]evdl298!$B:$D,3,0),"")</f>
        <v/>
      </c>
      <c r="G234" s="110" t="str">
        <f>IFERROR(VLOOKUP(C234,[1]evdl298!$B:$C,2,0),"")</f>
        <v/>
      </c>
      <c r="H234" s="110" t="str">
        <f t="shared" si="10"/>
        <v/>
      </c>
      <c r="I234" s="110" t="str">
        <f t="shared" si="11"/>
        <v/>
      </c>
      <c r="J234" s="110"/>
      <c r="K234" s="110"/>
      <c r="M234" s="110"/>
      <c r="O234" s="110"/>
    </row>
    <row r="235" spans="1:15" x14ac:dyDescent="0.3">
      <c r="A235" s="58" t="str">
        <f>Schedule!E233</f>
        <v>A004560</v>
      </c>
      <c r="B235" s="58" t="s">
        <v>1742</v>
      </c>
      <c r="C235" s="58" t="str">
        <f t="shared" si="9"/>
        <v>004560 KS</v>
      </c>
      <c r="D235" s="58" t="s">
        <v>3671</v>
      </c>
      <c r="E235" s="110" t="s">
        <v>3527</v>
      </c>
      <c r="F235" s="110" t="str">
        <f>IFERROR(VLOOKUP(C235,[1]evdl298!$B:$D,3,0),"")</f>
        <v/>
      </c>
      <c r="G235" s="110" t="str">
        <f>IFERROR(VLOOKUP(C235,[1]evdl298!$B:$C,2,0),"")</f>
        <v/>
      </c>
      <c r="H235" s="110" t="str">
        <f t="shared" si="10"/>
        <v/>
      </c>
      <c r="I235" s="110" t="str">
        <f t="shared" si="11"/>
        <v/>
      </c>
      <c r="J235" s="110"/>
      <c r="K235" s="110"/>
      <c r="M235" s="110"/>
      <c r="O235" s="110"/>
    </row>
    <row r="236" spans="1:15" x14ac:dyDescent="0.3">
      <c r="A236" s="58" t="str">
        <f>Schedule!E234</f>
        <v>A004590</v>
      </c>
      <c r="B236" s="58" t="s">
        <v>1743</v>
      </c>
      <c r="C236" s="58" t="str">
        <f t="shared" si="9"/>
        <v>004590 KS</v>
      </c>
      <c r="D236" s="58" t="s">
        <v>3671</v>
      </c>
      <c r="E236" s="110" t="s">
        <v>3527</v>
      </c>
      <c r="F236" s="110" t="str">
        <f>IFERROR(VLOOKUP(C236,[1]evdl298!$B:$D,3,0),"")</f>
        <v>E</v>
      </c>
      <c r="G236" s="110">
        <f>IFERROR(VLOOKUP(C236,[1]evdl298!$B:$C,2,0),"")</f>
        <v>41500</v>
      </c>
      <c r="H236" s="110" t="str">
        <f t="shared" si="10"/>
        <v>E</v>
      </c>
      <c r="I236" s="110">
        <f t="shared" si="11"/>
        <v>41500</v>
      </c>
      <c r="J236" s="110"/>
      <c r="K236" s="110"/>
      <c r="M236" s="110"/>
      <c r="O236" s="110"/>
    </row>
    <row r="237" spans="1:15" x14ac:dyDescent="0.3">
      <c r="A237" s="58" t="str">
        <f>Schedule!E235</f>
        <v>A004690</v>
      </c>
      <c r="B237" s="58" t="s">
        <v>1744</v>
      </c>
      <c r="C237" s="58" t="str">
        <f t="shared" si="9"/>
        <v>004690 KS</v>
      </c>
      <c r="D237" s="58" t="s">
        <v>3671</v>
      </c>
      <c r="E237" s="110" t="s">
        <v>3527</v>
      </c>
      <c r="F237" s="110" t="str">
        <f>IFERROR(VLOOKUP(C237,[1]evdl298!$B:$D,3,0),"")</f>
        <v/>
      </c>
      <c r="G237" s="110" t="str">
        <f>IFERROR(VLOOKUP(C237,[1]evdl298!$B:$C,2,0),"")</f>
        <v/>
      </c>
      <c r="H237" s="110" t="str">
        <f t="shared" si="10"/>
        <v/>
      </c>
      <c r="I237" s="110" t="str">
        <f t="shared" si="11"/>
        <v/>
      </c>
      <c r="J237" s="110"/>
      <c r="K237" s="110"/>
      <c r="M237" s="110"/>
      <c r="O237" s="110"/>
    </row>
    <row r="238" spans="1:15" x14ac:dyDescent="0.3">
      <c r="A238" s="58" t="str">
        <f>Schedule!E236</f>
        <v>A004700</v>
      </c>
      <c r="B238" s="58" t="s">
        <v>1745</v>
      </c>
      <c r="C238" s="58" t="str">
        <f t="shared" si="9"/>
        <v>004700 KS</v>
      </c>
      <c r="D238" s="58" t="s">
        <v>3671</v>
      </c>
      <c r="E238" s="110" t="s">
        <v>3527</v>
      </c>
      <c r="F238" s="110" t="str">
        <f>IFERROR(VLOOKUP(C238,[1]evdl298!$B:$D,3,0),"")</f>
        <v/>
      </c>
      <c r="G238" s="110" t="str">
        <f>IFERROR(VLOOKUP(C238,[1]evdl298!$B:$C,2,0),"")</f>
        <v/>
      </c>
      <c r="H238" s="110" t="str">
        <f t="shared" si="10"/>
        <v/>
      </c>
      <c r="I238" s="110" t="str">
        <f t="shared" si="11"/>
        <v/>
      </c>
      <c r="J238" s="110"/>
      <c r="K238" s="110"/>
      <c r="M238" s="110"/>
      <c r="O238" s="110"/>
    </row>
    <row r="239" spans="1:15" x14ac:dyDescent="0.3">
      <c r="A239" s="58" t="str">
        <f>Schedule!E237</f>
        <v>A004710</v>
      </c>
      <c r="B239" s="58" t="s">
        <v>1746</v>
      </c>
      <c r="C239" s="58" t="str">
        <f t="shared" si="9"/>
        <v>004710 KS</v>
      </c>
      <c r="D239" s="58" t="s">
        <v>3671</v>
      </c>
      <c r="E239" s="110" t="s">
        <v>3527</v>
      </c>
      <c r="F239" s="110" t="str">
        <f>IFERROR(VLOOKUP(C239,[1]evdl298!$B:$D,3,0),"")</f>
        <v/>
      </c>
      <c r="G239" s="110" t="str">
        <f>IFERROR(VLOOKUP(C239,[1]evdl298!$B:$C,2,0),"")</f>
        <v/>
      </c>
      <c r="H239" s="110" t="str">
        <f t="shared" si="10"/>
        <v/>
      </c>
      <c r="I239" s="110" t="str">
        <f t="shared" si="11"/>
        <v/>
      </c>
      <c r="J239" s="110"/>
      <c r="K239" s="110"/>
      <c r="M239" s="110"/>
      <c r="O239" s="110"/>
    </row>
    <row r="240" spans="1:15" x14ac:dyDescent="0.3">
      <c r="A240" s="58" t="str">
        <f>Schedule!E238</f>
        <v>A004720</v>
      </c>
      <c r="B240" s="58" t="s">
        <v>1747</v>
      </c>
      <c r="C240" s="58" t="str">
        <f t="shared" si="9"/>
        <v>004720 KS</v>
      </c>
      <c r="D240" s="58" t="s">
        <v>3671</v>
      </c>
      <c r="E240" s="110" t="s">
        <v>3527</v>
      </c>
      <c r="F240" s="110" t="str">
        <f>IFERROR(VLOOKUP(C240,[1]evdl298!$B:$D,3,0),"")</f>
        <v>E</v>
      </c>
      <c r="G240" s="110">
        <f>IFERROR(VLOOKUP(C240,[1]evdl298!$B:$C,2,0),"")</f>
        <v>41500</v>
      </c>
      <c r="H240" s="110" t="str">
        <f t="shared" si="10"/>
        <v>E</v>
      </c>
      <c r="I240" s="110">
        <f t="shared" si="11"/>
        <v>41500</v>
      </c>
      <c r="J240" s="110"/>
      <c r="K240" s="110"/>
      <c r="M240" s="110"/>
      <c r="O240" s="110"/>
    </row>
    <row r="241" spans="1:15" x14ac:dyDescent="0.3">
      <c r="A241" s="58" t="str">
        <f>Schedule!E239</f>
        <v>A004740</v>
      </c>
      <c r="B241" s="58" t="s">
        <v>1748</v>
      </c>
      <c r="C241" s="58" t="str">
        <f t="shared" si="9"/>
        <v>004740 KS</v>
      </c>
      <c r="D241" s="58" t="s">
        <v>3671</v>
      </c>
      <c r="E241" s="110" t="s">
        <v>3527</v>
      </c>
      <c r="F241" s="110" t="str">
        <f>IFERROR(VLOOKUP(C241,[1]evdl298!$B:$D,3,0),"")</f>
        <v/>
      </c>
      <c r="G241" s="110" t="str">
        <f>IFERROR(VLOOKUP(C241,[1]evdl298!$B:$C,2,0),"")</f>
        <v/>
      </c>
      <c r="H241" s="110" t="str">
        <f t="shared" si="10"/>
        <v/>
      </c>
      <c r="I241" s="110" t="str">
        <f t="shared" si="11"/>
        <v/>
      </c>
      <c r="J241" s="110"/>
      <c r="K241" s="110"/>
      <c r="M241" s="110"/>
      <c r="O241" s="110"/>
    </row>
    <row r="242" spans="1:15" x14ac:dyDescent="0.3">
      <c r="A242" s="58" t="str">
        <f>Schedule!E240</f>
        <v>A004770</v>
      </c>
      <c r="B242" s="58" t="s">
        <v>1749</v>
      </c>
      <c r="C242" s="58" t="str">
        <f t="shared" si="9"/>
        <v>004770 KS</v>
      </c>
      <c r="D242" s="58" t="s">
        <v>3671</v>
      </c>
      <c r="E242" s="110" t="s">
        <v>3527</v>
      </c>
      <c r="F242" s="110" t="str">
        <f>IFERROR(VLOOKUP(C242,[1]evdl298!$B:$D,3,0),"")</f>
        <v/>
      </c>
      <c r="G242" s="110" t="str">
        <f>IFERROR(VLOOKUP(C242,[1]evdl298!$B:$C,2,0),"")</f>
        <v/>
      </c>
      <c r="H242" s="110" t="str">
        <f t="shared" si="10"/>
        <v/>
      </c>
      <c r="I242" s="110" t="str">
        <f t="shared" si="11"/>
        <v/>
      </c>
      <c r="J242" s="110"/>
      <c r="K242" s="110"/>
      <c r="M242" s="110"/>
      <c r="O242" s="110"/>
    </row>
    <row r="243" spans="1:15" x14ac:dyDescent="0.3">
      <c r="A243" s="58" t="str">
        <f>Schedule!E241</f>
        <v>A004780</v>
      </c>
      <c r="B243" s="58" t="s">
        <v>1750</v>
      </c>
      <c r="C243" s="58" t="str">
        <f t="shared" si="9"/>
        <v>004780 KS</v>
      </c>
      <c r="D243" s="58" t="s">
        <v>3671</v>
      </c>
      <c r="E243" s="110" t="s">
        <v>3527</v>
      </c>
      <c r="F243" s="110" t="str">
        <f>IFERROR(VLOOKUP(C243,[1]evdl298!$B:$D,3,0),"")</f>
        <v>E</v>
      </c>
      <c r="G243" s="110">
        <f>IFERROR(VLOOKUP(C243,[1]evdl298!$B:$C,2,0),"")</f>
        <v>41500</v>
      </c>
      <c r="H243" s="110" t="str">
        <f t="shared" si="10"/>
        <v>E</v>
      </c>
      <c r="I243" s="110">
        <f t="shared" si="11"/>
        <v>41500</v>
      </c>
      <c r="J243" s="110"/>
      <c r="K243" s="110"/>
      <c r="M243" s="110"/>
      <c r="O243" s="110"/>
    </row>
    <row r="244" spans="1:15" x14ac:dyDescent="0.3">
      <c r="A244" s="58" t="str">
        <f>Schedule!E242</f>
        <v>A004790</v>
      </c>
      <c r="B244" s="58" t="s">
        <v>1751</v>
      </c>
      <c r="C244" s="58" t="str">
        <f t="shared" si="9"/>
        <v>004790 KS</v>
      </c>
      <c r="D244" s="58" t="s">
        <v>3671</v>
      </c>
      <c r="E244" s="110" t="s">
        <v>3527</v>
      </c>
      <c r="F244" s="110" t="str">
        <f>IFERROR(VLOOKUP(C244,[1]evdl298!$B:$D,3,0),"")</f>
        <v/>
      </c>
      <c r="G244" s="110" t="str">
        <f>IFERROR(VLOOKUP(C244,[1]evdl298!$B:$C,2,0),"")</f>
        <v/>
      </c>
      <c r="H244" s="110" t="str">
        <f t="shared" si="10"/>
        <v/>
      </c>
      <c r="I244" s="110" t="str">
        <f t="shared" si="11"/>
        <v/>
      </c>
      <c r="J244" s="110"/>
      <c r="K244" s="110"/>
      <c r="M244" s="110"/>
      <c r="O244" s="110"/>
    </row>
    <row r="245" spans="1:15" x14ac:dyDescent="0.3">
      <c r="A245" s="58" t="str">
        <f>Schedule!E243</f>
        <v>A004800</v>
      </c>
      <c r="B245" s="58" t="s">
        <v>1752</v>
      </c>
      <c r="C245" s="58" t="str">
        <f t="shared" si="9"/>
        <v>004800 KS</v>
      </c>
      <c r="D245" s="58" t="s">
        <v>3671</v>
      </c>
      <c r="E245" s="110" t="s">
        <v>3527</v>
      </c>
      <c r="F245" s="110" t="str">
        <f>IFERROR(VLOOKUP(C245,[1]evdl298!$B:$D,3,0),"")</f>
        <v>E</v>
      </c>
      <c r="G245" s="110">
        <f>IFERROR(VLOOKUP(C245,[1]evdl298!$B:$C,2,0),"")</f>
        <v>41494</v>
      </c>
      <c r="H245" s="110" t="str">
        <f t="shared" si="10"/>
        <v>E</v>
      </c>
      <c r="I245" s="110">
        <f t="shared" si="11"/>
        <v>41494</v>
      </c>
      <c r="J245" s="110"/>
      <c r="K245" s="110"/>
      <c r="M245" s="110"/>
      <c r="O245" s="110"/>
    </row>
    <row r="246" spans="1:15" x14ac:dyDescent="0.3">
      <c r="A246" s="58" t="str">
        <f>Schedule!E244</f>
        <v>A004830</v>
      </c>
      <c r="B246" s="58" t="s">
        <v>1753</v>
      </c>
      <c r="C246" s="58" t="str">
        <f t="shared" si="9"/>
        <v>004830 KS</v>
      </c>
      <c r="D246" s="58" t="s">
        <v>3671</v>
      </c>
      <c r="E246" s="110" t="s">
        <v>3527</v>
      </c>
      <c r="F246" s="110" t="str">
        <f>IFERROR(VLOOKUP(C246,[1]evdl298!$B:$D,3,0),"")</f>
        <v/>
      </c>
      <c r="G246" s="110" t="str">
        <f>IFERROR(VLOOKUP(C246,[1]evdl298!$B:$C,2,0),"")</f>
        <v/>
      </c>
      <c r="H246" s="110" t="str">
        <f t="shared" si="10"/>
        <v/>
      </c>
      <c r="I246" s="110" t="str">
        <f t="shared" si="11"/>
        <v/>
      </c>
      <c r="J246" s="110"/>
      <c r="K246" s="110"/>
      <c r="M246" s="110"/>
      <c r="O246" s="110"/>
    </row>
    <row r="247" spans="1:15" x14ac:dyDescent="0.3">
      <c r="A247" s="58" t="str">
        <f>Schedule!E245</f>
        <v>A004840</v>
      </c>
      <c r="B247" s="58" t="s">
        <v>3093</v>
      </c>
      <c r="C247" s="58" t="str">
        <f t="shared" si="9"/>
        <v>004840 KS</v>
      </c>
      <c r="D247" s="58" t="s">
        <v>3671</v>
      </c>
      <c r="E247" s="110" t="s">
        <v>3527</v>
      </c>
      <c r="F247" s="110" t="str">
        <f>IFERROR(VLOOKUP(C247,[1]evdl298!$B:$D,3,0),"")</f>
        <v>E</v>
      </c>
      <c r="G247" s="110">
        <f>IFERROR(VLOOKUP(C247,[1]evdl298!$B:$C,2,0),"")</f>
        <v>41493</v>
      </c>
      <c r="H247" s="110" t="str">
        <f t="shared" si="10"/>
        <v>E</v>
      </c>
      <c r="I247" s="110">
        <f t="shared" si="11"/>
        <v>41493</v>
      </c>
      <c r="J247" s="110"/>
      <c r="K247" s="110"/>
      <c r="M247" s="110"/>
      <c r="O247" s="110"/>
    </row>
    <row r="248" spans="1:15" x14ac:dyDescent="0.3">
      <c r="A248" s="58" t="str">
        <f>Schedule!E246</f>
        <v>A004870</v>
      </c>
      <c r="B248" s="58" t="s">
        <v>3630</v>
      </c>
      <c r="C248" s="58" t="str">
        <f t="shared" si="9"/>
        <v>004870 KS</v>
      </c>
      <c r="D248" s="58" t="s">
        <v>3671</v>
      </c>
      <c r="E248" s="110" t="s">
        <v>3527</v>
      </c>
      <c r="F248" s="110" t="str">
        <f>IFERROR(VLOOKUP(C248,[1]evdl298!$B:$D,3,0),"")</f>
        <v/>
      </c>
      <c r="G248" s="110" t="str">
        <f>IFERROR(VLOOKUP(C248,[1]evdl298!$B:$C,2,0),"")</f>
        <v/>
      </c>
      <c r="H248" s="110" t="str">
        <f t="shared" si="10"/>
        <v/>
      </c>
      <c r="I248" s="110" t="str">
        <f t="shared" si="11"/>
        <v/>
      </c>
      <c r="J248" s="110"/>
      <c r="K248" s="110"/>
      <c r="M248" s="110"/>
      <c r="O248" s="110"/>
    </row>
    <row r="249" spans="1:15" x14ac:dyDescent="0.3">
      <c r="A249" s="58" t="str">
        <f>Schedule!E247</f>
        <v>A004890</v>
      </c>
      <c r="B249" s="58" t="s">
        <v>1754</v>
      </c>
      <c r="C249" s="58" t="str">
        <f t="shared" si="9"/>
        <v>004890 KS</v>
      </c>
      <c r="D249" s="58" t="s">
        <v>3671</v>
      </c>
      <c r="E249" s="110" t="s">
        <v>3527</v>
      </c>
      <c r="F249" s="110" t="str">
        <f>IFERROR(VLOOKUP(C249,[1]evdl298!$B:$D,3,0),"")</f>
        <v>E</v>
      </c>
      <c r="G249" s="110">
        <f>IFERROR(VLOOKUP(C249,[1]evdl298!$B:$C,2,0),"")</f>
        <v>41460</v>
      </c>
      <c r="H249" s="110" t="str">
        <f t="shared" si="10"/>
        <v>E</v>
      </c>
      <c r="I249" s="110">
        <f t="shared" si="11"/>
        <v>41460</v>
      </c>
      <c r="J249" s="110"/>
      <c r="K249" s="110"/>
      <c r="M249" s="110"/>
      <c r="O249" s="110"/>
    </row>
    <row r="250" spans="1:15" x14ac:dyDescent="0.3">
      <c r="A250" s="58" t="str">
        <f>Schedule!E248</f>
        <v>A004910</v>
      </c>
      <c r="B250" s="58" t="s">
        <v>1755</v>
      </c>
      <c r="C250" s="58" t="str">
        <f t="shared" si="9"/>
        <v>004910 KS</v>
      </c>
      <c r="D250" s="58" t="s">
        <v>3671</v>
      </c>
      <c r="E250" s="110" t="s">
        <v>3527</v>
      </c>
      <c r="F250" s="110" t="str">
        <f>IFERROR(VLOOKUP(C250,[1]evdl298!$B:$D,3,0),"")</f>
        <v>E</v>
      </c>
      <c r="G250" s="110">
        <f>IFERROR(VLOOKUP(C250,[1]evdl298!$B:$C,2,0),"")</f>
        <v>41515</v>
      </c>
      <c r="H250" s="110" t="str">
        <f t="shared" si="10"/>
        <v>E</v>
      </c>
      <c r="I250" s="110">
        <f t="shared" si="11"/>
        <v>41515</v>
      </c>
      <c r="J250" s="110"/>
      <c r="K250" s="110"/>
      <c r="M250" s="110"/>
      <c r="O250" s="110"/>
    </row>
    <row r="251" spans="1:15" x14ac:dyDescent="0.3">
      <c r="A251" s="58" t="str">
        <f>Schedule!E249</f>
        <v>A004920</v>
      </c>
      <c r="B251" s="58" t="s">
        <v>1756</v>
      </c>
      <c r="C251" s="58" t="str">
        <f t="shared" si="9"/>
        <v>004920 KS</v>
      </c>
      <c r="D251" s="58" t="s">
        <v>3671</v>
      </c>
      <c r="E251" s="110" t="s">
        <v>3527</v>
      </c>
      <c r="F251" s="110" t="str">
        <f>IFERROR(VLOOKUP(C251,[1]evdl298!$B:$D,3,0),"")</f>
        <v>E</v>
      </c>
      <c r="G251" s="110">
        <f>IFERROR(VLOOKUP(C251,[1]evdl298!$B:$C,2,0),"")</f>
        <v>41500</v>
      </c>
      <c r="H251" s="110" t="str">
        <f t="shared" si="10"/>
        <v>E</v>
      </c>
      <c r="I251" s="110">
        <f t="shared" si="11"/>
        <v>41500</v>
      </c>
      <c r="J251" s="110"/>
      <c r="K251" s="110"/>
      <c r="M251" s="110"/>
      <c r="O251" s="110"/>
    </row>
    <row r="252" spans="1:15" x14ac:dyDescent="0.3">
      <c r="A252" s="58" t="str">
        <f>Schedule!E250</f>
        <v>A004960</v>
      </c>
      <c r="B252" s="58" t="s">
        <v>1757</v>
      </c>
      <c r="C252" s="58" t="str">
        <f t="shared" si="9"/>
        <v>004960 KS</v>
      </c>
      <c r="D252" s="58" t="s">
        <v>3671</v>
      </c>
      <c r="E252" s="110" t="s">
        <v>3527</v>
      </c>
      <c r="F252" s="110" t="str">
        <f>IFERROR(VLOOKUP(C252,[1]evdl298!$B:$D,3,0),"")</f>
        <v/>
      </c>
      <c r="G252" s="110" t="str">
        <f>IFERROR(VLOOKUP(C252,[1]evdl298!$B:$C,2,0),"")</f>
        <v/>
      </c>
      <c r="H252" s="110" t="str">
        <f t="shared" si="10"/>
        <v/>
      </c>
      <c r="I252" s="110" t="str">
        <f t="shared" si="11"/>
        <v/>
      </c>
      <c r="J252" s="110"/>
      <c r="K252" s="110"/>
      <c r="M252" s="110"/>
      <c r="O252" s="110"/>
    </row>
    <row r="253" spans="1:15" x14ac:dyDescent="0.3">
      <c r="A253" s="58" t="str">
        <f>Schedule!E251</f>
        <v>A004970</v>
      </c>
      <c r="B253" s="58" t="s">
        <v>1758</v>
      </c>
      <c r="C253" s="58" t="str">
        <f t="shared" si="9"/>
        <v>004970 KS</v>
      </c>
      <c r="D253" s="58" t="s">
        <v>3671</v>
      </c>
      <c r="E253" s="110" t="s">
        <v>3527</v>
      </c>
      <c r="F253" s="110" t="str">
        <f>IFERROR(VLOOKUP(C253,[1]evdl298!$B:$D,3,0),"")</f>
        <v>E</v>
      </c>
      <c r="G253" s="110">
        <f>IFERROR(VLOOKUP(C253,[1]evdl298!$B:$C,2,0),"")</f>
        <v>41515</v>
      </c>
      <c r="H253" s="110" t="str">
        <f t="shared" si="10"/>
        <v>E</v>
      </c>
      <c r="I253" s="110">
        <f t="shared" si="11"/>
        <v>41515</v>
      </c>
      <c r="J253" s="110"/>
      <c r="K253" s="110"/>
      <c r="M253" s="110"/>
      <c r="O253" s="110"/>
    </row>
    <row r="254" spans="1:15" x14ac:dyDescent="0.3">
      <c r="A254" s="58" t="str">
        <f>Schedule!E252</f>
        <v>A004980</v>
      </c>
      <c r="B254" s="58" t="s">
        <v>1759</v>
      </c>
      <c r="C254" s="58" t="str">
        <f t="shared" si="9"/>
        <v>004980 KS</v>
      </c>
      <c r="D254" s="58" t="s">
        <v>3671</v>
      </c>
      <c r="E254" s="110" t="s">
        <v>3527</v>
      </c>
      <c r="F254" s="110" t="str">
        <f>IFERROR(VLOOKUP(C254,[1]evdl298!$B:$D,3,0),"")</f>
        <v>E</v>
      </c>
      <c r="G254" s="110">
        <f>IFERROR(VLOOKUP(C254,[1]evdl298!$B:$C,2,0),"")</f>
        <v>41500</v>
      </c>
      <c r="H254" s="110" t="str">
        <f t="shared" si="10"/>
        <v>E</v>
      </c>
      <c r="I254" s="110">
        <f t="shared" si="11"/>
        <v>41500</v>
      </c>
      <c r="J254" s="110"/>
      <c r="K254" s="110"/>
      <c r="M254" s="110"/>
      <c r="O254" s="110"/>
    </row>
    <row r="255" spans="1:15" x14ac:dyDescent="0.3">
      <c r="A255" s="58" t="str">
        <f>Schedule!E253</f>
        <v>A004990</v>
      </c>
      <c r="B255" s="58" t="s">
        <v>1760</v>
      </c>
      <c r="C255" s="58" t="str">
        <f t="shared" si="9"/>
        <v>004990 KS</v>
      </c>
      <c r="D255" s="58" t="s">
        <v>3671</v>
      </c>
      <c r="E255" s="110" t="s">
        <v>3675</v>
      </c>
      <c r="F255" s="110" t="str">
        <f>IFERROR(VLOOKUP(C255,[1]evdl298!$B:$D,3,0),"")</f>
        <v>E</v>
      </c>
      <c r="G255" s="110">
        <f>IFERROR(VLOOKUP(C255,[1]evdl298!$B:$C,2,0),"")</f>
        <v>41500</v>
      </c>
      <c r="H255" s="110" t="str">
        <f t="shared" si="10"/>
        <v>E</v>
      </c>
      <c r="I255" s="110">
        <f t="shared" si="11"/>
        <v>41500</v>
      </c>
      <c r="J255" s="110"/>
      <c r="K255" s="110"/>
      <c r="M255" s="110"/>
      <c r="O255" s="110"/>
    </row>
    <row r="256" spans="1:15" x14ac:dyDescent="0.3">
      <c r="A256" s="58" t="str">
        <f>Schedule!E254</f>
        <v>A005010</v>
      </c>
      <c r="B256" s="58" t="s">
        <v>1761</v>
      </c>
      <c r="C256" s="58" t="str">
        <f t="shared" si="9"/>
        <v>005010 KS</v>
      </c>
      <c r="D256" s="58" t="s">
        <v>3671</v>
      </c>
      <c r="E256" s="110" t="s">
        <v>3527</v>
      </c>
      <c r="F256" s="110" t="str">
        <f>IFERROR(VLOOKUP(C256,[1]evdl298!$B:$D,3,0),"")</f>
        <v>E</v>
      </c>
      <c r="G256" s="110">
        <f>IFERROR(VLOOKUP(C256,[1]evdl298!$B:$C,2,0),"")</f>
        <v>41515</v>
      </c>
      <c r="H256" s="110" t="str">
        <f t="shared" si="10"/>
        <v>E</v>
      </c>
      <c r="I256" s="110">
        <f t="shared" si="11"/>
        <v>41515</v>
      </c>
      <c r="J256" s="110"/>
      <c r="K256" s="110"/>
      <c r="M256" s="110"/>
      <c r="O256" s="110"/>
    </row>
    <row r="257" spans="1:15" x14ac:dyDescent="0.3">
      <c r="A257" s="58" t="str">
        <f>Schedule!E255</f>
        <v>A005030</v>
      </c>
      <c r="B257" s="58" t="s">
        <v>1762</v>
      </c>
      <c r="C257" s="58" t="str">
        <f t="shared" si="9"/>
        <v>005030 KS</v>
      </c>
      <c r="D257" s="58" t="s">
        <v>3671</v>
      </c>
      <c r="E257" s="110" t="s">
        <v>3527</v>
      </c>
      <c r="F257" s="110" t="str">
        <f>IFERROR(VLOOKUP(C257,[1]evdl298!$B:$D,3,0),"")</f>
        <v>E</v>
      </c>
      <c r="G257" s="110">
        <f>IFERROR(VLOOKUP(C257,[1]evdl298!$B:$C,2,0),"")</f>
        <v>41460</v>
      </c>
      <c r="H257" s="110" t="str">
        <f t="shared" si="10"/>
        <v>E</v>
      </c>
      <c r="I257" s="110">
        <f t="shared" si="11"/>
        <v>41460</v>
      </c>
      <c r="J257" s="110"/>
      <c r="K257" s="110"/>
      <c r="M257" s="110"/>
      <c r="O257" s="110"/>
    </row>
    <row r="258" spans="1:15" x14ac:dyDescent="0.3">
      <c r="A258" s="58" t="str">
        <f>Schedule!E256</f>
        <v>A005070</v>
      </c>
      <c r="B258" s="58" t="s">
        <v>1763</v>
      </c>
      <c r="C258" s="58" t="str">
        <f t="shared" si="9"/>
        <v>005070 KS</v>
      </c>
      <c r="D258" s="58" t="s">
        <v>3671</v>
      </c>
      <c r="E258" s="110" t="s">
        <v>3527</v>
      </c>
      <c r="F258" s="110" t="str">
        <f>IFERROR(VLOOKUP(C258,[1]evdl298!$B:$D,3,0),"")</f>
        <v>E</v>
      </c>
      <c r="G258" s="110">
        <f>IFERROR(VLOOKUP(C258,[1]evdl298!$B:$C,2,0),"")</f>
        <v>41460</v>
      </c>
      <c r="H258" s="110" t="str">
        <f t="shared" si="10"/>
        <v>E</v>
      </c>
      <c r="I258" s="110">
        <f t="shared" si="11"/>
        <v>41460</v>
      </c>
      <c r="J258" s="110"/>
      <c r="K258" s="110"/>
      <c r="M258" s="110"/>
      <c r="O258" s="110"/>
    </row>
    <row r="259" spans="1:15" x14ac:dyDescent="0.3">
      <c r="A259" s="58" t="str">
        <f>Schedule!E257</f>
        <v>A005090</v>
      </c>
      <c r="B259" s="58" t="s">
        <v>3610</v>
      </c>
      <c r="C259" s="58" t="str">
        <f t="shared" si="9"/>
        <v>005090 KS</v>
      </c>
      <c r="D259" s="58" t="s">
        <v>3671</v>
      </c>
      <c r="E259" s="110" t="s">
        <v>3527</v>
      </c>
      <c r="F259" s="110" t="str">
        <f>IFERROR(VLOOKUP(C259,[1]evdl298!$B:$D,3,0),"")</f>
        <v/>
      </c>
      <c r="G259" s="110" t="str">
        <f>IFERROR(VLOOKUP(C259,[1]evdl298!$B:$C,2,0),"")</f>
        <v/>
      </c>
      <c r="H259" s="110" t="str">
        <f t="shared" si="10"/>
        <v/>
      </c>
      <c r="I259" s="110" t="str">
        <f t="shared" si="11"/>
        <v/>
      </c>
      <c r="J259" s="110"/>
      <c r="K259" s="110"/>
      <c r="M259" s="110"/>
      <c r="O259" s="110"/>
    </row>
    <row r="260" spans="1:15" x14ac:dyDescent="0.3">
      <c r="A260" s="58" t="str">
        <f>Schedule!E258</f>
        <v>A005110</v>
      </c>
      <c r="B260" s="58" t="s">
        <v>1764</v>
      </c>
      <c r="C260" s="58" t="str">
        <f t="shared" si="9"/>
        <v>005110 KS</v>
      </c>
      <c r="D260" s="58" t="s">
        <v>3671</v>
      </c>
      <c r="E260" s="110" t="s">
        <v>3527</v>
      </c>
      <c r="F260" s="110" t="str">
        <f>IFERROR(VLOOKUP(C260,[1]evdl298!$B:$D,3,0),"")</f>
        <v/>
      </c>
      <c r="G260" s="110" t="str">
        <f>IFERROR(VLOOKUP(C260,[1]evdl298!$B:$C,2,0),"")</f>
        <v/>
      </c>
      <c r="H260" s="110" t="str">
        <f t="shared" si="10"/>
        <v/>
      </c>
      <c r="I260" s="110" t="str">
        <f t="shared" si="11"/>
        <v/>
      </c>
      <c r="J260" s="110"/>
      <c r="K260" s="110"/>
      <c r="M260" s="110"/>
      <c r="O260" s="110"/>
    </row>
    <row r="261" spans="1:15" x14ac:dyDescent="0.3">
      <c r="A261" s="58" t="str">
        <f>Schedule!E259</f>
        <v>A005160</v>
      </c>
      <c r="B261" s="58" t="s">
        <v>1765</v>
      </c>
      <c r="C261" s="58" t="str">
        <f t="shared" si="9"/>
        <v>005160 KS</v>
      </c>
      <c r="D261" s="58" t="s">
        <v>3671</v>
      </c>
      <c r="E261" s="110" t="s">
        <v>3527</v>
      </c>
      <c r="F261" s="110" t="str">
        <f>IFERROR(VLOOKUP(C261,[1]evdl298!$B:$D,3,0),"")</f>
        <v/>
      </c>
      <c r="G261" s="110" t="str">
        <f>IFERROR(VLOOKUP(C261,[1]evdl298!$B:$C,2,0),"")</f>
        <v/>
      </c>
      <c r="H261" s="110" t="str">
        <f t="shared" si="10"/>
        <v/>
      </c>
      <c r="I261" s="110" t="str">
        <f t="shared" si="11"/>
        <v/>
      </c>
      <c r="J261" s="110"/>
      <c r="K261" s="110"/>
      <c r="M261" s="110"/>
      <c r="O261" s="110"/>
    </row>
    <row r="262" spans="1:15" x14ac:dyDescent="0.3">
      <c r="A262" s="58" t="str">
        <f>Schedule!E260</f>
        <v>A005180</v>
      </c>
      <c r="B262" s="58" t="s">
        <v>1766</v>
      </c>
      <c r="C262" s="58" t="str">
        <f t="shared" si="9"/>
        <v>005180 KS</v>
      </c>
      <c r="D262" s="58" t="s">
        <v>3671</v>
      </c>
      <c r="E262" s="110" t="s">
        <v>3675</v>
      </c>
      <c r="F262" s="110" t="str">
        <f>IFERROR(VLOOKUP(C262,[1]evdl298!$B:$D,3,0),"")</f>
        <v>E</v>
      </c>
      <c r="G262" s="110">
        <f>IFERROR(VLOOKUP(C262,[1]evdl298!$B:$C,2,0),"")</f>
        <v>41495</v>
      </c>
      <c r="H262" s="110" t="str">
        <f t="shared" si="10"/>
        <v>E</v>
      </c>
      <c r="I262" s="110">
        <f t="shared" si="11"/>
        <v>41495</v>
      </c>
      <c r="J262" s="110"/>
      <c r="K262" s="110"/>
      <c r="M262" s="110"/>
      <c r="O262" s="110"/>
    </row>
    <row r="263" spans="1:15" x14ac:dyDescent="0.3">
      <c r="A263" s="58" t="str">
        <f>Schedule!E261</f>
        <v>A005190</v>
      </c>
      <c r="B263" s="58" t="s">
        <v>1767</v>
      </c>
      <c r="C263" s="58" t="str">
        <f t="shared" si="9"/>
        <v>005190 KS</v>
      </c>
      <c r="D263" s="58" t="s">
        <v>3671</v>
      </c>
      <c r="E263" s="110" t="s">
        <v>3527</v>
      </c>
      <c r="F263" s="110" t="str">
        <f>IFERROR(VLOOKUP(C263,[1]evdl298!$B:$D,3,0),"")</f>
        <v>E</v>
      </c>
      <c r="G263" s="110">
        <f>IFERROR(VLOOKUP(C263,[1]evdl298!$B:$C,2,0),"")</f>
        <v>41480</v>
      </c>
      <c r="H263" s="110" t="str">
        <f t="shared" si="10"/>
        <v>E</v>
      </c>
      <c r="I263" s="110">
        <f t="shared" si="11"/>
        <v>41480</v>
      </c>
      <c r="J263" s="110"/>
      <c r="K263" s="110"/>
      <c r="M263" s="110"/>
      <c r="O263" s="110"/>
    </row>
    <row r="264" spans="1:15" x14ac:dyDescent="0.3">
      <c r="A264" s="58" t="str">
        <f>Schedule!E262</f>
        <v>A005250</v>
      </c>
      <c r="B264" s="58" t="s">
        <v>1768</v>
      </c>
      <c r="C264" s="58" t="str">
        <f t="shared" si="9"/>
        <v>005250 KS</v>
      </c>
      <c r="D264" s="58" t="s">
        <v>3671</v>
      </c>
      <c r="E264" s="110" t="s">
        <v>3527</v>
      </c>
      <c r="F264" s="110" t="str">
        <f>IFERROR(VLOOKUP(C264,[1]evdl298!$B:$D,3,0),"")</f>
        <v>E</v>
      </c>
      <c r="G264" s="110">
        <f>IFERROR(VLOOKUP(C264,[1]evdl298!$B:$C,2,0),"")</f>
        <v>41500</v>
      </c>
      <c r="H264" s="110" t="str">
        <f t="shared" si="10"/>
        <v>E</v>
      </c>
      <c r="I264" s="110">
        <f t="shared" si="11"/>
        <v>41500</v>
      </c>
      <c r="J264" s="110"/>
      <c r="K264" s="110"/>
      <c r="M264" s="110"/>
      <c r="O264" s="110"/>
    </row>
    <row r="265" spans="1:15" x14ac:dyDescent="0.3">
      <c r="A265" s="58" t="str">
        <f>Schedule!E263</f>
        <v>A005290</v>
      </c>
      <c r="B265" s="58" t="s">
        <v>1769</v>
      </c>
      <c r="C265" s="58" t="str">
        <f t="shared" si="9"/>
        <v>005290 KS</v>
      </c>
      <c r="D265" s="58" t="s">
        <v>3671</v>
      </c>
      <c r="E265" s="110" t="s">
        <v>3527</v>
      </c>
      <c r="F265" s="110" t="str">
        <f>IFERROR(VLOOKUP(C265,[1]evdl298!$B:$D,3,0),"")</f>
        <v>E</v>
      </c>
      <c r="G265" s="110">
        <f>IFERROR(VLOOKUP(C265,[1]evdl298!$B:$C,2,0),"")</f>
        <v>41495</v>
      </c>
      <c r="H265" s="110" t="str">
        <f t="shared" si="10"/>
        <v>E</v>
      </c>
      <c r="I265" s="110">
        <f t="shared" si="11"/>
        <v>41495</v>
      </c>
      <c r="J265" s="110"/>
      <c r="K265" s="110"/>
      <c r="M265" s="110"/>
      <c r="O265" s="110"/>
    </row>
    <row r="266" spans="1:15" x14ac:dyDescent="0.3">
      <c r="A266" s="58" t="str">
        <f>Schedule!E264</f>
        <v>A005300</v>
      </c>
      <c r="B266" s="58" t="s">
        <v>1770</v>
      </c>
      <c r="C266" s="58" t="str">
        <f t="shared" si="9"/>
        <v>005300 KS</v>
      </c>
      <c r="D266" s="58" t="s">
        <v>3671</v>
      </c>
      <c r="E266" s="110" t="s">
        <v>3527</v>
      </c>
      <c r="F266" s="110" t="str">
        <f>IFERROR(VLOOKUP(C266,[1]evdl298!$B:$D,3,0),"")</f>
        <v>E</v>
      </c>
      <c r="G266" s="110">
        <f>IFERROR(VLOOKUP(C266,[1]evdl298!$B:$C,2,0),"")</f>
        <v>41500</v>
      </c>
      <c r="H266" s="110" t="str">
        <f t="shared" si="10"/>
        <v>E</v>
      </c>
      <c r="I266" s="110">
        <f t="shared" si="11"/>
        <v>41500</v>
      </c>
      <c r="J266" s="110"/>
      <c r="K266" s="110"/>
      <c r="M266" s="110"/>
      <c r="O266" s="110"/>
    </row>
    <row r="267" spans="1:15" x14ac:dyDescent="0.3">
      <c r="A267" s="58" t="str">
        <f>Schedule!E265</f>
        <v>A005320</v>
      </c>
      <c r="B267" s="58" t="s">
        <v>1771</v>
      </c>
      <c r="C267" s="58" t="str">
        <f t="shared" si="9"/>
        <v>005320 KS</v>
      </c>
      <c r="D267" s="58" t="s">
        <v>3671</v>
      </c>
      <c r="E267" s="110" t="s">
        <v>3527</v>
      </c>
      <c r="F267" s="110" t="str">
        <f>IFERROR(VLOOKUP(C267,[1]evdl298!$B:$D,3,0),"")</f>
        <v/>
      </c>
      <c r="G267" s="110" t="str">
        <f>IFERROR(VLOOKUP(C267,[1]evdl298!$B:$C,2,0),"")</f>
        <v/>
      </c>
      <c r="H267" s="110" t="str">
        <f t="shared" si="10"/>
        <v/>
      </c>
      <c r="I267" s="110" t="str">
        <f t="shared" si="11"/>
        <v/>
      </c>
      <c r="J267" s="110"/>
      <c r="K267" s="110"/>
      <c r="M267" s="110"/>
      <c r="O267" s="110"/>
    </row>
    <row r="268" spans="1:15" x14ac:dyDescent="0.3">
      <c r="A268" s="58" t="str">
        <f>Schedule!E266</f>
        <v>A005360</v>
      </c>
      <c r="B268" s="58" t="s">
        <v>1772</v>
      </c>
      <c r="C268" s="58" t="str">
        <f t="shared" si="9"/>
        <v>005360 KS</v>
      </c>
      <c r="D268" s="58" t="s">
        <v>3671</v>
      </c>
      <c r="E268" s="110" t="s">
        <v>3527</v>
      </c>
      <c r="F268" s="110" t="str">
        <f>IFERROR(VLOOKUP(C268,[1]evdl298!$B:$D,3,0),"")</f>
        <v>E</v>
      </c>
      <c r="G268" s="110">
        <f>IFERROR(VLOOKUP(C268,[1]evdl298!$B:$C,2,0),"")</f>
        <v>41474</v>
      </c>
      <c r="H268" s="110" t="str">
        <f t="shared" si="10"/>
        <v>E</v>
      </c>
      <c r="I268" s="110">
        <f t="shared" si="11"/>
        <v>41474</v>
      </c>
      <c r="J268" s="110"/>
      <c r="K268" s="110"/>
      <c r="M268" s="110"/>
      <c r="O268" s="110"/>
    </row>
    <row r="269" spans="1:15" x14ac:dyDescent="0.3">
      <c r="A269" s="58" t="str">
        <f>Schedule!E267</f>
        <v>A005380</v>
      </c>
      <c r="B269" s="58" t="s">
        <v>1773</v>
      </c>
      <c r="C269" s="58" t="str">
        <f t="shared" si="9"/>
        <v>005380 KS</v>
      </c>
      <c r="D269" s="58" t="s">
        <v>3671</v>
      </c>
      <c r="E269" s="110" t="s">
        <v>3679</v>
      </c>
      <c r="F269" s="110" t="str">
        <f>IFERROR(VLOOKUP(C269,[1]evdl298!$B:$D,3,0),"")</f>
        <v>E</v>
      </c>
      <c r="G269" s="110">
        <f>IFERROR(VLOOKUP(C269,[1]evdl298!$B:$C,2,0),"")</f>
        <v>41481</v>
      </c>
      <c r="H269" s="110" t="str">
        <f t="shared" si="10"/>
        <v>E</v>
      </c>
      <c r="I269" s="110">
        <f t="shared" si="11"/>
        <v>41481</v>
      </c>
      <c r="J269" s="110"/>
      <c r="K269" s="110"/>
      <c r="M269" s="110"/>
      <c r="O269" s="110"/>
    </row>
    <row r="270" spans="1:15" x14ac:dyDescent="0.3">
      <c r="A270" s="58" t="str">
        <f>Schedule!E268</f>
        <v>A005390</v>
      </c>
      <c r="B270" s="58" t="s">
        <v>1774</v>
      </c>
      <c r="C270" s="58" t="str">
        <f t="shared" si="9"/>
        <v>005390 KS</v>
      </c>
      <c r="D270" s="58" t="s">
        <v>3671</v>
      </c>
      <c r="E270" s="110" t="s">
        <v>3527</v>
      </c>
      <c r="F270" s="110" t="str">
        <f>IFERROR(VLOOKUP(C270,[1]evdl298!$B:$D,3,0),"")</f>
        <v/>
      </c>
      <c r="G270" s="110" t="str">
        <f>IFERROR(VLOOKUP(C270,[1]evdl298!$B:$C,2,0),"")</f>
        <v/>
      </c>
      <c r="H270" s="110" t="str">
        <f t="shared" si="10"/>
        <v/>
      </c>
      <c r="I270" s="110" t="str">
        <f t="shared" si="11"/>
        <v/>
      </c>
      <c r="J270" s="110"/>
      <c r="K270" s="110"/>
      <c r="M270" s="110"/>
      <c r="O270" s="110"/>
    </row>
    <row r="271" spans="1:15" x14ac:dyDescent="0.3">
      <c r="A271" s="58" t="str">
        <f>Schedule!E269</f>
        <v>A005420</v>
      </c>
      <c r="B271" s="58" t="s">
        <v>1775</v>
      </c>
      <c r="C271" s="58" t="str">
        <f t="shared" si="9"/>
        <v>005420 KS</v>
      </c>
      <c r="D271" s="58" t="s">
        <v>3671</v>
      </c>
      <c r="E271" s="110" t="s">
        <v>3527</v>
      </c>
      <c r="F271" s="110" t="str">
        <f>IFERROR(VLOOKUP(C271,[1]evdl298!$B:$D,3,0),"")</f>
        <v/>
      </c>
      <c r="G271" s="110" t="str">
        <f>IFERROR(VLOOKUP(C271,[1]evdl298!$B:$C,2,0),"")</f>
        <v/>
      </c>
      <c r="H271" s="110" t="str">
        <f t="shared" si="10"/>
        <v/>
      </c>
      <c r="I271" s="110" t="str">
        <f t="shared" si="11"/>
        <v/>
      </c>
      <c r="J271" s="110"/>
      <c r="K271" s="110"/>
      <c r="M271" s="110"/>
      <c r="O271" s="110"/>
    </row>
    <row r="272" spans="1:15" x14ac:dyDescent="0.3">
      <c r="A272" s="58" t="str">
        <f>Schedule!E270</f>
        <v>A005430</v>
      </c>
      <c r="B272" s="58" t="s">
        <v>1776</v>
      </c>
      <c r="C272" s="58" t="str">
        <f t="shared" si="9"/>
        <v>005430 KS</v>
      </c>
      <c r="D272" s="58" t="s">
        <v>3671</v>
      </c>
      <c r="E272" s="110" t="s">
        <v>3527</v>
      </c>
      <c r="F272" s="110" t="str">
        <f>IFERROR(VLOOKUP(C272,[1]evdl298!$B:$D,3,0),"")</f>
        <v>E</v>
      </c>
      <c r="G272" s="110">
        <f>IFERROR(VLOOKUP(C272,[1]evdl298!$B:$C,2,0),"")</f>
        <v>41488</v>
      </c>
      <c r="H272" s="110" t="str">
        <f t="shared" si="10"/>
        <v>E</v>
      </c>
      <c r="I272" s="110">
        <f t="shared" si="11"/>
        <v>41488</v>
      </c>
      <c r="J272" s="110"/>
      <c r="K272" s="110"/>
      <c r="M272" s="110"/>
      <c r="O272" s="110"/>
    </row>
    <row r="273" spans="1:15" x14ac:dyDescent="0.3">
      <c r="A273" s="58" t="str">
        <f>Schedule!E271</f>
        <v>A005440</v>
      </c>
      <c r="B273" s="58" t="s">
        <v>1777</v>
      </c>
      <c r="C273" s="58" t="str">
        <f t="shared" ref="C273:C336" si="12">RIGHT(A273,6)&amp;" KS"</f>
        <v>005440 KS</v>
      </c>
      <c r="D273" s="58" t="s">
        <v>3671</v>
      </c>
      <c r="E273" s="110" t="s">
        <v>3527</v>
      </c>
      <c r="F273" s="110" t="str">
        <f>IFERROR(VLOOKUP(C273,[1]evdl298!$B:$D,3,0),"")</f>
        <v>E</v>
      </c>
      <c r="G273" s="110">
        <f>IFERROR(VLOOKUP(C273,[1]evdl298!$B:$C,2,0),"")</f>
        <v>41515</v>
      </c>
      <c r="H273" s="110" t="str">
        <f t="shared" ref="H273:H336" si="13">F273</f>
        <v>E</v>
      </c>
      <c r="I273" s="110">
        <f t="shared" ref="I273:I336" si="14">IF(ISNUMBER(G273),G273,E273)</f>
        <v>41515</v>
      </c>
      <c r="J273" s="110"/>
      <c r="K273" s="110"/>
      <c r="M273" s="110"/>
      <c r="O273" s="110"/>
    </row>
    <row r="274" spans="1:15" x14ac:dyDescent="0.3">
      <c r="A274" s="58" t="str">
        <f>Schedule!E272</f>
        <v>A005450</v>
      </c>
      <c r="B274" s="58" t="s">
        <v>1778</v>
      </c>
      <c r="C274" s="58" t="str">
        <f t="shared" si="12"/>
        <v>005450 KS</v>
      </c>
      <c r="D274" s="58" t="s">
        <v>3671</v>
      </c>
      <c r="E274" s="110" t="s">
        <v>3527</v>
      </c>
      <c r="F274" s="110" t="str">
        <f>IFERROR(VLOOKUP(C274,[1]evdl298!$B:$D,3,0),"")</f>
        <v/>
      </c>
      <c r="G274" s="110" t="str">
        <f>IFERROR(VLOOKUP(C274,[1]evdl298!$B:$C,2,0),"")</f>
        <v/>
      </c>
      <c r="H274" s="110" t="str">
        <f t="shared" si="13"/>
        <v/>
      </c>
      <c r="I274" s="110" t="str">
        <f t="shared" si="14"/>
        <v/>
      </c>
      <c r="J274" s="110"/>
      <c r="K274" s="110"/>
      <c r="M274" s="110"/>
      <c r="O274" s="110"/>
    </row>
    <row r="275" spans="1:15" x14ac:dyDescent="0.3">
      <c r="A275" s="58" t="str">
        <f>Schedule!E273</f>
        <v>A005490</v>
      </c>
      <c r="B275" s="58" t="s">
        <v>1779</v>
      </c>
      <c r="C275" s="58" t="str">
        <f t="shared" si="12"/>
        <v>005490 KS</v>
      </c>
      <c r="D275" s="58" t="s">
        <v>3671</v>
      </c>
      <c r="E275" s="110" t="s">
        <v>3686</v>
      </c>
      <c r="F275" s="110" t="str">
        <f>IFERROR(VLOOKUP(C275,[1]evdl298!$B:$D,3,0),"")</f>
        <v>E</v>
      </c>
      <c r="G275" s="110">
        <f>IFERROR(VLOOKUP(C275,[1]evdl298!$B:$C,2,0),"")</f>
        <v>41479</v>
      </c>
      <c r="H275" s="110" t="str">
        <f t="shared" si="13"/>
        <v>E</v>
      </c>
      <c r="I275" s="110">
        <f t="shared" si="14"/>
        <v>41479</v>
      </c>
      <c r="J275" s="110"/>
      <c r="K275" s="110"/>
      <c r="M275" s="110"/>
      <c r="O275" s="110"/>
    </row>
    <row r="276" spans="1:15" x14ac:dyDescent="0.3">
      <c r="A276" s="58" t="str">
        <f>Schedule!E274</f>
        <v>A005500</v>
      </c>
      <c r="B276" s="58" t="s">
        <v>1780</v>
      </c>
      <c r="C276" s="58" t="str">
        <f t="shared" si="12"/>
        <v>005500 KS</v>
      </c>
      <c r="D276" s="58" t="s">
        <v>3671</v>
      </c>
      <c r="E276" s="110" t="s">
        <v>3527</v>
      </c>
      <c r="F276" s="110" t="str">
        <f>IFERROR(VLOOKUP(C276,[1]evdl298!$B:$D,3,0),"")</f>
        <v>E</v>
      </c>
      <c r="G276" s="110">
        <f>IFERROR(VLOOKUP(C276,[1]evdl298!$B:$C,2,0),"")</f>
        <v>41500</v>
      </c>
      <c r="H276" s="110" t="str">
        <f t="shared" si="13"/>
        <v>E</v>
      </c>
      <c r="I276" s="110">
        <f t="shared" si="14"/>
        <v>41500</v>
      </c>
      <c r="J276" s="110"/>
      <c r="K276" s="110"/>
      <c r="M276" s="110"/>
      <c r="O276" s="110"/>
    </row>
    <row r="277" spans="1:15" x14ac:dyDescent="0.3">
      <c r="A277" s="58" t="str">
        <f>Schedule!E275</f>
        <v>A005560</v>
      </c>
      <c r="B277" s="58" t="s">
        <v>1781</v>
      </c>
      <c r="C277" s="58" t="str">
        <f t="shared" si="12"/>
        <v>005560 KS</v>
      </c>
      <c r="D277" s="58" t="s">
        <v>3671</v>
      </c>
      <c r="E277" s="110" t="s">
        <v>3527</v>
      </c>
      <c r="F277" s="110" t="str">
        <f>IFERROR(VLOOKUP(C277,[1]evdl298!$B:$D,3,0),"")</f>
        <v>E</v>
      </c>
      <c r="G277" s="110">
        <f>IFERROR(VLOOKUP(C277,[1]evdl298!$B:$C,2,0),"")</f>
        <v>41515</v>
      </c>
      <c r="H277" s="110" t="str">
        <f t="shared" si="13"/>
        <v>E</v>
      </c>
      <c r="I277" s="110">
        <f t="shared" si="14"/>
        <v>41515</v>
      </c>
      <c r="J277" s="110"/>
      <c r="K277" s="110"/>
      <c r="M277" s="110"/>
      <c r="O277" s="110"/>
    </row>
    <row r="278" spans="1:15" x14ac:dyDescent="0.3">
      <c r="A278" s="58" t="str">
        <f>Schedule!E276</f>
        <v>A005610</v>
      </c>
      <c r="B278" s="58" t="s">
        <v>1782</v>
      </c>
      <c r="C278" s="58" t="str">
        <f t="shared" si="12"/>
        <v>005610 KS</v>
      </c>
      <c r="D278" s="58" t="s">
        <v>3671</v>
      </c>
      <c r="E278" s="110" t="s">
        <v>3527</v>
      </c>
      <c r="F278" s="110" t="str">
        <f>IFERROR(VLOOKUP(C278,[1]evdl298!$B:$D,3,0),"")</f>
        <v/>
      </c>
      <c r="G278" s="110" t="str">
        <f>IFERROR(VLOOKUP(C278,[1]evdl298!$B:$C,2,0),"")</f>
        <v/>
      </c>
      <c r="H278" s="110" t="str">
        <f t="shared" si="13"/>
        <v/>
      </c>
      <c r="I278" s="110" t="str">
        <f t="shared" si="14"/>
        <v/>
      </c>
      <c r="J278" s="110"/>
      <c r="K278" s="110"/>
      <c r="M278" s="110"/>
      <c r="O278" s="110"/>
    </row>
    <row r="279" spans="1:15" x14ac:dyDescent="0.3">
      <c r="A279" s="58" t="str">
        <f>Schedule!E277</f>
        <v>A005620</v>
      </c>
      <c r="B279" s="58" t="s">
        <v>1783</v>
      </c>
      <c r="C279" s="58" t="str">
        <f t="shared" si="12"/>
        <v>005620 KS</v>
      </c>
      <c r="D279" s="58" t="s">
        <v>3671</v>
      </c>
      <c r="E279" s="110" t="s">
        <v>3527</v>
      </c>
      <c r="F279" s="110" t="str">
        <f>IFERROR(VLOOKUP(C279,[1]evdl298!$B:$D,3,0),"")</f>
        <v>E</v>
      </c>
      <c r="G279" s="110">
        <f>IFERROR(VLOOKUP(C279,[1]evdl298!$B:$C,2,0),"")</f>
        <v>41500</v>
      </c>
      <c r="H279" s="110" t="str">
        <f t="shared" si="13"/>
        <v>E</v>
      </c>
      <c r="I279" s="110">
        <f t="shared" si="14"/>
        <v>41500</v>
      </c>
      <c r="J279" s="110"/>
      <c r="K279" s="110"/>
      <c r="M279" s="110"/>
      <c r="O279" s="110"/>
    </row>
    <row r="280" spans="1:15" x14ac:dyDescent="0.3">
      <c r="A280" s="58" t="str">
        <f>Schedule!E278</f>
        <v>A005670</v>
      </c>
      <c r="B280" s="58" t="s">
        <v>1784</v>
      </c>
      <c r="C280" s="58" t="str">
        <f t="shared" si="12"/>
        <v>005670 KS</v>
      </c>
      <c r="D280" s="58" t="s">
        <v>3671</v>
      </c>
      <c r="E280" s="110" t="s">
        <v>3527</v>
      </c>
      <c r="F280" s="110" t="str">
        <f>IFERROR(VLOOKUP(C280,[1]evdl298!$B:$D,3,0),"")</f>
        <v>E</v>
      </c>
      <c r="G280" s="110">
        <f>IFERROR(VLOOKUP(C280,[1]evdl298!$B:$C,2,0),"")</f>
        <v>41515</v>
      </c>
      <c r="H280" s="110" t="str">
        <f t="shared" si="13"/>
        <v>E</v>
      </c>
      <c r="I280" s="110">
        <f t="shared" si="14"/>
        <v>41515</v>
      </c>
      <c r="J280" s="110"/>
      <c r="K280" s="110"/>
      <c r="M280" s="110"/>
      <c r="O280" s="110"/>
    </row>
    <row r="281" spans="1:15" x14ac:dyDescent="0.3">
      <c r="A281" s="58" t="str">
        <f>Schedule!E279</f>
        <v>A005680</v>
      </c>
      <c r="B281" s="58" t="s">
        <v>1785</v>
      </c>
      <c r="C281" s="58" t="str">
        <f t="shared" si="12"/>
        <v>005680 KS</v>
      </c>
      <c r="D281" s="58" t="s">
        <v>3671</v>
      </c>
      <c r="E281" s="110" t="s">
        <v>3527</v>
      </c>
      <c r="F281" s="110" t="str">
        <f>IFERROR(VLOOKUP(C281,[1]evdl298!$B:$D,3,0),"")</f>
        <v>E</v>
      </c>
      <c r="G281" s="110">
        <f>IFERROR(VLOOKUP(C281,[1]evdl298!$B:$C,2,0),"")</f>
        <v>41515</v>
      </c>
      <c r="H281" s="110" t="str">
        <f t="shared" si="13"/>
        <v>E</v>
      </c>
      <c r="I281" s="110">
        <f t="shared" si="14"/>
        <v>41515</v>
      </c>
      <c r="J281" s="110"/>
      <c r="K281" s="110"/>
      <c r="M281" s="110"/>
      <c r="O281" s="110"/>
    </row>
    <row r="282" spans="1:15" x14ac:dyDescent="0.3">
      <c r="A282" s="58" t="str">
        <f>Schedule!E280</f>
        <v>A005690</v>
      </c>
      <c r="B282" s="58" t="s">
        <v>1786</v>
      </c>
      <c r="C282" s="58" t="str">
        <f t="shared" si="12"/>
        <v>005690 KS</v>
      </c>
      <c r="D282" s="58" t="s">
        <v>3671</v>
      </c>
      <c r="E282" s="110" t="s">
        <v>3527</v>
      </c>
      <c r="F282" s="110" t="str">
        <f>IFERROR(VLOOKUP(C282,[1]evdl298!$B:$D,3,0),"")</f>
        <v/>
      </c>
      <c r="G282" s="110" t="str">
        <f>IFERROR(VLOOKUP(C282,[1]evdl298!$B:$C,2,0),"")</f>
        <v/>
      </c>
      <c r="H282" s="110" t="str">
        <f t="shared" si="13"/>
        <v/>
      </c>
      <c r="I282" s="110" t="str">
        <f t="shared" si="14"/>
        <v/>
      </c>
      <c r="J282" s="110"/>
      <c r="K282" s="110"/>
      <c r="M282" s="110"/>
      <c r="O282" s="110"/>
    </row>
    <row r="283" spans="1:15" x14ac:dyDescent="0.3">
      <c r="A283" s="58" t="str">
        <f>Schedule!E281</f>
        <v>A005710</v>
      </c>
      <c r="B283" s="58" t="s">
        <v>1787</v>
      </c>
      <c r="C283" s="58" t="str">
        <f t="shared" si="12"/>
        <v>005710 KS</v>
      </c>
      <c r="D283" s="58" t="s">
        <v>3671</v>
      </c>
      <c r="E283" s="110" t="s">
        <v>3527</v>
      </c>
      <c r="F283" s="110" t="str">
        <f>IFERROR(VLOOKUP(C283,[1]evdl298!$B:$D,3,0),"")</f>
        <v/>
      </c>
      <c r="G283" s="110" t="str">
        <f>IFERROR(VLOOKUP(C283,[1]evdl298!$B:$C,2,0),"")</f>
        <v/>
      </c>
      <c r="H283" s="110" t="str">
        <f t="shared" si="13"/>
        <v/>
      </c>
      <c r="I283" s="110" t="str">
        <f t="shared" si="14"/>
        <v/>
      </c>
      <c r="J283" s="110"/>
      <c r="K283" s="110"/>
      <c r="M283" s="110"/>
      <c r="O283" s="110"/>
    </row>
    <row r="284" spans="1:15" x14ac:dyDescent="0.3">
      <c r="A284" s="58" t="str">
        <f>Schedule!E282</f>
        <v>A005720</v>
      </c>
      <c r="B284" s="58" t="s">
        <v>1788</v>
      </c>
      <c r="C284" s="58" t="str">
        <f t="shared" si="12"/>
        <v>005720 KS</v>
      </c>
      <c r="D284" s="58" t="s">
        <v>3671</v>
      </c>
      <c r="E284" s="110" t="s">
        <v>3527</v>
      </c>
      <c r="F284" s="110" t="str">
        <f>IFERROR(VLOOKUP(C284,[1]evdl298!$B:$D,3,0),"")</f>
        <v/>
      </c>
      <c r="G284" s="110" t="str">
        <f>IFERROR(VLOOKUP(C284,[1]evdl298!$B:$C,2,0),"")</f>
        <v/>
      </c>
      <c r="H284" s="110" t="str">
        <f t="shared" si="13"/>
        <v/>
      </c>
      <c r="I284" s="110" t="str">
        <f t="shared" si="14"/>
        <v/>
      </c>
      <c r="J284" s="110"/>
      <c r="K284" s="110"/>
      <c r="M284" s="110"/>
      <c r="O284" s="110"/>
    </row>
    <row r="285" spans="1:15" x14ac:dyDescent="0.3">
      <c r="A285" s="58" t="str">
        <f>Schedule!E283</f>
        <v>A005740</v>
      </c>
      <c r="B285" s="58" t="s">
        <v>1789</v>
      </c>
      <c r="C285" s="58" t="str">
        <f t="shared" si="12"/>
        <v>005740 KS</v>
      </c>
      <c r="D285" s="58" t="s">
        <v>3671</v>
      </c>
      <c r="E285" s="110" t="s">
        <v>3527</v>
      </c>
      <c r="F285" s="110" t="str">
        <f>IFERROR(VLOOKUP(C285,[1]evdl298!$B:$D,3,0),"")</f>
        <v/>
      </c>
      <c r="G285" s="110" t="str">
        <f>IFERROR(VLOOKUP(C285,[1]evdl298!$B:$C,2,0),"")</f>
        <v/>
      </c>
      <c r="H285" s="110" t="str">
        <f t="shared" si="13"/>
        <v/>
      </c>
      <c r="I285" s="110" t="str">
        <f t="shared" si="14"/>
        <v/>
      </c>
      <c r="J285" s="110"/>
      <c r="K285" s="110"/>
      <c r="M285" s="110"/>
      <c r="O285" s="110"/>
    </row>
    <row r="286" spans="1:15" x14ac:dyDescent="0.3">
      <c r="A286" s="58" t="str">
        <f>Schedule!E284</f>
        <v>A005750</v>
      </c>
      <c r="B286" s="58" t="s">
        <v>1790</v>
      </c>
      <c r="C286" s="58" t="str">
        <f t="shared" si="12"/>
        <v>005750 KS</v>
      </c>
      <c r="D286" s="58" t="s">
        <v>3671</v>
      </c>
      <c r="E286" s="110" t="s">
        <v>3527</v>
      </c>
      <c r="F286" s="110" t="str">
        <f>IFERROR(VLOOKUP(C286,[1]evdl298!$B:$D,3,0),"")</f>
        <v/>
      </c>
      <c r="G286" s="110" t="str">
        <f>IFERROR(VLOOKUP(C286,[1]evdl298!$B:$C,2,0),"")</f>
        <v/>
      </c>
      <c r="H286" s="110" t="str">
        <f t="shared" si="13"/>
        <v/>
      </c>
      <c r="I286" s="110" t="str">
        <f t="shared" si="14"/>
        <v/>
      </c>
      <c r="J286" s="110"/>
      <c r="K286" s="110"/>
      <c r="M286" s="110"/>
      <c r="O286" s="110"/>
    </row>
    <row r="287" spans="1:15" x14ac:dyDescent="0.3">
      <c r="A287" s="58" t="str">
        <f>Schedule!E285</f>
        <v>A005800</v>
      </c>
      <c r="B287" s="58" t="s">
        <v>1791</v>
      </c>
      <c r="C287" s="58" t="str">
        <f t="shared" si="12"/>
        <v>005800 KS</v>
      </c>
      <c r="D287" s="58" t="s">
        <v>3671</v>
      </c>
      <c r="E287" s="110" t="s">
        <v>3527</v>
      </c>
      <c r="F287" s="110" t="str">
        <f>IFERROR(VLOOKUP(C287,[1]evdl298!$B:$D,3,0),"")</f>
        <v>E</v>
      </c>
      <c r="G287" s="110">
        <f>IFERROR(VLOOKUP(C287,[1]evdl298!$B:$C,2,0),"")</f>
        <v>41500</v>
      </c>
      <c r="H287" s="110" t="str">
        <f t="shared" si="13"/>
        <v>E</v>
      </c>
      <c r="I287" s="110">
        <f t="shared" si="14"/>
        <v>41500</v>
      </c>
      <c r="J287" s="110"/>
      <c r="K287" s="110"/>
      <c r="M287" s="110"/>
      <c r="O287" s="110"/>
    </row>
    <row r="288" spans="1:15" x14ac:dyDescent="0.3">
      <c r="A288" s="58" t="str">
        <f>Schedule!E286</f>
        <v>A005810</v>
      </c>
      <c r="B288" s="58" t="s">
        <v>1792</v>
      </c>
      <c r="C288" s="58" t="str">
        <f t="shared" si="12"/>
        <v>005810 KS</v>
      </c>
      <c r="D288" s="58" t="s">
        <v>3671</v>
      </c>
      <c r="E288" s="110" t="s">
        <v>3527</v>
      </c>
      <c r="F288" s="110" t="str">
        <f>IFERROR(VLOOKUP(C288,[1]evdl298!$B:$D,3,0),"")</f>
        <v>E</v>
      </c>
      <c r="G288" s="110">
        <f>IFERROR(VLOOKUP(C288,[1]evdl298!$B:$C,2,0),"")</f>
        <v>41500</v>
      </c>
      <c r="H288" s="110" t="str">
        <f t="shared" si="13"/>
        <v>E</v>
      </c>
      <c r="I288" s="110">
        <f t="shared" si="14"/>
        <v>41500</v>
      </c>
      <c r="J288" s="110"/>
      <c r="K288" s="110"/>
      <c r="M288" s="110"/>
      <c r="O288" s="110"/>
    </row>
    <row r="289" spans="1:15" x14ac:dyDescent="0.3">
      <c r="A289" s="58" t="str">
        <f>Schedule!E287</f>
        <v>A005820</v>
      </c>
      <c r="B289" s="58" t="s">
        <v>1793</v>
      </c>
      <c r="C289" s="58" t="str">
        <f t="shared" si="12"/>
        <v>005820 KS</v>
      </c>
      <c r="D289" s="58" t="s">
        <v>3671</v>
      </c>
      <c r="E289" s="110" t="s">
        <v>3527</v>
      </c>
      <c r="F289" s="110" t="str">
        <f>IFERROR(VLOOKUP(C289,[1]evdl298!$B:$D,3,0),"")</f>
        <v>E</v>
      </c>
      <c r="G289" s="110">
        <f>IFERROR(VLOOKUP(C289,[1]evdl298!$B:$C,2,0),"")</f>
        <v>41500</v>
      </c>
      <c r="H289" s="110" t="str">
        <f t="shared" si="13"/>
        <v>E</v>
      </c>
      <c r="I289" s="110">
        <f t="shared" si="14"/>
        <v>41500</v>
      </c>
      <c r="J289" s="110"/>
      <c r="K289" s="110"/>
      <c r="M289" s="110"/>
      <c r="O289" s="110"/>
    </row>
    <row r="290" spans="1:15" x14ac:dyDescent="0.3">
      <c r="A290" s="58" t="str">
        <f>Schedule!E288</f>
        <v>A005830</v>
      </c>
      <c r="B290" s="58" t="s">
        <v>1794</v>
      </c>
      <c r="C290" s="58" t="str">
        <f t="shared" si="12"/>
        <v>005830 KS</v>
      </c>
      <c r="D290" s="58" t="s">
        <v>3671</v>
      </c>
      <c r="E290" s="110" t="s">
        <v>3674</v>
      </c>
      <c r="F290" s="110" t="str">
        <f>IFERROR(VLOOKUP(C290,[1]evdl298!$B:$D,3,0),"")</f>
        <v>E</v>
      </c>
      <c r="G290" s="110">
        <f>IFERROR(VLOOKUP(C290,[1]evdl298!$B:$C,2,0),"")</f>
        <v>41471</v>
      </c>
      <c r="H290" s="110" t="str">
        <f t="shared" si="13"/>
        <v>E</v>
      </c>
      <c r="I290" s="110">
        <f t="shared" si="14"/>
        <v>41471</v>
      </c>
      <c r="J290" s="110"/>
      <c r="K290" s="110"/>
      <c r="M290" s="110"/>
      <c r="O290" s="110"/>
    </row>
    <row r="291" spans="1:15" x14ac:dyDescent="0.3">
      <c r="A291" s="58" t="str">
        <f>Schedule!E289</f>
        <v>A005850</v>
      </c>
      <c r="B291" s="58" t="s">
        <v>1795</v>
      </c>
      <c r="C291" s="58" t="str">
        <f t="shared" si="12"/>
        <v>005850 KS</v>
      </c>
      <c r="D291" s="58" t="s">
        <v>3671</v>
      </c>
      <c r="E291" s="110" t="s">
        <v>3527</v>
      </c>
      <c r="F291" s="110" t="str">
        <f>IFERROR(VLOOKUP(C291,[1]evdl298!$B:$D,3,0),"")</f>
        <v>E</v>
      </c>
      <c r="G291" s="110">
        <f>IFERROR(VLOOKUP(C291,[1]evdl298!$B:$C,2,0),"")</f>
        <v>41515</v>
      </c>
      <c r="H291" s="110" t="str">
        <f t="shared" si="13"/>
        <v>E</v>
      </c>
      <c r="I291" s="110">
        <f t="shared" si="14"/>
        <v>41515</v>
      </c>
      <c r="J291" s="110"/>
      <c r="K291" s="110"/>
      <c r="M291" s="110"/>
      <c r="O291" s="110"/>
    </row>
    <row r="292" spans="1:15" x14ac:dyDescent="0.3">
      <c r="A292" s="58" t="str">
        <f>Schedule!E290</f>
        <v>A005860</v>
      </c>
      <c r="B292" s="58" t="s">
        <v>1796</v>
      </c>
      <c r="C292" s="58" t="str">
        <f t="shared" si="12"/>
        <v>005860 KS</v>
      </c>
      <c r="D292" s="58" t="s">
        <v>3671</v>
      </c>
      <c r="E292" s="110" t="s">
        <v>3527</v>
      </c>
      <c r="F292" s="110" t="str">
        <f>IFERROR(VLOOKUP(C292,[1]evdl298!$B:$D,3,0),"")</f>
        <v/>
      </c>
      <c r="G292" s="110" t="str">
        <f>IFERROR(VLOOKUP(C292,[1]evdl298!$B:$C,2,0),"")</f>
        <v/>
      </c>
      <c r="H292" s="110" t="str">
        <f t="shared" si="13"/>
        <v/>
      </c>
      <c r="I292" s="110" t="str">
        <f t="shared" si="14"/>
        <v/>
      </c>
      <c r="J292" s="110"/>
      <c r="K292" s="110"/>
      <c r="M292" s="110"/>
      <c r="O292" s="110"/>
    </row>
    <row r="293" spans="1:15" x14ac:dyDescent="0.3">
      <c r="A293" s="58" t="str">
        <f>Schedule!E291</f>
        <v>A005870</v>
      </c>
      <c r="B293" s="58" t="s">
        <v>1797</v>
      </c>
      <c r="C293" s="58" t="str">
        <f t="shared" si="12"/>
        <v>005870 KS</v>
      </c>
      <c r="D293" s="58" t="s">
        <v>3671</v>
      </c>
      <c r="E293" s="110" t="s">
        <v>3527</v>
      </c>
      <c r="F293" s="110" t="str">
        <f>IFERROR(VLOOKUP(C293,[1]evdl298!$B:$D,3,0),"")</f>
        <v>E</v>
      </c>
      <c r="G293" s="110">
        <f>IFERROR(VLOOKUP(C293,[1]evdl298!$B:$C,2,0),"")</f>
        <v>41500</v>
      </c>
      <c r="H293" s="110" t="str">
        <f t="shared" si="13"/>
        <v>E</v>
      </c>
      <c r="I293" s="110">
        <f t="shared" si="14"/>
        <v>41500</v>
      </c>
      <c r="J293" s="110"/>
      <c r="K293" s="110"/>
      <c r="M293" s="110"/>
      <c r="O293" s="110"/>
    </row>
    <row r="294" spans="1:15" x14ac:dyDescent="0.3">
      <c r="A294" s="58" t="str">
        <f>Schedule!E292</f>
        <v>A005880</v>
      </c>
      <c r="B294" s="58" t="s">
        <v>1798</v>
      </c>
      <c r="C294" s="58" t="str">
        <f t="shared" si="12"/>
        <v>005880 KS</v>
      </c>
      <c r="D294" s="58" t="s">
        <v>3671</v>
      </c>
      <c r="E294" s="110" t="s">
        <v>3527</v>
      </c>
      <c r="F294" s="110" t="str">
        <f>IFERROR(VLOOKUP(C294,[1]evdl298!$B:$D,3,0),"")</f>
        <v>E</v>
      </c>
      <c r="G294" s="110">
        <f>IFERROR(VLOOKUP(C294,[1]evdl298!$B:$C,2,0),"")</f>
        <v>41500</v>
      </c>
      <c r="H294" s="110" t="str">
        <f t="shared" si="13"/>
        <v>E</v>
      </c>
      <c r="I294" s="110">
        <f t="shared" si="14"/>
        <v>41500</v>
      </c>
      <c r="J294" s="110"/>
      <c r="K294" s="110"/>
      <c r="M294" s="110"/>
      <c r="O294" s="110"/>
    </row>
    <row r="295" spans="1:15" x14ac:dyDescent="0.3">
      <c r="A295" s="58" t="str">
        <f>Schedule!E293</f>
        <v>A005900</v>
      </c>
      <c r="B295" s="58" t="s">
        <v>1799</v>
      </c>
      <c r="C295" s="58" t="str">
        <f t="shared" si="12"/>
        <v>005900 KS</v>
      </c>
      <c r="D295" s="58" t="s">
        <v>3671</v>
      </c>
      <c r="E295" s="110" t="s">
        <v>3527</v>
      </c>
      <c r="F295" s="110" t="str">
        <f>IFERROR(VLOOKUP(C295,[1]evdl298!$B:$D,3,0),"")</f>
        <v/>
      </c>
      <c r="G295" s="110" t="str">
        <f>IFERROR(VLOOKUP(C295,[1]evdl298!$B:$C,2,0),"")</f>
        <v/>
      </c>
      <c r="H295" s="110" t="str">
        <f t="shared" si="13"/>
        <v/>
      </c>
      <c r="I295" s="110" t="str">
        <f t="shared" si="14"/>
        <v/>
      </c>
      <c r="J295" s="110"/>
      <c r="K295" s="110"/>
      <c r="M295" s="110"/>
      <c r="O295" s="110"/>
    </row>
    <row r="296" spans="1:15" x14ac:dyDescent="0.3">
      <c r="A296" s="58" t="str">
        <f>Schedule!E294</f>
        <v>A005930</v>
      </c>
      <c r="B296" s="58" t="s">
        <v>1800</v>
      </c>
      <c r="C296" s="58" t="str">
        <f t="shared" si="12"/>
        <v>005930 KS</v>
      </c>
      <c r="D296" s="58" t="s">
        <v>3671</v>
      </c>
      <c r="E296" s="110" t="s">
        <v>3678</v>
      </c>
      <c r="F296" s="110" t="str">
        <f>IFERROR(VLOOKUP(C296,[1]evdl298!$B:$D,3,0),"")</f>
        <v>C</v>
      </c>
      <c r="G296" s="110">
        <f>IFERROR(VLOOKUP(C296,[1]evdl298!$B:$C,2,0),"")</f>
        <v>41460</v>
      </c>
      <c r="H296" s="110" t="str">
        <f t="shared" si="13"/>
        <v>C</v>
      </c>
      <c r="I296" s="110">
        <f t="shared" si="14"/>
        <v>41460</v>
      </c>
      <c r="J296" s="110"/>
      <c r="K296" s="110"/>
      <c r="M296" s="110"/>
      <c r="O296" s="110"/>
    </row>
    <row r="297" spans="1:15" x14ac:dyDescent="0.3">
      <c r="A297" s="58" t="str">
        <f>Schedule!E295</f>
        <v>A005940</v>
      </c>
      <c r="B297" s="58" t="s">
        <v>5</v>
      </c>
      <c r="C297" s="58" t="str">
        <f t="shared" si="12"/>
        <v>005940 KS</v>
      </c>
      <c r="D297" s="58" t="s">
        <v>3671</v>
      </c>
      <c r="E297" s="110" t="s">
        <v>3527</v>
      </c>
      <c r="F297" s="110" t="str">
        <f>IFERROR(VLOOKUP(C297,[1]evdl298!$B:$D,3,0),"")</f>
        <v>E</v>
      </c>
      <c r="G297" s="110">
        <f>IFERROR(VLOOKUP(C297,[1]evdl298!$B:$C,2,0),"")</f>
        <v>41500</v>
      </c>
      <c r="H297" s="110" t="str">
        <f t="shared" si="13"/>
        <v>E</v>
      </c>
      <c r="I297" s="110">
        <f t="shared" si="14"/>
        <v>41500</v>
      </c>
      <c r="J297" s="110"/>
      <c r="K297" s="110"/>
      <c r="M297" s="110"/>
      <c r="O297" s="110"/>
    </row>
    <row r="298" spans="1:15" x14ac:dyDescent="0.3">
      <c r="A298" s="58" t="str">
        <f>Schedule!E296</f>
        <v>A005950</v>
      </c>
      <c r="B298" s="58" t="s">
        <v>1801</v>
      </c>
      <c r="C298" s="58" t="str">
        <f t="shared" si="12"/>
        <v>005950 KS</v>
      </c>
      <c r="D298" s="58" t="s">
        <v>3671</v>
      </c>
      <c r="E298" s="110" t="s">
        <v>3527</v>
      </c>
      <c r="F298" s="110" t="str">
        <f>IFERROR(VLOOKUP(C298,[1]evdl298!$B:$D,3,0),"")</f>
        <v/>
      </c>
      <c r="G298" s="110" t="str">
        <f>IFERROR(VLOOKUP(C298,[1]evdl298!$B:$C,2,0),"")</f>
        <v/>
      </c>
      <c r="H298" s="110" t="str">
        <f t="shared" si="13"/>
        <v/>
      </c>
      <c r="I298" s="110" t="str">
        <f t="shared" si="14"/>
        <v/>
      </c>
      <c r="J298" s="110"/>
      <c r="K298" s="110"/>
      <c r="M298" s="110"/>
      <c r="O298" s="110"/>
    </row>
    <row r="299" spans="1:15" x14ac:dyDescent="0.3">
      <c r="A299" s="58" t="str">
        <f>Schedule!E297</f>
        <v>A005960</v>
      </c>
      <c r="B299" s="58" t="s">
        <v>1802</v>
      </c>
      <c r="C299" s="58" t="str">
        <f t="shared" si="12"/>
        <v>005960 KS</v>
      </c>
      <c r="D299" s="58" t="s">
        <v>3671</v>
      </c>
      <c r="E299" s="110" t="s">
        <v>3527</v>
      </c>
      <c r="F299" s="110" t="str">
        <f>IFERROR(VLOOKUP(C299,[1]evdl298!$B:$D,3,0),"")</f>
        <v>E</v>
      </c>
      <c r="G299" s="110">
        <f>IFERROR(VLOOKUP(C299,[1]evdl298!$B:$C,2,0),"")</f>
        <v>41500</v>
      </c>
      <c r="H299" s="110" t="str">
        <f t="shared" si="13"/>
        <v>E</v>
      </c>
      <c r="I299" s="110">
        <f t="shared" si="14"/>
        <v>41500</v>
      </c>
      <c r="J299" s="110"/>
      <c r="K299" s="110"/>
      <c r="M299" s="110"/>
      <c r="O299" s="110"/>
    </row>
    <row r="300" spans="1:15" x14ac:dyDescent="0.3">
      <c r="A300" s="58" t="str">
        <f>Schedule!E298</f>
        <v>A005980</v>
      </c>
      <c r="B300" s="58" t="s">
        <v>1803</v>
      </c>
      <c r="C300" s="58" t="str">
        <f t="shared" si="12"/>
        <v>005980 KS</v>
      </c>
      <c r="D300" s="58" t="s">
        <v>3671</v>
      </c>
      <c r="E300" s="110" t="s">
        <v>3527</v>
      </c>
      <c r="F300" s="110" t="str">
        <f>IFERROR(VLOOKUP(C300,[1]evdl298!$B:$D,3,0),"")</f>
        <v>E</v>
      </c>
      <c r="G300" s="110">
        <f>IFERROR(VLOOKUP(C300,[1]evdl298!$B:$C,2,0),"")</f>
        <v>41460</v>
      </c>
      <c r="H300" s="110" t="str">
        <f t="shared" si="13"/>
        <v>E</v>
      </c>
      <c r="I300" s="110">
        <f t="shared" si="14"/>
        <v>41460</v>
      </c>
      <c r="J300" s="110"/>
      <c r="K300" s="110"/>
      <c r="M300" s="110"/>
      <c r="O300" s="110"/>
    </row>
    <row r="301" spans="1:15" x14ac:dyDescent="0.3">
      <c r="A301" s="58" t="str">
        <f>Schedule!E299</f>
        <v>A005990</v>
      </c>
      <c r="B301" s="58" t="s">
        <v>1804</v>
      </c>
      <c r="C301" s="58" t="str">
        <f t="shared" si="12"/>
        <v>005990 KS</v>
      </c>
      <c r="D301" s="58" t="s">
        <v>3671</v>
      </c>
      <c r="E301" s="110" t="s">
        <v>3527</v>
      </c>
      <c r="F301" s="110" t="str">
        <f>IFERROR(VLOOKUP(C301,[1]evdl298!$B:$D,3,0),"")</f>
        <v/>
      </c>
      <c r="G301" s="110" t="str">
        <f>IFERROR(VLOOKUP(C301,[1]evdl298!$B:$C,2,0),"")</f>
        <v/>
      </c>
      <c r="H301" s="110" t="str">
        <f t="shared" si="13"/>
        <v/>
      </c>
      <c r="I301" s="110" t="str">
        <f t="shared" si="14"/>
        <v/>
      </c>
      <c r="J301" s="110"/>
      <c r="K301" s="110"/>
      <c r="M301" s="110"/>
      <c r="O301" s="110"/>
    </row>
    <row r="302" spans="1:15" x14ac:dyDescent="0.3">
      <c r="A302" s="58" t="str">
        <f>Schedule!E300</f>
        <v>A006040</v>
      </c>
      <c r="B302" s="58" t="s">
        <v>1805</v>
      </c>
      <c r="C302" s="58" t="str">
        <f t="shared" si="12"/>
        <v>006040 KS</v>
      </c>
      <c r="D302" s="58" t="s">
        <v>3671</v>
      </c>
      <c r="E302" s="110" t="s">
        <v>3688</v>
      </c>
      <c r="F302" s="110" t="str">
        <f>IFERROR(VLOOKUP(C302,[1]evdl298!$B:$D,3,0),"")</f>
        <v>E</v>
      </c>
      <c r="G302" s="110">
        <f>IFERROR(VLOOKUP(C302,[1]evdl298!$B:$C,2,0),"")</f>
        <v>41499</v>
      </c>
      <c r="H302" s="110" t="str">
        <f t="shared" si="13"/>
        <v>E</v>
      </c>
      <c r="I302" s="110">
        <f t="shared" si="14"/>
        <v>41499</v>
      </c>
      <c r="J302" s="110"/>
      <c r="K302" s="110"/>
      <c r="M302" s="110"/>
      <c r="O302" s="110"/>
    </row>
    <row r="303" spans="1:15" x14ac:dyDescent="0.3">
      <c r="A303" s="58" t="str">
        <f>Schedule!E301</f>
        <v>A006050</v>
      </c>
      <c r="B303" s="58" t="s">
        <v>1806</v>
      </c>
      <c r="C303" s="58" t="str">
        <f t="shared" si="12"/>
        <v>006050 KS</v>
      </c>
      <c r="D303" s="58" t="s">
        <v>3671</v>
      </c>
      <c r="E303" s="110" t="s">
        <v>3527</v>
      </c>
      <c r="F303" s="110" t="str">
        <f>IFERROR(VLOOKUP(C303,[1]evdl298!$B:$D,3,0),"")</f>
        <v>E</v>
      </c>
      <c r="G303" s="110">
        <f>IFERROR(VLOOKUP(C303,[1]evdl298!$B:$C,2,0),"")</f>
        <v>41500</v>
      </c>
      <c r="H303" s="110" t="str">
        <f t="shared" si="13"/>
        <v>E</v>
      </c>
      <c r="I303" s="110">
        <f t="shared" si="14"/>
        <v>41500</v>
      </c>
      <c r="J303" s="110"/>
      <c r="K303" s="110"/>
      <c r="M303" s="110"/>
      <c r="O303" s="110"/>
    </row>
    <row r="304" spans="1:15" x14ac:dyDescent="0.3">
      <c r="A304" s="58" t="str">
        <f>Schedule!E302</f>
        <v>A006060</v>
      </c>
      <c r="B304" s="58" t="s">
        <v>1807</v>
      </c>
      <c r="C304" s="58" t="str">
        <f t="shared" si="12"/>
        <v>006060 KS</v>
      </c>
      <c r="D304" s="58" t="s">
        <v>3671</v>
      </c>
      <c r="E304" s="110" t="s">
        <v>3527</v>
      </c>
      <c r="F304" s="110" t="str">
        <f>IFERROR(VLOOKUP(C304,[1]evdl298!$B:$D,3,0),"")</f>
        <v/>
      </c>
      <c r="G304" s="110" t="str">
        <f>IFERROR(VLOOKUP(C304,[1]evdl298!$B:$C,2,0),"")</f>
        <v/>
      </c>
      <c r="H304" s="110" t="str">
        <f t="shared" si="13"/>
        <v/>
      </c>
      <c r="I304" s="110" t="str">
        <f t="shared" si="14"/>
        <v/>
      </c>
      <c r="J304" s="110"/>
      <c r="K304" s="110"/>
      <c r="M304" s="110"/>
      <c r="O304" s="110"/>
    </row>
    <row r="305" spans="1:15" x14ac:dyDescent="0.3">
      <c r="A305" s="58" t="str">
        <f>Schedule!E303</f>
        <v>A006090</v>
      </c>
      <c r="B305" s="58" t="s">
        <v>1808</v>
      </c>
      <c r="C305" s="58" t="str">
        <f t="shared" si="12"/>
        <v>006090 KS</v>
      </c>
      <c r="D305" s="58" t="s">
        <v>3671</v>
      </c>
      <c r="E305" s="110" t="s">
        <v>3527</v>
      </c>
      <c r="F305" s="110" t="str">
        <f>IFERROR(VLOOKUP(C305,[1]evdl298!$B:$D,3,0),"")</f>
        <v>E</v>
      </c>
      <c r="G305" s="110">
        <f>IFERROR(VLOOKUP(C305,[1]evdl298!$B:$C,2,0),"")</f>
        <v>41460</v>
      </c>
      <c r="H305" s="110" t="str">
        <f t="shared" si="13"/>
        <v>E</v>
      </c>
      <c r="I305" s="110">
        <f t="shared" si="14"/>
        <v>41460</v>
      </c>
      <c r="J305" s="110"/>
      <c r="K305" s="110"/>
      <c r="M305" s="110"/>
      <c r="O305" s="110"/>
    </row>
    <row r="306" spans="1:15" x14ac:dyDescent="0.3">
      <c r="A306" s="58" t="str">
        <f>Schedule!E304</f>
        <v>A006110</v>
      </c>
      <c r="B306" s="58" t="s">
        <v>1809</v>
      </c>
      <c r="C306" s="58" t="str">
        <f t="shared" si="12"/>
        <v>006110 KS</v>
      </c>
      <c r="D306" s="58" t="s">
        <v>3671</v>
      </c>
      <c r="E306" s="110" t="s">
        <v>3527</v>
      </c>
      <c r="F306" s="110" t="str">
        <f>IFERROR(VLOOKUP(C306,[1]evdl298!$B:$D,3,0),"")</f>
        <v>E</v>
      </c>
      <c r="G306" s="110">
        <f>IFERROR(VLOOKUP(C306,[1]evdl298!$B:$C,2,0),"")</f>
        <v>41500</v>
      </c>
      <c r="H306" s="110" t="str">
        <f t="shared" si="13"/>
        <v>E</v>
      </c>
      <c r="I306" s="110">
        <f t="shared" si="14"/>
        <v>41500</v>
      </c>
      <c r="J306" s="110"/>
      <c r="K306" s="110"/>
      <c r="M306" s="110"/>
      <c r="O306" s="110"/>
    </row>
    <row r="307" spans="1:15" x14ac:dyDescent="0.3">
      <c r="A307" s="58" t="str">
        <f>Schedule!E305</f>
        <v>A006120</v>
      </c>
      <c r="B307" s="58" t="s">
        <v>1810</v>
      </c>
      <c r="C307" s="58" t="str">
        <f t="shared" si="12"/>
        <v>006120 KS</v>
      </c>
      <c r="D307" s="58" t="s">
        <v>3671</v>
      </c>
      <c r="E307" s="110" t="s">
        <v>3527</v>
      </c>
      <c r="F307" s="110" t="str">
        <f>IFERROR(VLOOKUP(C307,[1]evdl298!$B:$D,3,0),"")</f>
        <v>E</v>
      </c>
      <c r="G307" s="110">
        <f>IFERROR(VLOOKUP(C307,[1]evdl298!$B:$C,2,0),"")</f>
        <v>41500</v>
      </c>
      <c r="H307" s="110" t="str">
        <f t="shared" si="13"/>
        <v>E</v>
      </c>
      <c r="I307" s="110">
        <f t="shared" si="14"/>
        <v>41500</v>
      </c>
      <c r="J307" s="110"/>
      <c r="K307" s="110"/>
      <c r="M307" s="110"/>
      <c r="O307" s="110"/>
    </row>
    <row r="308" spans="1:15" x14ac:dyDescent="0.3">
      <c r="A308" s="58" t="str">
        <f>Schedule!E306</f>
        <v>A006140</v>
      </c>
      <c r="B308" s="58" t="s">
        <v>1811</v>
      </c>
      <c r="C308" s="58" t="str">
        <f t="shared" si="12"/>
        <v>006140 KS</v>
      </c>
      <c r="D308" s="58" t="s">
        <v>3671</v>
      </c>
      <c r="E308" s="110" t="s">
        <v>3527</v>
      </c>
      <c r="F308" s="110" t="str">
        <f>IFERROR(VLOOKUP(C308,[1]evdl298!$B:$D,3,0),"")</f>
        <v>E</v>
      </c>
      <c r="G308" s="110">
        <f>IFERROR(VLOOKUP(C308,[1]evdl298!$B:$C,2,0),"")</f>
        <v>41499</v>
      </c>
      <c r="H308" s="110" t="str">
        <f t="shared" si="13"/>
        <v>E</v>
      </c>
      <c r="I308" s="110">
        <f t="shared" si="14"/>
        <v>41499</v>
      </c>
      <c r="J308" s="110"/>
      <c r="K308" s="110"/>
      <c r="M308" s="110"/>
      <c r="O308" s="110"/>
    </row>
    <row r="309" spans="1:15" x14ac:dyDescent="0.3">
      <c r="A309" s="58" t="str">
        <f>Schedule!E307</f>
        <v>A006200</v>
      </c>
      <c r="B309" s="58" t="s">
        <v>1812</v>
      </c>
      <c r="C309" s="58" t="str">
        <f t="shared" si="12"/>
        <v>006200 KS</v>
      </c>
      <c r="D309" s="58" t="s">
        <v>3671</v>
      </c>
      <c r="E309" s="110" t="s">
        <v>3527</v>
      </c>
      <c r="F309" s="110" t="str">
        <f>IFERROR(VLOOKUP(C309,[1]evdl298!$B:$D,3,0),"")</f>
        <v/>
      </c>
      <c r="G309" s="110" t="str">
        <f>IFERROR(VLOOKUP(C309,[1]evdl298!$B:$C,2,0),"")</f>
        <v/>
      </c>
      <c r="H309" s="110" t="str">
        <f t="shared" si="13"/>
        <v/>
      </c>
      <c r="I309" s="110" t="str">
        <f t="shared" si="14"/>
        <v/>
      </c>
      <c r="J309" s="110"/>
      <c r="K309" s="110"/>
      <c r="M309" s="110"/>
      <c r="O309" s="110"/>
    </row>
    <row r="310" spans="1:15" x14ac:dyDescent="0.3">
      <c r="A310" s="58" t="str">
        <f>Schedule!E308</f>
        <v>A006220</v>
      </c>
      <c r="B310" s="58" t="s">
        <v>1813</v>
      </c>
      <c r="C310" s="58" t="str">
        <f t="shared" si="12"/>
        <v>006220 KS</v>
      </c>
      <c r="D310" s="58" t="s">
        <v>3671</v>
      </c>
      <c r="E310" s="110" t="s">
        <v>3527</v>
      </c>
      <c r="F310" s="110" t="str">
        <f>IFERROR(VLOOKUP(C310,[1]evdl298!$B:$D,3,0),"")</f>
        <v>E</v>
      </c>
      <c r="G310" s="110">
        <f>IFERROR(VLOOKUP(C310,[1]evdl298!$B:$C,2,0),"")</f>
        <v>41500</v>
      </c>
      <c r="H310" s="110" t="str">
        <f t="shared" si="13"/>
        <v>E</v>
      </c>
      <c r="I310" s="110">
        <f t="shared" si="14"/>
        <v>41500</v>
      </c>
      <c r="J310" s="110"/>
      <c r="K310" s="110"/>
      <c r="M310" s="110"/>
      <c r="O310" s="110"/>
    </row>
    <row r="311" spans="1:15" x14ac:dyDescent="0.3">
      <c r="A311" s="58" t="str">
        <f>Schedule!E309</f>
        <v>A006260</v>
      </c>
      <c r="B311" s="58" t="s">
        <v>1814</v>
      </c>
      <c r="C311" s="58" t="str">
        <f t="shared" si="12"/>
        <v>006260 KS</v>
      </c>
      <c r="D311" s="58" t="s">
        <v>3671</v>
      </c>
      <c r="E311" s="110" t="s">
        <v>3689</v>
      </c>
      <c r="F311" s="110" t="str">
        <f>IFERROR(VLOOKUP(C311,[1]evdl298!$B:$D,3,0),"")</f>
        <v>E</v>
      </c>
      <c r="G311" s="110">
        <f>IFERROR(VLOOKUP(C311,[1]evdl298!$B:$C,2,0),"")</f>
        <v>41495</v>
      </c>
      <c r="H311" s="110" t="str">
        <f t="shared" si="13"/>
        <v>E</v>
      </c>
      <c r="I311" s="110">
        <f t="shared" si="14"/>
        <v>41495</v>
      </c>
      <c r="J311" s="110"/>
      <c r="K311" s="110"/>
      <c r="M311" s="110"/>
      <c r="O311" s="110"/>
    </row>
    <row r="312" spans="1:15" x14ac:dyDescent="0.3">
      <c r="A312" s="58" t="str">
        <f>Schedule!E310</f>
        <v>A006280</v>
      </c>
      <c r="B312" s="58" t="s">
        <v>1815</v>
      </c>
      <c r="C312" s="58" t="str">
        <f t="shared" si="12"/>
        <v>006280 KS</v>
      </c>
      <c r="D312" s="58" t="s">
        <v>3671</v>
      </c>
      <c r="E312" s="110">
        <v>41487</v>
      </c>
      <c r="F312" s="110" t="str">
        <f>IFERROR(VLOOKUP(C312,[1]evdl298!$B:$D,3,0),"")</f>
        <v>E</v>
      </c>
      <c r="G312" s="110">
        <f>IFERROR(VLOOKUP(C312,[1]evdl298!$B:$C,2,0),"")</f>
        <v>41486</v>
      </c>
      <c r="H312" s="110" t="str">
        <f t="shared" si="13"/>
        <v>E</v>
      </c>
      <c r="I312" s="110">
        <f t="shared" si="14"/>
        <v>41486</v>
      </c>
      <c r="J312" s="110"/>
      <c r="K312" s="110"/>
      <c r="M312" s="110"/>
      <c r="O312" s="110"/>
    </row>
    <row r="313" spans="1:15" x14ac:dyDescent="0.3">
      <c r="A313" s="58" t="str">
        <f>Schedule!E311</f>
        <v>A006340</v>
      </c>
      <c r="B313" s="58" t="s">
        <v>1816</v>
      </c>
      <c r="C313" s="58" t="str">
        <f t="shared" si="12"/>
        <v>006340 KS</v>
      </c>
      <c r="D313" s="58" t="s">
        <v>3671</v>
      </c>
      <c r="E313" s="110" t="s">
        <v>3527</v>
      </c>
      <c r="F313" s="110" t="str">
        <f>IFERROR(VLOOKUP(C313,[1]evdl298!$B:$D,3,0),"")</f>
        <v/>
      </c>
      <c r="G313" s="110" t="str">
        <f>IFERROR(VLOOKUP(C313,[1]evdl298!$B:$C,2,0),"")</f>
        <v/>
      </c>
      <c r="H313" s="110" t="str">
        <f t="shared" si="13"/>
        <v/>
      </c>
      <c r="I313" s="110" t="str">
        <f t="shared" si="14"/>
        <v/>
      </c>
      <c r="J313" s="110"/>
      <c r="K313" s="110"/>
      <c r="M313" s="110"/>
      <c r="O313" s="110"/>
    </row>
    <row r="314" spans="1:15" x14ac:dyDescent="0.3">
      <c r="A314" s="58" t="str">
        <f>Schedule!E312</f>
        <v>A006350</v>
      </c>
      <c r="B314" s="58" t="s">
        <v>1817</v>
      </c>
      <c r="C314" s="58" t="str">
        <f t="shared" si="12"/>
        <v>006350 KS</v>
      </c>
      <c r="D314" s="58" t="s">
        <v>3671</v>
      </c>
      <c r="E314" s="110" t="s">
        <v>3674</v>
      </c>
      <c r="F314" s="110" t="str">
        <f>IFERROR(VLOOKUP(C314,[1]evdl298!$B:$D,3,0),"")</f>
        <v>E</v>
      </c>
      <c r="G314" s="110">
        <f>IFERROR(VLOOKUP(C314,[1]evdl298!$B:$C,2,0),"")</f>
        <v>41485</v>
      </c>
      <c r="H314" s="110" t="str">
        <f t="shared" si="13"/>
        <v>E</v>
      </c>
      <c r="I314" s="110">
        <f t="shared" si="14"/>
        <v>41485</v>
      </c>
      <c r="J314" s="110"/>
      <c r="K314" s="110"/>
      <c r="M314" s="110"/>
      <c r="O314" s="110"/>
    </row>
    <row r="315" spans="1:15" x14ac:dyDescent="0.3">
      <c r="A315" s="58" t="str">
        <f>Schedule!E313</f>
        <v>A006360</v>
      </c>
      <c r="B315" s="58" t="s">
        <v>1818</v>
      </c>
      <c r="C315" s="58" t="str">
        <f t="shared" si="12"/>
        <v>006360 KS</v>
      </c>
      <c r="D315" s="58" t="s">
        <v>3671</v>
      </c>
      <c r="E315" s="110" t="s">
        <v>3679</v>
      </c>
      <c r="F315" s="110" t="str">
        <f>IFERROR(VLOOKUP(C315,[1]evdl298!$B:$D,3,0),"")</f>
        <v>E</v>
      </c>
      <c r="G315" s="110">
        <f>IFERROR(VLOOKUP(C315,[1]evdl298!$B:$C,2,0),"")</f>
        <v>41479</v>
      </c>
      <c r="H315" s="110" t="str">
        <f t="shared" si="13"/>
        <v>E</v>
      </c>
      <c r="I315" s="110">
        <f t="shared" si="14"/>
        <v>41479</v>
      </c>
      <c r="J315" s="110"/>
      <c r="K315" s="110"/>
      <c r="M315" s="110"/>
      <c r="O315" s="110"/>
    </row>
    <row r="316" spans="1:15" x14ac:dyDescent="0.3">
      <c r="A316" s="58" t="str">
        <f>Schedule!E314</f>
        <v>A006370</v>
      </c>
      <c r="B316" s="58" t="s">
        <v>1819</v>
      </c>
      <c r="C316" s="58" t="str">
        <f t="shared" si="12"/>
        <v>006370 KS</v>
      </c>
      <c r="D316" s="58" t="s">
        <v>3671</v>
      </c>
      <c r="E316" s="110" t="s">
        <v>3527</v>
      </c>
      <c r="F316" s="110" t="str">
        <f>IFERROR(VLOOKUP(C316,[1]evdl298!$B:$D,3,0),"")</f>
        <v>E</v>
      </c>
      <c r="G316" s="110">
        <f>IFERROR(VLOOKUP(C316,[1]evdl298!$B:$C,2,0),"")</f>
        <v>41474</v>
      </c>
      <c r="H316" s="110" t="str">
        <f t="shared" si="13"/>
        <v>E</v>
      </c>
      <c r="I316" s="110">
        <f t="shared" si="14"/>
        <v>41474</v>
      </c>
      <c r="J316" s="110"/>
      <c r="K316" s="110"/>
      <c r="M316" s="110"/>
      <c r="O316" s="110"/>
    </row>
    <row r="317" spans="1:15" x14ac:dyDescent="0.3">
      <c r="A317" s="58" t="str">
        <f>Schedule!E315</f>
        <v>A006380</v>
      </c>
      <c r="B317" s="58" t="s">
        <v>1820</v>
      </c>
      <c r="C317" s="58" t="str">
        <f t="shared" si="12"/>
        <v>006380 KS</v>
      </c>
      <c r="D317" s="58" t="s">
        <v>3671</v>
      </c>
      <c r="E317" s="110">
        <v>41501</v>
      </c>
      <c r="F317" s="110" t="str">
        <f>IFERROR(VLOOKUP(C317,[1]evdl298!$B:$D,3,0),"")</f>
        <v/>
      </c>
      <c r="G317" s="110" t="str">
        <f>IFERROR(VLOOKUP(C317,[1]evdl298!$B:$C,2,0),"")</f>
        <v/>
      </c>
      <c r="H317" s="110" t="str">
        <f t="shared" si="13"/>
        <v/>
      </c>
      <c r="I317" s="110">
        <f t="shared" si="14"/>
        <v>41501</v>
      </c>
      <c r="J317" s="110"/>
      <c r="K317" s="110"/>
      <c r="M317" s="110"/>
      <c r="O317" s="110"/>
    </row>
    <row r="318" spans="1:15" x14ac:dyDescent="0.3">
      <c r="A318" s="58" t="str">
        <f>Schedule!E316</f>
        <v>A006390</v>
      </c>
      <c r="B318" s="58" t="s">
        <v>1821</v>
      </c>
      <c r="C318" s="58" t="str">
        <f t="shared" si="12"/>
        <v>006390 KS</v>
      </c>
      <c r="D318" s="58" t="s">
        <v>3671</v>
      </c>
      <c r="E318" s="110" t="s">
        <v>3527</v>
      </c>
      <c r="F318" s="110" t="str">
        <f>IFERROR(VLOOKUP(C318,[1]evdl298!$B:$D,3,0),"")</f>
        <v/>
      </c>
      <c r="G318" s="110" t="str">
        <f>IFERROR(VLOOKUP(C318,[1]evdl298!$B:$C,2,0),"")</f>
        <v/>
      </c>
      <c r="H318" s="110" t="str">
        <f t="shared" si="13"/>
        <v/>
      </c>
      <c r="I318" s="110" t="str">
        <f t="shared" si="14"/>
        <v/>
      </c>
      <c r="J318" s="110"/>
      <c r="K318" s="110"/>
      <c r="M318" s="110"/>
      <c r="O318" s="110"/>
    </row>
    <row r="319" spans="1:15" x14ac:dyDescent="0.3">
      <c r="A319" s="58" t="str">
        <f>Schedule!E317</f>
        <v>A006400</v>
      </c>
      <c r="B319" s="58" t="s">
        <v>1822</v>
      </c>
      <c r="C319" s="58" t="str">
        <f t="shared" si="12"/>
        <v>006400 KS</v>
      </c>
      <c r="D319" s="58" t="s">
        <v>3671</v>
      </c>
      <c r="E319" s="110" t="s">
        <v>3678</v>
      </c>
      <c r="F319" s="110" t="str">
        <f>IFERROR(VLOOKUP(C319,[1]evdl298!$B:$D,3,0),"")</f>
        <v>E</v>
      </c>
      <c r="G319" s="110">
        <f>IFERROR(VLOOKUP(C319,[1]evdl298!$B:$C,2,0),"")</f>
        <v>41481</v>
      </c>
      <c r="H319" s="110" t="str">
        <f t="shared" si="13"/>
        <v>E</v>
      </c>
      <c r="I319" s="110">
        <f t="shared" si="14"/>
        <v>41481</v>
      </c>
      <c r="J319" s="110"/>
      <c r="K319" s="110"/>
      <c r="M319" s="110"/>
      <c r="O319" s="110"/>
    </row>
    <row r="320" spans="1:15" x14ac:dyDescent="0.3">
      <c r="A320" s="58" t="str">
        <f>Schedule!E318</f>
        <v>A006490</v>
      </c>
      <c r="B320" s="58" t="s">
        <v>1823</v>
      </c>
      <c r="C320" s="58" t="str">
        <f t="shared" si="12"/>
        <v>006490 KS</v>
      </c>
      <c r="D320" s="58" t="s">
        <v>3671</v>
      </c>
      <c r="E320" s="110" t="s">
        <v>3527</v>
      </c>
      <c r="F320" s="110" t="str">
        <f>IFERROR(VLOOKUP(C320,[1]evdl298!$B:$D,3,0),"")</f>
        <v>E</v>
      </c>
      <c r="G320" s="110">
        <f>IFERROR(VLOOKUP(C320,[1]evdl298!$B:$C,2,0),"")</f>
        <v>41500</v>
      </c>
      <c r="H320" s="110" t="str">
        <f t="shared" si="13"/>
        <v>E</v>
      </c>
      <c r="I320" s="110">
        <f t="shared" si="14"/>
        <v>41500</v>
      </c>
      <c r="J320" s="110"/>
      <c r="K320" s="110"/>
      <c r="M320" s="110"/>
      <c r="O320" s="110"/>
    </row>
    <row r="321" spans="1:15" x14ac:dyDescent="0.3">
      <c r="A321" s="58" t="str">
        <f>Schedule!E319</f>
        <v>A006570</v>
      </c>
      <c r="B321" s="58" t="s">
        <v>1824</v>
      </c>
      <c r="C321" s="58" t="str">
        <f t="shared" si="12"/>
        <v>006570 KS</v>
      </c>
      <c r="D321" s="58" t="s">
        <v>3671</v>
      </c>
      <c r="E321" s="110" t="s">
        <v>3527</v>
      </c>
      <c r="F321" s="110" t="str">
        <f>IFERROR(VLOOKUP(C321,[1]evdl298!$B:$D,3,0),"")</f>
        <v/>
      </c>
      <c r="G321" s="110" t="str">
        <f>IFERROR(VLOOKUP(C321,[1]evdl298!$B:$C,2,0),"")</f>
        <v/>
      </c>
      <c r="H321" s="110" t="str">
        <f t="shared" si="13"/>
        <v/>
      </c>
      <c r="I321" s="110" t="str">
        <f t="shared" si="14"/>
        <v/>
      </c>
      <c r="J321" s="110"/>
      <c r="K321" s="110"/>
      <c r="M321" s="110"/>
      <c r="O321" s="110"/>
    </row>
    <row r="322" spans="1:15" x14ac:dyDescent="0.3">
      <c r="A322" s="58" t="str">
        <f>Schedule!E320</f>
        <v>A006580</v>
      </c>
      <c r="B322" s="58" t="s">
        <v>1825</v>
      </c>
      <c r="C322" s="58" t="str">
        <f t="shared" si="12"/>
        <v>006580 KS</v>
      </c>
      <c r="D322" s="58" t="s">
        <v>3671</v>
      </c>
      <c r="E322" s="110" t="s">
        <v>3527</v>
      </c>
      <c r="F322" s="110" t="str">
        <f>IFERROR(VLOOKUP(C322,[1]evdl298!$B:$D,3,0),"")</f>
        <v/>
      </c>
      <c r="G322" s="110" t="str">
        <f>IFERROR(VLOOKUP(C322,[1]evdl298!$B:$C,2,0),"")</f>
        <v/>
      </c>
      <c r="H322" s="110" t="str">
        <f t="shared" si="13"/>
        <v/>
      </c>
      <c r="I322" s="110" t="str">
        <f t="shared" si="14"/>
        <v/>
      </c>
      <c r="J322" s="110"/>
      <c r="K322" s="110"/>
      <c r="M322" s="110"/>
      <c r="O322" s="110"/>
    </row>
    <row r="323" spans="1:15" x14ac:dyDescent="0.3">
      <c r="A323" s="58" t="str">
        <f>Schedule!E321</f>
        <v>A006650</v>
      </c>
      <c r="B323" s="58" t="s">
        <v>1826</v>
      </c>
      <c r="C323" s="58" t="str">
        <f t="shared" si="12"/>
        <v>006650 KS</v>
      </c>
      <c r="D323" s="58" t="s">
        <v>3671</v>
      </c>
      <c r="E323" s="110">
        <v>41511</v>
      </c>
      <c r="F323" s="110" t="str">
        <f>IFERROR(VLOOKUP(C323,[1]evdl298!$B:$D,3,0),"")</f>
        <v>E</v>
      </c>
      <c r="G323" s="110">
        <f>IFERROR(VLOOKUP(C323,[1]evdl298!$B:$C,2,0),"")</f>
        <v>41499</v>
      </c>
      <c r="H323" s="110" t="str">
        <f t="shared" si="13"/>
        <v>E</v>
      </c>
      <c r="I323" s="110">
        <f t="shared" si="14"/>
        <v>41499</v>
      </c>
      <c r="J323" s="110"/>
      <c r="K323" s="110"/>
      <c r="M323" s="110"/>
      <c r="O323" s="110"/>
    </row>
    <row r="324" spans="1:15" x14ac:dyDescent="0.3">
      <c r="A324" s="58" t="str">
        <f>Schedule!E322</f>
        <v>A006660</v>
      </c>
      <c r="B324" s="58" t="s">
        <v>1827</v>
      </c>
      <c r="C324" s="58" t="str">
        <f t="shared" si="12"/>
        <v>006660 KS</v>
      </c>
      <c r="D324" s="58" t="s">
        <v>3671</v>
      </c>
      <c r="E324" s="110" t="s">
        <v>3527</v>
      </c>
      <c r="F324" s="110" t="str">
        <f>IFERROR(VLOOKUP(C324,[1]evdl298!$B:$D,3,0),"")</f>
        <v/>
      </c>
      <c r="G324" s="110" t="str">
        <f>IFERROR(VLOOKUP(C324,[1]evdl298!$B:$C,2,0),"")</f>
        <v/>
      </c>
      <c r="H324" s="110" t="str">
        <f t="shared" si="13"/>
        <v/>
      </c>
      <c r="I324" s="110" t="str">
        <f t="shared" si="14"/>
        <v/>
      </c>
      <c r="J324" s="110"/>
      <c r="K324" s="110"/>
      <c r="M324" s="110"/>
      <c r="O324" s="110"/>
    </row>
    <row r="325" spans="1:15" x14ac:dyDescent="0.3">
      <c r="A325" s="58" t="str">
        <f>Schedule!E323</f>
        <v>A006730</v>
      </c>
      <c r="B325" s="58" t="s">
        <v>3528</v>
      </c>
      <c r="C325" s="58" t="str">
        <f t="shared" si="12"/>
        <v>006730 KS</v>
      </c>
      <c r="D325" s="58" t="s">
        <v>3671</v>
      </c>
      <c r="E325" s="110" t="s">
        <v>3527</v>
      </c>
      <c r="F325" s="110" t="str">
        <f>IFERROR(VLOOKUP(C325,[1]evdl298!$B:$D,3,0),"")</f>
        <v/>
      </c>
      <c r="G325" s="110" t="str">
        <f>IFERROR(VLOOKUP(C325,[1]evdl298!$B:$C,2,0),"")</f>
        <v/>
      </c>
      <c r="H325" s="110" t="str">
        <f t="shared" si="13"/>
        <v/>
      </c>
      <c r="I325" s="110" t="str">
        <f t="shared" si="14"/>
        <v/>
      </c>
      <c r="J325" s="110"/>
      <c r="K325" s="110"/>
      <c r="M325" s="110"/>
      <c r="O325" s="110"/>
    </row>
    <row r="326" spans="1:15" x14ac:dyDescent="0.3">
      <c r="A326" s="58" t="str">
        <f>Schedule!E324</f>
        <v>A006740</v>
      </c>
      <c r="B326" s="58" t="s">
        <v>1828</v>
      </c>
      <c r="C326" s="58" t="str">
        <f t="shared" si="12"/>
        <v>006740 KS</v>
      </c>
      <c r="D326" s="58" t="s">
        <v>3671</v>
      </c>
      <c r="E326" s="110" t="s">
        <v>3527</v>
      </c>
      <c r="F326" s="110" t="str">
        <f>IFERROR(VLOOKUP(C326,[1]evdl298!$B:$D,3,0),"")</f>
        <v>E</v>
      </c>
      <c r="G326" s="110">
        <f>IFERROR(VLOOKUP(C326,[1]evdl298!$B:$C,2,0),"")</f>
        <v>41500</v>
      </c>
      <c r="H326" s="110" t="str">
        <f t="shared" si="13"/>
        <v>E</v>
      </c>
      <c r="I326" s="110">
        <f t="shared" si="14"/>
        <v>41500</v>
      </c>
      <c r="J326" s="110"/>
      <c r="K326" s="110"/>
      <c r="M326" s="110"/>
      <c r="O326" s="110"/>
    </row>
    <row r="327" spans="1:15" x14ac:dyDescent="0.3">
      <c r="A327" s="58" t="str">
        <f>Schedule!E325</f>
        <v>A006800</v>
      </c>
      <c r="B327" s="58" t="s">
        <v>17</v>
      </c>
      <c r="C327" s="58" t="str">
        <f t="shared" si="12"/>
        <v>006800 KS</v>
      </c>
      <c r="D327" s="58" t="s">
        <v>3671</v>
      </c>
      <c r="E327" s="110">
        <v>41501</v>
      </c>
      <c r="F327" s="110" t="str">
        <f>IFERROR(VLOOKUP(C327,[1]evdl298!$B:$D,3,0),"")</f>
        <v>E</v>
      </c>
      <c r="G327" s="110">
        <f>IFERROR(VLOOKUP(C327,[1]evdl298!$B:$C,2,0),"")</f>
        <v>41500</v>
      </c>
      <c r="H327" s="110" t="str">
        <f t="shared" si="13"/>
        <v>E</v>
      </c>
      <c r="I327" s="110">
        <f t="shared" si="14"/>
        <v>41500</v>
      </c>
      <c r="J327" s="110"/>
      <c r="K327" s="110"/>
      <c r="M327" s="110"/>
      <c r="O327" s="110"/>
    </row>
    <row r="328" spans="1:15" x14ac:dyDescent="0.3">
      <c r="A328" s="58" t="str">
        <f>Schedule!E326</f>
        <v>A006840</v>
      </c>
      <c r="B328" s="58" t="s">
        <v>1829</v>
      </c>
      <c r="C328" s="58" t="str">
        <f t="shared" si="12"/>
        <v>006840 KS</v>
      </c>
      <c r="D328" s="58" t="s">
        <v>3671</v>
      </c>
      <c r="E328" s="110" t="s">
        <v>3527</v>
      </c>
      <c r="F328" s="110" t="str">
        <f>IFERROR(VLOOKUP(C328,[1]evdl298!$B:$D,3,0),"")</f>
        <v/>
      </c>
      <c r="G328" s="110" t="str">
        <f>IFERROR(VLOOKUP(C328,[1]evdl298!$B:$C,2,0),"")</f>
        <v/>
      </c>
      <c r="H328" s="110" t="str">
        <f t="shared" si="13"/>
        <v/>
      </c>
      <c r="I328" s="110" t="str">
        <f t="shared" si="14"/>
        <v/>
      </c>
      <c r="J328" s="110"/>
      <c r="K328" s="110"/>
      <c r="M328" s="110"/>
      <c r="O328" s="110"/>
    </row>
    <row r="329" spans="1:15" x14ac:dyDescent="0.3">
      <c r="A329" s="58" t="str">
        <f>Schedule!E327</f>
        <v>A006890</v>
      </c>
      <c r="B329" s="58" t="s">
        <v>1830</v>
      </c>
      <c r="C329" s="58" t="str">
        <f t="shared" si="12"/>
        <v>006890 KS</v>
      </c>
      <c r="D329" s="58" t="s">
        <v>3671</v>
      </c>
      <c r="E329" s="110" t="s">
        <v>3527</v>
      </c>
      <c r="F329" s="110" t="str">
        <f>IFERROR(VLOOKUP(C329,[1]evdl298!$B:$D,3,0),"")</f>
        <v/>
      </c>
      <c r="G329" s="110" t="str">
        <f>IFERROR(VLOOKUP(C329,[1]evdl298!$B:$C,2,0),"")</f>
        <v/>
      </c>
      <c r="H329" s="110" t="str">
        <f t="shared" si="13"/>
        <v/>
      </c>
      <c r="I329" s="110" t="str">
        <f t="shared" si="14"/>
        <v/>
      </c>
      <c r="J329" s="110"/>
      <c r="K329" s="110"/>
      <c r="M329" s="110"/>
      <c r="O329" s="110"/>
    </row>
    <row r="330" spans="1:15" x14ac:dyDescent="0.3">
      <c r="A330" s="58" t="str">
        <f>Schedule!E328</f>
        <v>A006910</v>
      </c>
      <c r="B330" s="58" t="s">
        <v>1831</v>
      </c>
      <c r="C330" s="58" t="str">
        <f t="shared" si="12"/>
        <v>006910 KS</v>
      </c>
      <c r="D330" s="58" t="s">
        <v>3671</v>
      </c>
      <c r="E330" s="110" t="s">
        <v>3527</v>
      </c>
      <c r="F330" s="110" t="str">
        <f>IFERROR(VLOOKUP(C330,[1]evdl298!$B:$D,3,0),"")</f>
        <v/>
      </c>
      <c r="G330" s="110" t="str">
        <f>IFERROR(VLOOKUP(C330,[1]evdl298!$B:$C,2,0),"")</f>
        <v/>
      </c>
      <c r="H330" s="110" t="str">
        <f t="shared" si="13"/>
        <v/>
      </c>
      <c r="I330" s="110" t="str">
        <f t="shared" si="14"/>
        <v/>
      </c>
      <c r="J330" s="110"/>
      <c r="K330" s="110"/>
      <c r="M330" s="110"/>
      <c r="O330" s="110"/>
    </row>
    <row r="331" spans="1:15" x14ac:dyDescent="0.3">
      <c r="A331" s="58" t="str">
        <f>Schedule!E329</f>
        <v>A006920</v>
      </c>
      <c r="B331" s="58" t="s">
        <v>1832</v>
      </c>
      <c r="C331" s="58" t="str">
        <f t="shared" si="12"/>
        <v>006920 KS</v>
      </c>
      <c r="D331" s="58" t="s">
        <v>3671</v>
      </c>
      <c r="E331" s="110" t="s">
        <v>3527</v>
      </c>
      <c r="F331" s="110" t="str">
        <f>IFERROR(VLOOKUP(C331,[1]evdl298!$B:$D,3,0),"")</f>
        <v>E</v>
      </c>
      <c r="G331" s="110">
        <f>IFERROR(VLOOKUP(C331,[1]evdl298!$B:$C,2,0),"")</f>
        <v>41495</v>
      </c>
      <c r="H331" s="110" t="str">
        <f t="shared" si="13"/>
        <v>E</v>
      </c>
      <c r="I331" s="110">
        <f t="shared" si="14"/>
        <v>41495</v>
      </c>
      <c r="J331" s="110"/>
      <c r="K331" s="110"/>
      <c r="M331" s="110"/>
      <c r="O331" s="110"/>
    </row>
    <row r="332" spans="1:15" x14ac:dyDescent="0.3">
      <c r="A332" s="58" t="str">
        <f>Schedule!E330</f>
        <v>A006980</v>
      </c>
      <c r="B332" s="58" t="s">
        <v>1833</v>
      </c>
      <c r="C332" s="58" t="str">
        <f t="shared" si="12"/>
        <v>006980 KS</v>
      </c>
      <c r="D332" s="58" t="s">
        <v>3671</v>
      </c>
      <c r="E332" s="110" t="s">
        <v>3527</v>
      </c>
      <c r="F332" s="110" t="str">
        <f>IFERROR(VLOOKUP(C332,[1]evdl298!$B:$D,3,0),"")</f>
        <v/>
      </c>
      <c r="G332" s="110" t="str">
        <f>IFERROR(VLOOKUP(C332,[1]evdl298!$B:$C,2,0),"")</f>
        <v/>
      </c>
      <c r="H332" s="110" t="str">
        <f t="shared" si="13"/>
        <v/>
      </c>
      <c r="I332" s="110" t="str">
        <f t="shared" si="14"/>
        <v/>
      </c>
      <c r="J332" s="110"/>
      <c r="K332" s="110"/>
      <c r="M332" s="110"/>
      <c r="O332" s="110"/>
    </row>
    <row r="333" spans="1:15" x14ac:dyDescent="0.3">
      <c r="A333" s="58" t="str">
        <f>Schedule!E331</f>
        <v>A007070</v>
      </c>
      <c r="B333" s="58" t="s">
        <v>3333</v>
      </c>
      <c r="C333" s="58" t="str">
        <f t="shared" si="12"/>
        <v>007070 KS</v>
      </c>
      <c r="D333" s="58" t="s">
        <v>3671</v>
      </c>
      <c r="E333" s="110">
        <v>41487</v>
      </c>
      <c r="F333" s="110" t="str">
        <f>IFERROR(VLOOKUP(C333,[1]evdl298!$B:$D,3,0),"")</f>
        <v>E</v>
      </c>
      <c r="G333" s="110">
        <f>IFERROR(VLOOKUP(C333,[1]evdl298!$B:$C,2,0),"")</f>
        <v>41474</v>
      </c>
      <c r="H333" s="110" t="str">
        <f t="shared" si="13"/>
        <v>E</v>
      </c>
      <c r="I333" s="110">
        <f t="shared" si="14"/>
        <v>41474</v>
      </c>
      <c r="J333" s="110"/>
      <c r="K333" s="110"/>
      <c r="M333" s="110"/>
      <c r="O333" s="110"/>
    </row>
    <row r="334" spans="1:15" x14ac:dyDescent="0.3">
      <c r="A334" s="58" t="str">
        <f>Schedule!E332</f>
        <v>A007110</v>
      </c>
      <c r="B334" s="58" t="s">
        <v>1834</v>
      </c>
      <c r="C334" s="58" t="str">
        <f t="shared" si="12"/>
        <v>007110 KS</v>
      </c>
      <c r="D334" s="58" t="s">
        <v>3671</v>
      </c>
      <c r="E334" s="110" t="s">
        <v>3527</v>
      </c>
      <c r="F334" s="110" t="str">
        <f>IFERROR(VLOOKUP(C334,[1]evdl298!$B:$D,3,0),"")</f>
        <v>E</v>
      </c>
      <c r="G334" s="110">
        <f>IFERROR(VLOOKUP(C334,[1]evdl298!$B:$C,2,0),"")</f>
        <v>41500</v>
      </c>
      <c r="H334" s="110" t="str">
        <f t="shared" si="13"/>
        <v>E</v>
      </c>
      <c r="I334" s="110">
        <f t="shared" si="14"/>
        <v>41500</v>
      </c>
      <c r="J334" s="110"/>
      <c r="K334" s="110"/>
      <c r="M334" s="110"/>
      <c r="O334" s="110"/>
    </row>
    <row r="335" spans="1:15" x14ac:dyDescent="0.3">
      <c r="A335" s="58" t="str">
        <f>Schedule!E333</f>
        <v>A007120</v>
      </c>
      <c r="B335" s="58" t="s">
        <v>3603</v>
      </c>
      <c r="C335" s="58" t="str">
        <f t="shared" si="12"/>
        <v>007120 KS</v>
      </c>
      <c r="D335" s="58" t="s">
        <v>3671</v>
      </c>
      <c r="E335" s="110" t="s">
        <v>3527</v>
      </c>
      <c r="F335" s="110" t="str">
        <f>IFERROR(VLOOKUP(C335,[1]evdl298!$B:$D,3,0),"")</f>
        <v>E</v>
      </c>
      <c r="G335" s="110">
        <f>IFERROR(VLOOKUP(C335,[1]evdl298!$B:$C,2,0),"")</f>
        <v>41515</v>
      </c>
      <c r="H335" s="110" t="str">
        <f t="shared" si="13"/>
        <v>E</v>
      </c>
      <c r="I335" s="110">
        <f t="shared" si="14"/>
        <v>41515</v>
      </c>
      <c r="J335" s="110"/>
      <c r="K335" s="110"/>
      <c r="M335" s="110"/>
      <c r="O335" s="110"/>
    </row>
    <row r="336" spans="1:15" x14ac:dyDescent="0.3">
      <c r="A336" s="58" t="str">
        <f>Schedule!E334</f>
        <v>A007160</v>
      </c>
      <c r="B336" s="58" t="s">
        <v>1835</v>
      </c>
      <c r="C336" s="58" t="str">
        <f t="shared" si="12"/>
        <v>007160 KS</v>
      </c>
      <c r="D336" s="58" t="s">
        <v>3671</v>
      </c>
      <c r="E336" s="110" t="s">
        <v>3527</v>
      </c>
      <c r="F336" s="110" t="str">
        <f>IFERROR(VLOOKUP(C336,[1]evdl298!$B:$D,3,0),"")</f>
        <v/>
      </c>
      <c r="G336" s="110" t="str">
        <f>IFERROR(VLOOKUP(C336,[1]evdl298!$B:$C,2,0),"")</f>
        <v/>
      </c>
      <c r="H336" s="110" t="str">
        <f t="shared" si="13"/>
        <v/>
      </c>
      <c r="I336" s="110" t="str">
        <f t="shared" si="14"/>
        <v/>
      </c>
      <c r="J336" s="110"/>
      <c r="K336" s="110"/>
      <c r="M336" s="110"/>
      <c r="O336" s="110"/>
    </row>
    <row r="337" spans="1:15" x14ac:dyDescent="0.3">
      <c r="A337" s="58" t="str">
        <f>Schedule!E335</f>
        <v>A007190</v>
      </c>
      <c r="B337" s="58" t="s">
        <v>3663</v>
      </c>
      <c r="C337" s="58" t="str">
        <f t="shared" ref="C337:C400" si="15">RIGHT(A337,6)&amp;" KS"</f>
        <v>007190 KS</v>
      </c>
      <c r="D337" s="58" t="s">
        <v>3671</v>
      </c>
      <c r="E337" s="110" t="s">
        <v>3527</v>
      </c>
      <c r="F337" s="110" t="str">
        <f>IFERROR(VLOOKUP(C337,[1]evdl298!$B:$D,3,0),"")</f>
        <v>E</v>
      </c>
      <c r="G337" s="110">
        <f>IFERROR(VLOOKUP(C337,[1]evdl298!$B:$C,2,0),"")</f>
        <v>41480</v>
      </c>
      <c r="H337" s="110" t="str">
        <f t="shared" ref="H337:H400" si="16">F337</f>
        <v>E</v>
      </c>
      <c r="I337" s="110">
        <f t="shared" ref="I337:I400" si="17">IF(ISNUMBER(G337),G337,E337)</f>
        <v>41480</v>
      </c>
      <c r="J337" s="110"/>
      <c r="K337" s="110"/>
      <c r="M337" s="110"/>
      <c r="O337" s="110"/>
    </row>
    <row r="338" spans="1:15" x14ac:dyDescent="0.3">
      <c r="A338" s="58" t="str">
        <f>Schedule!E336</f>
        <v>A007210</v>
      </c>
      <c r="B338" s="58" t="s">
        <v>1836</v>
      </c>
      <c r="C338" s="58" t="str">
        <f t="shared" si="15"/>
        <v>007210 KS</v>
      </c>
      <c r="D338" s="58" t="s">
        <v>3671</v>
      </c>
      <c r="E338" s="110" t="s">
        <v>3527</v>
      </c>
      <c r="F338" s="110" t="str">
        <f>IFERROR(VLOOKUP(C338,[1]evdl298!$B:$D,3,0),"")</f>
        <v/>
      </c>
      <c r="G338" s="110" t="str">
        <f>IFERROR(VLOOKUP(C338,[1]evdl298!$B:$C,2,0),"")</f>
        <v/>
      </c>
      <c r="H338" s="110" t="str">
        <f t="shared" si="16"/>
        <v/>
      </c>
      <c r="I338" s="110" t="str">
        <f t="shared" si="17"/>
        <v/>
      </c>
      <c r="J338" s="110"/>
      <c r="K338" s="110"/>
      <c r="M338" s="110"/>
      <c r="O338" s="110"/>
    </row>
    <row r="339" spans="1:15" x14ac:dyDescent="0.3">
      <c r="A339" s="58" t="str">
        <f>Schedule!E337</f>
        <v>A007280</v>
      </c>
      <c r="B339" s="58" t="s">
        <v>1837</v>
      </c>
      <c r="C339" s="58" t="str">
        <f t="shared" si="15"/>
        <v>007280 KS</v>
      </c>
      <c r="D339" s="58" t="s">
        <v>3671</v>
      </c>
      <c r="E339" s="110" t="s">
        <v>3527</v>
      </c>
      <c r="F339" s="110" t="str">
        <f>IFERROR(VLOOKUP(C339,[1]evdl298!$B:$D,3,0),"")</f>
        <v>E</v>
      </c>
      <c r="G339" s="110">
        <f>IFERROR(VLOOKUP(C339,[1]evdl298!$B:$C,2,0),"")</f>
        <v>41494</v>
      </c>
      <c r="H339" s="110" t="str">
        <f t="shared" si="16"/>
        <v>E</v>
      </c>
      <c r="I339" s="110">
        <f t="shared" si="17"/>
        <v>41494</v>
      </c>
      <c r="J339" s="110"/>
      <c r="K339" s="110"/>
      <c r="M339" s="110"/>
      <c r="O339" s="110"/>
    </row>
    <row r="340" spans="1:15" x14ac:dyDescent="0.3">
      <c r="A340" s="58" t="str">
        <f>Schedule!E338</f>
        <v>A007310</v>
      </c>
      <c r="B340" s="58" t="s">
        <v>1838</v>
      </c>
      <c r="C340" s="58" t="str">
        <f t="shared" si="15"/>
        <v>007310 KS</v>
      </c>
      <c r="D340" s="58" t="s">
        <v>3671</v>
      </c>
      <c r="E340" s="110" t="s">
        <v>3688</v>
      </c>
      <c r="F340" s="110" t="str">
        <f>IFERROR(VLOOKUP(C340,[1]evdl298!$B:$D,3,0),"")</f>
        <v/>
      </c>
      <c r="G340" s="110" t="str">
        <f>IFERROR(VLOOKUP(C340,[1]evdl298!$B:$C,2,0),"")</f>
        <v/>
      </c>
      <c r="H340" s="110" t="str">
        <f t="shared" si="16"/>
        <v/>
      </c>
      <c r="I340" s="110" t="str">
        <f t="shared" si="17"/>
        <v>2013-08-30</v>
      </c>
      <c r="J340" s="110"/>
      <c r="K340" s="110"/>
      <c r="M340" s="110"/>
      <c r="O340" s="110"/>
    </row>
    <row r="341" spans="1:15" x14ac:dyDescent="0.3">
      <c r="A341" s="58" t="str">
        <f>Schedule!E339</f>
        <v>A007330</v>
      </c>
      <c r="B341" s="58" t="s">
        <v>1839</v>
      </c>
      <c r="C341" s="58" t="str">
        <f t="shared" si="15"/>
        <v>007330 KS</v>
      </c>
      <c r="D341" s="58" t="s">
        <v>3671</v>
      </c>
      <c r="E341" s="110" t="s">
        <v>3527</v>
      </c>
      <c r="F341" s="110" t="str">
        <f>IFERROR(VLOOKUP(C341,[1]evdl298!$B:$D,3,0),"")</f>
        <v>E</v>
      </c>
      <c r="G341" s="110">
        <f>IFERROR(VLOOKUP(C341,[1]evdl298!$B:$C,2,0),"")</f>
        <v>41495</v>
      </c>
      <c r="H341" s="110" t="str">
        <f t="shared" si="16"/>
        <v>E</v>
      </c>
      <c r="I341" s="110">
        <f t="shared" si="17"/>
        <v>41495</v>
      </c>
      <c r="J341" s="110"/>
      <c r="K341" s="110"/>
      <c r="M341" s="110"/>
      <c r="O341" s="110"/>
    </row>
    <row r="342" spans="1:15" x14ac:dyDescent="0.3">
      <c r="A342" s="58" t="str">
        <f>Schedule!E340</f>
        <v>A007340</v>
      </c>
      <c r="B342" s="58" t="s">
        <v>1840</v>
      </c>
      <c r="C342" s="58" t="str">
        <f t="shared" si="15"/>
        <v>007340 KS</v>
      </c>
      <c r="D342" s="58" t="s">
        <v>3671</v>
      </c>
      <c r="E342" s="110" t="s">
        <v>3527</v>
      </c>
      <c r="F342" s="110" t="str">
        <f>IFERROR(VLOOKUP(C342,[1]evdl298!$B:$D,3,0),"")</f>
        <v/>
      </c>
      <c r="G342" s="110" t="str">
        <f>IFERROR(VLOOKUP(C342,[1]evdl298!$B:$C,2,0),"")</f>
        <v/>
      </c>
      <c r="H342" s="110" t="str">
        <f t="shared" si="16"/>
        <v/>
      </c>
      <c r="I342" s="110" t="str">
        <f t="shared" si="17"/>
        <v/>
      </c>
      <c r="J342" s="110"/>
      <c r="K342" s="110"/>
      <c r="M342" s="110"/>
      <c r="O342" s="110"/>
    </row>
    <row r="343" spans="1:15" x14ac:dyDescent="0.3">
      <c r="A343" s="58" t="str">
        <f>Schedule!E341</f>
        <v>A007370</v>
      </c>
      <c r="B343" s="58" t="s">
        <v>1841</v>
      </c>
      <c r="C343" s="58" t="str">
        <f t="shared" si="15"/>
        <v>007370 KS</v>
      </c>
      <c r="D343" s="58" t="s">
        <v>3671</v>
      </c>
      <c r="E343" s="110" t="s">
        <v>3527</v>
      </c>
      <c r="F343" s="110" t="str">
        <f>IFERROR(VLOOKUP(C343,[1]evdl298!$B:$D,3,0),"")</f>
        <v>E</v>
      </c>
      <c r="G343" s="110">
        <f>IFERROR(VLOOKUP(C343,[1]evdl298!$B:$C,2,0),"")</f>
        <v>41500</v>
      </c>
      <c r="H343" s="110" t="str">
        <f t="shared" si="16"/>
        <v>E</v>
      </c>
      <c r="I343" s="110">
        <f t="shared" si="17"/>
        <v>41500</v>
      </c>
      <c r="J343" s="110"/>
      <c r="K343" s="110"/>
      <c r="M343" s="110"/>
      <c r="O343" s="110"/>
    </row>
    <row r="344" spans="1:15" x14ac:dyDescent="0.3">
      <c r="A344" s="58" t="str">
        <f>Schedule!E342</f>
        <v>A007390</v>
      </c>
      <c r="B344" s="58" t="s">
        <v>3631</v>
      </c>
      <c r="C344" s="58" t="str">
        <f t="shared" si="15"/>
        <v>007390 KS</v>
      </c>
      <c r="D344" s="58" t="s">
        <v>3671</v>
      </c>
      <c r="E344" s="110" t="s">
        <v>3527</v>
      </c>
      <c r="F344" s="110" t="str">
        <f>IFERROR(VLOOKUP(C344,[1]evdl298!$B:$D,3,0),"")</f>
        <v>E</v>
      </c>
      <c r="G344" s="110">
        <f>IFERROR(VLOOKUP(C344,[1]evdl298!$B:$C,2,0),"")</f>
        <v>41460</v>
      </c>
      <c r="H344" s="110" t="str">
        <f t="shared" si="16"/>
        <v>E</v>
      </c>
      <c r="I344" s="110">
        <f t="shared" si="17"/>
        <v>41460</v>
      </c>
      <c r="J344" s="110"/>
      <c r="K344" s="110"/>
      <c r="M344" s="110"/>
      <c r="O344" s="110"/>
    </row>
    <row r="345" spans="1:15" x14ac:dyDescent="0.3">
      <c r="A345" s="58" t="str">
        <f>Schedule!E343</f>
        <v>A007460</v>
      </c>
      <c r="B345" s="58" t="s">
        <v>3632</v>
      </c>
      <c r="C345" s="58" t="str">
        <f t="shared" si="15"/>
        <v>007460 KS</v>
      </c>
      <c r="D345" s="58" t="s">
        <v>3671</v>
      </c>
      <c r="E345" s="110" t="s">
        <v>3527</v>
      </c>
      <c r="F345" s="110" t="str">
        <f>IFERROR(VLOOKUP(C345,[1]evdl298!$B:$D,3,0),"")</f>
        <v/>
      </c>
      <c r="G345" s="110" t="str">
        <f>IFERROR(VLOOKUP(C345,[1]evdl298!$B:$C,2,0),"")</f>
        <v/>
      </c>
      <c r="H345" s="110" t="str">
        <f t="shared" si="16"/>
        <v/>
      </c>
      <c r="I345" s="110" t="str">
        <f t="shared" si="17"/>
        <v/>
      </c>
      <c r="J345" s="110"/>
      <c r="K345" s="110"/>
      <c r="M345" s="110"/>
      <c r="O345" s="110"/>
    </row>
    <row r="346" spans="1:15" x14ac:dyDescent="0.3">
      <c r="A346" s="58" t="str">
        <f>Schedule!E344</f>
        <v>A007530</v>
      </c>
      <c r="B346" s="58" t="s">
        <v>1842</v>
      </c>
      <c r="C346" s="58" t="str">
        <f t="shared" si="15"/>
        <v>007530 KS</v>
      </c>
      <c r="D346" s="58" t="s">
        <v>3671</v>
      </c>
      <c r="E346" s="110" t="s">
        <v>3527</v>
      </c>
      <c r="F346" s="110" t="str">
        <f>IFERROR(VLOOKUP(C346,[1]evdl298!$B:$D,3,0),"")</f>
        <v>E</v>
      </c>
      <c r="G346" s="110">
        <f>IFERROR(VLOOKUP(C346,[1]evdl298!$B:$C,2,0),"")</f>
        <v>41515</v>
      </c>
      <c r="H346" s="110" t="str">
        <f t="shared" si="16"/>
        <v>E</v>
      </c>
      <c r="I346" s="110">
        <f t="shared" si="17"/>
        <v>41515</v>
      </c>
      <c r="J346" s="110"/>
      <c r="K346" s="110"/>
      <c r="M346" s="110"/>
      <c r="O346" s="110"/>
    </row>
    <row r="347" spans="1:15" x14ac:dyDescent="0.3">
      <c r="A347" s="58" t="str">
        <f>Schedule!E345</f>
        <v>A007540</v>
      </c>
      <c r="B347" s="58" t="s">
        <v>1843</v>
      </c>
      <c r="C347" s="58" t="str">
        <f t="shared" si="15"/>
        <v>007540 KS</v>
      </c>
      <c r="D347" s="58" t="s">
        <v>3671</v>
      </c>
      <c r="E347" s="110" t="s">
        <v>3527</v>
      </c>
      <c r="F347" s="110" t="str">
        <f>IFERROR(VLOOKUP(C347,[1]evdl298!$B:$D,3,0),"")</f>
        <v/>
      </c>
      <c r="G347" s="110" t="str">
        <f>IFERROR(VLOOKUP(C347,[1]evdl298!$B:$C,2,0),"")</f>
        <v/>
      </c>
      <c r="H347" s="110" t="str">
        <f t="shared" si="16"/>
        <v/>
      </c>
      <c r="I347" s="110" t="str">
        <f t="shared" si="17"/>
        <v/>
      </c>
      <c r="J347" s="110"/>
      <c r="K347" s="110"/>
      <c r="M347" s="110"/>
      <c r="O347" s="110"/>
    </row>
    <row r="348" spans="1:15" x14ac:dyDescent="0.3">
      <c r="A348" s="58" t="str">
        <f>Schedule!E346</f>
        <v>A007570</v>
      </c>
      <c r="B348" s="58" t="s">
        <v>1844</v>
      </c>
      <c r="C348" s="58" t="str">
        <f t="shared" si="15"/>
        <v>007570 KS</v>
      </c>
      <c r="D348" s="58" t="s">
        <v>3671</v>
      </c>
      <c r="E348" s="110" t="s">
        <v>3527</v>
      </c>
      <c r="F348" s="110" t="str">
        <f>IFERROR(VLOOKUP(C348,[1]evdl298!$B:$D,3,0),"")</f>
        <v>E</v>
      </c>
      <c r="G348" s="110">
        <f>IFERROR(VLOOKUP(C348,[1]evdl298!$B:$C,2,0),"")</f>
        <v>41500</v>
      </c>
      <c r="H348" s="110" t="str">
        <f t="shared" si="16"/>
        <v>E</v>
      </c>
      <c r="I348" s="110">
        <f t="shared" si="17"/>
        <v>41500</v>
      </c>
      <c r="J348" s="110"/>
      <c r="K348" s="110"/>
      <c r="M348" s="110"/>
      <c r="O348" s="110"/>
    </row>
    <row r="349" spans="1:15" x14ac:dyDescent="0.3">
      <c r="A349" s="58" t="str">
        <f>Schedule!E347</f>
        <v>A007590</v>
      </c>
      <c r="B349" s="58" t="s">
        <v>1845</v>
      </c>
      <c r="C349" s="58" t="str">
        <f t="shared" si="15"/>
        <v>007590 KS</v>
      </c>
      <c r="D349" s="58" t="s">
        <v>3671</v>
      </c>
      <c r="E349" s="110" t="s">
        <v>3527</v>
      </c>
      <c r="F349" s="110" t="str">
        <f>IFERROR(VLOOKUP(C349,[1]evdl298!$B:$D,3,0),"")</f>
        <v/>
      </c>
      <c r="G349" s="110" t="str">
        <f>IFERROR(VLOOKUP(C349,[1]evdl298!$B:$C,2,0),"")</f>
        <v/>
      </c>
      <c r="H349" s="110" t="str">
        <f t="shared" si="16"/>
        <v/>
      </c>
      <c r="I349" s="110" t="str">
        <f t="shared" si="17"/>
        <v/>
      </c>
      <c r="J349" s="110"/>
      <c r="K349" s="110"/>
      <c r="M349" s="110"/>
      <c r="O349" s="110"/>
    </row>
    <row r="350" spans="1:15" x14ac:dyDescent="0.3">
      <c r="A350" s="58" t="str">
        <f>Schedule!E348</f>
        <v>A007610</v>
      </c>
      <c r="B350" s="58" t="s">
        <v>1846</v>
      </c>
      <c r="C350" s="58" t="str">
        <f t="shared" si="15"/>
        <v>007610 KS</v>
      </c>
      <c r="D350" s="58" t="s">
        <v>3671</v>
      </c>
      <c r="E350" s="110" t="s">
        <v>3527</v>
      </c>
      <c r="F350" s="110" t="str">
        <f>IFERROR(VLOOKUP(C350,[1]evdl298!$B:$D,3,0),"")</f>
        <v/>
      </c>
      <c r="G350" s="110" t="str">
        <f>IFERROR(VLOOKUP(C350,[1]evdl298!$B:$C,2,0),"")</f>
        <v/>
      </c>
      <c r="H350" s="110" t="str">
        <f t="shared" si="16"/>
        <v/>
      </c>
      <c r="I350" s="110" t="str">
        <f t="shared" si="17"/>
        <v/>
      </c>
      <c r="J350" s="110"/>
      <c r="K350" s="110"/>
      <c r="M350" s="110"/>
      <c r="O350" s="110"/>
    </row>
    <row r="351" spans="1:15" x14ac:dyDescent="0.3">
      <c r="A351" s="58" t="str">
        <f>Schedule!E349</f>
        <v>A007630</v>
      </c>
      <c r="B351" s="58" t="s">
        <v>1847</v>
      </c>
      <c r="C351" s="58" t="str">
        <f t="shared" si="15"/>
        <v>007630 KS</v>
      </c>
      <c r="D351" s="58" t="s">
        <v>3671</v>
      </c>
      <c r="E351" s="110" t="s">
        <v>3527</v>
      </c>
      <c r="F351" s="110" t="str">
        <f>IFERROR(VLOOKUP(C351,[1]evdl298!$B:$D,3,0),"")</f>
        <v>E</v>
      </c>
      <c r="G351" s="110">
        <f>IFERROR(VLOOKUP(C351,[1]evdl298!$B:$C,2,0),"")</f>
        <v>41500</v>
      </c>
      <c r="H351" s="110" t="str">
        <f t="shared" si="16"/>
        <v>E</v>
      </c>
      <c r="I351" s="110">
        <f t="shared" si="17"/>
        <v>41500</v>
      </c>
      <c r="J351" s="110"/>
      <c r="K351" s="110"/>
      <c r="M351" s="110"/>
      <c r="O351" s="110"/>
    </row>
    <row r="352" spans="1:15" x14ac:dyDescent="0.3">
      <c r="A352" s="58" t="str">
        <f>Schedule!E350</f>
        <v>A007660</v>
      </c>
      <c r="B352" s="58" t="s">
        <v>1848</v>
      </c>
      <c r="C352" s="58" t="str">
        <f t="shared" si="15"/>
        <v>007660 KS</v>
      </c>
      <c r="D352" s="58" t="s">
        <v>3671</v>
      </c>
      <c r="E352" s="110" t="s">
        <v>3527</v>
      </c>
      <c r="F352" s="110" t="str">
        <f>IFERROR(VLOOKUP(C352,[1]evdl298!$B:$D,3,0),"")</f>
        <v>E</v>
      </c>
      <c r="G352" s="110">
        <f>IFERROR(VLOOKUP(C352,[1]evdl298!$B:$C,2,0),"")</f>
        <v>41515</v>
      </c>
      <c r="H352" s="110" t="str">
        <f t="shared" si="16"/>
        <v>E</v>
      </c>
      <c r="I352" s="110">
        <f t="shared" si="17"/>
        <v>41515</v>
      </c>
      <c r="J352" s="110"/>
      <c r="K352" s="110"/>
      <c r="M352" s="110"/>
      <c r="O352" s="110"/>
    </row>
    <row r="353" spans="1:15" x14ac:dyDescent="0.3">
      <c r="A353" s="58" t="str">
        <f>Schedule!E351</f>
        <v>A007690</v>
      </c>
      <c r="B353" s="58" t="s">
        <v>1849</v>
      </c>
      <c r="C353" s="58" t="str">
        <f t="shared" si="15"/>
        <v>007690 KS</v>
      </c>
      <c r="D353" s="58" t="s">
        <v>3671</v>
      </c>
      <c r="E353" s="110" t="s">
        <v>3527</v>
      </c>
      <c r="F353" s="110" t="str">
        <f>IFERROR(VLOOKUP(C353,[1]evdl298!$B:$D,3,0),"")</f>
        <v>E</v>
      </c>
      <c r="G353" s="110">
        <f>IFERROR(VLOOKUP(C353,[1]evdl298!$B:$C,2,0),"")</f>
        <v>41481</v>
      </c>
      <c r="H353" s="110" t="str">
        <f t="shared" si="16"/>
        <v>E</v>
      </c>
      <c r="I353" s="110">
        <f t="shared" si="17"/>
        <v>41481</v>
      </c>
      <c r="J353" s="110"/>
      <c r="K353" s="110"/>
      <c r="M353" s="110"/>
      <c r="O353" s="110"/>
    </row>
    <row r="354" spans="1:15" x14ac:dyDescent="0.3">
      <c r="A354" s="58" t="str">
        <f>Schedule!E352</f>
        <v>A007700</v>
      </c>
      <c r="B354" s="58" t="s">
        <v>1850</v>
      </c>
      <c r="C354" s="58" t="str">
        <f t="shared" si="15"/>
        <v>007700 KS</v>
      </c>
      <c r="D354" s="58" t="s">
        <v>3671</v>
      </c>
      <c r="E354" s="110" t="s">
        <v>3527</v>
      </c>
      <c r="F354" s="110" t="str">
        <f>IFERROR(VLOOKUP(C354,[1]evdl298!$B:$D,3,0),"")</f>
        <v>E</v>
      </c>
      <c r="G354" s="110">
        <f>IFERROR(VLOOKUP(C354,[1]evdl298!$B:$C,2,0),"")</f>
        <v>41515</v>
      </c>
      <c r="H354" s="110" t="str">
        <f t="shared" si="16"/>
        <v>E</v>
      </c>
      <c r="I354" s="110">
        <f t="shared" si="17"/>
        <v>41515</v>
      </c>
      <c r="J354" s="110"/>
      <c r="K354" s="110"/>
      <c r="M354" s="110"/>
      <c r="O354" s="110"/>
    </row>
    <row r="355" spans="1:15" x14ac:dyDescent="0.3">
      <c r="A355" s="58" t="str">
        <f>Schedule!E353</f>
        <v>A007720</v>
      </c>
      <c r="B355" s="58" t="s">
        <v>1851</v>
      </c>
      <c r="C355" s="58" t="str">
        <f t="shared" si="15"/>
        <v>007720 KS</v>
      </c>
      <c r="D355" s="58" t="s">
        <v>3671</v>
      </c>
      <c r="E355" s="110" t="s">
        <v>3527</v>
      </c>
      <c r="F355" s="110" t="str">
        <f>IFERROR(VLOOKUP(C355,[1]evdl298!$B:$D,3,0),"")</f>
        <v/>
      </c>
      <c r="G355" s="110" t="str">
        <f>IFERROR(VLOOKUP(C355,[1]evdl298!$B:$C,2,0),"")</f>
        <v/>
      </c>
      <c r="H355" s="110" t="str">
        <f t="shared" si="16"/>
        <v/>
      </c>
      <c r="I355" s="110" t="str">
        <f t="shared" si="17"/>
        <v/>
      </c>
      <c r="J355" s="110"/>
      <c r="K355" s="110"/>
      <c r="M355" s="110"/>
      <c r="O355" s="110"/>
    </row>
    <row r="356" spans="1:15" x14ac:dyDescent="0.3">
      <c r="A356" s="58" t="str">
        <f>Schedule!E354</f>
        <v>A007770</v>
      </c>
      <c r="B356" s="58" t="s">
        <v>1852</v>
      </c>
      <c r="C356" s="58" t="str">
        <f t="shared" si="15"/>
        <v>007770 KS</v>
      </c>
      <c r="D356" s="58" t="s">
        <v>3671</v>
      </c>
      <c r="E356" s="110" t="s">
        <v>3527</v>
      </c>
      <c r="F356" s="110" t="str">
        <f>IFERROR(VLOOKUP(C356,[1]evdl298!$B:$D,3,0),"")</f>
        <v>E</v>
      </c>
      <c r="G356" s="110">
        <f>IFERROR(VLOOKUP(C356,[1]evdl298!$B:$C,2,0),"")</f>
        <v>41515</v>
      </c>
      <c r="H356" s="110" t="str">
        <f t="shared" si="16"/>
        <v>E</v>
      </c>
      <c r="I356" s="110">
        <f t="shared" si="17"/>
        <v>41515</v>
      </c>
      <c r="J356" s="110"/>
      <c r="K356" s="110"/>
      <c r="M356" s="110"/>
      <c r="O356" s="110"/>
    </row>
    <row r="357" spans="1:15" x14ac:dyDescent="0.3">
      <c r="A357" s="58" t="str">
        <f>Schedule!E355</f>
        <v>A007810</v>
      </c>
      <c r="B357" s="58" t="s">
        <v>1853</v>
      </c>
      <c r="C357" s="58" t="str">
        <f t="shared" si="15"/>
        <v>007810 KS</v>
      </c>
      <c r="D357" s="58" t="s">
        <v>3671</v>
      </c>
      <c r="E357" s="110" t="s">
        <v>3527</v>
      </c>
      <c r="F357" s="110" t="str">
        <f>IFERROR(VLOOKUP(C357,[1]evdl298!$B:$D,3,0),"")</f>
        <v>C</v>
      </c>
      <c r="G357" s="110">
        <f>IFERROR(VLOOKUP(C357,[1]evdl298!$B:$C,2,0),"")</f>
        <v>41470</v>
      </c>
      <c r="H357" s="110" t="str">
        <f t="shared" si="16"/>
        <v>C</v>
      </c>
      <c r="I357" s="110">
        <f t="shared" si="17"/>
        <v>41470</v>
      </c>
      <c r="J357" s="110"/>
      <c r="K357" s="110"/>
      <c r="M357" s="110"/>
      <c r="O357" s="110"/>
    </row>
    <row r="358" spans="1:15" x14ac:dyDescent="0.3">
      <c r="A358" s="58" t="str">
        <f>Schedule!E356</f>
        <v>A007820</v>
      </c>
      <c r="B358" s="58" t="s">
        <v>3334</v>
      </c>
      <c r="C358" s="58" t="str">
        <f t="shared" si="15"/>
        <v>007820 KS</v>
      </c>
      <c r="D358" s="58" t="s">
        <v>3671</v>
      </c>
      <c r="E358" s="110" t="s">
        <v>3527</v>
      </c>
      <c r="F358" s="110" t="str">
        <f>IFERROR(VLOOKUP(C358,[1]evdl298!$B:$D,3,0),"")</f>
        <v/>
      </c>
      <c r="G358" s="110" t="str">
        <f>IFERROR(VLOOKUP(C358,[1]evdl298!$B:$C,2,0),"")</f>
        <v/>
      </c>
      <c r="H358" s="110" t="str">
        <f t="shared" si="16"/>
        <v/>
      </c>
      <c r="I358" s="110" t="str">
        <f t="shared" si="17"/>
        <v/>
      </c>
      <c r="J358" s="110"/>
      <c r="K358" s="110"/>
      <c r="M358" s="110"/>
      <c r="O358" s="110"/>
    </row>
    <row r="359" spans="1:15" x14ac:dyDescent="0.3">
      <c r="A359" s="58" t="str">
        <f>Schedule!E357</f>
        <v>A007860</v>
      </c>
      <c r="B359" s="58" t="s">
        <v>1854</v>
      </c>
      <c r="C359" s="58" t="str">
        <f t="shared" si="15"/>
        <v>007860 KS</v>
      </c>
      <c r="D359" s="58" t="s">
        <v>3671</v>
      </c>
      <c r="E359" s="110" t="s">
        <v>3527</v>
      </c>
      <c r="F359" s="110" t="str">
        <f>IFERROR(VLOOKUP(C359,[1]evdl298!$B:$D,3,0),"")</f>
        <v/>
      </c>
      <c r="G359" s="110" t="str">
        <f>IFERROR(VLOOKUP(C359,[1]evdl298!$B:$C,2,0),"")</f>
        <v/>
      </c>
      <c r="H359" s="110" t="str">
        <f t="shared" si="16"/>
        <v/>
      </c>
      <c r="I359" s="110" t="str">
        <f t="shared" si="17"/>
        <v/>
      </c>
      <c r="J359" s="110"/>
      <c r="K359" s="110"/>
      <c r="M359" s="110"/>
      <c r="O359" s="110"/>
    </row>
    <row r="360" spans="1:15" x14ac:dyDescent="0.3">
      <c r="A360" s="58" t="str">
        <f>Schedule!E358</f>
        <v>A007980</v>
      </c>
      <c r="B360" s="58" t="s">
        <v>1855</v>
      </c>
      <c r="C360" s="58" t="str">
        <f t="shared" si="15"/>
        <v>007980 KS</v>
      </c>
      <c r="D360" s="58" t="s">
        <v>3671</v>
      </c>
      <c r="E360" s="110" t="s">
        <v>3527</v>
      </c>
      <c r="F360" s="110" t="str">
        <f>IFERROR(VLOOKUP(C360,[1]evdl298!$B:$D,3,0),"")</f>
        <v/>
      </c>
      <c r="G360" s="110" t="str">
        <f>IFERROR(VLOOKUP(C360,[1]evdl298!$B:$C,2,0),"")</f>
        <v/>
      </c>
      <c r="H360" s="110" t="str">
        <f t="shared" si="16"/>
        <v/>
      </c>
      <c r="I360" s="110" t="str">
        <f t="shared" si="17"/>
        <v/>
      </c>
      <c r="J360" s="110"/>
      <c r="K360" s="110"/>
      <c r="M360" s="110"/>
      <c r="O360" s="110"/>
    </row>
    <row r="361" spans="1:15" x14ac:dyDescent="0.3">
      <c r="A361" s="58" t="str">
        <f>Schedule!E359</f>
        <v>A008000</v>
      </c>
      <c r="B361" s="58" t="s">
        <v>1856</v>
      </c>
      <c r="C361" s="58" t="str">
        <f t="shared" si="15"/>
        <v>008000 KS</v>
      </c>
      <c r="D361" s="58" t="s">
        <v>3671</v>
      </c>
      <c r="E361" s="110" t="s">
        <v>3527</v>
      </c>
      <c r="F361" s="110" t="str">
        <f>IFERROR(VLOOKUP(C361,[1]evdl298!$B:$D,3,0),"")</f>
        <v>E</v>
      </c>
      <c r="G361" s="110">
        <f>IFERROR(VLOOKUP(C361,[1]evdl298!$B:$C,2,0),"")</f>
        <v>41515</v>
      </c>
      <c r="H361" s="110" t="str">
        <f t="shared" si="16"/>
        <v>E</v>
      </c>
      <c r="I361" s="110">
        <f t="shared" si="17"/>
        <v>41515</v>
      </c>
      <c r="J361" s="110"/>
      <c r="K361" s="110"/>
      <c r="M361" s="110"/>
      <c r="O361" s="110"/>
    </row>
    <row r="362" spans="1:15" x14ac:dyDescent="0.3">
      <c r="A362" s="58" t="str">
        <f>Schedule!E360</f>
        <v>A008020</v>
      </c>
      <c r="B362" s="58" t="s">
        <v>1857</v>
      </c>
      <c r="C362" s="58" t="str">
        <f t="shared" si="15"/>
        <v>008020 KS</v>
      </c>
      <c r="D362" s="58" t="s">
        <v>3671</v>
      </c>
      <c r="E362" s="110" t="s">
        <v>3527</v>
      </c>
      <c r="F362" s="110" t="str">
        <f>IFERROR(VLOOKUP(C362,[1]evdl298!$B:$D,3,0),"")</f>
        <v/>
      </c>
      <c r="G362" s="110" t="str">
        <f>IFERROR(VLOOKUP(C362,[1]evdl298!$B:$C,2,0),"")</f>
        <v/>
      </c>
      <c r="H362" s="110" t="str">
        <f t="shared" si="16"/>
        <v/>
      </c>
      <c r="I362" s="110" t="str">
        <f t="shared" si="17"/>
        <v/>
      </c>
      <c r="J362" s="110"/>
      <c r="K362" s="110"/>
      <c r="M362" s="110"/>
      <c r="O362" s="110"/>
    </row>
    <row r="363" spans="1:15" x14ac:dyDescent="0.3">
      <c r="A363" s="58" t="str">
        <f>Schedule!E361</f>
        <v>A008040</v>
      </c>
      <c r="B363" s="58" t="s">
        <v>1858</v>
      </c>
      <c r="C363" s="58" t="str">
        <f t="shared" si="15"/>
        <v>008040 KS</v>
      </c>
      <c r="D363" s="58" t="s">
        <v>3671</v>
      </c>
      <c r="E363" s="110" t="s">
        <v>3527</v>
      </c>
      <c r="F363" s="110" t="str">
        <f>IFERROR(VLOOKUP(C363,[1]evdl298!$B:$D,3,0),"")</f>
        <v>E</v>
      </c>
      <c r="G363" s="110">
        <f>IFERROR(VLOOKUP(C363,[1]evdl298!$B:$C,2,0),"")</f>
        <v>41499</v>
      </c>
      <c r="H363" s="110" t="str">
        <f t="shared" si="16"/>
        <v>E</v>
      </c>
      <c r="I363" s="110">
        <f t="shared" si="17"/>
        <v>41499</v>
      </c>
      <c r="J363" s="110"/>
      <c r="K363" s="110"/>
      <c r="M363" s="110"/>
      <c r="O363" s="110"/>
    </row>
    <row r="364" spans="1:15" x14ac:dyDescent="0.3">
      <c r="A364" s="58" t="str">
        <f>Schedule!E362</f>
        <v>A008060</v>
      </c>
      <c r="B364" s="58" t="s">
        <v>1859</v>
      </c>
      <c r="C364" s="58" t="str">
        <f t="shared" si="15"/>
        <v>008060 KS</v>
      </c>
      <c r="D364" s="58" t="s">
        <v>3671</v>
      </c>
      <c r="E364" s="110" t="s">
        <v>3527</v>
      </c>
      <c r="F364" s="110" t="str">
        <f>IFERROR(VLOOKUP(C364,[1]evdl298!$B:$D,3,0),"")</f>
        <v/>
      </c>
      <c r="G364" s="110" t="str">
        <f>IFERROR(VLOOKUP(C364,[1]evdl298!$B:$C,2,0),"")</f>
        <v/>
      </c>
      <c r="H364" s="110" t="str">
        <f t="shared" si="16"/>
        <v/>
      </c>
      <c r="I364" s="110" t="str">
        <f t="shared" si="17"/>
        <v/>
      </c>
      <c r="J364" s="110"/>
      <c r="K364" s="110"/>
      <c r="M364" s="110"/>
      <c r="O364" s="110"/>
    </row>
    <row r="365" spans="1:15" x14ac:dyDescent="0.3">
      <c r="A365" s="58" t="str">
        <f>Schedule!E363</f>
        <v>A008080</v>
      </c>
      <c r="B365" s="58" t="s">
        <v>1860</v>
      </c>
      <c r="C365" s="58" t="str">
        <f t="shared" si="15"/>
        <v>008080 KS</v>
      </c>
      <c r="D365" s="58" t="s">
        <v>3671</v>
      </c>
      <c r="E365" s="110" t="s">
        <v>3527</v>
      </c>
      <c r="F365" s="110" t="str">
        <f>IFERROR(VLOOKUP(C365,[1]evdl298!$B:$D,3,0),"")</f>
        <v>E</v>
      </c>
      <c r="G365" s="110">
        <f>IFERROR(VLOOKUP(C365,[1]evdl298!$B:$C,2,0),"")</f>
        <v>41515</v>
      </c>
      <c r="H365" s="110" t="str">
        <f t="shared" si="16"/>
        <v>E</v>
      </c>
      <c r="I365" s="110">
        <f t="shared" si="17"/>
        <v>41515</v>
      </c>
      <c r="J365" s="110"/>
      <c r="K365" s="110"/>
      <c r="M365" s="110"/>
      <c r="O365" s="110"/>
    </row>
    <row r="366" spans="1:15" x14ac:dyDescent="0.3">
      <c r="A366" s="58" t="str">
        <f>Schedule!E364</f>
        <v>A008110</v>
      </c>
      <c r="B366" s="58" t="s">
        <v>1861</v>
      </c>
      <c r="C366" s="58" t="str">
        <f t="shared" si="15"/>
        <v>008110 KS</v>
      </c>
      <c r="D366" s="58" t="s">
        <v>3671</v>
      </c>
      <c r="E366" s="110" t="s">
        <v>3527</v>
      </c>
      <c r="F366" s="110" t="str">
        <f>IFERROR(VLOOKUP(C366,[1]evdl298!$B:$D,3,0),"")</f>
        <v>E</v>
      </c>
      <c r="G366" s="110">
        <f>IFERROR(VLOOKUP(C366,[1]evdl298!$B:$C,2,0),"")</f>
        <v>41500</v>
      </c>
      <c r="H366" s="110" t="str">
        <f t="shared" si="16"/>
        <v>E</v>
      </c>
      <c r="I366" s="110">
        <f t="shared" si="17"/>
        <v>41500</v>
      </c>
      <c r="J366" s="110"/>
      <c r="K366" s="110"/>
      <c r="M366" s="110"/>
      <c r="O366" s="110"/>
    </row>
    <row r="367" spans="1:15" x14ac:dyDescent="0.3">
      <c r="A367" s="58" t="str">
        <f>Schedule!E365</f>
        <v>A008250</v>
      </c>
      <c r="B367" s="58" t="s">
        <v>1862</v>
      </c>
      <c r="C367" s="58" t="str">
        <f t="shared" si="15"/>
        <v>008250 KS</v>
      </c>
      <c r="D367" s="58" t="s">
        <v>3671</v>
      </c>
      <c r="E367" s="110" t="s">
        <v>3527</v>
      </c>
      <c r="F367" s="110" t="str">
        <f>IFERROR(VLOOKUP(C367,[1]evdl298!$B:$D,3,0),"")</f>
        <v>E</v>
      </c>
      <c r="G367" s="110">
        <f>IFERROR(VLOOKUP(C367,[1]evdl298!$B:$C,2,0),"")</f>
        <v>41500</v>
      </c>
      <c r="H367" s="110" t="str">
        <f t="shared" si="16"/>
        <v>E</v>
      </c>
      <c r="I367" s="110">
        <f t="shared" si="17"/>
        <v>41500</v>
      </c>
      <c r="J367" s="110"/>
      <c r="K367" s="110"/>
      <c r="M367" s="110"/>
      <c r="O367" s="110"/>
    </row>
    <row r="368" spans="1:15" x14ac:dyDescent="0.3">
      <c r="A368" s="58" t="str">
        <f>Schedule!E366</f>
        <v>A008260</v>
      </c>
      <c r="B368" s="58" t="s">
        <v>1863</v>
      </c>
      <c r="C368" s="58" t="str">
        <f t="shared" si="15"/>
        <v>008260 KS</v>
      </c>
      <c r="D368" s="58" t="s">
        <v>3671</v>
      </c>
      <c r="E368" s="110" t="s">
        <v>3527</v>
      </c>
      <c r="F368" s="110" t="str">
        <f>IFERROR(VLOOKUP(C368,[1]evdl298!$B:$D,3,0),"")</f>
        <v>E</v>
      </c>
      <c r="G368" s="110">
        <f>IFERROR(VLOOKUP(C368,[1]evdl298!$B:$C,2,0),"")</f>
        <v>41480</v>
      </c>
      <c r="H368" s="110" t="str">
        <f t="shared" si="16"/>
        <v>E</v>
      </c>
      <c r="I368" s="110">
        <f t="shared" si="17"/>
        <v>41480</v>
      </c>
      <c r="J368" s="110"/>
      <c r="K368" s="110"/>
      <c r="M368" s="110"/>
      <c r="O368" s="110"/>
    </row>
    <row r="369" spans="1:15" x14ac:dyDescent="0.3">
      <c r="A369" s="58" t="str">
        <f>Schedule!E367</f>
        <v>A008290</v>
      </c>
      <c r="B369" s="58" t="s">
        <v>1864</v>
      </c>
      <c r="C369" s="58" t="str">
        <f t="shared" si="15"/>
        <v>008290 KS</v>
      </c>
      <c r="D369" s="58" t="s">
        <v>3671</v>
      </c>
      <c r="E369" s="110" t="s">
        <v>3527</v>
      </c>
      <c r="F369" s="110" t="str">
        <f>IFERROR(VLOOKUP(C369,[1]evdl298!$B:$D,3,0),"")</f>
        <v>E</v>
      </c>
      <c r="G369" s="110">
        <f>IFERROR(VLOOKUP(C369,[1]evdl298!$B:$C,2,0),"")</f>
        <v>41500</v>
      </c>
      <c r="H369" s="110" t="str">
        <f t="shared" si="16"/>
        <v>E</v>
      </c>
      <c r="I369" s="110">
        <f t="shared" si="17"/>
        <v>41500</v>
      </c>
      <c r="J369" s="110"/>
      <c r="K369" s="110"/>
      <c r="M369" s="110"/>
      <c r="O369" s="110"/>
    </row>
    <row r="370" spans="1:15" x14ac:dyDescent="0.3">
      <c r="A370" s="58" t="str">
        <f>Schedule!E368</f>
        <v>A008350</v>
      </c>
      <c r="B370" s="58" t="s">
        <v>1865</v>
      </c>
      <c r="C370" s="58" t="str">
        <f t="shared" si="15"/>
        <v>008350 KS</v>
      </c>
      <c r="D370" s="58" t="s">
        <v>3671</v>
      </c>
      <c r="E370" s="110" t="s">
        <v>3527</v>
      </c>
      <c r="F370" s="110" t="str">
        <f>IFERROR(VLOOKUP(C370,[1]evdl298!$B:$D,3,0),"")</f>
        <v/>
      </c>
      <c r="G370" s="110" t="str">
        <f>IFERROR(VLOOKUP(C370,[1]evdl298!$B:$C,2,0),"")</f>
        <v/>
      </c>
      <c r="H370" s="110" t="str">
        <f t="shared" si="16"/>
        <v/>
      </c>
      <c r="I370" s="110" t="str">
        <f t="shared" si="17"/>
        <v/>
      </c>
      <c r="J370" s="110"/>
      <c r="K370" s="110"/>
      <c r="M370" s="110"/>
      <c r="O370" s="110"/>
    </row>
    <row r="371" spans="1:15" x14ac:dyDescent="0.3">
      <c r="A371" s="58" t="str">
        <f>Schedule!E369</f>
        <v>A008370</v>
      </c>
      <c r="B371" s="58" t="s">
        <v>1866</v>
      </c>
      <c r="C371" s="58" t="str">
        <f t="shared" si="15"/>
        <v>008370 KS</v>
      </c>
      <c r="D371" s="58" t="s">
        <v>3671</v>
      </c>
      <c r="E371" s="110" t="s">
        <v>3527</v>
      </c>
      <c r="F371" s="110" t="str">
        <f>IFERROR(VLOOKUP(C371,[1]evdl298!$B:$D,3,0),"")</f>
        <v>E</v>
      </c>
      <c r="G371" s="110">
        <f>IFERROR(VLOOKUP(C371,[1]evdl298!$B:$C,2,0),"")</f>
        <v>41515</v>
      </c>
      <c r="H371" s="110" t="str">
        <f t="shared" si="16"/>
        <v>E</v>
      </c>
      <c r="I371" s="110">
        <f t="shared" si="17"/>
        <v>41515</v>
      </c>
      <c r="J371" s="110"/>
      <c r="K371" s="110"/>
      <c r="M371" s="110"/>
      <c r="O371" s="110"/>
    </row>
    <row r="372" spans="1:15" x14ac:dyDescent="0.3">
      <c r="A372" s="58" t="str">
        <f>Schedule!E370</f>
        <v>A008420</v>
      </c>
      <c r="B372" s="58" t="s">
        <v>1867</v>
      </c>
      <c r="C372" s="58" t="str">
        <f t="shared" si="15"/>
        <v>008420 KS</v>
      </c>
      <c r="D372" s="58" t="s">
        <v>3671</v>
      </c>
      <c r="E372" s="110" t="s">
        <v>3527</v>
      </c>
      <c r="F372" s="110" t="str">
        <f>IFERROR(VLOOKUP(C372,[1]evdl298!$B:$D,3,0),"")</f>
        <v>E</v>
      </c>
      <c r="G372" s="110">
        <f>IFERROR(VLOOKUP(C372,[1]evdl298!$B:$C,2,0),"")</f>
        <v>41500</v>
      </c>
      <c r="H372" s="110" t="str">
        <f t="shared" si="16"/>
        <v>E</v>
      </c>
      <c r="I372" s="110">
        <f t="shared" si="17"/>
        <v>41500</v>
      </c>
      <c r="J372" s="110"/>
      <c r="K372" s="110"/>
      <c r="M372" s="110"/>
      <c r="O372" s="110"/>
    </row>
    <row r="373" spans="1:15" x14ac:dyDescent="0.3">
      <c r="A373" s="58" t="str">
        <f>Schedule!E371</f>
        <v>A008470</v>
      </c>
      <c r="B373" s="58" t="s">
        <v>3335</v>
      </c>
      <c r="C373" s="58" t="str">
        <f t="shared" si="15"/>
        <v>008470 KS</v>
      </c>
      <c r="D373" s="58" t="s">
        <v>3671</v>
      </c>
      <c r="E373" s="110" t="s">
        <v>3527</v>
      </c>
      <c r="F373" s="110" t="str">
        <f>IFERROR(VLOOKUP(C373,[1]evdl298!$B:$D,3,0),"")</f>
        <v>E</v>
      </c>
      <c r="G373" s="110">
        <f>IFERROR(VLOOKUP(C373,[1]evdl298!$B:$C,2,0),"")</f>
        <v>41495</v>
      </c>
      <c r="H373" s="110" t="str">
        <f t="shared" si="16"/>
        <v>E</v>
      </c>
      <c r="I373" s="110">
        <f t="shared" si="17"/>
        <v>41495</v>
      </c>
      <c r="J373" s="110"/>
      <c r="K373" s="110"/>
      <c r="M373" s="110"/>
      <c r="O373" s="110"/>
    </row>
    <row r="374" spans="1:15" x14ac:dyDescent="0.3">
      <c r="A374" s="58" t="str">
        <f>Schedule!E372</f>
        <v>A008490</v>
      </c>
      <c r="B374" s="58" t="s">
        <v>1868</v>
      </c>
      <c r="C374" s="58" t="str">
        <f t="shared" si="15"/>
        <v>008490 KS</v>
      </c>
      <c r="D374" s="58" t="s">
        <v>3671</v>
      </c>
      <c r="E374" s="110" t="s">
        <v>3527</v>
      </c>
      <c r="F374" s="110" t="str">
        <f>IFERROR(VLOOKUP(C374,[1]evdl298!$B:$D,3,0),"")</f>
        <v/>
      </c>
      <c r="G374" s="110" t="str">
        <f>IFERROR(VLOOKUP(C374,[1]evdl298!$B:$C,2,0),"")</f>
        <v/>
      </c>
      <c r="H374" s="110" t="str">
        <f t="shared" si="16"/>
        <v/>
      </c>
      <c r="I374" s="110" t="str">
        <f t="shared" si="17"/>
        <v/>
      </c>
      <c r="J374" s="110"/>
      <c r="K374" s="110"/>
      <c r="M374" s="110"/>
      <c r="O374" s="110"/>
    </row>
    <row r="375" spans="1:15" x14ac:dyDescent="0.3">
      <c r="A375" s="58" t="str">
        <f>Schedule!E373</f>
        <v>A008500</v>
      </c>
      <c r="B375" s="58" t="s">
        <v>1869</v>
      </c>
      <c r="C375" s="58" t="str">
        <f t="shared" si="15"/>
        <v>008500 KS</v>
      </c>
      <c r="D375" s="58" t="s">
        <v>3671</v>
      </c>
      <c r="E375" s="110" t="s">
        <v>3527</v>
      </c>
      <c r="F375" s="110" t="str">
        <f>IFERROR(VLOOKUP(C375,[1]evdl298!$B:$D,3,0),"")</f>
        <v/>
      </c>
      <c r="G375" s="110" t="str">
        <f>IFERROR(VLOOKUP(C375,[1]evdl298!$B:$C,2,0),"")</f>
        <v/>
      </c>
      <c r="H375" s="110" t="str">
        <f t="shared" si="16"/>
        <v/>
      </c>
      <c r="I375" s="110" t="str">
        <f t="shared" si="17"/>
        <v/>
      </c>
      <c r="J375" s="110"/>
      <c r="K375" s="110"/>
      <c r="M375" s="110"/>
      <c r="O375" s="110"/>
    </row>
    <row r="376" spans="1:15" x14ac:dyDescent="0.3">
      <c r="A376" s="58" t="str">
        <f>Schedule!E374</f>
        <v>A008560</v>
      </c>
      <c r="B376" s="58" t="s">
        <v>1870</v>
      </c>
      <c r="C376" s="58" t="str">
        <f t="shared" si="15"/>
        <v>008560 KS</v>
      </c>
      <c r="D376" s="58" t="s">
        <v>3671</v>
      </c>
      <c r="E376" s="110" t="s">
        <v>3527</v>
      </c>
      <c r="F376" s="110" t="str">
        <f>IFERROR(VLOOKUP(C376,[1]evdl298!$B:$D,3,0),"")</f>
        <v>E</v>
      </c>
      <c r="G376" s="110">
        <f>IFERROR(VLOOKUP(C376,[1]evdl298!$B:$C,2,0),"")</f>
        <v>41500</v>
      </c>
      <c r="H376" s="110" t="str">
        <f t="shared" si="16"/>
        <v>E</v>
      </c>
      <c r="I376" s="110">
        <f t="shared" si="17"/>
        <v>41500</v>
      </c>
      <c r="J376" s="110"/>
      <c r="K376" s="110"/>
      <c r="M376" s="110"/>
      <c r="O376" s="110"/>
    </row>
    <row r="377" spans="1:15" x14ac:dyDescent="0.3">
      <c r="A377" s="58" t="str">
        <f>Schedule!E375</f>
        <v>A008600</v>
      </c>
      <c r="B377" s="58" t="s">
        <v>1871</v>
      </c>
      <c r="C377" s="58" t="str">
        <f t="shared" si="15"/>
        <v>008600 KS</v>
      </c>
      <c r="D377" s="58" t="s">
        <v>3671</v>
      </c>
      <c r="E377" s="110" t="s">
        <v>3527</v>
      </c>
      <c r="F377" s="110" t="str">
        <f>IFERROR(VLOOKUP(C377,[1]evdl298!$B:$D,3,0),"")</f>
        <v>E</v>
      </c>
      <c r="G377" s="110">
        <f>IFERROR(VLOOKUP(C377,[1]evdl298!$B:$C,2,0),"")</f>
        <v>41515</v>
      </c>
      <c r="H377" s="110" t="str">
        <f t="shared" si="16"/>
        <v>E</v>
      </c>
      <c r="I377" s="110">
        <f t="shared" si="17"/>
        <v>41515</v>
      </c>
      <c r="J377" s="110"/>
      <c r="K377" s="110"/>
      <c r="M377" s="110"/>
      <c r="O377" s="110"/>
    </row>
    <row r="378" spans="1:15" x14ac:dyDescent="0.3">
      <c r="A378" s="58" t="str">
        <f>Schedule!E376</f>
        <v>A008700</v>
      </c>
      <c r="B378" s="58" t="s">
        <v>1872</v>
      </c>
      <c r="C378" s="58" t="str">
        <f t="shared" si="15"/>
        <v>008700 KS</v>
      </c>
      <c r="D378" s="58" t="s">
        <v>3671</v>
      </c>
      <c r="E378" s="110" t="s">
        <v>3527</v>
      </c>
      <c r="F378" s="110" t="str">
        <f>IFERROR(VLOOKUP(C378,[1]evdl298!$B:$D,3,0),"")</f>
        <v>E</v>
      </c>
      <c r="G378" s="110">
        <f>IFERROR(VLOOKUP(C378,[1]evdl298!$B:$C,2,0),"")</f>
        <v>41515</v>
      </c>
      <c r="H378" s="110" t="str">
        <f t="shared" si="16"/>
        <v>E</v>
      </c>
      <c r="I378" s="110">
        <f t="shared" si="17"/>
        <v>41515</v>
      </c>
      <c r="J378" s="110"/>
      <c r="K378" s="110"/>
      <c r="M378" s="110"/>
      <c r="O378" s="110"/>
    </row>
    <row r="379" spans="1:15" x14ac:dyDescent="0.3">
      <c r="A379" s="58" t="str">
        <f>Schedule!E377</f>
        <v>A008720</v>
      </c>
      <c r="B379" s="58" t="s">
        <v>1873</v>
      </c>
      <c r="C379" s="58" t="str">
        <f t="shared" si="15"/>
        <v>008720 KS</v>
      </c>
      <c r="D379" s="58" t="s">
        <v>3671</v>
      </c>
      <c r="E379" s="110" t="s">
        <v>3527</v>
      </c>
      <c r="F379" s="110" t="str">
        <f>IFERROR(VLOOKUP(C379,[1]evdl298!$B:$D,3,0),"")</f>
        <v>E</v>
      </c>
      <c r="G379" s="110">
        <f>IFERROR(VLOOKUP(C379,[1]evdl298!$B:$C,2,0),"")</f>
        <v>41500</v>
      </c>
      <c r="H379" s="110" t="str">
        <f t="shared" si="16"/>
        <v>E</v>
      </c>
      <c r="I379" s="110">
        <f t="shared" si="17"/>
        <v>41500</v>
      </c>
      <c r="J379" s="110"/>
      <c r="K379" s="110"/>
      <c r="M379" s="110"/>
      <c r="O379" s="110"/>
    </row>
    <row r="380" spans="1:15" x14ac:dyDescent="0.3">
      <c r="A380" s="58" t="str">
        <f>Schedule!E378</f>
        <v>A008730</v>
      </c>
      <c r="B380" s="58" t="s">
        <v>1874</v>
      </c>
      <c r="C380" s="58" t="str">
        <f t="shared" si="15"/>
        <v>008730 KS</v>
      </c>
      <c r="D380" s="58" t="s">
        <v>3671</v>
      </c>
      <c r="E380" s="110" t="s">
        <v>3527</v>
      </c>
      <c r="F380" s="110" t="str">
        <f>IFERROR(VLOOKUP(C380,[1]evdl298!$B:$D,3,0),"")</f>
        <v>E</v>
      </c>
      <c r="G380" s="110">
        <f>IFERROR(VLOOKUP(C380,[1]evdl298!$B:$C,2,0),"")</f>
        <v>41500</v>
      </c>
      <c r="H380" s="110" t="str">
        <f t="shared" si="16"/>
        <v>E</v>
      </c>
      <c r="I380" s="110">
        <f t="shared" si="17"/>
        <v>41500</v>
      </c>
      <c r="J380" s="110"/>
      <c r="K380" s="110"/>
      <c r="M380" s="110"/>
      <c r="O380" s="110"/>
    </row>
    <row r="381" spans="1:15" x14ac:dyDescent="0.3">
      <c r="A381" s="58" t="str">
        <f>Schedule!E379</f>
        <v>A008770</v>
      </c>
      <c r="B381" s="58" t="s">
        <v>1875</v>
      </c>
      <c r="C381" s="58" t="str">
        <f t="shared" si="15"/>
        <v>008770 KS</v>
      </c>
      <c r="D381" s="58" t="s">
        <v>3671</v>
      </c>
      <c r="E381" s="110">
        <v>74356</v>
      </c>
      <c r="F381" s="110" t="str">
        <f>IFERROR(VLOOKUP(C381,[1]evdl298!$B:$D,3,0),"")</f>
        <v>E</v>
      </c>
      <c r="G381" s="110">
        <f>IFERROR(VLOOKUP(C381,[1]evdl298!$B:$C,2,0),"")</f>
        <v>41515</v>
      </c>
      <c r="H381" s="110" t="str">
        <f t="shared" si="16"/>
        <v>E</v>
      </c>
      <c r="I381" s="110">
        <f t="shared" si="17"/>
        <v>41515</v>
      </c>
      <c r="J381" s="110"/>
      <c r="K381" s="110"/>
      <c r="M381" s="110"/>
      <c r="O381" s="110"/>
    </row>
    <row r="382" spans="1:15" x14ac:dyDescent="0.3">
      <c r="A382" s="58" t="str">
        <f>Schedule!E380</f>
        <v>A008800</v>
      </c>
      <c r="B382" s="58" t="s">
        <v>1876</v>
      </c>
      <c r="C382" s="58" t="str">
        <f t="shared" si="15"/>
        <v>008800 KS</v>
      </c>
      <c r="D382" s="58" t="s">
        <v>3671</v>
      </c>
      <c r="E382" s="110" t="s">
        <v>3527</v>
      </c>
      <c r="F382" s="110" t="str">
        <f>IFERROR(VLOOKUP(C382,[1]evdl298!$B:$D,3,0),"")</f>
        <v/>
      </c>
      <c r="G382" s="110" t="str">
        <f>IFERROR(VLOOKUP(C382,[1]evdl298!$B:$C,2,0),"")</f>
        <v/>
      </c>
      <c r="H382" s="110" t="str">
        <f t="shared" si="16"/>
        <v/>
      </c>
      <c r="I382" s="110" t="str">
        <f t="shared" si="17"/>
        <v/>
      </c>
      <c r="J382" s="110"/>
      <c r="K382" s="110"/>
      <c r="M382" s="110"/>
      <c r="O382" s="110"/>
    </row>
    <row r="383" spans="1:15" x14ac:dyDescent="0.3">
      <c r="A383" s="58" t="str">
        <f>Schedule!E381</f>
        <v>A008830</v>
      </c>
      <c r="B383" s="58" t="s">
        <v>1877</v>
      </c>
      <c r="C383" s="58" t="str">
        <f t="shared" si="15"/>
        <v>008830 KS</v>
      </c>
      <c r="D383" s="58" t="s">
        <v>3671</v>
      </c>
      <c r="E383" s="110" t="s">
        <v>3527</v>
      </c>
      <c r="F383" s="110" t="str">
        <f>IFERROR(VLOOKUP(C383,[1]evdl298!$B:$D,3,0),"")</f>
        <v>E</v>
      </c>
      <c r="G383" s="110">
        <f>IFERROR(VLOOKUP(C383,[1]evdl298!$B:$C,2,0),"")</f>
        <v>41460</v>
      </c>
      <c r="H383" s="110" t="str">
        <f t="shared" si="16"/>
        <v>E</v>
      </c>
      <c r="I383" s="110">
        <f t="shared" si="17"/>
        <v>41460</v>
      </c>
      <c r="J383" s="110"/>
      <c r="K383" s="110"/>
      <c r="M383" s="110"/>
      <c r="O383" s="110"/>
    </row>
    <row r="384" spans="1:15" x14ac:dyDescent="0.3">
      <c r="A384" s="58" t="str">
        <f>Schedule!E382</f>
        <v>A008870</v>
      </c>
      <c r="B384" s="58" t="s">
        <v>1878</v>
      </c>
      <c r="C384" s="58" t="str">
        <f t="shared" si="15"/>
        <v>008870 KS</v>
      </c>
      <c r="D384" s="58" t="s">
        <v>3671</v>
      </c>
      <c r="E384" s="110" t="s">
        <v>3527</v>
      </c>
      <c r="F384" s="110" t="str">
        <f>IFERROR(VLOOKUP(C384,[1]evdl298!$B:$D,3,0),"")</f>
        <v>E</v>
      </c>
      <c r="G384" s="110">
        <f>IFERROR(VLOOKUP(C384,[1]evdl298!$B:$C,2,0),"")</f>
        <v>41460</v>
      </c>
      <c r="H384" s="110" t="str">
        <f t="shared" si="16"/>
        <v>E</v>
      </c>
      <c r="I384" s="110">
        <f t="shared" si="17"/>
        <v>41460</v>
      </c>
      <c r="J384" s="110"/>
      <c r="K384" s="110"/>
      <c r="M384" s="110"/>
      <c r="O384" s="110"/>
    </row>
    <row r="385" spans="1:15" x14ac:dyDescent="0.3">
      <c r="A385" s="58" t="str">
        <f>Schedule!E383</f>
        <v>A008900</v>
      </c>
      <c r="B385" s="58" t="s">
        <v>1879</v>
      </c>
      <c r="C385" s="58" t="str">
        <f t="shared" si="15"/>
        <v>008900 KS</v>
      </c>
      <c r="D385" s="58" t="s">
        <v>3671</v>
      </c>
      <c r="E385" s="110" t="s">
        <v>3527</v>
      </c>
      <c r="F385" s="110" t="str">
        <f>IFERROR(VLOOKUP(C385,[1]evdl298!$B:$D,3,0),"")</f>
        <v/>
      </c>
      <c r="G385" s="110" t="str">
        <f>IFERROR(VLOOKUP(C385,[1]evdl298!$B:$C,2,0),"")</f>
        <v/>
      </c>
      <c r="H385" s="110" t="str">
        <f t="shared" si="16"/>
        <v/>
      </c>
      <c r="I385" s="110" t="str">
        <f t="shared" si="17"/>
        <v/>
      </c>
      <c r="J385" s="110"/>
      <c r="K385" s="110"/>
      <c r="M385" s="110"/>
      <c r="O385" s="110"/>
    </row>
    <row r="386" spans="1:15" x14ac:dyDescent="0.3">
      <c r="A386" s="58" t="str">
        <f>Schedule!E384</f>
        <v>A008930</v>
      </c>
      <c r="B386" s="58" t="s">
        <v>1880</v>
      </c>
      <c r="C386" s="58" t="str">
        <f t="shared" si="15"/>
        <v>008930 KS</v>
      </c>
      <c r="D386" s="58" t="s">
        <v>3671</v>
      </c>
      <c r="E386" s="110" t="s">
        <v>3527</v>
      </c>
      <c r="F386" s="110" t="str">
        <f>IFERROR(VLOOKUP(C386,[1]evdl298!$B:$D,3,0),"")</f>
        <v>E</v>
      </c>
      <c r="G386" s="110">
        <f>IFERROR(VLOOKUP(C386,[1]evdl298!$B:$C,2,0),"")</f>
        <v>41500</v>
      </c>
      <c r="H386" s="110" t="str">
        <f t="shared" si="16"/>
        <v>E</v>
      </c>
      <c r="I386" s="110">
        <f t="shared" si="17"/>
        <v>41500</v>
      </c>
      <c r="J386" s="110"/>
      <c r="K386" s="110"/>
      <c r="M386" s="110"/>
      <c r="O386" s="110"/>
    </row>
    <row r="387" spans="1:15" x14ac:dyDescent="0.3">
      <c r="A387" s="58" t="str">
        <f>Schedule!E385</f>
        <v>A008970</v>
      </c>
      <c r="B387" s="58" t="s">
        <v>1881</v>
      </c>
      <c r="C387" s="58" t="str">
        <f t="shared" si="15"/>
        <v>008970 KS</v>
      </c>
      <c r="D387" s="58" t="s">
        <v>3671</v>
      </c>
      <c r="E387" s="110" t="s">
        <v>3527</v>
      </c>
      <c r="F387" s="110" t="str">
        <f>IFERROR(VLOOKUP(C387,[1]evdl298!$B:$D,3,0),"")</f>
        <v/>
      </c>
      <c r="G387" s="110" t="str">
        <f>IFERROR(VLOOKUP(C387,[1]evdl298!$B:$C,2,0),"")</f>
        <v/>
      </c>
      <c r="H387" s="110" t="str">
        <f t="shared" si="16"/>
        <v/>
      </c>
      <c r="I387" s="110" t="str">
        <f t="shared" si="17"/>
        <v/>
      </c>
      <c r="J387" s="110"/>
      <c r="K387" s="110"/>
      <c r="M387" s="110"/>
      <c r="O387" s="110"/>
    </row>
    <row r="388" spans="1:15" x14ac:dyDescent="0.3">
      <c r="A388" s="58" t="str">
        <f>Schedule!E386</f>
        <v>A009070</v>
      </c>
      <c r="B388" s="58" t="s">
        <v>1882</v>
      </c>
      <c r="C388" s="58" t="str">
        <f t="shared" si="15"/>
        <v>009070 KS</v>
      </c>
      <c r="D388" s="58" t="s">
        <v>3671</v>
      </c>
      <c r="E388" s="110" t="s">
        <v>3527</v>
      </c>
      <c r="F388" s="110" t="str">
        <f>IFERROR(VLOOKUP(C388,[1]evdl298!$B:$D,3,0),"")</f>
        <v/>
      </c>
      <c r="G388" s="110" t="str">
        <f>IFERROR(VLOOKUP(C388,[1]evdl298!$B:$C,2,0),"")</f>
        <v/>
      </c>
      <c r="H388" s="110" t="str">
        <f t="shared" si="16"/>
        <v/>
      </c>
      <c r="I388" s="110" t="str">
        <f t="shared" si="17"/>
        <v/>
      </c>
      <c r="J388" s="110"/>
      <c r="K388" s="110"/>
      <c r="M388" s="110"/>
      <c r="O388" s="110"/>
    </row>
    <row r="389" spans="1:15" x14ac:dyDescent="0.3">
      <c r="A389" s="58" t="str">
        <f>Schedule!E387</f>
        <v>A009140</v>
      </c>
      <c r="B389" s="58" t="s">
        <v>1883</v>
      </c>
      <c r="C389" s="58" t="str">
        <f t="shared" si="15"/>
        <v>009140 KS</v>
      </c>
      <c r="D389" s="58" t="s">
        <v>3671</v>
      </c>
      <c r="E389" s="110" t="s">
        <v>3527</v>
      </c>
      <c r="F389" s="110" t="str">
        <f>IFERROR(VLOOKUP(C389,[1]evdl298!$B:$D,3,0),"")</f>
        <v>E</v>
      </c>
      <c r="G389" s="110">
        <f>IFERROR(VLOOKUP(C389,[1]evdl298!$B:$C,2,0),"")</f>
        <v>41515</v>
      </c>
      <c r="H389" s="110" t="str">
        <f t="shared" si="16"/>
        <v>E</v>
      </c>
      <c r="I389" s="110">
        <f t="shared" si="17"/>
        <v>41515</v>
      </c>
      <c r="J389" s="110"/>
      <c r="K389" s="110"/>
      <c r="M389" s="110"/>
      <c r="O389" s="110"/>
    </row>
    <row r="390" spans="1:15" x14ac:dyDescent="0.3">
      <c r="A390" s="58" t="str">
        <f>Schedule!E388</f>
        <v>A009150</v>
      </c>
      <c r="B390" s="58" t="s">
        <v>1884</v>
      </c>
      <c r="C390" s="58" t="str">
        <f t="shared" si="15"/>
        <v>009150 KS</v>
      </c>
      <c r="D390" s="58" t="s">
        <v>3671</v>
      </c>
      <c r="E390" s="110" t="s">
        <v>3679</v>
      </c>
      <c r="F390" s="110" t="str">
        <f>IFERROR(VLOOKUP(C390,[1]evdl298!$B:$D,3,0),"")</f>
        <v>C</v>
      </c>
      <c r="G390" s="110">
        <f>IFERROR(VLOOKUP(C390,[1]evdl298!$B:$C,2,0),"")</f>
        <v>41480</v>
      </c>
      <c r="H390" s="110" t="str">
        <f t="shared" si="16"/>
        <v>C</v>
      </c>
      <c r="I390" s="110">
        <f t="shared" si="17"/>
        <v>41480</v>
      </c>
      <c r="J390" s="110"/>
      <c r="K390" s="110"/>
      <c r="M390" s="110"/>
      <c r="O390" s="110"/>
    </row>
    <row r="391" spans="1:15" x14ac:dyDescent="0.3">
      <c r="A391" s="58" t="str">
        <f>Schedule!E389</f>
        <v>A009160</v>
      </c>
      <c r="B391" s="58" t="s">
        <v>1885</v>
      </c>
      <c r="C391" s="58" t="str">
        <f t="shared" si="15"/>
        <v>009160 KS</v>
      </c>
      <c r="D391" s="58" t="s">
        <v>3671</v>
      </c>
      <c r="E391" s="110" t="s">
        <v>3527</v>
      </c>
      <c r="F391" s="110" t="str">
        <f>IFERROR(VLOOKUP(C391,[1]evdl298!$B:$D,3,0),"")</f>
        <v/>
      </c>
      <c r="G391" s="110" t="str">
        <f>IFERROR(VLOOKUP(C391,[1]evdl298!$B:$C,2,0),"")</f>
        <v/>
      </c>
      <c r="H391" s="110" t="str">
        <f t="shared" si="16"/>
        <v/>
      </c>
      <c r="I391" s="110" t="str">
        <f t="shared" si="17"/>
        <v/>
      </c>
      <c r="J391" s="110"/>
      <c r="K391" s="110"/>
      <c r="M391" s="110"/>
      <c r="O391" s="110"/>
    </row>
    <row r="392" spans="1:15" x14ac:dyDescent="0.3">
      <c r="A392" s="58" t="str">
        <f>Schedule!E390</f>
        <v>A009180</v>
      </c>
      <c r="B392" s="58" t="s">
        <v>1886</v>
      </c>
      <c r="C392" s="58" t="str">
        <f t="shared" si="15"/>
        <v>009180 KS</v>
      </c>
      <c r="D392" s="58" t="s">
        <v>3671</v>
      </c>
      <c r="E392" s="110" t="s">
        <v>3527</v>
      </c>
      <c r="F392" s="110" t="str">
        <f>IFERROR(VLOOKUP(C392,[1]evdl298!$B:$D,3,0),"")</f>
        <v/>
      </c>
      <c r="G392" s="110" t="str">
        <f>IFERROR(VLOOKUP(C392,[1]evdl298!$B:$C,2,0),"")</f>
        <v/>
      </c>
      <c r="H392" s="110" t="str">
        <f t="shared" si="16"/>
        <v/>
      </c>
      <c r="I392" s="110" t="str">
        <f t="shared" si="17"/>
        <v/>
      </c>
      <c r="J392" s="110"/>
      <c r="K392" s="110"/>
      <c r="M392" s="110"/>
      <c r="O392" s="110"/>
    </row>
    <row r="393" spans="1:15" x14ac:dyDescent="0.3">
      <c r="A393" s="58" t="str">
        <f>Schedule!E391</f>
        <v>A009190</v>
      </c>
      <c r="B393" s="58" t="s">
        <v>1887</v>
      </c>
      <c r="C393" s="58" t="str">
        <f t="shared" si="15"/>
        <v>009190 KS</v>
      </c>
      <c r="D393" s="58" t="s">
        <v>3671</v>
      </c>
      <c r="E393" s="110" t="s">
        <v>3527</v>
      </c>
      <c r="F393" s="110" t="str">
        <f>IFERROR(VLOOKUP(C393,[1]evdl298!$B:$D,3,0),"")</f>
        <v/>
      </c>
      <c r="G393" s="110" t="str">
        <f>IFERROR(VLOOKUP(C393,[1]evdl298!$B:$C,2,0),"")</f>
        <v/>
      </c>
      <c r="H393" s="110" t="str">
        <f t="shared" si="16"/>
        <v/>
      </c>
      <c r="I393" s="110" t="str">
        <f t="shared" si="17"/>
        <v/>
      </c>
      <c r="J393" s="110"/>
      <c r="K393" s="110"/>
      <c r="M393" s="110"/>
      <c r="O393" s="110"/>
    </row>
    <row r="394" spans="1:15" x14ac:dyDescent="0.3">
      <c r="A394" s="58" t="str">
        <f>Schedule!E392</f>
        <v>A009200</v>
      </c>
      <c r="B394" s="58" t="s">
        <v>1888</v>
      </c>
      <c r="C394" s="58" t="str">
        <f t="shared" si="15"/>
        <v>009200 KS</v>
      </c>
      <c r="D394" s="58" t="s">
        <v>3671</v>
      </c>
      <c r="E394" s="110" t="s">
        <v>3527</v>
      </c>
      <c r="F394" s="110" t="str">
        <f>IFERROR(VLOOKUP(C394,[1]evdl298!$B:$D,3,0),"")</f>
        <v>E</v>
      </c>
      <c r="G394" s="110">
        <f>IFERROR(VLOOKUP(C394,[1]evdl298!$B:$C,2,0),"")</f>
        <v>41500</v>
      </c>
      <c r="H394" s="110" t="str">
        <f t="shared" si="16"/>
        <v>E</v>
      </c>
      <c r="I394" s="110">
        <f t="shared" si="17"/>
        <v>41500</v>
      </c>
      <c r="J394" s="110"/>
      <c r="K394" s="110"/>
      <c r="M394" s="110"/>
      <c r="O394" s="110"/>
    </row>
    <row r="395" spans="1:15" x14ac:dyDescent="0.3">
      <c r="A395" s="58" t="str">
        <f>Schedule!E393</f>
        <v>A009240</v>
      </c>
      <c r="B395" s="58" t="s">
        <v>1889</v>
      </c>
      <c r="C395" s="58" t="str">
        <f t="shared" si="15"/>
        <v>009240 KS</v>
      </c>
      <c r="D395" s="58" t="s">
        <v>3671</v>
      </c>
      <c r="E395" s="110" t="s">
        <v>3527</v>
      </c>
      <c r="F395" s="110" t="str">
        <f>IFERROR(VLOOKUP(C395,[1]evdl298!$B:$D,3,0),"")</f>
        <v>C</v>
      </c>
      <c r="G395" s="110">
        <f>IFERROR(VLOOKUP(C395,[1]evdl298!$B:$C,2,0),"")</f>
        <v>41471</v>
      </c>
      <c r="H395" s="110" t="str">
        <f t="shared" si="16"/>
        <v>C</v>
      </c>
      <c r="I395" s="110">
        <f t="shared" si="17"/>
        <v>41471</v>
      </c>
      <c r="J395" s="110"/>
      <c r="K395" s="110"/>
      <c r="M395" s="110"/>
      <c r="O395" s="110"/>
    </row>
    <row r="396" spans="1:15" x14ac:dyDescent="0.3">
      <c r="A396" s="58" t="str">
        <f>Schedule!E394</f>
        <v>A009270</v>
      </c>
      <c r="B396" s="58" t="s">
        <v>1890</v>
      </c>
      <c r="C396" s="58" t="str">
        <f t="shared" si="15"/>
        <v>009270 KS</v>
      </c>
      <c r="D396" s="58" t="s">
        <v>3671</v>
      </c>
      <c r="E396" s="110" t="s">
        <v>3527</v>
      </c>
      <c r="F396" s="110" t="str">
        <f>IFERROR(VLOOKUP(C396,[1]evdl298!$B:$D,3,0),"")</f>
        <v>E</v>
      </c>
      <c r="G396" s="110">
        <f>IFERROR(VLOOKUP(C396,[1]evdl298!$B:$C,2,0),"")</f>
        <v>41515</v>
      </c>
      <c r="H396" s="110" t="str">
        <f t="shared" si="16"/>
        <v>E</v>
      </c>
      <c r="I396" s="110">
        <f t="shared" si="17"/>
        <v>41515</v>
      </c>
      <c r="J396" s="110"/>
      <c r="K396" s="110"/>
      <c r="M396" s="110"/>
      <c r="O396" s="110"/>
    </row>
    <row r="397" spans="1:15" x14ac:dyDescent="0.3">
      <c r="A397" s="58" t="str">
        <f>Schedule!E395</f>
        <v>A009290</v>
      </c>
      <c r="B397" s="58" t="s">
        <v>1891</v>
      </c>
      <c r="C397" s="58" t="str">
        <f t="shared" si="15"/>
        <v>009290 KS</v>
      </c>
      <c r="D397" s="58" t="s">
        <v>3671</v>
      </c>
      <c r="E397" s="110" t="s">
        <v>3527</v>
      </c>
      <c r="F397" s="110" t="str">
        <f>IFERROR(VLOOKUP(C397,[1]evdl298!$B:$D,3,0),"")</f>
        <v/>
      </c>
      <c r="G397" s="110" t="str">
        <f>IFERROR(VLOOKUP(C397,[1]evdl298!$B:$C,2,0),"")</f>
        <v/>
      </c>
      <c r="H397" s="110" t="str">
        <f t="shared" si="16"/>
        <v/>
      </c>
      <c r="I397" s="110" t="str">
        <f t="shared" si="17"/>
        <v/>
      </c>
      <c r="J397" s="110"/>
      <c r="K397" s="110"/>
      <c r="M397" s="110"/>
      <c r="O397" s="110"/>
    </row>
    <row r="398" spans="1:15" x14ac:dyDescent="0.3">
      <c r="A398" s="58" t="str">
        <f>Schedule!E396</f>
        <v>A009300</v>
      </c>
      <c r="B398" s="58" t="s">
        <v>1892</v>
      </c>
      <c r="C398" s="58" t="str">
        <f t="shared" si="15"/>
        <v>009300 KS</v>
      </c>
      <c r="D398" s="58" t="s">
        <v>3671</v>
      </c>
      <c r="E398" s="110" t="s">
        <v>3527</v>
      </c>
      <c r="F398" s="110" t="str">
        <f>IFERROR(VLOOKUP(C398,[1]evdl298!$B:$D,3,0),"")</f>
        <v>E</v>
      </c>
      <c r="G398" s="110">
        <f>IFERROR(VLOOKUP(C398,[1]evdl298!$B:$C,2,0),"")</f>
        <v>41500</v>
      </c>
      <c r="H398" s="110" t="str">
        <f t="shared" si="16"/>
        <v>E</v>
      </c>
      <c r="I398" s="110">
        <f t="shared" si="17"/>
        <v>41500</v>
      </c>
      <c r="J398" s="110"/>
      <c r="K398" s="110"/>
      <c r="M398" s="110"/>
      <c r="O398" s="110"/>
    </row>
    <row r="399" spans="1:15" x14ac:dyDescent="0.3">
      <c r="A399" s="58" t="str">
        <f>Schedule!E397</f>
        <v>A009310</v>
      </c>
      <c r="B399" s="58" t="s">
        <v>1893</v>
      </c>
      <c r="C399" s="58" t="str">
        <f t="shared" si="15"/>
        <v>009310 KS</v>
      </c>
      <c r="D399" s="58" t="s">
        <v>3671</v>
      </c>
      <c r="E399" s="110" t="s">
        <v>3527</v>
      </c>
      <c r="F399" s="110" t="str">
        <f>IFERROR(VLOOKUP(C399,[1]evdl298!$B:$D,3,0),"")</f>
        <v/>
      </c>
      <c r="G399" s="110" t="str">
        <f>IFERROR(VLOOKUP(C399,[1]evdl298!$B:$C,2,0),"")</f>
        <v/>
      </c>
      <c r="H399" s="110" t="str">
        <f t="shared" si="16"/>
        <v/>
      </c>
      <c r="I399" s="110" t="str">
        <f t="shared" si="17"/>
        <v/>
      </c>
      <c r="J399" s="110"/>
      <c r="K399" s="110"/>
      <c r="M399" s="110"/>
      <c r="O399" s="110"/>
    </row>
    <row r="400" spans="1:15" x14ac:dyDescent="0.3">
      <c r="A400" s="58" t="str">
        <f>Schedule!E398</f>
        <v>A009320</v>
      </c>
      <c r="B400" s="58" t="s">
        <v>1894</v>
      </c>
      <c r="C400" s="58" t="str">
        <f t="shared" si="15"/>
        <v>009320 KS</v>
      </c>
      <c r="D400" s="58" t="s">
        <v>3671</v>
      </c>
      <c r="E400" s="110" t="s">
        <v>3527</v>
      </c>
      <c r="F400" s="110" t="str">
        <f>IFERROR(VLOOKUP(C400,[1]evdl298!$B:$D,3,0),"")</f>
        <v>E</v>
      </c>
      <c r="G400" s="110">
        <f>IFERROR(VLOOKUP(C400,[1]evdl298!$B:$C,2,0),"")</f>
        <v>41515</v>
      </c>
      <c r="H400" s="110" t="str">
        <f t="shared" si="16"/>
        <v>E</v>
      </c>
      <c r="I400" s="110">
        <f t="shared" si="17"/>
        <v>41515</v>
      </c>
      <c r="J400" s="110"/>
      <c r="K400" s="110"/>
      <c r="M400" s="110"/>
      <c r="O400" s="110"/>
    </row>
    <row r="401" spans="1:15" x14ac:dyDescent="0.3">
      <c r="A401" s="58" t="str">
        <f>Schedule!E399</f>
        <v>A009410</v>
      </c>
      <c r="B401" s="58" t="s">
        <v>1895</v>
      </c>
      <c r="C401" s="58" t="str">
        <f t="shared" ref="C401:C464" si="18">RIGHT(A401,6)&amp;" KS"</f>
        <v>009410 KS</v>
      </c>
      <c r="D401" s="58" t="s">
        <v>3671</v>
      </c>
      <c r="E401" s="110" t="s">
        <v>3527</v>
      </c>
      <c r="F401" s="110" t="str">
        <f>IFERROR(VLOOKUP(C401,[1]evdl298!$B:$D,3,0),"")</f>
        <v/>
      </c>
      <c r="G401" s="110" t="str">
        <f>IFERROR(VLOOKUP(C401,[1]evdl298!$B:$C,2,0),"")</f>
        <v/>
      </c>
      <c r="H401" s="110" t="str">
        <f t="shared" ref="H401:H464" si="19">F401</f>
        <v/>
      </c>
      <c r="I401" s="110" t="str">
        <f t="shared" ref="I401:I464" si="20">IF(ISNUMBER(G401),G401,E401)</f>
        <v/>
      </c>
      <c r="J401" s="110"/>
      <c r="K401" s="110"/>
      <c r="M401" s="110"/>
      <c r="O401" s="110"/>
    </row>
    <row r="402" spans="1:15" x14ac:dyDescent="0.3">
      <c r="A402" s="58" t="str">
        <f>Schedule!E400</f>
        <v>A009420</v>
      </c>
      <c r="B402" s="58" t="s">
        <v>1896</v>
      </c>
      <c r="C402" s="58" t="str">
        <f t="shared" si="18"/>
        <v>009420 KS</v>
      </c>
      <c r="D402" s="58" t="s">
        <v>3671</v>
      </c>
      <c r="E402" s="110" t="s">
        <v>3527</v>
      </c>
      <c r="F402" s="110" t="str">
        <f>IFERROR(VLOOKUP(C402,[1]evdl298!$B:$D,3,0),"")</f>
        <v/>
      </c>
      <c r="G402" s="110" t="str">
        <f>IFERROR(VLOOKUP(C402,[1]evdl298!$B:$C,2,0),"")</f>
        <v/>
      </c>
      <c r="H402" s="110" t="str">
        <f t="shared" si="19"/>
        <v/>
      </c>
      <c r="I402" s="110" t="str">
        <f t="shared" si="20"/>
        <v/>
      </c>
      <c r="J402" s="110"/>
      <c r="K402" s="110"/>
      <c r="M402" s="110"/>
      <c r="O402" s="110"/>
    </row>
    <row r="403" spans="1:15" x14ac:dyDescent="0.3">
      <c r="A403" s="58" t="str">
        <f>Schedule!E401</f>
        <v>A009440</v>
      </c>
      <c r="B403" s="58" t="s">
        <v>1897</v>
      </c>
      <c r="C403" s="58" t="str">
        <f t="shared" si="18"/>
        <v>009440 KS</v>
      </c>
      <c r="D403" s="58" t="s">
        <v>3671</v>
      </c>
      <c r="E403" s="110" t="s">
        <v>3527</v>
      </c>
      <c r="F403" s="110" t="str">
        <f>IFERROR(VLOOKUP(C403,[1]evdl298!$B:$D,3,0),"")</f>
        <v>E</v>
      </c>
      <c r="G403" s="110">
        <f>IFERROR(VLOOKUP(C403,[1]evdl298!$B:$C,2,0),"")</f>
        <v>41500</v>
      </c>
      <c r="H403" s="110" t="str">
        <f t="shared" si="19"/>
        <v>E</v>
      </c>
      <c r="I403" s="110">
        <f t="shared" si="20"/>
        <v>41500</v>
      </c>
      <c r="J403" s="110"/>
      <c r="K403" s="110"/>
      <c r="M403" s="110"/>
      <c r="O403" s="110"/>
    </row>
    <row r="404" spans="1:15" x14ac:dyDescent="0.3">
      <c r="A404" s="58" t="str">
        <f>Schedule!E402</f>
        <v>A009450</v>
      </c>
      <c r="B404" s="58" t="s">
        <v>1898</v>
      </c>
      <c r="C404" s="58" t="str">
        <f t="shared" si="18"/>
        <v>009450 KS</v>
      </c>
      <c r="D404" s="58" t="s">
        <v>3671</v>
      </c>
      <c r="E404" s="110" t="s">
        <v>3527</v>
      </c>
      <c r="F404" s="110" t="str">
        <f>IFERROR(VLOOKUP(C404,[1]evdl298!$B:$D,3,0),"")</f>
        <v>E</v>
      </c>
      <c r="G404" s="110">
        <f>IFERROR(VLOOKUP(C404,[1]evdl298!$B:$C,2,0),"")</f>
        <v>41515</v>
      </c>
      <c r="H404" s="110" t="str">
        <f t="shared" si="19"/>
        <v>E</v>
      </c>
      <c r="I404" s="110">
        <f t="shared" si="20"/>
        <v>41515</v>
      </c>
      <c r="J404" s="110"/>
      <c r="K404" s="110"/>
      <c r="M404" s="110"/>
      <c r="O404" s="110"/>
    </row>
    <row r="405" spans="1:15" x14ac:dyDescent="0.3">
      <c r="A405" s="58" t="str">
        <f>Schedule!E403</f>
        <v>A009460</v>
      </c>
      <c r="B405" s="58" t="s">
        <v>1899</v>
      </c>
      <c r="C405" s="58" t="str">
        <f t="shared" si="18"/>
        <v>009460 KS</v>
      </c>
      <c r="D405" s="58" t="s">
        <v>3671</v>
      </c>
      <c r="E405" s="110" t="s">
        <v>3527</v>
      </c>
      <c r="F405" s="110" t="str">
        <f>IFERROR(VLOOKUP(C405,[1]evdl298!$B:$D,3,0),"")</f>
        <v>E</v>
      </c>
      <c r="G405" s="110">
        <f>IFERROR(VLOOKUP(C405,[1]evdl298!$B:$C,2,0),"")</f>
        <v>41500</v>
      </c>
      <c r="H405" s="110" t="str">
        <f t="shared" si="19"/>
        <v>E</v>
      </c>
      <c r="I405" s="110">
        <f t="shared" si="20"/>
        <v>41500</v>
      </c>
      <c r="J405" s="110"/>
      <c r="K405" s="110"/>
      <c r="M405" s="110"/>
      <c r="O405" s="110"/>
    </row>
    <row r="406" spans="1:15" x14ac:dyDescent="0.3">
      <c r="A406" s="58" t="str">
        <f>Schedule!E404</f>
        <v>A009470</v>
      </c>
      <c r="B406" s="58" t="s">
        <v>1900</v>
      </c>
      <c r="C406" s="58" t="str">
        <f t="shared" si="18"/>
        <v>009470 KS</v>
      </c>
      <c r="D406" s="58" t="s">
        <v>3671</v>
      </c>
      <c r="E406" s="110" t="s">
        <v>3527</v>
      </c>
      <c r="F406" s="110" t="str">
        <f>IFERROR(VLOOKUP(C406,[1]evdl298!$B:$D,3,0),"")</f>
        <v/>
      </c>
      <c r="G406" s="110" t="str">
        <f>IFERROR(VLOOKUP(C406,[1]evdl298!$B:$C,2,0),"")</f>
        <v/>
      </c>
      <c r="H406" s="110" t="str">
        <f t="shared" si="19"/>
        <v/>
      </c>
      <c r="I406" s="110" t="str">
        <f t="shared" si="20"/>
        <v/>
      </c>
      <c r="J406" s="110"/>
      <c r="K406" s="110"/>
      <c r="M406" s="110"/>
      <c r="O406" s="110"/>
    </row>
    <row r="407" spans="1:15" x14ac:dyDescent="0.3">
      <c r="A407" s="58" t="str">
        <f>Schedule!E405</f>
        <v>A009520</v>
      </c>
      <c r="B407" s="58" t="s">
        <v>1901</v>
      </c>
      <c r="C407" s="58" t="str">
        <f t="shared" si="18"/>
        <v>009520 KS</v>
      </c>
      <c r="D407" s="58" t="s">
        <v>3671</v>
      </c>
      <c r="E407" s="110" t="s">
        <v>3527</v>
      </c>
      <c r="F407" s="110" t="str">
        <f>IFERROR(VLOOKUP(C407,[1]evdl298!$B:$D,3,0),"")</f>
        <v>E</v>
      </c>
      <c r="G407" s="110">
        <f>IFERROR(VLOOKUP(C407,[1]evdl298!$B:$C,2,0),"")</f>
        <v>41479</v>
      </c>
      <c r="H407" s="110" t="str">
        <f t="shared" si="19"/>
        <v>E</v>
      </c>
      <c r="I407" s="110">
        <f t="shared" si="20"/>
        <v>41479</v>
      </c>
      <c r="J407" s="110"/>
      <c r="K407" s="110"/>
      <c r="M407" s="110"/>
      <c r="O407" s="110"/>
    </row>
    <row r="408" spans="1:15" x14ac:dyDescent="0.3">
      <c r="A408" s="58" t="str">
        <f>Schedule!E406</f>
        <v>A009540</v>
      </c>
      <c r="B408" s="58" t="s">
        <v>1902</v>
      </c>
      <c r="C408" s="58" t="str">
        <f t="shared" si="18"/>
        <v>009540 KS</v>
      </c>
      <c r="D408" s="58" t="s">
        <v>3671</v>
      </c>
      <c r="E408" s="110" t="s">
        <v>3684</v>
      </c>
      <c r="F408" s="110" t="str">
        <f>IFERROR(VLOOKUP(C408,[1]evdl298!$B:$D,3,0),"")</f>
        <v>E</v>
      </c>
      <c r="G408" s="110">
        <f>IFERROR(VLOOKUP(C408,[1]evdl298!$B:$C,2,0),"")</f>
        <v>41499</v>
      </c>
      <c r="H408" s="110" t="str">
        <f t="shared" si="19"/>
        <v>E</v>
      </c>
      <c r="I408" s="110">
        <f t="shared" si="20"/>
        <v>41499</v>
      </c>
      <c r="J408" s="110"/>
      <c r="K408" s="110"/>
      <c r="M408" s="110"/>
      <c r="O408" s="110"/>
    </row>
    <row r="409" spans="1:15" x14ac:dyDescent="0.3">
      <c r="A409" s="58" t="str">
        <f>Schedule!E407</f>
        <v>A009580</v>
      </c>
      <c r="B409" s="58" t="s">
        <v>1903</v>
      </c>
      <c r="C409" s="58" t="str">
        <f t="shared" si="18"/>
        <v>009580 KS</v>
      </c>
      <c r="D409" s="58" t="s">
        <v>3671</v>
      </c>
      <c r="E409" s="110" t="s">
        <v>3527</v>
      </c>
      <c r="F409" s="110" t="str">
        <f>IFERROR(VLOOKUP(C409,[1]evdl298!$B:$D,3,0),"")</f>
        <v>E</v>
      </c>
      <c r="G409" s="110">
        <f>IFERROR(VLOOKUP(C409,[1]evdl298!$B:$C,2,0),"")</f>
        <v>41515</v>
      </c>
      <c r="H409" s="110" t="str">
        <f t="shared" si="19"/>
        <v>E</v>
      </c>
      <c r="I409" s="110">
        <f t="shared" si="20"/>
        <v>41515</v>
      </c>
      <c r="J409" s="110"/>
      <c r="K409" s="110"/>
      <c r="M409" s="110"/>
      <c r="O409" s="110"/>
    </row>
    <row r="410" spans="1:15" x14ac:dyDescent="0.3">
      <c r="A410" s="58" t="str">
        <f>Schedule!E408</f>
        <v>A009620</v>
      </c>
      <c r="B410" s="58" t="s">
        <v>1904</v>
      </c>
      <c r="C410" s="58" t="str">
        <f t="shared" si="18"/>
        <v>009620 KS</v>
      </c>
      <c r="D410" s="58" t="s">
        <v>3671</v>
      </c>
      <c r="E410" s="110" t="s">
        <v>3527</v>
      </c>
      <c r="F410" s="110" t="str">
        <f>IFERROR(VLOOKUP(C410,[1]evdl298!$B:$D,3,0),"")</f>
        <v>E</v>
      </c>
      <c r="G410" s="110">
        <f>IFERROR(VLOOKUP(C410,[1]evdl298!$B:$C,2,0),"")</f>
        <v>41515</v>
      </c>
      <c r="H410" s="110" t="str">
        <f t="shared" si="19"/>
        <v>E</v>
      </c>
      <c r="I410" s="110">
        <f t="shared" si="20"/>
        <v>41515</v>
      </c>
      <c r="J410" s="110"/>
      <c r="K410" s="110"/>
      <c r="M410" s="110"/>
      <c r="O410" s="110"/>
    </row>
    <row r="411" spans="1:15" x14ac:dyDescent="0.3">
      <c r="A411" s="58" t="str">
        <f>Schedule!E409</f>
        <v>A009680</v>
      </c>
      <c r="B411" s="58" t="s">
        <v>1905</v>
      </c>
      <c r="C411" s="58" t="str">
        <f t="shared" si="18"/>
        <v>009680 KS</v>
      </c>
      <c r="D411" s="58" t="s">
        <v>3671</v>
      </c>
      <c r="E411" s="110" t="s">
        <v>3527</v>
      </c>
      <c r="F411" s="110" t="str">
        <f>IFERROR(VLOOKUP(C411,[1]evdl298!$B:$D,3,0),"")</f>
        <v/>
      </c>
      <c r="G411" s="110" t="str">
        <f>IFERROR(VLOOKUP(C411,[1]evdl298!$B:$C,2,0),"")</f>
        <v/>
      </c>
      <c r="H411" s="110" t="str">
        <f t="shared" si="19"/>
        <v/>
      </c>
      <c r="I411" s="110" t="str">
        <f t="shared" si="20"/>
        <v/>
      </c>
      <c r="J411" s="110"/>
      <c r="K411" s="110"/>
      <c r="M411" s="110"/>
      <c r="O411" s="110"/>
    </row>
    <row r="412" spans="1:15" x14ac:dyDescent="0.3">
      <c r="A412" s="58" t="str">
        <f>Schedule!E410</f>
        <v>A009730</v>
      </c>
      <c r="B412" s="58" t="s">
        <v>1906</v>
      </c>
      <c r="C412" s="58" t="str">
        <f t="shared" si="18"/>
        <v>009730 KS</v>
      </c>
      <c r="D412" s="58" t="s">
        <v>3671</v>
      </c>
      <c r="E412" s="110" t="s">
        <v>3527</v>
      </c>
      <c r="F412" s="110" t="str">
        <f>IFERROR(VLOOKUP(C412,[1]evdl298!$B:$D,3,0),"")</f>
        <v>E</v>
      </c>
      <c r="G412" s="110">
        <f>IFERROR(VLOOKUP(C412,[1]evdl298!$B:$C,2,0),"")</f>
        <v>41500</v>
      </c>
      <c r="H412" s="110" t="str">
        <f t="shared" si="19"/>
        <v>E</v>
      </c>
      <c r="I412" s="110">
        <f t="shared" si="20"/>
        <v>41500</v>
      </c>
      <c r="J412" s="110"/>
      <c r="K412" s="110"/>
      <c r="M412" s="110"/>
      <c r="O412" s="110"/>
    </row>
    <row r="413" spans="1:15" x14ac:dyDescent="0.3">
      <c r="A413" s="58" t="str">
        <f>Schedule!E411</f>
        <v>A009770</v>
      </c>
      <c r="B413" s="58" t="s">
        <v>1907</v>
      </c>
      <c r="C413" s="58" t="str">
        <f t="shared" si="18"/>
        <v>009770 KS</v>
      </c>
      <c r="D413" s="58" t="s">
        <v>3671</v>
      </c>
      <c r="E413" s="110" t="s">
        <v>3527</v>
      </c>
      <c r="F413" s="110" t="str">
        <f>IFERROR(VLOOKUP(C413,[1]evdl298!$B:$D,3,0),"")</f>
        <v>E</v>
      </c>
      <c r="G413" s="110">
        <f>IFERROR(VLOOKUP(C413,[1]evdl298!$B:$C,2,0),"")</f>
        <v>41500</v>
      </c>
      <c r="H413" s="110" t="str">
        <f t="shared" si="19"/>
        <v>E</v>
      </c>
      <c r="I413" s="110">
        <f t="shared" si="20"/>
        <v>41500</v>
      </c>
      <c r="J413" s="110"/>
      <c r="K413" s="110"/>
      <c r="M413" s="110"/>
      <c r="O413" s="110"/>
    </row>
    <row r="414" spans="1:15" x14ac:dyDescent="0.3">
      <c r="A414" s="58" t="str">
        <f>Schedule!E412</f>
        <v>A009780</v>
      </c>
      <c r="B414" s="58" t="s">
        <v>1908</v>
      </c>
      <c r="C414" s="58" t="str">
        <f t="shared" si="18"/>
        <v>009780 KS</v>
      </c>
      <c r="D414" s="58" t="s">
        <v>3671</v>
      </c>
      <c r="E414" s="110" t="s">
        <v>3527</v>
      </c>
      <c r="F414" s="110" t="str">
        <f>IFERROR(VLOOKUP(C414,[1]evdl298!$B:$D,3,0),"")</f>
        <v/>
      </c>
      <c r="G414" s="110" t="str">
        <f>IFERROR(VLOOKUP(C414,[1]evdl298!$B:$C,2,0),"")</f>
        <v/>
      </c>
      <c r="H414" s="110" t="str">
        <f t="shared" si="19"/>
        <v/>
      </c>
      <c r="I414" s="110" t="str">
        <f t="shared" si="20"/>
        <v/>
      </c>
      <c r="J414" s="110"/>
      <c r="K414" s="110"/>
      <c r="M414" s="110"/>
      <c r="O414" s="110"/>
    </row>
    <row r="415" spans="1:15" x14ac:dyDescent="0.3">
      <c r="A415" s="58" t="str">
        <f>Schedule!E413</f>
        <v>A009810</v>
      </c>
      <c r="B415" s="58" t="s">
        <v>1909</v>
      </c>
      <c r="C415" s="58" t="str">
        <f t="shared" si="18"/>
        <v>009810 KS</v>
      </c>
      <c r="D415" s="58" t="s">
        <v>3671</v>
      </c>
      <c r="E415" s="110" t="s">
        <v>3527</v>
      </c>
      <c r="F415" s="110" t="str">
        <f>IFERROR(VLOOKUP(C415,[1]evdl298!$B:$D,3,0),"")</f>
        <v/>
      </c>
      <c r="G415" s="110" t="str">
        <f>IFERROR(VLOOKUP(C415,[1]evdl298!$B:$C,2,0),"")</f>
        <v/>
      </c>
      <c r="H415" s="110" t="str">
        <f t="shared" si="19"/>
        <v/>
      </c>
      <c r="I415" s="110" t="str">
        <f t="shared" si="20"/>
        <v/>
      </c>
      <c r="J415" s="110"/>
      <c r="K415" s="110"/>
      <c r="M415" s="110"/>
      <c r="O415" s="110"/>
    </row>
    <row r="416" spans="1:15" x14ac:dyDescent="0.3">
      <c r="A416" s="58" t="str">
        <f>Schedule!E414</f>
        <v>A009830</v>
      </c>
      <c r="B416" s="58" t="s">
        <v>1910</v>
      </c>
      <c r="C416" s="58" t="str">
        <f t="shared" si="18"/>
        <v>009830 KS</v>
      </c>
      <c r="D416" s="58" t="s">
        <v>3671</v>
      </c>
      <c r="E416" s="110" t="s">
        <v>3691</v>
      </c>
      <c r="F416" s="110" t="str">
        <f>IFERROR(VLOOKUP(C416,[1]evdl298!$B:$D,3,0),"")</f>
        <v>E</v>
      </c>
      <c r="G416" s="110">
        <f>IFERROR(VLOOKUP(C416,[1]evdl298!$B:$C,2,0),"")</f>
        <v>41500</v>
      </c>
      <c r="H416" s="110" t="str">
        <f t="shared" si="19"/>
        <v>E</v>
      </c>
      <c r="I416" s="110">
        <f t="shared" si="20"/>
        <v>41500</v>
      </c>
      <c r="J416" s="110"/>
      <c r="K416" s="110"/>
      <c r="M416" s="110"/>
      <c r="O416" s="110"/>
    </row>
    <row r="417" spans="1:15" x14ac:dyDescent="0.3">
      <c r="A417" s="58" t="str">
        <f>Schedule!E415</f>
        <v>A009970</v>
      </c>
      <c r="B417" s="58" t="s">
        <v>1911</v>
      </c>
      <c r="C417" s="58" t="str">
        <f t="shared" si="18"/>
        <v>009970 KS</v>
      </c>
      <c r="D417" s="58" t="s">
        <v>3671</v>
      </c>
      <c r="E417" s="110" t="s">
        <v>3527</v>
      </c>
      <c r="F417" s="110" t="str">
        <f>IFERROR(VLOOKUP(C417,[1]evdl298!$B:$D,3,0),"")</f>
        <v>E</v>
      </c>
      <c r="G417" s="110">
        <f>IFERROR(VLOOKUP(C417,[1]evdl298!$B:$C,2,0),"")</f>
        <v>41493</v>
      </c>
      <c r="H417" s="110" t="str">
        <f t="shared" si="19"/>
        <v>E</v>
      </c>
      <c r="I417" s="110">
        <f t="shared" si="20"/>
        <v>41493</v>
      </c>
      <c r="J417" s="110"/>
      <c r="K417" s="110"/>
      <c r="M417" s="110"/>
      <c r="O417" s="110"/>
    </row>
    <row r="418" spans="1:15" x14ac:dyDescent="0.3">
      <c r="A418" s="58" t="str">
        <f>Schedule!E416</f>
        <v>A010040</v>
      </c>
      <c r="B418" s="58" t="s">
        <v>1912</v>
      </c>
      <c r="C418" s="58" t="str">
        <f t="shared" si="18"/>
        <v>010040 KS</v>
      </c>
      <c r="D418" s="58" t="s">
        <v>3671</v>
      </c>
      <c r="E418" s="110" t="s">
        <v>3527</v>
      </c>
      <c r="F418" s="110" t="str">
        <f>IFERROR(VLOOKUP(C418,[1]evdl298!$B:$D,3,0),"")</f>
        <v>E</v>
      </c>
      <c r="G418" s="110">
        <f>IFERROR(VLOOKUP(C418,[1]evdl298!$B:$C,2,0),"")</f>
        <v>41500</v>
      </c>
      <c r="H418" s="110" t="str">
        <f t="shared" si="19"/>
        <v>E</v>
      </c>
      <c r="I418" s="110">
        <f t="shared" si="20"/>
        <v>41500</v>
      </c>
      <c r="J418" s="110"/>
      <c r="K418" s="110"/>
      <c r="M418" s="110"/>
      <c r="O418" s="110"/>
    </row>
    <row r="419" spans="1:15" x14ac:dyDescent="0.3">
      <c r="A419" s="58" t="str">
        <f>Schedule!E417</f>
        <v>A010050</v>
      </c>
      <c r="B419" s="58" t="s">
        <v>1913</v>
      </c>
      <c r="C419" s="58" t="str">
        <f t="shared" si="18"/>
        <v>010050 KS</v>
      </c>
      <c r="D419" s="58" t="s">
        <v>3671</v>
      </c>
      <c r="E419" s="110" t="s">
        <v>3527</v>
      </c>
      <c r="F419" s="110" t="str">
        <f>IFERROR(VLOOKUP(C419,[1]evdl298!$B:$D,3,0),"")</f>
        <v>E</v>
      </c>
      <c r="G419" s="110">
        <f>IFERROR(VLOOKUP(C419,[1]evdl298!$B:$C,2,0),"")</f>
        <v>41500</v>
      </c>
      <c r="H419" s="110" t="str">
        <f t="shared" si="19"/>
        <v>E</v>
      </c>
      <c r="I419" s="110">
        <f t="shared" si="20"/>
        <v>41500</v>
      </c>
      <c r="J419" s="110"/>
      <c r="K419" s="110"/>
      <c r="M419" s="110"/>
      <c r="O419" s="110"/>
    </row>
    <row r="420" spans="1:15" x14ac:dyDescent="0.3">
      <c r="A420" s="58" t="str">
        <f>Schedule!E418</f>
        <v>A010060</v>
      </c>
      <c r="B420" s="58" t="s">
        <v>1914</v>
      </c>
      <c r="C420" s="58" t="str">
        <f t="shared" si="18"/>
        <v>010060 KS</v>
      </c>
      <c r="D420" s="58" t="s">
        <v>3671</v>
      </c>
      <c r="E420" s="110" t="s">
        <v>3692</v>
      </c>
      <c r="F420" s="110" t="str">
        <f>IFERROR(VLOOKUP(C420,[1]evdl298!$B:$D,3,0),"")</f>
        <v>C</v>
      </c>
      <c r="G420" s="110">
        <f>IFERROR(VLOOKUP(C420,[1]evdl298!$B:$C,2,0),"")</f>
        <v>41479</v>
      </c>
      <c r="H420" s="110" t="str">
        <f t="shared" si="19"/>
        <v>C</v>
      </c>
      <c r="I420" s="110">
        <f t="shared" si="20"/>
        <v>41479</v>
      </c>
      <c r="J420" s="110"/>
      <c r="K420" s="110"/>
      <c r="M420" s="110"/>
      <c r="O420" s="110"/>
    </row>
    <row r="421" spans="1:15" x14ac:dyDescent="0.3">
      <c r="A421" s="58" t="str">
        <f>Schedule!E419</f>
        <v>A010100</v>
      </c>
      <c r="B421" s="58" t="s">
        <v>1915</v>
      </c>
      <c r="C421" s="58" t="str">
        <f t="shared" si="18"/>
        <v>010100 KS</v>
      </c>
      <c r="D421" s="58" t="s">
        <v>3671</v>
      </c>
      <c r="E421" s="110" t="s">
        <v>3527</v>
      </c>
      <c r="F421" s="110" t="str">
        <f>IFERROR(VLOOKUP(C421,[1]evdl298!$B:$D,3,0),"")</f>
        <v>E</v>
      </c>
      <c r="G421" s="110">
        <f>IFERROR(VLOOKUP(C421,[1]evdl298!$B:$C,2,0),"")</f>
        <v>41500</v>
      </c>
      <c r="H421" s="110" t="str">
        <f t="shared" si="19"/>
        <v>E</v>
      </c>
      <c r="I421" s="110">
        <f t="shared" si="20"/>
        <v>41500</v>
      </c>
      <c r="J421" s="110"/>
      <c r="K421" s="110"/>
      <c r="M421" s="110"/>
      <c r="O421" s="110"/>
    </row>
    <row r="422" spans="1:15" x14ac:dyDescent="0.3">
      <c r="A422" s="58" t="str">
        <f>Schedule!E420</f>
        <v>A010120</v>
      </c>
      <c r="B422" s="58" t="s">
        <v>1916</v>
      </c>
      <c r="C422" s="58" t="str">
        <f t="shared" si="18"/>
        <v>010120 KS</v>
      </c>
      <c r="D422" s="58" t="s">
        <v>3671</v>
      </c>
      <c r="E422" s="110" t="s">
        <v>3674</v>
      </c>
      <c r="F422" s="110" t="str">
        <f>IFERROR(VLOOKUP(C422,[1]evdl298!$B:$D,3,0),"")</f>
        <v>E</v>
      </c>
      <c r="G422" s="110">
        <f>IFERROR(VLOOKUP(C422,[1]evdl298!$B:$C,2,0),"")</f>
        <v>41485</v>
      </c>
      <c r="H422" s="110" t="str">
        <f t="shared" si="19"/>
        <v>E</v>
      </c>
      <c r="I422" s="110">
        <f t="shared" si="20"/>
        <v>41485</v>
      </c>
      <c r="J422" s="110"/>
      <c r="K422" s="110"/>
      <c r="M422" s="110"/>
      <c r="O422" s="110"/>
    </row>
    <row r="423" spans="1:15" x14ac:dyDescent="0.3">
      <c r="A423" s="58" t="str">
        <f>Schedule!E421</f>
        <v>A010130</v>
      </c>
      <c r="B423" s="58" t="s">
        <v>1917</v>
      </c>
      <c r="C423" s="58" t="str">
        <f t="shared" si="18"/>
        <v>010130 KS</v>
      </c>
      <c r="D423" s="58" t="s">
        <v>3671</v>
      </c>
      <c r="E423" s="110">
        <v>41486</v>
      </c>
      <c r="F423" s="110" t="str">
        <f>IFERROR(VLOOKUP(C423,[1]evdl298!$B:$D,3,0),"")</f>
        <v>E</v>
      </c>
      <c r="G423" s="110">
        <f>IFERROR(VLOOKUP(C423,[1]evdl298!$B:$C,2,0),"")</f>
        <v>41485</v>
      </c>
      <c r="H423" s="110" t="str">
        <f t="shared" si="19"/>
        <v>E</v>
      </c>
      <c r="I423" s="110">
        <f t="shared" si="20"/>
        <v>41485</v>
      </c>
      <c r="J423" s="110"/>
      <c r="K423" s="110"/>
      <c r="M423" s="110"/>
      <c r="O423" s="110"/>
    </row>
    <row r="424" spans="1:15" x14ac:dyDescent="0.3">
      <c r="A424" s="58" t="str">
        <f>Schedule!E422</f>
        <v>A010140</v>
      </c>
      <c r="B424" s="58" t="s">
        <v>1918</v>
      </c>
      <c r="C424" s="58" t="str">
        <f t="shared" si="18"/>
        <v>010140 KS</v>
      </c>
      <c r="D424" s="58" t="s">
        <v>3671</v>
      </c>
      <c r="E424" s="110" t="s">
        <v>3685</v>
      </c>
      <c r="F424" s="110" t="str">
        <f>IFERROR(VLOOKUP(C424,[1]evdl298!$B:$D,3,0),"")</f>
        <v>E</v>
      </c>
      <c r="G424" s="110">
        <f>IFERROR(VLOOKUP(C424,[1]evdl298!$B:$C,2,0),"")</f>
        <v>41499</v>
      </c>
      <c r="H424" s="110" t="str">
        <f t="shared" si="19"/>
        <v>E</v>
      </c>
      <c r="I424" s="110">
        <f t="shared" si="20"/>
        <v>41499</v>
      </c>
      <c r="J424" s="110"/>
      <c r="K424" s="110"/>
      <c r="M424" s="110"/>
      <c r="O424" s="110"/>
    </row>
    <row r="425" spans="1:15" x14ac:dyDescent="0.3">
      <c r="A425" s="58" t="str">
        <f>Schedule!E423</f>
        <v>A010170</v>
      </c>
      <c r="B425" s="58" t="s">
        <v>1919</v>
      </c>
      <c r="C425" s="58" t="str">
        <f t="shared" si="18"/>
        <v>010170 KS</v>
      </c>
      <c r="D425" s="58" t="s">
        <v>3671</v>
      </c>
      <c r="E425" s="110" t="s">
        <v>3527</v>
      </c>
      <c r="F425" s="110" t="str">
        <f>IFERROR(VLOOKUP(C425,[1]evdl298!$B:$D,3,0),"")</f>
        <v>E</v>
      </c>
      <c r="G425" s="110">
        <f>IFERROR(VLOOKUP(C425,[1]evdl298!$B:$C,2,0),"")</f>
        <v>41460</v>
      </c>
      <c r="H425" s="110" t="str">
        <f t="shared" si="19"/>
        <v>E</v>
      </c>
      <c r="I425" s="110">
        <f t="shared" si="20"/>
        <v>41460</v>
      </c>
      <c r="J425" s="110"/>
      <c r="K425" s="110"/>
      <c r="M425" s="110"/>
      <c r="O425" s="110"/>
    </row>
    <row r="426" spans="1:15" x14ac:dyDescent="0.3">
      <c r="A426" s="58" t="str">
        <f>Schedule!E424</f>
        <v>A010240</v>
      </c>
      <c r="B426" s="58" t="s">
        <v>1920</v>
      </c>
      <c r="C426" s="58" t="str">
        <f t="shared" si="18"/>
        <v>010240 KS</v>
      </c>
      <c r="D426" s="58" t="s">
        <v>3671</v>
      </c>
      <c r="E426" s="110" t="s">
        <v>3527</v>
      </c>
      <c r="F426" s="110" t="str">
        <f>IFERROR(VLOOKUP(C426,[1]evdl298!$B:$D,3,0),"")</f>
        <v>E</v>
      </c>
      <c r="G426" s="110">
        <f>IFERROR(VLOOKUP(C426,[1]evdl298!$B:$C,2,0),"")</f>
        <v>41515</v>
      </c>
      <c r="H426" s="110" t="str">
        <f t="shared" si="19"/>
        <v>E</v>
      </c>
      <c r="I426" s="110">
        <f t="shared" si="20"/>
        <v>41515</v>
      </c>
      <c r="J426" s="110"/>
      <c r="K426" s="110"/>
      <c r="M426" s="110"/>
      <c r="O426" s="110"/>
    </row>
    <row r="427" spans="1:15" x14ac:dyDescent="0.3">
      <c r="A427" s="58" t="str">
        <f>Schedule!E425</f>
        <v>A010280</v>
      </c>
      <c r="B427" s="58" t="s">
        <v>1921</v>
      </c>
      <c r="C427" s="58" t="str">
        <f t="shared" si="18"/>
        <v>010280 KS</v>
      </c>
      <c r="D427" s="58" t="s">
        <v>3671</v>
      </c>
      <c r="E427" s="110" t="s">
        <v>3527</v>
      </c>
      <c r="F427" s="110" t="str">
        <f>IFERROR(VLOOKUP(C427,[1]evdl298!$B:$D,3,0),"")</f>
        <v/>
      </c>
      <c r="G427" s="110" t="str">
        <f>IFERROR(VLOOKUP(C427,[1]evdl298!$B:$C,2,0),"")</f>
        <v/>
      </c>
      <c r="H427" s="110" t="str">
        <f t="shared" si="19"/>
        <v/>
      </c>
      <c r="I427" s="110" t="str">
        <f t="shared" si="20"/>
        <v/>
      </c>
      <c r="J427" s="110"/>
      <c r="K427" s="110"/>
      <c r="M427" s="110"/>
      <c r="O427" s="110"/>
    </row>
    <row r="428" spans="1:15" x14ac:dyDescent="0.3">
      <c r="A428" s="58" t="str">
        <f>Schedule!E426</f>
        <v>A010420</v>
      </c>
      <c r="B428" s="58" t="s">
        <v>1922</v>
      </c>
      <c r="C428" s="58" t="str">
        <f t="shared" si="18"/>
        <v>010420 KS</v>
      </c>
      <c r="D428" s="58" t="s">
        <v>3671</v>
      </c>
      <c r="E428" s="110" t="s">
        <v>3527</v>
      </c>
      <c r="F428" s="110" t="str">
        <f>IFERROR(VLOOKUP(C428,[1]evdl298!$B:$D,3,0),"")</f>
        <v>E</v>
      </c>
      <c r="G428" s="110">
        <f>IFERROR(VLOOKUP(C428,[1]evdl298!$B:$C,2,0),"")</f>
        <v>41500</v>
      </c>
      <c r="H428" s="110" t="str">
        <f t="shared" si="19"/>
        <v>E</v>
      </c>
      <c r="I428" s="110">
        <f t="shared" si="20"/>
        <v>41500</v>
      </c>
      <c r="J428" s="110"/>
      <c r="K428" s="110"/>
      <c r="M428" s="110"/>
      <c r="O428" s="110"/>
    </row>
    <row r="429" spans="1:15" x14ac:dyDescent="0.3">
      <c r="A429" s="58" t="str">
        <f>Schedule!E427</f>
        <v>A010460</v>
      </c>
      <c r="B429" s="58" t="s">
        <v>1923</v>
      </c>
      <c r="C429" s="58" t="str">
        <f t="shared" si="18"/>
        <v>010460 KS</v>
      </c>
      <c r="D429" s="58" t="s">
        <v>3671</v>
      </c>
      <c r="E429" s="110" t="s">
        <v>3527</v>
      </c>
      <c r="F429" s="110" t="str">
        <f>IFERROR(VLOOKUP(C429,[1]evdl298!$B:$D,3,0),"")</f>
        <v>E</v>
      </c>
      <c r="G429" s="110">
        <f>IFERROR(VLOOKUP(C429,[1]evdl298!$B:$C,2,0),"")</f>
        <v>41500</v>
      </c>
      <c r="H429" s="110" t="str">
        <f t="shared" si="19"/>
        <v>E</v>
      </c>
      <c r="I429" s="110">
        <f t="shared" si="20"/>
        <v>41500</v>
      </c>
      <c r="J429" s="110"/>
      <c r="K429" s="110"/>
      <c r="M429" s="110"/>
      <c r="O429" s="110"/>
    </row>
    <row r="430" spans="1:15" x14ac:dyDescent="0.3">
      <c r="A430" s="58" t="str">
        <f>Schedule!E428</f>
        <v>A010470</v>
      </c>
      <c r="B430" s="58" t="s">
        <v>1924</v>
      </c>
      <c r="C430" s="58" t="str">
        <f t="shared" si="18"/>
        <v>010470 KS</v>
      </c>
      <c r="D430" s="58" t="s">
        <v>3671</v>
      </c>
      <c r="E430" s="110" t="s">
        <v>3527</v>
      </c>
      <c r="F430" s="110" t="str">
        <f>IFERROR(VLOOKUP(C430,[1]evdl298!$B:$D,3,0),"")</f>
        <v>E</v>
      </c>
      <c r="G430" s="110">
        <f>IFERROR(VLOOKUP(C430,[1]evdl298!$B:$C,2,0),"")</f>
        <v>41515</v>
      </c>
      <c r="H430" s="110" t="str">
        <f t="shared" si="19"/>
        <v>E</v>
      </c>
      <c r="I430" s="110">
        <f t="shared" si="20"/>
        <v>41515</v>
      </c>
      <c r="J430" s="110"/>
      <c r="K430" s="110"/>
      <c r="M430" s="110"/>
      <c r="O430" s="110"/>
    </row>
    <row r="431" spans="1:15" x14ac:dyDescent="0.3">
      <c r="A431" s="58" t="str">
        <f>Schedule!E429</f>
        <v>A010520</v>
      </c>
      <c r="B431" s="58" t="s">
        <v>1925</v>
      </c>
      <c r="C431" s="58" t="str">
        <f t="shared" si="18"/>
        <v>010520 KS</v>
      </c>
      <c r="D431" s="58" t="s">
        <v>3671</v>
      </c>
      <c r="E431" s="110">
        <v>41501</v>
      </c>
      <c r="F431" s="110" t="str">
        <f>IFERROR(VLOOKUP(C431,[1]evdl298!$B:$D,3,0),"")</f>
        <v>E</v>
      </c>
      <c r="G431" s="110">
        <f>IFERROR(VLOOKUP(C431,[1]evdl298!$B:$C,2,0),"")</f>
        <v>41479</v>
      </c>
      <c r="H431" s="110" t="str">
        <f t="shared" si="19"/>
        <v>E</v>
      </c>
      <c r="I431" s="110">
        <f t="shared" si="20"/>
        <v>41479</v>
      </c>
      <c r="J431" s="110"/>
      <c r="K431" s="110"/>
      <c r="M431" s="110"/>
      <c r="O431" s="110"/>
    </row>
    <row r="432" spans="1:15" x14ac:dyDescent="0.3">
      <c r="A432" s="58" t="str">
        <f>Schedule!E430</f>
        <v>A010580</v>
      </c>
      <c r="B432" s="58" t="s">
        <v>1926</v>
      </c>
      <c r="C432" s="58" t="str">
        <f t="shared" si="18"/>
        <v>010580 KS</v>
      </c>
      <c r="D432" s="58" t="s">
        <v>3671</v>
      </c>
      <c r="E432" s="110" t="s">
        <v>3527</v>
      </c>
      <c r="F432" s="110" t="str">
        <f>IFERROR(VLOOKUP(C432,[1]evdl298!$B:$D,3,0),"")</f>
        <v>E</v>
      </c>
      <c r="G432" s="110">
        <f>IFERROR(VLOOKUP(C432,[1]evdl298!$B:$C,2,0),"")</f>
        <v>41500</v>
      </c>
      <c r="H432" s="110" t="str">
        <f t="shared" si="19"/>
        <v>E</v>
      </c>
      <c r="I432" s="110">
        <f t="shared" si="20"/>
        <v>41500</v>
      </c>
      <c r="J432" s="110"/>
      <c r="K432" s="110"/>
      <c r="M432" s="110"/>
      <c r="O432" s="110"/>
    </row>
    <row r="433" spans="1:15" x14ac:dyDescent="0.3">
      <c r="A433" s="58" t="str">
        <f>Schedule!E431</f>
        <v>A010600</v>
      </c>
      <c r="B433" s="58" t="s">
        <v>1927</v>
      </c>
      <c r="C433" s="58" t="str">
        <f t="shared" si="18"/>
        <v>010600 KS</v>
      </c>
      <c r="D433" s="58" t="s">
        <v>3671</v>
      </c>
      <c r="E433" s="110" t="s">
        <v>3527</v>
      </c>
      <c r="F433" s="110" t="str">
        <f>IFERROR(VLOOKUP(C433,[1]evdl298!$B:$D,3,0),"")</f>
        <v/>
      </c>
      <c r="G433" s="110" t="str">
        <f>IFERROR(VLOOKUP(C433,[1]evdl298!$B:$C,2,0),"")</f>
        <v/>
      </c>
      <c r="H433" s="110" t="str">
        <f t="shared" si="19"/>
        <v/>
      </c>
      <c r="I433" s="110" t="str">
        <f t="shared" si="20"/>
        <v/>
      </c>
      <c r="J433" s="110"/>
      <c r="K433" s="110"/>
      <c r="M433" s="110"/>
      <c r="O433" s="110"/>
    </row>
    <row r="434" spans="1:15" x14ac:dyDescent="0.3">
      <c r="A434" s="58" t="str">
        <f>Schedule!E432</f>
        <v>A010620</v>
      </c>
      <c r="B434" s="58" t="s">
        <v>1928</v>
      </c>
      <c r="C434" s="58" t="str">
        <f t="shared" si="18"/>
        <v>010620 KS</v>
      </c>
      <c r="D434" s="58" t="s">
        <v>3671</v>
      </c>
      <c r="E434" s="110" t="s">
        <v>3693</v>
      </c>
      <c r="F434" s="110" t="str">
        <f>IFERROR(VLOOKUP(C434,[1]evdl298!$B:$D,3,0),"")</f>
        <v>E</v>
      </c>
      <c r="G434" s="110">
        <f>IFERROR(VLOOKUP(C434,[1]evdl298!$B:$C,2,0),"")</f>
        <v>41500</v>
      </c>
      <c r="H434" s="110" t="str">
        <f t="shared" si="19"/>
        <v>E</v>
      </c>
      <c r="I434" s="110">
        <f t="shared" si="20"/>
        <v>41500</v>
      </c>
      <c r="J434" s="110"/>
      <c r="K434" s="110"/>
      <c r="M434" s="110"/>
      <c r="O434" s="110"/>
    </row>
    <row r="435" spans="1:15" x14ac:dyDescent="0.3">
      <c r="A435" s="58" t="str">
        <f>Schedule!E433</f>
        <v>A010640</v>
      </c>
      <c r="B435" s="58" t="s">
        <v>1929</v>
      </c>
      <c r="C435" s="58" t="str">
        <f t="shared" si="18"/>
        <v>010640 KS</v>
      </c>
      <c r="D435" s="58" t="s">
        <v>3671</v>
      </c>
      <c r="E435" s="110" t="s">
        <v>3527</v>
      </c>
      <c r="F435" s="110" t="str">
        <f>IFERROR(VLOOKUP(C435,[1]evdl298!$B:$D,3,0),"")</f>
        <v>E</v>
      </c>
      <c r="G435" s="110">
        <f>IFERROR(VLOOKUP(C435,[1]evdl298!$B:$C,2,0),"")</f>
        <v>41460</v>
      </c>
      <c r="H435" s="110" t="str">
        <f t="shared" si="19"/>
        <v>E</v>
      </c>
      <c r="I435" s="110">
        <f t="shared" si="20"/>
        <v>41460</v>
      </c>
      <c r="J435" s="110"/>
      <c r="K435" s="110"/>
      <c r="M435" s="110"/>
      <c r="O435" s="110"/>
    </row>
    <row r="436" spans="1:15" x14ac:dyDescent="0.3">
      <c r="A436" s="58" t="str">
        <f>Schedule!E434</f>
        <v>A010660</v>
      </c>
      <c r="B436" s="58" t="s">
        <v>1930</v>
      </c>
      <c r="C436" s="58" t="str">
        <f t="shared" si="18"/>
        <v>010660 KS</v>
      </c>
      <c r="D436" s="58" t="s">
        <v>3671</v>
      </c>
      <c r="E436" s="110" t="s">
        <v>3527</v>
      </c>
      <c r="F436" s="110" t="str">
        <f>IFERROR(VLOOKUP(C436,[1]evdl298!$B:$D,3,0),"")</f>
        <v>E</v>
      </c>
      <c r="G436" s="110">
        <f>IFERROR(VLOOKUP(C436,[1]evdl298!$B:$C,2,0),"")</f>
        <v>41494</v>
      </c>
      <c r="H436" s="110" t="str">
        <f t="shared" si="19"/>
        <v>E</v>
      </c>
      <c r="I436" s="110">
        <f t="shared" si="20"/>
        <v>41494</v>
      </c>
      <c r="J436" s="110"/>
      <c r="K436" s="110"/>
      <c r="M436" s="110"/>
      <c r="O436" s="110"/>
    </row>
    <row r="437" spans="1:15" x14ac:dyDescent="0.3">
      <c r="A437" s="58" t="str">
        <f>Schedule!E435</f>
        <v>A010670</v>
      </c>
      <c r="B437" s="58" t="s">
        <v>1931</v>
      </c>
      <c r="C437" s="58" t="str">
        <f t="shared" si="18"/>
        <v>010670 KS</v>
      </c>
      <c r="D437" s="58" t="s">
        <v>3671</v>
      </c>
      <c r="E437" s="110" t="s">
        <v>3527</v>
      </c>
      <c r="F437" s="110" t="str">
        <f>IFERROR(VLOOKUP(C437,[1]evdl298!$B:$D,3,0),"")</f>
        <v/>
      </c>
      <c r="G437" s="110" t="str">
        <f>IFERROR(VLOOKUP(C437,[1]evdl298!$B:$C,2,0),"")</f>
        <v/>
      </c>
      <c r="H437" s="110" t="str">
        <f t="shared" si="19"/>
        <v/>
      </c>
      <c r="I437" s="110" t="str">
        <f t="shared" si="20"/>
        <v/>
      </c>
      <c r="J437" s="110"/>
      <c r="K437" s="110"/>
      <c r="M437" s="110"/>
      <c r="O437" s="110"/>
    </row>
    <row r="438" spans="1:15" x14ac:dyDescent="0.3">
      <c r="A438" s="58" t="str">
        <f>Schedule!E436</f>
        <v>A010690</v>
      </c>
      <c r="B438" s="58" t="s">
        <v>1932</v>
      </c>
      <c r="C438" s="58" t="str">
        <f t="shared" si="18"/>
        <v>010690 KS</v>
      </c>
      <c r="D438" s="58" t="s">
        <v>3671</v>
      </c>
      <c r="E438" s="110" t="s">
        <v>3527</v>
      </c>
      <c r="F438" s="110" t="str">
        <f>IFERROR(VLOOKUP(C438,[1]evdl298!$B:$D,3,0),"")</f>
        <v/>
      </c>
      <c r="G438" s="110" t="str">
        <f>IFERROR(VLOOKUP(C438,[1]evdl298!$B:$C,2,0),"")</f>
        <v/>
      </c>
      <c r="H438" s="110" t="str">
        <f t="shared" si="19"/>
        <v/>
      </c>
      <c r="I438" s="110" t="str">
        <f t="shared" si="20"/>
        <v/>
      </c>
      <c r="J438" s="110"/>
      <c r="K438" s="110"/>
      <c r="M438" s="110"/>
      <c r="O438" s="110"/>
    </row>
    <row r="439" spans="1:15" x14ac:dyDescent="0.3">
      <c r="A439" s="58" t="str">
        <f>Schedule!E437</f>
        <v>A010770</v>
      </c>
      <c r="B439" s="58" t="s">
        <v>1933</v>
      </c>
      <c r="C439" s="58" t="str">
        <f t="shared" si="18"/>
        <v>010770 KS</v>
      </c>
      <c r="D439" s="58" t="s">
        <v>3671</v>
      </c>
      <c r="E439" s="110" t="s">
        <v>3527</v>
      </c>
      <c r="F439" s="110" t="str">
        <f>IFERROR(VLOOKUP(C439,[1]evdl298!$B:$D,3,0),"")</f>
        <v>E</v>
      </c>
      <c r="G439" s="110">
        <f>IFERROR(VLOOKUP(C439,[1]evdl298!$B:$C,2,0),"")</f>
        <v>41500</v>
      </c>
      <c r="H439" s="110" t="str">
        <f t="shared" si="19"/>
        <v>E</v>
      </c>
      <c r="I439" s="110">
        <f t="shared" si="20"/>
        <v>41500</v>
      </c>
      <c r="J439" s="110"/>
      <c r="K439" s="110"/>
      <c r="M439" s="110"/>
      <c r="O439" s="110"/>
    </row>
    <row r="440" spans="1:15" x14ac:dyDescent="0.3">
      <c r="A440" s="58" t="str">
        <f>Schedule!E438</f>
        <v>A010780</v>
      </c>
      <c r="B440" s="58" t="s">
        <v>1934</v>
      </c>
      <c r="C440" s="58" t="str">
        <f t="shared" si="18"/>
        <v>010780 KS</v>
      </c>
      <c r="D440" s="58" t="s">
        <v>3671</v>
      </c>
      <c r="E440" s="110" t="s">
        <v>3527</v>
      </c>
      <c r="F440" s="110" t="str">
        <f>IFERROR(VLOOKUP(C440,[1]evdl298!$B:$D,3,0),"")</f>
        <v/>
      </c>
      <c r="G440" s="110" t="str">
        <f>IFERROR(VLOOKUP(C440,[1]evdl298!$B:$C,2,0),"")</f>
        <v/>
      </c>
      <c r="H440" s="110" t="str">
        <f t="shared" si="19"/>
        <v/>
      </c>
      <c r="I440" s="110" t="str">
        <f t="shared" si="20"/>
        <v/>
      </c>
      <c r="J440" s="110"/>
      <c r="K440" s="110"/>
      <c r="M440" s="110"/>
      <c r="O440" s="110"/>
    </row>
    <row r="441" spans="1:15" x14ac:dyDescent="0.3">
      <c r="A441" s="58" t="str">
        <f>Schedule!E439</f>
        <v>A010820</v>
      </c>
      <c r="B441" s="58" t="s">
        <v>1935</v>
      </c>
      <c r="C441" s="58" t="str">
        <f t="shared" si="18"/>
        <v>010820 KS</v>
      </c>
      <c r="D441" s="58" t="s">
        <v>3671</v>
      </c>
      <c r="E441" s="110" t="s">
        <v>3527</v>
      </c>
      <c r="F441" s="110" t="str">
        <f>IFERROR(VLOOKUP(C441,[1]evdl298!$B:$D,3,0),"")</f>
        <v/>
      </c>
      <c r="G441" s="110" t="str">
        <f>IFERROR(VLOOKUP(C441,[1]evdl298!$B:$C,2,0),"")</f>
        <v/>
      </c>
      <c r="H441" s="110" t="str">
        <f t="shared" si="19"/>
        <v/>
      </c>
      <c r="I441" s="110" t="str">
        <f t="shared" si="20"/>
        <v/>
      </c>
      <c r="J441" s="110"/>
      <c r="K441" s="110"/>
      <c r="M441" s="110"/>
      <c r="O441" s="110"/>
    </row>
    <row r="442" spans="1:15" x14ac:dyDescent="0.3">
      <c r="A442" s="58" t="str">
        <f>Schedule!E440</f>
        <v>A010950</v>
      </c>
      <c r="B442" s="58" t="s">
        <v>1936</v>
      </c>
      <c r="C442" s="58" t="str">
        <f t="shared" si="18"/>
        <v>010950 KS</v>
      </c>
      <c r="D442" s="58" t="s">
        <v>3671</v>
      </c>
      <c r="E442" s="110" t="s">
        <v>3674</v>
      </c>
      <c r="F442" s="110" t="str">
        <f>IFERROR(VLOOKUP(C442,[1]evdl298!$B:$D,3,0),"")</f>
        <v>E</v>
      </c>
      <c r="G442" s="110">
        <f>IFERROR(VLOOKUP(C442,[1]evdl298!$B:$C,2,0),"")</f>
        <v>41481</v>
      </c>
      <c r="H442" s="110" t="str">
        <f t="shared" si="19"/>
        <v>E</v>
      </c>
      <c r="I442" s="110">
        <f t="shared" si="20"/>
        <v>41481</v>
      </c>
      <c r="J442" s="110"/>
      <c r="K442" s="110"/>
      <c r="M442" s="110"/>
      <c r="O442" s="110"/>
    </row>
    <row r="443" spans="1:15" x14ac:dyDescent="0.3">
      <c r="A443" s="58" t="str">
        <f>Schedule!E441</f>
        <v>A010960</v>
      </c>
      <c r="B443" s="58" t="s">
        <v>1937</v>
      </c>
      <c r="C443" s="58" t="str">
        <f t="shared" si="18"/>
        <v>010960 KS</v>
      </c>
      <c r="D443" s="58" t="s">
        <v>3671</v>
      </c>
      <c r="E443" s="110" t="s">
        <v>3527</v>
      </c>
      <c r="F443" s="110" t="str">
        <f>IFERROR(VLOOKUP(C443,[1]evdl298!$B:$D,3,0),"")</f>
        <v/>
      </c>
      <c r="G443" s="110" t="str">
        <f>IFERROR(VLOOKUP(C443,[1]evdl298!$B:$C,2,0),"")</f>
        <v/>
      </c>
      <c r="H443" s="110" t="str">
        <f t="shared" si="19"/>
        <v/>
      </c>
      <c r="I443" s="110" t="str">
        <f t="shared" si="20"/>
        <v/>
      </c>
      <c r="J443" s="110"/>
      <c r="K443" s="110"/>
      <c r="M443" s="110"/>
      <c r="O443" s="110"/>
    </row>
    <row r="444" spans="1:15" x14ac:dyDescent="0.3">
      <c r="A444" s="58" t="str">
        <f>Schedule!E442</f>
        <v>A011000</v>
      </c>
      <c r="B444" s="58" t="s">
        <v>1938</v>
      </c>
      <c r="C444" s="58" t="str">
        <f t="shared" si="18"/>
        <v>011000 KS</v>
      </c>
      <c r="D444" s="58" t="s">
        <v>3671</v>
      </c>
      <c r="E444" s="110" t="s">
        <v>3527</v>
      </c>
      <c r="F444" s="110" t="str">
        <f>IFERROR(VLOOKUP(C444,[1]evdl298!$B:$D,3,0),"")</f>
        <v/>
      </c>
      <c r="G444" s="110" t="str">
        <f>IFERROR(VLOOKUP(C444,[1]evdl298!$B:$C,2,0),"")</f>
        <v/>
      </c>
      <c r="H444" s="110" t="str">
        <f t="shared" si="19"/>
        <v/>
      </c>
      <c r="I444" s="110" t="str">
        <f t="shared" si="20"/>
        <v/>
      </c>
      <c r="J444" s="110"/>
      <c r="K444" s="110"/>
      <c r="M444" s="110"/>
      <c r="O444" s="110"/>
    </row>
    <row r="445" spans="1:15" x14ac:dyDescent="0.3">
      <c r="A445" s="58" t="str">
        <f>Schedule!E443</f>
        <v>A011040</v>
      </c>
      <c r="B445" s="58" t="s">
        <v>1939</v>
      </c>
      <c r="C445" s="58" t="str">
        <f t="shared" si="18"/>
        <v>011040 KS</v>
      </c>
      <c r="D445" s="58" t="s">
        <v>3671</v>
      </c>
      <c r="E445" s="110" t="s">
        <v>3527</v>
      </c>
      <c r="F445" s="110" t="str">
        <f>IFERROR(VLOOKUP(C445,[1]evdl298!$B:$D,3,0),"")</f>
        <v>E</v>
      </c>
      <c r="G445" s="110">
        <f>IFERROR(VLOOKUP(C445,[1]evdl298!$B:$C,2,0),"")</f>
        <v>41515</v>
      </c>
      <c r="H445" s="110" t="str">
        <f t="shared" si="19"/>
        <v>E</v>
      </c>
      <c r="I445" s="110">
        <f t="shared" si="20"/>
        <v>41515</v>
      </c>
      <c r="J445" s="110"/>
      <c r="K445" s="110"/>
      <c r="M445" s="110"/>
      <c r="O445" s="110"/>
    </row>
    <row r="446" spans="1:15" x14ac:dyDescent="0.3">
      <c r="A446" s="58" t="str">
        <f>Schedule!E444</f>
        <v>A011070</v>
      </c>
      <c r="B446" s="58" t="s">
        <v>1940</v>
      </c>
      <c r="C446" s="58" t="str">
        <f t="shared" si="18"/>
        <v>011070 KS</v>
      </c>
      <c r="D446" s="58" t="s">
        <v>3671</v>
      </c>
      <c r="E446" s="110" t="s">
        <v>3694</v>
      </c>
      <c r="F446" s="110" t="str">
        <f>IFERROR(VLOOKUP(C446,[1]evdl298!$B:$D,3,0),"")</f>
        <v>E</v>
      </c>
      <c r="G446" s="110">
        <f>IFERROR(VLOOKUP(C446,[1]evdl298!$B:$C,2,0),"")</f>
        <v>41481</v>
      </c>
      <c r="H446" s="110" t="str">
        <f t="shared" si="19"/>
        <v>E</v>
      </c>
      <c r="I446" s="110">
        <f t="shared" si="20"/>
        <v>41481</v>
      </c>
      <c r="J446" s="110"/>
      <c r="K446" s="110"/>
      <c r="M446" s="110"/>
      <c r="O446" s="110"/>
    </row>
    <row r="447" spans="1:15" x14ac:dyDescent="0.3">
      <c r="A447" s="58" t="str">
        <f>Schedule!E445</f>
        <v>A011080</v>
      </c>
      <c r="B447" s="58" t="s">
        <v>1941</v>
      </c>
      <c r="C447" s="58" t="str">
        <f t="shared" si="18"/>
        <v>011080 KS</v>
      </c>
      <c r="D447" s="58" t="s">
        <v>3671</v>
      </c>
      <c r="E447" s="110" t="s">
        <v>3527</v>
      </c>
      <c r="F447" s="110" t="str">
        <f>IFERROR(VLOOKUP(C447,[1]evdl298!$B:$D,3,0),"")</f>
        <v>E</v>
      </c>
      <c r="G447" s="110">
        <f>IFERROR(VLOOKUP(C447,[1]evdl298!$B:$C,2,0),"")</f>
        <v>41500</v>
      </c>
      <c r="H447" s="110" t="str">
        <f t="shared" si="19"/>
        <v>E</v>
      </c>
      <c r="I447" s="110">
        <f t="shared" si="20"/>
        <v>41500</v>
      </c>
      <c r="J447" s="110"/>
      <c r="K447" s="110"/>
      <c r="M447" s="110"/>
      <c r="O447" s="110"/>
    </row>
    <row r="448" spans="1:15" x14ac:dyDescent="0.3">
      <c r="A448" s="58" t="str">
        <f>Schedule!E446</f>
        <v>A011090</v>
      </c>
      <c r="B448" s="58" t="s">
        <v>1942</v>
      </c>
      <c r="C448" s="58" t="str">
        <f t="shared" si="18"/>
        <v>011090 KS</v>
      </c>
      <c r="D448" s="58" t="s">
        <v>3671</v>
      </c>
      <c r="E448" s="110" t="s">
        <v>3527</v>
      </c>
      <c r="F448" s="110" t="str">
        <f>IFERROR(VLOOKUP(C448,[1]evdl298!$B:$D,3,0),"")</f>
        <v/>
      </c>
      <c r="G448" s="110" t="str">
        <f>IFERROR(VLOOKUP(C448,[1]evdl298!$B:$C,2,0),"")</f>
        <v/>
      </c>
      <c r="H448" s="110" t="str">
        <f t="shared" si="19"/>
        <v/>
      </c>
      <c r="I448" s="110" t="str">
        <f t="shared" si="20"/>
        <v/>
      </c>
      <c r="J448" s="110"/>
      <c r="K448" s="110"/>
      <c r="M448" s="110"/>
      <c r="O448" s="110"/>
    </row>
    <row r="449" spans="1:15" x14ac:dyDescent="0.3">
      <c r="A449" s="58" t="str">
        <f>Schedule!E447</f>
        <v>A011150</v>
      </c>
      <c r="B449" s="58" t="s">
        <v>1943</v>
      </c>
      <c r="C449" s="58" t="str">
        <f t="shared" si="18"/>
        <v>011150 KS</v>
      </c>
      <c r="D449" s="58" t="s">
        <v>3671</v>
      </c>
      <c r="E449" s="110" t="s">
        <v>3527</v>
      </c>
      <c r="F449" s="110" t="str">
        <f>IFERROR(VLOOKUP(C449,[1]evdl298!$B:$D,3,0),"")</f>
        <v>E</v>
      </c>
      <c r="G449" s="110">
        <f>IFERROR(VLOOKUP(C449,[1]evdl298!$B:$C,2,0),"")</f>
        <v>41515</v>
      </c>
      <c r="H449" s="110" t="str">
        <f t="shared" si="19"/>
        <v>E</v>
      </c>
      <c r="I449" s="110">
        <f t="shared" si="20"/>
        <v>41515</v>
      </c>
      <c r="J449" s="110"/>
      <c r="K449" s="110"/>
      <c r="M449" s="110"/>
      <c r="O449" s="110"/>
    </row>
    <row r="450" spans="1:15" x14ac:dyDescent="0.3">
      <c r="A450" s="58" t="str">
        <f>Schedule!E448</f>
        <v>A011160</v>
      </c>
      <c r="B450" s="58" t="s">
        <v>1944</v>
      </c>
      <c r="C450" s="58" t="str">
        <f t="shared" si="18"/>
        <v>011160 KS</v>
      </c>
      <c r="D450" s="58" t="s">
        <v>3671</v>
      </c>
      <c r="E450" s="110" t="s">
        <v>3527</v>
      </c>
      <c r="F450" s="110" t="str">
        <f>IFERROR(VLOOKUP(C450,[1]evdl298!$B:$D,3,0),"")</f>
        <v>E</v>
      </c>
      <c r="G450" s="110">
        <f>IFERROR(VLOOKUP(C450,[1]evdl298!$B:$C,2,0),"")</f>
        <v>41481</v>
      </c>
      <c r="H450" s="110" t="str">
        <f t="shared" si="19"/>
        <v>E</v>
      </c>
      <c r="I450" s="110">
        <f t="shared" si="20"/>
        <v>41481</v>
      </c>
      <c r="J450" s="110"/>
      <c r="K450" s="110"/>
      <c r="M450" s="110"/>
      <c r="O450" s="110"/>
    </row>
    <row r="451" spans="1:15" x14ac:dyDescent="0.3">
      <c r="A451" s="58" t="str">
        <f>Schedule!E449</f>
        <v>A011170</v>
      </c>
      <c r="B451" s="58" t="s">
        <v>3594</v>
      </c>
      <c r="C451" s="58" t="str">
        <f t="shared" si="18"/>
        <v>011170 KS</v>
      </c>
      <c r="D451" s="58" t="s">
        <v>3671</v>
      </c>
      <c r="E451" s="110" t="s">
        <v>3679</v>
      </c>
      <c r="F451" s="110" t="str">
        <f>IFERROR(VLOOKUP(C451,[1]evdl298!$B:$D,3,0),"")</f>
        <v>E</v>
      </c>
      <c r="G451" s="110">
        <f>IFERROR(VLOOKUP(C451,[1]evdl298!$B:$C,2,0),"")</f>
        <v>41478</v>
      </c>
      <c r="H451" s="110" t="str">
        <f t="shared" si="19"/>
        <v>E</v>
      </c>
      <c r="I451" s="110">
        <f t="shared" si="20"/>
        <v>41478</v>
      </c>
      <c r="J451" s="110"/>
      <c r="K451" s="110"/>
      <c r="M451" s="110"/>
      <c r="O451" s="110"/>
    </row>
    <row r="452" spans="1:15" x14ac:dyDescent="0.3">
      <c r="A452" s="58" t="str">
        <f>Schedule!E450</f>
        <v>A011200</v>
      </c>
      <c r="B452" s="58" t="s">
        <v>1945</v>
      </c>
      <c r="C452" s="58" t="str">
        <f t="shared" si="18"/>
        <v>011200 KS</v>
      </c>
      <c r="D452" s="58" t="s">
        <v>3671</v>
      </c>
      <c r="E452" s="110" t="s">
        <v>3683</v>
      </c>
      <c r="F452" s="110" t="str">
        <f>IFERROR(VLOOKUP(C452,[1]evdl298!$B:$D,3,0),"")</f>
        <v>E</v>
      </c>
      <c r="G452" s="110">
        <f>IFERROR(VLOOKUP(C452,[1]evdl298!$B:$C,2,0),"")</f>
        <v>41495</v>
      </c>
      <c r="H452" s="110" t="str">
        <f t="shared" si="19"/>
        <v>E</v>
      </c>
      <c r="I452" s="110">
        <f t="shared" si="20"/>
        <v>41495</v>
      </c>
      <c r="J452" s="110"/>
      <c r="K452" s="110"/>
      <c r="M452" s="110"/>
      <c r="O452" s="110"/>
    </row>
    <row r="453" spans="1:15" x14ac:dyDescent="0.3">
      <c r="A453" s="58" t="str">
        <f>Schedule!E451</f>
        <v>A011210</v>
      </c>
      <c r="B453" s="58" t="s">
        <v>3336</v>
      </c>
      <c r="C453" s="58" t="str">
        <f t="shared" si="18"/>
        <v>011210 KS</v>
      </c>
      <c r="D453" s="58" t="s">
        <v>3671</v>
      </c>
      <c r="E453" s="110" t="s">
        <v>3678</v>
      </c>
      <c r="F453" s="110" t="str">
        <f>IFERROR(VLOOKUP(C453,[1]evdl298!$B:$D,3,0),"")</f>
        <v>E</v>
      </c>
      <c r="G453" s="110">
        <f>IFERROR(VLOOKUP(C453,[1]evdl298!$B:$C,2,0),"")</f>
        <v>41481</v>
      </c>
      <c r="H453" s="110" t="str">
        <f t="shared" si="19"/>
        <v>E</v>
      </c>
      <c r="I453" s="110">
        <f t="shared" si="20"/>
        <v>41481</v>
      </c>
      <c r="J453" s="110"/>
      <c r="K453" s="110"/>
      <c r="M453" s="110"/>
      <c r="O453" s="110"/>
    </row>
    <row r="454" spans="1:15" x14ac:dyDescent="0.3">
      <c r="A454" s="58" t="str">
        <f>Schedule!E452</f>
        <v>A011230</v>
      </c>
      <c r="B454" s="58" t="s">
        <v>1946</v>
      </c>
      <c r="C454" s="58" t="str">
        <f t="shared" si="18"/>
        <v>011230 KS</v>
      </c>
      <c r="D454" s="58" t="s">
        <v>3671</v>
      </c>
      <c r="E454" s="110" t="s">
        <v>3527</v>
      </c>
      <c r="F454" s="110" t="str">
        <f>IFERROR(VLOOKUP(C454,[1]evdl298!$B:$D,3,0),"")</f>
        <v/>
      </c>
      <c r="G454" s="110" t="str">
        <f>IFERROR(VLOOKUP(C454,[1]evdl298!$B:$C,2,0),"")</f>
        <v/>
      </c>
      <c r="H454" s="110" t="str">
        <f t="shared" si="19"/>
        <v/>
      </c>
      <c r="I454" s="110" t="str">
        <f t="shared" si="20"/>
        <v/>
      </c>
      <c r="J454" s="110"/>
      <c r="K454" s="110"/>
      <c r="M454" s="110"/>
      <c r="O454" s="110"/>
    </row>
    <row r="455" spans="1:15" x14ac:dyDescent="0.3">
      <c r="A455" s="58" t="str">
        <f>Schedule!E453</f>
        <v>A011280</v>
      </c>
      <c r="B455" s="58" t="s">
        <v>1947</v>
      </c>
      <c r="C455" s="58" t="str">
        <f t="shared" si="18"/>
        <v>011280 KS</v>
      </c>
      <c r="D455" s="58" t="s">
        <v>3671</v>
      </c>
      <c r="E455" s="110" t="s">
        <v>3527</v>
      </c>
      <c r="F455" s="110" t="str">
        <f>IFERROR(VLOOKUP(C455,[1]evdl298!$B:$D,3,0),"")</f>
        <v>E</v>
      </c>
      <c r="G455" s="110">
        <f>IFERROR(VLOOKUP(C455,[1]evdl298!$B:$C,2,0),"")</f>
        <v>41500</v>
      </c>
      <c r="H455" s="110" t="str">
        <f t="shared" si="19"/>
        <v>E</v>
      </c>
      <c r="I455" s="110">
        <f t="shared" si="20"/>
        <v>41500</v>
      </c>
      <c r="J455" s="110"/>
      <c r="K455" s="110"/>
      <c r="M455" s="110"/>
      <c r="O455" s="110"/>
    </row>
    <row r="456" spans="1:15" x14ac:dyDescent="0.3">
      <c r="A456" s="58" t="str">
        <f>Schedule!E454</f>
        <v>A011300</v>
      </c>
      <c r="B456" s="58" t="s">
        <v>1948</v>
      </c>
      <c r="C456" s="58" t="str">
        <f t="shared" si="18"/>
        <v>011300 KS</v>
      </c>
      <c r="D456" s="58" t="s">
        <v>3671</v>
      </c>
      <c r="E456" s="110" t="s">
        <v>3527</v>
      </c>
      <c r="F456" s="110" t="str">
        <f>IFERROR(VLOOKUP(C456,[1]evdl298!$B:$D,3,0),"")</f>
        <v/>
      </c>
      <c r="G456" s="110" t="str">
        <f>IFERROR(VLOOKUP(C456,[1]evdl298!$B:$C,2,0),"")</f>
        <v/>
      </c>
      <c r="H456" s="110" t="str">
        <f t="shared" si="19"/>
        <v/>
      </c>
      <c r="I456" s="110" t="str">
        <f t="shared" si="20"/>
        <v/>
      </c>
      <c r="J456" s="110"/>
      <c r="K456" s="110"/>
      <c r="M456" s="110"/>
      <c r="O456" s="110"/>
    </row>
    <row r="457" spans="1:15" x14ac:dyDescent="0.3">
      <c r="A457" s="58" t="str">
        <f>Schedule!E455</f>
        <v>A011320</v>
      </c>
      <c r="B457" s="58" t="s">
        <v>1949</v>
      </c>
      <c r="C457" s="58" t="str">
        <f t="shared" si="18"/>
        <v>011320 KS</v>
      </c>
      <c r="D457" s="58" t="s">
        <v>3671</v>
      </c>
      <c r="E457" s="110" t="s">
        <v>3527</v>
      </c>
      <c r="F457" s="110" t="str">
        <f>IFERROR(VLOOKUP(C457,[1]evdl298!$B:$D,3,0),"")</f>
        <v/>
      </c>
      <c r="G457" s="110" t="str">
        <f>IFERROR(VLOOKUP(C457,[1]evdl298!$B:$C,2,0),"")</f>
        <v/>
      </c>
      <c r="H457" s="110" t="str">
        <f t="shared" si="19"/>
        <v/>
      </c>
      <c r="I457" s="110" t="str">
        <f t="shared" si="20"/>
        <v/>
      </c>
      <c r="J457" s="110"/>
      <c r="K457" s="110"/>
      <c r="M457" s="110"/>
      <c r="O457" s="110"/>
    </row>
    <row r="458" spans="1:15" x14ac:dyDescent="0.3">
      <c r="A458" s="58" t="str">
        <f>Schedule!E456</f>
        <v>A011330</v>
      </c>
      <c r="B458" s="58" t="s">
        <v>1950</v>
      </c>
      <c r="C458" s="58" t="str">
        <f t="shared" si="18"/>
        <v>011330 KS</v>
      </c>
      <c r="D458" s="58" t="s">
        <v>3671</v>
      </c>
      <c r="E458" s="110" t="s">
        <v>3527</v>
      </c>
      <c r="F458" s="110" t="str">
        <f>IFERROR(VLOOKUP(C458,[1]evdl298!$B:$D,3,0),"")</f>
        <v>E</v>
      </c>
      <c r="G458" s="110">
        <f>IFERROR(VLOOKUP(C458,[1]evdl298!$B:$C,2,0),"")</f>
        <v>41500</v>
      </c>
      <c r="H458" s="110" t="str">
        <f t="shared" si="19"/>
        <v>E</v>
      </c>
      <c r="I458" s="110">
        <f t="shared" si="20"/>
        <v>41500</v>
      </c>
      <c r="J458" s="110"/>
      <c r="K458" s="110"/>
      <c r="M458" s="110"/>
      <c r="O458" s="110"/>
    </row>
    <row r="459" spans="1:15" x14ac:dyDescent="0.3">
      <c r="A459" s="58" t="str">
        <f>Schedule!E457</f>
        <v>A011370</v>
      </c>
      <c r="B459" s="58" t="s">
        <v>1951</v>
      </c>
      <c r="C459" s="58" t="str">
        <f t="shared" si="18"/>
        <v>011370 KS</v>
      </c>
      <c r="D459" s="58" t="s">
        <v>3671</v>
      </c>
      <c r="E459" s="110" t="s">
        <v>3527</v>
      </c>
      <c r="F459" s="110" t="str">
        <f>IFERROR(VLOOKUP(C459,[1]evdl298!$B:$D,3,0),"")</f>
        <v>E</v>
      </c>
      <c r="G459" s="110">
        <f>IFERROR(VLOOKUP(C459,[1]evdl298!$B:$C,2,0),"")</f>
        <v>41500</v>
      </c>
      <c r="H459" s="110" t="str">
        <f t="shared" si="19"/>
        <v>E</v>
      </c>
      <c r="I459" s="110">
        <f t="shared" si="20"/>
        <v>41500</v>
      </c>
      <c r="J459" s="110"/>
      <c r="K459" s="110"/>
      <c r="M459" s="110"/>
      <c r="O459" s="110"/>
    </row>
    <row r="460" spans="1:15" x14ac:dyDescent="0.3">
      <c r="A460" s="58" t="str">
        <f>Schedule!E458</f>
        <v>A011390</v>
      </c>
      <c r="B460" s="58" t="s">
        <v>1952</v>
      </c>
      <c r="C460" s="58" t="str">
        <f t="shared" si="18"/>
        <v>011390 KS</v>
      </c>
      <c r="D460" s="58" t="s">
        <v>3671</v>
      </c>
      <c r="E460" s="110" t="s">
        <v>3527</v>
      </c>
      <c r="F460" s="110" t="str">
        <f>IFERROR(VLOOKUP(C460,[1]evdl298!$B:$D,3,0),"")</f>
        <v>E</v>
      </c>
      <c r="G460" s="110">
        <f>IFERROR(VLOOKUP(C460,[1]evdl298!$B:$C,2,0),"")</f>
        <v>41515</v>
      </c>
      <c r="H460" s="110" t="str">
        <f t="shared" si="19"/>
        <v>E</v>
      </c>
      <c r="I460" s="110">
        <f t="shared" si="20"/>
        <v>41515</v>
      </c>
      <c r="J460" s="110"/>
      <c r="K460" s="110"/>
      <c r="M460" s="110"/>
      <c r="O460" s="110"/>
    </row>
    <row r="461" spans="1:15" x14ac:dyDescent="0.3">
      <c r="A461" s="58" t="str">
        <f>Schedule!E459</f>
        <v>A011420</v>
      </c>
      <c r="B461" s="58" t="s">
        <v>3633</v>
      </c>
      <c r="C461" s="58" t="str">
        <f t="shared" si="18"/>
        <v>011420 KS</v>
      </c>
      <c r="D461" s="58" t="s">
        <v>3671</v>
      </c>
      <c r="E461" s="110" t="s">
        <v>3527</v>
      </c>
      <c r="F461" s="110" t="str">
        <f>IFERROR(VLOOKUP(C461,[1]evdl298!$B:$D,3,0),"")</f>
        <v/>
      </c>
      <c r="G461" s="110" t="str">
        <f>IFERROR(VLOOKUP(C461,[1]evdl298!$B:$C,2,0),"")</f>
        <v/>
      </c>
      <c r="H461" s="110" t="str">
        <f t="shared" si="19"/>
        <v/>
      </c>
      <c r="I461" s="110" t="str">
        <f t="shared" si="20"/>
        <v/>
      </c>
      <c r="J461" s="110"/>
      <c r="K461" s="110"/>
      <c r="M461" s="110"/>
      <c r="O461" s="110"/>
    </row>
    <row r="462" spans="1:15" x14ac:dyDescent="0.3">
      <c r="A462" s="58" t="str">
        <f>Schedule!E460</f>
        <v>A011500</v>
      </c>
      <c r="B462" s="58" t="s">
        <v>1953</v>
      </c>
      <c r="C462" s="58" t="str">
        <f t="shared" si="18"/>
        <v>011500 KS</v>
      </c>
      <c r="D462" s="58" t="s">
        <v>3671</v>
      </c>
      <c r="E462" s="110" t="s">
        <v>3527</v>
      </c>
      <c r="F462" s="110" t="str">
        <f>IFERROR(VLOOKUP(C462,[1]evdl298!$B:$D,3,0),"")</f>
        <v>E</v>
      </c>
      <c r="G462" s="110">
        <f>IFERROR(VLOOKUP(C462,[1]evdl298!$B:$C,2,0),"")</f>
        <v>41500</v>
      </c>
      <c r="H462" s="110" t="str">
        <f t="shared" si="19"/>
        <v>E</v>
      </c>
      <c r="I462" s="110">
        <f t="shared" si="20"/>
        <v>41500</v>
      </c>
      <c r="J462" s="110"/>
      <c r="K462" s="110"/>
      <c r="M462" s="110"/>
      <c r="O462" s="110"/>
    </row>
    <row r="463" spans="1:15" x14ac:dyDescent="0.3">
      <c r="A463" s="58" t="str">
        <f>Schedule!E461</f>
        <v>A011560</v>
      </c>
      <c r="B463" s="58" t="s">
        <v>1954</v>
      </c>
      <c r="C463" s="58" t="str">
        <f t="shared" si="18"/>
        <v>011560 KS</v>
      </c>
      <c r="D463" s="58" t="s">
        <v>3671</v>
      </c>
      <c r="E463" s="110" t="s">
        <v>3527</v>
      </c>
      <c r="F463" s="110" t="str">
        <f>IFERROR(VLOOKUP(C463,[1]evdl298!$B:$D,3,0),"")</f>
        <v/>
      </c>
      <c r="G463" s="110" t="str">
        <f>IFERROR(VLOOKUP(C463,[1]evdl298!$B:$C,2,0),"")</f>
        <v/>
      </c>
      <c r="H463" s="110" t="str">
        <f t="shared" si="19"/>
        <v/>
      </c>
      <c r="I463" s="110" t="str">
        <f t="shared" si="20"/>
        <v/>
      </c>
      <c r="J463" s="110"/>
      <c r="K463" s="110"/>
      <c r="M463" s="110"/>
      <c r="O463" s="110"/>
    </row>
    <row r="464" spans="1:15" x14ac:dyDescent="0.3">
      <c r="A464" s="58" t="str">
        <f>Schedule!E462</f>
        <v>A011690</v>
      </c>
      <c r="B464" s="58" t="s">
        <v>1955</v>
      </c>
      <c r="C464" s="58" t="str">
        <f t="shared" si="18"/>
        <v>011690 KS</v>
      </c>
      <c r="D464" s="58" t="s">
        <v>3671</v>
      </c>
      <c r="E464" s="110" t="s">
        <v>3527</v>
      </c>
      <c r="F464" s="110" t="str">
        <f>IFERROR(VLOOKUP(C464,[1]evdl298!$B:$D,3,0),"")</f>
        <v>E</v>
      </c>
      <c r="G464" s="110">
        <f>IFERROR(VLOOKUP(C464,[1]evdl298!$B:$C,2,0),"")</f>
        <v>41515</v>
      </c>
      <c r="H464" s="110" t="str">
        <f t="shared" si="19"/>
        <v>E</v>
      </c>
      <c r="I464" s="110">
        <f t="shared" si="20"/>
        <v>41515</v>
      </c>
      <c r="J464" s="110"/>
      <c r="K464" s="110"/>
      <c r="M464" s="110"/>
      <c r="O464" s="110"/>
    </row>
    <row r="465" spans="1:15" x14ac:dyDescent="0.3">
      <c r="A465" s="58" t="str">
        <f>Schedule!E463</f>
        <v>A011700</v>
      </c>
      <c r="B465" s="58" t="s">
        <v>1956</v>
      </c>
      <c r="C465" s="58" t="str">
        <f t="shared" ref="C465:C528" si="21">RIGHT(A465,6)&amp;" KS"</f>
        <v>011700 KS</v>
      </c>
      <c r="D465" s="58" t="s">
        <v>3671</v>
      </c>
      <c r="E465" s="110" t="s">
        <v>3527</v>
      </c>
      <c r="F465" s="110" t="str">
        <f>IFERROR(VLOOKUP(C465,[1]evdl298!$B:$D,3,0),"")</f>
        <v/>
      </c>
      <c r="G465" s="110" t="str">
        <f>IFERROR(VLOOKUP(C465,[1]evdl298!$B:$C,2,0),"")</f>
        <v/>
      </c>
      <c r="H465" s="110" t="str">
        <f t="shared" ref="H465:H528" si="22">F465</f>
        <v/>
      </c>
      <c r="I465" s="110" t="str">
        <f t="shared" ref="I465:I528" si="23">IF(ISNUMBER(G465),G465,E465)</f>
        <v/>
      </c>
      <c r="J465" s="110"/>
      <c r="K465" s="110"/>
      <c r="M465" s="110"/>
      <c r="O465" s="110"/>
    </row>
    <row r="466" spans="1:15" x14ac:dyDescent="0.3">
      <c r="A466" s="58" t="str">
        <f>Schedule!E464</f>
        <v>A011720</v>
      </c>
      <c r="B466" s="58" t="s">
        <v>1957</v>
      </c>
      <c r="C466" s="58" t="str">
        <f t="shared" si="21"/>
        <v>011720 KS</v>
      </c>
      <c r="D466" s="58" t="s">
        <v>3671</v>
      </c>
      <c r="E466" s="110" t="s">
        <v>3527</v>
      </c>
      <c r="F466" s="110" t="str">
        <f>IFERROR(VLOOKUP(C466,[1]evdl298!$B:$D,3,0),"")</f>
        <v>E</v>
      </c>
      <c r="G466" s="110">
        <f>IFERROR(VLOOKUP(C466,[1]evdl298!$B:$C,2,0),"")</f>
        <v>41500</v>
      </c>
      <c r="H466" s="110" t="str">
        <f t="shared" si="22"/>
        <v>E</v>
      </c>
      <c r="I466" s="110">
        <f t="shared" si="23"/>
        <v>41500</v>
      </c>
      <c r="J466" s="110"/>
      <c r="K466" s="110"/>
      <c r="M466" s="110"/>
      <c r="O466" s="110"/>
    </row>
    <row r="467" spans="1:15" x14ac:dyDescent="0.3">
      <c r="A467" s="58" t="str">
        <f>Schedule!E465</f>
        <v>A011760</v>
      </c>
      <c r="B467" s="58" t="s">
        <v>1958</v>
      </c>
      <c r="C467" s="58" t="str">
        <f t="shared" si="21"/>
        <v>011760 KS</v>
      </c>
      <c r="D467" s="58" t="s">
        <v>3671</v>
      </c>
      <c r="E467" s="110" t="s">
        <v>3527</v>
      </c>
      <c r="F467" s="110" t="str">
        <f>IFERROR(VLOOKUP(C467,[1]evdl298!$B:$D,3,0),"")</f>
        <v/>
      </c>
      <c r="G467" s="110" t="str">
        <f>IFERROR(VLOOKUP(C467,[1]evdl298!$B:$C,2,0),"")</f>
        <v/>
      </c>
      <c r="H467" s="110" t="str">
        <f t="shared" si="22"/>
        <v/>
      </c>
      <c r="I467" s="110" t="str">
        <f t="shared" si="23"/>
        <v/>
      </c>
      <c r="J467" s="110"/>
      <c r="K467" s="110"/>
      <c r="M467" s="110"/>
      <c r="O467" s="110"/>
    </row>
    <row r="468" spans="1:15" x14ac:dyDescent="0.3">
      <c r="A468" s="58" t="str">
        <f>Schedule!E466</f>
        <v>A011780</v>
      </c>
      <c r="B468" s="58" t="s">
        <v>1959</v>
      </c>
      <c r="C468" s="58" t="str">
        <f t="shared" si="21"/>
        <v>011780 KS</v>
      </c>
      <c r="D468" s="58" t="s">
        <v>3671</v>
      </c>
      <c r="E468" s="110" t="s">
        <v>3695</v>
      </c>
      <c r="F468" s="110" t="str">
        <f>IFERROR(VLOOKUP(C468,[1]evdl298!$B:$D,3,0),"")</f>
        <v>C</v>
      </c>
      <c r="G468" s="110">
        <f>IFERROR(VLOOKUP(C468,[1]evdl298!$B:$C,2,0),"")</f>
        <v>41473</v>
      </c>
      <c r="H468" s="110" t="str">
        <f t="shared" si="22"/>
        <v>C</v>
      </c>
      <c r="I468" s="110">
        <f t="shared" si="23"/>
        <v>41473</v>
      </c>
      <c r="J468" s="110"/>
      <c r="K468" s="110"/>
      <c r="M468" s="110"/>
      <c r="O468" s="110"/>
    </row>
    <row r="469" spans="1:15" x14ac:dyDescent="0.3">
      <c r="A469" s="58" t="str">
        <f>Schedule!E467</f>
        <v>A011790</v>
      </c>
      <c r="B469" s="58" t="s">
        <v>1960</v>
      </c>
      <c r="C469" s="58" t="str">
        <f t="shared" si="21"/>
        <v>011790 KS</v>
      </c>
      <c r="D469" s="58" t="s">
        <v>3671</v>
      </c>
      <c r="E469" s="110" t="s">
        <v>3527</v>
      </c>
      <c r="F469" s="110" t="str">
        <f>IFERROR(VLOOKUP(C469,[1]evdl298!$B:$D,3,0),"")</f>
        <v>E</v>
      </c>
      <c r="G469" s="110">
        <f>IFERROR(VLOOKUP(C469,[1]evdl298!$B:$C,2,0),"")</f>
        <v>41495</v>
      </c>
      <c r="H469" s="110" t="str">
        <f t="shared" si="22"/>
        <v>E</v>
      </c>
      <c r="I469" s="110">
        <f t="shared" si="23"/>
        <v>41495</v>
      </c>
      <c r="J469" s="110"/>
      <c r="K469" s="110"/>
      <c r="M469" s="110"/>
      <c r="O469" s="110"/>
    </row>
    <row r="470" spans="1:15" x14ac:dyDescent="0.3">
      <c r="A470" s="58" t="str">
        <f>Schedule!E468</f>
        <v>A011810</v>
      </c>
      <c r="B470" s="58" t="s">
        <v>1961</v>
      </c>
      <c r="C470" s="58" t="str">
        <f t="shared" si="21"/>
        <v>011810 KS</v>
      </c>
      <c r="D470" s="58" t="s">
        <v>3671</v>
      </c>
      <c r="E470" s="110" t="s">
        <v>3527</v>
      </c>
      <c r="F470" s="110" t="str">
        <f>IFERROR(VLOOKUP(C470,[1]evdl298!$B:$D,3,0),"")</f>
        <v>E</v>
      </c>
      <c r="G470" s="110">
        <f>IFERROR(VLOOKUP(C470,[1]evdl298!$B:$C,2,0),"")</f>
        <v>41500</v>
      </c>
      <c r="H470" s="110" t="str">
        <f t="shared" si="22"/>
        <v>E</v>
      </c>
      <c r="I470" s="110">
        <f t="shared" si="23"/>
        <v>41500</v>
      </c>
      <c r="J470" s="110"/>
      <c r="K470" s="110"/>
      <c r="M470" s="110"/>
      <c r="O470" s="110"/>
    </row>
    <row r="471" spans="1:15" x14ac:dyDescent="0.3">
      <c r="A471" s="58" t="str">
        <f>Schedule!E469</f>
        <v>A011930</v>
      </c>
      <c r="B471" s="58" t="s">
        <v>1962</v>
      </c>
      <c r="C471" s="58" t="str">
        <f t="shared" si="21"/>
        <v>011930 KS</v>
      </c>
      <c r="D471" s="58" t="s">
        <v>3671</v>
      </c>
      <c r="E471" s="110" t="s">
        <v>3527</v>
      </c>
      <c r="F471" s="110" t="str">
        <f>IFERROR(VLOOKUP(C471,[1]evdl298!$B:$D,3,0),"")</f>
        <v>E</v>
      </c>
      <c r="G471" s="110">
        <f>IFERROR(VLOOKUP(C471,[1]evdl298!$B:$C,2,0),"")</f>
        <v>41500</v>
      </c>
      <c r="H471" s="110" t="str">
        <f t="shared" si="22"/>
        <v>E</v>
      </c>
      <c r="I471" s="110">
        <f t="shared" si="23"/>
        <v>41500</v>
      </c>
      <c r="J471" s="110"/>
      <c r="K471" s="110"/>
      <c r="M471" s="110"/>
      <c r="O471" s="110"/>
    </row>
    <row r="472" spans="1:15" x14ac:dyDescent="0.3">
      <c r="A472" s="58" t="str">
        <f>Schedule!E470</f>
        <v>A012030</v>
      </c>
      <c r="B472" s="58" t="s">
        <v>1963</v>
      </c>
      <c r="C472" s="58" t="str">
        <f t="shared" si="21"/>
        <v>012030 KS</v>
      </c>
      <c r="D472" s="58" t="s">
        <v>3671</v>
      </c>
      <c r="E472" s="110" t="s">
        <v>3527</v>
      </c>
      <c r="F472" s="110" t="str">
        <f>IFERROR(VLOOKUP(C472,[1]evdl298!$B:$D,3,0),"")</f>
        <v>E</v>
      </c>
      <c r="G472" s="110">
        <f>IFERROR(VLOOKUP(C472,[1]evdl298!$B:$C,2,0),"")</f>
        <v>41500</v>
      </c>
      <c r="H472" s="110" t="str">
        <f t="shared" si="22"/>
        <v>E</v>
      </c>
      <c r="I472" s="110">
        <f t="shared" si="23"/>
        <v>41500</v>
      </c>
      <c r="J472" s="110"/>
      <c r="K472" s="110"/>
      <c r="M472" s="110"/>
      <c r="O472" s="110"/>
    </row>
    <row r="473" spans="1:15" x14ac:dyDescent="0.3">
      <c r="A473" s="58" t="str">
        <f>Schedule!E471</f>
        <v>A012160</v>
      </c>
      <c r="B473" s="58" t="s">
        <v>3337</v>
      </c>
      <c r="C473" s="58" t="str">
        <f t="shared" si="21"/>
        <v>012160 KS</v>
      </c>
      <c r="D473" s="58" t="s">
        <v>3671</v>
      </c>
      <c r="E473" s="110" t="s">
        <v>3527</v>
      </c>
      <c r="F473" s="110" t="str">
        <f>IFERROR(VLOOKUP(C473,[1]evdl298!$B:$D,3,0),"")</f>
        <v>E</v>
      </c>
      <c r="G473" s="110">
        <f>IFERROR(VLOOKUP(C473,[1]evdl298!$B:$C,2,0),"")</f>
        <v>41500</v>
      </c>
      <c r="H473" s="110" t="str">
        <f t="shared" si="22"/>
        <v>E</v>
      </c>
      <c r="I473" s="110">
        <f t="shared" si="23"/>
        <v>41500</v>
      </c>
      <c r="J473" s="110"/>
      <c r="K473" s="110"/>
      <c r="M473" s="110"/>
      <c r="O473" s="110"/>
    </row>
    <row r="474" spans="1:15" x14ac:dyDescent="0.3">
      <c r="A474" s="58" t="str">
        <f>Schedule!E472</f>
        <v>A012170</v>
      </c>
      <c r="B474" s="58" t="s">
        <v>1964</v>
      </c>
      <c r="C474" s="58" t="str">
        <f t="shared" si="21"/>
        <v>012170 KS</v>
      </c>
      <c r="D474" s="58" t="s">
        <v>3671</v>
      </c>
      <c r="E474" s="110" t="s">
        <v>3527</v>
      </c>
      <c r="F474" s="110" t="str">
        <f>IFERROR(VLOOKUP(C474,[1]evdl298!$B:$D,3,0),"")</f>
        <v/>
      </c>
      <c r="G474" s="110" t="str">
        <f>IFERROR(VLOOKUP(C474,[1]evdl298!$B:$C,2,0),"")</f>
        <v/>
      </c>
      <c r="H474" s="110" t="str">
        <f t="shared" si="22"/>
        <v/>
      </c>
      <c r="I474" s="110" t="str">
        <f t="shared" si="23"/>
        <v/>
      </c>
      <c r="J474" s="110"/>
      <c r="K474" s="110"/>
      <c r="M474" s="110"/>
      <c r="O474" s="110"/>
    </row>
    <row r="475" spans="1:15" x14ac:dyDescent="0.3">
      <c r="A475" s="58" t="str">
        <f>Schedule!E473</f>
        <v>A012200</v>
      </c>
      <c r="B475" s="58" t="s">
        <v>1965</v>
      </c>
      <c r="C475" s="58" t="str">
        <f t="shared" si="21"/>
        <v>012200 KS</v>
      </c>
      <c r="D475" s="58" t="s">
        <v>3671</v>
      </c>
      <c r="E475" s="110" t="s">
        <v>3527</v>
      </c>
      <c r="F475" s="110" t="str">
        <f>IFERROR(VLOOKUP(C475,[1]evdl298!$B:$D,3,0),"")</f>
        <v>E</v>
      </c>
      <c r="G475" s="110">
        <f>IFERROR(VLOOKUP(C475,[1]evdl298!$B:$C,2,0),"")</f>
        <v>41472</v>
      </c>
      <c r="H475" s="110" t="str">
        <f t="shared" si="22"/>
        <v>E</v>
      </c>
      <c r="I475" s="110">
        <f t="shared" si="23"/>
        <v>41472</v>
      </c>
      <c r="J475" s="110"/>
      <c r="K475" s="110"/>
      <c r="M475" s="110"/>
      <c r="O475" s="110"/>
    </row>
    <row r="476" spans="1:15" x14ac:dyDescent="0.3">
      <c r="A476" s="58" t="str">
        <f>Schedule!E474</f>
        <v>A012280</v>
      </c>
      <c r="B476" s="58" t="s">
        <v>1966</v>
      </c>
      <c r="C476" s="58" t="str">
        <f t="shared" si="21"/>
        <v>012280 KS</v>
      </c>
      <c r="D476" s="58" t="s">
        <v>3671</v>
      </c>
      <c r="E476" s="110" t="s">
        <v>3527</v>
      </c>
      <c r="F476" s="110" t="str">
        <f>IFERROR(VLOOKUP(C476,[1]evdl298!$B:$D,3,0),"")</f>
        <v/>
      </c>
      <c r="G476" s="110" t="str">
        <f>IFERROR(VLOOKUP(C476,[1]evdl298!$B:$C,2,0),"")</f>
        <v/>
      </c>
      <c r="H476" s="110" t="str">
        <f t="shared" si="22"/>
        <v/>
      </c>
      <c r="I476" s="110" t="str">
        <f t="shared" si="23"/>
        <v/>
      </c>
      <c r="J476" s="110"/>
      <c r="K476" s="110"/>
      <c r="M476" s="110"/>
      <c r="O476" s="110"/>
    </row>
    <row r="477" spans="1:15" x14ac:dyDescent="0.3">
      <c r="A477" s="58" t="str">
        <f>Schedule!E475</f>
        <v>A012320</v>
      </c>
      <c r="B477" s="58" t="s">
        <v>1967</v>
      </c>
      <c r="C477" s="58" t="str">
        <f t="shared" si="21"/>
        <v>012320 KS</v>
      </c>
      <c r="D477" s="58" t="s">
        <v>3671</v>
      </c>
      <c r="E477" s="110" t="s">
        <v>3527</v>
      </c>
      <c r="F477" s="110" t="str">
        <f>IFERROR(VLOOKUP(C477,[1]evdl298!$B:$D,3,0),"")</f>
        <v/>
      </c>
      <c r="G477" s="110" t="str">
        <f>IFERROR(VLOOKUP(C477,[1]evdl298!$B:$C,2,0),"")</f>
        <v/>
      </c>
      <c r="H477" s="110" t="str">
        <f t="shared" si="22"/>
        <v/>
      </c>
      <c r="I477" s="110" t="str">
        <f t="shared" si="23"/>
        <v/>
      </c>
      <c r="J477" s="110"/>
      <c r="K477" s="110"/>
      <c r="M477" s="110"/>
      <c r="O477" s="110"/>
    </row>
    <row r="478" spans="1:15" x14ac:dyDescent="0.3">
      <c r="A478" s="58" t="str">
        <f>Schedule!E476</f>
        <v>A012330</v>
      </c>
      <c r="B478" s="58" t="s">
        <v>1968</v>
      </c>
      <c r="C478" s="58" t="str">
        <f t="shared" si="21"/>
        <v>012330 KS</v>
      </c>
      <c r="D478" s="58" t="s">
        <v>3671</v>
      </c>
      <c r="E478" s="110" t="s">
        <v>3678</v>
      </c>
      <c r="F478" s="110" t="str">
        <f>IFERROR(VLOOKUP(C478,[1]evdl298!$B:$D,3,0),"")</f>
        <v>E</v>
      </c>
      <c r="G478" s="110">
        <f>IFERROR(VLOOKUP(C478,[1]evdl298!$B:$C,2,0),"")</f>
        <v>41481</v>
      </c>
      <c r="H478" s="110" t="str">
        <f t="shared" si="22"/>
        <v>E</v>
      </c>
      <c r="I478" s="110">
        <f t="shared" si="23"/>
        <v>41481</v>
      </c>
      <c r="J478" s="110"/>
      <c r="K478" s="110"/>
      <c r="M478" s="110"/>
      <c r="O478" s="110"/>
    </row>
    <row r="479" spans="1:15" x14ac:dyDescent="0.3">
      <c r="A479" s="58" t="str">
        <f>Schedule!E477</f>
        <v>A012340</v>
      </c>
      <c r="B479" s="58" t="s">
        <v>1969</v>
      </c>
      <c r="C479" s="58" t="str">
        <f t="shared" si="21"/>
        <v>012340 KS</v>
      </c>
      <c r="D479" s="58" t="s">
        <v>3671</v>
      </c>
      <c r="E479" s="110" t="s">
        <v>3527</v>
      </c>
      <c r="F479" s="110" t="str">
        <f>IFERROR(VLOOKUP(C479,[1]evdl298!$B:$D,3,0),"")</f>
        <v>E</v>
      </c>
      <c r="G479" s="110">
        <f>IFERROR(VLOOKUP(C479,[1]evdl298!$B:$C,2,0),"")</f>
        <v>41515</v>
      </c>
      <c r="H479" s="110" t="str">
        <f t="shared" si="22"/>
        <v>E</v>
      </c>
      <c r="I479" s="110">
        <f t="shared" si="23"/>
        <v>41515</v>
      </c>
      <c r="J479" s="110"/>
      <c r="K479" s="110"/>
      <c r="M479" s="110"/>
      <c r="O479" s="110"/>
    </row>
    <row r="480" spans="1:15" x14ac:dyDescent="0.3">
      <c r="A480" s="58" t="str">
        <f>Schedule!E478</f>
        <v>A012450</v>
      </c>
      <c r="B480" s="58" t="s">
        <v>1970</v>
      </c>
      <c r="C480" s="58" t="str">
        <f t="shared" si="21"/>
        <v>012450 KS</v>
      </c>
      <c r="D480" s="58" t="s">
        <v>3671</v>
      </c>
      <c r="E480" s="110" t="s">
        <v>3527</v>
      </c>
      <c r="F480" s="110" t="str">
        <f>IFERROR(VLOOKUP(C480,[1]evdl298!$B:$D,3,0),"")</f>
        <v>E</v>
      </c>
      <c r="G480" s="110">
        <f>IFERROR(VLOOKUP(C480,[1]evdl298!$B:$C,2,0),"")</f>
        <v>41479</v>
      </c>
      <c r="H480" s="110" t="str">
        <f t="shared" si="22"/>
        <v>E</v>
      </c>
      <c r="I480" s="110">
        <f t="shared" si="23"/>
        <v>41479</v>
      </c>
      <c r="J480" s="110"/>
      <c r="K480" s="110"/>
      <c r="M480" s="110"/>
      <c r="O480" s="110"/>
    </row>
    <row r="481" spans="1:15" x14ac:dyDescent="0.3">
      <c r="A481" s="58" t="str">
        <f>Schedule!E479</f>
        <v>A012510</v>
      </c>
      <c r="B481" s="58" t="s">
        <v>1971</v>
      </c>
      <c r="C481" s="58" t="str">
        <f t="shared" si="21"/>
        <v>012510 KS</v>
      </c>
      <c r="D481" s="58" t="s">
        <v>3671</v>
      </c>
      <c r="E481" s="110" t="s">
        <v>3681</v>
      </c>
      <c r="F481" s="110" t="str">
        <f>IFERROR(VLOOKUP(C481,[1]evdl298!$B:$D,3,0),"")</f>
        <v>E</v>
      </c>
      <c r="G481" s="110">
        <f>IFERROR(VLOOKUP(C481,[1]evdl298!$B:$C,2,0),"")</f>
        <v>41495</v>
      </c>
      <c r="H481" s="110" t="str">
        <f t="shared" si="22"/>
        <v>E</v>
      </c>
      <c r="I481" s="110">
        <f t="shared" si="23"/>
        <v>41495</v>
      </c>
      <c r="J481" s="110"/>
      <c r="K481" s="110"/>
      <c r="M481" s="110"/>
      <c r="O481" s="110"/>
    </row>
    <row r="482" spans="1:15" x14ac:dyDescent="0.3">
      <c r="A482" s="58" t="str">
        <f>Schedule!E480</f>
        <v>A012600</v>
      </c>
      <c r="B482" s="58" t="s">
        <v>1972</v>
      </c>
      <c r="C482" s="58" t="str">
        <f t="shared" si="21"/>
        <v>012600 KS</v>
      </c>
      <c r="D482" s="58" t="s">
        <v>3671</v>
      </c>
      <c r="E482" s="110" t="s">
        <v>3527</v>
      </c>
      <c r="F482" s="110" t="str">
        <f>IFERROR(VLOOKUP(C482,[1]evdl298!$B:$D,3,0),"")</f>
        <v/>
      </c>
      <c r="G482" s="110" t="str">
        <f>IFERROR(VLOOKUP(C482,[1]evdl298!$B:$C,2,0),"")</f>
        <v/>
      </c>
      <c r="H482" s="110" t="str">
        <f t="shared" si="22"/>
        <v/>
      </c>
      <c r="I482" s="110" t="str">
        <f t="shared" si="23"/>
        <v/>
      </c>
      <c r="J482" s="110"/>
      <c r="K482" s="110"/>
      <c r="M482" s="110"/>
      <c r="O482" s="110"/>
    </row>
    <row r="483" spans="1:15" x14ac:dyDescent="0.3">
      <c r="A483" s="58" t="str">
        <f>Schedule!E481</f>
        <v>A012610</v>
      </c>
      <c r="B483" s="58" t="s">
        <v>1973</v>
      </c>
      <c r="C483" s="58" t="str">
        <f t="shared" si="21"/>
        <v>012610 KS</v>
      </c>
      <c r="D483" s="58" t="s">
        <v>3671</v>
      </c>
      <c r="E483" s="110" t="s">
        <v>3527</v>
      </c>
      <c r="F483" s="110" t="str">
        <f>IFERROR(VLOOKUP(C483,[1]evdl298!$B:$D,3,0),"")</f>
        <v>E</v>
      </c>
      <c r="G483" s="110">
        <f>IFERROR(VLOOKUP(C483,[1]evdl298!$B:$C,2,0),"")</f>
        <v>41515</v>
      </c>
      <c r="H483" s="110" t="str">
        <f t="shared" si="22"/>
        <v>E</v>
      </c>
      <c r="I483" s="110">
        <f t="shared" si="23"/>
        <v>41515</v>
      </c>
      <c r="J483" s="110"/>
      <c r="K483" s="110"/>
      <c r="M483" s="110"/>
      <c r="O483" s="110"/>
    </row>
    <row r="484" spans="1:15" x14ac:dyDescent="0.3">
      <c r="A484" s="58" t="str">
        <f>Schedule!E482</f>
        <v>A012620</v>
      </c>
      <c r="B484" s="58" t="s">
        <v>1974</v>
      </c>
      <c r="C484" s="58" t="str">
        <f t="shared" si="21"/>
        <v>012620 KS</v>
      </c>
      <c r="D484" s="58" t="s">
        <v>3671</v>
      </c>
      <c r="E484" s="110" t="s">
        <v>3527</v>
      </c>
      <c r="F484" s="110" t="str">
        <f>IFERROR(VLOOKUP(C484,[1]evdl298!$B:$D,3,0),"")</f>
        <v/>
      </c>
      <c r="G484" s="110" t="str">
        <f>IFERROR(VLOOKUP(C484,[1]evdl298!$B:$C,2,0),"")</f>
        <v/>
      </c>
      <c r="H484" s="110" t="str">
        <f t="shared" si="22"/>
        <v/>
      </c>
      <c r="I484" s="110" t="str">
        <f t="shared" si="23"/>
        <v/>
      </c>
      <c r="J484" s="110"/>
      <c r="K484" s="110"/>
      <c r="M484" s="110"/>
      <c r="O484" s="110"/>
    </row>
    <row r="485" spans="1:15" x14ac:dyDescent="0.3">
      <c r="A485" s="58" t="str">
        <f>Schedule!E483</f>
        <v>A012630</v>
      </c>
      <c r="B485" s="58" t="s">
        <v>1975</v>
      </c>
      <c r="C485" s="58" t="str">
        <f t="shared" si="21"/>
        <v>012630 KS</v>
      </c>
      <c r="D485" s="58" t="s">
        <v>3671</v>
      </c>
      <c r="E485" s="110" t="s">
        <v>3527</v>
      </c>
      <c r="F485" s="110" t="str">
        <f>IFERROR(VLOOKUP(C485,[1]evdl298!$B:$D,3,0),"")</f>
        <v>E</v>
      </c>
      <c r="G485" s="110">
        <f>IFERROR(VLOOKUP(C485,[1]evdl298!$B:$C,2,0),"")</f>
        <v>41474</v>
      </c>
      <c r="H485" s="110" t="str">
        <f t="shared" si="22"/>
        <v>E</v>
      </c>
      <c r="I485" s="110">
        <f t="shared" si="23"/>
        <v>41474</v>
      </c>
      <c r="J485" s="110"/>
      <c r="K485" s="110"/>
      <c r="M485" s="110"/>
      <c r="O485" s="110"/>
    </row>
    <row r="486" spans="1:15" x14ac:dyDescent="0.3">
      <c r="A486" s="58" t="str">
        <f>Schedule!E484</f>
        <v>A012650</v>
      </c>
      <c r="B486" s="58" t="s">
        <v>1976</v>
      </c>
      <c r="C486" s="58" t="str">
        <f t="shared" si="21"/>
        <v>012650 KS</v>
      </c>
      <c r="D486" s="58" t="s">
        <v>3671</v>
      </c>
      <c r="E486" s="110" t="s">
        <v>3678</v>
      </c>
      <c r="F486" s="110" t="str">
        <f>IFERROR(VLOOKUP(C486,[1]evdl298!$B:$D,3,0),"")</f>
        <v/>
      </c>
      <c r="G486" s="110" t="str">
        <f>IFERROR(VLOOKUP(C486,[1]evdl298!$B:$C,2,0),"")</f>
        <v/>
      </c>
      <c r="H486" s="110" t="str">
        <f t="shared" si="22"/>
        <v/>
      </c>
      <c r="I486" s="110" t="str">
        <f t="shared" si="23"/>
        <v>2013-07-26</v>
      </c>
      <c r="J486" s="110"/>
      <c r="K486" s="110"/>
      <c r="M486" s="110"/>
      <c r="O486" s="110"/>
    </row>
    <row r="487" spans="1:15" x14ac:dyDescent="0.3">
      <c r="A487" s="58" t="str">
        <f>Schedule!E485</f>
        <v>A012690</v>
      </c>
      <c r="B487" s="58" t="s">
        <v>1977</v>
      </c>
      <c r="C487" s="58" t="str">
        <f t="shared" si="21"/>
        <v>012690 KS</v>
      </c>
      <c r="D487" s="58" t="s">
        <v>3671</v>
      </c>
      <c r="E487" s="110" t="s">
        <v>3527</v>
      </c>
      <c r="F487" s="110" t="str">
        <f>IFERROR(VLOOKUP(C487,[1]evdl298!$B:$D,3,0),"")</f>
        <v>E</v>
      </c>
      <c r="G487" s="110">
        <f>IFERROR(VLOOKUP(C487,[1]evdl298!$B:$C,2,0),"")</f>
        <v>41493</v>
      </c>
      <c r="H487" s="110" t="str">
        <f t="shared" si="22"/>
        <v>E</v>
      </c>
      <c r="I487" s="110">
        <f t="shared" si="23"/>
        <v>41493</v>
      </c>
      <c r="J487" s="110"/>
      <c r="K487" s="110"/>
      <c r="M487" s="110"/>
      <c r="O487" s="110"/>
    </row>
    <row r="488" spans="1:15" x14ac:dyDescent="0.3">
      <c r="A488" s="58" t="str">
        <f>Schedule!E486</f>
        <v>A012700</v>
      </c>
      <c r="B488" s="58" t="s">
        <v>1978</v>
      </c>
      <c r="C488" s="58" t="str">
        <f t="shared" si="21"/>
        <v>012700 KS</v>
      </c>
      <c r="D488" s="58" t="s">
        <v>3671</v>
      </c>
      <c r="E488" s="110" t="s">
        <v>3527</v>
      </c>
      <c r="F488" s="110" t="str">
        <f>IFERROR(VLOOKUP(C488,[1]evdl298!$B:$D,3,0),"")</f>
        <v>E</v>
      </c>
      <c r="G488" s="110">
        <f>IFERROR(VLOOKUP(C488,[1]evdl298!$B:$C,2,0),"")</f>
        <v>41494</v>
      </c>
      <c r="H488" s="110" t="str">
        <f t="shared" si="22"/>
        <v>E</v>
      </c>
      <c r="I488" s="110">
        <f t="shared" si="23"/>
        <v>41494</v>
      </c>
      <c r="J488" s="110"/>
      <c r="K488" s="110"/>
      <c r="M488" s="110"/>
      <c r="O488" s="110"/>
    </row>
    <row r="489" spans="1:15" x14ac:dyDescent="0.3">
      <c r="A489" s="58" t="str">
        <f>Schedule!E487</f>
        <v>A012750</v>
      </c>
      <c r="B489" s="58" t="s">
        <v>1979</v>
      </c>
      <c r="C489" s="58" t="str">
        <f t="shared" si="21"/>
        <v>012750 KS</v>
      </c>
      <c r="D489" s="58" t="s">
        <v>3671</v>
      </c>
      <c r="E489" s="110" t="s">
        <v>3527</v>
      </c>
      <c r="F489" s="110" t="str">
        <f>IFERROR(VLOOKUP(C489,[1]evdl298!$B:$D,3,0),"")</f>
        <v>E</v>
      </c>
      <c r="G489" s="110">
        <f>IFERROR(VLOOKUP(C489,[1]evdl298!$B:$C,2,0),"")</f>
        <v>41481</v>
      </c>
      <c r="H489" s="110" t="str">
        <f t="shared" si="22"/>
        <v>E</v>
      </c>
      <c r="I489" s="110">
        <f t="shared" si="23"/>
        <v>41481</v>
      </c>
      <c r="J489" s="110"/>
      <c r="K489" s="110"/>
      <c r="M489" s="110"/>
      <c r="O489" s="110"/>
    </row>
    <row r="490" spans="1:15" x14ac:dyDescent="0.3">
      <c r="A490" s="58" t="str">
        <f>Schedule!E488</f>
        <v>A012790</v>
      </c>
      <c r="B490" s="58" t="s">
        <v>1980</v>
      </c>
      <c r="C490" s="58" t="str">
        <f t="shared" si="21"/>
        <v>012790 KS</v>
      </c>
      <c r="D490" s="58" t="s">
        <v>3671</v>
      </c>
      <c r="E490" s="110" t="s">
        <v>3678</v>
      </c>
      <c r="F490" s="110" t="str">
        <f>IFERROR(VLOOKUP(C490,[1]evdl298!$B:$D,3,0),"")</f>
        <v>E</v>
      </c>
      <c r="G490" s="110">
        <f>IFERROR(VLOOKUP(C490,[1]evdl298!$B:$C,2,0),"")</f>
        <v>41499</v>
      </c>
      <c r="H490" s="110" t="str">
        <f t="shared" si="22"/>
        <v>E</v>
      </c>
      <c r="I490" s="110">
        <f t="shared" si="23"/>
        <v>41499</v>
      </c>
      <c r="J490" s="110"/>
      <c r="K490" s="110"/>
      <c r="M490" s="110"/>
      <c r="O490" s="110"/>
    </row>
    <row r="491" spans="1:15" x14ac:dyDescent="0.3">
      <c r="A491" s="58" t="str">
        <f>Schedule!E489</f>
        <v>A012800</v>
      </c>
      <c r="B491" s="58" t="s">
        <v>1981</v>
      </c>
      <c r="C491" s="58" t="str">
        <f t="shared" si="21"/>
        <v>012800 KS</v>
      </c>
      <c r="D491" s="58" t="s">
        <v>3671</v>
      </c>
      <c r="E491" s="110" t="s">
        <v>3527</v>
      </c>
      <c r="F491" s="110" t="str">
        <f>IFERROR(VLOOKUP(C491,[1]evdl298!$B:$D,3,0),"")</f>
        <v>E</v>
      </c>
      <c r="G491" s="110">
        <f>IFERROR(VLOOKUP(C491,[1]evdl298!$B:$C,2,0),"")</f>
        <v>41500</v>
      </c>
      <c r="H491" s="110" t="str">
        <f t="shared" si="22"/>
        <v>E</v>
      </c>
      <c r="I491" s="110">
        <f t="shared" si="23"/>
        <v>41500</v>
      </c>
      <c r="J491" s="110"/>
      <c r="K491" s="110"/>
      <c r="M491" s="110"/>
      <c r="O491" s="110"/>
    </row>
    <row r="492" spans="1:15" x14ac:dyDescent="0.3">
      <c r="A492" s="58" t="str">
        <f>Schedule!E490</f>
        <v>A012860</v>
      </c>
      <c r="B492" s="58" t="s">
        <v>1982</v>
      </c>
      <c r="C492" s="58" t="str">
        <f t="shared" si="21"/>
        <v>012860 KS</v>
      </c>
      <c r="D492" s="58" t="s">
        <v>3671</v>
      </c>
      <c r="E492" s="110" t="s">
        <v>3527</v>
      </c>
      <c r="F492" s="110" t="str">
        <f>IFERROR(VLOOKUP(C492,[1]evdl298!$B:$D,3,0),"")</f>
        <v/>
      </c>
      <c r="G492" s="110" t="str">
        <f>IFERROR(VLOOKUP(C492,[1]evdl298!$B:$C,2,0),"")</f>
        <v/>
      </c>
      <c r="H492" s="110" t="str">
        <f t="shared" si="22"/>
        <v/>
      </c>
      <c r="I492" s="110" t="str">
        <f t="shared" si="23"/>
        <v/>
      </c>
      <c r="J492" s="110"/>
      <c r="K492" s="110"/>
      <c r="M492" s="110"/>
      <c r="O492" s="110"/>
    </row>
    <row r="493" spans="1:15" x14ac:dyDescent="0.3">
      <c r="A493" s="58" t="str">
        <f>Schedule!E491</f>
        <v>A013000</v>
      </c>
      <c r="B493" s="58" t="s">
        <v>1983</v>
      </c>
      <c r="C493" s="58" t="str">
        <f t="shared" si="21"/>
        <v>013000 KS</v>
      </c>
      <c r="D493" s="58" t="s">
        <v>3671</v>
      </c>
      <c r="E493" s="110" t="s">
        <v>3527</v>
      </c>
      <c r="F493" s="110" t="str">
        <f>IFERROR(VLOOKUP(C493,[1]evdl298!$B:$D,3,0),"")</f>
        <v/>
      </c>
      <c r="G493" s="110" t="str">
        <f>IFERROR(VLOOKUP(C493,[1]evdl298!$B:$C,2,0),"")</f>
        <v/>
      </c>
      <c r="H493" s="110" t="str">
        <f t="shared" si="22"/>
        <v/>
      </c>
      <c r="I493" s="110" t="str">
        <f t="shared" si="23"/>
        <v/>
      </c>
      <c r="J493" s="110"/>
      <c r="K493" s="110"/>
      <c r="M493" s="110"/>
      <c r="O493" s="110"/>
    </row>
    <row r="494" spans="1:15" x14ac:dyDescent="0.3">
      <c r="A494" s="58" t="str">
        <f>Schedule!E492</f>
        <v>A013030</v>
      </c>
      <c r="B494" s="58" t="s">
        <v>1984</v>
      </c>
      <c r="C494" s="58" t="str">
        <f t="shared" si="21"/>
        <v>013030 KS</v>
      </c>
      <c r="D494" s="58" t="s">
        <v>3671</v>
      </c>
      <c r="E494" s="110" t="s">
        <v>3527</v>
      </c>
      <c r="F494" s="110" t="str">
        <f>IFERROR(VLOOKUP(C494,[1]evdl298!$B:$D,3,0),"")</f>
        <v>E</v>
      </c>
      <c r="G494" s="110">
        <f>IFERROR(VLOOKUP(C494,[1]evdl298!$B:$C,2,0),"")</f>
        <v>41515</v>
      </c>
      <c r="H494" s="110" t="str">
        <f t="shared" si="22"/>
        <v>E</v>
      </c>
      <c r="I494" s="110">
        <f t="shared" si="23"/>
        <v>41515</v>
      </c>
      <c r="J494" s="110"/>
      <c r="K494" s="110"/>
      <c r="M494" s="110"/>
      <c r="O494" s="110"/>
    </row>
    <row r="495" spans="1:15" x14ac:dyDescent="0.3">
      <c r="A495" s="58" t="str">
        <f>Schedule!E493</f>
        <v>A013120</v>
      </c>
      <c r="B495" s="58" t="s">
        <v>1985</v>
      </c>
      <c r="C495" s="58" t="str">
        <f t="shared" si="21"/>
        <v>013120 KS</v>
      </c>
      <c r="D495" s="58" t="s">
        <v>3671</v>
      </c>
      <c r="E495" s="110" t="s">
        <v>3527</v>
      </c>
      <c r="F495" s="110" t="str">
        <f>IFERROR(VLOOKUP(C495,[1]evdl298!$B:$D,3,0),"")</f>
        <v>E</v>
      </c>
      <c r="G495" s="110">
        <f>IFERROR(VLOOKUP(C495,[1]evdl298!$B:$C,2,0),"")</f>
        <v>41460</v>
      </c>
      <c r="H495" s="110" t="str">
        <f t="shared" si="22"/>
        <v>E</v>
      </c>
      <c r="I495" s="110">
        <f t="shared" si="23"/>
        <v>41460</v>
      </c>
      <c r="J495" s="110"/>
      <c r="K495" s="110"/>
      <c r="M495" s="110"/>
      <c r="O495" s="110"/>
    </row>
    <row r="496" spans="1:15" x14ac:dyDescent="0.3">
      <c r="A496" s="58" t="str">
        <f>Schedule!E494</f>
        <v>A013340</v>
      </c>
      <c r="B496" s="58" t="s">
        <v>1986</v>
      </c>
      <c r="C496" s="58" t="str">
        <f t="shared" si="21"/>
        <v>013340 KS</v>
      </c>
      <c r="D496" s="58" t="s">
        <v>3671</v>
      </c>
      <c r="E496" s="110" t="s">
        <v>3527</v>
      </c>
      <c r="F496" s="110" t="str">
        <f>IFERROR(VLOOKUP(C496,[1]evdl298!$B:$D,3,0),"")</f>
        <v>E</v>
      </c>
      <c r="G496" s="110">
        <f>IFERROR(VLOOKUP(C496,[1]evdl298!$B:$C,2,0),"")</f>
        <v>41500</v>
      </c>
      <c r="H496" s="110" t="str">
        <f t="shared" si="22"/>
        <v>E</v>
      </c>
      <c r="I496" s="110">
        <f t="shared" si="23"/>
        <v>41500</v>
      </c>
      <c r="J496" s="110"/>
      <c r="K496" s="110"/>
      <c r="M496" s="110"/>
      <c r="O496" s="110"/>
    </row>
    <row r="497" spans="1:15" x14ac:dyDescent="0.3">
      <c r="A497" s="58" t="str">
        <f>Schedule!E495</f>
        <v>A013360</v>
      </c>
      <c r="B497" s="58" t="s">
        <v>1987</v>
      </c>
      <c r="C497" s="58" t="str">
        <f t="shared" si="21"/>
        <v>013360 KS</v>
      </c>
      <c r="D497" s="58" t="s">
        <v>3671</v>
      </c>
      <c r="E497" s="110" t="s">
        <v>3527</v>
      </c>
      <c r="F497" s="110" t="str">
        <f>IFERROR(VLOOKUP(C497,[1]evdl298!$B:$D,3,0),"")</f>
        <v/>
      </c>
      <c r="G497" s="110" t="str">
        <f>IFERROR(VLOOKUP(C497,[1]evdl298!$B:$C,2,0),"")</f>
        <v/>
      </c>
      <c r="H497" s="110" t="str">
        <f t="shared" si="22"/>
        <v/>
      </c>
      <c r="I497" s="110" t="str">
        <f t="shared" si="23"/>
        <v/>
      </c>
      <c r="J497" s="110"/>
      <c r="K497" s="110"/>
      <c r="M497" s="110"/>
      <c r="O497" s="110"/>
    </row>
    <row r="498" spans="1:15" x14ac:dyDescent="0.3">
      <c r="A498" s="58" t="str">
        <f>Schedule!E496</f>
        <v>A013450</v>
      </c>
      <c r="B498" s="58" t="s">
        <v>1988</v>
      </c>
      <c r="C498" s="58" t="str">
        <f t="shared" si="21"/>
        <v>013450 KS</v>
      </c>
      <c r="D498" s="58" t="s">
        <v>3671</v>
      </c>
      <c r="E498" s="110" t="s">
        <v>3527</v>
      </c>
      <c r="F498" s="110" t="str">
        <f>IFERROR(VLOOKUP(C498,[1]evdl298!$B:$D,3,0),"")</f>
        <v>E</v>
      </c>
      <c r="G498" s="110">
        <f>IFERROR(VLOOKUP(C498,[1]evdl298!$B:$C,2,0),"")</f>
        <v>41460</v>
      </c>
      <c r="H498" s="110" t="str">
        <f t="shared" si="22"/>
        <v>E</v>
      </c>
      <c r="I498" s="110">
        <f t="shared" si="23"/>
        <v>41460</v>
      </c>
      <c r="J498" s="110"/>
      <c r="K498" s="110"/>
      <c r="M498" s="110"/>
      <c r="O498" s="110"/>
    </row>
    <row r="499" spans="1:15" x14ac:dyDescent="0.3">
      <c r="A499" s="58" t="str">
        <f>Schedule!E497</f>
        <v>A013520</v>
      </c>
      <c r="B499" s="58" t="s">
        <v>1989</v>
      </c>
      <c r="C499" s="58" t="str">
        <f t="shared" si="21"/>
        <v>013520 KS</v>
      </c>
      <c r="D499" s="58" t="s">
        <v>3671</v>
      </c>
      <c r="E499" s="110" t="s">
        <v>3527</v>
      </c>
      <c r="F499" s="110" t="str">
        <f>IFERROR(VLOOKUP(C499,[1]evdl298!$B:$D,3,0),"")</f>
        <v>E</v>
      </c>
      <c r="G499" s="110">
        <f>IFERROR(VLOOKUP(C499,[1]evdl298!$B:$C,2,0),"")</f>
        <v>41500</v>
      </c>
      <c r="H499" s="110" t="str">
        <f t="shared" si="22"/>
        <v>E</v>
      </c>
      <c r="I499" s="110">
        <f t="shared" si="23"/>
        <v>41500</v>
      </c>
      <c r="J499" s="110"/>
      <c r="K499" s="110"/>
      <c r="M499" s="110"/>
      <c r="O499" s="110"/>
    </row>
    <row r="500" spans="1:15" x14ac:dyDescent="0.3">
      <c r="A500" s="58" t="str">
        <f>Schedule!E498</f>
        <v>A013570</v>
      </c>
      <c r="B500" s="58" t="s">
        <v>1990</v>
      </c>
      <c r="C500" s="58" t="str">
        <f t="shared" si="21"/>
        <v>013570 KS</v>
      </c>
      <c r="D500" s="58" t="s">
        <v>3671</v>
      </c>
      <c r="E500" s="110" t="s">
        <v>3527</v>
      </c>
      <c r="F500" s="110" t="str">
        <f>IFERROR(VLOOKUP(C500,[1]evdl298!$B:$D,3,0),"")</f>
        <v>E</v>
      </c>
      <c r="G500" s="110">
        <f>IFERROR(VLOOKUP(C500,[1]evdl298!$B:$C,2,0),"")</f>
        <v>41499</v>
      </c>
      <c r="H500" s="110" t="str">
        <f t="shared" si="22"/>
        <v>E</v>
      </c>
      <c r="I500" s="110">
        <f t="shared" si="23"/>
        <v>41499</v>
      </c>
      <c r="J500" s="110"/>
      <c r="K500" s="110"/>
      <c r="M500" s="110"/>
      <c r="O500" s="110"/>
    </row>
    <row r="501" spans="1:15" x14ac:dyDescent="0.3">
      <c r="A501" s="58" t="str">
        <f>Schedule!E499</f>
        <v>A013580</v>
      </c>
      <c r="B501" s="58" t="s">
        <v>1991</v>
      </c>
      <c r="C501" s="58" t="str">
        <f t="shared" si="21"/>
        <v>013580 KS</v>
      </c>
      <c r="D501" s="58" t="s">
        <v>3671</v>
      </c>
      <c r="E501" s="110" t="s">
        <v>3527</v>
      </c>
      <c r="F501" s="110" t="str">
        <f>IFERROR(VLOOKUP(C501,[1]evdl298!$B:$D,3,0),"")</f>
        <v/>
      </c>
      <c r="G501" s="110" t="str">
        <f>IFERROR(VLOOKUP(C501,[1]evdl298!$B:$C,2,0),"")</f>
        <v/>
      </c>
      <c r="H501" s="110" t="str">
        <f t="shared" si="22"/>
        <v/>
      </c>
      <c r="I501" s="110" t="str">
        <f t="shared" si="23"/>
        <v/>
      </c>
      <c r="J501" s="110"/>
      <c r="K501" s="110"/>
      <c r="M501" s="110"/>
      <c r="O501" s="110"/>
    </row>
    <row r="502" spans="1:15" x14ac:dyDescent="0.3">
      <c r="A502" s="58" t="str">
        <f>Schedule!E500</f>
        <v>A013700</v>
      </c>
      <c r="B502" s="58" t="s">
        <v>1992</v>
      </c>
      <c r="C502" s="58" t="str">
        <f t="shared" si="21"/>
        <v>013700 KS</v>
      </c>
      <c r="D502" s="58" t="s">
        <v>3671</v>
      </c>
      <c r="E502" s="110" t="s">
        <v>3527</v>
      </c>
      <c r="F502" s="110" t="str">
        <f>IFERROR(VLOOKUP(C502,[1]evdl298!$B:$D,3,0),"")</f>
        <v>E</v>
      </c>
      <c r="G502" s="110">
        <f>IFERROR(VLOOKUP(C502,[1]evdl298!$B:$C,2,0),"")</f>
        <v>41500</v>
      </c>
      <c r="H502" s="110" t="str">
        <f t="shared" si="22"/>
        <v>E</v>
      </c>
      <c r="I502" s="110">
        <f t="shared" si="23"/>
        <v>41500</v>
      </c>
      <c r="J502" s="110"/>
      <c r="K502" s="110"/>
      <c r="M502" s="110"/>
      <c r="O502" s="110"/>
    </row>
    <row r="503" spans="1:15" x14ac:dyDescent="0.3">
      <c r="A503" s="58" t="str">
        <f>Schedule!E501</f>
        <v>A013720</v>
      </c>
      <c r="B503" s="58" t="s">
        <v>1993</v>
      </c>
      <c r="C503" s="58" t="str">
        <f t="shared" si="21"/>
        <v>013720 KS</v>
      </c>
      <c r="D503" s="58" t="s">
        <v>3671</v>
      </c>
      <c r="E503" s="110" t="s">
        <v>3527</v>
      </c>
      <c r="F503" s="110" t="str">
        <f>IFERROR(VLOOKUP(C503,[1]evdl298!$B:$D,3,0),"")</f>
        <v>E</v>
      </c>
      <c r="G503" s="110">
        <f>IFERROR(VLOOKUP(C503,[1]evdl298!$B:$C,2,0),"")</f>
        <v>41500</v>
      </c>
      <c r="H503" s="110" t="str">
        <f t="shared" si="22"/>
        <v>E</v>
      </c>
      <c r="I503" s="110">
        <f t="shared" si="23"/>
        <v>41500</v>
      </c>
      <c r="J503" s="110"/>
      <c r="K503" s="110"/>
      <c r="M503" s="110"/>
      <c r="O503" s="110"/>
    </row>
    <row r="504" spans="1:15" x14ac:dyDescent="0.3">
      <c r="A504" s="58" t="str">
        <f>Schedule!E502</f>
        <v>A013810</v>
      </c>
      <c r="B504" s="58" t="s">
        <v>1994</v>
      </c>
      <c r="C504" s="58" t="str">
        <f t="shared" si="21"/>
        <v>013810 KS</v>
      </c>
      <c r="D504" s="58" t="s">
        <v>3671</v>
      </c>
      <c r="E504" s="110" t="s">
        <v>3527</v>
      </c>
      <c r="F504" s="110" t="str">
        <f>IFERROR(VLOOKUP(C504,[1]evdl298!$B:$D,3,0),"")</f>
        <v>E</v>
      </c>
      <c r="G504" s="110">
        <f>IFERROR(VLOOKUP(C504,[1]evdl298!$B:$C,2,0),"")</f>
        <v>41515</v>
      </c>
      <c r="H504" s="110" t="str">
        <f t="shared" si="22"/>
        <v>E</v>
      </c>
      <c r="I504" s="110">
        <f t="shared" si="23"/>
        <v>41515</v>
      </c>
      <c r="J504" s="110"/>
      <c r="K504" s="110"/>
      <c r="M504" s="110"/>
      <c r="O504" s="110"/>
    </row>
    <row r="505" spans="1:15" x14ac:dyDescent="0.3">
      <c r="A505" s="58" t="str">
        <f>Schedule!E503</f>
        <v>A013870</v>
      </c>
      <c r="B505" s="58" t="s">
        <v>1995</v>
      </c>
      <c r="C505" s="58" t="str">
        <f t="shared" si="21"/>
        <v>013870 KS</v>
      </c>
      <c r="D505" s="58" t="s">
        <v>3671</v>
      </c>
      <c r="E505" s="110" t="s">
        <v>3527</v>
      </c>
      <c r="F505" s="110" t="str">
        <f>IFERROR(VLOOKUP(C505,[1]evdl298!$B:$D,3,0),"")</f>
        <v/>
      </c>
      <c r="G505" s="110" t="str">
        <f>IFERROR(VLOOKUP(C505,[1]evdl298!$B:$C,2,0),"")</f>
        <v/>
      </c>
      <c r="H505" s="110" t="str">
        <f t="shared" si="22"/>
        <v/>
      </c>
      <c r="I505" s="110" t="str">
        <f t="shared" si="23"/>
        <v/>
      </c>
      <c r="J505" s="110"/>
      <c r="K505" s="110"/>
      <c r="M505" s="110"/>
      <c r="O505" s="110"/>
    </row>
    <row r="506" spans="1:15" x14ac:dyDescent="0.3">
      <c r="A506" s="58" t="str">
        <f>Schedule!E504</f>
        <v>A013990</v>
      </c>
      <c r="B506" s="58" t="s">
        <v>3550</v>
      </c>
      <c r="C506" s="58" t="str">
        <f t="shared" si="21"/>
        <v>013990 KS</v>
      </c>
      <c r="D506" s="58" t="s">
        <v>3671</v>
      </c>
      <c r="E506" s="110" t="s">
        <v>3527</v>
      </c>
      <c r="F506" s="110" t="str">
        <f>IFERROR(VLOOKUP(C506,[1]evdl298!$B:$D,3,0),"")</f>
        <v/>
      </c>
      <c r="G506" s="110" t="str">
        <f>IFERROR(VLOOKUP(C506,[1]evdl298!$B:$C,2,0),"")</f>
        <v/>
      </c>
      <c r="H506" s="110" t="str">
        <f t="shared" si="22"/>
        <v/>
      </c>
      <c r="I506" s="110" t="str">
        <f t="shared" si="23"/>
        <v/>
      </c>
      <c r="J506" s="110"/>
      <c r="K506" s="110"/>
      <c r="M506" s="110"/>
      <c r="O506" s="110"/>
    </row>
    <row r="507" spans="1:15" x14ac:dyDescent="0.3">
      <c r="A507" s="58" t="str">
        <f>Schedule!E505</f>
        <v>A014100</v>
      </c>
      <c r="B507" s="58" t="s">
        <v>1996</v>
      </c>
      <c r="C507" s="58" t="str">
        <f t="shared" si="21"/>
        <v>014100 KS</v>
      </c>
      <c r="D507" s="58" t="s">
        <v>3671</v>
      </c>
      <c r="E507" s="110" t="s">
        <v>3527</v>
      </c>
      <c r="F507" s="110" t="str">
        <f>IFERROR(VLOOKUP(C507,[1]evdl298!$B:$D,3,0),"")</f>
        <v>E</v>
      </c>
      <c r="G507" s="110">
        <f>IFERROR(VLOOKUP(C507,[1]evdl298!$B:$C,2,0),"")</f>
        <v>41500</v>
      </c>
      <c r="H507" s="110" t="str">
        <f t="shared" si="22"/>
        <v>E</v>
      </c>
      <c r="I507" s="110">
        <f t="shared" si="23"/>
        <v>41500</v>
      </c>
      <c r="J507" s="110"/>
      <c r="K507" s="110"/>
      <c r="M507" s="110"/>
      <c r="O507" s="110"/>
    </row>
    <row r="508" spans="1:15" x14ac:dyDescent="0.3">
      <c r="A508" s="58" t="str">
        <f>Schedule!E506</f>
        <v>A014130</v>
      </c>
      <c r="B508" s="58" t="s">
        <v>1997</v>
      </c>
      <c r="C508" s="58" t="str">
        <f t="shared" si="21"/>
        <v>014130 KS</v>
      </c>
      <c r="D508" s="58" t="s">
        <v>3671</v>
      </c>
      <c r="E508" s="110" t="s">
        <v>3527</v>
      </c>
      <c r="F508" s="110" t="str">
        <f>IFERROR(VLOOKUP(C508,[1]evdl298!$B:$D,3,0),"")</f>
        <v/>
      </c>
      <c r="G508" s="110" t="str">
        <f>IFERROR(VLOOKUP(C508,[1]evdl298!$B:$C,2,0),"")</f>
        <v/>
      </c>
      <c r="H508" s="110" t="str">
        <f t="shared" si="22"/>
        <v/>
      </c>
      <c r="I508" s="110" t="str">
        <f t="shared" si="23"/>
        <v/>
      </c>
      <c r="J508" s="110"/>
      <c r="K508" s="110"/>
      <c r="M508" s="110"/>
      <c r="O508" s="110"/>
    </row>
    <row r="509" spans="1:15" x14ac:dyDescent="0.3">
      <c r="A509" s="58" t="str">
        <f>Schedule!E507</f>
        <v>A014160</v>
      </c>
      <c r="B509" s="58" t="s">
        <v>1998</v>
      </c>
      <c r="C509" s="58" t="str">
        <f t="shared" si="21"/>
        <v>014160 KS</v>
      </c>
      <c r="D509" s="58" t="s">
        <v>3671</v>
      </c>
      <c r="E509" s="110" t="s">
        <v>3527</v>
      </c>
      <c r="F509" s="110" t="str">
        <f>IFERROR(VLOOKUP(C509,[1]evdl298!$B:$D,3,0),"")</f>
        <v>E</v>
      </c>
      <c r="G509" s="110">
        <f>IFERROR(VLOOKUP(C509,[1]evdl298!$B:$C,2,0),"")</f>
        <v>41500</v>
      </c>
      <c r="H509" s="110" t="str">
        <f t="shared" si="22"/>
        <v>E</v>
      </c>
      <c r="I509" s="110">
        <f t="shared" si="23"/>
        <v>41500</v>
      </c>
      <c r="J509" s="110"/>
      <c r="K509" s="110"/>
      <c r="M509" s="110"/>
      <c r="O509" s="110"/>
    </row>
    <row r="510" spans="1:15" x14ac:dyDescent="0.3">
      <c r="A510" s="58" t="str">
        <f>Schedule!E508</f>
        <v>A014190</v>
      </c>
      <c r="B510" s="58" t="s">
        <v>1999</v>
      </c>
      <c r="C510" s="58" t="str">
        <f t="shared" si="21"/>
        <v>014190 KS</v>
      </c>
      <c r="D510" s="58" t="s">
        <v>3671</v>
      </c>
      <c r="E510" s="110" t="s">
        <v>3527</v>
      </c>
      <c r="F510" s="110" t="str">
        <f>IFERROR(VLOOKUP(C510,[1]evdl298!$B:$D,3,0),"")</f>
        <v>E</v>
      </c>
      <c r="G510" s="110">
        <f>IFERROR(VLOOKUP(C510,[1]evdl298!$B:$C,2,0),"")</f>
        <v>41494</v>
      </c>
      <c r="H510" s="110" t="str">
        <f t="shared" si="22"/>
        <v>E</v>
      </c>
      <c r="I510" s="110">
        <f t="shared" si="23"/>
        <v>41494</v>
      </c>
      <c r="J510" s="110"/>
      <c r="K510" s="110"/>
      <c r="M510" s="110"/>
      <c r="O510" s="110"/>
    </row>
    <row r="511" spans="1:15" x14ac:dyDescent="0.3">
      <c r="A511" s="58" t="str">
        <f>Schedule!E509</f>
        <v>A014200</v>
      </c>
      <c r="B511" s="58" t="s">
        <v>2000</v>
      </c>
      <c r="C511" s="58" t="str">
        <f t="shared" si="21"/>
        <v>014200 KS</v>
      </c>
      <c r="D511" s="58" t="s">
        <v>3671</v>
      </c>
      <c r="E511" s="110" t="s">
        <v>3527</v>
      </c>
      <c r="F511" s="110" t="str">
        <f>IFERROR(VLOOKUP(C511,[1]evdl298!$B:$D,3,0),"")</f>
        <v>E</v>
      </c>
      <c r="G511" s="110">
        <f>IFERROR(VLOOKUP(C511,[1]evdl298!$B:$C,2,0),"")</f>
        <v>41500</v>
      </c>
      <c r="H511" s="110" t="str">
        <f t="shared" si="22"/>
        <v>E</v>
      </c>
      <c r="I511" s="110">
        <f t="shared" si="23"/>
        <v>41500</v>
      </c>
      <c r="J511" s="110"/>
      <c r="K511" s="110"/>
      <c r="M511" s="110"/>
      <c r="O511" s="110"/>
    </row>
    <row r="512" spans="1:15" x14ac:dyDescent="0.3">
      <c r="A512" s="58" t="str">
        <f>Schedule!E510</f>
        <v>A014280</v>
      </c>
      <c r="B512" s="58" t="s">
        <v>2001</v>
      </c>
      <c r="C512" s="58" t="str">
        <f t="shared" si="21"/>
        <v>014280 KS</v>
      </c>
      <c r="D512" s="58" t="s">
        <v>3671</v>
      </c>
      <c r="E512" s="110" t="s">
        <v>3527</v>
      </c>
      <c r="F512" s="110" t="str">
        <f>IFERROR(VLOOKUP(C512,[1]evdl298!$B:$D,3,0),"")</f>
        <v/>
      </c>
      <c r="G512" s="110" t="str">
        <f>IFERROR(VLOOKUP(C512,[1]evdl298!$B:$C,2,0),"")</f>
        <v/>
      </c>
      <c r="H512" s="110" t="str">
        <f t="shared" si="22"/>
        <v/>
      </c>
      <c r="I512" s="110" t="str">
        <f t="shared" si="23"/>
        <v/>
      </c>
      <c r="J512" s="110"/>
      <c r="K512" s="110"/>
      <c r="M512" s="110"/>
      <c r="O512" s="110"/>
    </row>
    <row r="513" spans="1:15" x14ac:dyDescent="0.3">
      <c r="A513" s="58" t="str">
        <f>Schedule!E511</f>
        <v>A014350</v>
      </c>
      <c r="B513" s="58" t="s">
        <v>2002</v>
      </c>
      <c r="C513" s="58" t="str">
        <f t="shared" si="21"/>
        <v>014350 KS</v>
      </c>
      <c r="D513" s="58" t="s">
        <v>3671</v>
      </c>
      <c r="E513" s="110" t="s">
        <v>3527</v>
      </c>
      <c r="F513" s="110" t="str">
        <f>IFERROR(VLOOKUP(C513,[1]evdl298!$B:$D,3,0),"")</f>
        <v/>
      </c>
      <c r="G513" s="110" t="str">
        <f>IFERROR(VLOOKUP(C513,[1]evdl298!$B:$C,2,0),"")</f>
        <v/>
      </c>
      <c r="H513" s="110" t="str">
        <f t="shared" si="22"/>
        <v/>
      </c>
      <c r="I513" s="110" t="str">
        <f t="shared" si="23"/>
        <v/>
      </c>
      <c r="J513" s="110"/>
      <c r="K513" s="110"/>
      <c r="M513" s="110"/>
      <c r="O513" s="110"/>
    </row>
    <row r="514" spans="1:15" x14ac:dyDescent="0.3">
      <c r="A514" s="58" t="str">
        <f>Schedule!E512</f>
        <v>A014440</v>
      </c>
      <c r="B514" s="58" t="s">
        <v>2003</v>
      </c>
      <c r="C514" s="58" t="str">
        <f t="shared" si="21"/>
        <v>014440 KS</v>
      </c>
      <c r="D514" s="58" t="s">
        <v>3671</v>
      </c>
      <c r="E514" s="110" t="s">
        <v>3527</v>
      </c>
      <c r="F514" s="110" t="str">
        <f>IFERROR(VLOOKUP(C514,[1]evdl298!$B:$D,3,0),"")</f>
        <v/>
      </c>
      <c r="G514" s="110" t="str">
        <f>IFERROR(VLOOKUP(C514,[1]evdl298!$B:$C,2,0),"")</f>
        <v/>
      </c>
      <c r="H514" s="110" t="str">
        <f t="shared" si="22"/>
        <v/>
      </c>
      <c r="I514" s="110" t="str">
        <f t="shared" si="23"/>
        <v/>
      </c>
      <c r="J514" s="110"/>
      <c r="K514" s="110"/>
      <c r="M514" s="110"/>
      <c r="O514" s="110"/>
    </row>
    <row r="515" spans="1:15" x14ac:dyDescent="0.3">
      <c r="A515" s="58" t="str">
        <f>Schedule!E513</f>
        <v>A014470</v>
      </c>
      <c r="B515" s="58" t="s">
        <v>2004</v>
      </c>
      <c r="C515" s="58" t="str">
        <f t="shared" si="21"/>
        <v>014470 KS</v>
      </c>
      <c r="D515" s="58" t="s">
        <v>3671</v>
      </c>
      <c r="E515" s="110" t="s">
        <v>3527</v>
      </c>
      <c r="F515" s="110" t="str">
        <f>IFERROR(VLOOKUP(C515,[1]evdl298!$B:$D,3,0),"")</f>
        <v/>
      </c>
      <c r="G515" s="110" t="str">
        <f>IFERROR(VLOOKUP(C515,[1]evdl298!$B:$C,2,0),"")</f>
        <v/>
      </c>
      <c r="H515" s="110" t="str">
        <f t="shared" si="22"/>
        <v/>
      </c>
      <c r="I515" s="110" t="str">
        <f t="shared" si="23"/>
        <v/>
      </c>
      <c r="J515" s="110"/>
      <c r="K515" s="110"/>
      <c r="M515" s="110"/>
      <c r="O515" s="110"/>
    </row>
    <row r="516" spans="1:15" x14ac:dyDescent="0.3">
      <c r="A516" s="58" t="str">
        <f>Schedule!E514</f>
        <v>A014530</v>
      </c>
      <c r="B516" s="58" t="s">
        <v>3634</v>
      </c>
      <c r="C516" s="58" t="str">
        <f t="shared" si="21"/>
        <v>014530 KS</v>
      </c>
      <c r="D516" s="58" t="s">
        <v>3671</v>
      </c>
      <c r="E516" s="110" t="s">
        <v>3527</v>
      </c>
      <c r="F516" s="110" t="str">
        <f>IFERROR(VLOOKUP(C516,[1]evdl298!$B:$D,3,0),"")</f>
        <v>E</v>
      </c>
      <c r="G516" s="110">
        <f>IFERROR(VLOOKUP(C516,[1]evdl298!$B:$C,2,0),"")</f>
        <v>41500</v>
      </c>
      <c r="H516" s="110" t="str">
        <f t="shared" si="22"/>
        <v>E</v>
      </c>
      <c r="I516" s="110">
        <f t="shared" si="23"/>
        <v>41500</v>
      </c>
      <c r="J516" s="110"/>
      <c r="K516" s="110"/>
      <c r="M516" s="110"/>
      <c r="O516" s="110"/>
    </row>
    <row r="517" spans="1:15" x14ac:dyDescent="0.3">
      <c r="A517" s="58" t="str">
        <f>Schedule!E515</f>
        <v>A014570</v>
      </c>
      <c r="B517" s="58" t="s">
        <v>2005</v>
      </c>
      <c r="C517" s="58" t="str">
        <f t="shared" si="21"/>
        <v>014570 KS</v>
      </c>
      <c r="D517" s="58" t="s">
        <v>3671</v>
      </c>
      <c r="E517" s="110" t="s">
        <v>3527</v>
      </c>
      <c r="F517" s="110" t="str">
        <f>IFERROR(VLOOKUP(C517,[1]evdl298!$B:$D,3,0),"")</f>
        <v>E</v>
      </c>
      <c r="G517" s="110">
        <f>IFERROR(VLOOKUP(C517,[1]evdl298!$B:$C,2,0),"")</f>
        <v>41500</v>
      </c>
      <c r="H517" s="110" t="str">
        <f t="shared" si="22"/>
        <v>E</v>
      </c>
      <c r="I517" s="110">
        <f t="shared" si="23"/>
        <v>41500</v>
      </c>
      <c r="J517" s="110"/>
      <c r="K517" s="110"/>
      <c r="M517" s="110"/>
      <c r="O517" s="110"/>
    </row>
    <row r="518" spans="1:15" x14ac:dyDescent="0.3">
      <c r="A518" s="58" t="str">
        <f>Schedule!E516</f>
        <v>A014580</v>
      </c>
      <c r="B518" s="58" t="s">
        <v>2006</v>
      </c>
      <c r="C518" s="58" t="str">
        <f t="shared" si="21"/>
        <v>014580 KS</v>
      </c>
      <c r="D518" s="58" t="s">
        <v>3671</v>
      </c>
      <c r="E518" s="110" t="s">
        <v>3527</v>
      </c>
      <c r="F518" s="110" t="str">
        <f>IFERROR(VLOOKUP(C518,[1]evdl298!$B:$D,3,0),"")</f>
        <v>E</v>
      </c>
      <c r="G518" s="110">
        <f>IFERROR(VLOOKUP(C518,[1]evdl298!$B:$C,2,0),"")</f>
        <v>41500</v>
      </c>
      <c r="H518" s="110" t="str">
        <f t="shared" si="22"/>
        <v>E</v>
      </c>
      <c r="I518" s="110">
        <f t="shared" si="23"/>
        <v>41500</v>
      </c>
      <c r="J518" s="110"/>
      <c r="K518" s="110"/>
      <c r="M518" s="110"/>
      <c r="O518" s="110"/>
    </row>
    <row r="519" spans="1:15" x14ac:dyDescent="0.3">
      <c r="A519" s="58" t="str">
        <f>Schedule!E517</f>
        <v>A014620</v>
      </c>
      <c r="B519" s="58" t="s">
        <v>2007</v>
      </c>
      <c r="C519" s="58" t="str">
        <f t="shared" si="21"/>
        <v>014620 KS</v>
      </c>
      <c r="D519" s="58" t="s">
        <v>3671</v>
      </c>
      <c r="E519" s="110" t="s">
        <v>3527</v>
      </c>
      <c r="F519" s="110" t="str">
        <f>IFERROR(VLOOKUP(C519,[1]evdl298!$B:$D,3,0),"")</f>
        <v>E</v>
      </c>
      <c r="G519" s="110">
        <f>IFERROR(VLOOKUP(C519,[1]evdl298!$B:$C,2,0),"")</f>
        <v>41515</v>
      </c>
      <c r="H519" s="110" t="str">
        <f t="shared" si="22"/>
        <v>E</v>
      </c>
      <c r="I519" s="110">
        <f t="shared" si="23"/>
        <v>41515</v>
      </c>
      <c r="J519" s="110"/>
      <c r="K519" s="110"/>
      <c r="M519" s="110"/>
      <c r="O519" s="110"/>
    </row>
    <row r="520" spans="1:15" x14ac:dyDescent="0.3">
      <c r="A520" s="58" t="str">
        <f>Schedule!E518</f>
        <v>A014680</v>
      </c>
      <c r="B520" s="58" t="s">
        <v>2008</v>
      </c>
      <c r="C520" s="58" t="str">
        <f t="shared" si="21"/>
        <v>014680 KS</v>
      </c>
      <c r="D520" s="58" t="s">
        <v>3671</v>
      </c>
      <c r="E520" s="110" t="s">
        <v>3685</v>
      </c>
      <c r="F520" s="110" t="str">
        <f>IFERROR(VLOOKUP(C520,[1]evdl298!$B:$D,3,0),"")</f>
        <v/>
      </c>
      <c r="G520" s="110" t="str">
        <f>IFERROR(VLOOKUP(C520,[1]evdl298!$B:$C,2,0),"")</f>
        <v/>
      </c>
      <c r="H520" s="110" t="str">
        <f t="shared" si="22"/>
        <v/>
      </c>
      <c r="I520" s="110" t="str">
        <f t="shared" si="23"/>
        <v>2013-08-09</v>
      </c>
      <c r="J520" s="110"/>
      <c r="K520" s="110"/>
      <c r="M520" s="110"/>
      <c r="O520" s="110"/>
    </row>
    <row r="521" spans="1:15" x14ac:dyDescent="0.3">
      <c r="A521" s="58" t="str">
        <f>Schedule!E519</f>
        <v>A014710</v>
      </c>
      <c r="B521" s="58" t="s">
        <v>2009</v>
      </c>
      <c r="C521" s="58" t="str">
        <f t="shared" si="21"/>
        <v>014710 KS</v>
      </c>
      <c r="D521" s="58" t="s">
        <v>3671</v>
      </c>
      <c r="E521" s="110" t="s">
        <v>3688</v>
      </c>
      <c r="F521" s="110" t="str">
        <f>IFERROR(VLOOKUP(C521,[1]evdl298!$B:$D,3,0),"")</f>
        <v>E</v>
      </c>
      <c r="G521" s="110">
        <f>IFERROR(VLOOKUP(C521,[1]evdl298!$B:$C,2,0),"")</f>
        <v>41500</v>
      </c>
      <c r="H521" s="110" t="str">
        <f t="shared" si="22"/>
        <v>E</v>
      </c>
      <c r="I521" s="110">
        <f t="shared" si="23"/>
        <v>41500</v>
      </c>
      <c r="J521" s="110"/>
      <c r="K521" s="110"/>
      <c r="M521" s="110"/>
      <c r="O521" s="110"/>
    </row>
    <row r="522" spans="1:15" x14ac:dyDescent="0.3">
      <c r="A522" s="58" t="str">
        <f>Schedule!E520</f>
        <v>A014790</v>
      </c>
      <c r="B522" s="58" t="s">
        <v>3338</v>
      </c>
      <c r="C522" s="58" t="str">
        <f t="shared" si="21"/>
        <v>014790 KS</v>
      </c>
      <c r="D522" s="58" t="s">
        <v>3671</v>
      </c>
      <c r="E522" s="110" t="s">
        <v>3527</v>
      </c>
      <c r="F522" s="110" t="str">
        <f>IFERROR(VLOOKUP(C522,[1]evdl298!$B:$D,3,0),"")</f>
        <v>E</v>
      </c>
      <c r="G522" s="110">
        <f>IFERROR(VLOOKUP(C522,[1]evdl298!$B:$C,2,0),"")</f>
        <v>41500</v>
      </c>
      <c r="H522" s="110" t="str">
        <f t="shared" si="22"/>
        <v>E</v>
      </c>
      <c r="I522" s="110">
        <f t="shared" si="23"/>
        <v>41500</v>
      </c>
      <c r="J522" s="110"/>
      <c r="K522" s="110"/>
      <c r="M522" s="110"/>
      <c r="O522" s="110"/>
    </row>
    <row r="523" spans="1:15" x14ac:dyDescent="0.3">
      <c r="A523" s="58" t="str">
        <f>Schedule!E521</f>
        <v>A014820</v>
      </c>
      <c r="B523" s="58" t="s">
        <v>2010</v>
      </c>
      <c r="C523" s="58" t="str">
        <f t="shared" si="21"/>
        <v>014820 KS</v>
      </c>
      <c r="D523" s="58" t="s">
        <v>3671</v>
      </c>
      <c r="E523" s="110" t="s">
        <v>3527</v>
      </c>
      <c r="F523" s="110" t="str">
        <f>IFERROR(VLOOKUP(C523,[1]evdl298!$B:$D,3,0),"")</f>
        <v>E</v>
      </c>
      <c r="G523" s="110">
        <f>IFERROR(VLOOKUP(C523,[1]evdl298!$B:$C,2,0),"")</f>
        <v>41500</v>
      </c>
      <c r="H523" s="110" t="str">
        <f t="shared" si="22"/>
        <v>E</v>
      </c>
      <c r="I523" s="110">
        <f t="shared" si="23"/>
        <v>41500</v>
      </c>
      <c r="J523" s="110"/>
      <c r="K523" s="110"/>
      <c r="M523" s="110"/>
      <c r="O523" s="110"/>
    </row>
    <row r="524" spans="1:15" x14ac:dyDescent="0.3">
      <c r="A524" s="58" t="str">
        <f>Schedule!E522</f>
        <v>A014830</v>
      </c>
      <c r="B524" s="58" t="s">
        <v>2011</v>
      </c>
      <c r="C524" s="58" t="str">
        <f t="shared" si="21"/>
        <v>014830 KS</v>
      </c>
      <c r="D524" s="58" t="s">
        <v>3671</v>
      </c>
      <c r="E524" s="110" t="s">
        <v>3527</v>
      </c>
      <c r="F524" s="110" t="str">
        <f>IFERROR(VLOOKUP(C524,[1]evdl298!$B:$D,3,0),"")</f>
        <v>E</v>
      </c>
      <c r="G524" s="110">
        <f>IFERROR(VLOOKUP(C524,[1]evdl298!$B:$C,2,0),"")</f>
        <v>41488</v>
      </c>
      <c r="H524" s="110" t="str">
        <f t="shared" si="22"/>
        <v>E</v>
      </c>
      <c r="I524" s="110">
        <f t="shared" si="23"/>
        <v>41488</v>
      </c>
      <c r="J524" s="110"/>
      <c r="K524" s="110"/>
      <c r="M524" s="110"/>
      <c r="O524" s="110"/>
    </row>
    <row r="525" spans="1:15" x14ac:dyDescent="0.3">
      <c r="A525" s="58" t="str">
        <f>Schedule!E523</f>
        <v>A014910</v>
      </c>
      <c r="B525" s="58" t="s">
        <v>2012</v>
      </c>
      <c r="C525" s="58" t="str">
        <f t="shared" si="21"/>
        <v>014910 KS</v>
      </c>
      <c r="D525" s="58" t="s">
        <v>3671</v>
      </c>
      <c r="E525" s="110" t="s">
        <v>3527</v>
      </c>
      <c r="F525" s="110" t="str">
        <f>IFERROR(VLOOKUP(C525,[1]evdl298!$B:$D,3,0),"")</f>
        <v/>
      </c>
      <c r="G525" s="110" t="str">
        <f>IFERROR(VLOOKUP(C525,[1]evdl298!$B:$C,2,0),"")</f>
        <v/>
      </c>
      <c r="H525" s="110" t="str">
        <f t="shared" si="22"/>
        <v/>
      </c>
      <c r="I525" s="110" t="str">
        <f t="shared" si="23"/>
        <v/>
      </c>
      <c r="J525" s="110"/>
      <c r="K525" s="110"/>
      <c r="M525" s="110"/>
      <c r="O525" s="110"/>
    </row>
    <row r="526" spans="1:15" x14ac:dyDescent="0.3">
      <c r="A526" s="58" t="str">
        <f>Schedule!E524</f>
        <v>A014940</v>
      </c>
      <c r="B526" s="58" t="s">
        <v>2013</v>
      </c>
      <c r="C526" s="58" t="str">
        <f t="shared" si="21"/>
        <v>014940 KS</v>
      </c>
      <c r="D526" s="58" t="s">
        <v>3671</v>
      </c>
      <c r="E526" s="110" t="s">
        <v>3527</v>
      </c>
      <c r="F526" s="110" t="str">
        <f>IFERROR(VLOOKUP(C526,[1]evdl298!$B:$D,3,0),"")</f>
        <v/>
      </c>
      <c r="G526" s="110" t="str">
        <f>IFERROR(VLOOKUP(C526,[1]evdl298!$B:$C,2,0),"")</f>
        <v/>
      </c>
      <c r="H526" s="110" t="str">
        <f t="shared" si="22"/>
        <v/>
      </c>
      <c r="I526" s="110" t="str">
        <f t="shared" si="23"/>
        <v/>
      </c>
      <c r="J526" s="110"/>
      <c r="K526" s="110"/>
      <c r="M526" s="110"/>
      <c r="O526" s="110"/>
    </row>
    <row r="527" spans="1:15" x14ac:dyDescent="0.3">
      <c r="A527" s="58" t="str">
        <f>Schedule!E525</f>
        <v>A014970</v>
      </c>
      <c r="B527" s="58" t="s">
        <v>2014</v>
      </c>
      <c r="C527" s="58" t="str">
        <f t="shared" si="21"/>
        <v>014970 KS</v>
      </c>
      <c r="D527" s="58" t="s">
        <v>3671</v>
      </c>
      <c r="E527" s="110" t="s">
        <v>3527</v>
      </c>
      <c r="F527" s="110" t="str">
        <f>IFERROR(VLOOKUP(C527,[1]evdl298!$B:$D,3,0),"")</f>
        <v/>
      </c>
      <c r="G527" s="110" t="str">
        <f>IFERROR(VLOOKUP(C527,[1]evdl298!$B:$C,2,0),"")</f>
        <v/>
      </c>
      <c r="H527" s="110" t="str">
        <f t="shared" si="22"/>
        <v/>
      </c>
      <c r="I527" s="110" t="str">
        <f t="shared" si="23"/>
        <v/>
      </c>
      <c r="J527" s="110"/>
      <c r="K527" s="110"/>
      <c r="M527" s="110"/>
      <c r="O527" s="110"/>
    </row>
    <row r="528" spans="1:15" x14ac:dyDescent="0.3">
      <c r="A528" s="58" t="str">
        <f>Schedule!E526</f>
        <v>A014990</v>
      </c>
      <c r="B528" s="58" t="s">
        <v>2015</v>
      </c>
      <c r="C528" s="58" t="str">
        <f t="shared" si="21"/>
        <v>014990 KS</v>
      </c>
      <c r="D528" s="58" t="s">
        <v>3671</v>
      </c>
      <c r="E528" s="110" t="s">
        <v>3527</v>
      </c>
      <c r="F528" s="110" t="str">
        <f>IFERROR(VLOOKUP(C528,[1]evdl298!$B:$D,3,0),"")</f>
        <v>E</v>
      </c>
      <c r="G528" s="110">
        <f>IFERROR(VLOOKUP(C528,[1]evdl298!$B:$C,2,0),"")</f>
        <v>41515</v>
      </c>
      <c r="H528" s="110" t="str">
        <f t="shared" si="22"/>
        <v>E</v>
      </c>
      <c r="I528" s="110">
        <f t="shared" si="23"/>
        <v>41515</v>
      </c>
      <c r="J528" s="110"/>
      <c r="K528" s="110"/>
      <c r="M528" s="110"/>
      <c r="O528" s="110"/>
    </row>
    <row r="529" spans="1:15" x14ac:dyDescent="0.3">
      <c r="A529" s="58" t="str">
        <f>Schedule!E527</f>
        <v>A015020</v>
      </c>
      <c r="B529" s="58" t="s">
        <v>2016</v>
      </c>
      <c r="C529" s="58" t="str">
        <f t="shared" ref="C529:C592" si="24">RIGHT(A529,6)&amp;" KS"</f>
        <v>015020 KS</v>
      </c>
      <c r="D529" s="58" t="s">
        <v>3671</v>
      </c>
      <c r="E529" s="110" t="s">
        <v>3527</v>
      </c>
      <c r="F529" s="110" t="str">
        <f>IFERROR(VLOOKUP(C529,[1]evdl298!$B:$D,3,0),"")</f>
        <v/>
      </c>
      <c r="G529" s="110" t="str">
        <f>IFERROR(VLOOKUP(C529,[1]evdl298!$B:$C,2,0),"")</f>
        <v/>
      </c>
      <c r="H529" s="110" t="str">
        <f t="shared" ref="H529:H592" si="25">F529</f>
        <v/>
      </c>
      <c r="I529" s="110" t="str">
        <f t="shared" ref="I529:I592" si="26">IF(ISNUMBER(G529),G529,E529)</f>
        <v/>
      </c>
      <c r="J529" s="110"/>
      <c r="K529" s="110"/>
      <c r="M529" s="110"/>
      <c r="O529" s="110"/>
    </row>
    <row r="530" spans="1:15" x14ac:dyDescent="0.3">
      <c r="A530" s="58" t="str">
        <f>Schedule!E528</f>
        <v>A015230</v>
      </c>
      <c r="B530" s="58" t="s">
        <v>2017</v>
      </c>
      <c r="C530" s="58" t="str">
        <f t="shared" si="24"/>
        <v>015230 KS</v>
      </c>
      <c r="D530" s="58" t="s">
        <v>3671</v>
      </c>
      <c r="E530" s="110" t="s">
        <v>3527</v>
      </c>
      <c r="F530" s="110" t="str">
        <f>IFERROR(VLOOKUP(C530,[1]evdl298!$B:$D,3,0),"")</f>
        <v/>
      </c>
      <c r="G530" s="110" t="str">
        <f>IFERROR(VLOOKUP(C530,[1]evdl298!$B:$C,2,0),"")</f>
        <v/>
      </c>
      <c r="H530" s="110" t="str">
        <f t="shared" si="25"/>
        <v/>
      </c>
      <c r="I530" s="110" t="str">
        <f t="shared" si="26"/>
        <v/>
      </c>
      <c r="J530" s="110"/>
      <c r="K530" s="110"/>
      <c r="M530" s="110"/>
      <c r="O530" s="110"/>
    </row>
    <row r="531" spans="1:15" x14ac:dyDescent="0.3">
      <c r="A531" s="58" t="str">
        <f>Schedule!E529</f>
        <v>A015260</v>
      </c>
      <c r="B531" s="58" t="s">
        <v>2018</v>
      </c>
      <c r="C531" s="58" t="str">
        <f t="shared" si="24"/>
        <v>015260 KS</v>
      </c>
      <c r="D531" s="58" t="s">
        <v>3671</v>
      </c>
      <c r="E531" s="110" t="s">
        <v>3527</v>
      </c>
      <c r="F531" s="110" t="str">
        <f>IFERROR(VLOOKUP(C531,[1]evdl298!$B:$D,3,0),"")</f>
        <v>E</v>
      </c>
      <c r="G531" s="110">
        <f>IFERROR(VLOOKUP(C531,[1]evdl298!$B:$C,2,0),"")</f>
        <v>41500</v>
      </c>
      <c r="H531" s="110" t="str">
        <f t="shared" si="25"/>
        <v>E</v>
      </c>
      <c r="I531" s="110">
        <f t="shared" si="26"/>
        <v>41500</v>
      </c>
      <c r="J531" s="110"/>
      <c r="K531" s="110"/>
      <c r="M531" s="110"/>
      <c r="O531" s="110"/>
    </row>
    <row r="532" spans="1:15" x14ac:dyDescent="0.3">
      <c r="A532" s="58" t="str">
        <f>Schedule!E530</f>
        <v>A015350</v>
      </c>
      <c r="B532" s="58" t="s">
        <v>2019</v>
      </c>
      <c r="C532" s="58" t="str">
        <f t="shared" si="24"/>
        <v>015350 KS</v>
      </c>
      <c r="D532" s="58" t="s">
        <v>3671</v>
      </c>
      <c r="E532" s="110" t="s">
        <v>3527</v>
      </c>
      <c r="F532" s="110" t="str">
        <f>IFERROR(VLOOKUP(C532,[1]evdl298!$B:$D,3,0),"")</f>
        <v>E</v>
      </c>
      <c r="G532" s="110">
        <f>IFERROR(VLOOKUP(C532,[1]evdl298!$B:$C,2,0),"")</f>
        <v>41500</v>
      </c>
      <c r="H532" s="110" t="str">
        <f t="shared" si="25"/>
        <v>E</v>
      </c>
      <c r="I532" s="110">
        <f t="shared" si="26"/>
        <v>41500</v>
      </c>
      <c r="J532" s="110"/>
      <c r="K532" s="110"/>
      <c r="M532" s="110"/>
      <c r="O532" s="110"/>
    </row>
    <row r="533" spans="1:15" x14ac:dyDescent="0.3">
      <c r="A533" s="58" t="str">
        <f>Schedule!E531</f>
        <v>A015360</v>
      </c>
      <c r="B533" s="58" t="s">
        <v>2020</v>
      </c>
      <c r="C533" s="58" t="str">
        <f t="shared" si="24"/>
        <v>015360 KS</v>
      </c>
      <c r="D533" s="58" t="s">
        <v>3671</v>
      </c>
      <c r="E533" s="110" t="s">
        <v>3527</v>
      </c>
      <c r="F533" s="110" t="str">
        <f>IFERROR(VLOOKUP(C533,[1]evdl298!$B:$D,3,0),"")</f>
        <v>E</v>
      </c>
      <c r="G533" s="110">
        <f>IFERROR(VLOOKUP(C533,[1]evdl298!$B:$C,2,0),"")</f>
        <v>41515</v>
      </c>
      <c r="H533" s="110" t="str">
        <f t="shared" si="25"/>
        <v>E</v>
      </c>
      <c r="I533" s="110">
        <f t="shared" si="26"/>
        <v>41515</v>
      </c>
      <c r="J533" s="110"/>
      <c r="K533" s="110"/>
      <c r="M533" s="110"/>
      <c r="O533" s="110"/>
    </row>
    <row r="534" spans="1:15" x14ac:dyDescent="0.3">
      <c r="A534" s="58" t="str">
        <f>Schedule!E532</f>
        <v>A015540</v>
      </c>
      <c r="B534" s="58" t="s">
        <v>2021</v>
      </c>
      <c r="C534" s="58" t="str">
        <f t="shared" si="24"/>
        <v>015540 KS</v>
      </c>
      <c r="D534" s="58" t="s">
        <v>3671</v>
      </c>
      <c r="E534" s="110" t="s">
        <v>3527</v>
      </c>
      <c r="F534" s="110" t="str">
        <f>IFERROR(VLOOKUP(C534,[1]evdl298!$B:$D,3,0),"")</f>
        <v/>
      </c>
      <c r="G534" s="110" t="str">
        <f>IFERROR(VLOOKUP(C534,[1]evdl298!$B:$C,2,0),"")</f>
        <v/>
      </c>
      <c r="H534" s="110" t="str">
        <f t="shared" si="25"/>
        <v/>
      </c>
      <c r="I534" s="110" t="str">
        <f t="shared" si="26"/>
        <v/>
      </c>
      <c r="J534" s="110"/>
      <c r="K534" s="110"/>
      <c r="M534" s="110"/>
      <c r="O534" s="110"/>
    </row>
    <row r="535" spans="1:15" x14ac:dyDescent="0.3">
      <c r="A535" s="58" t="str">
        <f>Schedule!E533</f>
        <v>A015590</v>
      </c>
      <c r="B535" s="58" t="s">
        <v>3635</v>
      </c>
      <c r="C535" s="58" t="str">
        <f t="shared" si="24"/>
        <v>015590 KS</v>
      </c>
      <c r="D535" s="58" t="s">
        <v>3671</v>
      </c>
      <c r="E535" s="110" t="s">
        <v>3527</v>
      </c>
      <c r="F535" s="110" t="str">
        <f>IFERROR(VLOOKUP(C535,[1]evdl298!$B:$D,3,0),"")</f>
        <v>E</v>
      </c>
      <c r="G535" s="110">
        <f>IFERROR(VLOOKUP(C535,[1]evdl298!$B:$C,2,0),"")</f>
        <v>41488</v>
      </c>
      <c r="H535" s="110" t="str">
        <f t="shared" si="25"/>
        <v>E</v>
      </c>
      <c r="I535" s="110">
        <f t="shared" si="26"/>
        <v>41488</v>
      </c>
      <c r="J535" s="110"/>
      <c r="K535" s="110"/>
      <c r="M535" s="110"/>
      <c r="O535" s="110"/>
    </row>
    <row r="536" spans="1:15" x14ac:dyDescent="0.3">
      <c r="A536" s="58" t="str">
        <f>Schedule!E534</f>
        <v>A015710</v>
      </c>
      <c r="B536" s="58" t="s">
        <v>2022</v>
      </c>
      <c r="C536" s="58" t="str">
        <f t="shared" si="24"/>
        <v>015710 KS</v>
      </c>
      <c r="D536" s="58" t="s">
        <v>3671</v>
      </c>
      <c r="E536" s="110" t="s">
        <v>3527</v>
      </c>
      <c r="F536" s="110" t="str">
        <f>IFERROR(VLOOKUP(C536,[1]evdl298!$B:$D,3,0),"")</f>
        <v/>
      </c>
      <c r="G536" s="110" t="str">
        <f>IFERROR(VLOOKUP(C536,[1]evdl298!$B:$C,2,0),"")</f>
        <v/>
      </c>
      <c r="H536" s="110" t="str">
        <f t="shared" si="25"/>
        <v/>
      </c>
      <c r="I536" s="110" t="str">
        <f t="shared" si="26"/>
        <v/>
      </c>
      <c r="J536" s="110"/>
      <c r="K536" s="110"/>
      <c r="M536" s="110"/>
      <c r="O536" s="110"/>
    </row>
    <row r="537" spans="1:15" x14ac:dyDescent="0.3">
      <c r="A537" s="58" t="str">
        <f>Schedule!E535</f>
        <v>A015750</v>
      </c>
      <c r="B537" s="58" t="s">
        <v>2023</v>
      </c>
      <c r="C537" s="58" t="str">
        <f t="shared" si="24"/>
        <v>015750 KS</v>
      </c>
      <c r="D537" s="58" t="s">
        <v>3671</v>
      </c>
      <c r="E537" s="110" t="s">
        <v>3527</v>
      </c>
      <c r="F537" s="110" t="str">
        <f>IFERROR(VLOOKUP(C537,[1]evdl298!$B:$D,3,0),"")</f>
        <v/>
      </c>
      <c r="G537" s="110" t="str">
        <f>IFERROR(VLOOKUP(C537,[1]evdl298!$B:$C,2,0),"")</f>
        <v/>
      </c>
      <c r="H537" s="110" t="str">
        <f t="shared" si="25"/>
        <v/>
      </c>
      <c r="I537" s="110" t="str">
        <f t="shared" si="26"/>
        <v/>
      </c>
      <c r="J537" s="110"/>
      <c r="K537" s="110"/>
      <c r="M537" s="110"/>
      <c r="O537" s="110"/>
    </row>
    <row r="538" spans="1:15" x14ac:dyDescent="0.3">
      <c r="A538" s="58" t="str">
        <f>Schedule!E536</f>
        <v>A015760</v>
      </c>
      <c r="B538" s="58" t="s">
        <v>2024</v>
      </c>
      <c r="C538" s="58" t="str">
        <f t="shared" si="24"/>
        <v>015760 KS</v>
      </c>
      <c r="D538" s="58" t="s">
        <v>3671</v>
      </c>
      <c r="E538" s="110" t="s">
        <v>3696</v>
      </c>
      <c r="F538" s="110" t="str">
        <f>IFERROR(VLOOKUP(C538,[1]evdl298!$B:$D,3,0),"")</f>
        <v>E</v>
      </c>
      <c r="G538" s="110">
        <f>IFERROR(VLOOKUP(C538,[1]evdl298!$B:$C,2,0),"")</f>
        <v>41481</v>
      </c>
      <c r="H538" s="110" t="str">
        <f t="shared" si="25"/>
        <v>E</v>
      </c>
      <c r="I538" s="110">
        <f t="shared" si="26"/>
        <v>41481</v>
      </c>
      <c r="J538" s="110"/>
      <c r="K538" s="110"/>
      <c r="M538" s="110"/>
      <c r="O538" s="110"/>
    </row>
    <row r="539" spans="1:15" x14ac:dyDescent="0.3">
      <c r="A539" s="58" t="str">
        <f>Schedule!E537</f>
        <v>A015860</v>
      </c>
      <c r="B539" s="58" t="s">
        <v>2025</v>
      </c>
      <c r="C539" s="58" t="str">
        <f t="shared" si="24"/>
        <v>015860 KS</v>
      </c>
      <c r="D539" s="58" t="s">
        <v>3671</v>
      </c>
      <c r="E539" s="110">
        <v>41496</v>
      </c>
      <c r="F539" s="110" t="str">
        <f>IFERROR(VLOOKUP(C539,[1]evdl298!$B:$D,3,0),"")</f>
        <v>E</v>
      </c>
      <c r="G539" s="110">
        <f>IFERROR(VLOOKUP(C539,[1]evdl298!$B:$C,2,0),"")</f>
        <v>41500</v>
      </c>
      <c r="H539" s="110" t="str">
        <f t="shared" si="25"/>
        <v>E</v>
      </c>
      <c r="I539" s="110">
        <f t="shared" si="26"/>
        <v>41500</v>
      </c>
      <c r="J539" s="110"/>
      <c r="K539" s="110"/>
      <c r="M539" s="110"/>
      <c r="O539" s="110"/>
    </row>
    <row r="540" spans="1:15" x14ac:dyDescent="0.3">
      <c r="A540" s="58" t="str">
        <f>Schedule!E538</f>
        <v>A015890</v>
      </c>
      <c r="B540" s="58" t="s">
        <v>2026</v>
      </c>
      <c r="C540" s="58" t="str">
        <f t="shared" si="24"/>
        <v>015890 KS</v>
      </c>
      <c r="D540" s="58" t="s">
        <v>3671</v>
      </c>
      <c r="E540" s="110" t="s">
        <v>3527</v>
      </c>
      <c r="F540" s="110" t="str">
        <f>IFERROR(VLOOKUP(C540,[1]evdl298!$B:$D,3,0),"")</f>
        <v/>
      </c>
      <c r="G540" s="110" t="str">
        <f>IFERROR(VLOOKUP(C540,[1]evdl298!$B:$C,2,0),"")</f>
        <v/>
      </c>
      <c r="H540" s="110" t="str">
        <f t="shared" si="25"/>
        <v/>
      </c>
      <c r="I540" s="110" t="str">
        <f t="shared" si="26"/>
        <v/>
      </c>
      <c r="J540" s="110"/>
      <c r="K540" s="110"/>
      <c r="M540" s="110"/>
      <c r="O540" s="110"/>
    </row>
    <row r="541" spans="1:15" x14ac:dyDescent="0.3">
      <c r="A541" s="58" t="str">
        <f>Schedule!E539</f>
        <v>A016090</v>
      </c>
      <c r="B541" s="58" t="s">
        <v>2027</v>
      </c>
      <c r="C541" s="58" t="str">
        <f t="shared" si="24"/>
        <v>016090 KS</v>
      </c>
      <c r="D541" s="58" t="s">
        <v>3671</v>
      </c>
      <c r="E541" s="110" t="s">
        <v>3527</v>
      </c>
      <c r="F541" s="110" t="str">
        <f>IFERROR(VLOOKUP(C541,[1]evdl298!$B:$D,3,0),"")</f>
        <v>E</v>
      </c>
      <c r="G541" s="110">
        <f>IFERROR(VLOOKUP(C541,[1]evdl298!$B:$C,2,0),"")</f>
        <v>41500</v>
      </c>
      <c r="H541" s="110" t="str">
        <f t="shared" si="25"/>
        <v>E</v>
      </c>
      <c r="I541" s="110">
        <f t="shared" si="26"/>
        <v>41500</v>
      </c>
      <c r="J541" s="110"/>
      <c r="K541" s="110"/>
      <c r="M541" s="110"/>
      <c r="O541" s="110"/>
    </row>
    <row r="542" spans="1:15" x14ac:dyDescent="0.3">
      <c r="A542" s="58" t="str">
        <f>Schedule!E540</f>
        <v>A016100</v>
      </c>
      <c r="B542" s="58" t="s">
        <v>2028</v>
      </c>
      <c r="C542" s="58" t="str">
        <f t="shared" si="24"/>
        <v>016100 KS</v>
      </c>
      <c r="D542" s="58" t="s">
        <v>3671</v>
      </c>
      <c r="E542" s="110" t="s">
        <v>3527</v>
      </c>
      <c r="F542" s="110" t="str">
        <f>IFERROR(VLOOKUP(C542,[1]evdl298!$B:$D,3,0),"")</f>
        <v>E</v>
      </c>
      <c r="G542" s="110">
        <f>IFERROR(VLOOKUP(C542,[1]evdl298!$B:$C,2,0),"")</f>
        <v>41515</v>
      </c>
      <c r="H542" s="110" t="str">
        <f t="shared" si="25"/>
        <v>E</v>
      </c>
      <c r="I542" s="110">
        <f t="shared" si="26"/>
        <v>41515</v>
      </c>
      <c r="J542" s="110"/>
      <c r="K542" s="110"/>
      <c r="M542" s="110"/>
      <c r="O542" s="110"/>
    </row>
    <row r="543" spans="1:15" x14ac:dyDescent="0.3">
      <c r="A543" s="58" t="str">
        <f>Schedule!E541</f>
        <v>A016170</v>
      </c>
      <c r="B543" s="58" t="s">
        <v>2029</v>
      </c>
      <c r="C543" s="58" t="str">
        <f t="shared" si="24"/>
        <v>016170 KS</v>
      </c>
      <c r="D543" s="58" t="s">
        <v>3671</v>
      </c>
      <c r="E543" s="110" t="s">
        <v>3527</v>
      </c>
      <c r="F543" s="110" t="str">
        <f>IFERROR(VLOOKUP(C543,[1]evdl298!$B:$D,3,0),"")</f>
        <v>E</v>
      </c>
      <c r="G543" s="110">
        <f>IFERROR(VLOOKUP(C543,[1]evdl298!$B:$C,2,0),"")</f>
        <v>41460</v>
      </c>
      <c r="H543" s="110" t="str">
        <f t="shared" si="25"/>
        <v>E</v>
      </c>
      <c r="I543" s="110">
        <f t="shared" si="26"/>
        <v>41460</v>
      </c>
      <c r="J543" s="110"/>
      <c r="K543" s="110"/>
      <c r="M543" s="110"/>
      <c r="O543" s="110"/>
    </row>
    <row r="544" spans="1:15" x14ac:dyDescent="0.3">
      <c r="A544" s="58" t="str">
        <f>Schedule!E542</f>
        <v>A016250</v>
      </c>
      <c r="B544" s="58" t="s">
        <v>2030</v>
      </c>
      <c r="C544" s="58" t="str">
        <f t="shared" si="24"/>
        <v>016250 KS</v>
      </c>
      <c r="D544" s="58" t="s">
        <v>3671</v>
      </c>
      <c r="E544" s="110" t="s">
        <v>3527</v>
      </c>
      <c r="F544" s="110" t="str">
        <f>IFERROR(VLOOKUP(C544,[1]evdl298!$B:$D,3,0),"")</f>
        <v>E</v>
      </c>
      <c r="G544" s="110">
        <f>IFERROR(VLOOKUP(C544,[1]evdl298!$B:$C,2,0),"")</f>
        <v>41495</v>
      </c>
      <c r="H544" s="110" t="str">
        <f t="shared" si="25"/>
        <v>E</v>
      </c>
      <c r="I544" s="110">
        <f t="shared" si="26"/>
        <v>41495</v>
      </c>
      <c r="J544" s="110"/>
      <c r="K544" s="110"/>
      <c r="M544" s="110"/>
      <c r="O544" s="110"/>
    </row>
    <row r="545" spans="1:15" x14ac:dyDescent="0.3">
      <c r="A545" s="58" t="str">
        <f>Schedule!E543</f>
        <v>A016360</v>
      </c>
      <c r="B545" s="58" t="s">
        <v>2031</v>
      </c>
      <c r="C545" s="58" t="str">
        <f t="shared" si="24"/>
        <v>016360 KS</v>
      </c>
      <c r="D545" s="58" t="s">
        <v>3671</v>
      </c>
      <c r="E545" s="110" t="s">
        <v>3527</v>
      </c>
      <c r="F545" s="110" t="str">
        <f>IFERROR(VLOOKUP(C545,[1]evdl298!$B:$D,3,0),"")</f>
        <v>E</v>
      </c>
      <c r="G545" s="110">
        <f>IFERROR(VLOOKUP(C545,[1]evdl298!$B:$C,2,0),"")</f>
        <v>41500</v>
      </c>
      <c r="H545" s="110" t="str">
        <f t="shared" si="25"/>
        <v>E</v>
      </c>
      <c r="I545" s="110">
        <f t="shared" si="26"/>
        <v>41500</v>
      </c>
      <c r="J545" s="110"/>
      <c r="K545" s="110"/>
      <c r="M545" s="110"/>
      <c r="O545" s="110"/>
    </row>
    <row r="546" spans="1:15" x14ac:dyDescent="0.3">
      <c r="A546" s="58" t="str">
        <f>Schedule!E544</f>
        <v>A016380</v>
      </c>
      <c r="B546" s="58" t="s">
        <v>9</v>
      </c>
      <c r="C546" s="58" t="str">
        <f t="shared" si="24"/>
        <v>016380 KS</v>
      </c>
      <c r="D546" s="58" t="s">
        <v>3671</v>
      </c>
      <c r="E546" s="110" t="s">
        <v>3675</v>
      </c>
      <c r="F546" s="110" t="str">
        <f>IFERROR(VLOOKUP(C546,[1]evdl298!$B:$D,3,0),"")</f>
        <v>E</v>
      </c>
      <c r="G546" s="110">
        <f>IFERROR(VLOOKUP(C546,[1]evdl298!$B:$C,2,0),"")</f>
        <v>41500</v>
      </c>
      <c r="H546" s="110" t="str">
        <f t="shared" si="25"/>
        <v>E</v>
      </c>
      <c r="I546" s="110">
        <f t="shared" si="26"/>
        <v>41500</v>
      </c>
      <c r="J546" s="110"/>
      <c r="K546" s="110"/>
      <c r="M546" s="110"/>
      <c r="O546" s="110"/>
    </row>
    <row r="547" spans="1:15" x14ac:dyDescent="0.3">
      <c r="A547" s="58" t="str">
        <f>Schedule!E545</f>
        <v>A016420</v>
      </c>
      <c r="B547" s="58" t="s">
        <v>2032</v>
      </c>
      <c r="C547" s="58" t="str">
        <f t="shared" si="24"/>
        <v>016420 KS</v>
      </c>
      <c r="D547" s="58" t="s">
        <v>3671</v>
      </c>
      <c r="E547" s="110" t="s">
        <v>3527</v>
      </c>
      <c r="F547" s="110" t="str">
        <f>IFERROR(VLOOKUP(C547,[1]evdl298!$B:$D,3,0),"")</f>
        <v>E</v>
      </c>
      <c r="G547" s="110">
        <f>IFERROR(VLOOKUP(C547,[1]evdl298!$B:$C,2,0),"")</f>
        <v>41500</v>
      </c>
      <c r="H547" s="110" t="str">
        <f t="shared" si="25"/>
        <v>E</v>
      </c>
      <c r="I547" s="110">
        <f t="shared" si="26"/>
        <v>41500</v>
      </c>
      <c r="J547" s="110"/>
      <c r="K547" s="110"/>
      <c r="M547" s="110"/>
      <c r="O547" s="110"/>
    </row>
    <row r="548" spans="1:15" x14ac:dyDescent="0.3">
      <c r="A548" s="58" t="str">
        <f>Schedule!E546</f>
        <v>A016450</v>
      </c>
      <c r="B548" s="58" t="s">
        <v>2033</v>
      </c>
      <c r="C548" s="58" t="str">
        <f t="shared" si="24"/>
        <v>016450 KS</v>
      </c>
      <c r="D548" s="58" t="s">
        <v>3671</v>
      </c>
      <c r="E548" s="110" t="s">
        <v>3527</v>
      </c>
      <c r="F548" s="110" t="str">
        <f>IFERROR(VLOOKUP(C548,[1]evdl298!$B:$D,3,0),"")</f>
        <v>E</v>
      </c>
      <c r="G548" s="110">
        <f>IFERROR(VLOOKUP(C548,[1]evdl298!$B:$C,2,0),"")</f>
        <v>41500</v>
      </c>
      <c r="H548" s="110" t="str">
        <f t="shared" si="25"/>
        <v>E</v>
      </c>
      <c r="I548" s="110">
        <f t="shared" si="26"/>
        <v>41500</v>
      </c>
      <c r="J548" s="110"/>
      <c r="K548" s="110"/>
      <c r="M548" s="110"/>
      <c r="O548" s="110"/>
    </row>
    <row r="549" spans="1:15" x14ac:dyDescent="0.3">
      <c r="A549" s="58" t="str">
        <f>Schedule!E547</f>
        <v>A016580</v>
      </c>
      <c r="B549" s="58" t="s">
        <v>2034</v>
      </c>
      <c r="C549" s="58" t="str">
        <f t="shared" si="24"/>
        <v>016580 KS</v>
      </c>
      <c r="D549" s="58" t="s">
        <v>3671</v>
      </c>
      <c r="E549" s="110" t="s">
        <v>3527</v>
      </c>
      <c r="F549" s="110" t="str">
        <f>IFERROR(VLOOKUP(C549,[1]evdl298!$B:$D,3,0),"")</f>
        <v>E</v>
      </c>
      <c r="G549" s="110">
        <f>IFERROR(VLOOKUP(C549,[1]evdl298!$B:$C,2,0),"")</f>
        <v>41485</v>
      </c>
      <c r="H549" s="110" t="str">
        <f t="shared" si="25"/>
        <v>E</v>
      </c>
      <c r="I549" s="110">
        <f t="shared" si="26"/>
        <v>41485</v>
      </c>
      <c r="J549" s="110"/>
      <c r="K549" s="110"/>
      <c r="M549" s="110"/>
      <c r="O549" s="110"/>
    </row>
    <row r="550" spans="1:15" x14ac:dyDescent="0.3">
      <c r="A550" s="58" t="str">
        <f>Schedule!E548</f>
        <v>A016590</v>
      </c>
      <c r="B550" s="58" t="s">
        <v>2035</v>
      </c>
      <c r="C550" s="58" t="str">
        <f t="shared" si="24"/>
        <v>016590 KS</v>
      </c>
      <c r="D550" s="58" t="s">
        <v>3671</v>
      </c>
      <c r="E550" s="110" t="s">
        <v>3527</v>
      </c>
      <c r="F550" s="110" t="str">
        <f>IFERROR(VLOOKUP(C550,[1]evdl298!$B:$D,3,0),"")</f>
        <v/>
      </c>
      <c r="G550" s="110" t="str">
        <f>IFERROR(VLOOKUP(C550,[1]evdl298!$B:$C,2,0),"")</f>
        <v/>
      </c>
      <c r="H550" s="110" t="str">
        <f t="shared" si="25"/>
        <v/>
      </c>
      <c r="I550" s="110" t="str">
        <f t="shared" si="26"/>
        <v/>
      </c>
      <c r="J550" s="110"/>
      <c r="K550" s="110"/>
      <c r="M550" s="110"/>
      <c r="O550" s="110"/>
    </row>
    <row r="551" spans="1:15" x14ac:dyDescent="0.3">
      <c r="A551" s="58" t="str">
        <f>Schedule!E549</f>
        <v>A016600</v>
      </c>
      <c r="B551" s="58" t="s">
        <v>2036</v>
      </c>
      <c r="C551" s="58" t="str">
        <f t="shared" si="24"/>
        <v>016600 KS</v>
      </c>
      <c r="D551" s="58" t="s">
        <v>3671</v>
      </c>
      <c r="E551" s="110" t="s">
        <v>3527</v>
      </c>
      <c r="F551" s="110" t="str">
        <f>IFERROR(VLOOKUP(C551,[1]evdl298!$B:$D,3,0),"")</f>
        <v>E</v>
      </c>
      <c r="G551" s="110">
        <f>IFERROR(VLOOKUP(C551,[1]evdl298!$B:$C,2,0),"")</f>
        <v>41460</v>
      </c>
      <c r="H551" s="110" t="str">
        <f t="shared" si="25"/>
        <v>E</v>
      </c>
      <c r="I551" s="110">
        <f t="shared" si="26"/>
        <v>41460</v>
      </c>
      <c r="J551" s="110"/>
      <c r="K551" s="110"/>
      <c r="M551" s="110"/>
      <c r="O551" s="110"/>
    </row>
    <row r="552" spans="1:15" x14ac:dyDescent="0.3">
      <c r="A552" s="58" t="str">
        <f>Schedule!E550</f>
        <v>A016610</v>
      </c>
      <c r="B552" s="58" t="s">
        <v>2037</v>
      </c>
      <c r="C552" s="58" t="str">
        <f t="shared" si="24"/>
        <v>016610 KS</v>
      </c>
      <c r="D552" s="58" t="s">
        <v>3671</v>
      </c>
      <c r="E552" s="110" t="s">
        <v>3527</v>
      </c>
      <c r="F552" s="110" t="str">
        <f>IFERROR(VLOOKUP(C552,[1]evdl298!$B:$D,3,0),"")</f>
        <v>E</v>
      </c>
      <c r="G552" s="110">
        <f>IFERROR(VLOOKUP(C552,[1]evdl298!$B:$C,2,0),"")</f>
        <v>41500</v>
      </c>
      <c r="H552" s="110" t="str">
        <f t="shared" si="25"/>
        <v>E</v>
      </c>
      <c r="I552" s="110">
        <f t="shared" si="26"/>
        <v>41500</v>
      </c>
      <c r="J552" s="110"/>
      <c r="K552" s="110"/>
      <c r="M552" s="110"/>
      <c r="O552" s="110"/>
    </row>
    <row r="553" spans="1:15" x14ac:dyDescent="0.3">
      <c r="A553" s="58" t="str">
        <f>Schedule!E551</f>
        <v>A016670</v>
      </c>
      <c r="B553" s="58" t="s">
        <v>10</v>
      </c>
      <c r="C553" s="58" t="str">
        <f t="shared" si="24"/>
        <v>016670 KS</v>
      </c>
      <c r="D553" s="58" t="s">
        <v>3671</v>
      </c>
      <c r="E553" s="110" t="s">
        <v>3527</v>
      </c>
      <c r="F553" s="110" t="str">
        <f>IFERROR(VLOOKUP(C553,[1]evdl298!$B:$D,3,0),"")</f>
        <v>E</v>
      </c>
      <c r="G553" s="110">
        <f>IFERROR(VLOOKUP(C553,[1]evdl298!$B:$C,2,0),"")</f>
        <v>41499</v>
      </c>
      <c r="H553" s="110" t="str">
        <f t="shared" si="25"/>
        <v>E</v>
      </c>
      <c r="I553" s="110">
        <f t="shared" si="26"/>
        <v>41499</v>
      </c>
      <c r="J553" s="110"/>
      <c r="K553" s="110"/>
      <c r="M553" s="110"/>
      <c r="O553" s="110"/>
    </row>
    <row r="554" spans="1:15" x14ac:dyDescent="0.3">
      <c r="A554" s="58" t="str">
        <f>Schedule!E552</f>
        <v>A016710</v>
      </c>
      <c r="B554" s="58" t="s">
        <v>2038</v>
      </c>
      <c r="C554" s="58" t="str">
        <f t="shared" si="24"/>
        <v>016710 KS</v>
      </c>
      <c r="D554" s="58" t="s">
        <v>3671</v>
      </c>
      <c r="E554" s="110" t="s">
        <v>3527</v>
      </c>
      <c r="F554" s="110" t="str">
        <f>IFERROR(VLOOKUP(C554,[1]evdl298!$B:$D,3,0),"")</f>
        <v/>
      </c>
      <c r="G554" s="110" t="str">
        <f>IFERROR(VLOOKUP(C554,[1]evdl298!$B:$C,2,0),"")</f>
        <v/>
      </c>
      <c r="H554" s="110" t="str">
        <f t="shared" si="25"/>
        <v/>
      </c>
      <c r="I554" s="110" t="str">
        <f t="shared" si="26"/>
        <v/>
      </c>
      <c r="J554" s="110"/>
      <c r="K554" s="110"/>
      <c r="M554" s="110"/>
      <c r="O554" s="110"/>
    </row>
    <row r="555" spans="1:15" x14ac:dyDescent="0.3">
      <c r="A555" s="58" t="str">
        <f>Schedule!E553</f>
        <v>A016800</v>
      </c>
      <c r="B555" s="58" t="s">
        <v>2039</v>
      </c>
      <c r="C555" s="58" t="str">
        <f t="shared" si="24"/>
        <v>016800 KS</v>
      </c>
      <c r="D555" s="58" t="s">
        <v>3671</v>
      </c>
      <c r="E555" s="110" t="s">
        <v>3527</v>
      </c>
      <c r="F555" s="110" t="str">
        <f>IFERROR(VLOOKUP(C555,[1]evdl298!$B:$D,3,0),"")</f>
        <v>E</v>
      </c>
      <c r="G555" s="110">
        <f>IFERROR(VLOOKUP(C555,[1]evdl298!$B:$C,2,0),"")</f>
        <v>41500</v>
      </c>
      <c r="H555" s="110" t="str">
        <f t="shared" si="25"/>
        <v>E</v>
      </c>
      <c r="I555" s="110">
        <f t="shared" si="26"/>
        <v>41500</v>
      </c>
      <c r="J555" s="110"/>
      <c r="K555" s="110"/>
      <c r="M555" s="110"/>
      <c r="O555" s="110"/>
    </row>
    <row r="556" spans="1:15" x14ac:dyDescent="0.3">
      <c r="A556" s="58" t="str">
        <f>Schedule!E554</f>
        <v>A016880</v>
      </c>
      <c r="B556" s="58" t="s">
        <v>2040</v>
      </c>
      <c r="C556" s="58" t="str">
        <f t="shared" si="24"/>
        <v>016880 KS</v>
      </c>
      <c r="D556" s="58" t="s">
        <v>3671</v>
      </c>
      <c r="E556" s="110" t="s">
        <v>3527</v>
      </c>
      <c r="F556" s="110" t="str">
        <f>IFERROR(VLOOKUP(C556,[1]evdl298!$B:$D,3,0),"")</f>
        <v>E</v>
      </c>
      <c r="G556" s="110">
        <f>IFERROR(VLOOKUP(C556,[1]evdl298!$B:$C,2,0),"")</f>
        <v>41500</v>
      </c>
      <c r="H556" s="110" t="str">
        <f t="shared" si="25"/>
        <v>E</v>
      </c>
      <c r="I556" s="110">
        <f t="shared" si="26"/>
        <v>41500</v>
      </c>
      <c r="J556" s="110"/>
      <c r="K556" s="110"/>
      <c r="M556" s="110"/>
      <c r="O556" s="110"/>
    </row>
    <row r="557" spans="1:15" x14ac:dyDescent="0.3">
      <c r="A557" s="58" t="str">
        <f>Schedule!E555</f>
        <v>A016920</v>
      </c>
      <c r="B557" s="58" t="s">
        <v>2041</v>
      </c>
      <c r="C557" s="58" t="str">
        <f t="shared" si="24"/>
        <v>016920 KS</v>
      </c>
      <c r="D557" s="58" t="s">
        <v>3671</v>
      </c>
      <c r="E557" s="110" t="s">
        <v>3527</v>
      </c>
      <c r="F557" s="110" t="str">
        <f>IFERROR(VLOOKUP(C557,[1]evdl298!$B:$D,3,0),"")</f>
        <v/>
      </c>
      <c r="G557" s="110" t="str">
        <f>IFERROR(VLOOKUP(C557,[1]evdl298!$B:$C,2,0),"")</f>
        <v/>
      </c>
      <c r="H557" s="110" t="str">
        <f t="shared" si="25"/>
        <v/>
      </c>
      <c r="I557" s="110" t="str">
        <f t="shared" si="26"/>
        <v/>
      </c>
      <c r="J557" s="110"/>
      <c r="K557" s="110"/>
      <c r="M557" s="110"/>
      <c r="O557" s="110"/>
    </row>
    <row r="558" spans="1:15" x14ac:dyDescent="0.3">
      <c r="A558" s="58" t="str">
        <f>Schedule!E556</f>
        <v>A017000</v>
      </c>
      <c r="B558" s="58" t="s">
        <v>2042</v>
      </c>
      <c r="C558" s="58" t="str">
        <f t="shared" si="24"/>
        <v>017000 KS</v>
      </c>
      <c r="D558" s="58" t="s">
        <v>3671</v>
      </c>
      <c r="E558" s="110" t="s">
        <v>3527</v>
      </c>
      <c r="F558" s="110" t="str">
        <f>IFERROR(VLOOKUP(C558,[1]evdl298!$B:$D,3,0),"")</f>
        <v>E</v>
      </c>
      <c r="G558" s="110">
        <f>IFERROR(VLOOKUP(C558,[1]evdl298!$B:$C,2,0),"")</f>
        <v>41500</v>
      </c>
      <c r="H558" s="110" t="str">
        <f t="shared" si="25"/>
        <v>E</v>
      </c>
      <c r="I558" s="110">
        <f t="shared" si="26"/>
        <v>41500</v>
      </c>
      <c r="J558" s="110"/>
      <c r="K558" s="110"/>
      <c r="M558" s="110"/>
      <c r="O558" s="110"/>
    </row>
    <row r="559" spans="1:15" x14ac:dyDescent="0.3">
      <c r="A559" s="58" t="str">
        <f>Schedule!E557</f>
        <v>A017040</v>
      </c>
      <c r="B559" s="58" t="s">
        <v>2043</v>
      </c>
      <c r="C559" s="58" t="str">
        <f t="shared" si="24"/>
        <v>017040 KS</v>
      </c>
      <c r="D559" s="58" t="s">
        <v>3671</v>
      </c>
      <c r="E559" s="110" t="s">
        <v>3527</v>
      </c>
      <c r="F559" s="110" t="str">
        <f>IFERROR(VLOOKUP(C559,[1]evdl298!$B:$D,3,0),"")</f>
        <v/>
      </c>
      <c r="G559" s="110" t="str">
        <f>IFERROR(VLOOKUP(C559,[1]evdl298!$B:$C,2,0),"")</f>
        <v/>
      </c>
      <c r="H559" s="110" t="str">
        <f t="shared" si="25"/>
        <v/>
      </c>
      <c r="I559" s="110" t="str">
        <f t="shared" si="26"/>
        <v/>
      </c>
      <c r="J559" s="110"/>
      <c r="K559" s="110"/>
      <c r="M559" s="110"/>
      <c r="O559" s="110"/>
    </row>
    <row r="560" spans="1:15" x14ac:dyDescent="0.3">
      <c r="A560" s="58" t="str">
        <f>Schedule!E558</f>
        <v>A017180</v>
      </c>
      <c r="B560" s="58" t="s">
        <v>2044</v>
      </c>
      <c r="C560" s="58" t="str">
        <f t="shared" si="24"/>
        <v>017180 KS</v>
      </c>
      <c r="D560" s="58" t="s">
        <v>3671</v>
      </c>
      <c r="E560" s="110" t="s">
        <v>3527</v>
      </c>
      <c r="F560" s="110" t="str">
        <f>IFERROR(VLOOKUP(C560,[1]evdl298!$B:$D,3,0),"")</f>
        <v/>
      </c>
      <c r="G560" s="110" t="str">
        <f>IFERROR(VLOOKUP(C560,[1]evdl298!$B:$C,2,0),"")</f>
        <v/>
      </c>
      <c r="H560" s="110" t="str">
        <f t="shared" si="25"/>
        <v/>
      </c>
      <c r="I560" s="110" t="str">
        <f t="shared" si="26"/>
        <v/>
      </c>
      <c r="J560" s="110"/>
      <c r="K560" s="110"/>
      <c r="M560" s="110"/>
      <c r="O560" s="110"/>
    </row>
    <row r="561" spans="1:15" x14ac:dyDescent="0.3">
      <c r="A561" s="58" t="str">
        <f>Schedule!E559</f>
        <v>A017250</v>
      </c>
      <c r="B561" s="58" t="s">
        <v>2045</v>
      </c>
      <c r="C561" s="58" t="str">
        <f t="shared" si="24"/>
        <v>017250 KS</v>
      </c>
      <c r="D561" s="58" t="s">
        <v>3671</v>
      </c>
      <c r="E561" s="110" t="s">
        <v>3527</v>
      </c>
      <c r="F561" s="110" t="str">
        <f>IFERROR(VLOOKUP(C561,[1]evdl298!$B:$D,3,0),"")</f>
        <v>E</v>
      </c>
      <c r="G561" s="110">
        <f>IFERROR(VLOOKUP(C561,[1]evdl298!$B:$C,2,0),"")</f>
        <v>41500</v>
      </c>
      <c r="H561" s="110" t="str">
        <f t="shared" si="25"/>
        <v>E</v>
      </c>
      <c r="I561" s="110">
        <f t="shared" si="26"/>
        <v>41500</v>
      </c>
      <c r="J561" s="110"/>
      <c r="K561" s="110"/>
      <c r="M561" s="110"/>
      <c r="O561" s="110"/>
    </row>
    <row r="562" spans="1:15" x14ac:dyDescent="0.3">
      <c r="A562" s="58" t="str">
        <f>Schedule!E560</f>
        <v>A017370</v>
      </c>
      <c r="B562" s="58" t="s">
        <v>2046</v>
      </c>
      <c r="C562" s="58" t="str">
        <f t="shared" si="24"/>
        <v>017370 KS</v>
      </c>
      <c r="D562" s="58" t="s">
        <v>3671</v>
      </c>
      <c r="E562" s="110" t="s">
        <v>3527</v>
      </c>
      <c r="F562" s="110" t="str">
        <f>IFERROR(VLOOKUP(C562,[1]evdl298!$B:$D,3,0),"")</f>
        <v>E</v>
      </c>
      <c r="G562" s="110">
        <f>IFERROR(VLOOKUP(C562,[1]evdl298!$B:$C,2,0),"")</f>
        <v>41515</v>
      </c>
      <c r="H562" s="110" t="str">
        <f t="shared" si="25"/>
        <v>E</v>
      </c>
      <c r="I562" s="110">
        <f t="shared" si="26"/>
        <v>41515</v>
      </c>
      <c r="J562" s="110"/>
      <c r="K562" s="110"/>
      <c r="M562" s="110"/>
      <c r="O562" s="110"/>
    </row>
    <row r="563" spans="1:15" x14ac:dyDescent="0.3">
      <c r="A563" s="58" t="str">
        <f>Schedule!E561</f>
        <v>A017390</v>
      </c>
      <c r="B563" s="58" t="s">
        <v>2047</v>
      </c>
      <c r="C563" s="58" t="str">
        <f t="shared" si="24"/>
        <v>017390 KS</v>
      </c>
      <c r="D563" s="58" t="s">
        <v>3671</v>
      </c>
      <c r="E563" s="110" t="s">
        <v>3527</v>
      </c>
      <c r="F563" s="110" t="str">
        <f>IFERROR(VLOOKUP(C563,[1]evdl298!$B:$D,3,0),"")</f>
        <v/>
      </c>
      <c r="G563" s="110" t="str">
        <f>IFERROR(VLOOKUP(C563,[1]evdl298!$B:$C,2,0),"")</f>
        <v/>
      </c>
      <c r="H563" s="110" t="str">
        <f t="shared" si="25"/>
        <v/>
      </c>
      <c r="I563" s="110" t="str">
        <f t="shared" si="26"/>
        <v/>
      </c>
      <c r="J563" s="110"/>
      <c r="K563" s="110"/>
      <c r="M563" s="110"/>
      <c r="O563" s="110"/>
    </row>
    <row r="564" spans="1:15" x14ac:dyDescent="0.3">
      <c r="A564" s="58" t="str">
        <f>Schedule!E562</f>
        <v>A017480</v>
      </c>
      <c r="B564" s="58" t="s">
        <v>2048</v>
      </c>
      <c r="C564" s="58" t="str">
        <f t="shared" si="24"/>
        <v>017480 KS</v>
      </c>
      <c r="D564" s="58" t="s">
        <v>3671</v>
      </c>
      <c r="E564" s="110" t="s">
        <v>3527</v>
      </c>
      <c r="F564" s="110" t="str">
        <f>IFERROR(VLOOKUP(C564,[1]evdl298!$B:$D,3,0),"")</f>
        <v>E</v>
      </c>
      <c r="G564" s="110">
        <f>IFERROR(VLOOKUP(C564,[1]evdl298!$B:$C,2,0),"")</f>
        <v>41460</v>
      </c>
      <c r="H564" s="110" t="str">
        <f t="shared" si="25"/>
        <v>E</v>
      </c>
      <c r="I564" s="110">
        <f t="shared" si="26"/>
        <v>41460</v>
      </c>
      <c r="J564" s="110"/>
      <c r="K564" s="110"/>
      <c r="M564" s="110"/>
      <c r="O564" s="110"/>
    </row>
    <row r="565" spans="1:15" x14ac:dyDescent="0.3">
      <c r="A565" s="58" t="str">
        <f>Schedule!E563</f>
        <v>A017510</v>
      </c>
      <c r="B565" s="58" t="s">
        <v>2049</v>
      </c>
      <c r="C565" s="58" t="str">
        <f t="shared" si="24"/>
        <v>017510 KS</v>
      </c>
      <c r="D565" s="58" t="s">
        <v>3671</v>
      </c>
      <c r="E565" s="110" t="s">
        <v>3527</v>
      </c>
      <c r="F565" s="110" t="str">
        <f>IFERROR(VLOOKUP(C565,[1]evdl298!$B:$D,3,0),"")</f>
        <v>E</v>
      </c>
      <c r="G565" s="110">
        <f>IFERROR(VLOOKUP(C565,[1]evdl298!$B:$C,2,0),"")</f>
        <v>41495</v>
      </c>
      <c r="H565" s="110" t="str">
        <f t="shared" si="25"/>
        <v>E</v>
      </c>
      <c r="I565" s="110">
        <f t="shared" si="26"/>
        <v>41495</v>
      </c>
      <c r="J565" s="110"/>
      <c r="K565" s="110"/>
      <c r="M565" s="110"/>
      <c r="O565" s="110"/>
    </row>
    <row r="566" spans="1:15" x14ac:dyDescent="0.3">
      <c r="A566" s="58" t="str">
        <f>Schedule!E564</f>
        <v>A017550</v>
      </c>
      <c r="B566" s="58" t="s">
        <v>2050</v>
      </c>
      <c r="C566" s="58" t="str">
        <f t="shared" si="24"/>
        <v>017550 KS</v>
      </c>
      <c r="D566" s="58" t="s">
        <v>3671</v>
      </c>
      <c r="E566" s="110" t="s">
        <v>3527</v>
      </c>
      <c r="F566" s="110" t="str">
        <f>IFERROR(VLOOKUP(C566,[1]evdl298!$B:$D,3,0),"")</f>
        <v>E</v>
      </c>
      <c r="G566" s="110">
        <f>IFERROR(VLOOKUP(C566,[1]evdl298!$B:$C,2,0),"")</f>
        <v>41515</v>
      </c>
      <c r="H566" s="110" t="str">
        <f t="shared" si="25"/>
        <v>E</v>
      </c>
      <c r="I566" s="110">
        <f t="shared" si="26"/>
        <v>41515</v>
      </c>
      <c r="J566" s="110"/>
      <c r="K566" s="110"/>
      <c r="M566" s="110"/>
      <c r="O566" s="110"/>
    </row>
    <row r="567" spans="1:15" x14ac:dyDescent="0.3">
      <c r="A567" s="58" t="str">
        <f>Schedule!E565</f>
        <v>A017650</v>
      </c>
      <c r="B567" s="58" t="s">
        <v>2051</v>
      </c>
      <c r="C567" s="58" t="str">
        <f t="shared" si="24"/>
        <v>017650 KS</v>
      </c>
      <c r="D567" s="58" t="s">
        <v>3671</v>
      </c>
      <c r="E567" s="110" t="s">
        <v>3527</v>
      </c>
      <c r="F567" s="110" t="str">
        <f>IFERROR(VLOOKUP(C567,[1]evdl298!$B:$D,3,0),"")</f>
        <v>E</v>
      </c>
      <c r="G567" s="110">
        <f>IFERROR(VLOOKUP(C567,[1]evdl298!$B:$C,2,0),"")</f>
        <v>41500</v>
      </c>
      <c r="H567" s="110" t="str">
        <f t="shared" si="25"/>
        <v>E</v>
      </c>
      <c r="I567" s="110">
        <f t="shared" si="26"/>
        <v>41500</v>
      </c>
      <c r="J567" s="110"/>
      <c r="K567" s="110"/>
      <c r="M567" s="110"/>
      <c r="O567" s="110"/>
    </row>
    <row r="568" spans="1:15" x14ac:dyDescent="0.3">
      <c r="A568" s="58" t="str">
        <f>Schedule!E566</f>
        <v>A017670</v>
      </c>
      <c r="B568" s="58" t="s">
        <v>2052</v>
      </c>
      <c r="C568" s="58" t="str">
        <f t="shared" si="24"/>
        <v>017670 KS</v>
      </c>
      <c r="D568" s="58" t="s">
        <v>3671</v>
      </c>
      <c r="E568" s="110" t="s">
        <v>3527</v>
      </c>
      <c r="F568" s="110" t="str">
        <f>IFERROR(VLOOKUP(C568,[1]evdl298!$B:$D,3,0),"")</f>
        <v>E</v>
      </c>
      <c r="G568" s="110">
        <f>IFERROR(VLOOKUP(C568,[1]evdl298!$B:$C,2,0),"")</f>
        <v>41488</v>
      </c>
      <c r="H568" s="110" t="str">
        <f t="shared" si="25"/>
        <v>E</v>
      </c>
      <c r="I568" s="110">
        <f t="shared" si="26"/>
        <v>41488</v>
      </c>
      <c r="J568" s="110"/>
      <c r="K568" s="110"/>
      <c r="M568" s="110"/>
      <c r="O568" s="110"/>
    </row>
    <row r="569" spans="1:15" x14ac:dyDescent="0.3">
      <c r="A569" s="58" t="str">
        <f>Schedule!E567</f>
        <v>A017680</v>
      </c>
      <c r="B569" s="58" t="s">
        <v>2053</v>
      </c>
      <c r="C569" s="58" t="str">
        <f t="shared" si="24"/>
        <v>017680 KS</v>
      </c>
      <c r="D569" s="58" t="s">
        <v>3671</v>
      </c>
      <c r="E569" s="110">
        <v>41485</v>
      </c>
      <c r="F569" s="110" t="str">
        <f>IFERROR(VLOOKUP(C569,[1]evdl298!$B:$D,3,0),"")</f>
        <v/>
      </c>
      <c r="G569" s="110" t="str">
        <f>IFERROR(VLOOKUP(C569,[1]evdl298!$B:$C,2,0),"")</f>
        <v/>
      </c>
      <c r="H569" s="110" t="str">
        <f t="shared" si="25"/>
        <v/>
      </c>
      <c r="I569" s="110">
        <f t="shared" si="26"/>
        <v>41485</v>
      </c>
      <c r="J569" s="110"/>
      <c r="K569" s="110"/>
      <c r="M569" s="110"/>
      <c r="O569" s="110"/>
    </row>
    <row r="570" spans="1:15" x14ac:dyDescent="0.3">
      <c r="A570" s="58" t="str">
        <f>Schedule!E568</f>
        <v>A017800</v>
      </c>
      <c r="B570" s="58" t="s">
        <v>2054</v>
      </c>
      <c r="C570" s="58" t="str">
        <f t="shared" si="24"/>
        <v>017800 KS</v>
      </c>
      <c r="D570" s="58" t="s">
        <v>3671</v>
      </c>
      <c r="E570" s="110" t="s">
        <v>3527</v>
      </c>
      <c r="F570" s="110" t="str">
        <f>IFERROR(VLOOKUP(C570,[1]evdl298!$B:$D,3,0),"")</f>
        <v>E</v>
      </c>
      <c r="G570" s="110">
        <f>IFERROR(VLOOKUP(C570,[1]evdl298!$B:$C,2,0),"")</f>
        <v>41500</v>
      </c>
      <c r="H570" s="110" t="str">
        <f t="shared" si="25"/>
        <v>E</v>
      </c>
      <c r="I570" s="110">
        <f t="shared" si="26"/>
        <v>41500</v>
      </c>
      <c r="J570" s="110"/>
      <c r="K570" s="110"/>
      <c r="M570" s="110"/>
      <c r="O570" s="110"/>
    </row>
    <row r="571" spans="1:15" x14ac:dyDescent="0.3">
      <c r="A571" s="58" t="str">
        <f>Schedule!E569</f>
        <v>A017810</v>
      </c>
      <c r="B571" s="58" t="s">
        <v>2055</v>
      </c>
      <c r="C571" s="58" t="str">
        <f t="shared" si="24"/>
        <v>017810 KS</v>
      </c>
      <c r="D571" s="58" t="s">
        <v>3671</v>
      </c>
      <c r="E571" s="110" t="s">
        <v>3527</v>
      </c>
      <c r="F571" s="110" t="str">
        <f>IFERROR(VLOOKUP(C571,[1]evdl298!$B:$D,3,0),"")</f>
        <v>E</v>
      </c>
      <c r="G571" s="110">
        <f>IFERROR(VLOOKUP(C571,[1]evdl298!$B:$C,2,0),"")</f>
        <v>41500</v>
      </c>
      <c r="H571" s="110" t="str">
        <f t="shared" si="25"/>
        <v>E</v>
      </c>
      <c r="I571" s="110">
        <f t="shared" si="26"/>
        <v>41500</v>
      </c>
      <c r="J571" s="110"/>
      <c r="K571" s="110"/>
      <c r="M571" s="110"/>
      <c r="O571" s="110"/>
    </row>
    <row r="572" spans="1:15" x14ac:dyDescent="0.3">
      <c r="A572" s="58" t="str">
        <f>Schedule!E570</f>
        <v>A017890</v>
      </c>
      <c r="B572" s="58" t="s">
        <v>2056</v>
      </c>
      <c r="C572" s="58" t="str">
        <f t="shared" si="24"/>
        <v>017890 KS</v>
      </c>
      <c r="D572" s="58" t="s">
        <v>3671</v>
      </c>
      <c r="E572" s="110" t="s">
        <v>3527</v>
      </c>
      <c r="F572" s="110" t="str">
        <f>IFERROR(VLOOKUP(C572,[1]evdl298!$B:$D,3,0),"")</f>
        <v/>
      </c>
      <c r="G572" s="110" t="str">
        <f>IFERROR(VLOOKUP(C572,[1]evdl298!$B:$C,2,0),"")</f>
        <v/>
      </c>
      <c r="H572" s="110" t="str">
        <f t="shared" si="25"/>
        <v/>
      </c>
      <c r="I572" s="110" t="str">
        <f t="shared" si="26"/>
        <v/>
      </c>
      <c r="J572" s="110"/>
      <c r="K572" s="110"/>
      <c r="M572" s="110"/>
      <c r="O572" s="110"/>
    </row>
    <row r="573" spans="1:15" x14ac:dyDescent="0.3">
      <c r="A573" s="58" t="str">
        <f>Schedule!E571</f>
        <v>A017900</v>
      </c>
      <c r="B573" s="58" t="s">
        <v>2057</v>
      </c>
      <c r="C573" s="58" t="str">
        <f t="shared" si="24"/>
        <v>017900 KS</v>
      </c>
      <c r="D573" s="58" t="s">
        <v>3671</v>
      </c>
      <c r="E573" s="110" t="s">
        <v>3527</v>
      </c>
      <c r="F573" s="110" t="str">
        <f>IFERROR(VLOOKUP(C573,[1]evdl298!$B:$D,3,0),"")</f>
        <v/>
      </c>
      <c r="G573" s="110" t="str">
        <f>IFERROR(VLOOKUP(C573,[1]evdl298!$B:$C,2,0),"")</f>
        <v/>
      </c>
      <c r="H573" s="110" t="str">
        <f t="shared" si="25"/>
        <v/>
      </c>
      <c r="I573" s="110" t="str">
        <f t="shared" si="26"/>
        <v/>
      </c>
      <c r="J573" s="110"/>
      <c r="K573" s="110"/>
      <c r="M573" s="110"/>
      <c r="O573" s="110"/>
    </row>
    <row r="574" spans="1:15" x14ac:dyDescent="0.3">
      <c r="A574" s="58" t="str">
        <f>Schedule!E572</f>
        <v>A017940</v>
      </c>
      <c r="B574" s="58" t="s">
        <v>2058</v>
      </c>
      <c r="C574" s="58" t="str">
        <f t="shared" si="24"/>
        <v>017940 KS</v>
      </c>
      <c r="D574" s="58" t="s">
        <v>3671</v>
      </c>
      <c r="E574" s="110" t="s">
        <v>3527</v>
      </c>
      <c r="F574" s="110" t="str">
        <f>IFERROR(VLOOKUP(C574,[1]evdl298!$B:$D,3,0),"")</f>
        <v>E</v>
      </c>
      <c r="G574" s="110">
        <f>IFERROR(VLOOKUP(C574,[1]evdl298!$B:$C,2,0),"")</f>
        <v>41500</v>
      </c>
      <c r="H574" s="110" t="str">
        <f t="shared" si="25"/>
        <v>E</v>
      </c>
      <c r="I574" s="110">
        <f t="shared" si="26"/>
        <v>41500</v>
      </c>
      <c r="J574" s="110"/>
      <c r="K574" s="110"/>
      <c r="M574" s="110"/>
      <c r="O574" s="110"/>
    </row>
    <row r="575" spans="1:15" x14ac:dyDescent="0.3">
      <c r="A575" s="58" t="str">
        <f>Schedule!E573</f>
        <v>A017960</v>
      </c>
      <c r="B575" s="58" t="s">
        <v>2059</v>
      </c>
      <c r="C575" s="58" t="str">
        <f t="shared" si="24"/>
        <v>017960 KS</v>
      </c>
      <c r="D575" s="58" t="s">
        <v>3671</v>
      </c>
      <c r="E575" s="110" t="s">
        <v>3527</v>
      </c>
      <c r="F575" s="110" t="str">
        <f>IFERROR(VLOOKUP(C575,[1]evdl298!$B:$D,3,0),"")</f>
        <v/>
      </c>
      <c r="G575" s="110" t="str">
        <f>IFERROR(VLOOKUP(C575,[1]evdl298!$B:$C,2,0),"")</f>
        <v/>
      </c>
      <c r="H575" s="110" t="str">
        <f t="shared" si="25"/>
        <v/>
      </c>
      <c r="I575" s="110" t="str">
        <f t="shared" si="26"/>
        <v/>
      </c>
      <c r="J575" s="110"/>
      <c r="K575" s="110"/>
      <c r="M575" s="110"/>
      <c r="O575" s="110"/>
    </row>
    <row r="576" spans="1:15" x14ac:dyDescent="0.3">
      <c r="A576" s="58" t="str">
        <f>Schedule!E574</f>
        <v>A018000</v>
      </c>
      <c r="B576" s="58" t="s">
        <v>2060</v>
      </c>
      <c r="C576" s="58" t="str">
        <f t="shared" si="24"/>
        <v>018000 KS</v>
      </c>
      <c r="D576" s="58" t="s">
        <v>3671</v>
      </c>
      <c r="E576" s="110" t="s">
        <v>3527</v>
      </c>
      <c r="F576" s="110" t="str">
        <f>IFERROR(VLOOKUP(C576,[1]evdl298!$B:$D,3,0),"")</f>
        <v>E</v>
      </c>
      <c r="G576" s="110">
        <f>IFERROR(VLOOKUP(C576,[1]evdl298!$B:$C,2,0),"")</f>
        <v>41515</v>
      </c>
      <c r="H576" s="110" t="str">
        <f t="shared" si="25"/>
        <v>E</v>
      </c>
      <c r="I576" s="110">
        <f t="shared" si="26"/>
        <v>41515</v>
      </c>
      <c r="J576" s="110"/>
      <c r="K576" s="110"/>
      <c r="M576" s="110"/>
      <c r="O576" s="110"/>
    </row>
    <row r="577" spans="1:15" x14ac:dyDescent="0.3">
      <c r="A577" s="58" t="str">
        <f>Schedule!E575</f>
        <v>A018120</v>
      </c>
      <c r="B577" s="58" t="s">
        <v>2061</v>
      </c>
      <c r="C577" s="58" t="str">
        <f t="shared" si="24"/>
        <v>018120 KS</v>
      </c>
      <c r="D577" s="58" t="s">
        <v>3671</v>
      </c>
      <c r="E577" s="110" t="s">
        <v>3527</v>
      </c>
      <c r="F577" s="110" t="str">
        <f>IFERROR(VLOOKUP(C577,[1]evdl298!$B:$D,3,0),"")</f>
        <v>E</v>
      </c>
      <c r="G577" s="110">
        <f>IFERROR(VLOOKUP(C577,[1]evdl298!$B:$C,2,0),"")</f>
        <v>41495</v>
      </c>
      <c r="H577" s="110" t="str">
        <f t="shared" si="25"/>
        <v>E</v>
      </c>
      <c r="I577" s="110">
        <f t="shared" si="26"/>
        <v>41495</v>
      </c>
      <c r="J577" s="110"/>
      <c r="K577" s="110"/>
      <c r="M577" s="110"/>
      <c r="O577" s="110"/>
    </row>
    <row r="578" spans="1:15" x14ac:dyDescent="0.3">
      <c r="A578" s="58" t="str">
        <f>Schedule!E576</f>
        <v>A018290</v>
      </c>
      <c r="B578" s="58" t="s">
        <v>2062</v>
      </c>
      <c r="C578" s="58" t="str">
        <f t="shared" si="24"/>
        <v>018290 KS</v>
      </c>
      <c r="D578" s="58" t="s">
        <v>3671</v>
      </c>
      <c r="E578" s="110" t="s">
        <v>3527</v>
      </c>
      <c r="F578" s="110" t="str">
        <f>IFERROR(VLOOKUP(C578,[1]evdl298!$B:$D,3,0),"")</f>
        <v>E</v>
      </c>
      <c r="G578" s="110">
        <f>IFERROR(VLOOKUP(C578,[1]evdl298!$B:$C,2,0),"")</f>
        <v>41500</v>
      </c>
      <c r="H578" s="110" t="str">
        <f t="shared" si="25"/>
        <v>E</v>
      </c>
      <c r="I578" s="110">
        <f t="shared" si="26"/>
        <v>41500</v>
      </c>
      <c r="J578" s="110"/>
      <c r="K578" s="110"/>
      <c r="M578" s="110"/>
      <c r="O578" s="110"/>
    </row>
    <row r="579" spans="1:15" x14ac:dyDescent="0.3">
      <c r="A579" s="58" t="str">
        <f>Schedule!E577</f>
        <v>A018310</v>
      </c>
      <c r="B579" s="58" t="s">
        <v>2063</v>
      </c>
      <c r="C579" s="58" t="str">
        <f t="shared" si="24"/>
        <v>018310 KS</v>
      </c>
      <c r="D579" s="58" t="s">
        <v>3671</v>
      </c>
      <c r="E579" s="110" t="s">
        <v>3527</v>
      </c>
      <c r="F579" s="110" t="str">
        <f>IFERROR(VLOOKUP(C579,[1]evdl298!$B:$D,3,0),"")</f>
        <v/>
      </c>
      <c r="G579" s="110" t="str">
        <f>IFERROR(VLOOKUP(C579,[1]evdl298!$B:$C,2,0),"")</f>
        <v/>
      </c>
      <c r="H579" s="110" t="str">
        <f t="shared" si="25"/>
        <v/>
      </c>
      <c r="I579" s="110" t="str">
        <f t="shared" si="26"/>
        <v/>
      </c>
      <c r="J579" s="110"/>
      <c r="K579" s="110"/>
      <c r="M579" s="110"/>
      <c r="O579" s="110"/>
    </row>
    <row r="580" spans="1:15" x14ac:dyDescent="0.3">
      <c r="A580" s="58" t="str">
        <f>Schedule!E578</f>
        <v>A018470</v>
      </c>
      <c r="B580" s="58" t="s">
        <v>2064</v>
      </c>
      <c r="C580" s="58" t="str">
        <f t="shared" si="24"/>
        <v>018470 KS</v>
      </c>
      <c r="D580" s="58" t="s">
        <v>3671</v>
      </c>
      <c r="E580" s="110" t="s">
        <v>3527</v>
      </c>
      <c r="F580" s="110" t="str">
        <f>IFERROR(VLOOKUP(C580,[1]evdl298!$B:$D,3,0),"")</f>
        <v>E</v>
      </c>
      <c r="G580" s="110">
        <f>IFERROR(VLOOKUP(C580,[1]evdl298!$B:$C,2,0),"")</f>
        <v>41500</v>
      </c>
      <c r="H580" s="110" t="str">
        <f t="shared" si="25"/>
        <v>E</v>
      </c>
      <c r="I580" s="110">
        <f t="shared" si="26"/>
        <v>41500</v>
      </c>
      <c r="J580" s="110"/>
      <c r="K580" s="110"/>
      <c r="M580" s="110"/>
      <c r="O580" s="110"/>
    </row>
    <row r="581" spans="1:15" x14ac:dyDescent="0.3">
      <c r="A581" s="58" t="str">
        <f>Schedule!E579</f>
        <v>A018500</v>
      </c>
      <c r="B581" s="58" t="s">
        <v>2065</v>
      </c>
      <c r="C581" s="58" t="str">
        <f t="shared" si="24"/>
        <v>018500 KS</v>
      </c>
      <c r="D581" s="58" t="s">
        <v>3671</v>
      </c>
      <c r="E581" s="110" t="s">
        <v>3527</v>
      </c>
      <c r="F581" s="110" t="str">
        <f>IFERROR(VLOOKUP(C581,[1]evdl298!$B:$D,3,0),"")</f>
        <v>E</v>
      </c>
      <c r="G581" s="110">
        <f>IFERROR(VLOOKUP(C581,[1]evdl298!$B:$C,2,0),"")</f>
        <v>41500</v>
      </c>
      <c r="H581" s="110" t="str">
        <f t="shared" si="25"/>
        <v>E</v>
      </c>
      <c r="I581" s="110">
        <f t="shared" si="26"/>
        <v>41500</v>
      </c>
      <c r="J581" s="110"/>
      <c r="K581" s="110"/>
      <c r="M581" s="110"/>
      <c r="O581" s="110"/>
    </row>
    <row r="582" spans="1:15" x14ac:dyDescent="0.3">
      <c r="A582" s="58" t="str">
        <f>Schedule!E580</f>
        <v>A018620</v>
      </c>
      <c r="B582" s="58" t="s">
        <v>2066</v>
      </c>
      <c r="C582" s="58" t="str">
        <f t="shared" si="24"/>
        <v>018620 KS</v>
      </c>
      <c r="D582" s="58" t="s">
        <v>3671</v>
      </c>
      <c r="E582" s="110" t="s">
        <v>3527</v>
      </c>
      <c r="F582" s="110" t="str">
        <f>IFERROR(VLOOKUP(C582,[1]evdl298!$B:$D,3,0),"")</f>
        <v>E</v>
      </c>
      <c r="G582" s="110">
        <f>IFERROR(VLOOKUP(C582,[1]evdl298!$B:$C,2,0),"")</f>
        <v>41499</v>
      </c>
      <c r="H582" s="110" t="str">
        <f t="shared" si="25"/>
        <v>E</v>
      </c>
      <c r="I582" s="110">
        <f t="shared" si="26"/>
        <v>41499</v>
      </c>
      <c r="J582" s="110"/>
      <c r="K582" s="110"/>
      <c r="M582" s="110"/>
      <c r="O582" s="110"/>
    </row>
    <row r="583" spans="1:15" x14ac:dyDescent="0.3">
      <c r="A583" s="58" t="str">
        <f>Schedule!E581</f>
        <v>A018670</v>
      </c>
      <c r="B583" s="58" t="s">
        <v>2067</v>
      </c>
      <c r="C583" s="58" t="str">
        <f t="shared" si="24"/>
        <v>018670 KS</v>
      </c>
      <c r="D583" s="58" t="s">
        <v>3671</v>
      </c>
      <c r="E583" s="110" t="s">
        <v>3527</v>
      </c>
      <c r="F583" s="110" t="str">
        <f>IFERROR(VLOOKUP(C583,[1]evdl298!$B:$D,3,0),"")</f>
        <v/>
      </c>
      <c r="G583" s="110" t="str">
        <f>IFERROR(VLOOKUP(C583,[1]evdl298!$B:$C,2,0),"")</f>
        <v/>
      </c>
      <c r="H583" s="110" t="str">
        <f t="shared" si="25"/>
        <v/>
      </c>
      <c r="I583" s="110" t="str">
        <f t="shared" si="26"/>
        <v/>
      </c>
      <c r="J583" s="110"/>
      <c r="K583" s="110"/>
      <c r="M583" s="110"/>
      <c r="O583" s="110"/>
    </row>
    <row r="584" spans="1:15" x14ac:dyDescent="0.3">
      <c r="A584" s="58" t="str">
        <f>Schedule!E582</f>
        <v>A018680</v>
      </c>
      <c r="B584" s="58" t="s">
        <v>2068</v>
      </c>
      <c r="C584" s="58" t="str">
        <f t="shared" si="24"/>
        <v>018680 KS</v>
      </c>
      <c r="D584" s="58" t="s">
        <v>3671</v>
      </c>
      <c r="E584" s="110" t="s">
        <v>3527</v>
      </c>
      <c r="F584" s="110" t="str">
        <f>IFERROR(VLOOKUP(C584,[1]evdl298!$B:$D,3,0),"")</f>
        <v/>
      </c>
      <c r="G584" s="110" t="str">
        <f>IFERROR(VLOOKUP(C584,[1]evdl298!$B:$C,2,0),"")</f>
        <v/>
      </c>
      <c r="H584" s="110" t="str">
        <f t="shared" si="25"/>
        <v/>
      </c>
      <c r="I584" s="110" t="str">
        <f t="shared" si="26"/>
        <v/>
      </c>
      <c r="J584" s="110"/>
      <c r="K584" s="110"/>
      <c r="M584" s="110"/>
      <c r="O584" s="110"/>
    </row>
    <row r="585" spans="1:15" x14ac:dyDescent="0.3">
      <c r="A585" s="58" t="str">
        <f>Schedule!E583</f>
        <v>A018700</v>
      </c>
      <c r="B585" s="58" t="s">
        <v>2069</v>
      </c>
      <c r="C585" s="58" t="str">
        <f t="shared" si="24"/>
        <v>018700 KS</v>
      </c>
      <c r="D585" s="58" t="s">
        <v>3671</v>
      </c>
      <c r="E585" s="110" t="s">
        <v>3527</v>
      </c>
      <c r="F585" s="110" t="str">
        <f>IFERROR(VLOOKUP(C585,[1]evdl298!$B:$D,3,0),"")</f>
        <v>E</v>
      </c>
      <c r="G585" s="110">
        <f>IFERROR(VLOOKUP(C585,[1]evdl298!$B:$C,2,0),"")</f>
        <v>41500</v>
      </c>
      <c r="H585" s="110" t="str">
        <f t="shared" si="25"/>
        <v>E</v>
      </c>
      <c r="I585" s="110">
        <f t="shared" si="26"/>
        <v>41500</v>
      </c>
      <c r="J585" s="110"/>
      <c r="K585" s="110"/>
      <c r="M585" s="110"/>
      <c r="O585" s="110"/>
    </row>
    <row r="586" spans="1:15" x14ac:dyDescent="0.3">
      <c r="A586" s="58" t="str">
        <f>Schedule!E584</f>
        <v>A018880</v>
      </c>
      <c r="B586" s="58" t="s">
        <v>2070</v>
      </c>
      <c r="C586" s="58" t="str">
        <f t="shared" si="24"/>
        <v>018880 KS</v>
      </c>
      <c r="D586" s="58" t="s">
        <v>3671</v>
      </c>
      <c r="E586" s="110" t="s">
        <v>3527</v>
      </c>
      <c r="F586" s="110" t="str">
        <f>IFERROR(VLOOKUP(C586,[1]evdl298!$B:$D,3,0),"")</f>
        <v>E</v>
      </c>
      <c r="G586" s="110">
        <f>IFERROR(VLOOKUP(C586,[1]evdl298!$B:$C,2,0),"")</f>
        <v>41488</v>
      </c>
      <c r="H586" s="110" t="str">
        <f t="shared" si="25"/>
        <v>E</v>
      </c>
      <c r="I586" s="110">
        <f t="shared" si="26"/>
        <v>41488</v>
      </c>
      <c r="J586" s="110"/>
      <c r="K586" s="110"/>
      <c r="M586" s="110"/>
      <c r="O586" s="110"/>
    </row>
    <row r="587" spans="1:15" x14ac:dyDescent="0.3">
      <c r="A587" s="58" t="str">
        <f>Schedule!E585</f>
        <v>A019010</v>
      </c>
      <c r="B587" s="58" t="s">
        <v>3636</v>
      </c>
      <c r="C587" s="58" t="str">
        <f t="shared" si="24"/>
        <v>019010 KS</v>
      </c>
      <c r="D587" s="58" t="s">
        <v>3671</v>
      </c>
      <c r="E587" s="110">
        <v>41492</v>
      </c>
      <c r="F587" s="110" t="str">
        <f>IFERROR(VLOOKUP(C587,[1]evdl298!$B:$D,3,0),"")</f>
        <v/>
      </c>
      <c r="G587" s="110" t="str">
        <f>IFERROR(VLOOKUP(C587,[1]evdl298!$B:$C,2,0),"")</f>
        <v/>
      </c>
      <c r="H587" s="110" t="str">
        <f t="shared" si="25"/>
        <v/>
      </c>
      <c r="I587" s="110">
        <f t="shared" si="26"/>
        <v>41492</v>
      </c>
      <c r="J587" s="110"/>
      <c r="K587" s="110"/>
      <c r="M587" s="110"/>
      <c r="O587" s="110"/>
    </row>
    <row r="588" spans="1:15" x14ac:dyDescent="0.3">
      <c r="A588" s="58" t="str">
        <f>Schedule!E586</f>
        <v>A019170</v>
      </c>
      <c r="B588" s="58" t="s">
        <v>2071</v>
      </c>
      <c r="C588" s="58" t="str">
        <f t="shared" si="24"/>
        <v>019170 KS</v>
      </c>
      <c r="D588" s="58" t="s">
        <v>3671</v>
      </c>
      <c r="E588" s="110" t="s">
        <v>3527</v>
      </c>
      <c r="F588" s="110" t="str">
        <f>IFERROR(VLOOKUP(C588,[1]evdl298!$B:$D,3,0),"")</f>
        <v/>
      </c>
      <c r="G588" s="110" t="str">
        <f>IFERROR(VLOOKUP(C588,[1]evdl298!$B:$C,2,0),"")</f>
        <v/>
      </c>
      <c r="H588" s="110" t="str">
        <f t="shared" si="25"/>
        <v/>
      </c>
      <c r="I588" s="110" t="str">
        <f t="shared" si="26"/>
        <v/>
      </c>
      <c r="J588" s="110"/>
      <c r="K588" s="110"/>
      <c r="M588" s="110"/>
      <c r="O588" s="110"/>
    </row>
    <row r="589" spans="1:15" x14ac:dyDescent="0.3">
      <c r="A589" s="58" t="str">
        <f>Schedule!E587</f>
        <v>A019180</v>
      </c>
      <c r="B589" s="58" t="s">
        <v>2072</v>
      </c>
      <c r="C589" s="58" t="str">
        <f t="shared" si="24"/>
        <v>019180 KS</v>
      </c>
      <c r="D589" s="58" t="s">
        <v>3671</v>
      </c>
      <c r="E589" s="110" t="s">
        <v>3527</v>
      </c>
      <c r="F589" s="110" t="str">
        <f>IFERROR(VLOOKUP(C589,[1]evdl298!$B:$D,3,0),"")</f>
        <v/>
      </c>
      <c r="G589" s="110" t="str">
        <f>IFERROR(VLOOKUP(C589,[1]evdl298!$B:$C,2,0),"")</f>
        <v/>
      </c>
      <c r="H589" s="110" t="str">
        <f t="shared" si="25"/>
        <v/>
      </c>
      <c r="I589" s="110" t="str">
        <f t="shared" si="26"/>
        <v/>
      </c>
      <c r="J589" s="110"/>
      <c r="K589" s="110"/>
      <c r="M589" s="110"/>
      <c r="O589" s="110"/>
    </row>
    <row r="590" spans="1:15" x14ac:dyDescent="0.3">
      <c r="A590" s="58" t="str">
        <f>Schedule!E588</f>
        <v>A019210</v>
      </c>
      <c r="B590" s="58" t="s">
        <v>2073</v>
      </c>
      <c r="C590" s="58" t="str">
        <f t="shared" si="24"/>
        <v>019210 KS</v>
      </c>
      <c r="D590" s="58" t="s">
        <v>3671</v>
      </c>
      <c r="E590" s="110" t="s">
        <v>3527</v>
      </c>
      <c r="F590" s="110" t="str">
        <f>IFERROR(VLOOKUP(C590,[1]evdl298!$B:$D,3,0),"")</f>
        <v>E</v>
      </c>
      <c r="G590" s="110">
        <f>IFERROR(VLOOKUP(C590,[1]evdl298!$B:$C,2,0),"")</f>
        <v>41515</v>
      </c>
      <c r="H590" s="110" t="str">
        <f t="shared" si="25"/>
        <v>E</v>
      </c>
      <c r="I590" s="110">
        <f t="shared" si="26"/>
        <v>41515</v>
      </c>
      <c r="J590" s="110"/>
      <c r="K590" s="110"/>
      <c r="M590" s="110"/>
      <c r="O590" s="110"/>
    </row>
    <row r="591" spans="1:15" x14ac:dyDescent="0.3">
      <c r="A591" s="58" t="str">
        <f>Schedule!E589</f>
        <v>A019300</v>
      </c>
      <c r="B591" s="58" t="s">
        <v>2074</v>
      </c>
      <c r="C591" s="58" t="str">
        <f t="shared" si="24"/>
        <v>019300 KS</v>
      </c>
      <c r="D591" s="58" t="s">
        <v>3671</v>
      </c>
      <c r="E591" s="110" t="s">
        <v>3527</v>
      </c>
      <c r="F591" s="110" t="str">
        <f>IFERROR(VLOOKUP(C591,[1]evdl298!$B:$D,3,0),"")</f>
        <v/>
      </c>
      <c r="G591" s="110" t="str">
        <f>IFERROR(VLOOKUP(C591,[1]evdl298!$B:$C,2,0),"")</f>
        <v/>
      </c>
      <c r="H591" s="110" t="str">
        <f t="shared" si="25"/>
        <v/>
      </c>
      <c r="I591" s="110" t="str">
        <f t="shared" si="26"/>
        <v/>
      </c>
      <c r="J591" s="110"/>
      <c r="K591" s="110"/>
      <c r="M591" s="110"/>
      <c r="O591" s="110"/>
    </row>
    <row r="592" spans="1:15" x14ac:dyDescent="0.3">
      <c r="A592" s="58" t="str">
        <f>Schedule!E590</f>
        <v>A019440</v>
      </c>
      <c r="B592" s="58" t="s">
        <v>2075</v>
      </c>
      <c r="C592" s="58" t="str">
        <f t="shared" si="24"/>
        <v>019440 KS</v>
      </c>
      <c r="D592" s="58" t="s">
        <v>3671</v>
      </c>
      <c r="E592" s="110" t="s">
        <v>3527</v>
      </c>
      <c r="F592" s="110" t="str">
        <f>IFERROR(VLOOKUP(C592,[1]evdl298!$B:$D,3,0),"")</f>
        <v/>
      </c>
      <c r="G592" s="110" t="str">
        <f>IFERROR(VLOOKUP(C592,[1]evdl298!$B:$C,2,0),"")</f>
        <v/>
      </c>
      <c r="H592" s="110" t="str">
        <f t="shared" si="25"/>
        <v/>
      </c>
      <c r="I592" s="110" t="str">
        <f t="shared" si="26"/>
        <v/>
      </c>
      <c r="J592" s="110"/>
      <c r="K592" s="110"/>
      <c r="M592" s="110"/>
      <c r="O592" s="110"/>
    </row>
    <row r="593" spans="1:15" x14ac:dyDescent="0.3">
      <c r="A593" s="58" t="str">
        <f>Schedule!E591</f>
        <v>A019490</v>
      </c>
      <c r="B593" s="58" t="s">
        <v>3339</v>
      </c>
      <c r="C593" s="58" t="str">
        <f t="shared" ref="C593:C656" si="27">RIGHT(A593,6)&amp;" KS"</f>
        <v>019490 KS</v>
      </c>
      <c r="D593" s="58" t="s">
        <v>3671</v>
      </c>
      <c r="E593" s="110" t="s">
        <v>3527</v>
      </c>
      <c r="F593" s="110" t="str">
        <f>IFERROR(VLOOKUP(C593,[1]evdl298!$B:$D,3,0),"")</f>
        <v/>
      </c>
      <c r="G593" s="110" t="str">
        <f>IFERROR(VLOOKUP(C593,[1]evdl298!$B:$C,2,0),"")</f>
        <v/>
      </c>
      <c r="H593" s="110" t="str">
        <f t="shared" ref="H593:H656" si="28">F593</f>
        <v/>
      </c>
      <c r="I593" s="110" t="str">
        <f t="shared" ref="I593:I656" si="29">IF(ISNUMBER(G593),G593,E593)</f>
        <v/>
      </c>
      <c r="J593" s="110"/>
      <c r="K593" s="110"/>
      <c r="M593" s="110"/>
      <c r="O593" s="110"/>
    </row>
    <row r="594" spans="1:15" x14ac:dyDescent="0.3">
      <c r="A594" s="58" t="str">
        <f>Schedule!E592</f>
        <v>A019540</v>
      </c>
      <c r="B594" s="58" t="s">
        <v>2076</v>
      </c>
      <c r="C594" s="58" t="str">
        <f t="shared" si="27"/>
        <v>019540 KS</v>
      </c>
      <c r="D594" s="58" t="s">
        <v>3671</v>
      </c>
      <c r="E594" s="110" t="s">
        <v>3527</v>
      </c>
      <c r="F594" s="110" t="str">
        <f>IFERROR(VLOOKUP(C594,[1]evdl298!$B:$D,3,0),"")</f>
        <v/>
      </c>
      <c r="G594" s="110" t="str">
        <f>IFERROR(VLOOKUP(C594,[1]evdl298!$B:$C,2,0),"")</f>
        <v/>
      </c>
      <c r="H594" s="110" t="str">
        <f t="shared" si="28"/>
        <v/>
      </c>
      <c r="I594" s="110" t="str">
        <f t="shared" si="29"/>
        <v/>
      </c>
      <c r="J594" s="110"/>
      <c r="K594" s="110"/>
      <c r="M594" s="110"/>
      <c r="O594" s="110"/>
    </row>
    <row r="595" spans="1:15" x14ac:dyDescent="0.3">
      <c r="A595" s="58" t="str">
        <f>Schedule!E593</f>
        <v>A019550</v>
      </c>
      <c r="B595" s="58" t="s">
        <v>2077</v>
      </c>
      <c r="C595" s="58" t="str">
        <f t="shared" si="27"/>
        <v>019550 KS</v>
      </c>
      <c r="D595" s="58" t="s">
        <v>3671</v>
      </c>
      <c r="E595" s="110" t="s">
        <v>3527</v>
      </c>
      <c r="F595" s="110" t="str">
        <f>IFERROR(VLOOKUP(C595,[1]evdl298!$B:$D,3,0),"")</f>
        <v>E</v>
      </c>
      <c r="G595" s="110">
        <f>IFERROR(VLOOKUP(C595,[1]evdl298!$B:$C,2,0),"")</f>
        <v>41500</v>
      </c>
      <c r="H595" s="110" t="str">
        <f t="shared" si="28"/>
        <v>E</v>
      </c>
      <c r="I595" s="110">
        <f t="shared" si="29"/>
        <v>41500</v>
      </c>
      <c r="J595" s="110"/>
      <c r="K595" s="110"/>
      <c r="M595" s="110"/>
      <c r="O595" s="110"/>
    </row>
    <row r="596" spans="1:15" x14ac:dyDescent="0.3">
      <c r="A596" s="58" t="str">
        <f>Schedule!E594</f>
        <v>A019570</v>
      </c>
      <c r="B596" s="58" t="s">
        <v>2078</v>
      </c>
      <c r="C596" s="58" t="str">
        <f t="shared" si="27"/>
        <v>019570 KS</v>
      </c>
      <c r="D596" s="58" t="s">
        <v>3671</v>
      </c>
      <c r="E596" s="110" t="s">
        <v>3527</v>
      </c>
      <c r="F596" s="110" t="str">
        <f>IFERROR(VLOOKUP(C596,[1]evdl298!$B:$D,3,0),"")</f>
        <v>E</v>
      </c>
      <c r="G596" s="110">
        <f>IFERROR(VLOOKUP(C596,[1]evdl298!$B:$C,2,0),"")</f>
        <v>41499</v>
      </c>
      <c r="H596" s="110" t="str">
        <f t="shared" si="28"/>
        <v>E</v>
      </c>
      <c r="I596" s="110">
        <f t="shared" si="29"/>
        <v>41499</v>
      </c>
      <c r="J596" s="110"/>
      <c r="K596" s="110"/>
      <c r="M596" s="110"/>
      <c r="O596" s="110"/>
    </row>
    <row r="597" spans="1:15" x14ac:dyDescent="0.3">
      <c r="A597" s="58" t="str">
        <f>Schedule!E595</f>
        <v>A019590</v>
      </c>
      <c r="B597" s="58" t="s">
        <v>2079</v>
      </c>
      <c r="C597" s="58" t="str">
        <f t="shared" si="27"/>
        <v>019590 KS</v>
      </c>
      <c r="D597" s="58" t="s">
        <v>3671</v>
      </c>
      <c r="E597" s="110" t="s">
        <v>3527</v>
      </c>
      <c r="F597" s="110" t="str">
        <f>IFERROR(VLOOKUP(C597,[1]evdl298!$B:$D,3,0),"")</f>
        <v>E</v>
      </c>
      <c r="G597" s="110">
        <f>IFERROR(VLOOKUP(C597,[1]evdl298!$B:$C,2,0),"")</f>
        <v>41515</v>
      </c>
      <c r="H597" s="110" t="str">
        <f t="shared" si="28"/>
        <v>E</v>
      </c>
      <c r="I597" s="110">
        <f t="shared" si="29"/>
        <v>41515</v>
      </c>
      <c r="J597" s="110"/>
      <c r="K597" s="110"/>
      <c r="M597" s="110"/>
      <c r="O597" s="110"/>
    </row>
    <row r="598" spans="1:15" x14ac:dyDescent="0.3">
      <c r="A598" s="58" t="str">
        <f>Schedule!E596</f>
        <v>A019660</v>
      </c>
      <c r="B598" s="58" t="s">
        <v>2080</v>
      </c>
      <c r="C598" s="58" t="str">
        <f t="shared" si="27"/>
        <v>019660 KS</v>
      </c>
      <c r="D598" s="58" t="s">
        <v>3671</v>
      </c>
      <c r="E598" s="110" t="s">
        <v>3527</v>
      </c>
      <c r="F598" s="110" t="str">
        <f>IFERROR(VLOOKUP(C598,[1]evdl298!$B:$D,3,0),"")</f>
        <v>E</v>
      </c>
      <c r="G598" s="110">
        <f>IFERROR(VLOOKUP(C598,[1]evdl298!$B:$C,2,0),"")</f>
        <v>41495</v>
      </c>
      <c r="H598" s="110" t="str">
        <f t="shared" si="28"/>
        <v>E</v>
      </c>
      <c r="I598" s="110">
        <f t="shared" si="29"/>
        <v>41495</v>
      </c>
      <c r="J598" s="110"/>
      <c r="K598" s="110"/>
      <c r="M598" s="110"/>
      <c r="O598" s="110"/>
    </row>
    <row r="599" spans="1:15" x14ac:dyDescent="0.3">
      <c r="A599" s="58" t="str">
        <f>Schedule!E597</f>
        <v>A019680</v>
      </c>
      <c r="B599" s="58" t="s">
        <v>2081</v>
      </c>
      <c r="C599" s="58" t="str">
        <f t="shared" si="27"/>
        <v>019680 KS</v>
      </c>
      <c r="D599" s="58" t="s">
        <v>3671</v>
      </c>
      <c r="E599" s="110" t="s">
        <v>3527</v>
      </c>
      <c r="F599" s="110" t="str">
        <f>IFERROR(VLOOKUP(C599,[1]evdl298!$B:$D,3,0),"")</f>
        <v>E</v>
      </c>
      <c r="G599" s="110">
        <f>IFERROR(VLOOKUP(C599,[1]evdl298!$B:$C,2,0),"")</f>
        <v>41481</v>
      </c>
      <c r="H599" s="110" t="str">
        <f t="shared" si="28"/>
        <v>E</v>
      </c>
      <c r="I599" s="110">
        <f t="shared" si="29"/>
        <v>41481</v>
      </c>
      <c r="J599" s="110"/>
      <c r="K599" s="110"/>
      <c r="M599" s="110"/>
      <c r="O599" s="110"/>
    </row>
    <row r="600" spans="1:15" x14ac:dyDescent="0.3">
      <c r="A600" s="58" t="str">
        <f>Schedule!E598</f>
        <v>A019770</v>
      </c>
      <c r="B600" s="58" t="s">
        <v>2082</v>
      </c>
      <c r="C600" s="58" t="str">
        <f t="shared" si="27"/>
        <v>019770 KS</v>
      </c>
      <c r="D600" s="58" t="s">
        <v>3671</v>
      </c>
      <c r="E600" s="110" t="s">
        <v>3527</v>
      </c>
      <c r="F600" s="110" t="str">
        <f>IFERROR(VLOOKUP(C600,[1]evdl298!$B:$D,3,0),"")</f>
        <v>E</v>
      </c>
      <c r="G600" s="110">
        <f>IFERROR(VLOOKUP(C600,[1]evdl298!$B:$C,2,0),"")</f>
        <v>41474</v>
      </c>
      <c r="H600" s="110" t="str">
        <f t="shared" si="28"/>
        <v>E</v>
      </c>
      <c r="I600" s="110">
        <f t="shared" si="29"/>
        <v>41474</v>
      </c>
      <c r="J600" s="110"/>
      <c r="K600" s="110"/>
      <c r="M600" s="110"/>
      <c r="O600" s="110"/>
    </row>
    <row r="601" spans="1:15" x14ac:dyDescent="0.3">
      <c r="A601" s="58" t="str">
        <f>Schedule!E599</f>
        <v>A019990</v>
      </c>
      <c r="B601" s="58" t="s">
        <v>3340</v>
      </c>
      <c r="C601" s="58" t="str">
        <f t="shared" si="27"/>
        <v>019990 KS</v>
      </c>
      <c r="D601" s="58" t="s">
        <v>3671</v>
      </c>
      <c r="E601" s="110" t="s">
        <v>3527</v>
      </c>
      <c r="F601" s="110" t="str">
        <f>IFERROR(VLOOKUP(C601,[1]evdl298!$B:$D,3,0),"")</f>
        <v>E</v>
      </c>
      <c r="G601" s="110">
        <f>IFERROR(VLOOKUP(C601,[1]evdl298!$B:$C,2,0),"")</f>
        <v>41500</v>
      </c>
      <c r="H601" s="110" t="str">
        <f t="shared" si="28"/>
        <v>E</v>
      </c>
      <c r="I601" s="110">
        <f t="shared" si="29"/>
        <v>41500</v>
      </c>
      <c r="J601" s="110"/>
      <c r="K601" s="110"/>
      <c r="M601" s="110"/>
      <c r="O601" s="110"/>
    </row>
    <row r="602" spans="1:15" x14ac:dyDescent="0.3">
      <c r="A602" s="58" t="str">
        <f>Schedule!E600</f>
        <v>A020000</v>
      </c>
      <c r="B602" s="58" t="s">
        <v>2083</v>
      </c>
      <c r="C602" s="58" t="str">
        <f t="shared" si="27"/>
        <v>020000 KS</v>
      </c>
      <c r="D602" s="58" t="s">
        <v>3671</v>
      </c>
      <c r="E602" s="110" t="s">
        <v>3527</v>
      </c>
      <c r="F602" s="110" t="str">
        <f>IFERROR(VLOOKUP(C602,[1]evdl298!$B:$D,3,0),"")</f>
        <v/>
      </c>
      <c r="G602" s="110" t="str">
        <f>IFERROR(VLOOKUP(C602,[1]evdl298!$B:$C,2,0),"")</f>
        <v/>
      </c>
      <c r="H602" s="110" t="str">
        <f t="shared" si="28"/>
        <v/>
      </c>
      <c r="I602" s="110" t="str">
        <f t="shared" si="29"/>
        <v/>
      </c>
      <c r="J602" s="110"/>
      <c r="K602" s="110"/>
      <c r="M602" s="110"/>
      <c r="O602" s="110"/>
    </row>
    <row r="603" spans="1:15" x14ac:dyDescent="0.3">
      <c r="A603" s="58" t="str">
        <f>Schedule!E601</f>
        <v>A020120</v>
      </c>
      <c r="B603" s="58" t="s">
        <v>2084</v>
      </c>
      <c r="C603" s="58" t="str">
        <f t="shared" si="27"/>
        <v>020120 KS</v>
      </c>
      <c r="D603" s="58" t="s">
        <v>3671</v>
      </c>
      <c r="E603" s="110" t="s">
        <v>3527</v>
      </c>
      <c r="F603" s="110" t="str">
        <f>IFERROR(VLOOKUP(C603,[1]evdl298!$B:$D,3,0),"")</f>
        <v>E</v>
      </c>
      <c r="G603" s="110">
        <f>IFERROR(VLOOKUP(C603,[1]evdl298!$B:$C,2,0),"")</f>
        <v>41500</v>
      </c>
      <c r="H603" s="110" t="str">
        <f t="shared" si="28"/>
        <v>E</v>
      </c>
      <c r="I603" s="110">
        <f t="shared" si="29"/>
        <v>41500</v>
      </c>
      <c r="J603" s="110"/>
      <c r="K603" s="110"/>
      <c r="M603" s="110"/>
      <c r="O603" s="110"/>
    </row>
    <row r="604" spans="1:15" x14ac:dyDescent="0.3">
      <c r="A604" s="58" t="str">
        <f>Schedule!E602</f>
        <v>A020150</v>
      </c>
      <c r="B604" s="58" t="s">
        <v>2085</v>
      </c>
      <c r="C604" s="58" t="str">
        <f t="shared" si="27"/>
        <v>020150 KS</v>
      </c>
      <c r="D604" s="58" t="s">
        <v>3671</v>
      </c>
      <c r="E604" s="110" t="s">
        <v>3527</v>
      </c>
      <c r="F604" s="110" t="str">
        <f>IFERROR(VLOOKUP(C604,[1]evdl298!$B:$D,3,0),"")</f>
        <v>E</v>
      </c>
      <c r="G604" s="110">
        <f>IFERROR(VLOOKUP(C604,[1]evdl298!$B:$C,2,0),"")</f>
        <v>41515</v>
      </c>
      <c r="H604" s="110" t="str">
        <f t="shared" si="28"/>
        <v>E</v>
      </c>
      <c r="I604" s="110">
        <f t="shared" si="29"/>
        <v>41515</v>
      </c>
      <c r="J604" s="110"/>
      <c r="K604" s="110"/>
      <c r="M604" s="110"/>
      <c r="O604" s="110"/>
    </row>
    <row r="605" spans="1:15" x14ac:dyDescent="0.3">
      <c r="A605" s="58" t="str">
        <f>Schedule!E603</f>
        <v>A020180</v>
      </c>
      <c r="B605" s="58" t="s">
        <v>3341</v>
      </c>
      <c r="C605" s="58" t="str">
        <f t="shared" si="27"/>
        <v>020180 KS</v>
      </c>
      <c r="D605" s="58" t="s">
        <v>3671</v>
      </c>
      <c r="E605" s="110" t="s">
        <v>3685</v>
      </c>
      <c r="F605" s="110" t="str">
        <f>IFERROR(VLOOKUP(C605,[1]evdl298!$B:$D,3,0),"")</f>
        <v>E</v>
      </c>
      <c r="G605" s="110">
        <f>IFERROR(VLOOKUP(C605,[1]evdl298!$B:$C,2,0),"")</f>
        <v>41500</v>
      </c>
      <c r="H605" s="110" t="str">
        <f t="shared" si="28"/>
        <v>E</v>
      </c>
      <c r="I605" s="110">
        <f t="shared" si="29"/>
        <v>41500</v>
      </c>
      <c r="J605" s="110"/>
      <c r="K605" s="110"/>
      <c r="M605" s="110"/>
      <c r="O605" s="110"/>
    </row>
    <row r="606" spans="1:15" x14ac:dyDescent="0.3">
      <c r="A606" s="58" t="str">
        <f>Schedule!E604</f>
        <v>A020400</v>
      </c>
      <c r="B606" s="58" t="s">
        <v>2086</v>
      </c>
      <c r="C606" s="58" t="str">
        <f t="shared" si="27"/>
        <v>020400 KS</v>
      </c>
      <c r="D606" s="58" t="s">
        <v>3671</v>
      </c>
      <c r="E606" s="110" t="s">
        <v>3527</v>
      </c>
      <c r="F606" s="110" t="str">
        <f>IFERROR(VLOOKUP(C606,[1]evdl298!$B:$D,3,0),"")</f>
        <v>E</v>
      </c>
      <c r="G606" s="110">
        <f>IFERROR(VLOOKUP(C606,[1]evdl298!$B:$C,2,0),"")</f>
        <v>41460</v>
      </c>
      <c r="H606" s="110" t="str">
        <f t="shared" si="28"/>
        <v>E</v>
      </c>
      <c r="I606" s="110">
        <f t="shared" si="29"/>
        <v>41460</v>
      </c>
      <c r="J606" s="110"/>
      <c r="K606" s="110"/>
      <c r="M606" s="110"/>
      <c r="O606" s="110"/>
    </row>
    <row r="607" spans="1:15" x14ac:dyDescent="0.3">
      <c r="A607" s="58" t="str">
        <f>Schedule!E605</f>
        <v>A020560</v>
      </c>
      <c r="B607" s="58" t="s">
        <v>2087</v>
      </c>
      <c r="C607" s="58" t="str">
        <f t="shared" si="27"/>
        <v>020560 KS</v>
      </c>
      <c r="D607" s="58" t="s">
        <v>3671</v>
      </c>
      <c r="E607" s="110" t="s">
        <v>3527</v>
      </c>
      <c r="F607" s="110" t="str">
        <f>IFERROR(VLOOKUP(C607,[1]evdl298!$B:$D,3,0),"")</f>
        <v>E</v>
      </c>
      <c r="G607" s="110">
        <f>IFERROR(VLOOKUP(C607,[1]evdl298!$B:$C,2,0),"")</f>
        <v>41500</v>
      </c>
      <c r="H607" s="110" t="str">
        <f t="shared" si="28"/>
        <v>E</v>
      </c>
      <c r="I607" s="110">
        <f t="shared" si="29"/>
        <v>41500</v>
      </c>
      <c r="J607" s="110"/>
      <c r="K607" s="110"/>
      <c r="M607" s="110"/>
      <c r="O607" s="110"/>
    </row>
    <row r="608" spans="1:15" x14ac:dyDescent="0.3">
      <c r="A608" s="58" t="str">
        <f>Schedule!E606</f>
        <v>A020710</v>
      </c>
      <c r="B608" s="58" t="s">
        <v>2088</v>
      </c>
      <c r="C608" s="58" t="str">
        <f t="shared" si="27"/>
        <v>020710 KS</v>
      </c>
      <c r="D608" s="58" t="s">
        <v>3671</v>
      </c>
      <c r="E608" s="110" t="s">
        <v>3683</v>
      </c>
      <c r="F608" s="110" t="str">
        <f>IFERROR(VLOOKUP(C608,[1]evdl298!$B:$D,3,0),"")</f>
        <v>E</v>
      </c>
      <c r="G608" s="110">
        <f>IFERROR(VLOOKUP(C608,[1]evdl298!$B:$C,2,0),"")</f>
        <v>41515</v>
      </c>
      <c r="H608" s="110" t="str">
        <f t="shared" si="28"/>
        <v>E</v>
      </c>
      <c r="I608" s="110">
        <f t="shared" si="29"/>
        <v>41515</v>
      </c>
      <c r="J608" s="110"/>
      <c r="K608" s="110"/>
      <c r="M608" s="110"/>
      <c r="O608" s="110"/>
    </row>
    <row r="609" spans="1:15" x14ac:dyDescent="0.3">
      <c r="A609" s="58" t="str">
        <f>Schedule!E607</f>
        <v>A020760</v>
      </c>
      <c r="B609" s="58" t="s">
        <v>2089</v>
      </c>
      <c r="C609" s="58" t="str">
        <f t="shared" si="27"/>
        <v>020760 KS</v>
      </c>
      <c r="D609" s="58" t="s">
        <v>3671</v>
      </c>
      <c r="E609" s="110" t="s">
        <v>3527</v>
      </c>
      <c r="F609" s="110" t="str">
        <f>IFERROR(VLOOKUP(C609,[1]evdl298!$B:$D,3,0),"")</f>
        <v>E</v>
      </c>
      <c r="G609" s="110">
        <f>IFERROR(VLOOKUP(C609,[1]evdl298!$B:$C,2,0),"")</f>
        <v>41479</v>
      </c>
      <c r="H609" s="110" t="str">
        <f t="shared" si="28"/>
        <v>E</v>
      </c>
      <c r="I609" s="110">
        <f t="shared" si="29"/>
        <v>41479</v>
      </c>
      <c r="J609" s="110"/>
      <c r="K609" s="110"/>
      <c r="M609" s="110"/>
      <c r="O609" s="110"/>
    </row>
    <row r="610" spans="1:15" x14ac:dyDescent="0.3">
      <c r="A610" s="58" t="str">
        <f>Schedule!E608</f>
        <v>A021040</v>
      </c>
      <c r="B610" s="58" t="s">
        <v>2090</v>
      </c>
      <c r="C610" s="58" t="str">
        <f t="shared" si="27"/>
        <v>021040 KS</v>
      </c>
      <c r="D610" s="58" t="s">
        <v>3671</v>
      </c>
      <c r="E610" s="110" t="s">
        <v>3527</v>
      </c>
      <c r="F610" s="110" t="str">
        <f>IFERROR(VLOOKUP(C610,[1]evdl298!$B:$D,3,0),"")</f>
        <v>E</v>
      </c>
      <c r="G610" s="110">
        <f>IFERROR(VLOOKUP(C610,[1]evdl298!$B:$C,2,0),"")</f>
        <v>41460</v>
      </c>
      <c r="H610" s="110" t="str">
        <f t="shared" si="28"/>
        <v>E</v>
      </c>
      <c r="I610" s="110">
        <f t="shared" si="29"/>
        <v>41460</v>
      </c>
      <c r="J610" s="110"/>
      <c r="K610" s="110"/>
      <c r="M610" s="110"/>
      <c r="O610" s="110"/>
    </row>
    <row r="611" spans="1:15" x14ac:dyDescent="0.3">
      <c r="A611" s="58" t="str">
        <f>Schedule!E609</f>
        <v>A021050</v>
      </c>
      <c r="B611" s="58" t="s">
        <v>2091</v>
      </c>
      <c r="C611" s="58" t="str">
        <f t="shared" si="27"/>
        <v>021050 KS</v>
      </c>
      <c r="D611" s="58" t="s">
        <v>3671</v>
      </c>
      <c r="E611" s="110" t="s">
        <v>3527</v>
      </c>
      <c r="F611" s="110" t="str">
        <f>IFERROR(VLOOKUP(C611,[1]evdl298!$B:$D,3,0),"")</f>
        <v>E</v>
      </c>
      <c r="G611" s="110">
        <f>IFERROR(VLOOKUP(C611,[1]evdl298!$B:$C,2,0),"")</f>
        <v>41515</v>
      </c>
      <c r="H611" s="110" t="str">
        <f t="shared" si="28"/>
        <v>E</v>
      </c>
      <c r="I611" s="110">
        <f t="shared" si="29"/>
        <v>41515</v>
      </c>
      <c r="J611" s="110"/>
      <c r="K611" s="110"/>
      <c r="M611" s="110"/>
      <c r="O611" s="110"/>
    </row>
    <row r="612" spans="1:15" x14ac:dyDescent="0.3">
      <c r="A612" s="58" t="str">
        <f>Schedule!E610</f>
        <v>A021080</v>
      </c>
      <c r="B612" s="58" t="s">
        <v>2092</v>
      </c>
      <c r="C612" s="58" t="str">
        <f t="shared" si="27"/>
        <v>021080 KS</v>
      </c>
      <c r="D612" s="58" t="s">
        <v>3671</v>
      </c>
      <c r="E612" s="110" t="s">
        <v>3527</v>
      </c>
      <c r="F612" s="110" t="str">
        <f>IFERROR(VLOOKUP(C612,[1]evdl298!$B:$D,3,0),"")</f>
        <v>E</v>
      </c>
      <c r="G612" s="110">
        <f>IFERROR(VLOOKUP(C612,[1]evdl298!$B:$C,2,0),"")</f>
        <v>41500</v>
      </c>
      <c r="H612" s="110" t="str">
        <f t="shared" si="28"/>
        <v>E</v>
      </c>
      <c r="I612" s="110">
        <f t="shared" si="29"/>
        <v>41500</v>
      </c>
      <c r="J612" s="110"/>
      <c r="K612" s="110"/>
      <c r="M612" s="110"/>
      <c r="O612" s="110"/>
    </row>
    <row r="613" spans="1:15" x14ac:dyDescent="0.3">
      <c r="A613" s="58" t="str">
        <f>Schedule!E611</f>
        <v>A021240</v>
      </c>
      <c r="B613" s="58" t="s">
        <v>2093</v>
      </c>
      <c r="C613" s="58" t="str">
        <f t="shared" si="27"/>
        <v>021240 KS</v>
      </c>
      <c r="D613" s="58" t="s">
        <v>3671</v>
      </c>
      <c r="E613" s="110" t="s">
        <v>3527</v>
      </c>
      <c r="F613" s="110" t="str">
        <f>IFERROR(VLOOKUP(C613,[1]evdl298!$B:$D,3,0),"")</f>
        <v>E</v>
      </c>
      <c r="G613" s="110">
        <f>IFERROR(VLOOKUP(C613,[1]evdl298!$B:$C,2,0),"")</f>
        <v>41495</v>
      </c>
      <c r="H613" s="110" t="str">
        <f t="shared" si="28"/>
        <v>E</v>
      </c>
      <c r="I613" s="110">
        <f t="shared" si="29"/>
        <v>41495</v>
      </c>
      <c r="J613" s="110"/>
      <c r="K613" s="110"/>
      <c r="M613" s="110"/>
      <c r="O613" s="110"/>
    </row>
    <row r="614" spans="1:15" x14ac:dyDescent="0.3">
      <c r="A614" s="58" t="str">
        <f>Schedule!E612</f>
        <v>A021320</v>
      </c>
      <c r="B614" s="58" t="s">
        <v>3551</v>
      </c>
      <c r="C614" s="58" t="str">
        <f t="shared" si="27"/>
        <v>021320 KS</v>
      </c>
      <c r="D614" s="58" t="s">
        <v>3671</v>
      </c>
      <c r="E614" s="110" t="s">
        <v>3527</v>
      </c>
      <c r="F614" s="110" t="str">
        <f>IFERROR(VLOOKUP(C614,[1]evdl298!$B:$D,3,0),"")</f>
        <v/>
      </c>
      <c r="G614" s="110" t="str">
        <f>IFERROR(VLOOKUP(C614,[1]evdl298!$B:$C,2,0),"")</f>
        <v/>
      </c>
      <c r="H614" s="110" t="str">
        <f t="shared" si="28"/>
        <v/>
      </c>
      <c r="I614" s="110" t="str">
        <f t="shared" si="29"/>
        <v/>
      </c>
      <c r="J614" s="110"/>
      <c r="K614" s="110"/>
      <c r="M614" s="110"/>
      <c r="O614" s="110"/>
    </row>
    <row r="615" spans="1:15" x14ac:dyDescent="0.3">
      <c r="A615" s="58" t="str">
        <f>Schedule!E613</f>
        <v>A021650</v>
      </c>
      <c r="B615" s="58" t="s">
        <v>2094</v>
      </c>
      <c r="C615" s="58" t="str">
        <f t="shared" si="27"/>
        <v>021650 KS</v>
      </c>
      <c r="D615" s="58" t="s">
        <v>3671</v>
      </c>
      <c r="E615" s="110" t="s">
        <v>3527</v>
      </c>
      <c r="F615" s="110" t="str">
        <f>IFERROR(VLOOKUP(C615,[1]evdl298!$B:$D,3,0),"")</f>
        <v>E</v>
      </c>
      <c r="G615" s="110">
        <f>IFERROR(VLOOKUP(C615,[1]evdl298!$B:$C,2,0),"")</f>
        <v>41499</v>
      </c>
      <c r="H615" s="110" t="str">
        <f t="shared" si="28"/>
        <v>E</v>
      </c>
      <c r="I615" s="110">
        <f t="shared" si="29"/>
        <v>41499</v>
      </c>
      <c r="J615" s="110"/>
      <c r="K615" s="110"/>
      <c r="M615" s="110"/>
      <c r="O615" s="110"/>
    </row>
    <row r="616" spans="1:15" x14ac:dyDescent="0.3">
      <c r="A616" s="58" t="str">
        <f>Schedule!E614</f>
        <v>A021820</v>
      </c>
      <c r="B616" s="58" t="s">
        <v>2095</v>
      </c>
      <c r="C616" s="58" t="str">
        <f t="shared" si="27"/>
        <v>021820 KS</v>
      </c>
      <c r="D616" s="58" t="s">
        <v>3671</v>
      </c>
      <c r="E616" s="110" t="s">
        <v>3527</v>
      </c>
      <c r="F616" s="110" t="str">
        <f>IFERROR(VLOOKUP(C616,[1]evdl298!$B:$D,3,0),"")</f>
        <v/>
      </c>
      <c r="G616" s="110" t="str">
        <f>IFERROR(VLOOKUP(C616,[1]evdl298!$B:$C,2,0),"")</f>
        <v/>
      </c>
      <c r="H616" s="110" t="str">
        <f t="shared" si="28"/>
        <v/>
      </c>
      <c r="I616" s="110" t="str">
        <f t="shared" si="29"/>
        <v/>
      </c>
      <c r="J616" s="110"/>
      <c r="K616" s="110"/>
      <c r="M616" s="110"/>
      <c r="O616" s="110"/>
    </row>
    <row r="617" spans="1:15" x14ac:dyDescent="0.3">
      <c r="A617" s="58" t="str">
        <f>Schedule!E615</f>
        <v>A021880</v>
      </c>
      <c r="B617" s="58" t="s">
        <v>2096</v>
      </c>
      <c r="C617" s="58" t="str">
        <f t="shared" si="27"/>
        <v>021880 KS</v>
      </c>
      <c r="D617" s="58" t="s">
        <v>3671</v>
      </c>
      <c r="E617" s="110" t="s">
        <v>3527</v>
      </c>
      <c r="F617" s="110" t="str">
        <f>IFERROR(VLOOKUP(C617,[1]evdl298!$B:$D,3,0),"")</f>
        <v>E</v>
      </c>
      <c r="G617" s="110">
        <f>IFERROR(VLOOKUP(C617,[1]evdl298!$B:$C,2,0),"")</f>
        <v>41500</v>
      </c>
      <c r="H617" s="110" t="str">
        <f t="shared" si="28"/>
        <v>E</v>
      </c>
      <c r="I617" s="110">
        <f t="shared" si="29"/>
        <v>41500</v>
      </c>
      <c r="J617" s="110"/>
      <c r="K617" s="110"/>
      <c r="M617" s="110"/>
      <c r="O617" s="110"/>
    </row>
    <row r="618" spans="1:15" x14ac:dyDescent="0.3">
      <c r="A618" s="58" t="str">
        <f>Schedule!E616</f>
        <v>A021960</v>
      </c>
      <c r="B618" s="58" t="s">
        <v>2097</v>
      </c>
      <c r="C618" s="58" t="str">
        <f t="shared" si="27"/>
        <v>021960 KS</v>
      </c>
      <c r="D618" s="58" t="s">
        <v>3671</v>
      </c>
      <c r="E618" s="110" t="s">
        <v>3527</v>
      </c>
      <c r="F618" s="110" t="str">
        <f>IFERROR(VLOOKUP(C618,[1]evdl298!$B:$D,3,0),"")</f>
        <v>E</v>
      </c>
      <c r="G618" s="110">
        <f>IFERROR(VLOOKUP(C618,[1]evdl298!$B:$C,2,0),"")</f>
        <v>41488</v>
      </c>
      <c r="H618" s="110" t="str">
        <f t="shared" si="28"/>
        <v>E</v>
      </c>
      <c r="I618" s="110">
        <f t="shared" si="29"/>
        <v>41488</v>
      </c>
      <c r="J618" s="110"/>
      <c r="K618" s="110"/>
      <c r="M618" s="110"/>
      <c r="O618" s="110"/>
    </row>
    <row r="619" spans="1:15" x14ac:dyDescent="0.3">
      <c r="A619" s="58" t="str">
        <f>Schedule!E617</f>
        <v>A022100</v>
      </c>
      <c r="B619" s="58" t="s">
        <v>2098</v>
      </c>
      <c r="C619" s="58" t="str">
        <f t="shared" si="27"/>
        <v>022100 KS</v>
      </c>
      <c r="D619" s="58" t="s">
        <v>3671</v>
      </c>
      <c r="E619" s="110" t="s">
        <v>3527</v>
      </c>
      <c r="F619" s="110" t="str">
        <f>IFERROR(VLOOKUP(C619,[1]evdl298!$B:$D,3,0),"")</f>
        <v>E</v>
      </c>
      <c r="G619" s="110">
        <f>IFERROR(VLOOKUP(C619,[1]evdl298!$B:$C,2,0),"")</f>
        <v>41479</v>
      </c>
      <c r="H619" s="110" t="str">
        <f t="shared" si="28"/>
        <v>E</v>
      </c>
      <c r="I619" s="110">
        <f t="shared" si="29"/>
        <v>41479</v>
      </c>
      <c r="J619" s="110"/>
      <c r="K619" s="110"/>
      <c r="M619" s="110"/>
      <c r="O619" s="110"/>
    </row>
    <row r="620" spans="1:15" x14ac:dyDescent="0.3">
      <c r="A620" s="58" t="str">
        <f>Schedule!E618</f>
        <v>A022220</v>
      </c>
      <c r="B620" s="58" t="s">
        <v>2099</v>
      </c>
      <c r="C620" s="58" t="str">
        <f t="shared" si="27"/>
        <v>022220 KS</v>
      </c>
      <c r="D620" s="58" t="s">
        <v>3671</v>
      </c>
      <c r="E620" s="110" t="s">
        <v>3679</v>
      </c>
      <c r="F620" s="110" t="str">
        <f>IFERROR(VLOOKUP(C620,[1]evdl298!$B:$D,3,0),"")</f>
        <v/>
      </c>
      <c r="G620" s="110" t="str">
        <f>IFERROR(VLOOKUP(C620,[1]evdl298!$B:$C,2,0),"")</f>
        <v/>
      </c>
      <c r="H620" s="110" t="str">
        <f t="shared" si="28"/>
        <v/>
      </c>
      <c r="I620" s="110" t="str">
        <f t="shared" si="29"/>
        <v>2013-07-25</v>
      </c>
      <c r="J620" s="110"/>
      <c r="K620" s="110"/>
      <c r="M620" s="110"/>
      <c r="O620" s="110"/>
    </row>
    <row r="621" spans="1:15" x14ac:dyDescent="0.3">
      <c r="A621" s="58" t="str">
        <f>Schedule!E619</f>
        <v>A023000</v>
      </c>
      <c r="B621" s="58" t="s">
        <v>2100</v>
      </c>
      <c r="C621" s="58" t="str">
        <f t="shared" si="27"/>
        <v>023000 KS</v>
      </c>
      <c r="D621" s="58" t="s">
        <v>3671</v>
      </c>
      <c r="E621" s="110" t="s">
        <v>3527</v>
      </c>
      <c r="F621" s="110" t="str">
        <f>IFERROR(VLOOKUP(C621,[1]evdl298!$B:$D,3,0),"")</f>
        <v>E</v>
      </c>
      <c r="G621" s="110">
        <f>IFERROR(VLOOKUP(C621,[1]evdl298!$B:$C,2,0),"")</f>
        <v>41499</v>
      </c>
      <c r="H621" s="110" t="str">
        <f t="shared" si="28"/>
        <v>E</v>
      </c>
      <c r="I621" s="110">
        <f t="shared" si="29"/>
        <v>41499</v>
      </c>
      <c r="J621" s="110"/>
      <c r="K621" s="110"/>
      <c r="M621" s="110"/>
      <c r="O621" s="110"/>
    </row>
    <row r="622" spans="1:15" x14ac:dyDescent="0.3">
      <c r="A622" s="58" t="str">
        <f>Schedule!E620</f>
        <v>A023150</v>
      </c>
      <c r="B622" s="58" t="s">
        <v>3342</v>
      </c>
      <c r="C622" s="58" t="str">
        <f t="shared" si="27"/>
        <v>023150 KS</v>
      </c>
      <c r="D622" s="58" t="s">
        <v>3671</v>
      </c>
      <c r="E622" s="110" t="s">
        <v>3527</v>
      </c>
      <c r="F622" s="110" t="str">
        <f>IFERROR(VLOOKUP(C622,[1]evdl298!$B:$D,3,0),"")</f>
        <v>E</v>
      </c>
      <c r="G622" s="110">
        <f>IFERROR(VLOOKUP(C622,[1]evdl298!$B:$C,2,0),"")</f>
        <v>41515</v>
      </c>
      <c r="H622" s="110" t="str">
        <f t="shared" si="28"/>
        <v>E</v>
      </c>
      <c r="I622" s="110">
        <f t="shared" si="29"/>
        <v>41515</v>
      </c>
      <c r="J622" s="110"/>
      <c r="K622" s="110"/>
      <c r="M622" s="110"/>
      <c r="O622" s="110"/>
    </row>
    <row r="623" spans="1:15" x14ac:dyDescent="0.3">
      <c r="A623" s="58" t="str">
        <f>Schedule!E621</f>
        <v>A023160</v>
      </c>
      <c r="B623" s="58" t="s">
        <v>2101</v>
      </c>
      <c r="C623" s="58" t="str">
        <f t="shared" si="27"/>
        <v>023160 KS</v>
      </c>
      <c r="D623" s="58" t="s">
        <v>3671</v>
      </c>
      <c r="E623" s="110" t="s">
        <v>3527</v>
      </c>
      <c r="F623" s="110" t="str">
        <f>IFERROR(VLOOKUP(C623,[1]evdl298!$B:$D,3,0),"")</f>
        <v>E</v>
      </c>
      <c r="G623" s="110">
        <f>IFERROR(VLOOKUP(C623,[1]evdl298!$B:$C,2,0),"")</f>
        <v>41492</v>
      </c>
      <c r="H623" s="110" t="str">
        <f t="shared" si="28"/>
        <v>E</v>
      </c>
      <c r="I623" s="110">
        <f t="shared" si="29"/>
        <v>41492</v>
      </c>
      <c r="J623" s="110"/>
      <c r="K623" s="110"/>
      <c r="M623" s="110"/>
      <c r="O623" s="110"/>
    </row>
    <row r="624" spans="1:15" x14ac:dyDescent="0.3">
      <c r="A624" s="58" t="str">
        <f>Schedule!E622</f>
        <v>A023350</v>
      </c>
      <c r="B624" s="58" t="s">
        <v>2102</v>
      </c>
      <c r="C624" s="58" t="str">
        <f t="shared" si="27"/>
        <v>023350 KS</v>
      </c>
      <c r="D624" s="58" t="s">
        <v>3671</v>
      </c>
      <c r="E624" s="110" t="s">
        <v>3685</v>
      </c>
      <c r="F624" s="110" t="str">
        <f>IFERROR(VLOOKUP(C624,[1]evdl298!$B:$D,3,0),"")</f>
        <v>E</v>
      </c>
      <c r="G624" s="110">
        <f>IFERROR(VLOOKUP(C624,[1]evdl298!$B:$C,2,0),"")</f>
        <v>41500</v>
      </c>
      <c r="H624" s="110" t="str">
        <f t="shared" si="28"/>
        <v>E</v>
      </c>
      <c r="I624" s="110">
        <f t="shared" si="29"/>
        <v>41500</v>
      </c>
      <c r="J624" s="110"/>
      <c r="K624" s="110"/>
      <c r="M624" s="110"/>
      <c r="O624" s="110"/>
    </row>
    <row r="625" spans="1:15" x14ac:dyDescent="0.3">
      <c r="A625" s="58" t="str">
        <f>Schedule!E623</f>
        <v>A023410</v>
      </c>
      <c r="B625" s="58" t="s">
        <v>3343</v>
      </c>
      <c r="C625" s="58" t="str">
        <f t="shared" si="27"/>
        <v>023410 KS</v>
      </c>
      <c r="D625" s="58" t="s">
        <v>3671</v>
      </c>
      <c r="E625" s="110" t="s">
        <v>3527</v>
      </c>
      <c r="F625" s="110" t="str">
        <f>IFERROR(VLOOKUP(C625,[1]evdl298!$B:$D,3,0),"")</f>
        <v>E</v>
      </c>
      <c r="G625" s="110">
        <f>IFERROR(VLOOKUP(C625,[1]evdl298!$B:$C,2,0),"")</f>
        <v>41500</v>
      </c>
      <c r="H625" s="110" t="str">
        <f t="shared" si="28"/>
        <v>E</v>
      </c>
      <c r="I625" s="110">
        <f t="shared" si="29"/>
        <v>41500</v>
      </c>
      <c r="J625" s="110"/>
      <c r="K625" s="110"/>
      <c r="M625" s="110"/>
      <c r="O625" s="110"/>
    </row>
    <row r="626" spans="1:15" x14ac:dyDescent="0.3">
      <c r="A626" s="58" t="str">
        <f>Schedule!E624</f>
        <v>A023430</v>
      </c>
      <c r="B626" s="58" t="s">
        <v>2103</v>
      </c>
      <c r="C626" s="58" t="str">
        <f t="shared" si="27"/>
        <v>023430 KS</v>
      </c>
      <c r="D626" s="58" t="s">
        <v>3671</v>
      </c>
      <c r="E626" s="110" t="s">
        <v>3527</v>
      </c>
      <c r="F626" s="110" t="str">
        <f>IFERROR(VLOOKUP(C626,[1]evdl298!$B:$D,3,0),"")</f>
        <v/>
      </c>
      <c r="G626" s="110" t="str">
        <f>IFERROR(VLOOKUP(C626,[1]evdl298!$B:$C,2,0),"")</f>
        <v/>
      </c>
      <c r="H626" s="110" t="str">
        <f t="shared" si="28"/>
        <v/>
      </c>
      <c r="I626" s="110" t="str">
        <f t="shared" si="29"/>
        <v/>
      </c>
      <c r="J626" s="110"/>
      <c r="K626" s="110"/>
      <c r="M626" s="110"/>
      <c r="O626" s="110"/>
    </row>
    <row r="627" spans="1:15" x14ac:dyDescent="0.3">
      <c r="A627" s="58" t="str">
        <f>Schedule!E625</f>
        <v>A023440</v>
      </c>
      <c r="B627" s="58" t="s">
        <v>3637</v>
      </c>
      <c r="C627" s="58" t="str">
        <f t="shared" si="27"/>
        <v>023440 KS</v>
      </c>
      <c r="D627" s="58" t="s">
        <v>3671</v>
      </c>
      <c r="E627" s="110" t="s">
        <v>3527</v>
      </c>
      <c r="F627" s="110" t="str">
        <f>IFERROR(VLOOKUP(C627,[1]evdl298!$B:$D,3,0),"")</f>
        <v>E</v>
      </c>
      <c r="G627" s="110">
        <f>IFERROR(VLOOKUP(C627,[1]evdl298!$B:$C,2,0),"")</f>
        <v>41500</v>
      </c>
      <c r="H627" s="110" t="str">
        <f t="shared" si="28"/>
        <v>E</v>
      </c>
      <c r="I627" s="110">
        <f t="shared" si="29"/>
        <v>41500</v>
      </c>
      <c r="J627" s="110"/>
      <c r="K627" s="110"/>
      <c r="M627" s="110"/>
      <c r="O627" s="110"/>
    </row>
    <row r="628" spans="1:15" x14ac:dyDescent="0.3">
      <c r="A628" s="58" t="str">
        <f>Schedule!E626</f>
        <v>A023450</v>
      </c>
      <c r="B628" s="58" t="s">
        <v>2104</v>
      </c>
      <c r="C628" s="58" t="str">
        <f t="shared" si="27"/>
        <v>023450 KS</v>
      </c>
      <c r="D628" s="58" t="s">
        <v>3671</v>
      </c>
      <c r="E628" s="110" t="s">
        <v>3527</v>
      </c>
      <c r="F628" s="110" t="str">
        <f>IFERROR(VLOOKUP(C628,[1]evdl298!$B:$D,3,0),"")</f>
        <v>E</v>
      </c>
      <c r="G628" s="110">
        <f>IFERROR(VLOOKUP(C628,[1]evdl298!$B:$C,2,0),"")</f>
        <v>41460</v>
      </c>
      <c r="H628" s="110" t="str">
        <f t="shared" si="28"/>
        <v>E</v>
      </c>
      <c r="I628" s="110">
        <f t="shared" si="29"/>
        <v>41460</v>
      </c>
      <c r="J628" s="110"/>
      <c r="K628" s="110"/>
      <c r="M628" s="110"/>
      <c r="O628" s="110"/>
    </row>
    <row r="629" spans="1:15" x14ac:dyDescent="0.3">
      <c r="A629" s="58" t="str">
        <f>Schedule!E627</f>
        <v>A023460</v>
      </c>
      <c r="B629" s="58" t="s">
        <v>2105</v>
      </c>
      <c r="C629" s="58" t="str">
        <f t="shared" si="27"/>
        <v>023460 KS</v>
      </c>
      <c r="D629" s="58" t="s">
        <v>3671</v>
      </c>
      <c r="E629" s="110" t="s">
        <v>3527</v>
      </c>
      <c r="F629" s="110" t="str">
        <f>IFERROR(VLOOKUP(C629,[1]evdl298!$B:$D,3,0),"")</f>
        <v/>
      </c>
      <c r="G629" s="110" t="str">
        <f>IFERROR(VLOOKUP(C629,[1]evdl298!$B:$C,2,0),"")</f>
        <v/>
      </c>
      <c r="H629" s="110" t="str">
        <f t="shared" si="28"/>
        <v/>
      </c>
      <c r="I629" s="110" t="str">
        <f t="shared" si="29"/>
        <v/>
      </c>
      <c r="J629" s="110"/>
      <c r="K629" s="110"/>
      <c r="M629" s="110"/>
      <c r="O629" s="110"/>
    </row>
    <row r="630" spans="1:15" x14ac:dyDescent="0.3">
      <c r="A630" s="58" t="str">
        <f>Schedule!E628</f>
        <v>A023530</v>
      </c>
      <c r="B630" s="58" t="s">
        <v>2106</v>
      </c>
      <c r="C630" s="58" t="str">
        <f t="shared" si="27"/>
        <v>023530 KS</v>
      </c>
      <c r="D630" s="58" t="s">
        <v>3671</v>
      </c>
      <c r="E630" s="110" t="s">
        <v>3527</v>
      </c>
      <c r="F630" s="110" t="str">
        <f>IFERROR(VLOOKUP(C630,[1]evdl298!$B:$D,3,0),"")</f>
        <v>E</v>
      </c>
      <c r="G630" s="110">
        <f>IFERROR(VLOOKUP(C630,[1]evdl298!$B:$C,2,0),"")</f>
        <v>41495</v>
      </c>
      <c r="H630" s="110" t="str">
        <f t="shared" si="28"/>
        <v>E</v>
      </c>
      <c r="I630" s="110">
        <f t="shared" si="29"/>
        <v>41495</v>
      </c>
      <c r="J630" s="110"/>
      <c r="K630" s="110"/>
      <c r="M630" s="110"/>
      <c r="O630" s="110"/>
    </row>
    <row r="631" spans="1:15" x14ac:dyDescent="0.3">
      <c r="A631" s="58" t="str">
        <f>Schedule!E629</f>
        <v>A023590</v>
      </c>
      <c r="B631" s="58" t="s">
        <v>2107</v>
      </c>
      <c r="C631" s="58" t="str">
        <f t="shared" si="27"/>
        <v>023590 KS</v>
      </c>
      <c r="D631" s="58" t="s">
        <v>3671</v>
      </c>
      <c r="E631" s="110" t="s">
        <v>3690</v>
      </c>
      <c r="F631" s="110" t="str">
        <f>IFERROR(VLOOKUP(C631,[1]evdl298!$B:$D,3,0),"")</f>
        <v/>
      </c>
      <c r="G631" s="110" t="str">
        <f>IFERROR(VLOOKUP(C631,[1]evdl298!$B:$C,2,0),"")</f>
        <v/>
      </c>
      <c r="H631" s="110" t="str">
        <f t="shared" si="28"/>
        <v/>
      </c>
      <c r="I631" s="110" t="str">
        <f t="shared" si="29"/>
        <v>2013-08-~2</v>
      </c>
      <c r="J631" s="110"/>
      <c r="K631" s="110"/>
      <c r="M631" s="110"/>
      <c r="O631" s="110"/>
    </row>
    <row r="632" spans="1:15" x14ac:dyDescent="0.3">
      <c r="A632" s="58" t="str">
        <f>Schedule!E630</f>
        <v>A023600</v>
      </c>
      <c r="B632" s="58" t="s">
        <v>2108</v>
      </c>
      <c r="C632" s="58" t="str">
        <f t="shared" si="27"/>
        <v>023600 KS</v>
      </c>
      <c r="D632" s="58" t="s">
        <v>3671</v>
      </c>
      <c r="E632" s="110" t="s">
        <v>3527</v>
      </c>
      <c r="F632" s="110" t="str">
        <f>IFERROR(VLOOKUP(C632,[1]evdl298!$B:$D,3,0),"")</f>
        <v/>
      </c>
      <c r="G632" s="110" t="str">
        <f>IFERROR(VLOOKUP(C632,[1]evdl298!$B:$C,2,0),"")</f>
        <v/>
      </c>
      <c r="H632" s="110" t="str">
        <f t="shared" si="28"/>
        <v/>
      </c>
      <c r="I632" s="110" t="str">
        <f t="shared" si="29"/>
        <v/>
      </c>
      <c r="J632" s="110"/>
      <c r="K632" s="110"/>
      <c r="M632" s="110"/>
      <c r="O632" s="110"/>
    </row>
    <row r="633" spans="1:15" x14ac:dyDescent="0.3">
      <c r="A633" s="58" t="str">
        <f>Schedule!E631</f>
        <v>A023760</v>
      </c>
      <c r="B633" s="58" t="s">
        <v>2109</v>
      </c>
      <c r="C633" s="58" t="str">
        <f t="shared" si="27"/>
        <v>023760 KS</v>
      </c>
      <c r="D633" s="58" t="s">
        <v>3671</v>
      </c>
      <c r="E633" s="110" t="s">
        <v>3527</v>
      </c>
      <c r="F633" s="110" t="str">
        <f>IFERROR(VLOOKUP(C633,[1]evdl298!$B:$D,3,0),"")</f>
        <v>E</v>
      </c>
      <c r="G633" s="110">
        <f>IFERROR(VLOOKUP(C633,[1]evdl298!$B:$C,2,0),"")</f>
        <v>41500</v>
      </c>
      <c r="H633" s="110" t="str">
        <f t="shared" si="28"/>
        <v>E</v>
      </c>
      <c r="I633" s="110">
        <f t="shared" si="29"/>
        <v>41500</v>
      </c>
      <c r="J633" s="110"/>
      <c r="K633" s="110"/>
      <c r="M633" s="110"/>
      <c r="O633" s="110"/>
    </row>
    <row r="634" spans="1:15" x14ac:dyDescent="0.3">
      <c r="A634" s="58" t="str">
        <f>Schedule!E632</f>
        <v>A023770</v>
      </c>
      <c r="B634" s="58" t="s">
        <v>2110</v>
      </c>
      <c r="C634" s="58" t="str">
        <f t="shared" si="27"/>
        <v>023770 KS</v>
      </c>
      <c r="D634" s="58" t="s">
        <v>3671</v>
      </c>
      <c r="E634" s="110" t="s">
        <v>3527</v>
      </c>
      <c r="F634" s="110" t="str">
        <f>IFERROR(VLOOKUP(C634,[1]evdl298!$B:$D,3,0),"")</f>
        <v/>
      </c>
      <c r="G634" s="110" t="str">
        <f>IFERROR(VLOOKUP(C634,[1]evdl298!$B:$C,2,0),"")</f>
        <v/>
      </c>
      <c r="H634" s="110" t="str">
        <f t="shared" si="28"/>
        <v/>
      </c>
      <c r="I634" s="110" t="str">
        <f t="shared" si="29"/>
        <v/>
      </c>
      <c r="J634" s="110"/>
      <c r="K634" s="110"/>
      <c r="M634" s="110"/>
      <c r="O634" s="110"/>
    </row>
    <row r="635" spans="1:15" x14ac:dyDescent="0.3">
      <c r="A635" s="58" t="str">
        <f>Schedule!E633</f>
        <v>A023790</v>
      </c>
      <c r="B635" s="58" t="s">
        <v>3638</v>
      </c>
      <c r="C635" s="58" t="str">
        <f t="shared" si="27"/>
        <v>023790 KS</v>
      </c>
      <c r="D635" s="58" t="s">
        <v>3671</v>
      </c>
      <c r="E635" s="110" t="s">
        <v>3527</v>
      </c>
      <c r="F635" s="110" t="str">
        <f>IFERROR(VLOOKUP(C635,[1]evdl298!$B:$D,3,0),"")</f>
        <v>E</v>
      </c>
      <c r="G635" s="110">
        <f>IFERROR(VLOOKUP(C635,[1]evdl298!$B:$C,2,0),"")</f>
        <v>41460</v>
      </c>
      <c r="H635" s="110" t="str">
        <f t="shared" si="28"/>
        <v>E</v>
      </c>
      <c r="I635" s="110">
        <f t="shared" si="29"/>
        <v>41460</v>
      </c>
      <c r="J635" s="110"/>
      <c r="K635" s="110"/>
      <c r="M635" s="110"/>
      <c r="O635" s="110"/>
    </row>
    <row r="636" spans="1:15" x14ac:dyDescent="0.3">
      <c r="A636" s="58" t="str">
        <f>Schedule!E634</f>
        <v>A023800</v>
      </c>
      <c r="B636" s="58" t="s">
        <v>2111</v>
      </c>
      <c r="C636" s="58" t="str">
        <f t="shared" si="27"/>
        <v>023800 KS</v>
      </c>
      <c r="D636" s="58" t="s">
        <v>3671</v>
      </c>
      <c r="E636" s="110" t="s">
        <v>3527</v>
      </c>
      <c r="F636" s="110" t="str">
        <f>IFERROR(VLOOKUP(C636,[1]evdl298!$B:$D,3,0),"")</f>
        <v>E</v>
      </c>
      <c r="G636" s="110">
        <f>IFERROR(VLOOKUP(C636,[1]evdl298!$B:$C,2,0),"")</f>
        <v>41500</v>
      </c>
      <c r="H636" s="110" t="str">
        <f t="shared" si="28"/>
        <v>E</v>
      </c>
      <c r="I636" s="110">
        <f t="shared" si="29"/>
        <v>41500</v>
      </c>
      <c r="J636" s="110"/>
      <c r="K636" s="110"/>
      <c r="M636" s="110"/>
      <c r="O636" s="110"/>
    </row>
    <row r="637" spans="1:15" x14ac:dyDescent="0.3">
      <c r="A637" s="58" t="str">
        <f>Schedule!E635</f>
        <v>A023810</v>
      </c>
      <c r="B637" s="58" t="s">
        <v>2112</v>
      </c>
      <c r="C637" s="58" t="str">
        <f t="shared" si="27"/>
        <v>023810 KS</v>
      </c>
      <c r="D637" s="58" t="s">
        <v>3671</v>
      </c>
      <c r="E637" s="110" t="s">
        <v>3527</v>
      </c>
      <c r="F637" s="110" t="str">
        <f>IFERROR(VLOOKUP(C637,[1]evdl298!$B:$D,3,0),"")</f>
        <v/>
      </c>
      <c r="G637" s="110" t="str">
        <f>IFERROR(VLOOKUP(C637,[1]evdl298!$B:$C,2,0),"")</f>
        <v/>
      </c>
      <c r="H637" s="110" t="str">
        <f t="shared" si="28"/>
        <v/>
      </c>
      <c r="I637" s="110" t="str">
        <f t="shared" si="29"/>
        <v/>
      </c>
      <c r="J637" s="110"/>
      <c r="K637" s="110"/>
      <c r="M637" s="110"/>
      <c r="O637" s="110"/>
    </row>
    <row r="638" spans="1:15" x14ac:dyDescent="0.3">
      <c r="A638" s="58" t="str">
        <f>Schedule!E636</f>
        <v>A023890</v>
      </c>
      <c r="B638" s="58" t="s">
        <v>2113</v>
      </c>
      <c r="C638" s="58" t="str">
        <f t="shared" si="27"/>
        <v>023890 KS</v>
      </c>
      <c r="D638" s="58" t="s">
        <v>3671</v>
      </c>
      <c r="E638" s="110" t="s">
        <v>3527</v>
      </c>
      <c r="F638" s="110" t="str">
        <f>IFERROR(VLOOKUP(C638,[1]evdl298!$B:$D,3,0),"")</f>
        <v>E</v>
      </c>
      <c r="G638" s="110">
        <f>IFERROR(VLOOKUP(C638,[1]evdl298!$B:$C,2,0),"")</f>
        <v>41515</v>
      </c>
      <c r="H638" s="110" t="str">
        <f t="shared" si="28"/>
        <v>E</v>
      </c>
      <c r="I638" s="110">
        <f t="shared" si="29"/>
        <v>41515</v>
      </c>
      <c r="J638" s="110"/>
      <c r="K638" s="110"/>
      <c r="M638" s="110"/>
      <c r="O638" s="110"/>
    </row>
    <row r="639" spans="1:15" x14ac:dyDescent="0.3">
      <c r="A639" s="58" t="str">
        <f>Schedule!E637</f>
        <v>A023900</v>
      </c>
      <c r="B639" s="58" t="s">
        <v>2114</v>
      </c>
      <c r="C639" s="58" t="str">
        <f t="shared" si="27"/>
        <v>023900 KS</v>
      </c>
      <c r="D639" s="58" t="s">
        <v>3671</v>
      </c>
      <c r="E639" s="110" t="s">
        <v>3527</v>
      </c>
      <c r="F639" s="110" t="str">
        <f>IFERROR(VLOOKUP(C639,[1]evdl298!$B:$D,3,0),"")</f>
        <v/>
      </c>
      <c r="G639" s="110" t="str">
        <f>IFERROR(VLOOKUP(C639,[1]evdl298!$B:$C,2,0),"")</f>
        <v/>
      </c>
      <c r="H639" s="110" t="str">
        <f t="shared" si="28"/>
        <v/>
      </c>
      <c r="I639" s="110" t="str">
        <f t="shared" si="29"/>
        <v/>
      </c>
      <c r="J639" s="110"/>
      <c r="K639" s="110"/>
      <c r="M639" s="110"/>
      <c r="O639" s="110"/>
    </row>
    <row r="640" spans="1:15" x14ac:dyDescent="0.3">
      <c r="A640" s="58" t="str">
        <f>Schedule!E638</f>
        <v>A023910</v>
      </c>
      <c r="B640" s="58" t="s">
        <v>2115</v>
      </c>
      <c r="C640" s="58" t="str">
        <f t="shared" si="27"/>
        <v>023910 KS</v>
      </c>
      <c r="D640" s="58" t="s">
        <v>3671</v>
      </c>
      <c r="E640" s="110" t="s">
        <v>3527</v>
      </c>
      <c r="F640" s="110" t="str">
        <f>IFERROR(VLOOKUP(C640,[1]evdl298!$B:$D,3,0),"")</f>
        <v>E</v>
      </c>
      <c r="G640" s="110">
        <f>IFERROR(VLOOKUP(C640,[1]evdl298!$B:$C,2,0),"")</f>
        <v>41460</v>
      </c>
      <c r="H640" s="110" t="str">
        <f t="shared" si="28"/>
        <v>E</v>
      </c>
      <c r="I640" s="110">
        <f t="shared" si="29"/>
        <v>41460</v>
      </c>
      <c r="J640" s="110"/>
      <c r="K640" s="110"/>
      <c r="M640" s="110"/>
      <c r="O640" s="110"/>
    </row>
    <row r="641" spans="1:15" x14ac:dyDescent="0.3">
      <c r="A641" s="58" t="str">
        <f>Schedule!E639</f>
        <v>A023960</v>
      </c>
      <c r="B641" s="58" t="s">
        <v>2116</v>
      </c>
      <c r="C641" s="58" t="str">
        <f t="shared" si="27"/>
        <v>023960 KS</v>
      </c>
      <c r="D641" s="58" t="s">
        <v>3671</v>
      </c>
      <c r="E641" s="110" t="s">
        <v>3527</v>
      </c>
      <c r="F641" s="110" t="str">
        <f>IFERROR(VLOOKUP(C641,[1]evdl298!$B:$D,3,0),"")</f>
        <v/>
      </c>
      <c r="G641" s="110" t="str">
        <f>IFERROR(VLOOKUP(C641,[1]evdl298!$B:$C,2,0),"")</f>
        <v/>
      </c>
      <c r="H641" s="110" t="str">
        <f t="shared" si="28"/>
        <v/>
      </c>
      <c r="I641" s="110" t="str">
        <f t="shared" si="29"/>
        <v/>
      </c>
      <c r="J641" s="110"/>
      <c r="K641" s="110"/>
      <c r="M641" s="110"/>
      <c r="O641" s="110"/>
    </row>
    <row r="642" spans="1:15" x14ac:dyDescent="0.3">
      <c r="A642" s="58" t="str">
        <f>Schedule!E640</f>
        <v>A024060</v>
      </c>
      <c r="B642" s="58" t="s">
        <v>2117</v>
      </c>
      <c r="C642" s="58" t="str">
        <f t="shared" si="27"/>
        <v>024060 KS</v>
      </c>
      <c r="D642" s="58" t="s">
        <v>3671</v>
      </c>
      <c r="E642" s="110" t="s">
        <v>3527</v>
      </c>
      <c r="F642" s="110" t="str">
        <f>IFERROR(VLOOKUP(C642,[1]evdl298!$B:$D,3,0),"")</f>
        <v>E</v>
      </c>
      <c r="G642" s="110">
        <f>IFERROR(VLOOKUP(C642,[1]evdl298!$B:$C,2,0),"")</f>
        <v>41500</v>
      </c>
      <c r="H642" s="110" t="str">
        <f t="shared" si="28"/>
        <v>E</v>
      </c>
      <c r="I642" s="110">
        <f t="shared" si="29"/>
        <v>41500</v>
      </c>
      <c r="J642" s="110"/>
      <c r="K642" s="110"/>
      <c r="M642" s="110"/>
      <c r="O642" s="110"/>
    </row>
    <row r="643" spans="1:15" x14ac:dyDescent="0.3">
      <c r="A643" s="58" t="str">
        <f>Schedule!E641</f>
        <v>A024070</v>
      </c>
      <c r="B643" s="58" t="s">
        <v>2118</v>
      </c>
      <c r="C643" s="58" t="str">
        <f t="shared" si="27"/>
        <v>024070 KS</v>
      </c>
      <c r="D643" s="58" t="s">
        <v>3671</v>
      </c>
      <c r="E643" s="110" t="s">
        <v>3527</v>
      </c>
      <c r="F643" s="110" t="str">
        <f>IFERROR(VLOOKUP(C643,[1]evdl298!$B:$D,3,0),"")</f>
        <v/>
      </c>
      <c r="G643" s="110" t="str">
        <f>IFERROR(VLOOKUP(C643,[1]evdl298!$B:$C,2,0),"")</f>
        <v/>
      </c>
      <c r="H643" s="110" t="str">
        <f t="shared" si="28"/>
        <v/>
      </c>
      <c r="I643" s="110" t="str">
        <f t="shared" si="29"/>
        <v/>
      </c>
      <c r="J643" s="110"/>
      <c r="K643" s="110"/>
      <c r="M643" s="110"/>
      <c r="O643" s="110"/>
    </row>
    <row r="644" spans="1:15" x14ac:dyDescent="0.3">
      <c r="A644" s="58" t="str">
        <f>Schedule!E642</f>
        <v>A024090</v>
      </c>
      <c r="B644" s="58" t="s">
        <v>2119</v>
      </c>
      <c r="C644" s="58" t="str">
        <f t="shared" si="27"/>
        <v>024090 KS</v>
      </c>
      <c r="D644" s="58" t="s">
        <v>3671</v>
      </c>
      <c r="E644" s="110" t="s">
        <v>3527</v>
      </c>
      <c r="F644" s="110" t="str">
        <f>IFERROR(VLOOKUP(C644,[1]evdl298!$B:$D,3,0),"")</f>
        <v>E</v>
      </c>
      <c r="G644" s="110">
        <f>IFERROR(VLOOKUP(C644,[1]evdl298!$B:$C,2,0),"")</f>
        <v>41500</v>
      </c>
      <c r="H644" s="110" t="str">
        <f t="shared" si="28"/>
        <v>E</v>
      </c>
      <c r="I644" s="110">
        <f t="shared" si="29"/>
        <v>41500</v>
      </c>
      <c r="J644" s="110"/>
      <c r="K644" s="110"/>
      <c r="M644" s="110"/>
      <c r="O644" s="110"/>
    </row>
    <row r="645" spans="1:15" x14ac:dyDescent="0.3">
      <c r="A645" s="58" t="str">
        <f>Schedule!E643</f>
        <v>A024110</v>
      </c>
      <c r="B645" s="58" t="s">
        <v>2120</v>
      </c>
      <c r="C645" s="58" t="str">
        <f t="shared" si="27"/>
        <v>024110 KS</v>
      </c>
      <c r="D645" s="58" t="s">
        <v>3671</v>
      </c>
      <c r="E645" s="110" t="s">
        <v>3527</v>
      </c>
      <c r="F645" s="110" t="str">
        <f>IFERROR(VLOOKUP(C645,[1]evdl298!$B:$D,3,0),"")</f>
        <v>E</v>
      </c>
      <c r="G645" s="110">
        <f>IFERROR(VLOOKUP(C645,[1]evdl298!$B:$C,2,0),"")</f>
        <v>41487</v>
      </c>
      <c r="H645" s="110" t="str">
        <f t="shared" si="28"/>
        <v>E</v>
      </c>
      <c r="I645" s="110">
        <f t="shared" si="29"/>
        <v>41487</v>
      </c>
      <c r="J645" s="110"/>
      <c r="K645" s="110"/>
      <c r="M645" s="110"/>
      <c r="O645" s="110"/>
    </row>
    <row r="646" spans="1:15" x14ac:dyDescent="0.3">
      <c r="A646" s="58" t="str">
        <f>Schedule!E644</f>
        <v>A024120</v>
      </c>
      <c r="B646" s="58" t="s">
        <v>2121</v>
      </c>
      <c r="C646" s="58" t="str">
        <f t="shared" si="27"/>
        <v>024120 KS</v>
      </c>
      <c r="D646" s="58" t="s">
        <v>3671</v>
      </c>
      <c r="E646" s="110" t="s">
        <v>3697</v>
      </c>
      <c r="F646" s="110" t="str">
        <f>IFERROR(VLOOKUP(C646,[1]evdl298!$B:$D,3,0),"")</f>
        <v/>
      </c>
      <c r="G646" s="110" t="str">
        <f>IFERROR(VLOOKUP(C646,[1]evdl298!$B:$C,2,0),"")</f>
        <v/>
      </c>
      <c r="H646" s="110" t="str">
        <f t="shared" si="28"/>
        <v/>
      </c>
      <c r="I646" s="110" t="str">
        <f t="shared" si="29"/>
        <v>2013-08-02</v>
      </c>
      <c r="J646" s="110"/>
      <c r="K646" s="110"/>
      <c r="M646" s="110"/>
      <c r="O646" s="110"/>
    </row>
    <row r="647" spans="1:15" x14ac:dyDescent="0.3">
      <c r="A647" s="58" t="str">
        <f>Schedule!E645</f>
        <v>A024660</v>
      </c>
      <c r="B647" s="58" t="s">
        <v>2122</v>
      </c>
      <c r="C647" s="58" t="str">
        <f t="shared" si="27"/>
        <v>024660 KS</v>
      </c>
      <c r="D647" s="58" t="s">
        <v>3671</v>
      </c>
      <c r="E647" s="110" t="s">
        <v>3527</v>
      </c>
      <c r="F647" s="110" t="str">
        <f>IFERROR(VLOOKUP(C647,[1]evdl298!$B:$D,3,0),"")</f>
        <v/>
      </c>
      <c r="G647" s="110" t="str">
        <f>IFERROR(VLOOKUP(C647,[1]evdl298!$B:$C,2,0),"")</f>
        <v/>
      </c>
      <c r="H647" s="110" t="str">
        <f t="shared" si="28"/>
        <v/>
      </c>
      <c r="I647" s="110" t="str">
        <f t="shared" si="29"/>
        <v/>
      </c>
      <c r="J647" s="110"/>
      <c r="K647" s="110"/>
      <c r="M647" s="110"/>
      <c r="O647" s="110"/>
    </row>
    <row r="648" spans="1:15" x14ac:dyDescent="0.3">
      <c r="A648" s="58" t="str">
        <f>Schedule!E646</f>
        <v>A024720</v>
      </c>
      <c r="B648" s="58" t="s">
        <v>2123</v>
      </c>
      <c r="C648" s="58" t="str">
        <f t="shared" si="27"/>
        <v>024720 KS</v>
      </c>
      <c r="D648" s="58" t="s">
        <v>3671</v>
      </c>
      <c r="E648" s="110" t="s">
        <v>3527</v>
      </c>
      <c r="F648" s="110" t="str">
        <f>IFERROR(VLOOKUP(C648,[1]evdl298!$B:$D,3,0),"")</f>
        <v>E</v>
      </c>
      <c r="G648" s="110">
        <f>IFERROR(VLOOKUP(C648,[1]evdl298!$B:$C,2,0),"")</f>
        <v>41481</v>
      </c>
      <c r="H648" s="110" t="str">
        <f t="shared" si="28"/>
        <v>E</v>
      </c>
      <c r="I648" s="110">
        <f t="shared" si="29"/>
        <v>41481</v>
      </c>
      <c r="J648" s="110"/>
      <c r="K648" s="110"/>
      <c r="M648" s="110"/>
      <c r="O648" s="110"/>
    </row>
    <row r="649" spans="1:15" x14ac:dyDescent="0.3">
      <c r="A649" s="58" t="str">
        <f>Schedule!E647</f>
        <v>A024740</v>
      </c>
      <c r="B649" s="58" t="s">
        <v>3094</v>
      </c>
      <c r="C649" s="58" t="str">
        <f t="shared" si="27"/>
        <v>024740 KS</v>
      </c>
      <c r="D649" s="58" t="s">
        <v>3671</v>
      </c>
      <c r="E649" s="110" t="s">
        <v>3527</v>
      </c>
      <c r="F649" s="110" t="str">
        <f>IFERROR(VLOOKUP(C649,[1]evdl298!$B:$D,3,0),"")</f>
        <v/>
      </c>
      <c r="G649" s="110" t="str">
        <f>IFERROR(VLOOKUP(C649,[1]evdl298!$B:$C,2,0),"")</f>
        <v/>
      </c>
      <c r="H649" s="110" t="str">
        <f t="shared" si="28"/>
        <v/>
      </c>
      <c r="I649" s="110" t="str">
        <f t="shared" si="29"/>
        <v/>
      </c>
      <c r="J649" s="110"/>
      <c r="K649" s="110"/>
      <c r="M649" s="110"/>
      <c r="O649" s="110"/>
    </row>
    <row r="650" spans="1:15" x14ac:dyDescent="0.3">
      <c r="A650" s="58" t="str">
        <f>Schedule!E648</f>
        <v>A024800</v>
      </c>
      <c r="B650" s="58" t="s">
        <v>2124</v>
      </c>
      <c r="C650" s="58" t="str">
        <f t="shared" si="27"/>
        <v>024800 KS</v>
      </c>
      <c r="D650" s="58" t="s">
        <v>3671</v>
      </c>
      <c r="E650" s="110" t="s">
        <v>3527</v>
      </c>
      <c r="F650" s="110" t="str">
        <f>IFERROR(VLOOKUP(C650,[1]evdl298!$B:$D,3,0),"")</f>
        <v/>
      </c>
      <c r="G650" s="110" t="str">
        <f>IFERROR(VLOOKUP(C650,[1]evdl298!$B:$C,2,0),"")</f>
        <v/>
      </c>
      <c r="H650" s="110" t="str">
        <f t="shared" si="28"/>
        <v/>
      </c>
      <c r="I650" s="110" t="str">
        <f t="shared" si="29"/>
        <v/>
      </c>
      <c r="J650" s="110"/>
      <c r="K650" s="110"/>
      <c r="M650" s="110"/>
      <c r="O650" s="110"/>
    </row>
    <row r="651" spans="1:15" x14ac:dyDescent="0.3">
      <c r="A651" s="58" t="str">
        <f>Schedule!E649</f>
        <v>A024810</v>
      </c>
      <c r="B651" s="58" t="s">
        <v>2125</v>
      </c>
      <c r="C651" s="58" t="str">
        <f t="shared" si="27"/>
        <v>024810 KS</v>
      </c>
      <c r="D651" s="58" t="s">
        <v>3671</v>
      </c>
      <c r="E651" s="110" t="s">
        <v>3527</v>
      </c>
      <c r="F651" s="110" t="str">
        <f>IFERROR(VLOOKUP(C651,[1]evdl298!$B:$D,3,0),"")</f>
        <v/>
      </c>
      <c r="G651" s="110" t="str">
        <f>IFERROR(VLOOKUP(C651,[1]evdl298!$B:$C,2,0),"")</f>
        <v/>
      </c>
      <c r="H651" s="110" t="str">
        <f t="shared" si="28"/>
        <v/>
      </c>
      <c r="I651" s="110" t="str">
        <f t="shared" si="29"/>
        <v/>
      </c>
      <c r="J651" s="110"/>
      <c r="K651" s="110"/>
      <c r="M651" s="110"/>
      <c r="O651" s="110"/>
    </row>
    <row r="652" spans="1:15" x14ac:dyDescent="0.3">
      <c r="A652" s="58" t="str">
        <f>Schedule!E650</f>
        <v>A024830</v>
      </c>
      <c r="B652" s="58" t="s">
        <v>2126</v>
      </c>
      <c r="C652" s="58" t="str">
        <f t="shared" si="27"/>
        <v>024830 KS</v>
      </c>
      <c r="D652" s="58" t="s">
        <v>3671</v>
      </c>
      <c r="E652" s="110" t="s">
        <v>3527</v>
      </c>
      <c r="F652" s="110" t="str">
        <f>IFERROR(VLOOKUP(C652,[1]evdl298!$B:$D,3,0),"")</f>
        <v>E</v>
      </c>
      <c r="G652" s="110">
        <f>IFERROR(VLOOKUP(C652,[1]evdl298!$B:$C,2,0),"")</f>
        <v>41500</v>
      </c>
      <c r="H652" s="110" t="str">
        <f t="shared" si="28"/>
        <v>E</v>
      </c>
      <c r="I652" s="110">
        <f t="shared" si="29"/>
        <v>41500</v>
      </c>
      <c r="J652" s="110"/>
      <c r="K652" s="110"/>
      <c r="M652" s="110"/>
      <c r="O652" s="110"/>
    </row>
    <row r="653" spans="1:15" x14ac:dyDescent="0.3">
      <c r="A653" s="58" t="str">
        <f>Schedule!E651</f>
        <v>A024840</v>
      </c>
      <c r="B653" s="58" t="s">
        <v>2127</v>
      </c>
      <c r="C653" s="58" t="str">
        <f t="shared" si="27"/>
        <v>024840 KS</v>
      </c>
      <c r="D653" s="58" t="s">
        <v>3671</v>
      </c>
      <c r="E653" s="110" t="s">
        <v>3527</v>
      </c>
      <c r="F653" s="110" t="str">
        <f>IFERROR(VLOOKUP(C653,[1]evdl298!$B:$D,3,0),"")</f>
        <v/>
      </c>
      <c r="G653" s="110" t="str">
        <f>IFERROR(VLOOKUP(C653,[1]evdl298!$B:$C,2,0),"")</f>
        <v/>
      </c>
      <c r="H653" s="110" t="str">
        <f t="shared" si="28"/>
        <v/>
      </c>
      <c r="I653" s="110" t="str">
        <f t="shared" si="29"/>
        <v/>
      </c>
      <c r="J653" s="110"/>
      <c r="K653" s="110"/>
      <c r="M653" s="110"/>
      <c r="O653" s="110"/>
    </row>
    <row r="654" spans="1:15" x14ac:dyDescent="0.3">
      <c r="A654" s="58" t="str">
        <f>Schedule!E652</f>
        <v>A024850</v>
      </c>
      <c r="B654" s="58" t="s">
        <v>3639</v>
      </c>
      <c r="C654" s="58" t="str">
        <f t="shared" si="27"/>
        <v>024850 KS</v>
      </c>
      <c r="D654" s="58" t="s">
        <v>3671</v>
      </c>
      <c r="E654" s="110" t="s">
        <v>3527</v>
      </c>
      <c r="F654" s="110" t="str">
        <f>IFERROR(VLOOKUP(C654,[1]evdl298!$B:$D,3,0),"")</f>
        <v/>
      </c>
      <c r="G654" s="110" t="str">
        <f>IFERROR(VLOOKUP(C654,[1]evdl298!$B:$C,2,0),"")</f>
        <v/>
      </c>
      <c r="H654" s="110" t="str">
        <f t="shared" si="28"/>
        <v/>
      </c>
      <c r="I654" s="110" t="str">
        <f t="shared" si="29"/>
        <v/>
      </c>
      <c r="J654" s="110"/>
      <c r="K654" s="110"/>
      <c r="M654" s="110"/>
      <c r="O654" s="110"/>
    </row>
    <row r="655" spans="1:15" x14ac:dyDescent="0.3">
      <c r="A655" s="58" t="str">
        <f>Schedule!E653</f>
        <v>A024880</v>
      </c>
      <c r="B655" s="58" t="s">
        <v>2128</v>
      </c>
      <c r="C655" s="58" t="str">
        <f t="shared" si="27"/>
        <v>024880 KS</v>
      </c>
      <c r="D655" s="58" t="s">
        <v>3671</v>
      </c>
      <c r="E655" s="110" t="s">
        <v>3527</v>
      </c>
      <c r="F655" s="110" t="str">
        <f>IFERROR(VLOOKUP(C655,[1]evdl298!$B:$D,3,0),"")</f>
        <v>E</v>
      </c>
      <c r="G655" s="110">
        <f>IFERROR(VLOOKUP(C655,[1]evdl298!$B:$C,2,0),"")</f>
        <v>41515</v>
      </c>
      <c r="H655" s="110" t="str">
        <f t="shared" si="28"/>
        <v>E</v>
      </c>
      <c r="I655" s="110">
        <f t="shared" si="29"/>
        <v>41515</v>
      </c>
      <c r="J655" s="110"/>
      <c r="K655" s="110"/>
      <c r="M655" s="110"/>
      <c r="O655" s="110"/>
    </row>
    <row r="656" spans="1:15" x14ac:dyDescent="0.3">
      <c r="A656" s="58" t="str">
        <f>Schedule!E654</f>
        <v>A024890</v>
      </c>
      <c r="B656" s="58" t="s">
        <v>2129</v>
      </c>
      <c r="C656" s="58" t="str">
        <f t="shared" si="27"/>
        <v>024890 KS</v>
      </c>
      <c r="D656" s="58" t="s">
        <v>3671</v>
      </c>
      <c r="E656" s="110" t="s">
        <v>3527</v>
      </c>
      <c r="F656" s="110" t="str">
        <f>IFERROR(VLOOKUP(C656,[1]evdl298!$B:$D,3,0),"")</f>
        <v/>
      </c>
      <c r="G656" s="110" t="str">
        <f>IFERROR(VLOOKUP(C656,[1]evdl298!$B:$C,2,0),"")</f>
        <v/>
      </c>
      <c r="H656" s="110" t="str">
        <f t="shared" si="28"/>
        <v/>
      </c>
      <c r="I656" s="110" t="str">
        <f t="shared" si="29"/>
        <v/>
      </c>
      <c r="J656" s="110"/>
      <c r="K656" s="110"/>
      <c r="M656" s="110"/>
      <c r="O656" s="110"/>
    </row>
    <row r="657" spans="1:15" x14ac:dyDescent="0.3">
      <c r="A657" s="58" t="str">
        <f>Schedule!E655</f>
        <v>A024900</v>
      </c>
      <c r="B657" s="58" t="s">
        <v>2130</v>
      </c>
      <c r="C657" s="58" t="str">
        <f t="shared" ref="C657:C720" si="30">RIGHT(A657,6)&amp;" KS"</f>
        <v>024900 KS</v>
      </c>
      <c r="D657" s="58" t="s">
        <v>3671</v>
      </c>
      <c r="E657" s="110" t="s">
        <v>3527</v>
      </c>
      <c r="F657" s="110" t="str">
        <f>IFERROR(VLOOKUP(C657,[1]evdl298!$B:$D,3,0),"")</f>
        <v>E</v>
      </c>
      <c r="G657" s="110">
        <f>IFERROR(VLOOKUP(C657,[1]evdl298!$B:$C,2,0),"")</f>
        <v>41460</v>
      </c>
      <c r="H657" s="110" t="str">
        <f t="shared" ref="H657:H720" si="31">F657</f>
        <v>E</v>
      </c>
      <c r="I657" s="110">
        <f t="shared" ref="I657:I720" si="32">IF(ISNUMBER(G657),G657,E657)</f>
        <v>41460</v>
      </c>
      <c r="J657" s="110"/>
      <c r="K657" s="110"/>
      <c r="M657" s="110"/>
      <c r="O657" s="110"/>
    </row>
    <row r="658" spans="1:15" x14ac:dyDescent="0.3">
      <c r="A658" s="58" t="str">
        <f>Schedule!E656</f>
        <v>A024910</v>
      </c>
      <c r="B658" s="58" t="s">
        <v>2131</v>
      </c>
      <c r="C658" s="58" t="str">
        <f t="shared" si="30"/>
        <v>024910 KS</v>
      </c>
      <c r="D658" s="58" t="s">
        <v>3671</v>
      </c>
      <c r="E658" s="110" t="s">
        <v>3527</v>
      </c>
      <c r="F658" s="110" t="str">
        <f>IFERROR(VLOOKUP(C658,[1]evdl298!$B:$D,3,0),"")</f>
        <v/>
      </c>
      <c r="G658" s="110" t="str">
        <f>IFERROR(VLOOKUP(C658,[1]evdl298!$B:$C,2,0),"")</f>
        <v/>
      </c>
      <c r="H658" s="110" t="str">
        <f t="shared" si="31"/>
        <v/>
      </c>
      <c r="I658" s="110" t="str">
        <f t="shared" si="32"/>
        <v/>
      </c>
      <c r="J658" s="110"/>
      <c r="K658" s="110"/>
      <c r="M658" s="110"/>
      <c r="O658" s="110"/>
    </row>
    <row r="659" spans="1:15" x14ac:dyDescent="0.3">
      <c r="A659" s="58" t="str">
        <f>Schedule!E657</f>
        <v>A024940</v>
      </c>
      <c r="B659" s="58" t="s">
        <v>2132</v>
      </c>
      <c r="C659" s="58" t="str">
        <f t="shared" si="30"/>
        <v>024940 KS</v>
      </c>
      <c r="D659" s="58" t="s">
        <v>3671</v>
      </c>
      <c r="E659" s="110" t="s">
        <v>3527</v>
      </c>
      <c r="F659" s="110" t="str">
        <f>IFERROR(VLOOKUP(C659,[1]evdl298!$B:$D,3,0),"")</f>
        <v>E</v>
      </c>
      <c r="G659" s="110">
        <f>IFERROR(VLOOKUP(C659,[1]evdl298!$B:$C,2,0),"")</f>
        <v>41500</v>
      </c>
      <c r="H659" s="110" t="str">
        <f t="shared" si="31"/>
        <v>E</v>
      </c>
      <c r="I659" s="110">
        <f t="shared" si="32"/>
        <v>41500</v>
      </c>
      <c r="J659" s="110"/>
      <c r="K659" s="110"/>
      <c r="M659" s="110"/>
      <c r="O659" s="110"/>
    </row>
    <row r="660" spans="1:15" x14ac:dyDescent="0.3">
      <c r="A660" s="58" t="str">
        <f>Schedule!E658</f>
        <v>A024950</v>
      </c>
      <c r="B660" s="58" t="s">
        <v>2133</v>
      </c>
      <c r="C660" s="58" t="str">
        <f t="shared" si="30"/>
        <v>024950 KS</v>
      </c>
      <c r="D660" s="58" t="s">
        <v>3671</v>
      </c>
      <c r="E660" s="110" t="s">
        <v>3527</v>
      </c>
      <c r="F660" s="110" t="str">
        <f>IFERROR(VLOOKUP(C660,[1]evdl298!$B:$D,3,0),"")</f>
        <v>E</v>
      </c>
      <c r="G660" s="110">
        <f>IFERROR(VLOOKUP(C660,[1]evdl298!$B:$C,2,0),"")</f>
        <v>41500</v>
      </c>
      <c r="H660" s="110" t="str">
        <f t="shared" si="31"/>
        <v>E</v>
      </c>
      <c r="I660" s="110">
        <f t="shared" si="32"/>
        <v>41500</v>
      </c>
      <c r="J660" s="110"/>
      <c r="K660" s="110"/>
      <c r="M660" s="110"/>
      <c r="O660" s="110"/>
    </row>
    <row r="661" spans="1:15" x14ac:dyDescent="0.3">
      <c r="A661" s="58" t="str">
        <f>Schedule!E659</f>
        <v>A025000</v>
      </c>
      <c r="B661" s="58" t="s">
        <v>2134</v>
      </c>
      <c r="C661" s="58" t="str">
        <f t="shared" si="30"/>
        <v>025000 KS</v>
      </c>
      <c r="D661" s="58" t="s">
        <v>3671</v>
      </c>
      <c r="E661" s="110" t="s">
        <v>3527</v>
      </c>
      <c r="F661" s="110" t="str">
        <f>IFERROR(VLOOKUP(C661,[1]evdl298!$B:$D,3,0),"")</f>
        <v/>
      </c>
      <c r="G661" s="110" t="str">
        <f>IFERROR(VLOOKUP(C661,[1]evdl298!$B:$C,2,0),"")</f>
        <v/>
      </c>
      <c r="H661" s="110" t="str">
        <f t="shared" si="31"/>
        <v/>
      </c>
      <c r="I661" s="110" t="str">
        <f t="shared" si="32"/>
        <v/>
      </c>
      <c r="J661" s="110"/>
      <c r="K661" s="110"/>
      <c r="M661" s="110"/>
      <c r="O661" s="110"/>
    </row>
    <row r="662" spans="1:15" x14ac:dyDescent="0.3">
      <c r="A662" s="58" t="str">
        <f>Schedule!E660</f>
        <v>A025270</v>
      </c>
      <c r="B662" s="58" t="s">
        <v>2135</v>
      </c>
      <c r="C662" s="58" t="str">
        <f t="shared" si="30"/>
        <v>025270 KS</v>
      </c>
      <c r="D662" s="58" t="s">
        <v>3671</v>
      </c>
      <c r="E662" s="110" t="s">
        <v>3527</v>
      </c>
      <c r="F662" s="110" t="str">
        <f>IFERROR(VLOOKUP(C662,[1]evdl298!$B:$D,3,0),"")</f>
        <v>E</v>
      </c>
      <c r="G662" s="110">
        <f>IFERROR(VLOOKUP(C662,[1]evdl298!$B:$C,2,0),"")</f>
        <v>41500</v>
      </c>
      <c r="H662" s="110" t="str">
        <f t="shared" si="31"/>
        <v>E</v>
      </c>
      <c r="I662" s="110">
        <f t="shared" si="32"/>
        <v>41500</v>
      </c>
      <c r="J662" s="110"/>
      <c r="K662" s="110"/>
      <c r="M662" s="110"/>
      <c r="O662" s="110"/>
    </row>
    <row r="663" spans="1:15" x14ac:dyDescent="0.3">
      <c r="A663" s="58" t="str">
        <f>Schedule!E661</f>
        <v>A025320</v>
      </c>
      <c r="B663" s="58" t="s">
        <v>2136</v>
      </c>
      <c r="C663" s="58" t="str">
        <f t="shared" si="30"/>
        <v>025320 KS</v>
      </c>
      <c r="D663" s="58" t="s">
        <v>3671</v>
      </c>
      <c r="E663" s="110" t="s">
        <v>3527</v>
      </c>
      <c r="F663" s="110" t="str">
        <f>IFERROR(VLOOKUP(C663,[1]evdl298!$B:$D,3,0),"")</f>
        <v/>
      </c>
      <c r="G663" s="110" t="str">
        <f>IFERROR(VLOOKUP(C663,[1]evdl298!$B:$C,2,0),"")</f>
        <v/>
      </c>
      <c r="H663" s="110" t="str">
        <f t="shared" si="31"/>
        <v/>
      </c>
      <c r="I663" s="110" t="str">
        <f t="shared" si="32"/>
        <v/>
      </c>
      <c r="J663" s="110"/>
      <c r="K663" s="110"/>
      <c r="M663" s="110"/>
      <c r="O663" s="110"/>
    </row>
    <row r="664" spans="1:15" x14ac:dyDescent="0.3">
      <c r="A664" s="58" t="str">
        <f>Schedule!E662</f>
        <v>A025440</v>
      </c>
      <c r="B664" s="58" t="s">
        <v>2137</v>
      </c>
      <c r="C664" s="58" t="str">
        <f t="shared" si="30"/>
        <v>025440 KS</v>
      </c>
      <c r="D664" s="58" t="s">
        <v>3671</v>
      </c>
      <c r="E664" s="110" t="s">
        <v>3527</v>
      </c>
      <c r="F664" s="110" t="str">
        <f>IFERROR(VLOOKUP(C664,[1]evdl298!$B:$D,3,0),"")</f>
        <v>E</v>
      </c>
      <c r="G664" s="110">
        <f>IFERROR(VLOOKUP(C664,[1]evdl298!$B:$C,2,0),"")</f>
        <v>41515</v>
      </c>
      <c r="H664" s="110" t="str">
        <f t="shared" si="31"/>
        <v>E</v>
      </c>
      <c r="I664" s="110">
        <f t="shared" si="32"/>
        <v>41515</v>
      </c>
      <c r="J664" s="110"/>
      <c r="K664" s="110"/>
      <c r="M664" s="110"/>
      <c r="O664" s="110"/>
    </row>
    <row r="665" spans="1:15" x14ac:dyDescent="0.3">
      <c r="A665" s="58" t="str">
        <f>Schedule!E663</f>
        <v>A025530</v>
      </c>
      <c r="B665" s="58" t="s">
        <v>2138</v>
      </c>
      <c r="C665" s="58" t="str">
        <f t="shared" si="30"/>
        <v>025530 KS</v>
      </c>
      <c r="D665" s="58" t="s">
        <v>3671</v>
      </c>
      <c r="E665" s="110" t="s">
        <v>3527</v>
      </c>
      <c r="F665" s="110" t="str">
        <f>IFERROR(VLOOKUP(C665,[1]evdl298!$B:$D,3,0),"")</f>
        <v>E</v>
      </c>
      <c r="G665" s="110">
        <f>IFERROR(VLOOKUP(C665,[1]evdl298!$B:$C,2,0),"")</f>
        <v>41515</v>
      </c>
      <c r="H665" s="110" t="str">
        <f t="shared" si="31"/>
        <v>E</v>
      </c>
      <c r="I665" s="110">
        <f t="shared" si="32"/>
        <v>41515</v>
      </c>
      <c r="J665" s="110"/>
      <c r="K665" s="110"/>
      <c r="M665" s="110"/>
      <c r="O665" s="110"/>
    </row>
    <row r="666" spans="1:15" x14ac:dyDescent="0.3">
      <c r="A666" s="58" t="str">
        <f>Schedule!E664</f>
        <v>A025540</v>
      </c>
      <c r="B666" s="58" t="s">
        <v>2139</v>
      </c>
      <c r="C666" s="58" t="str">
        <f t="shared" si="30"/>
        <v>025540 KS</v>
      </c>
      <c r="D666" s="58" t="s">
        <v>3671</v>
      </c>
      <c r="E666" s="110" t="s">
        <v>3527</v>
      </c>
      <c r="F666" s="110" t="str">
        <f>IFERROR(VLOOKUP(C666,[1]evdl298!$B:$D,3,0),"")</f>
        <v>E</v>
      </c>
      <c r="G666" s="110">
        <f>IFERROR(VLOOKUP(C666,[1]evdl298!$B:$C,2,0),"")</f>
        <v>41500</v>
      </c>
      <c r="H666" s="110" t="str">
        <f t="shared" si="31"/>
        <v>E</v>
      </c>
      <c r="I666" s="110">
        <f t="shared" si="32"/>
        <v>41500</v>
      </c>
      <c r="J666" s="110"/>
      <c r="K666" s="110"/>
      <c r="M666" s="110"/>
      <c r="O666" s="110"/>
    </row>
    <row r="667" spans="1:15" x14ac:dyDescent="0.3">
      <c r="A667" s="58" t="str">
        <f>Schedule!E665</f>
        <v>A025550</v>
      </c>
      <c r="B667" s="58" t="s">
        <v>2140</v>
      </c>
      <c r="C667" s="58" t="str">
        <f t="shared" si="30"/>
        <v>025550 KS</v>
      </c>
      <c r="D667" s="58" t="s">
        <v>3671</v>
      </c>
      <c r="E667" s="110" t="s">
        <v>3527</v>
      </c>
      <c r="F667" s="110" t="str">
        <f>IFERROR(VLOOKUP(C667,[1]evdl298!$B:$D,3,0),"")</f>
        <v/>
      </c>
      <c r="G667" s="110" t="str">
        <f>IFERROR(VLOOKUP(C667,[1]evdl298!$B:$C,2,0),"")</f>
        <v/>
      </c>
      <c r="H667" s="110" t="str">
        <f t="shared" si="31"/>
        <v/>
      </c>
      <c r="I667" s="110" t="str">
        <f t="shared" si="32"/>
        <v/>
      </c>
      <c r="J667" s="110"/>
      <c r="K667" s="110"/>
      <c r="M667" s="110"/>
      <c r="O667" s="110"/>
    </row>
    <row r="668" spans="1:15" x14ac:dyDescent="0.3">
      <c r="A668" s="58" t="str">
        <f>Schedule!E666</f>
        <v>A025560</v>
      </c>
      <c r="B668" s="58" t="s">
        <v>2141</v>
      </c>
      <c r="C668" s="58" t="str">
        <f t="shared" si="30"/>
        <v>025560 KS</v>
      </c>
      <c r="D668" s="58" t="s">
        <v>3671</v>
      </c>
      <c r="E668" s="110" t="s">
        <v>3527</v>
      </c>
      <c r="F668" s="110" t="str">
        <f>IFERROR(VLOOKUP(C668,[1]evdl298!$B:$D,3,0),"")</f>
        <v/>
      </c>
      <c r="G668" s="110" t="str">
        <f>IFERROR(VLOOKUP(C668,[1]evdl298!$B:$C,2,0),"")</f>
        <v/>
      </c>
      <c r="H668" s="110" t="str">
        <f t="shared" si="31"/>
        <v/>
      </c>
      <c r="I668" s="110" t="str">
        <f t="shared" si="32"/>
        <v/>
      </c>
      <c r="J668" s="110"/>
      <c r="K668" s="110"/>
      <c r="M668" s="110"/>
      <c r="O668" s="110"/>
    </row>
    <row r="669" spans="1:15" x14ac:dyDescent="0.3">
      <c r="A669" s="58" t="str">
        <f>Schedule!E667</f>
        <v>A025620</v>
      </c>
      <c r="B669" s="58" t="s">
        <v>2142</v>
      </c>
      <c r="C669" s="58" t="str">
        <f t="shared" si="30"/>
        <v>025620 KS</v>
      </c>
      <c r="D669" s="58" t="s">
        <v>3671</v>
      </c>
      <c r="E669" s="110" t="s">
        <v>3527</v>
      </c>
      <c r="F669" s="110" t="str">
        <f>IFERROR(VLOOKUP(C669,[1]evdl298!$B:$D,3,0),"")</f>
        <v>E</v>
      </c>
      <c r="G669" s="110">
        <f>IFERROR(VLOOKUP(C669,[1]evdl298!$B:$C,2,0),"")</f>
        <v>41500</v>
      </c>
      <c r="H669" s="110" t="str">
        <f t="shared" si="31"/>
        <v>E</v>
      </c>
      <c r="I669" s="110">
        <f t="shared" si="32"/>
        <v>41500</v>
      </c>
      <c r="J669" s="110"/>
      <c r="K669" s="110"/>
      <c r="M669" s="110"/>
      <c r="O669" s="110"/>
    </row>
    <row r="670" spans="1:15" x14ac:dyDescent="0.3">
      <c r="A670" s="58" t="str">
        <f>Schedule!E668</f>
        <v>A025750</v>
      </c>
      <c r="B670" s="58" t="s">
        <v>2143</v>
      </c>
      <c r="C670" s="58" t="str">
        <f t="shared" si="30"/>
        <v>025750 KS</v>
      </c>
      <c r="D670" s="58" t="s">
        <v>3671</v>
      </c>
      <c r="E670" s="110" t="s">
        <v>3527</v>
      </c>
      <c r="F670" s="110" t="str">
        <f>IFERROR(VLOOKUP(C670,[1]evdl298!$B:$D,3,0),"")</f>
        <v>E</v>
      </c>
      <c r="G670" s="110">
        <f>IFERROR(VLOOKUP(C670,[1]evdl298!$B:$C,2,0),"")</f>
        <v>41500</v>
      </c>
      <c r="H670" s="110" t="str">
        <f t="shared" si="31"/>
        <v>E</v>
      </c>
      <c r="I670" s="110">
        <f t="shared" si="32"/>
        <v>41500</v>
      </c>
      <c r="J670" s="110"/>
      <c r="K670" s="110"/>
      <c r="M670" s="110"/>
      <c r="O670" s="110"/>
    </row>
    <row r="671" spans="1:15" x14ac:dyDescent="0.3">
      <c r="A671" s="58" t="str">
        <f>Schedule!E669</f>
        <v>A025770</v>
      </c>
      <c r="B671" s="58" t="s">
        <v>2144</v>
      </c>
      <c r="C671" s="58" t="str">
        <f t="shared" si="30"/>
        <v>025770 KS</v>
      </c>
      <c r="D671" s="58" t="s">
        <v>3671</v>
      </c>
      <c r="E671" s="110" t="s">
        <v>3527</v>
      </c>
      <c r="F671" s="110" t="str">
        <f>IFERROR(VLOOKUP(C671,[1]evdl298!$B:$D,3,0),"")</f>
        <v>E</v>
      </c>
      <c r="G671" s="110">
        <f>IFERROR(VLOOKUP(C671,[1]evdl298!$B:$C,2,0),"")</f>
        <v>41515</v>
      </c>
      <c r="H671" s="110" t="str">
        <f t="shared" si="31"/>
        <v>E</v>
      </c>
      <c r="I671" s="110">
        <f t="shared" si="32"/>
        <v>41515</v>
      </c>
      <c r="J671" s="110"/>
      <c r="K671" s="110"/>
      <c r="M671" s="110"/>
      <c r="O671" s="110"/>
    </row>
    <row r="672" spans="1:15" x14ac:dyDescent="0.3">
      <c r="A672" s="58" t="str">
        <f>Schedule!E670</f>
        <v>A025820</v>
      </c>
      <c r="B672" s="58" t="s">
        <v>2145</v>
      </c>
      <c r="C672" s="58" t="str">
        <f t="shared" si="30"/>
        <v>025820 KS</v>
      </c>
      <c r="D672" s="58" t="s">
        <v>3671</v>
      </c>
      <c r="E672" s="110" t="s">
        <v>3527</v>
      </c>
      <c r="F672" s="110" t="str">
        <f>IFERROR(VLOOKUP(C672,[1]evdl298!$B:$D,3,0),"")</f>
        <v>E</v>
      </c>
      <c r="G672" s="110">
        <f>IFERROR(VLOOKUP(C672,[1]evdl298!$B:$C,2,0),"")</f>
        <v>41500</v>
      </c>
      <c r="H672" s="110" t="str">
        <f t="shared" si="31"/>
        <v>E</v>
      </c>
      <c r="I672" s="110">
        <f t="shared" si="32"/>
        <v>41500</v>
      </c>
      <c r="J672" s="110"/>
      <c r="K672" s="110"/>
      <c r="M672" s="110"/>
      <c r="O672" s="110"/>
    </row>
    <row r="673" spans="1:15" x14ac:dyDescent="0.3">
      <c r="A673" s="58" t="str">
        <f>Schedule!E671</f>
        <v>A025850</v>
      </c>
      <c r="B673" s="58" t="s">
        <v>2146</v>
      </c>
      <c r="C673" s="58" t="str">
        <f t="shared" si="30"/>
        <v>025850 KS</v>
      </c>
      <c r="D673" s="58" t="s">
        <v>3671</v>
      </c>
      <c r="E673" s="110" t="s">
        <v>3527</v>
      </c>
      <c r="F673" s="110" t="str">
        <f>IFERROR(VLOOKUP(C673,[1]evdl298!$B:$D,3,0),"")</f>
        <v>E</v>
      </c>
      <c r="G673" s="110">
        <f>IFERROR(VLOOKUP(C673,[1]evdl298!$B:$C,2,0),"")</f>
        <v>41500</v>
      </c>
      <c r="H673" s="110" t="str">
        <f t="shared" si="31"/>
        <v>E</v>
      </c>
      <c r="I673" s="110">
        <f t="shared" si="32"/>
        <v>41500</v>
      </c>
      <c r="J673" s="110"/>
      <c r="K673" s="110"/>
      <c r="M673" s="110"/>
      <c r="O673" s="110"/>
    </row>
    <row r="674" spans="1:15" x14ac:dyDescent="0.3">
      <c r="A674" s="58" t="str">
        <f>Schedule!E672</f>
        <v>A025860</v>
      </c>
      <c r="B674" s="58" t="s">
        <v>2147</v>
      </c>
      <c r="C674" s="58" t="str">
        <f t="shared" si="30"/>
        <v>025860 KS</v>
      </c>
      <c r="D674" s="58" t="s">
        <v>3671</v>
      </c>
      <c r="E674" s="110" t="s">
        <v>3527</v>
      </c>
      <c r="F674" s="110" t="str">
        <f>IFERROR(VLOOKUP(C674,[1]evdl298!$B:$D,3,0),"")</f>
        <v>E</v>
      </c>
      <c r="G674" s="110">
        <f>IFERROR(VLOOKUP(C674,[1]evdl298!$B:$C,2,0),"")</f>
        <v>41500</v>
      </c>
      <c r="H674" s="110" t="str">
        <f t="shared" si="31"/>
        <v>E</v>
      </c>
      <c r="I674" s="110">
        <f t="shared" si="32"/>
        <v>41500</v>
      </c>
      <c r="J674" s="110"/>
      <c r="K674" s="110"/>
      <c r="M674" s="110"/>
      <c r="O674" s="110"/>
    </row>
    <row r="675" spans="1:15" x14ac:dyDescent="0.3">
      <c r="A675" s="58" t="str">
        <f>Schedule!E673</f>
        <v>A025870</v>
      </c>
      <c r="B675" s="58" t="s">
        <v>2148</v>
      </c>
      <c r="C675" s="58" t="str">
        <f t="shared" si="30"/>
        <v>025870 KS</v>
      </c>
      <c r="D675" s="58" t="s">
        <v>3671</v>
      </c>
      <c r="E675" s="110" t="s">
        <v>3527</v>
      </c>
      <c r="F675" s="110" t="str">
        <f>IFERROR(VLOOKUP(C675,[1]evdl298!$B:$D,3,0),"")</f>
        <v>E</v>
      </c>
      <c r="G675" s="110">
        <f>IFERROR(VLOOKUP(C675,[1]evdl298!$B:$C,2,0),"")</f>
        <v>41500</v>
      </c>
      <c r="H675" s="110" t="str">
        <f t="shared" si="31"/>
        <v>E</v>
      </c>
      <c r="I675" s="110">
        <f t="shared" si="32"/>
        <v>41500</v>
      </c>
      <c r="J675" s="110"/>
      <c r="K675" s="110"/>
      <c r="M675" s="110"/>
      <c r="O675" s="110"/>
    </row>
    <row r="676" spans="1:15" x14ac:dyDescent="0.3">
      <c r="A676" s="58" t="str">
        <f>Schedule!E674</f>
        <v>A025880</v>
      </c>
      <c r="B676" s="58" t="s">
        <v>2149</v>
      </c>
      <c r="C676" s="58" t="str">
        <f t="shared" si="30"/>
        <v>025880 KS</v>
      </c>
      <c r="D676" s="58" t="s">
        <v>3671</v>
      </c>
      <c r="E676" s="110" t="s">
        <v>3527</v>
      </c>
      <c r="F676" s="110" t="str">
        <f>IFERROR(VLOOKUP(C676,[1]evdl298!$B:$D,3,0),"")</f>
        <v>E</v>
      </c>
      <c r="G676" s="110">
        <f>IFERROR(VLOOKUP(C676,[1]evdl298!$B:$C,2,0),"")</f>
        <v>41500</v>
      </c>
      <c r="H676" s="110" t="str">
        <f t="shared" si="31"/>
        <v>E</v>
      </c>
      <c r="I676" s="110">
        <f t="shared" si="32"/>
        <v>41500</v>
      </c>
      <c r="J676" s="110"/>
      <c r="K676" s="110"/>
      <c r="M676" s="110"/>
      <c r="O676" s="110"/>
    </row>
    <row r="677" spans="1:15" x14ac:dyDescent="0.3">
      <c r="A677" s="58" t="str">
        <f>Schedule!E675</f>
        <v>A025890</v>
      </c>
      <c r="B677" s="58" t="s">
        <v>2150</v>
      </c>
      <c r="C677" s="58" t="str">
        <f t="shared" si="30"/>
        <v>025890 KS</v>
      </c>
      <c r="D677" s="58" t="s">
        <v>3671</v>
      </c>
      <c r="E677" s="110" t="s">
        <v>3527</v>
      </c>
      <c r="F677" s="110" t="str">
        <f>IFERROR(VLOOKUP(C677,[1]evdl298!$B:$D,3,0),"")</f>
        <v>E</v>
      </c>
      <c r="G677" s="110">
        <f>IFERROR(VLOOKUP(C677,[1]evdl298!$B:$C,2,0),"")</f>
        <v>41500</v>
      </c>
      <c r="H677" s="110" t="str">
        <f t="shared" si="31"/>
        <v>E</v>
      </c>
      <c r="I677" s="110">
        <f t="shared" si="32"/>
        <v>41500</v>
      </c>
      <c r="J677" s="110"/>
      <c r="K677" s="110"/>
      <c r="M677" s="110"/>
      <c r="O677" s="110"/>
    </row>
    <row r="678" spans="1:15" x14ac:dyDescent="0.3">
      <c r="A678" s="58" t="str">
        <f>Schedule!E676</f>
        <v>A025900</v>
      </c>
      <c r="B678" s="58" t="s">
        <v>2151</v>
      </c>
      <c r="C678" s="58" t="str">
        <f t="shared" si="30"/>
        <v>025900 KS</v>
      </c>
      <c r="D678" s="58" t="s">
        <v>3671</v>
      </c>
      <c r="E678" s="110" t="s">
        <v>3527</v>
      </c>
      <c r="F678" s="110" t="str">
        <f>IFERROR(VLOOKUP(C678,[1]evdl298!$B:$D,3,0),"")</f>
        <v>E</v>
      </c>
      <c r="G678" s="110">
        <f>IFERROR(VLOOKUP(C678,[1]evdl298!$B:$C,2,0),"")</f>
        <v>41500</v>
      </c>
      <c r="H678" s="110" t="str">
        <f t="shared" si="31"/>
        <v>E</v>
      </c>
      <c r="I678" s="110">
        <f t="shared" si="32"/>
        <v>41500</v>
      </c>
      <c r="J678" s="110"/>
      <c r="K678" s="110"/>
      <c r="M678" s="110"/>
      <c r="O678" s="110"/>
    </row>
    <row r="679" spans="1:15" x14ac:dyDescent="0.3">
      <c r="A679" s="58" t="str">
        <f>Schedule!E677</f>
        <v>A025920</v>
      </c>
      <c r="B679" s="58" t="s">
        <v>2152</v>
      </c>
      <c r="C679" s="58" t="str">
        <f t="shared" si="30"/>
        <v>025920 KS</v>
      </c>
      <c r="D679" s="58" t="s">
        <v>3671</v>
      </c>
      <c r="E679" s="110" t="s">
        <v>3527</v>
      </c>
      <c r="F679" s="110" t="str">
        <f>IFERROR(VLOOKUP(C679,[1]evdl298!$B:$D,3,0),"")</f>
        <v/>
      </c>
      <c r="G679" s="110" t="str">
        <f>IFERROR(VLOOKUP(C679,[1]evdl298!$B:$C,2,0),"")</f>
        <v/>
      </c>
      <c r="H679" s="110" t="str">
        <f t="shared" si="31"/>
        <v/>
      </c>
      <c r="I679" s="110" t="str">
        <f t="shared" si="32"/>
        <v/>
      </c>
      <c r="J679" s="110"/>
      <c r="K679" s="110"/>
      <c r="M679" s="110"/>
      <c r="O679" s="110"/>
    </row>
    <row r="680" spans="1:15" x14ac:dyDescent="0.3">
      <c r="A680" s="58" t="str">
        <f>Schedule!E678</f>
        <v>A025950</v>
      </c>
      <c r="B680" s="58" t="s">
        <v>2153</v>
      </c>
      <c r="C680" s="58" t="str">
        <f t="shared" si="30"/>
        <v>025950 KS</v>
      </c>
      <c r="D680" s="58" t="s">
        <v>3671</v>
      </c>
      <c r="E680" s="110" t="s">
        <v>3527</v>
      </c>
      <c r="F680" s="110" t="str">
        <f>IFERROR(VLOOKUP(C680,[1]evdl298!$B:$D,3,0),"")</f>
        <v>E</v>
      </c>
      <c r="G680" s="110">
        <f>IFERROR(VLOOKUP(C680,[1]evdl298!$B:$C,2,0),"")</f>
        <v>41460</v>
      </c>
      <c r="H680" s="110" t="str">
        <f t="shared" si="31"/>
        <v>E</v>
      </c>
      <c r="I680" s="110">
        <f t="shared" si="32"/>
        <v>41460</v>
      </c>
      <c r="J680" s="110"/>
      <c r="K680" s="110"/>
      <c r="M680" s="110"/>
      <c r="O680" s="110"/>
    </row>
    <row r="681" spans="1:15" x14ac:dyDescent="0.3">
      <c r="A681" s="58" t="str">
        <f>Schedule!E679</f>
        <v>A025980</v>
      </c>
      <c r="B681" s="58" t="s">
        <v>2154</v>
      </c>
      <c r="C681" s="58" t="str">
        <f t="shared" si="30"/>
        <v>025980 KS</v>
      </c>
      <c r="D681" s="58" t="s">
        <v>3671</v>
      </c>
      <c r="E681" s="110" t="s">
        <v>3527</v>
      </c>
      <c r="F681" s="110" t="str">
        <f>IFERROR(VLOOKUP(C681,[1]evdl298!$B:$D,3,0),"")</f>
        <v/>
      </c>
      <c r="G681" s="110" t="str">
        <f>IFERROR(VLOOKUP(C681,[1]evdl298!$B:$C,2,0),"")</f>
        <v/>
      </c>
      <c r="H681" s="110" t="str">
        <f t="shared" si="31"/>
        <v/>
      </c>
      <c r="I681" s="110" t="str">
        <f t="shared" si="32"/>
        <v/>
      </c>
      <c r="J681" s="110"/>
      <c r="K681" s="110"/>
      <c r="M681" s="110"/>
      <c r="O681" s="110"/>
    </row>
    <row r="682" spans="1:15" x14ac:dyDescent="0.3">
      <c r="A682" s="58" t="str">
        <f>Schedule!E680</f>
        <v>A026040</v>
      </c>
      <c r="B682" s="58" t="s">
        <v>2155</v>
      </c>
      <c r="C682" s="58" t="str">
        <f t="shared" si="30"/>
        <v>026040 KS</v>
      </c>
      <c r="D682" s="58" t="s">
        <v>3671</v>
      </c>
      <c r="E682" s="110" t="s">
        <v>3527</v>
      </c>
      <c r="F682" s="110" t="str">
        <f>IFERROR(VLOOKUP(C682,[1]evdl298!$B:$D,3,0),"")</f>
        <v>E</v>
      </c>
      <c r="G682" s="110">
        <f>IFERROR(VLOOKUP(C682,[1]evdl298!$B:$C,2,0),"")</f>
        <v>41487</v>
      </c>
      <c r="H682" s="110" t="str">
        <f t="shared" si="31"/>
        <v>E</v>
      </c>
      <c r="I682" s="110">
        <f t="shared" si="32"/>
        <v>41487</v>
      </c>
      <c r="J682" s="110"/>
      <c r="K682" s="110"/>
      <c r="M682" s="110"/>
      <c r="O682" s="110"/>
    </row>
    <row r="683" spans="1:15" x14ac:dyDescent="0.3">
      <c r="A683" s="58" t="str">
        <f>Schedule!E681</f>
        <v>A026150</v>
      </c>
      <c r="B683" s="58" t="s">
        <v>2156</v>
      </c>
      <c r="C683" s="58" t="str">
        <f t="shared" si="30"/>
        <v>026150 KS</v>
      </c>
      <c r="D683" s="58" t="s">
        <v>3671</v>
      </c>
      <c r="E683" s="110" t="s">
        <v>3527</v>
      </c>
      <c r="F683" s="110" t="str">
        <f>IFERROR(VLOOKUP(C683,[1]evdl298!$B:$D,3,0),"")</f>
        <v>E</v>
      </c>
      <c r="G683" s="110">
        <f>IFERROR(VLOOKUP(C683,[1]evdl298!$B:$C,2,0),"")</f>
        <v>41460</v>
      </c>
      <c r="H683" s="110" t="str">
        <f t="shared" si="31"/>
        <v>E</v>
      </c>
      <c r="I683" s="110">
        <f t="shared" si="32"/>
        <v>41460</v>
      </c>
      <c r="J683" s="110"/>
      <c r="K683" s="110"/>
      <c r="M683" s="110"/>
      <c r="O683" s="110"/>
    </row>
    <row r="684" spans="1:15" x14ac:dyDescent="0.3">
      <c r="A684" s="58" t="str">
        <f>Schedule!E682</f>
        <v>A026180</v>
      </c>
      <c r="B684" s="58" t="s">
        <v>2157</v>
      </c>
      <c r="C684" s="58" t="str">
        <f t="shared" si="30"/>
        <v>026180 KS</v>
      </c>
      <c r="D684" s="58" t="s">
        <v>3671</v>
      </c>
      <c r="E684" s="110" t="s">
        <v>3527</v>
      </c>
      <c r="F684" s="110" t="str">
        <f>IFERROR(VLOOKUP(C684,[1]evdl298!$B:$D,3,0),"")</f>
        <v/>
      </c>
      <c r="G684" s="110" t="str">
        <f>IFERROR(VLOOKUP(C684,[1]evdl298!$B:$C,2,0),"")</f>
        <v/>
      </c>
      <c r="H684" s="110" t="str">
        <f t="shared" si="31"/>
        <v/>
      </c>
      <c r="I684" s="110" t="str">
        <f t="shared" si="32"/>
        <v/>
      </c>
      <c r="J684" s="110"/>
      <c r="K684" s="110"/>
      <c r="M684" s="110"/>
      <c r="O684" s="110"/>
    </row>
    <row r="685" spans="1:15" x14ac:dyDescent="0.3">
      <c r="A685" s="58" t="str">
        <f>Schedule!E683</f>
        <v>A026260</v>
      </c>
      <c r="B685" s="58" t="s">
        <v>2158</v>
      </c>
      <c r="C685" s="58" t="str">
        <f t="shared" si="30"/>
        <v>026260 KS</v>
      </c>
      <c r="D685" s="58" t="s">
        <v>3671</v>
      </c>
      <c r="E685" s="110" t="s">
        <v>3527</v>
      </c>
      <c r="F685" s="110" t="str">
        <f>IFERROR(VLOOKUP(C685,[1]evdl298!$B:$D,3,0),"")</f>
        <v/>
      </c>
      <c r="G685" s="110" t="str">
        <f>IFERROR(VLOOKUP(C685,[1]evdl298!$B:$C,2,0),"")</f>
        <v/>
      </c>
      <c r="H685" s="110" t="str">
        <f t="shared" si="31"/>
        <v/>
      </c>
      <c r="I685" s="110" t="str">
        <f t="shared" si="32"/>
        <v/>
      </c>
      <c r="J685" s="110"/>
      <c r="K685" s="110"/>
      <c r="M685" s="110"/>
      <c r="O685" s="110"/>
    </row>
    <row r="686" spans="1:15" x14ac:dyDescent="0.3">
      <c r="A686" s="58" t="str">
        <f>Schedule!E684</f>
        <v>A026890</v>
      </c>
      <c r="B686" s="58" t="s">
        <v>2159</v>
      </c>
      <c r="C686" s="58" t="str">
        <f t="shared" si="30"/>
        <v>026890 KS</v>
      </c>
      <c r="D686" s="58" t="s">
        <v>3671</v>
      </c>
      <c r="E686" s="110" t="s">
        <v>3527</v>
      </c>
      <c r="F686" s="110" t="str">
        <f>IFERROR(VLOOKUP(C686,[1]evdl298!$B:$D,3,0),"")</f>
        <v>E</v>
      </c>
      <c r="G686" s="110">
        <f>IFERROR(VLOOKUP(C686,[1]evdl298!$B:$C,2,0),"")</f>
        <v>41500</v>
      </c>
      <c r="H686" s="110" t="str">
        <f t="shared" si="31"/>
        <v>E</v>
      </c>
      <c r="I686" s="110">
        <f t="shared" si="32"/>
        <v>41500</v>
      </c>
      <c r="J686" s="110"/>
      <c r="K686" s="110"/>
      <c r="M686" s="110"/>
      <c r="O686" s="110"/>
    </row>
    <row r="687" spans="1:15" x14ac:dyDescent="0.3">
      <c r="A687" s="58" t="str">
        <f>Schedule!E685</f>
        <v>A026910</v>
      </c>
      <c r="B687" s="58" t="s">
        <v>2160</v>
      </c>
      <c r="C687" s="58" t="str">
        <f t="shared" si="30"/>
        <v>026910 KS</v>
      </c>
      <c r="D687" s="58" t="s">
        <v>3671</v>
      </c>
      <c r="E687" s="110" t="s">
        <v>3527</v>
      </c>
      <c r="F687" s="110" t="str">
        <f>IFERROR(VLOOKUP(C687,[1]evdl298!$B:$D,3,0),"")</f>
        <v>E</v>
      </c>
      <c r="G687" s="110">
        <f>IFERROR(VLOOKUP(C687,[1]evdl298!$B:$C,2,0),"")</f>
        <v>41500</v>
      </c>
      <c r="H687" s="110" t="str">
        <f t="shared" si="31"/>
        <v>E</v>
      </c>
      <c r="I687" s="110">
        <f t="shared" si="32"/>
        <v>41500</v>
      </c>
      <c r="J687" s="110"/>
      <c r="K687" s="110"/>
      <c r="M687" s="110"/>
      <c r="O687" s="110"/>
    </row>
    <row r="688" spans="1:15" x14ac:dyDescent="0.3">
      <c r="A688" s="58" t="str">
        <f>Schedule!E686</f>
        <v>A026940</v>
      </c>
      <c r="B688" s="58" t="s">
        <v>2161</v>
      </c>
      <c r="C688" s="58" t="str">
        <f t="shared" si="30"/>
        <v>026940 KS</v>
      </c>
      <c r="D688" s="58" t="s">
        <v>3671</v>
      </c>
      <c r="E688" s="110" t="s">
        <v>3527</v>
      </c>
      <c r="F688" s="110" t="str">
        <f>IFERROR(VLOOKUP(C688,[1]evdl298!$B:$D,3,0),"")</f>
        <v>E</v>
      </c>
      <c r="G688" s="110">
        <f>IFERROR(VLOOKUP(C688,[1]evdl298!$B:$C,2,0),"")</f>
        <v>41500</v>
      </c>
      <c r="H688" s="110" t="str">
        <f t="shared" si="31"/>
        <v>E</v>
      </c>
      <c r="I688" s="110">
        <f t="shared" si="32"/>
        <v>41500</v>
      </c>
      <c r="J688" s="110"/>
      <c r="K688" s="110"/>
      <c r="M688" s="110"/>
      <c r="O688" s="110"/>
    </row>
    <row r="689" spans="1:15" x14ac:dyDescent="0.3">
      <c r="A689" s="58" t="str">
        <f>Schedule!E687</f>
        <v>A026960</v>
      </c>
      <c r="B689" s="58" t="s">
        <v>2162</v>
      </c>
      <c r="C689" s="58" t="str">
        <f t="shared" si="30"/>
        <v>026960 KS</v>
      </c>
      <c r="D689" s="58" t="s">
        <v>3671</v>
      </c>
      <c r="E689" s="110" t="s">
        <v>3527</v>
      </c>
      <c r="F689" s="110" t="str">
        <f>IFERROR(VLOOKUP(C689,[1]evdl298!$B:$D,3,0),"")</f>
        <v/>
      </c>
      <c r="G689" s="110" t="str">
        <f>IFERROR(VLOOKUP(C689,[1]evdl298!$B:$C,2,0),"")</f>
        <v/>
      </c>
      <c r="H689" s="110" t="str">
        <f t="shared" si="31"/>
        <v/>
      </c>
      <c r="I689" s="110" t="str">
        <f t="shared" si="32"/>
        <v/>
      </c>
      <c r="J689" s="110"/>
      <c r="K689" s="110"/>
      <c r="M689" s="110"/>
      <c r="O689" s="110"/>
    </row>
    <row r="690" spans="1:15" x14ac:dyDescent="0.3">
      <c r="A690" s="58" t="str">
        <f>Schedule!E688</f>
        <v>A027040</v>
      </c>
      <c r="B690" s="58" t="s">
        <v>2163</v>
      </c>
      <c r="C690" s="58" t="str">
        <f t="shared" si="30"/>
        <v>027040 KS</v>
      </c>
      <c r="D690" s="58" t="s">
        <v>3671</v>
      </c>
      <c r="E690" s="110" t="s">
        <v>3527</v>
      </c>
      <c r="F690" s="110" t="str">
        <f>IFERROR(VLOOKUP(C690,[1]evdl298!$B:$D,3,0),"")</f>
        <v>E</v>
      </c>
      <c r="G690" s="110">
        <f>IFERROR(VLOOKUP(C690,[1]evdl298!$B:$C,2,0),"")</f>
        <v>41500</v>
      </c>
      <c r="H690" s="110" t="str">
        <f t="shared" si="31"/>
        <v>E</v>
      </c>
      <c r="I690" s="110">
        <f t="shared" si="32"/>
        <v>41500</v>
      </c>
      <c r="J690" s="110"/>
      <c r="K690" s="110"/>
      <c r="M690" s="110"/>
      <c r="O690" s="110"/>
    </row>
    <row r="691" spans="1:15" x14ac:dyDescent="0.3">
      <c r="A691" s="58" t="str">
        <f>Schedule!E689</f>
        <v>A027050</v>
      </c>
      <c r="B691" s="58" t="s">
        <v>2164</v>
      </c>
      <c r="C691" s="58" t="str">
        <f t="shared" si="30"/>
        <v>027050 KS</v>
      </c>
      <c r="D691" s="58" t="s">
        <v>3671</v>
      </c>
      <c r="E691" s="110" t="s">
        <v>3527</v>
      </c>
      <c r="F691" s="110" t="str">
        <f>IFERROR(VLOOKUP(C691,[1]evdl298!$B:$D,3,0),"")</f>
        <v/>
      </c>
      <c r="G691" s="110" t="str">
        <f>IFERROR(VLOOKUP(C691,[1]evdl298!$B:$C,2,0),"")</f>
        <v/>
      </c>
      <c r="H691" s="110" t="str">
        <f t="shared" si="31"/>
        <v/>
      </c>
      <c r="I691" s="110" t="str">
        <f t="shared" si="32"/>
        <v/>
      </c>
      <c r="J691" s="110"/>
      <c r="K691" s="110"/>
      <c r="M691" s="110"/>
      <c r="O691" s="110"/>
    </row>
    <row r="692" spans="1:15" x14ac:dyDescent="0.3">
      <c r="A692" s="58" t="str">
        <f>Schedule!E690</f>
        <v>A027390</v>
      </c>
      <c r="B692" s="58" t="s">
        <v>2165</v>
      </c>
      <c r="C692" s="58" t="str">
        <f t="shared" si="30"/>
        <v>027390 KS</v>
      </c>
      <c r="D692" s="58" t="s">
        <v>3671</v>
      </c>
      <c r="E692" s="110" t="s">
        <v>3527</v>
      </c>
      <c r="F692" s="110" t="str">
        <f>IFERROR(VLOOKUP(C692,[1]evdl298!$B:$D,3,0),"")</f>
        <v>E</v>
      </c>
      <c r="G692" s="110">
        <f>IFERROR(VLOOKUP(C692,[1]evdl298!$B:$C,2,0),"")</f>
        <v>41492</v>
      </c>
      <c r="H692" s="110" t="str">
        <f t="shared" si="31"/>
        <v>E</v>
      </c>
      <c r="I692" s="110">
        <f t="shared" si="32"/>
        <v>41492</v>
      </c>
      <c r="J692" s="110"/>
      <c r="K692" s="110"/>
      <c r="M692" s="110"/>
      <c r="O692" s="110"/>
    </row>
    <row r="693" spans="1:15" x14ac:dyDescent="0.3">
      <c r="A693" s="58" t="str">
        <f>Schedule!E691</f>
        <v>A027580</v>
      </c>
      <c r="B693" s="58" t="s">
        <v>2166</v>
      </c>
      <c r="C693" s="58" t="str">
        <f t="shared" si="30"/>
        <v>027580 KS</v>
      </c>
      <c r="D693" s="58" t="s">
        <v>3671</v>
      </c>
      <c r="E693" s="110" t="s">
        <v>3527</v>
      </c>
      <c r="F693" s="110" t="str">
        <f>IFERROR(VLOOKUP(C693,[1]evdl298!$B:$D,3,0),"")</f>
        <v>E</v>
      </c>
      <c r="G693" s="110">
        <f>IFERROR(VLOOKUP(C693,[1]evdl298!$B:$C,2,0),"")</f>
        <v>41500</v>
      </c>
      <c r="H693" s="110" t="str">
        <f t="shared" si="31"/>
        <v>E</v>
      </c>
      <c r="I693" s="110">
        <f t="shared" si="32"/>
        <v>41500</v>
      </c>
      <c r="J693" s="110"/>
      <c r="K693" s="110"/>
      <c r="M693" s="110"/>
      <c r="O693" s="110"/>
    </row>
    <row r="694" spans="1:15" x14ac:dyDescent="0.3">
      <c r="A694" s="58" t="str">
        <f>Schedule!E692</f>
        <v>A027710</v>
      </c>
      <c r="B694" s="58" t="s">
        <v>2167</v>
      </c>
      <c r="C694" s="58" t="str">
        <f t="shared" si="30"/>
        <v>027710 KS</v>
      </c>
      <c r="D694" s="58" t="s">
        <v>3671</v>
      </c>
      <c r="E694" s="110" t="s">
        <v>3527</v>
      </c>
      <c r="F694" s="110" t="str">
        <f>IFERROR(VLOOKUP(C694,[1]evdl298!$B:$D,3,0),"")</f>
        <v/>
      </c>
      <c r="G694" s="110" t="str">
        <f>IFERROR(VLOOKUP(C694,[1]evdl298!$B:$C,2,0),"")</f>
        <v/>
      </c>
      <c r="H694" s="110" t="str">
        <f t="shared" si="31"/>
        <v/>
      </c>
      <c r="I694" s="110" t="str">
        <f t="shared" si="32"/>
        <v/>
      </c>
      <c r="J694" s="110"/>
      <c r="K694" s="110"/>
      <c r="M694" s="110"/>
      <c r="O694" s="110"/>
    </row>
    <row r="695" spans="1:15" x14ac:dyDescent="0.3">
      <c r="A695" s="58" t="str">
        <f>Schedule!E693</f>
        <v>A027740</v>
      </c>
      <c r="B695" s="58" t="s">
        <v>2168</v>
      </c>
      <c r="C695" s="58" t="str">
        <f t="shared" si="30"/>
        <v>027740 KS</v>
      </c>
      <c r="D695" s="58" t="s">
        <v>3671</v>
      </c>
      <c r="E695" s="110" t="s">
        <v>3527</v>
      </c>
      <c r="F695" s="110" t="str">
        <f>IFERROR(VLOOKUP(C695,[1]evdl298!$B:$D,3,0),"")</f>
        <v>E</v>
      </c>
      <c r="G695" s="110">
        <f>IFERROR(VLOOKUP(C695,[1]evdl298!$B:$C,2,0),"")</f>
        <v>41499</v>
      </c>
      <c r="H695" s="110" t="str">
        <f t="shared" si="31"/>
        <v>E</v>
      </c>
      <c r="I695" s="110">
        <f t="shared" si="32"/>
        <v>41499</v>
      </c>
      <c r="J695" s="110"/>
      <c r="K695" s="110"/>
      <c r="M695" s="110"/>
      <c r="O695" s="110"/>
    </row>
    <row r="696" spans="1:15" x14ac:dyDescent="0.3">
      <c r="A696" s="58" t="str">
        <f>Schedule!E694</f>
        <v>A027830</v>
      </c>
      <c r="B696" s="58" t="s">
        <v>2169</v>
      </c>
      <c r="C696" s="58" t="str">
        <f t="shared" si="30"/>
        <v>027830 KS</v>
      </c>
      <c r="D696" s="58" t="s">
        <v>3671</v>
      </c>
      <c r="E696" s="110" t="s">
        <v>3527</v>
      </c>
      <c r="F696" s="110" t="str">
        <f>IFERROR(VLOOKUP(C696,[1]evdl298!$B:$D,3,0),"")</f>
        <v>E</v>
      </c>
      <c r="G696" s="110">
        <f>IFERROR(VLOOKUP(C696,[1]evdl298!$B:$C,2,0),"")</f>
        <v>41500</v>
      </c>
      <c r="H696" s="110" t="str">
        <f t="shared" si="31"/>
        <v>E</v>
      </c>
      <c r="I696" s="110">
        <f t="shared" si="32"/>
        <v>41500</v>
      </c>
      <c r="J696" s="110"/>
      <c r="K696" s="110"/>
      <c r="M696" s="110"/>
      <c r="O696" s="110"/>
    </row>
    <row r="697" spans="1:15" x14ac:dyDescent="0.3">
      <c r="A697" s="58" t="str">
        <f>Schedule!E695</f>
        <v>A027970</v>
      </c>
      <c r="B697" s="58" t="s">
        <v>2170</v>
      </c>
      <c r="C697" s="58" t="str">
        <f t="shared" si="30"/>
        <v>027970 KS</v>
      </c>
      <c r="D697" s="58" t="s">
        <v>3671</v>
      </c>
      <c r="E697" s="110" t="s">
        <v>3527</v>
      </c>
      <c r="F697" s="110" t="str">
        <f>IFERROR(VLOOKUP(C697,[1]evdl298!$B:$D,3,0),"")</f>
        <v>E</v>
      </c>
      <c r="G697" s="110">
        <f>IFERROR(VLOOKUP(C697,[1]evdl298!$B:$C,2,0),"")</f>
        <v>41500</v>
      </c>
      <c r="H697" s="110" t="str">
        <f t="shared" si="31"/>
        <v>E</v>
      </c>
      <c r="I697" s="110">
        <f t="shared" si="32"/>
        <v>41500</v>
      </c>
      <c r="J697" s="110"/>
      <c r="K697" s="110"/>
      <c r="M697" s="110"/>
      <c r="O697" s="110"/>
    </row>
    <row r="698" spans="1:15" x14ac:dyDescent="0.3">
      <c r="A698" s="58" t="str">
        <f>Schedule!E696</f>
        <v>A028040</v>
      </c>
      <c r="B698" s="58" t="s">
        <v>2171</v>
      </c>
      <c r="C698" s="58" t="str">
        <f t="shared" si="30"/>
        <v>028040 KS</v>
      </c>
      <c r="D698" s="58" t="s">
        <v>3671</v>
      </c>
      <c r="E698" s="110" t="s">
        <v>3527</v>
      </c>
      <c r="F698" s="110" t="str">
        <f>IFERROR(VLOOKUP(C698,[1]evdl298!$B:$D,3,0),"")</f>
        <v/>
      </c>
      <c r="G698" s="110" t="str">
        <f>IFERROR(VLOOKUP(C698,[1]evdl298!$B:$C,2,0),"")</f>
        <v/>
      </c>
      <c r="H698" s="110" t="str">
        <f t="shared" si="31"/>
        <v/>
      </c>
      <c r="I698" s="110" t="str">
        <f t="shared" si="32"/>
        <v/>
      </c>
      <c r="J698" s="110"/>
      <c r="K698" s="110"/>
      <c r="M698" s="110"/>
      <c r="O698" s="110"/>
    </row>
    <row r="699" spans="1:15" x14ac:dyDescent="0.3">
      <c r="A699" s="58" t="str">
        <f>Schedule!E697</f>
        <v>A028050</v>
      </c>
      <c r="B699" s="58" t="s">
        <v>2172</v>
      </c>
      <c r="C699" s="58" t="str">
        <f t="shared" si="30"/>
        <v>028050 KS</v>
      </c>
      <c r="D699" s="58" t="s">
        <v>3671</v>
      </c>
      <c r="E699" s="110" t="s">
        <v>3527</v>
      </c>
      <c r="F699" s="110" t="str">
        <f>IFERROR(VLOOKUP(C699,[1]evdl298!$B:$D,3,0),"")</f>
        <v>C</v>
      </c>
      <c r="G699" s="110">
        <f>IFERROR(VLOOKUP(C699,[1]evdl298!$B:$C,2,0),"")</f>
        <v>41471</v>
      </c>
      <c r="H699" s="110" t="str">
        <f t="shared" si="31"/>
        <v>C</v>
      </c>
      <c r="I699" s="110">
        <f t="shared" si="32"/>
        <v>41471</v>
      </c>
      <c r="J699" s="110"/>
      <c r="K699" s="110"/>
      <c r="M699" s="110"/>
      <c r="O699" s="110"/>
    </row>
    <row r="700" spans="1:15" x14ac:dyDescent="0.3">
      <c r="A700" s="58" t="str">
        <f>Schedule!E698</f>
        <v>A028080</v>
      </c>
      <c r="B700" s="58" t="s">
        <v>2173</v>
      </c>
      <c r="C700" s="58" t="str">
        <f t="shared" si="30"/>
        <v>028080 KS</v>
      </c>
      <c r="D700" s="58" t="s">
        <v>3671</v>
      </c>
      <c r="E700" s="110">
        <v>41464</v>
      </c>
      <c r="F700" s="110" t="str">
        <f>IFERROR(VLOOKUP(C700,[1]evdl298!$B:$D,3,0),"")</f>
        <v/>
      </c>
      <c r="G700" s="110" t="str">
        <f>IFERROR(VLOOKUP(C700,[1]evdl298!$B:$C,2,0),"")</f>
        <v/>
      </c>
      <c r="H700" s="110" t="str">
        <f t="shared" si="31"/>
        <v/>
      </c>
      <c r="I700" s="110">
        <f t="shared" si="32"/>
        <v>41464</v>
      </c>
      <c r="J700" s="110"/>
      <c r="K700" s="110"/>
      <c r="M700" s="110"/>
      <c r="O700" s="110"/>
    </row>
    <row r="701" spans="1:15" x14ac:dyDescent="0.3">
      <c r="A701" s="58" t="str">
        <f>Schedule!E699</f>
        <v>A028100</v>
      </c>
      <c r="B701" s="58" t="s">
        <v>2174</v>
      </c>
      <c r="C701" s="58" t="str">
        <f t="shared" si="30"/>
        <v>028100 KS</v>
      </c>
      <c r="D701" s="58" t="s">
        <v>3671</v>
      </c>
      <c r="E701" s="110" t="s">
        <v>3527</v>
      </c>
      <c r="F701" s="110" t="str">
        <f>IFERROR(VLOOKUP(C701,[1]evdl298!$B:$D,3,0),"")</f>
        <v/>
      </c>
      <c r="G701" s="110" t="str">
        <f>IFERROR(VLOOKUP(C701,[1]evdl298!$B:$C,2,0),"")</f>
        <v/>
      </c>
      <c r="H701" s="110" t="str">
        <f t="shared" si="31"/>
        <v/>
      </c>
      <c r="I701" s="110" t="str">
        <f t="shared" si="32"/>
        <v/>
      </c>
      <c r="J701" s="110"/>
      <c r="K701" s="110"/>
      <c r="M701" s="110"/>
      <c r="O701" s="110"/>
    </row>
    <row r="702" spans="1:15" x14ac:dyDescent="0.3">
      <c r="A702" s="58" t="str">
        <f>Schedule!E700</f>
        <v>A028150</v>
      </c>
      <c r="B702" s="58" t="s">
        <v>2175</v>
      </c>
      <c r="C702" s="58" t="str">
        <f t="shared" si="30"/>
        <v>028150 KS</v>
      </c>
      <c r="D702" s="58" t="s">
        <v>3671</v>
      </c>
      <c r="E702" s="110" t="s">
        <v>3527</v>
      </c>
      <c r="F702" s="110" t="str">
        <f>IFERROR(VLOOKUP(C702,[1]evdl298!$B:$D,3,0),"")</f>
        <v>E</v>
      </c>
      <c r="G702" s="110">
        <f>IFERROR(VLOOKUP(C702,[1]evdl298!$B:$C,2,0),"")</f>
        <v>41515</v>
      </c>
      <c r="H702" s="110" t="str">
        <f t="shared" si="31"/>
        <v>E</v>
      </c>
      <c r="I702" s="110">
        <f t="shared" si="32"/>
        <v>41515</v>
      </c>
      <c r="J702" s="110"/>
      <c r="K702" s="110"/>
      <c r="M702" s="110"/>
      <c r="O702" s="110"/>
    </row>
    <row r="703" spans="1:15" x14ac:dyDescent="0.3">
      <c r="A703" s="58" t="str">
        <f>Schedule!E701</f>
        <v>A028300</v>
      </c>
      <c r="B703" s="58" t="s">
        <v>2176</v>
      </c>
      <c r="C703" s="58" t="str">
        <f t="shared" si="30"/>
        <v>028300 KS</v>
      </c>
      <c r="D703" s="58" t="s">
        <v>3671</v>
      </c>
      <c r="E703" s="110" t="s">
        <v>3674</v>
      </c>
      <c r="F703" s="110" t="str">
        <f>IFERROR(VLOOKUP(C703,[1]evdl298!$B:$D,3,0),"")</f>
        <v/>
      </c>
      <c r="G703" s="110" t="str">
        <f>IFERROR(VLOOKUP(C703,[1]evdl298!$B:$C,2,0),"")</f>
        <v/>
      </c>
      <c r="H703" s="110" t="str">
        <f t="shared" si="31"/>
        <v/>
      </c>
      <c r="I703" s="110" t="str">
        <f t="shared" si="32"/>
        <v>2013-07-31</v>
      </c>
      <c r="J703" s="110"/>
      <c r="K703" s="110"/>
      <c r="M703" s="110"/>
      <c r="O703" s="110"/>
    </row>
    <row r="704" spans="1:15" x14ac:dyDescent="0.3">
      <c r="A704" s="58" t="str">
        <f>Schedule!E702</f>
        <v>A028670</v>
      </c>
      <c r="B704" s="58" t="s">
        <v>2177</v>
      </c>
      <c r="C704" s="58" t="str">
        <f t="shared" si="30"/>
        <v>028670 KS</v>
      </c>
      <c r="D704" s="58" t="s">
        <v>3671</v>
      </c>
      <c r="E704" s="110" t="s">
        <v>3527</v>
      </c>
      <c r="F704" s="110" t="str">
        <f>IFERROR(VLOOKUP(C704,[1]evdl298!$B:$D,3,0),"")</f>
        <v>E</v>
      </c>
      <c r="G704" s="110">
        <f>IFERROR(VLOOKUP(C704,[1]evdl298!$B:$C,2,0),"")</f>
        <v>41500</v>
      </c>
      <c r="H704" s="110" t="str">
        <f t="shared" si="31"/>
        <v>E</v>
      </c>
      <c r="I704" s="110">
        <f t="shared" si="32"/>
        <v>41500</v>
      </c>
      <c r="J704" s="110"/>
      <c r="K704" s="110"/>
      <c r="M704" s="110"/>
      <c r="O704" s="110"/>
    </row>
    <row r="705" spans="1:15" x14ac:dyDescent="0.3">
      <c r="A705" s="58" t="str">
        <f>Schedule!E703</f>
        <v>A029460</v>
      </c>
      <c r="B705" s="58" t="s">
        <v>2178</v>
      </c>
      <c r="C705" s="58" t="str">
        <f t="shared" si="30"/>
        <v>029460 KS</v>
      </c>
      <c r="D705" s="58" t="s">
        <v>3671</v>
      </c>
      <c r="E705" s="110" t="s">
        <v>3527</v>
      </c>
      <c r="F705" s="110" t="str">
        <f>IFERROR(VLOOKUP(C705,[1]evdl298!$B:$D,3,0),"")</f>
        <v/>
      </c>
      <c r="G705" s="110" t="str">
        <f>IFERROR(VLOOKUP(C705,[1]evdl298!$B:$C,2,0),"")</f>
        <v/>
      </c>
      <c r="H705" s="110" t="str">
        <f t="shared" si="31"/>
        <v/>
      </c>
      <c r="I705" s="110" t="str">
        <f t="shared" si="32"/>
        <v/>
      </c>
      <c r="J705" s="110"/>
      <c r="K705" s="110"/>
      <c r="M705" s="110"/>
      <c r="O705" s="110"/>
    </row>
    <row r="706" spans="1:15" x14ac:dyDescent="0.3">
      <c r="A706" s="58" t="str">
        <f>Schedule!E704</f>
        <v>A029480</v>
      </c>
      <c r="B706" s="58" t="s">
        <v>2179</v>
      </c>
      <c r="C706" s="58" t="str">
        <f t="shared" si="30"/>
        <v>029480 KS</v>
      </c>
      <c r="D706" s="58" t="s">
        <v>3671</v>
      </c>
      <c r="E706" s="110" t="s">
        <v>3527</v>
      </c>
      <c r="F706" s="110" t="str">
        <f>IFERROR(VLOOKUP(C706,[1]evdl298!$B:$D,3,0),"")</f>
        <v/>
      </c>
      <c r="G706" s="110" t="str">
        <f>IFERROR(VLOOKUP(C706,[1]evdl298!$B:$C,2,0),"")</f>
        <v/>
      </c>
      <c r="H706" s="110" t="str">
        <f t="shared" si="31"/>
        <v/>
      </c>
      <c r="I706" s="110" t="str">
        <f t="shared" si="32"/>
        <v/>
      </c>
      <c r="J706" s="110"/>
      <c r="K706" s="110"/>
      <c r="M706" s="110"/>
      <c r="O706" s="110"/>
    </row>
    <row r="707" spans="1:15" x14ac:dyDescent="0.3">
      <c r="A707" s="58" t="str">
        <f>Schedule!E705</f>
        <v>A029530</v>
      </c>
      <c r="B707" s="58" t="s">
        <v>2180</v>
      </c>
      <c r="C707" s="58" t="str">
        <f t="shared" si="30"/>
        <v>029530 KS</v>
      </c>
      <c r="D707" s="58" t="s">
        <v>3671</v>
      </c>
      <c r="E707" s="110" t="s">
        <v>3527</v>
      </c>
      <c r="F707" s="110" t="str">
        <f>IFERROR(VLOOKUP(C707,[1]evdl298!$B:$D,3,0),"")</f>
        <v>E</v>
      </c>
      <c r="G707" s="110">
        <f>IFERROR(VLOOKUP(C707,[1]evdl298!$B:$C,2,0),"")</f>
        <v>41515</v>
      </c>
      <c r="H707" s="110" t="str">
        <f t="shared" si="31"/>
        <v>E</v>
      </c>
      <c r="I707" s="110">
        <f t="shared" si="32"/>
        <v>41515</v>
      </c>
      <c r="J707" s="110"/>
      <c r="K707" s="110"/>
      <c r="M707" s="110"/>
      <c r="O707" s="110"/>
    </row>
    <row r="708" spans="1:15" x14ac:dyDescent="0.3">
      <c r="A708" s="58" t="str">
        <f>Schedule!E706</f>
        <v>A029780</v>
      </c>
      <c r="B708" s="58" t="s">
        <v>2181</v>
      </c>
      <c r="C708" s="58" t="str">
        <f t="shared" si="30"/>
        <v>029780 KS</v>
      </c>
      <c r="D708" s="58" t="s">
        <v>3671</v>
      </c>
      <c r="E708" s="110" t="s">
        <v>3527</v>
      </c>
      <c r="F708" s="110" t="str">
        <f>IFERROR(VLOOKUP(C708,[1]evdl298!$B:$D,3,0),"")</f>
        <v>E</v>
      </c>
      <c r="G708" s="110">
        <f>IFERROR(VLOOKUP(C708,[1]evdl298!$B:$C,2,0),"")</f>
        <v>41474</v>
      </c>
      <c r="H708" s="110" t="str">
        <f t="shared" si="31"/>
        <v>E</v>
      </c>
      <c r="I708" s="110">
        <f t="shared" si="32"/>
        <v>41474</v>
      </c>
      <c r="J708" s="110"/>
      <c r="K708" s="110"/>
      <c r="M708" s="110"/>
      <c r="O708" s="110"/>
    </row>
    <row r="709" spans="1:15" x14ac:dyDescent="0.3">
      <c r="A709" s="58" t="str">
        <f>Schedule!E707</f>
        <v>A029960</v>
      </c>
      <c r="B709" s="58" t="s">
        <v>2182</v>
      </c>
      <c r="C709" s="58" t="str">
        <f t="shared" si="30"/>
        <v>029960 KS</v>
      </c>
      <c r="D709" s="58" t="s">
        <v>3671</v>
      </c>
      <c r="E709" s="110" t="s">
        <v>3527</v>
      </c>
      <c r="F709" s="110" t="str">
        <f>IFERROR(VLOOKUP(C709,[1]evdl298!$B:$D,3,0),"")</f>
        <v>E</v>
      </c>
      <c r="G709" s="110">
        <f>IFERROR(VLOOKUP(C709,[1]evdl298!$B:$C,2,0),"")</f>
        <v>41500</v>
      </c>
      <c r="H709" s="110" t="str">
        <f t="shared" si="31"/>
        <v>E</v>
      </c>
      <c r="I709" s="110">
        <f t="shared" si="32"/>
        <v>41500</v>
      </c>
      <c r="J709" s="110"/>
      <c r="K709" s="110"/>
      <c r="M709" s="110"/>
      <c r="O709" s="110"/>
    </row>
    <row r="710" spans="1:15" x14ac:dyDescent="0.3">
      <c r="A710" s="58" t="str">
        <f>Schedule!E708</f>
        <v>A030000</v>
      </c>
      <c r="B710" s="58" t="s">
        <v>2183</v>
      </c>
      <c r="C710" s="58" t="str">
        <f t="shared" si="30"/>
        <v>030000 KS</v>
      </c>
      <c r="D710" s="58" t="s">
        <v>3671</v>
      </c>
      <c r="E710" s="110" t="s">
        <v>3527</v>
      </c>
      <c r="F710" s="110" t="str">
        <f>IFERROR(VLOOKUP(C710,[1]evdl298!$B:$D,3,0),"")</f>
        <v>E</v>
      </c>
      <c r="G710" s="110">
        <f>IFERROR(VLOOKUP(C710,[1]evdl298!$B:$C,2,0),"")</f>
        <v>41481</v>
      </c>
      <c r="H710" s="110" t="str">
        <f t="shared" si="31"/>
        <v>E</v>
      </c>
      <c r="I710" s="110">
        <f t="shared" si="32"/>
        <v>41481</v>
      </c>
      <c r="J710" s="110"/>
      <c r="K710" s="110"/>
      <c r="M710" s="110"/>
      <c r="O710" s="110"/>
    </row>
    <row r="711" spans="1:15" x14ac:dyDescent="0.3">
      <c r="A711" s="58" t="str">
        <f>Schedule!E709</f>
        <v>A030190</v>
      </c>
      <c r="B711" s="58" t="s">
        <v>2184</v>
      </c>
      <c r="C711" s="58" t="str">
        <f t="shared" si="30"/>
        <v>030190 KS</v>
      </c>
      <c r="D711" s="58" t="s">
        <v>3671</v>
      </c>
      <c r="E711" s="110" t="s">
        <v>3527</v>
      </c>
      <c r="F711" s="110" t="str">
        <f>IFERROR(VLOOKUP(C711,[1]evdl298!$B:$D,3,0),"")</f>
        <v>E</v>
      </c>
      <c r="G711" s="110">
        <f>IFERROR(VLOOKUP(C711,[1]evdl298!$B:$C,2,0),"")</f>
        <v>41500</v>
      </c>
      <c r="H711" s="110" t="str">
        <f t="shared" si="31"/>
        <v>E</v>
      </c>
      <c r="I711" s="110">
        <f t="shared" si="32"/>
        <v>41500</v>
      </c>
      <c r="J711" s="110"/>
      <c r="K711" s="110"/>
      <c r="M711" s="110"/>
      <c r="O711" s="110"/>
    </row>
    <row r="712" spans="1:15" x14ac:dyDescent="0.3">
      <c r="A712" s="58" t="str">
        <f>Schedule!E710</f>
        <v>A030200</v>
      </c>
      <c r="B712" s="58" t="s">
        <v>2185</v>
      </c>
      <c r="C712" s="58" t="str">
        <f t="shared" si="30"/>
        <v>030200 KS</v>
      </c>
      <c r="D712" s="58" t="s">
        <v>3671</v>
      </c>
      <c r="E712" s="110" t="s">
        <v>3527</v>
      </c>
      <c r="F712" s="110" t="str">
        <f>IFERROR(VLOOKUP(C712,[1]evdl298!$B:$D,3,0),"")</f>
        <v>E</v>
      </c>
      <c r="G712" s="110">
        <f>IFERROR(VLOOKUP(C712,[1]evdl298!$B:$C,2,0),"")</f>
        <v>41488</v>
      </c>
      <c r="H712" s="110" t="str">
        <f t="shared" si="31"/>
        <v>E</v>
      </c>
      <c r="I712" s="110">
        <f t="shared" si="32"/>
        <v>41488</v>
      </c>
      <c r="J712" s="110"/>
      <c r="K712" s="110"/>
      <c r="M712" s="110"/>
      <c r="O712" s="110"/>
    </row>
    <row r="713" spans="1:15" x14ac:dyDescent="0.3">
      <c r="A713" s="58" t="str">
        <f>Schedule!E711</f>
        <v>A030210</v>
      </c>
      <c r="B713" s="58" t="s">
        <v>2186</v>
      </c>
      <c r="C713" s="58" t="str">
        <f t="shared" si="30"/>
        <v>030210 KS</v>
      </c>
      <c r="D713" s="58" t="s">
        <v>3671</v>
      </c>
      <c r="E713" s="110">
        <v>41488</v>
      </c>
      <c r="F713" s="110" t="str">
        <f>IFERROR(VLOOKUP(C713,[1]evdl298!$B:$D,3,0),"")</f>
        <v>E</v>
      </c>
      <c r="G713" s="110">
        <f>IFERROR(VLOOKUP(C713,[1]evdl298!$B:$C,2,0),"")</f>
        <v>41500</v>
      </c>
      <c r="H713" s="110" t="str">
        <f t="shared" si="31"/>
        <v>E</v>
      </c>
      <c r="I713" s="110">
        <f t="shared" si="32"/>
        <v>41500</v>
      </c>
      <c r="J713" s="110"/>
      <c r="K713" s="110"/>
      <c r="M713" s="110"/>
      <c r="O713" s="110"/>
    </row>
    <row r="714" spans="1:15" x14ac:dyDescent="0.3">
      <c r="A714" s="58" t="str">
        <f>Schedule!E712</f>
        <v>A030270</v>
      </c>
      <c r="B714" s="58" t="s">
        <v>6</v>
      </c>
      <c r="C714" s="58" t="str">
        <f t="shared" si="30"/>
        <v>030270 KS</v>
      </c>
      <c r="D714" s="58" t="s">
        <v>3671</v>
      </c>
      <c r="E714" s="110" t="s">
        <v>3527</v>
      </c>
      <c r="F714" s="110" t="str">
        <f>IFERROR(VLOOKUP(C714,[1]evdl298!$B:$D,3,0),"")</f>
        <v>E</v>
      </c>
      <c r="G714" s="110">
        <f>IFERROR(VLOOKUP(C714,[1]evdl298!$B:$C,2,0),"")</f>
        <v>41500</v>
      </c>
      <c r="H714" s="110" t="str">
        <f t="shared" si="31"/>
        <v>E</v>
      </c>
      <c r="I714" s="110">
        <f t="shared" si="32"/>
        <v>41500</v>
      </c>
      <c r="J714" s="110"/>
      <c r="K714" s="110"/>
      <c r="M714" s="110"/>
      <c r="O714" s="110"/>
    </row>
    <row r="715" spans="1:15" x14ac:dyDescent="0.3">
      <c r="A715" s="58" t="str">
        <f>Schedule!E713</f>
        <v>A030350</v>
      </c>
      <c r="B715" s="58" t="s">
        <v>2187</v>
      </c>
      <c r="C715" s="58" t="str">
        <f t="shared" si="30"/>
        <v>030350 KS</v>
      </c>
      <c r="D715" s="58" t="s">
        <v>3671</v>
      </c>
      <c r="E715" s="110" t="s">
        <v>3527</v>
      </c>
      <c r="F715" s="110" t="str">
        <f>IFERROR(VLOOKUP(C715,[1]evdl298!$B:$D,3,0),"")</f>
        <v/>
      </c>
      <c r="G715" s="110" t="str">
        <f>IFERROR(VLOOKUP(C715,[1]evdl298!$B:$C,2,0),"")</f>
        <v/>
      </c>
      <c r="H715" s="110" t="str">
        <f t="shared" si="31"/>
        <v/>
      </c>
      <c r="I715" s="110" t="str">
        <f t="shared" si="32"/>
        <v/>
      </c>
      <c r="J715" s="110"/>
      <c r="K715" s="110"/>
      <c r="M715" s="110"/>
      <c r="O715" s="110"/>
    </row>
    <row r="716" spans="1:15" x14ac:dyDescent="0.3">
      <c r="A716" s="58" t="str">
        <f>Schedule!E714</f>
        <v>A030520</v>
      </c>
      <c r="B716" s="58" t="s">
        <v>2188</v>
      </c>
      <c r="C716" s="58" t="str">
        <f t="shared" si="30"/>
        <v>030520 KS</v>
      </c>
      <c r="D716" s="58" t="s">
        <v>3671</v>
      </c>
      <c r="E716" s="110" t="s">
        <v>3527</v>
      </c>
      <c r="F716" s="110" t="str">
        <f>IFERROR(VLOOKUP(C716,[1]evdl298!$B:$D,3,0),"")</f>
        <v>E</v>
      </c>
      <c r="G716" s="110">
        <f>IFERROR(VLOOKUP(C716,[1]evdl298!$B:$C,2,0),"")</f>
        <v>41515</v>
      </c>
      <c r="H716" s="110" t="str">
        <f t="shared" si="31"/>
        <v>E</v>
      </c>
      <c r="I716" s="110">
        <f t="shared" si="32"/>
        <v>41515</v>
      </c>
      <c r="J716" s="110"/>
      <c r="K716" s="110"/>
      <c r="M716" s="110"/>
      <c r="O716" s="110"/>
    </row>
    <row r="717" spans="1:15" x14ac:dyDescent="0.3">
      <c r="A717" s="58" t="str">
        <f>Schedule!E715</f>
        <v>A030530</v>
      </c>
      <c r="B717" s="58" t="s">
        <v>2189</v>
      </c>
      <c r="C717" s="58" t="str">
        <f t="shared" si="30"/>
        <v>030530 KS</v>
      </c>
      <c r="D717" s="58" t="s">
        <v>3671</v>
      </c>
      <c r="E717" s="110" t="s">
        <v>3527</v>
      </c>
      <c r="F717" s="110" t="str">
        <f>IFERROR(VLOOKUP(C717,[1]evdl298!$B:$D,3,0),"")</f>
        <v/>
      </c>
      <c r="G717" s="110" t="str">
        <f>IFERROR(VLOOKUP(C717,[1]evdl298!$B:$C,2,0),"")</f>
        <v/>
      </c>
      <c r="H717" s="110" t="str">
        <f t="shared" si="31"/>
        <v/>
      </c>
      <c r="I717" s="110" t="str">
        <f t="shared" si="32"/>
        <v/>
      </c>
      <c r="J717" s="110"/>
      <c r="K717" s="110"/>
      <c r="M717" s="110"/>
      <c r="O717" s="110"/>
    </row>
    <row r="718" spans="1:15" x14ac:dyDescent="0.3">
      <c r="A718" s="58" t="str">
        <f>Schedule!E716</f>
        <v>A030610</v>
      </c>
      <c r="B718" s="58" t="s">
        <v>2190</v>
      </c>
      <c r="C718" s="58" t="str">
        <f t="shared" si="30"/>
        <v>030610 KS</v>
      </c>
      <c r="D718" s="58" t="s">
        <v>3671</v>
      </c>
      <c r="E718" s="110" t="s">
        <v>3527</v>
      </c>
      <c r="F718" s="110" t="str">
        <f>IFERROR(VLOOKUP(C718,[1]evdl298!$B:$D,3,0),"")</f>
        <v>E</v>
      </c>
      <c r="G718" s="110">
        <f>IFERROR(VLOOKUP(C718,[1]evdl298!$B:$C,2,0),"")</f>
        <v>41500</v>
      </c>
      <c r="H718" s="110" t="str">
        <f t="shared" si="31"/>
        <v>E</v>
      </c>
      <c r="I718" s="110">
        <f t="shared" si="32"/>
        <v>41500</v>
      </c>
      <c r="J718" s="110"/>
      <c r="K718" s="110"/>
      <c r="M718" s="110"/>
      <c r="O718" s="110"/>
    </row>
    <row r="719" spans="1:15" x14ac:dyDescent="0.3">
      <c r="A719" s="58" t="str">
        <f>Schedule!E717</f>
        <v>A030720</v>
      </c>
      <c r="B719" s="58" t="s">
        <v>2191</v>
      </c>
      <c r="C719" s="58" t="str">
        <f t="shared" si="30"/>
        <v>030720 KS</v>
      </c>
      <c r="D719" s="58" t="s">
        <v>3671</v>
      </c>
      <c r="E719" s="110" t="s">
        <v>3527</v>
      </c>
      <c r="F719" s="110" t="str">
        <f>IFERROR(VLOOKUP(C719,[1]evdl298!$B:$D,3,0),"")</f>
        <v/>
      </c>
      <c r="G719" s="110" t="str">
        <f>IFERROR(VLOOKUP(C719,[1]evdl298!$B:$C,2,0),"")</f>
        <v/>
      </c>
      <c r="H719" s="110" t="str">
        <f t="shared" si="31"/>
        <v/>
      </c>
      <c r="I719" s="110" t="str">
        <f t="shared" si="32"/>
        <v/>
      </c>
      <c r="J719" s="110"/>
      <c r="K719" s="110"/>
      <c r="M719" s="110"/>
      <c r="O719" s="110"/>
    </row>
    <row r="720" spans="1:15" x14ac:dyDescent="0.3">
      <c r="A720" s="58" t="str">
        <f>Schedule!E718</f>
        <v>A030790</v>
      </c>
      <c r="B720" s="58" t="s">
        <v>2192</v>
      </c>
      <c r="C720" s="58" t="str">
        <f t="shared" si="30"/>
        <v>030790 KS</v>
      </c>
      <c r="D720" s="58" t="s">
        <v>3671</v>
      </c>
      <c r="E720" s="110" t="s">
        <v>3527</v>
      </c>
      <c r="F720" s="110" t="str">
        <f>IFERROR(VLOOKUP(C720,[1]evdl298!$B:$D,3,0),"")</f>
        <v>E</v>
      </c>
      <c r="G720" s="110">
        <f>IFERROR(VLOOKUP(C720,[1]evdl298!$B:$C,2,0),"")</f>
        <v>41500</v>
      </c>
      <c r="H720" s="110" t="str">
        <f t="shared" si="31"/>
        <v>E</v>
      </c>
      <c r="I720" s="110">
        <f t="shared" si="32"/>
        <v>41500</v>
      </c>
      <c r="J720" s="110"/>
      <c r="K720" s="110"/>
      <c r="M720" s="110"/>
      <c r="O720" s="110"/>
    </row>
    <row r="721" spans="1:15" x14ac:dyDescent="0.3">
      <c r="A721" s="58" t="str">
        <f>Schedule!E719</f>
        <v>A030960</v>
      </c>
      <c r="B721" s="58" t="s">
        <v>2193</v>
      </c>
      <c r="C721" s="58" t="str">
        <f t="shared" ref="C721:C784" si="33">RIGHT(A721,6)&amp;" KS"</f>
        <v>030960 KS</v>
      </c>
      <c r="D721" s="58" t="s">
        <v>3671</v>
      </c>
      <c r="E721" s="110" t="s">
        <v>3527</v>
      </c>
      <c r="F721" s="110" t="str">
        <f>IFERROR(VLOOKUP(C721,[1]evdl298!$B:$D,3,0),"")</f>
        <v/>
      </c>
      <c r="G721" s="110" t="str">
        <f>IFERROR(VLOOKUP(C721,[1]evdl298!$B:$C,2,0),"")</f>
        <v/>
      </c>
      <c r="H721" s="110" t="str">
        <f t="shared" ref="H721:H784" si="34">F721</f>
        <v/>
      </c>
      <c r="I721" s="110" t="str">
        <f t="shared" ref="I721:I784" si="35">IF(ISNUMBER(G721),G721,E721)</f>
        <v/>
      </c>
      <c r="J721" s="110"/>
      <c r="K721" s="110"/>
      <c r="M721" s="110"/>
      <c r="O721" s="110"/>
    </row>
    <row r="722" spans="1:15" x14ac:dyDescent="0.3">
      <c r="A722" s="58" t="str">
        <f>Schedule!E720</f>
        <v>A031310</v>
      </c>
      <c r="B722" s="58" t="s">
        <v>2194</v>
      </c>
      <c r="C722" s="58" t="str">
        <f t="shared" si="33"/>
        <v>031310 KS</v>
      </c>
      <c r="D722" s="58" t="s">
        <v>3671</v>
      </c>
      <c r="E722" s="110" t="s">
        <v>3527</v>
      </c>
      <c r="F722" s="110" t="str">
        <f>IFERROR(VLOOKUP(C722,[1]evdl298!$B:$D,3,0),"")</f>
        <v>E</v>
      </c>
      <c r="G722" s="110">
        <f>IFERROR(VLOOKUP(C722,[1]evdl298!$B:$C,2,0),"")</f>
        <v>41515</v>
      </c>
      <c r="H722" s="110" t="str">
        <f t="shared" si="34"/>
        <v>E</v>
      </c>
      <c r="I722" s="110">
        <f t="shared" si="35"/>
        <v>41515</v>
      </c>
      <c r="J722" s="110"/>
      <c r="K722" s="110"/>
      <c r="M722" s="110"/>
      <c r="O722" s="110"/>
    </row>
    <row r="723" spans="1:15" x14ac:dyDescent="0.3">
      <c r="A723" s="58" t="str">
        <f>Schedule!E721</f>
        <v>A031330</v>
      </c>
      <c r="B723" s="58" t="s">
        <v>2195</v>
      </c>
      <c r="C723" s="58" t="str">
        <f t="shared" si="33"/>
        <v>031330 KS</v>
      </c>
      <c r="D723" s="58" t="s">
        <v>3671</v>
      </c>
      <c r="E723" s="110" t="s">
        <v>3527</v>
      </c>
      <c r="F723" s="110" t="str">
        <f>IFERROR(VLOOKUP(C723,[1]evdl298!$B:$D,3,0),"")</f>
        <v/>
      </c>
      <c r="G723" s="110" t="str">
        <f>IFERROR(VLOOKUP(C723,[1]evdl298!$B:$C,2,0),"")</f>
        <v/>
      </c>
      <c r="H723" s="110" t="str">
        <f t="shared" si="34"/>
        <v/>
      </c>
      <c r="I723" s="110" t="str">
        <f t="shared" si="35"/>
        <v/>
      </c>
      <c r="J723" s="110"/>
      <c r="K723" s="110"/>
      <c r="M723" s="110"/>
      <c r="O723" s="110"/>
    </row>
    <row r="724" spans="1:15" x14ac:dyDescent="0.3">
      <c r="A724" s="58" t="str">
        <f>Schedule!E722</f>
        <v>A031390</v>
      </c>
      <c r="B724" s="58" t="s">
        <v>2196</v>
      </c>
      <c r="C724" s="58" t="str">
        <f t="shared" si="33"/>
        <v>031390 KS</v>
      </c>
      <c r="D724" s="58" t="s">
        <v>3671</v>
      </c>
      <c r="E724" s="110" t="s">
        <v>3527</v>
      </c>
      <c r="F724" s="110" t="str">
        <f>IFERROR(VLOOKUP(C724,[1]evdl298!$B:$D,3,0),"")</f>
        <v/>
      </c>
      <c r="G724" s="110" t="str">
        <f>IFERROR(VLOOKUP(C724,[1]evdl298!$B:$C,2,0),"")</f>
        <v/>
      </c>
      <c r="H724" s="110" t="str">
        <f t="shared" si="34"/>
        <v/>
      </c>
      <c r="I724" s="110" t="str">
        <f t="shared" si="35"/>
        <v/>
      </c>
      <c r="J724" s="110"/>
      <c r="K724" s="110"/>
      <c r="M724" s="110"/>
      <c r="O724" s="110"/>
    </row>
    <row r="725" spans="1:15" x14ac:dyDescent="0.3">
      <c r="A725" s="58" t="str">
        <f>Schedule!E723</f>
        <v>A031430</v>
      </c>
      <c r="B725" s="58" t="s">
        <v>3640</v>
      </c>
      <c r="C725" s="58" t="str">
        <f t="shared" si="33"/>
        <v>031430 KS</v>
      </c>
      <c r="D725" s="58" t="s">
        <v>3671</v>
      </c>
      <c r="E725" s="110" t="s">
        <v>3527</v>
      </c>
      <c r="F725" s="110" t="str">
        <f>IFERROR(VLOOKUP(C725,[1]evdl298!$B:$D,3,0),"")</f>
        <v/>
      </c>
      <c r="G725" s="110" t="str">
        <f>IFERROR(VLOOKUP(C725,[1]evdl298!$B:$C,2,0),"")</f>
        <v/>
      </c>
      <c r="H725" s="110" t="str">
        <f t="shared" si="34"/>
        <v/>
      </c>
      <c r="I725" s="110" t="str">
        <f t="shared" si="35"/>
        <v/>
      </c>
      <c r="J725" s="110"/>
      <c r="K725" s="110"/>
      <c r="M725" s="110"/>
      <c r="O725" s="110"/>
    </row>
    <row r="726" spans="1:15" x14ac:dyDescent="0.3">
      <c r="A726" s="58" t="str">
        <f>Schedule!E724</f>
        <v>A031440</v>
      </c>
      <c r="B726" s="58" t="s">
        <v>3344</v>
      </c>
      <c r="C726" s="58" t="str">
        <f t="shared" si="33"/>
        <v>031440 KS</v>
      </c>
      <c r="D726" s="58" t="s">
        <v>3671</v>
      </c>
      <c r="E726" s="110" t="s">
        <v>3527</v>
      </c>
      <c r="F726" s="110" t="str">
        <f>IFERROR(VLOOKUP(C726,[1]evdl298!$B:$D,3,0),"")</f>
        <v>E</v>
      </c>
      <c r="G726" s="110">
        <f>IFERROR(VLOOKUP(C726,[1]evdl298!$B:$C,2,0),"")</f>
        <v>41500</v>
      </c>
      <c r="H726" s="110" t="str">
        <f t="shared" si="34"/>
        <v>E</v>
      </c>
      <c r="I726" s="110">
        <f t="shared" si="35"/>
        <v>41500</v>
      </c>
      <c r="J726" s="110"/>
      <c r="K726" s="110"/>
      <c r="M726" s="110"/>
      <c r="O726" s="110"/>
    </row>
    <row r="727" spans="1:15" x14ac:dyDescent="0.3">
      <c r="A727" s="58" t="str">
        <f>Schedule!E725</f>
        <v>A031510</v>
      </c>
      <c r="B727" s="58" t="s">
        <v>2197</v>
      </c>
      <c r="C727" s="58" t="str">
        <f t="shared" si="33"/>
        <v>031510 KS</v>
      </c>
      <c r="D727" s="58" t="s">
        <v>3671</v>
      </c>
      <c r="E727" s="110">
        <v>41487</v>
      </c>
      <c r="F727" s="110" t="str">
        <f>IFERROR(VLOOKUP(C727,[1]evdl298!$B:$D,3,0),"")</f>
        <v>E</v>
      </c>
      <c r="G727" s="110">
        <f>IFERROR(VLOOKUP(C727,[1]evdl298!$B:$C,2,0),"")</f>
        <v>41500</v>
      </c>
      <c r="H727" s="110" t="str">
        <f t="shared" si="34"/>
        <v>E</v>
      </c>
      <c r="I727" s="110">
        <f t="shared" si="35"/>
        <v>41500</v>
      </c>
      <c r="J727" s="110"/>
      <c r="K727" s="110"/>
      <c r="M727" s="110"/>
      <c r="O727" s="110"/>
    </row>
    <row r="728" spans="1:15" x14ac:dyDescent="0.3">
      <c r="A728" s="58" t="str">
        <f>Schedule!E726</f>
        <v>A031820</v>
      </c>
      <c r="B728" s="58" t="s">
        <v>2198</v>
      </c>
      <c r="C728" s="58" t="str">
        <f t="shared" si="33"/>
        <v>031820 KS</v>
      </c>
      <c r="D728" s="58" t="s">
        <v>3671</v>
      </c>
      <c r="E728" s="110" t="s">
        <v>3527</v>
      </c>
      <c r="F728" s="110" t="str">
        <f>IFERROR(VLOOKUP(C728,[1]evdl298!$B:$D,3,0),"")</f>
        <v/>
      </c>
      <c r="G728" s="110" t="str">
        <f>IFERROR(VLOOKUP(C728,[1]evdl298!$B:$C,2,0),"")</f>
        <v/>
      </c>
      <c r="H728" s="110" t="str">
        <f t="shared" si="34"/>
        <v/>
      </c>
      <c r="I728" s="110" t="str">
        <f t="shared" si="35"/>
        <v/>
      </c>
      <c r="J728" s="110"/>
      <c r="K728" s="110"/>
      <c r="M728" s="110"/>
      <c r="O728" s="110"/>
    </row>
    <row r="729" spans="1:15" x14ac:dyDescent="0.3">
      <c r="A729" s="58" t="str">
        <f>Schedule!E727</f>
        <v>A031860</v>
      </c>
      <c r="B729" s="58" t="s">
        <v>2199</v>
      </c>
      <c r="C729" s="58" t="str">
        <f t="shared" si="33"/>
        <v>031860 KS</v>
      </c>
      <c r="D729" s="58" t="s">
        <v>3671</v>
      </c>
      <c r="E729" s="110" t="s">
        <v>3527</v>
      </c>
      <c r="F729" s="110" t="str">
        <f>IFERROR(VLOOKUP(C729,[1]evdl298!$B:$D,3,0),"")</f>
        <v/>
      </c>
      <c r="G729" s="110" t="str">
        <f>IFERROR(VLOOKUP(C729,[1]evdl298!$B:$C,2,0),"")</f>
        <v/>
      </c>
      <c r="H729" s="110" t="str">
        <f t="shared" si="34"/>
        <v/>
      </c>
      <c r="I729" s="110" t="str">
        <f t="shared" si="35"/>
        <v/>
      </c>
      <c r="J729" s="110"/>
      <c r="K729" s="110"/>
      <c r="M729" s="110"/>
      <c r="O729" s="110"/>
    </row>
    <row r="730" spans="1:15" x14ac:dyDescent="0.3">
      <c r="A730" s="58" t="str">
        <f>Schedule!E728</f>
        <v>A031980</v>
      </c>
      <c r="B730" s="58" t="s">
        <v>2200</v>
      </c>
      <c r="C730" s="58" t="str">
        <f t="shared" si="33"/>
        <v>031980 KS</v>
      </c>
      <c r="D730" s="58" t="s">
        <v>3671</v>
      </c>
      <c r="E730" s="110" t="s">
        <v>3527</v>
      </c>
      <c r="F730" s="110" t="str">
        <f>IFERROR(VLOOKUP(C730,[1]evdl298!$B:$D,3,0),"")</f>
        <v>E</v>
      </c>
      <c r="G730" s="110">
        <f>IFERROR(VLOOKUP(C730,[1]evdl298!$B:$C,2,0),"")</f>
        <v>41515</v>
      </c>
      <c r="H730" s="110" t="str">
        <f t="shared" si="34"/>
        <v>E</v>
      </c>
      <c r="I730" s="110">
        <f t="shared" si="35"/>
        <v>41515</v>
      </c>
      <c r="J730" s="110"/>
      <c r="K730" s="110"/>
      <c r="M730" s="110"/>
      <c r="O730" s="110"/>
    </row>
    <row r="731" spans="1:15" x14ac:dyDescent="0.3">
      <c r="A731" s="58" t="str">
        <f>Schedule!E729</f>
        <v>A032040</v>
      </c>
      <c r="B731" s="58" t="s">
        <v>2201</v>
      </c>
      <c r="C731" s="58" t="str">
        <f t="shared" si="33"/>
        <v>032040 KS</v>
      </c>
      <c r="D731" s="58" t="s">
        <v>3671</v>
      </c>
      <c r="E731" s="110" t="s">
        <v>3527</v>
      </c>
      <c r="F731" s="110" t="str">
        <f>IFERROR(VLOOKUP(C731,[1]evdl298!$B:$D,3,0),"")</f>
        <v>E</v>
      </c>
      <c r="G731" s="110">
        <f>IFERROR(VLOOKUP(C731,[1]evdl298!$B:$C,2,0),"")</f>
        <v>41515</v>
      </c>
      <c r="H731" s="110" t="str">
        <f t="shared" si="34"/>
        <v>E</v>
      </c>
      <c r="I731" s="110">
        <f t="shared" si="35"/>
        <v>41515</v>
      </c>
      <c r="J731" s="110"/>
      <c r="K731" s="110"/>
      <c r="M731" s="110"/>
      <c r="O731" s="110"/>
    </row>
    <row r="732" spans="1:15" x14ac:dyDescent="0.3">
      <c r="A732" s="58" t="str">
        <f>Schedule!E730</f>
        <v>A032080</v>
      </c>
      <c r="B732" s="58" t="s">
        <v>2202</v>
      </c>
      <c r="C732" s="58" t="str">
        <f t="shared" si="33"/>
        <v>032080 KS</v>
      </c>
      <c r="D732" s="58" t="s">
        <v>3671</v>
      </c>
      <c r="E732" s="110" t="s">
        <v>3527</v>
      </c>
      <c r="F732" s="110" t="str">
        <f>IFERROR(VLOOKUP(C732,[1]evdl298!$B:$D,3,0),"")</f>
        <v>E</v>
      </c>
      <c r="G732" s="110">
        <f>IFERROR(VLOOKUP(C732,[1]evdl298!$B:$C,2,0),"")</f>
        <v>41499</v>
      </c>
      <c r="H732" s="110" t="str">
        <f t="shared" si="34"/>
        <v>E</v>
      </c>
      <c r="I732" s="110">
        <f t="shared" si="35"/>
        <v>41499</v>
      </c>
      <c r="J732" s="110"/>
      <c r="K732" s="110"/>
      <c r="M732" s="110"/>
      <c r="O732" s="110"/>
    </row>
    <row r="733" spans="1:15" x14ac:dyDescent="0.3">
      <c r="A733" s="58" t="str">
        <f>Schedule!E731</f>
        <v>A032190</v>
      </c>
      <c r="B733" s="58" t="s">
        <v>2203</v>
      </c>
      <c r="C733" s="58" t="str">
        <f t="shared" si="33"/>
        <v>032190 KS</v>
      </c>
      <c r="D733" s="58" t="s">
        <v>3671</v>
      </c>
      <c r="E733" s="110" t="s">
        <v>3527</v>
      </c>
      <c r="F733" s="110" t="str">
        <f>IFERROR(VLOOKUP(C733,[1]evdl298!$B:$D,3,0),"")</f>
        <v/>
      </c>
      <c r="G733" s="110" t="str">
        <f>IFERROR(VLOOKUP(C733,[1]evdl298!$B:$C,2,0),"")</f>
        <v/>
      </c>
      <c r="H733" s="110" t="str">
        <f t="shared" si="34"/>
        <v/>
      </c>
      <c r="I733" s="110" t="str">
        <f t="shared" si="35"/>
        <v/>
      </c>
      <c r="J733" s="110"/>
      <c r="K733" s="110"/>
      <c r="M733" s="110"/>
      <c r="O733" s="110"/>
    </row>
    <row r="734" spans="1:15" x14ac:dyDescent="0.3">
      <c r="A734" s="58" t="str">
        <f>Schedule!E732</f>
        <v>A032280</v>
      </c>
      <c r="B734" s="58" t="s">
        <v>2204</v>
      </c>
      <c r="C734" s="58" t="str">
        <f t="shared" si="33"/>
        <v>032280 KS</v>
      </c>
      <c r="D734" s="58" t="s">
        <v>3671</v>
      </c>
      <c r="E734" s="110" t="s">
        <v>3527</v>
      </c>
      <c r="F734" s="110" t="str">
        <f>IFERROR(VLOOKUP(C734,[1]evdl298!$B:$D,3,0),"")</f>
        <v>E</v>
      </c>
      <c r="G734" s="110">
        <f>IFERROR(VLOOKUP(C734,[1]evdl298!$B:$C,2,0),"")</f>
        <v>41500</v>
      </c>
      <c r="H734" s="110" t="str">
        <f t="shared" si="34"/>
        <v>E</v>
      </c>
      <c r="I734" s="110">
        <f t="shared" si="35"/>
        <v>41500</v>
      </c>
      <c r="J734" s="110"/>
      <c r="K734" s="110"/>
      <c r="M734" s="110"/>
      <c r="O734" s="110"/>
    </row>
    <row r="735" spans="1:15" x14ac:dyDescent="0.3">
      <c r="A735" s="58" t="str">
        <f>Schedule!E733</f>
        <v>A032350</v>
      </c>
      <c r="B735" s="58" t="s">
        <v>2205</v>
      </c>
      <c r="C735" s="58" t="str">
        <f t="shared" si="33"/>
        <v>032350 KS</v>
      </c>
      <c r="D735" s="58" t="s">
        <v>3671</v>
      </c>
      <c r="E735" s="110" t="s">
        <v>3527</v>
      </c>
      <c r="F735" s="110" t="str">
        <f>IFERROR(VLOOKUP(C735,[1]evdl298!$B:$D,3,0),"")</f>
        <v/>
      </c>
      <c r="G735" s="110" t="str">
        <f>IFERROR(VLOOKUP(C735,[1]evdl298!$B:$C,2,0),"")</f>
        <v/>
      </c>
      <c r="H735" s="110" t="str">
        <f t="shared" si="34"/>
        <v/>
      </c>
      <c r="I735" s="110" t="str">
        <f t="shared" si="35"/>
        <v/>
      </c>
      <c r="J735" s="110"/>
      <c r="K735" s="110"/>
      <c r="M735" s="110"/>
      <c r="O735" s="110"/>
    </row>
    <row r="736" spans="1:15" x14ac:dyDescent="0.3">
      <c r="A736" s="58" t="str">
        <f>Schedule!E734</f>
        <v>A032420</v>
      </c>
      <c r="B736" s="58" t="s">
        <v>2206</v>
      </c>
      <c r="C736" s="58" t="str">
        <f t="shared" si="33"/>
        <v>032420 KS</v>
      </c>
      <c r="D736" s="58" t="s">
        <v>3671</v>
      </c>
      <c r="E736" s="110" t="s">
        <v>3527</v>
      </c>
      <c r="F736" s="110" t="str">
        <f>IFERROR(VLOOKUP(C736,[1]evdl298!$B:$D,3,0),"")</f>
        <v/>
      </c>
      <c r="G736" s="110" t="str">
        <f>IFERROR(VLOOKUP(C736,[1]evdl298!$B:$C,2,0),"")</f>
        <v/>
      </c>
      <c r="H736" s="110" t="str">
        <f t="shared" si="34"/>
        <v/>
      </c>
      <c r="I736" s="110" t="str">
        <f t="shared" si="35"/>
        <v/>
      </c>
      <c r="J736" s="110"/>
      <c r="K736" s="110"/>
      <c r="M736" s="110"/>
      <c r="O736" s="110"/>
    </row>
    <row r="737" spans="1:15" x14ac:dyDescent="0.3">
      <c r="A737" s="58" t="str">
        <f>Schedule!E735</f>
        <v>A032500</v>
      </c>
      <c r="B737" s="58" t="s">
        <v>2207</v>
      </c>
      <c r="C737" s="58" t="str">
        <f t="shared" si="33"/>
        <v>032500 KS</v>
      </c>
      <c r="D737" s="58" t="s">
        <v>3671</v>
      </c>
      <c r="E737" s="110" t="s">
        <v>3527</v>
      </c>
      <c r="F737" s="110" t="str">
        <f>IFERROR(VLOOKUP(C737,[1]evdl298!$B:$D,3,0),"")</f>
        <v>E</v>
      </c>
      <c r="G737" s="110">
        <f>IFERROR(VLOOKUP(C737,[1]evdl298!$B:$C,2,0),"")</f>
        <v>41515</v>
      </c>
      <c r="H737" s="110" t="str">
        <f t="shared" si="34"/>
        <v>E</v>
      </c>
      <c r="I737" s="110">
        <f t="shared" si="35"/>
        <v>41515</v>
      </c>
      <c r="J737" s="110"/>
      <c r="K737" s="110"/>
      <c r="M737" s="110"/>
      <c r="O737" s="110"/>
    </row>
    <row r="738" spans="1:15" x14ac:dyDescent="0.3">
      <c r="A738" s="58" t="str">
        <f>Schedule!E736</f>
        <v>A032540</v>
      </c>
      <c r="B738" s="58" t="s">
        <v>2208</v>
      </c>
      <c r="C738" s="58" t="str">
        <f t="shared" si="33"/>
        <v>032540 KS</v>
      </c>
      <c r="D738" s="58" t="s">
        <v>3671</v>
      </c>
      <c r="E738" s="110" t="s">
        <v>3527</v>
      </c>
      <c r="F738" s="110" t="str">
        <f>IFERROR(VLOOKUP(C738,[1]evdl298!$B:$D,3,0),"")</f>
        <v/>
      </c>
      <c r="G738" s="110" t="str">
        <f>IFERROR(VLOOKUP(C738,[1]evdl298!$B:$C,2,0),"")</f>
        <v/>
      </c>
      <c r="H738" s="110" t="str">
        <f t="shared" si="34"/>
        <v/>
      </c>
      <c r="I738" s="110" t="str">
        <f t="shared" si="35"/>
        <v/>
      </c>
      <c r="J738" s="110"/>
      <c r="K738" s="110"/>
      <c r="M738" s="110"/>
      <c r="O738" s="110"/>
    </row>
    <row r="739" spans="1:15" x14ac:dyDescent="0.3">
      <c r="A739" s="58" t="str">
        <f>Schedule!E737</f>
        <v>A032560</v>
      </c>
      <c r="B739" s="58" t="s">
        <v>2209</v>
      </c>
      <c r="C739" s="58" t="str">
        <f t="shared" si="33"/>
        <v>032560 KS</v>
      </c>
      <c r="D739" s="58" t="s">
        <v>3671</v>
      </c>
      <c r="E739" s="110" t="s">
        <v>3527</v>
      </c>
      <c r="F739" s="110" t="str">
        <f>IFERROR(VLOOKUP(C739,[1]evdl298!$B:$D,3,0),"")</f>
        <v>E</v>
      </c>
      <c r="G739" s="110">
        <f>IFERROR(VLOOKUP(C739,[1]evdl298!$B:$C,2,0),"")</f>
        <v>41500</v>
      </c>
      <c r="H739" s="110" t="str">
        <f t="shared" si="34"/>
        <v>E</v>
      </c>
      <c r="I739" s="110">
        <f t="shared" si="35"/>
        <v>41500</v>
      </c>
      <c r="J739" s="110"/>
      <c r="K739" s="110"/>
      <c r="M739" s="110"/>
      <c r="O739" s="110"/>
    </row>
    <row r="740" spans="1:15" x14ac:dyDescent="0.3">
      <c r="A740" s="58" t="str">
        <f>Schedule!E738</f>
        <v>A032580</v>
      </c>
      <c r="B740" s="58" t="s">
        <v>2210</v>
      </c>
      <c r="C740" s="58" t="str">
        <f t="shared" si="33"/>
        <v>032580 KS</v>
      </c>
      <c r="D740" s="58" t="s">
        <v>3671</v>
      </c>
      <c r="E740" s="110" t="s">
        <v>3527</v>
      </c>
      <c r="F740" s="110" t="str">
        <f>IFERROR(VLOOKUP(C740,[1]evdl298!$B:$D,3,0),"")</f>
        <v>E</v>
      </c>
      <c r="G740" s="110">
        <f>IFERROR(VLOOKUP(C740,[1]evdl298!$B:$C,2,0),"")</f>
        <v>41515</v>
      </c>
      <c r="H740" s="110" t="str">
        <f t="shared" si="34"/>
        <v>E</v>
      </c>
      <c r="I740" s="110">
        <f t="shared" si="35"/>
        <v>41515</v>
      </c>
      <c r="J740" s="110"/>
      <c r="K740" s="110"/>
      <c r="M740" s="110"/>
      <c r="O740" s="110"/>
    </row>
    <row r="741" spans="1:15" x14ac:dyDescent="0.3">
      <c r="A741" s="58" t="str">
        <f>Schedule!E739</f>
        <v>A032620</v>
      </c>
      <c r="B741" s="58" t="s">
        <v>2211</v>
      </c>
      <c r="C741" s="58" t="str">
        <f t="shared" si="33"/>
        <v>032620 KS</v>
      </c>
      <c r="D741" s="58" t="s">
        <v>3671</v>
      </c>
      <c r="E741" s="110" t="s">
        <v>3527</v>
      </c>
      <c r="F741" s="110" t="str">
        <f>IFERROR(VLOOKUP(C741,[1]evdl298!$B:$D,3,0),"")</f>
        <v/>
      </c>
      <c r="G741" s="110" t="str">
        <f>IFERROR(VLOOKUP(C741,[1]evdl298!$B:$C,2,0),"")</f>
        <v/>
      </c>
      <c r="H741" s="110" t="str">
        <f t="shared" si="34"/>
        <v/>
      </c>
      <c r="I741" s="110" t="str">
        <f t="shared" si="35"/>
        <v/>
      </c>
      <c r="J741" s="110"/>
      <c r="K741" s="110"/>
      <c r="M741" s="110"/>
      <c r="O741" s="110"/>
    </row>
    <row r="742" spans="1:15" x14ac:dyDescent="0.3">
      <c r="A742" s="58" t="str">
        <f>Schedule!E740</f>
        <v>A032640</v>
      </c>
      <c r="B742" s="58" t="s">
        <v>2212</v>
      </c>
      <c r="C742" s="58" t="str">
        <f t="shared" si="33"/>
        <v>032640 KS</v>
      </c>
      <c r="D742" s="58" t="s">
        <v>3671</v>
      </c>
      <c r="E742" s="110" t="s">
        <v>3527</v>
      </c>
      <c r="F742" s="110" t="str">
        <f>IFERROR(VLOOKUP(C742,[1]evdl298!$B:$D,3,0),"")</f>
        <v>T</v>
      </c>
      <c r="G742" s="110">
        <f>IFERROR(VLOOKUP(C742,[1]evdl298!$B:$C,2,0),"")</f>
        <v>41486</v>
      </c>
      <c r="H742" s="110" t="str">
        <f t="shared" si="34"/>
        <v>T</v>
      </c>
      <c r="I742" s="110">
        <f t="shared" si="35"/>
        <v>41486</v>
      </c>
      <c r="J742" s="110"/>
      <c r="K742" s="110"/>
      <c r="M742" s="110"/>
      <c r="O742" s="110"/>
    </row>
    <row r="743" spans="1:15" x14ac:dyDescent="0.3">
      <c r="A743" s="58" t="str">
        <f>Schedule!E741</f>
        <v>A032680</v>
      </c>
      <c r="B743" s="58" t="s">
        <v>2213</v>
      </c>
      <c r="C743" s="58" t="str">
        <f t="shared" si="33"/>
        <v>032680 KS</v>
      </c>
      <c r="D743" s="58" t="s">
        <v>3671</v>
      </c>
      <c r="E743" s="110">
        <v>41484</v>
      </c>
      <c r="F743" s="110" t="str">
        <f>IFERROR(VLOOKUP(C743,[1]evdl298!$B:$D,3,0),"")</f>
        <v>E</v>
      </c>
      <c r="G743" s="110">
        <f>IFERROR(VLOOKUP(C743,[1]evdl298!$B:$C,2,0),"")</f>
        <v>41499</v>
      </c>
      <c r="H743" s="110" t="str">
        <f t="shared" si="34"/>
        <v>E</v>
      </c>
      <c r="I743" s="110">
        <f t="shared" si="35"/>
        <v>41499</v>
      </c>
      <c r="J743" s="110"/>
      <c r="K743" s="110"/>
      <c r="M743" s="110"/>
      <c r="O743" s="110"/>
    </row>
    <row r="744" spans="1:15" x14ac:dyDescent="0.3">
      <c r="A744" s="58" t="str">
        <f>Schedule!E742</f>
        <v>A032750</v>
      </c>
      <c r="B744" s="58" t="s">
        <v>2214</v>
      </c>
      <c r="C744" s="58" t="str">
        <f t="shared" si="33"/>
        <v>032750 KS</v>
      </c>
      <c r="D744" s="58" t="s">
        <v>3671</v>
      </c>
      <c r="E744" s="110" t="s">
        <v>3527</v>
      </c>
      <c r="F744" s="110" t="str">
        <f>IFERROR(VLOOKUP(C744,[1]evdl298!$B:$D,3,0),"")</f>
        <v/>
      </c>
      <c r="G744" s="110" t="str">
        <f>IFERROR(VLOOKUP(C744,[1]evdl298!$B:$C,2,0),"")</f>
        <v/>
      </c>
      <c r="H744" s="110" t="str">
        <f t="shared" si="34"/>
        <v/>
      </c>
      <c r="I744" s="110" t="str">
        <f t="shared" si="35"/>
        <v/>
      </c>
      <c r="J744" s="110"/>
      <c r="K744" s="110"/>
      <c r="M744" s="110"/>
      <c r="O744" s="110"/>
    </row>
    <row r="745" spans="1:15" x14ac:dyDescent="0.3">
      <c r="A745" s="58" t="str">
        <f>Schedule!E743</f>
        <v>A032790</v>
      </c>
      <c r="B745" s="58" t="s">
        <v>2215</v>
      </c>
      <c r="C745" s="58" t="str">
        <f t="shared" si="33"/>
        <v>032790 KS</v>
      </c>
      <c r="D745" s="58" t="s">
        <v>3671</v>
      </c>
      <c r="E745" s="110" t="s">
        <v>3527</v>
      </c>
      <c r="F745" s="110" t="str">
        <f>IFERROR(VLOOKUP(C745,[1]evdl298!$B:$D,3,0),"")</f>
        <v/>
      </c>
      <c r="G745" s="110" t="str">
        <f>IFERROR(VLOOKUP(C745,[1]evdl298!$B:$C,2,0),"")</f>
        <v/>
      </c>
      <c r="H745" s="110" t="str">
        <f t="shared" si="34"/>
        <v/>
      </c>
      <c r="I745" s="110" t="str">
        <f t="shared" si="35"/>
        <v/>
      </c>
      <c r="J745" s="110"/>
      <c r="K745" s="110"/>
      <c r="M745" s="110"/>
      <c r="O745" s="110"/>
    </row>
    <row r="746" spans="1:15" x14ac:dyDescent="0.3">
      <c r="A746" s="58" t="str">
        <f>Schedule!E744</f>
        <v>A032800</v>
      </c>
      <c r="B746" s="58" t="s">
        <v>2216</v>
      </c>
      <c r="C746" s="58" t="str">
        <f t="shared" si="33"/>
        <v>032800 KS</v>
      </c>
      <c r="D746" s="58" t="s">
        <v>3671</v>
      </c>
      <c r="E746" s="110" t="s">
        <v>3527</v>
      </c>
      <c r="F746" s="110" t="str">
        <f>IFERROR(VLOOKUP(C746,[1]evdl298!$B:$D,3,0),"")</f>
        <v/>
      </c>
      <c r="G746" s="110" t="str">
        <f>IFERROR(VLOOKUP(C746,[1]evdl298!$B:$C,2,0),"")</f>
        <v/>
      </c>
      <c r="H746" s="110" t="str">
        <f t="shared" si="34"/>
        <v/>
      </c>
      <c r="I746" s="110" t="str">
        <f t="shared" si="35"/>
        <v/>
      </c>
      <c r="J746" s="110"/>
      <c r="K746" s="110"/>
      <c r="M746" s="110"/>
      <c r="O746" s="110"/>
    </row>
    <row r="747" spans="1:15" x14ac:dyDescent="0.3">
      <c r="A747" s="58" t="str">
        <f>Schedule!E745</f>
        <v>A032820</v>
      </c>
      <c r="B747" s="58" t="s">
        <v>2217</v>
      </c>
      <c r="C747" s="58" t="str">
        <f t="shared" si="33"/>
        <v>032820 KS</v>
      </c>
      <c r="D747" s="58" t="s">
        <v>3671</v>
      </c>
      <c r="E747" s="110" t="s">
        <v>3527</v>
      </c>
      <c r="F747" s="110" t="str">
        <f>IFERROR(VLOOKUP(C747,[1]evdl298!$B:$D,3,0),"")</f>
        <v/>
      </c>
      <c r="G747" s="110" t="str">
        <f>IFERROR(VLOOKUP(C747,[1]evdl298!$B:$C,2,0),"")</f>
        <v/>
      </c>
      <c r="H747" s="110" t="str">
        <f t="shared" si="34"/>
        <v/>
      </c>
      <c r="I747" s="110" t="str">
        <f t="shared" si="35"/>
        <v/>
      </c>
      <c r="J747" s="110"/>
      <c r="K747" s="110"/>
      <c r="M747" s="110"/>
      <c r="O747" s="110"/>
    </row>
    <row r="748" spans="1:15" x14ac:dyDescent="0.3">
      <c r="A748" s="58" t="str">
        <f>Schedule!E746</f>
        <v>A032830</v>
      </c>
      <c r="B748" s="58" t="s">
        <v>2218</v>
      </c>
      <c r="C748" s="58" t="str">
        <f t="shared" si="33"/>
        <v>032830 KS</v>
      </c>
      <c r="D748" s="58" t="s">
        <v>3671</v>
      </c>
      <c r="E748" s="110" t="s">
        <v>3527</v>
      </c>
      <c r="F748" s="110" t="str">
        <f>IFERROR(VLOOKUP(C748,[1]evdl298!$B:$D,3,0),"")</f>
        <v>E</v>
      </c>
      <c r="G748" s="110">
        <f>IFERROR(VLOOKUP(C748,[1]evdl298!$B:$C,2,0),"")</f>
        <v>41495</v>
      </c>
      <c r="H748" s="110" t="str">
        <f t="shared" si="34"/>
        <v>E</v>
      </c>
      <c r="I748" s="110">
        <f t="shared" si="35"/>
        <v>41495</v>
      </c>
      <c r="J748" s="110"/>
      <c r="K748" s="110"/>
      <c r="M748" s="110"/>
      <c r="O748" s="110"/>
    </row>
    <row r="749" spans="1:15" x14ac:dyDescent="0.3">
      <c r="A749" s="58" t="str">
        <f>Schedule!E747</f>
        <v>A032850</v>
      </c>
      <c r="B749" s="58" t="s">
        <v>3345</v>
      </c>
      <c r="C749" s="58" t="str">
        <f t="shared" si="33"/>
        <v>032850 KS</v>
      </c>
      <c r="D749" s="58" t="s">
        <v>3671</v>
      </c>
      <c r="E749" s="110" t="s">
        <v>3685</v>
      </c>
      <c r="F749" s="110" t="str">
        <f>IFERROR(VLOOKUP(C749,[1]evdl298!$B:$D,3,0),"")</f>
        <v/>
      </c>
      <c r="G749" s="110" t="str">
        <f>IFERROR(VLOOKUP(C749,[1]evdl298!$B:$C,2,0),"")</f>
        <v/>
      </c>
      <c r="H749" s="110" t="str">
        <f t="shared" si="34"/>
        <v/>
      </c>
      <c r="I749" s="110" t="str">
        <f t="shared" si="35"/>
        <v>2013-08-09</v>
      </c>
      <c r="J749" s="110"/>
      <c r="K749" s="110"/>
      <c r="M749" s="110"/>
      <c r="O749" s="110"/>
    </row>
    <row r="750" spans="1:15" x14ac:dyDescent="0.3">
      <c r="A750" s="58" t="str">
        <f>Schedule!E748</f>
        <v>A032860</v>
      </c>
      <c r="B750" s="58" t="s">
        <v>2219</v>
      </c>
      <c r="C750" s="58" t="str">
        <f t="shared" si="33"/>
        <v>032860 KS</v>
      </c>
      <c r="D750" s="58" t="s">
        <v>3671</v>
      </c>
      <c r="E750" s="110" t="s">
        <v>3527</v>
      </c>
      <c r="F750" s="110" t="str">
        <f>IFERROR(VLOOKUP(C750,[1]evdl298!$B:$D,3,0),"")</f>
        <v>E</v>
      </c>
      <c r="G750" s="110">
        <f>IFERROR(VLOOKUP(C750,[1]evdl298!$B:$C,2,0),"")</f>
        <v>41500</v>
      </c>
      <c r="H750" s="110" t="str">
        <f t="shared" si="34"/>
        <v>E</v>
      </c>
      <c r="I750" s="110">
        <f t="shared" si="35"/>
        <v>41500</v>
      </c>
      <c r="J750" s="110"/>
      <c r="K750" s="110"/>
      <c r="M750" s="110"/>
      <c r="O750" s="110"/>
    </row>
    <row r="751" spans="1:15" x14ac:dyDescent="0.3">
      <c r="A751" s="58" t="str">
        <f>Schedule!E749</f>
        <v>A032940</v>
      </c>
      <c r="B751" s="58" t="s">
        <v>2220</v>
      </c>
      <c r="C751" s="58" t="str">
        <f t="shared" si="33"/>
        <v>032940 KS</v>
      </c>
      <c r="D751" s="58" t="s">
        <v>3671</v>
      </c>
      <c r="E751" s="110" t="s">
        <v>3527</v>
      </c>
      <c r="F751" s="110" t="str">
        <f>IFERROR(VLOOKUP(C751,[1]evdl298!$B:$D,3,0),"")</f>
        <v/>
      </c>
      <c r="G751" s="110" t="str">
        <f>IFERROR(VLOOKUP(C751,[1]evdl298!$B:$C,2,0),"")</f>
        <v/>
      </c>
      <c r="H751" s="110" t="str">
        <f t="shared" si="34"/>
        <v/>
      </c>
      <c r="I751" s="110" t="str">
        <f t="shared" si="35"/>
        <v/>
      </c>
      <c r="J751" s="110"/>
      <c r="K751" s="110"/>
      <c r="M751" s="110"/>
      <c r="O751" s="110"/>
    </row>
    <row r="752" spans="1:15" x14ac:dyDescent="0.3">
      <c r="A752" s="58" t="str">
        <f>Schedule!E750</f>
        <v>A032960</v>
      </c>
      <c r="B752" s="58" t="s">
        <v>2221</v>
      </c>
      <c r="C752" s="58" t="str">
        <f t="shared" si="33"/>
        <v>032960 KS</v>
      </c>
      <c r="D752" s="58" t="s">
        <v>3671</v>
      </c>
      <c r="E752" s="110" t="s">
        <v>3527</v>
      </c>
      <c r="F752" s="110" t="str">
        <f>IFERROR(VLOOKUP(C752,[1]evdl298!$B:$D,3,0),"")</f>
        <v/>
      </c>
      <c r="G752" s="110" t="str">
        <f>IFERROR(VLOOKUP(C752,[1]evdl298!$B:$C,2,0),"")</f>
        <v/>
      </c>
      <c r="H752" s="110" t="str">
        <f t="shared" si="34"/>
        <v/>
      </c>
      <c r="I752" s="110" t="str">
        <f t="shared" si="35"/>
        <v/>
      </c>
      <c r="J752" s="110"/>
      <c r="K752" s="110"/>
      <c r="M752" s="110"/>
      <c r="O752" s="110"/>
    </row>
    <row r="753" spans="1:15" x14ac:dyDescent="0.3">
      <c r="A753" s="58" t="str">
        <f>Schedule!E751</f>
        <v>A032980</v>
      </c>
      <c r="B753" s="58" t="s">
        <v>2222</v>
      </c>
      <c r="C753" s="58" t="str">
        <f t="shared" si="33"/>
        <v>032980 KS</v>
      </c>
      <c r="D753" s="58" t="s">
        <v>3671</v>
      </c>
      <c r="E753" s="110" t="s">
        <v>3527</v>
      </c>
      <c r="F753" s="110" t="str">
        <f>IFERROR(VLOOKUP(C753,[1]evdl298!$B:$D,3,0),"")</f>
        <v/>
      </c>
      <c r="G753" s="110" t="str">
        <f>IFERROR(VLOOKUP(C753,[1]evdl298!$B:$C,2,0),"")</f>
        <v/>
      </c>
      <c r="H753" s="110" t="str">
        <f t="shared" si="34"/>
        <v/>
      </c>
      <c r="I753" s="110" t="str">
        <f t="shared" si="35"/>
        <v/>
      </c>
      <c r="J753" s="110"/>
      <c r="K753" s="110"/>
      <c r="M753" s="110"/>
      <c r="O753" s="110"/>
    </row>
    <row r="754" spans="1:15" x14ac:dyDescent="0.3">
      <c r="A754" s="58" t="str">
        <f>Schedule!E752</f>
        <v>A033050</v>
      </c>
      <c r="B754" s="58" t="s">
        <v>2223</v>
      </c>
      <c r="C754" s="58" t="str">
        <f t="shared" si="33"/>
        <v>033050 KS</v>
      </c>
      <c r="D754" s="58" t="s">
        <v>3671</v>
      </c>
      <c r="E754" s="110" t="s">
        <v>3527</v>
      </c>
      <c r="F754" s="110" t="str">
        <f>IFERROR(VLOOKUP(C754,[1]evdl298!$B:$D,3,0),"")</f>
        <v/>
      </c>
      <c r="G754" s="110" t="str">
        <f>IFERROR(VLOOKUP(C754,[1]evdl298!$B:$C,2,0),"")</f>
        <v/>
      </c>
      <c r="H754" s="110" t="str">
        <f t="shared" si="34"/>
        <v/>
      </c>
      <c r="I754" s="110" t="str">
        <f t="shared" si="35"/>
        <v/>
      </c>
      <c r="J754" s="110"/>
      <c r="K754" s="110"/>
      <c r="M754" s="110"/>
      <c r="O754" s="110"/>
    </row>
    <row r="755" spans="1:15" x14ac:dyDescent="0.3">
      <c r="A755" s="58" t="str">
        <f>Schedule!E753</f>
        <v>A033100</v>
      </c>
      <c r="B755" s="58" t="s">
        <v>2224</v>
      </c>
      <c r="C755" s="58" t="str">
        <f t="shared" si="33"/>
        <v>033100 KS</v>
      </c>
      <c r="D755" s="58" t="s">
        <v>3671</v>
      </c>
      <c r="E755" s="110" t="s">
        <v>3527</v>
      </c>
      <c r="F755" s="110" t="str">
        <f>IFERROR(VLOOKUP(C755,[1]evdl298!$B:$D,3,0),"")</f>
        <v>E</v>
      </c>
      <c r="G755" s="110">
        <f>IFERROR(VLOOKUP(C755,[1]evdl298!$B:$C,2,0),"")</f>
        <v>41500</v>
      </c>
      <c r="H755" s="110" t="str">
        <f t="shared" si="34"/>
        <v>E</v>
      </c>
      <c r="I755" s="110">
        <f t="shared" si="35"/>
        <v>41500</v>
      </c>
      <c r="J755" s="110"/>
      <c r="K755" s="110"/>
      <c r="M755" s="110"/>
      <c r="O755" s="110"/>
    </row>
    <row r="756" spans="1:15" x14ac:dyDescent="0.3">
      <c r="A756" s="58" t="str">
        <f>Schedule!E754</f>
        <v>A033110</v>
      </c>
      <c r="B756" s="58" t="s">
        <v>2225</v>
      </c>
      <c r="C756" s="58" t="str">
        <f t="shared" si="33"/>
        <v>033110 KS</v>
      </c>
      <c r="D756" s="58" t="s">
        <v>3671</v>
      </c>
      <c r="E756" s="110" t="s">
        <v>3527</v>
      </c>
      <c r="F756" s="110" t="str">
        <f>IFERROR(VLOOKUP(C756,[1]evdl298!$B:$D,3,0),"")</f>
        <v/>
      </c>
      <c r="G756" s="110" t="str">
        <f>IFERROR(VLOOKUP(C756,[1]evdl298!$B:$C,2,0),"")</f>
        <v/>
      </c>
      <c r="H756" s="110" t="str">
        <f t="shared" si="34"/>
        <v/>
      </c>
      <c r="I756" s="110" t="str">
        <f t="shared" si="35"/>
        <v/>
      </c>
      <c r="J756" s="110"/>
      <c r="K756" s="110"/>
      <c r="M756" s="110"/>
      <c r="O756" s="110"/>
    </row>
    <row r="757" spans="1:15" x14ac:dyDescent="0.3">
      <c r="A757" s="58" t="str">
        <f>Schedule!E755</f>
        <v>A033130</v>
      </c>
      <c r="B757" s="58" t="s">
        <v>2226</v>
      </c>
      <c r="C757" s="58" t="str">
        <f t="shared" si="33"/>
        <v>033130 KS</v>
      </c>
      <c r="D757" s="58" t="s">
        <v>3671</v>
      </c>
      <c r="E757" s="110" t="s">
        <v>3527</v>
      </c>
      <c r="F757" s="110" t="str">
        <f>IFERROR(VLOOKUP(C757,[1]evdl298!$B:$D,3,0),"")</f>
        <v/>
      </c>
      <c r="G757" s="110" t="str">
        <f>IFERROR(VLOOKUP(C757,[1]evdl298!$B:$C,2,0),"")</f>
        <v/>
      </c>
      <c r="H757" s="110" t="str">
        <f t="shared" si="34"/>
        <v/>
      </c>
      <c r="I757" s="110" t="str">
        <f t="shared" si="35"/>
        <v/>
      </c>
      <c r="J757" s="110"/>
      <c r="K757" s="110"/>
      <c r="M757" s="110"/>
      <c r="O757" s="110"/>
    </row>
    <row r="758" spans="1:15" x14ac:dyDescent="0.3">
      <c r="A758" s="58" t="str">
        <f>Schedule!E756</f>
        <v>A033160</v>
      </c>
      <c r="B758" s="58" t="s">
        <v>2227</v>
      </c>
      <c r="C758" s="58" t="str">
        <f t="shared" si="33"/>
        <v>033160 KS</v>
      </c>
      <c r="D758" s="58" t="s">
        <v>3671</v>
      </c>
      <c r="E758" s="110" t="s">
        <v>3527</v>
      </c>
      <c r="F758" s="110" t="str">
        <f>IFERROR(VLOOKUP(C758,[1]evdl298!$B:$D,3,0),"")</f>
        <v/>
      </c>
      <c r="G758" s="110" t="str">
        <f>IFERROR(VLOOKUP(C758,[1]evdl298!$B:$C,2,0),"")</f>
        <v/>
      </c>
      <c r="H758" s="110" t="str">
        <f t="shared" si="34"/>
        <v/>
      </c>
      <c r="I758" s="110" t="str">
        <f t="shared" si="35"/>
        <v/>
      </c>
      <c r="J758" s="110"/>
      <c r="K758" s="110"/>
      <c r="M758" s="110"/>
      <c r="O758" s="110"/>
    </row>
    <row r="759" spans="1:15" x14ac:dyDescent="0.3">
      <c r="A759" s="58" t="str">
        <f>Schedule!E757</f>
        <v>A033170</v>
      </c>
      <c r="B759" s="58" t="s">
        <v>2228</v>
      </c>
      <c r="C759" s="58" t="str">
        <f t="shared" si="33"/>
        <v>033170 KS</v>
      </c>
      <c r="D759" s="58" t="s">
        <v>3671</v>
      </c>
      <c r="E759" s="110" t="s">
        <v>3527</v>
      </c>
      <c r="F759" s="110" t="str">
        <f>IFERROR(VLOOKUP(C759,[1]evdl298!$B:$D,3,0),"")</f>
        <v>E</v>
      </c>
      <c r="G759" s="110">
        <f>IFERROR(VLOOKUP(C759,[1]evdl298!$B:$C,2,0),"")</f>
        <v>41460</v>
      </c>
      <c r="H759" s="110" t="str">
        <f t="shared" si="34"/>
        <v>E</v>
      </c>
      <c r="I759" s="110">
        <f t="shared" si="35"/>
        <v>41460</v>
      </c>
      <c r="J759" s="110"/>
      <c r="K759" s="110"/>
      <c r="M759" s="110"/>
      <c r="O759" s="110"/>
    </row>
    <row r="760" spans="1:15" x14ac:dyDescent="0.3">
      <c r="A760" s="58" t="str">
        <f>Schedule!E758</f>
        <v>A033180</v>
      </c>
      <c r="B760" s="58" t="s">
        <v>3346</v>
      </c>
      <c r="C760" s="58" t="str">
        <f t="shared" si="33"/>
        <v>033180 KS</v>
      </c>
      <c r="D760" s="58" t="s">
        <v>3671</v>
      </c>
      <c r="E760" s="110">
        <v>41501</v>
      </c>
      <c r="F760" s="110" t="str">
        <f>IFERROR(VLOOKUP(C760,[1]evdl298!$B:$D,3,0),"")</f>
        <v/>
      </c>
      <c r="G760" s="110" t="str">
        <f>IFERROR(VLOOKUP(C760,[1]evdl298!$B:$C,2,0),"")</f>
        <v/>
      </c>
      <c r="H760" s="110" t="str">
        <f t="shared" si="34"/>
        <v/>
      </c>
      <c r="I760" s="110">
        <f t="shared" si="35"/>
        <v>41501</v>
      </c>
      <c r="J760" s="110"/>
      <c r="K760" s="110"/>
      <c r="M760" s="110"/>
      <c r="O760" s="110"/>
    </row>
    <row r="761" spans="1:15" x14ac:dyDescent="0.3">
      <c r="A761" s="58" t="str">
        <f>Schedule!E759</f>
        <v>A033200</v>
      </c>
      <c r="B761" s="58" t="s">
        <v>2229</v>
      </c>
      <c r="C761" s="58" t="str">
        <f t="shared" si="33"/>
        <v>033200 KS</v>
      </c>
      <c r="D761" s="58" t="s">
        <v>3671</v>
      </c>
      <c r="E761" s="110" t="s">
        <v>3527</v>
      </c>
      <c r="F761" s="110" t="str">
        <f>IFERROR(VLOOKUP(C761,[1]evdl298!$B:$D,3,0),"")</f>
        <v/>
      </c>
      <c r="G761" s="110" t="str">
        <f>IFERROR(VLOOKUP(C761,[1]evdl298!$B:$C,2,0),"")</f>
        <v/>
      </c>
      <c r="H761" s="110" t="str">
        <f t="shared" si="34"/>
        <v/>
      </c>
      <c r="I761" s="110" t="str">
        <f t="shared" si="35"/>
        <v/>
      </c>
      <c r="J761" s="110"/>
      <c r="K761" s="110"/>
      <c r="M761" s="110"/>
      <c r="O761" s="110"/>
    </row>
    <row r="762" spans="1:15" x14ac:dyDescent="0.3">
      <c r="A762" s="58" t="str">
        <f>Schedule!E760</f>
        <v>A033230</v>
      </c>
      <c r="B762" s="58" t="s">
        <v>2230</v>
      </c>
      <c r="C762" s="58" t="str">
        <f t="shared" si="33"/>
        <v>033230 KS</v>
      </c>
      <c r="D762" s="58" t="s">
        <v>3671</v>
      </c>
      <c r="E762" s="110" t="s">
        <v>3527</v>
      </c>
      <c r="F762" s="110" t="str">
        <f>IFERROR(VLOOKUP(C762,[1]evdl298!$B:$D,3,0),"")</f>
        <v>E</v>
      </c>
      <c r="G762" s="110">
        <f>IFERROR(VLOOKUP(C762,[1]evdl298!$B:$C,2,0),"")</f>
        <v>41500</v>
      </c>
      <c r="H762" s="110" t="str">
        <f t="shared" si="34"/>
        <v>E</v>
      </c>
      <c r="I762" s="110">
        <f t="shared" si="35"/>
        <v>41500</v>
      </c>
      <c r="J762" s="110"/>
      <c r="K762" s="110"/>
      <c r="M762" s="110"/>
      <c r="O762" s="110"/>
    </row>
    <row r="763" spans="1:15" x14ac:dyDescent="0.3">
      <c r="A763" s="58" t="str">
        <f>Schedule!E761</f>
        <v>A033240</v>
      </c>
      <c r="B763" s="58" t="s">
        <v>2231</v>
      </c>
      <c r="C763" s="58" t="str">
        <f t="shared" si="33"/>
        <v>033240 KS</v>
      </c>
      <c r="D763" s="58" t="s">
        <v>3671</v>
      </c>
      <c r="E763" s="110" t="s">
        <v>3527</v>
      </c>
      <c r="F763" s="110" t="str">
        <f>IFERROR(VLOOKUP(C763,[1]evdl298!$B:$D,3,0),"")</f>
        <v/>
      </c>
      <c r="G763" s="110" t="str">
        <f>IFERROR(VLOOKUP(C763,[1]evdl298!$B:$C,2,0),"")</f>
        <v/>
      </c>
      <c r="H763" s="110" t="str">
        <f t="shared" si="34"/>
        <v/>
      </c>
      <c r="I763" s="110" t="str">
        <f t="shared" si="35"/>
        <v/>
      </c>
      <c r="J763" s="110"/>
      <c r="K763" s="110"/>
      <c r="M763" s="110"/>
      <c r="O763" s="110"/>
    </row>
    <row r="764" spans="1:15" x14ac:dyDescent="0.3">
      <c r="A764" s="58" t="str">
        <f>Schedule!E762</f>
        <v>A033250</v>
      </c>
      <c r="B764" s="58" t="s">
        <v>2232</v>
      </c>
      <c r="C764" s="58" t="str">
        <f t="shared" si="33"/>
        <v>033250 KS</v>
      </c>
      <c r="D764" s="58" t="s">
        <v>3671</v>
      </c>
      <c r="E764" s="110" t="s">
        <v>3527</v>
      </c>
      <c r="F764" s="110" t="str">
        <f>IFERROR(VLOOKUP(C764,[1]evdl298!$B:$D,3,0),"")</f>
        <v>E</v>
      </c>
      <c r="G764" s="110">
        <f>IFERROR(VLOOKUP(C764,[1]evdl298!$B:$C,2,0),"")</f>
        <v>41514</v>
      </c>
      <c r="H764" s="110" t="str">
        <f t="shared" si="34"/>
        <v>E</v>
      </c>
      <c r="I764" s="110">
        <f t="shared" si="35"/>
        <v>41514</v>
      </c>
      <c r="J764" s="110"/>
      <c r="K764" s="110"/>
      <c r="M764" s="110"/>
      <c r="O764" s="110"/>
    </row>
    <row r="765" spans="1:15" x14ac:dyDescent="0.3">
      <c r="A765" s="58" t="str">
        <f>Schedule!E763</f>
        <v>A033270</v>
      </c>
      <c r="B765" s="58" t="s">
        <v>2233</v>
      </c>
      <c r="C765" s="58" t="str">
        <f t="shared" si="33"/>
        <v>033270 KS</v>
      </c>
      <c r="D765" s="58" t="s">
        <v>3671</v>
      </c>
      <c r="E765" s="110" t="s">
        <v>3527</v>
      </c>
      <c r="F765" s="110" t="str">
        <f>IFERROR(VLOOKUP(C765,[1]evdl298!$B:$D,3,0),"")</f>
        <v>E</v>
      </c>
      <c r="G765" s="110">
        <f>IFERROR(VLOOKUP(C765,[1]evdl298!$B:$C,2,0),"")</f>
        <v>41515</v>
      </c>
      <c r="H765" s="110" t="str">
        <f t="shared" si="34"/>
        <v>E</v>
      </c>
      <c r="I765" s="110">
        <f t="shared" si="35"/>
        <v>41515</v>
      </c>
      <c r="J765" s="110"/>
      <c r="K765" s="110"/>
      <c r="M765" s="110"/>
      <c r="O765" s="110"/>
    </row>
    <row r="766" spans="1:15" x14ac:dyDescent="0.3">
      <c r="A766" s="58" t="str">
        <f>Schedule!E764</f>
        <v>A033290</v>
      </c>
      <c r="B766" s="58" t="s">
        <v>2234</v>
      </c>
      <c r="C766" s="58" t="str">
        <f t="shared" si="33"/>
        <v>033290 KS</v>
      </c>
      <c r="D766" s="58" t="s">
        <v>3671</v>
      </c>
      <c r="E766" s="110" t="s">
        <v>3527</v>
      </c>
      <c r="F766" s="110" t="str">
        <f>IFERROR(VLOOKUP(C766,[1]evdl298!$B:$D,3,0),"")</f>
        <v>E</v>
      </c>
      <c r="G766" s="110">
        <f>IFERROR(VLOOKUP(C766,[1]evdl298!$B:$C,2,0),"")</f>
        <v>41515</v>
      </c>
      <c r="H766" s="110" t="str">
        <f t="shared" si="34"/>
        <v>E</v>
      </c>
      <c r="I766" s="110">
        <f t="shared" si="35"/>
        <v>41515</v>
      </c>
      <c r="J766" s="110"/>
      <c r="K766" s="110"/>
      <c r="M766" s="110"/>
      <c r="O766" s="110"/>
    </row>
    <row r="767" spans="1:15" x14ac:dyDescent="0.3">
      <c r="A767" s="58" t="str">
        <f>Schedule!E765</f>
        <v>A033310</v>
      </c>
      <c r="B767" s="58" t="s">
        <v>2235</v>
      </c>
      <c r="C767" s="58" t="str">
        <f t="shared" si="33"/>
        <v>033310 KS</v>
      </c>
      <c r="D767" s="58" t="s">
        <v>3671</v>
      </c>
      <c r="E767" s="110" t="s">
        <v>3527</v>
      </c>
      <c r="F767" s="110" t="str">
        <f>IFERROR(VLOOKUP(C767,[1]evdl298!$B:$D,3,0),"")</f>
        <v>E</v>
      </c>
      <c r="G767" s="110">
        <f>IFERROR(VLOOKUP(C767,[1]evdl298!$B:$C,2,0),"")</f>
        <v>41500</v>
      </c>
      <c r="H767" s="110" t="str">
        <f t="shared" si="34"/>
        <v>E</v>
      </c>
      <c r="I767" s="110">
        <f t="shared" si="35"/>
        <v>41500</v>
      </c>
      <c r="J767" s="110"/>
      <c r="K767" s="110"/>
      <c r="M767" s="110"/>
      <c r="O767" s="110"/>
    </row>
    <row r="768" spans="1:15" x14ac:dyDescent="0.3">
      <c r="A768" s="58" t="str">
        <f>Schedule!E766</f>
        <v>A033320</v>
      </c>
      <c r="B768" s="58" t="s">
        <v>2236</v>
      </c>
      <c r="C768" s="58" t="str">
        <f t="shared" si="33"/>
        <v>033320 KS</v>
      </c>
      <c r="D768" s="58" t="s">
        <v>3671</v>
      </c>
      <c r="E768" s="110" t="s">
        <v>3527</v>
      </c>
      <c r="F768" s="110" t="str">
        <f>IFERROR(VLOOKUP(C768,[1]evdl298!$B:$D,3,0),"")</f>
        <v/>
      </c>
      <c r="G768" s="110" t="str">
        <f>IFERROR(VLOOKUP(C768,[1]evdl298!$B:$C,2,0),"")</f>
        <v/>
      </c>
      <c r="H768" s="110" t="str">
        <f t="shared" si="34"/>
        <v/>
      </c>
      <c r="I768" s="110" t="str">
        <f t="shared" si="35"/>
        <v/>
      </c>
      <c r="J768" s="110"/>
      <c r="K768" s="110"/>
      <c r="M768" s="110"/>
      <c r="O768" s="110"/>
    </row>
    <row r="769" spans="1:15" x14ac:dyDescent="0.3">
      <c r="A769" s="58" t="str">
        <f>Schedule!E767</f>
        <v>A033340</v>
      </c>
      <c r="B769" s="58" t="s">
        <v>2237</v>
      </c>
      <c r="C769" s="58" t="str">
        <f t="shared" si="33"/>
        <v>033340 KS</v>
      </c>
      <c r="D769" s="58" t="s">
        <v>3671</v>
      </c>
      <c r="E769" s="110" t="s">
        <v>3527</v>
      </c>
      <c r="F769" s="110" t="str">
        <f>IFERROR(VLOOKUP(C769,[1]evdl298!$B:$D,3,0),"")</f>
        <v>E</v>
      </c>
      <c r="G769" s="110">
        <f>IFERROR(VLOOKUP(C769,[1]evdl298!$B:$C,2,0),"")</f>
        <v>41515</v>
      </c>
      <c r="H769" s="110" t="str">
        <f t="shared" si="34"/>
        <v>E</v>
      </c>
      <c r="I769" s="110">
        <f t="shared" si="35"/>
        <v>41515</v>
      </c>
      <c r="J769" s="110"/>
      <c r="K769" s="110"/>
      <c r="M769" s="110"/>
      <c r="O769" s="110"/>
    </row>
    <row r="770" spans="1:15" x14ac:dyDescent="0.3">
      <c r="A770" s="58" t="str">
        <f>Schedule!E768</f>
        <v>A033430</v>
      </c>
      <c r="B770" s="58" t="s">
        <v>2238</v>
      </c>
      <c r="C770" s="58" t="str">
        <f t="shared" si="33"/>
        <v>033430 KS</v>
      </c>
      <c r="D770" s="58" t="s">
        <v>3671</v>
      </c>
      <c r="E770" s="110" t="s">
        <v>3527</v>
      </c>
      <c r="F770" s="110" t="str">
        <f>IFERROR(VLOOKUP(C770,[1]evdl298!$B:$D,3,0),"")</f>
        <v/>
      </c>
      <c r="G770" s="110" t="str">
        <f>IFERROR(VLOOKUP(C770,[1]evdl298!$B:$C,2,0),"")</f>
        <v/>
      </c>
      <c r="H770" s="110" t="str">
        <f t="shared" si="34"/>
        <v/>
      </c>
      <c r="I770" s="110" t="str">
        <f t="shared" si="35"/>
        <v/>
      </c>
      <c r="J770" s="110"/>
      <c r="K770" s="110"/>
      <c r="M770" s="110"/>
      <c r="O770" s="110"/>
    </row>
    <row r="771" spans="1:15" x14ac:dyDescent="0.3">
      <c r="A771" s="58" t="str">
        <f>Schedule!E769</f>
        <v>A033500</v>
      </c>
      <c r="B771" s="58" t="s">
        <v>2239</v>
      </c>
      <c r="C771" s="58" t="str">
        <f t="shared" si="33"/>
        <v>033500 KS</v>
      </c>
      <c r="D771" s="58" t="s">
        <v>3671</v>
      </c>
      <c r="E771" s="110" t="s">
        <v>3527</v>
      </c>
      <c r="F771" s="110" t="str">
        <f>IFERROR(VLOOKUP(C771,[1]evdl298!$B:$D,3,0),"")</f>
        <v>E</v>
      </c>
      <c r="G771" s="110">
        <f>IFERROR(VLOOKUP(C771,[1]evdl298!$B:$C,2,0),"")</f>
        <v>41500</v>
      </c>
      <c r="H771" s="110" t="str">
        <f t="shared" si="34"/>
        <v>E</v>
      </c>
      <c r="I771" s="110">
        <f t="shared" si="35"/>
        <v>41500</v>
      </c>
      <c r="J771" s="110"/>
      <c r="K771" s="110"/>
      <c r="M771" s="110"/>
      <c r="O771" s="110"/>
    </row>
    <row r="772" spans="1:15" x14ac:dyDescent="0.3">
      <c r="A772" s="58" t="str">
        <f>Schedule!E770</f>
        <v>A033530</v>
      </c>
      <c r="B772" s="58" t="s">
        <v>3641</v>
      </c>
      <c r="C772" s="58" t="str">
        <f t="shared" si="33"/>
        <v>033530 KS</v>
      </c>
      <c r="D772" s="58" t="s">
        <v>3671</v>
      </c>
      <c r="E772" s="110" t="s">
        <v>3527</v>
      </c>
      <c r="F772" s="110" t="str">
        <f>IFERROR(VLOOKUP(C772,[1]evdl298!$B:$D,3,0),"")</f>
        <v/>
      </c>
      <c r="G772" s="110" t="str">
        <f>IFERROR(VLOOKUP(C772,[1]evdl298!$B:$C,2,0),"")</f>
        <v/>
      </c>
      <c r="H772" s="110" t="str">
        <f t="shared" si="34"/>
        <v/>
      </c>
      <c r="I772" s="110" t="str">
        <f t="shared" si="35"/>
        <v/>
      </c>
      <c r="J772" s="110"/>
      <c r="K772" s="110"/>
      <c r="M772" s="110"/>
      <c r="O772" s="110"/>
    </row>
    <row r="773" spans="1:15" x14ac:dyDescent="0.3">
      <c r="A773" s="58" t="str">
        <f>Schedule!E771</f>
        <v>A033540</v>
      </c>
      <c r="B773" s="58" t="s">
        <v>2240</v>
      </c>
      <c r="C773" s="58" t="str">
        <f t="shared" si="33"/>
        <v>033540 KS</v>
      </c>
      <c r="D773" s="58" t="s">
        <v>3671</v>
      </c>
      <c r="E773" s="110" t="s">
        <v>3527</v>
      </c>
      <c r="F773" s="110" t="str">
        <f>IFERROR(VLOOKUP(C773,[1]evdl298!$B:$D,3,0),"")</f>
        <v>E</v>
      </c>
      <c r="G773" s="110">
        <f>IFERROR(VLOOKUP(C773,[1]evdl298!$B:$C,2,0),"")</f>
        <v>41500</v>
      </c>
      <c r="H773" s="110" t="str">
        <f t="shared" si="34"/>
        <v>E</v>
      </c>
      <c r="I773" s="110">
        <f t="shared" si="35"/>
        <v>41500</v>
      </c>
      <c r="J773" s="110"/>
      <c r="K773" s="110"/>
      <c r="M773" s="110"/>
      <c r="O773" s="110"/>
    </row>
    <row r="774" spans="1:15" x14ac:dyDescent="0.3">
      <c r="A774" s="58" t="str">
        <f>Schedule!E772</f>
        <v>A033560</v>
      </c>
      <c r="B774" s="58" t="s">
        <v>2241</v>
      </c>
      <c r="C774" s="58" t="str">
        <f t="shared" si="33"/>
        <v>033560 KS</v>
      </c>
      <c r="D774" s="58" t="s">
        <v>3671</v>
      </c>
      <c r="E774" s="110" t="s">
        <v>3527</v>
      </c>
      <c r="F774" s="110" t="str">
        <f>IFERROR(VLOOKUP(C774,[1]evdl298!$B:$D,3,0),"")</f>
        <v>C</v>
      </c>
      <c r="G774" s="110">
        <f>IFERROR(VLOOKUP(C774,[1]evdl298!$B:$C,2,0),"")</f>
        <v>41471</v>
      </c>
      <c r="H774" s="110" t="str">
        <f t="shared" si="34"/>
        <v>C</v>
      </c>
      <c r="I774" s="110">
        <f t="shared" si="35"/>
        <v>41471</v>
      </c>
      <c r="J774" s="110"/>
      <c r="K774" s="110"/>
      <c r="M774" s="110"/>
      <c r="O774" s="110"/>
    </row>
    <row r="775" spans="1:15" x14ac:dyDescent="0.3">
      <c r="A775" s="58" t="str">
        <f>Schedule!E773</f>
        <v>A033600</v>
      </c>
      <c r="B775" s="58" t="s">
        <v>3347</v>
      </c>
      <c r="C775" s="58" t="str">
        <f t="shared" si="33"/>
        <v>033600 KS</v>
      </c>
      <c r="D775" s="58" t="s">
        <v>3671</v>
      </c>
      <c r="E775" s="110" t="s">
        <v>3527</v>
      </c>
      <c r="F775" s="110" t="str">
        <f>IFERROR(VLOOKUP(C775,[1]evdl298!$B:$D,3,0),"")</f>
        <v/>
      </c>
      <c r="G775" s="110" t="str">
        <f>IFERROR(VLOOKUP(C775,[1]evdl298!$B:$C,2,0),"")</f>
        <v/>
      </c>
      <c r="H775" s="110" t="str">
        <f t="shared" si="34"/>
        <v/>
      </c>
      <c r="I775" s="110" t="str">
        <f t="shared" si="35"/>
        <v/>
      </c>
      <c r="J775" s="110"/>
      <c r="K775" s="110"/>
      <c r="M775" s="110"/>
      <c r="O775" s="110"/>
    </row>
    <row r="776" spans="1:15" x14ac:dyDescent="0.3">
      <c r="A776" s="58" t="str">
        <f>Schedule!E774</f>
        <v>A033630</v>
      </c>
      <c r="B776" s="58" t="s">
        <v>2242</v>
      </c>
      <c r="C776" s="58" t="str">
        <f t="shared" si="33"/>
        <v>033630 KS</v>
      </c>
      <c r="D776" s="58" t="s">
        <v>3671</v>
      </c>
      <c r="E776" s="110" t="s">
        <v>3527</v>
      </c>
      <c r="F776" s="110" t="str">
        <f>IFERROR(VLOOKUP(C776,[1]evdl298!$B:$D,3,0),"")</f>
        <v>E</v>
      </c>
      <c r="G776" s="110">
        <f>IFERROR(VLOOKUP(C776,[1]evdl298!$B:$C,2,0),"")</f>
        <v>41487</v>
      </c>
      <c r="H776" s="110" t="str">
        <f t="shared" si="34"/>
        <v>E</v>
      </c>
      <c r="I776" s="110">
        <f t="shared" si="35"/>
        <v>41487</v>
      </c>
      <c r="J776" s="110"/>
      <c r="K776" s="110"/>
      <c r="M776" s="110"/>
      <c r="O776" s="110"/>
    </row>
    <row r="777" spans="1:15" x14ac:dyDescent="0.3">
      <c r="A777" s="58" t="str">
        <f>Schedule!E775</f>
        <v>A033640</v>
      </c>
      <c r="B777" s="58" t="s">
        <v>2243</v>
      </c>
      <c r="C777" s="58" t="str">
        <f t="shared" si="33"/>
        <v>033640 KS</v>
      </c>
      <c r="D777" s="58" t="s">
        <v>3671</v>
      </c>
      <c r="E777" s="110">
        <v>41492</v>
      </c>
      <c r="F777" s="110" t="str">
        <f>IFERROR(VLOOKUP(C777,[1]evdl298!$B:$D,3,0),"")</f>
        <v/>
      </c>
      <c r="G777" s="110" t="str">
        <f>IFERROR(VLOOKUP(C777,[1]evdl298!$B:$C,2,0),"")</f>
        <v/>
      </c>
      <c r="H777" s="110" t="str">
        <f t="shared" si="34"/>
        <v/>
      </c>
      <c r="I777" s="110">
        <f t="shared" si="35"/>
        <v>41492</v>
      </c>
      <c r="J777" s="110"/>
      <c r="K777" s="110"/>
      <c r="M777" s="110"/>
      <c r="O777" s="110"/>
    </row>
    <row r="778" spans="1:15" x14ac:dyDescent="0.3">
      <c r="A778" s="58" t="str">
        <f>Schedule!E776</f>
        <v>A033660</v>
      </c>
      <c r="B778" s="58" t="s">
        <v>2244</v>
      </c>
      <c r="C778" s="58" t="str">
        <f t="shared" si="33"/>
        <v>033660 KS</v>
      </c>
      <c r="D778" s="58" t="s">
        <v>3671</v>
      </c>
      <c r="E778" s="110" t="s">
        <v>3688</v>
      </c>
      <c r="F778" s="110" t="str">
        <f>IFERROR(VLOOKUP(C778,[1]evdl298!$B:$D,3,0),"")</f>
        <v>E</v>
      </c>
      <c r="G778" s="110">
        <f>IFERROR(VLOOKUP(C778,[1]evdl298!$B:$C,2,0),"")</f>
        <v>41500</v>
      </c>
      <c r="H778" s="110" t="str">
        <f t="shared" si="34"/>
        <v>E</v>
      </c>
      <c r="I778" s="110">
        <f t="shared" si="35"/>
        <v>41500</v>
      </c>
      <c r="J778" s="110"/>
      <c r="K778" s="110"/>
      <c r="M778" s="110"/>
      <c r="O778" s="110"/>
    </row>
    <row r="779" spans="1:15" x14ac:dyDescent="0.3">
      <c r="A779" s="58" t="str">
        <f>Schedule!E777</f>
        <v>A033780</v>
      </c>
      <c r="B779" s="58" t="s">
        <v>2245</v>
      </c>
      <c r="C779" s="58" t="str">
        <f t="shared" si="33"/>
        <v>033780 KS</v>
      </c>
      <c r="D779" s="58" t="s">
        <v>3671</v>
      </c>
      <c r="E779" s="110" t="s">
        <v>3527</v>
      </c>
      <c r="F779" s="110" t="str">
        <f>IFERROR(VLOOKUP(C779,[1]evdl298!$B:$D,3,0),"")</f>
        <v>C</v>
      </c>
      <c r="G779" s="110">
        <f>IFERROR(VLOOKUP(C779,[1]evdl298!$B:$C,2,0),"")</f>
        <v>41472</v>
      </c>
      <c r="H779" s="110" t="str">
        <f t="shared" si="34"/>
        <v>C</v>
      </c>
      <c r="I779" s="110">
        <f t="shared" si="35"/>
        <v>41472</v>
      </c>
      <c r="J779" s="110"/>
      <c r="K779" s="110"/>
      <c r="M779" s="110"/>
      <c r="O779" s="110"/>
    </row>
    <row r="780" spans="1:15" x14ac:dyDescent="0.3">
      <c r="A780" s="58" t="str">
        <f>Schedule!E778</f>
        <v>A033790</v>
      </c>
      <c r="B780" s="58" t="s">
        <v>2246</v>
      </c>
      <c r="C780" s="58" t="str">
        <f t="shared" si="33"/>
        <v>033790 KS</v>
      </c>
      <c r="D780" s="58" t="s">
        <v>3671</v>
      </c>
      <c r="E780" s="110">
        <v>41472</v>
      </c>
      <c r="F780" s="110" t="str">
        <f>IFERROR(VLOOKUP(C780,[1]evdl298!$B:$D,3,0),"")</f>
        <v>E</v>
      </c>
      <c r="G780" s="110">
        <f>IFERROR(VLOOKUP(C780,[1]evdl298!$B:$C,2,0),"")</f>
        <v>41460</v>
      </c>
      <c r="H780" s="110" t="str">
        <f t="shared" si="34"/>
        <v>E</v>
      </c>
      <c r="I780" s="110">
        <f t="shared" si="35"/>
        <v>41460</v>
      </c>
      <c r="J780" s="110"/>
      <c r="K780" s="110"/>
      <c r="M780" s="110"/>
      <c r="O780" s="110"/>
    </row>
    <row r="781" spans="1:15" x14ac:dyDescent="0.3">
      <c r="A781" s="58" t="str">
        <f>Schedule!E779</f>
        <v>A033830</v>
      </c>
      <c r="B781" s="58" t="s">
        <v>2247</v>
      </c>
      <c r="C781" s="58" t="str">
        <f t="shared" si="33"/>
        <v>033830 KS</v>
      </c>
      <c r="D781" s="58" t="s">
        <v>3671</v>
      </c>
      <c r="E781" s="110" t="s">
        <v>3527</v>
      </c>
      <c r="F781" s="110" t="str">
        <f>IFERROR(VLOOKUP(C781,[1]evdl298!$B:$D,3,0),"")</f>
        <v/>
      </c>
      <c r="G781" s="110" t="str">
        <f>IFERROR(VLOOKUP(C781,[1]evdl298!$B:$C,2,0),"")</f>
        <v/>
      </c>
      <c r="H781" s="110" t="str">
        <f t="shared" si="34"/>
        <v/>
      </c>
      <c r="I781" s="110" t="str">
        <f t="shared" si="35"/>
        <v/>
      </c>
      <c r="J781" s="110"/>
      <c r="K781" s="110"/>
      <c r="M781" s="110"/>
      <c r="O781" s="110"/>
    </row>
    <row r="782" spans="1:15" x14ac:dyDescent="0.3">
      <c r="A782" s="58" t="str">
        <f>Schedule!E780</f>
        <v>A033920</v>
      </c>
      <c r="B782" s="58" t="s">
        <v>3348</v>
      </c>
      <c r="C782" s="58" t="str">
        <f t="shared" si="33"/>
        <v>033920 KS</v>
      </c>
      <c r="D782" s="58" t="s">
        <v>3671</v>
      </c>
      <c r="E782" s="110" t="s">
        <v>3527</v>
      </c>
      <c r="F782" s="110" t="str">
        <f>IFERROR(VLOOKUP(C782,[1]evdl298!$B:$D,3,0),"")</f>
        <v/>
      </c>
      <c r="G782" s="110" t="str">
        <f>IFERROR(VLOOKUP(C782,[1]evdl298!$B:$C,2,0),"")</f>
        <v/>
      </c>
      <c r="H782" s="110" t="str">
        <f t="shared" si="34"/>
        <v/>
      </c>
      <c r="I782" s="110" t="str">
        <f t="shared" si="35"/>
        <v/>
      </c>
      <c r="J782" s="110"/>
      <c r="K782" s="110"/>
      <c r="M782" s="110"/>
      <c r="O782" s="110"/>
    </row>
    <row r="783" spans="1:15" x14ac:dyDescent="0.3">
      <c r="A783" s="58" t="str">
        <f>Schedule!E781</f>
        <v>A034020</v>
      </c>
      <c r="B783" s="58" t="s">
        <v>2248</v>
      </c>
      <c r="C783" s="58" t="str">
        <f t="shared" si="33"/>
        <v>034020 KS</v>
      </c>
      <c r="D783" s="58" t="s">
        <v>3671</v>
      </c>
      <c r="E783" s="110" t="s">
        <v>3527</v>
      </c>
      <c r="F783" s="110" t="str">
        <f>IFERROR(VLOOKUP(C783,[1]evdl298!$B:$D,3,0),"")</f>
        <v>E</v>
      </c>
      <c r="G783" s="110">
        <f>IFERROR(VLOOKUP(C783,[1]evdl298!$B:$C,2,0),"")</f>
        <v>41481</v>
      </c>
      <c r="H783" s="110" t="str">
        <f t="shared" si="34"/>
        <v>E</v>
      </c>
      <c r="I783" s="110">
        <f t="shared" si="35"/>
        <v>41481</v>
      </c>
      <c r="J783" s="110"/>
      <c r="K783" s="110"/>
      <c r="M783" s="110"/>
      <c r="O783" s="110"/>
    </row>
    <row r="784" spans="1:15" x14ac:dyDescent="0.3">
      <c r="A784" s="58" t="str">
        <f>Schedule!E782</f>
        <v>A034120</v>
      </c>
      <c r="B784" s="58" t="s">
        <v>2249</v>
      </c>
      <c r="C784" s="58" t="str">
        <f t="shared" si="33"/>
        <v>034120 KS</v>
      </c>
      <c r="D784" s="58" t="s">
        <v>3671</v>
      </c>
      <c r="E784" s="110" t="s">
        <v>3674</v>
      </c>
      <c r="F784" s="110" t="str">
        <f>IFERROR(VLOOKUP(C784,[1]evdl298!$B:$D,3,0),"")</f>
        <v>E</v>
      </c>
      <c r="G784" s="110">
        <f>IFERROR(VLOOKUP(C784,[1]evdl298!$B:$C,2,0),"")</f>
        <v>41515</v>
      </c>
      <c r="H784" s="110" t="str">
        <f t="shared" si="34"/>
        <v>E</v>
      </c>
      <c r="I784" s="110">
        <f t="shared" si="35"/>
        <v>41515</v>
      </c>
      <c r="J784" s="110"/>
      <c r="K784" s="110"/>
      <c r="M784" s="110"/>
      <c r="O784" s="110"/>
    </row>
    <row r="785" spans="1:15" x14ac:dyDescent="0.3">
      <c r="A785" s="58" t="str">
        <f>Schedule!E783</f>
        <v>A034220</v>
      </c>
      <c r="B785" s="58" t="s">
        <v>2250</v>
      </c>
      <c r="C785" s="58" t="str">
        <f t="shared" ref="C785:C848" si="36">RIGHT(A785,6)&amp;" KS"</f>
        <v>034220 KS</v>
      </c>
      <c r="D785" s="58" t="s">
        <v>3671</v>
      </c>
      <c r="E785" s="110">
        <v>41515</v>
      </c>
      <c r="F785" s="110" t="str">
        <f>IFERROR(VLOOKUP(C785,[1]evdl298!$B:$D,3,0),"")</f>
        <v>C</v>
      </c>
      <c r="G785" s="110">
        <f>IFERROR(VLOOKUP(C785,[1]evdl298!$B:$C,2,0),"")</f>
        <v>41473</v>
      </c>
      <c r="H785" s="110" t="str">
        <f t="shared" ref="H785:H848" si="37">F785</f>
        <v>C</v>
      </c>
      <c r="I785" s="110">
        <f t="shared" ref="I785:I848" si="38">IF(ISNUMBER(G785),G785,E785)</f>
        <v>41473</v>
      </c>
      <c r="J785" s="110"/>
      <c r="K785" s="110"/>
      <c r="M785" s="110"/>
      <c r="O785" s="110"/>
    </row>
    <row r="786" spans="1:15" x14ac:dyDescent="0.3">
      <c r="A786" s="58" t="str">
        <f>Schedule!E784</f>
        <v>A034230</v>
      </c>
      <c r="B786" s="58" t="s">
        <v>2251</v>
      </c>
      <c r="C786" s="58" t="str">
        <f t="shared" si="36"/>
        <v>034230 KS</v>
      </c>
      <c r="D786" s="58" t="s">
        <v>3671</v>
      </c>
      <c r="E786" s="110" t="s">
        <v>3698</v>
      </c>
      <c r="F786" s="110" t="str">
        <f>IFERROR(VLOOKUP(C786,[1]evdl298!$B:$D,3,0),"")</f>
        <v>E</v>
      </c>
      <c r="G786" s="110">
        <f>IFERROR(VLOOKUP(C786,[1]evdl298!$B:$C,2,0),"")</f>
        <v>41488</v>
      </c>
      <c r="H786" s="110" t="str">
        <f t="shared" si="37"/>
        <v>E</v>
      </c>
      <c r="I786" s="110">
        <f t="shared" si="38"/>
        <v>41488</v>
      </c>
      <c r="J786" s="110"/>
      <c r="K786" s="110"/>
      <c r="M786" s="110"/>
      <c r="O786" s="110"/>
    </row>
    <row r="787" spans="1:15" x14ac:dyDescent="0.3">
      <c r="A787" s="58" t="str">
        <f>Schedule!E785</f>
        <v>A034300</v>
      </c>
      <c r="B787" s="58" t="s">
        <v>2252</v>
      </c>
      <c r="C787" s="58" t="str">
        <f t="shared" si="36"/>
        <v>034300 KS</v>
      </c>
      <c r="D787" s="58" t="s">
        <v>3671</v>
      </c>
      <c r="E787" s="110" t="s">
        <v>3527</v>
      </c>
      <c r="F787" s="110" t="str">
        <f>IFERROR(VLOOKUP(C787,[1]evdl298!$B:$D,3,0),"")</f>
        <v>E</v>
      </c>
      <c r="G787" s="110">
        <f>IFERROR(VLOOKUP(C787,[1]evdl298!$B:$C,2,0),"")</f>
        <v>41500</v>
      </c>
      <c r="H787" s="110" t="str">
        <f t="shared" si="37"/>
        <v>E</v>
      </c>
      <c r="I787" s="110">
        <f t="shared" si="38"/>
        <v>41500</v>
      </c>
      <c r="J787" s="110"/>
      <c r="K787" s="110"/>
      <c r="M787" s="110"/>
      <c r="O787" s="110"/>
    </row>
    <row r="788" spans="1:15" x14ac:dyDescent="0.3">
      <c r="A788" s="58" t="str">
        <f>Schedule!E786</f>
        <v>A034310</v>
      </c>
      <c r="B788" s="58" t="s">
        <v>2253</v>
      </c>
      <c r="C788" s="58" t="str">
        <f t="shared" si="36"/>
        <v>034310 KS</v>
      </c>
      <c r="D788" s="58" t="s">
        <v>3671</v>
      </c>
      <c r="E788" s="110" t="s">
        <v>3527</v>
      </c>
      <c r="F788" s="110" t="str">
        <f>IFERROR(VLOOKUP(C788,[1]evdl298!$B:$D,3,0),"")</f>
        <v>E</v>
      </c>
      <c r="G788" s="110">
        <f>IFERROR(VLOOKUP(C788,[1]evdl298!$B:$C,2,0),"")</f>
        <v>41500</v>
      </c>
      <c r="H788" s="110" t="str">
        <f t="shared" si="37"/>
        <v>E</v>
      </c>
      <c r="I788" s="110">
        <f t="shared" si="38"/>
        <v>41500</v>
      </c>
      <c r="J788" s="110"/>
      <c r="K788" s="110"/>
      <c r="M788" s="110"/>
      <c r="O788" s="110"/>
    </row>
    <row r="789" spans="1:15" x14ac:dyDescent="0.3">
      <c r="A789" s="58" t="str">
        <f>Schedule!E787</f>
        <v>A034590</v>
      </c>
      <c r="B789" s="58" t="s">
        <v>2254</v>
      </c>
      <c r="C789" s="58" t="str">
        <f t="shared" si="36"/>
        <v>034590 KS</v>
      </c>
      <c r="D789" s="58" t="s">
        <v>3671</v>
      </c>
      <c r="E789" s="110" t="s">
        <v>3527</v>
      </c>
      <c r="F789" s="110" t="str">
        <f>IFERROR(VLOOKUP(C789,[1]evdl298!$B:$D,3,0),"")</f>
        <v>E</v>
      </c>
      <c r="G789" s="110">
        <f>IFERROR(VLOOKUP(C789,[1]evdl298!$B:$C,2,0),"")</f>
        <v>41500</v>
      </c>
      <c r="H789" s="110" t="str">
        <f t="shared" si="37"/>
        <v>E</v>
      </c>
      <c r="I789" s="110">
        <f t="shared" si="38"/>
        <v>41500</v>
      </c>
      <c r="J789" s="110"/>
      <c r="K789" s="110"/>
      <c r="M789" s="110"/>
      <c r="O789" s="110"/>
    </row>
    <row r="790" spans="1:15" x14ac:dyDescent="0.3">
      <c r="A790" s="58" t="str">
        <f>Schedule!E788</f>
        <v>A034730</v>
      </c>
      <c r="B790" s="58" t="s">
        <v>2255</v>
      </c>
      <c r="C790" s="58" t="str">
        <f t="shared" si="36"/>
        <v>034730 KS</v>
      </c>
      <c r="D790" s="58" t="s">
        <v>3671</v>
      </c>
      <c r="E790" s="110" t="s">
        <v>3527</v>
      </c>
      <c r="F790" s="110" t="str">
        <f>IFERROR(VLOOKUP(C790,[1]evdl298!$B:$D,3,0),"")</f>
        <v>E</v>
      </c>
      <c r="G790" s="110">
        <f>IFERROR(VLOOKUP(C790,[1]evdl298!$B:$C,2,0),"")</f>
        <v>41488</v>
      </c>
      <c r="H790" s="110" t="str">
        <f t="shared" si="37"/>
        <v>E</v>
      </c>
      <c r="I790" s="110">
        <f t="shared" si="38"/>
        <v>41488</v>
      </c>
      <c r="J790" s="110"/>
      <c r="K790" s="110"/>
      <c r="M790" s="110"/>
      <c r="O790" s="110"/>
    </row>
    <row r="791" spans="1:15" x14ac:dyDescent="0.3">
      <c r="A791" s="58" t="str">
        <f>Schedule!E789</f>
        <v>A034810</v>
      </c>
      <c r="B791" s="58" t="s">
        <v>2256</v>
      </c>
      <c r="C791" s="58" t="str">
        <f t="shared" si="36"/>
        <v>034810 KS</v>
      </c>
      <c r="D791" s="58" t="s">
        <v>3671</v>
      </c>
      <c r="E791" s="110" t="s">
        <v>3699</v>
      </c>
      <c r="F791" s="110" t="str">
        <f>IFERROR(VLOOKUP(C791,[1]evdl298!$B:$D,3,0),"")</f>
        <v>E</v>
      </c>
      <c r="G791" s="110">
        <f>IFERROR(VLOOKUP(C791,[1]evdl298!$B:$C,2,0),"")</f>
        <v>41500</v>
      </c>
      <c r="H791" s="110" t="str">
        <f t="shared" si="37"/>
        <v>E</v>
      </c>
      <c r="I791" s="110">
        <f t="shared" si="38"/>
        <v>41500</v>
      </c>
      <c r="J791" s="110"/>
      <c r="K791" s="110"/>
      <c r="M791" s="110"/>
      <c r="O791" s="110"/>
    </row>
    <row r="792" spans="1:15" x14ac:dyDescent="0.3">
      <c r="A792" s="58" t="str">
        <f>Schedule!E790</f>
        <v>A034830</v>
      </c>
      <c r="B792" s="58" t="s">
        <v>2257</v>
      </c>
      <c r="C792" s="58" t="str">
        <f t="shared" si="36"/>
        <v>034830 KS</v>
      </c>
      <c r="D792" s="58" t="s">
        <v>3671</v>
      </c>
      <c r="E792" s="110" t="s">
        <v>3527</v>
      </c>
      <c r="F792" s="110" t="str">
        <f>IFERROR(VLOOKUP(C792,[1]evdl298!$B:$D,3,0),"")</f>
        <v>E</v>
      </c>
      <c r="G792" s="110">
        <f>IFERROR(VLOOKUP(C792,[1]evdl298!$B:$C,2,0),"")</f>
        <v>41472</v>
      </c>
      <c r="H792" s="110" t="str">
        <f t="shared" si="37"/>
        <v>E</v>
      </c>
      <c r="I792" s="110">
        <f t="shared" si="38"/>
        <v>41472</v>
      </c>
      <c r="J792" s="110"/>
      <c r="K792" s="110"/>
      <c r="M792" s="110"/>
      <c r="O792" s="110"/>
    </row>
    <row r="793" spans="1:15" x14ac:dyDescent="0.3">
      <c r="A793" s="58" t="str">
        <f>Schedule!E791</f>
        <v>A034940</v>
      </c>
      <c r="B793" s="58" t="s">
        <v>2258</v>
      </c>
      <c r="C793" s="58" t="str">
        <f t="shared" si="36"/>
        <v>034940 KS</v>
      </c>
      <c r="D793" s="58" t="s">
        <v>3671</v>
      </c>
      <c r="E793" s="110" t="s">
        <v>3527</v>
      </c>
      <c r="F793" s="110" t="str">
        <f>IFERROR(VLOOKUP(C793,[1]evdl298!$B:$D,3,0),"")</f>
        <v/>
      </c>
      <c r="G793" s="110" t="str">
        <f>IFERROR(VLOOKUP(C793,[1]evdl298!$B:$C,2,0),"")</f>
        <v/>
      </c>
      <c r="H793" s="110" t="str">
        <f t="shared" si="37"/>
        <v/>
      </c>
      <c r="I793" s="110" t="str">
        <f t="shared" si="38"/>
        <v/>
      </c>
      <c r="J793" s="110"/>
      <c r="K793" s="110"/>
      <c r="M793" s="110"/>
      <c r="O793" s="110"/>
    </row>
    <row r="794" spans="1:15" x14ac:dyDescent="0.3">
      <c r="A794" s="58" t="str">
        <f>Schedule!E792</f>
        <v>A034950</v>
      </c>
      <c r="B794" s="58" t="s">
        <v>2259</v>
      </c>
      <c r="C794" s="58" t="str">
        <f t="shared" si="36"/>
        <v>034950 KS</v>
      </c>
      <c r="D794" s="58" t="s">
        <v>3671</v>
      </c>
      <c r="E794" s="110" t="s">
        <v>3527</v>
      </c>
      <c r="F794" s="110" t="str">
        <f>IFERROR(VLOOKUP(C794,[1]evdl298!$B:$D,3,0),"")</f>
        <v>E</v>
      </c>
      <c r="G794" s="110">
        <f>IFERROR(VLOOKUP(C794,[1]evdl298!$B:$C,2,0),"")</f>
        <v>41500</v>
      </c>
      <c r="H794" s="110" t="str">
        <f t="shared" si="37"/>
        <v>E</v>
      </c>
      <c r="I794" s="110">
        <f t="shared" si="38"/>
        <v>41500</v>
      </c>
      <c r="J794" s="110"/>
      <c r="K794" s="110"/>
      <c r="M794" s="110"/>
      <c r="O794" s="110"/>
    </row>
    <row r="795" spans="1:15" x14ac:dyDescent="0.3">
      <c r="A795" s="58" t="str">
        <f>Schedule!E793</f>
        <v>A035000</v>
      </c>
      <c r="B795" s="58" t="s">
        <v>2260</v>
      </c>
      <c r="C795" s="58" t="str">
        <f t="shared" si="36"/>
        <v>035000 KS</v>
      </c>
      <c r="D795" s="58" t="s">
        <v>3671</v>
      </c>
      <c r="E795" s="110" t="s">
        <v>3527</v>
      </c>
      <c r="F795" s="110" t="str">
        <f>IFERROR(VLOOKUP(C795,[1]evdl298!$B:$D,3,0),"")</f>
        <v>E</v>
      </c>
      <c r="G795" s="110">
        <f>IFERROR(VLOOKUP(C795,[1]evdl298!$B:$C,2,0),"")</f>
        <v>41495</v>
      </c>
      <c r="H795" s="110" t="str">
        <f t="shared" si="37"/>
        <v>E</v>
      </c>
      <c r="I795" s="110">
        <f t="shared" si="38"/>
        <v>41495</v>
      </c>
      <c r="J795" s="110"/>
      <c r="K795" s="110"/>
      <c r="M795" s="110"/>
      <c r="O795" s="110"/>
    </row>
    <row r="796" spans="1:15" x14ac:dyDescent="0.3">
      <c r="A796" s="58" t="str">
        <f>Schedule!E794</f>
        <v>A035080</v>
      </c>
      <c r="B796" s="58" t="s">
        <v>2261</v>
      </c>
      <c r="C796" s="58" t="str">
        <f t="shared" si="36"/>
        <v>035080 KS</v>
      </c>
      <c r="D796" s="58" t="s">
        <v>3671</v>
      </c>
      <c r="E796" s="110" t="s">
        <v>3527</v>
      </c>
      <c r="F796" s="110" t="str">
        <f>IFERROR(VLOOKUP(C796,[1]evdl298!$B:$D,3,0),"")</f>
        <v>E</v>
      </c>
      <c r="G796" s="110">
        <f>IFERROR(VLOOKUP(C796,[1]evdl298!$B:$C,2,0),"")</f>
        <v>41495</v>
      </c>
      <c r="H796" s="110" t="str">
        <f t="shared" si="37"/>
        <v>E</v>
      </c>
      <c r="I796" s="110">
        <f t="shared" si="38"/>
        <v>41495</v>
      </c>
      <c r="J796" s="110"/>
      <c r="K796" s="110"/>
      <c r="M796" s="110"/>
      <c r="O796" s="110"/>
    </row>
    <row r="797" spans="1:15" x14ac:dyDescent="0.3">
      <c r="A797" s="58" t="str">
        <f>Schedule!E795</f>
        <v>A035150</v>
      </c>
      <c r="B797" s="58" t="s">
        <v>2262</v>
      </c>
      <c r="C797" s="58" t="str">
        <f t="shared" si="36"/>
        <v>035150 KS</v>
      </c>
      <c r="D797" s="58" t="s">
        <v>3671</v>
      </c>
      <c r="E797" s="110">
        <v>41501</v>
      </c>
      <c r="F797" s="110" t="str">
        <f>IFERROR(VLOOKUP(C797,[1]evdl298!$B:$D,3,0),"")</f>
        <v/>
      </c>
      <c r="G797" s="110" t="str">
        <f>IFERROR(VLOOKUP(C797,[1]evdl298!$B:$C,2,0),"")</f>
        <v/>
      </c>
      <c r="H797" s="110" t="str">
        <f t="shared" si="37"/>
        <v/>
      </c>
      <c r="I797" s="110">
        <f t="shared" si="38"/>
        <v>41501</v>
      </c>
      <c r="J797" s="110"/>
      <c r="K797" s="110"/>
      <c r="M797" s="110"/>
      <c r="O797" s="110"/>
    </row>
    <row r="798" spans="1:15" x14ac:dyDescent="0.3">
      <c r="A798" s="58" t="str">
        <f>Schedule!E796</f>
        <v>A035200</v>
      </c>
      <c r="B798" s="58" t="s">
        <v>2263</v>
      </c>
      <c r="C798" s="58" t="str">
        <f t="shared" si="36"/>
        <v>035200 KS</v>
      </c>
      <c r="D798" s="58" t="s">
        <v>3671</v>
      </c>
      <c r="E798" s="110" t="s">
        <v>3527</v>
      </c>
      <c r="F798" s="110" t="str">
        <f>IFERROR(VLOOKUP(C798,[1]evdl298!$B:$D,3,0),"")</f>
        <v>E</v>
      </c>
      <c r="G798" s="110">
        <f>IFERROR(VLOOKUP(C798,[1]evdl298!$B:$C,2,0),"")</f>
        <v>41499</v>
      </c>
      <c r="H798" s="110" t="str">
        <f t="shared" si="37"/>
        <v>E</v>
      </c>
      <c r="I798" s="110">
        <f t="shared" si="38"/>
        <v>41499</v>
      </c>
      <c r="J798" s="110"/>
      <c r="K798" s="110"/>
      <c r="M798" s="110"/>
      <c r="O798" s="110"/>
    </row>
    <row r="799" spans="1:15" x14ac:dyDescent="0.3">
      <c r="A799" s="58" t="str">
        <f>Schedule!E797</f>
        <v>A035250</v>
      </c>
      <c r="B799" s="58" t="s">
        <v>2264</v>
      </c>
      <c r="C799" s="58" t="str">
        <f t="shared" si="36"/>
        <v>035250 KS</v>
      </c>
      <c r="D799" s="58" t="s">
        <v>3671</v>
      </c>
      <c r="E799" s="110" t="s">
        <v>3527</v>
      </c>
      <c r="F799" s="110" t="str">
        <f>IFERROR(VLOOKUP(C799,[1]evdl298!$B:$D,3,0),"")</f>
        <v>E</v>
      </c>
      <c r="G799" s="110">
        <f>IFERROR(VLOOKUP(C799,[1]evdl298!$B:$C,2,0),"")</f>
        <v>41500</v>
      </c>
      <c r="H799" s="110" t="str">
        <f t="shared" si="37"/>
        <v>E</v>
      </c>
      <c r="I799" s="110">
        <f t="shared" si="38"/>
        <v>41500</v>
      </c>
      <c r="J799" s="110"/>
      <c r="K799" s="110"/>
      <c r="M799" s="110"/>
      <c r="O799" s="110"/>
    </row>
    <row r="800" spans="1:15" x14ac:dyDescent="0.3">
      <c r="A800" s="58" t="str">
        <f>Schedule!E798</f>
        <v>A035290</v>
      </c>
      <c r="B800" s="58" t="s">
        <v>2265</v>
      </c>
      <c r="C800" s="58" t="str">
        <f t="shared" si="36"/>
        <v>035290 KS</v>
      </c>
      <c r="D800" s="58" t="s">
        <v>3671</v>
      </c>
      <c r="E800" s="110" t="s">
        <v>3700</v>
      </c>
      <c r="F800" s="110" t="str">
        <f>IFERROR(VLOOKUP(C800,[1]evdl298!$B:$D,3,0),"")</f>
        <v/>
      </c>
      <c r="G800" s="110" t="str">
        <f>IFERROR(VLOOKUP(C800,[1]evdl298!$B:$C,2,0),"")</f>
        <v/>
      </c>
      <c r="H800" s="110" t="str">
        <f t="shared" si="37"/>
        <v/>
      </c>
      <c r="I800" s="110" t="str">
        <f t="shared" si="38"/>
        <v>2013-08-06</v>
      </c>
      <c r="J800" s="110"/>
      <c r="K800" s="110"/>
      <c r="M800" s="110"/>
      <c r="O800" s="110"/>
    </row>
    <row r="801" spans="1:15" x14ac:dyDescent="0.3">
      <c r="A801" s="58" t="str">
        <f>Schedule!E799</f>
        <v>A035420</v>
      </c>
      <c r="B801" s="58" t="s">
        <v>2266</v>
      </c>
      <c r="C801" s="58" t="str">
        <f t="shared" si="36"/>
        <v>035420 KS</v>
      </c>
      <c r="D801" s="58" t="s">
        <v>3671</v>
      </c>
      <c r="E801" s="110" t="s">
        <v>3527</v>
      </c>
      <c r="F801" s="110" t="str">
        <f>IFERROR(VLOOKUP(C801,[1]evdl298!$B:$D,3,0),"")</f>
        <v>E</v>
      </c>
      <c r="G801" s="110">
        <f>IFERROR(VLOOKUP(C801,[1]evdl298!$B:$C,2,0),"")</f>
        <v>41495</v>
      </c>
      <c r="H801" s="110" t="str">
        <f t="shared" si="37"/>
        <v>E</v>
      </c>
      <c r="I801" s="110">
        <f t="shared" si="38"/>
        <v>41495</v>
      </c>
      <c r="J801" s="110"/>
      <c r="K801" s="110"/>
      <c r="M801" s="110"/>
      <c r="O801" s="110"/>
    </row>
    <row r="802" spans="1:15" x14ac:dyDescent="0.3">
      <c r="A802" s="58" t="str">
        <f>Schedule!E800</f>
        <v>A035450</v>
      </c>
      <c r="B802" s="58" t="s">
        <v>2267</v>
      </c>
      <c r="C802" s="58" t="str">
        <f t="shared" si="36"/>
        <v>035450 KS</v>
      </c>
      <c r="D802" s="58" t="s">
        <v>3671</v>
      </c>
      <c r="E802" s="110" t="s">
        <v>3685</v>
      </c>
      <c r="F802" s="110" t="str">
        <f>IFERROR(VLOOKUP(C802,[1]evdl298!$B:$D,3,0),"")</f>
        <v/>
      </c>
      <c r="G802" s="110" t="str">
        <f>IFERROR(VLOOKUP(C802,[1]evdl298!$B:$C,2,0),"")</f>
        <v/>
      </c>
      <c r="H802" s="110" t="str">
        <f t="shared" si="37"/>
        <v/>
      </c>
      <c r="I802" s="110" t="str">
        <f t="shared" si="38"/>
        <v>2013-08-09</v>
      </c>
      <c r="J802" s="110"/>
      <c r="K802" s="110"/>
      <c r="M802" s="110"/>
      <c r="O802" s="110"/>
    </row>
    <row r="803" spans="1:15" x14ac:dyDescent="0.3">
      <c r="A803" s="58" t="str">
        <f>Schedule!E801</f>
        <v>A035460</v>
      </c>
      <c r="B803" s="58" t="s">
        <v>2268</v>
      </c>
      <c r="C803" s="58" t="str">
        <f t="shared" si="36"/>
        <v>035460 KS</v>
      </c>
      <c r="D803" s="58" t="s">
        <v>3671</v>
      </c>
      <c r="E803" s="110" t="s">
        <v>3527</v>
      </c>
      <c r="F803" s="110" t="str">
        <f>IFERROR(VLOOKUP(C803,[1]evdl298!$B:$D,3,0),"")</f>
        <v/>
      </c>
      <c r="G803" s="110" t="str">
        <f>IFERROR(VLOOKUP(C803,[1]evdl298!$B:$C,2,0),"")</f>
        <v/>
      </c>
      <c r="H803" s="110" t="str">
        <f t="shared" si="37"/>
        <v/>
      </c>
      <c r="I803" s="110" t="str">
        <f t="shared" si="38"/>
        <v/>
      </c>
      <c r="J803" s="110"/>
      <c r="K803" s="110"/>
      <c r="M803" s="110"/>
      <c r="O803" s="110"/>
    </row>
    <row r="804" spans="1:15" x14ac:dyDescent="0.3">
      <c r="A804" s="58" t="str">
        <f>Schedule!E802</f>
        <v>A035480</v>
      </c>
      <c r="B804" s="58" t="s">
        <v>2269</v>
      </c>
      <c r="C804" s="58" t="str">
        <f t="shared" si="36"/>
        <v>035480 KS</v>
      </c>
      <c r="D804" s="58" t="s">
        <v>3671</v>
      </c>
      <c r="E804" s="110" t="s">
        <v>3527</v>
      </c>
      <c r="F804" s="110" t="str">
        <f>IFERROR(VLOOKUP(C804,[1]evdl298!$B:$D,3,0),"")</f>
        <v>E</v>
      </c>
      <c r="G804" s="110">
        <f>IFERROR(VLOOKUP(C804,[1]evdl298!$B:$C,2,0),"")</f>
        <v>41515</v>
      </c>
      <c r="H804" s="110" t="str">
        <f t="shared" si="37"/>
        <v>E</v>
      </c>
      <c r="I804" s="110">
        <f t="shared" si="38"/>
        <v>41515</v>
      </c>
      <c r="J804" s="110"/>
      <c r="K804" s="110"/>
      <c r="M804" s="110"/>
      <c r="O804" s="110"/>
    </row>
    <row r="805" spans="1:15" x14ac:dyDescent="0.3">
      <c r="A805" s="58" t="str">
        <f>Schedule!E803</f>
        <v>A035510</v>
      </c>
      <c r="B805" s="58" t="s">
        <v>3529</v>
      </c>
      <c r="C805" s="58" t="str">
        <f t="shared" si="36"/>
        <v>035510 KS</v>
      </c>
      <c r="D805" s="58" t="s">
        <v>3671</v>
      </c>
      <c r="E805" s="110" t="s">
        <v>3527</v>
      </c>
      <c r="F805" s="110" t="str">
        <f>IFERROR(VLOOKUP(C805,[1]evdl298!$B:$D,3,0),"")</f>
        <v>E</v>
      </c>
      <c r="G805" s="110">
        <f>IFERROR(VLOOKUP(C805,[1]evdl298!$B:$C,2,0),"")</f>
        <v>41474</v>
      </c>
      <c r="H805" s="110" t="str">
        <f t="shared" si="37"/>
        <v>E</v>
      </c>
      <c r="I805" s="110">
        <f t="shared" si="38"/>
        <v>41474</v>
      </c>
      <c r="J805" s="110"/>
      <c r="K805" s="110"/>
      <c r="M805" s="110"/>
      <c r="O805" s="110"/>
    </row>
    <row r="806" spans="1:15" x14ac:dyDescent="0.3">
      <c r="A806" s="58" t="str">
        <f>Schedule!E804</f>
        <v>A035600</v>
      </c>
      <c r="B806" s="58" t="s">
        <v>2270</v>
      </c>
      <c r="C806" s="58" t="str">
        <f t="shared" si="36"/>
        <v>035600 KS</v>
      </c>
      <c r="D806" s="58" t="s">
        <v>3671</v>
      </c>
      <c r="E806" s="110" t="s">
        <v>3527</v>
      </c>
      <c r="F806" s="110" t="str">
        <f>IFERROR(VLOOKUP(C806,[1]evdl298!$B:$D,3,0),"")</f>
        <v/>
      </c>
      <c r="G806" s="110" t="str">
        <f>IFERROR(VLOOKUP(C806,[1]evdl298!$B:$C,2,0),"")</f>
        <v/>
      </c>
      <c r="H806" s="110" t="str">
        <f t="shared" si="37"/>
        <v/>
      </c>
      <c r="I806" s="110" t="str">
        <f t="shared" si="38"/>
        <v/>
      </c>
      <c r="J806" s="110"/>
      <c r="K806" s="110"/>
      <c r="M806" s="110"/>
      <c r="O806" s="110"/>
    </row>
    <row r="807" spans="1:15" x14ac:dyDescent="0.3">
      <c r="A807" s="58" t="str">
        <f>Schedule!E805</f>
        <v>A035610</v>
      </c>
      <c r="B807" s="58" t="s">
        <v>2271</v>
      </c>
      <c r="C807" s="58" t="str">
        <f t="shared" si="36"/>
        <v>035610 KS</v>
      </c>
      <c r="D807" s="58" t="s">
        <v>3671</v>
      </c>
      <c r="E807" s="110" t="s">
        <v>3527</v>
      </c>
      <c r="F807" s="110" t="str">
        <f>IFERROR(VLOOKUP(C807,[1]evdl298!$B:$D,3,0),"")</f>
        <v/>
      </c>
      <c r="G807" s="110" t="str">
        <f>IFERROR(VLOOKUP(C807,[1]evdl298!$B:$C,2,0),"")</f>
        <v/>
      </c>
      <c r="H807" s="110" t="str">
        <f t="shared" si="37"/>
        <v/>
      </c>
      <c r="I807" s="110" t="str">
        <f t="shared" si="38"/>
        <v/>
      </c>
      <c r="J807" s="110"/>
      <c r="K807" s="110"/>
      <c r="M807" s="110"/>
      <c r="O807" s="110"/>
    </row>
    <row r="808" spans="1:15" x14ac:dyDescent="0.3">
      <c r="A808" s="58" t="str">
        <f>Schedule!E806</f>
        <v>A035620</v>
      </c>
      <c r="B808" s="58" t="s">
        <v>2272</v>
      </c>
      <c r="C808" s="58" t="str">
        <f t="shared" si="36"/>
        <v>035620 KS</v>
      </c>
      <c r="D808" s="58" t="s">
        <v>3671</v>
      </c>
      <c r="E808" s="110" t="s">
        <v>3527</v>
      </c>
      <c r="F808" s="110" t="str">
        <f>IFERROR(VLOOKUP(C808,[1]evdl298!$B:$D,3,0),"")</f>
        <v/>
      </c>
      <c r="G808" s="110" t="str">
        <f>IFERROR(VLOOKUP(C808,[1]evdl298!$B:$C,2,0),"")</f>
        <v/>
      </c>
      <c r="H808" s="110" t="str">
        <f t="shared" si="37"/>
        <v/>
      </c>
      <c r="I808" s="110" t="str">
        <f t="shared" si="38"/>
        <v/>
      </c>
      <c r="J808" s="110"/>
      <c r="K808" s="110"/>
      <c r="M808" s="110"/>
      <c r="O808" s="110"/>
    </row>
    <row r="809" spans="1:15" x14ac:dyDescent="0.3">
      <c r="A809" s="58" t="str">
        <f>Schedule!E807</f>
        <v>A035720</v>
      </c>
      <c r="B809" s="58" t="s">
        <v>2273</v>
      </c>
      <c r="C809" s="58" t="str">
        <f t="shared" si="36"/>
        <v>035720 KS</v>
      </c>
      <c r="D809" s="58" t="s">
        <v>3671</v>
      </c>
      <c r="E809" s="110" t="s">
        <v>3527</v>
      </c>
      <c r="F809" s="110" t="str">
        <f>IFERROR(VLOOKUP(C809,[1]evdl298!$B:$D,3,0),"")</f>
        <v>E</v>
      </c>
      <c r="G809" s="110">
        <f>IFERROR(VLOOKUP(C809,[1]evdl298!$B:$C,2,0),"")</f>
        <v>41495</v>
      </c>
      <c r="H809" s="110" t="str">
        <f t="shared" si="37"/>
        <v>E</v>
      </c>
      <c r="I809" s="110">
        <f t="shared" si="38"/>
        <v>41495</v>
      </c>
      <c r="J809" s="110"/>
      <c r="K809" s="110"/>
      <c r="M809" s="110"/>
      <c r="O809" s="110"/>
    </row>
    <row r="810" spans="1:15" x14ac:dyDescent="0.3">
      <c r="A810" s="58" t="str">
        <f>Schedule!E808</f>
        <v>A035760</v>
      </c>
      <c r="B810" s="58" t="s">
        <v>2274</v>
      </c>
      <c r="C810" s="58" t="str">
        <f t="shared" si="36"/>
        <v>035760 KS</v>
      </c>
      <c r="D810" s="58" t="s">
        <v>3671</v>
      </c>
      <c r="E810" s="110" t="s">
        <v>3685</v>
      </c>
      <c r="F810" s="110" t="str">
        <f>IFERROR(VLOOKUP(C810,[1]evdl298!$B:$D,3,0),"")</f>
        <v>E</v>
      </c>
      <c r="G810" s="110">
        <f>IFERROR(VLOOKUP(C810,[1]evdl298!$B:$C,2,0),"")</f>
        <v>41515</v>
      </c>
      <c r="H810" s="110" t="str">
        <f t="shared" si="37"/>
        <v>E</v>
      </c>
      <c r="I810" s="110">
        <f t="shared" si="38"/>
        <v>41515</v>
      </c>
      <c r="J810" s="110"/>
      <c r="K810" s="110"/>
      <c r="M810" s="110"/>
      <c r="O810" s="110"/>
    </row>
    <row r="811" spans="1:15" x14ac:dyDescent="0.3">
      <c r="A811" s="58" t="str">
        <f>Schedule!E809</f>
        <v>A035810</v>
      </c>
      <c r="B811" s="58" t="s">
        <v>2275</v>
      </c>
      <c r="C811" s="58" t="str">
        <f t="shared" si="36"/>
        <v>035810 KS</v>
      </c>
      <c r="D811" s="58" t="s">
        <v>3671</v>
      </c>
      <c r="E811" s="110" t="s">
        <v>3674</v>
      </c>
      <c r="F811" s="110" t="str">
        <f>IFERROR(VLOOKUP(C811,[1]evdl298!$B:$D,3,0),"")</f>
        <v/>
      </c>
      <c r="G811" s="110" t="str">
        <f>IFERROR(VLOOKUP(C811,[1]evdl298!$B:$C,2,0),"")</f>
        <v/>
      </c>
      <c r="H811" s="110" t="str">
        <f t="shared" si="37"/>
        <v/>
      </c>
      <c r="I811" s="110" t="str">
        <f t="shared" si="38"/>
        <v>2013-07-31</v>
      </c>
      <c r="J811" s="110"/>
      <c r="K811" s="110"/>
      <c r="M811" s="110"/>
      <c r="O811" s="110"/>
    </row>
    <row r="812" spans="1:15" x14ac:dyDescent="0.3">
      <c r="A812" s="58" t="str">
        <f>Schedule!E810</f>
        <v>A035890</v>
      </c>
      <c r="B812" s="58" t="s">
        <v>2276</v>
      </c>
      <c r="C812" s="58" t="str">
        <f t="shared" si="36"/>
        <v>035890 KS</v>
      </c>
      <c r="D812" s="58" t="s">
        <v>3671</v>
      </c>
      <c r="E812" s="110" t="s">
        <v>3527</v>
      </c>
      <c r="F812" s="110" t="str">
        <f>IFERROR(VLOOKUP(C812,[1]evdl298!$B:$D,3,0),"")</f>
        <v/>
      </c>
      <c r="G812" s="110" t="str">
        <f>IFERROR(VLOOKUP(C812,[1]evdl298!$B:$C,2,0),"")</f>
        <v/>
      </c>
      <c r="H812" s="110" t="str">
        <f t="shared" si="37"/>
        <v/>
      </c>
      <c r="I812" s="110" t="str">
        <f t="shared" si="38"/>
        <v/>
      </c>
      <c r="J812" s="110"/>
      <c r="K812" s="110"/>
      <c r="M812" s="110"/>
      <c r="O812" s="110"/>
    </row>
    <row r="813" spans="1:15" x14ac:dyDescent="0.3">
      <c r="A813" s="58" t="str">
        <f>Schedule!E811</f>
        <v>A035900</v>
      </c>
      <c r="B813" s="58" t="s">
        <v>2277</v>
      </c>
      <c r="C813" s="58" t="str">
        <f t="shared" si="36"/>
        <v>035900 KS</v>
      </c>
      <c r="D813" s="58" t="s">
        <v>3671</v>
      </c>
      <c r="E813" s="110" t="s">
        <v>3527</v>
      </c>
      <c r="F813" s="110" t="str">
        <f>IFERROR(VLOOKUP(C813,[1]evdl298!$B:$D,3,0),"")</f>
        <v/>
      </c>
      <c r="G813" s="110" t="str">
        <f>IFERROR(VLOOKUP(C813,[1]evdl298!$B:$C,2,0),"")</f>
        <v/>
      </c>
      <c r="H813" s="110" t="str">
        <f t="shared" si="37"/>
        <v/>
      </c>
      <c r="I813" s="110" t="str">
        <f t="shared" si="38"/>
        <v/>
      </c>
      <c r="J813" s="110"/>
      <c r="K813" s="110"/>
      <c r="M813" s="110"/>
      <c r="O813" s="110"/>
    </row>
    <row r="814" spans="1:15" x14ac:dyDescent="0.3">
      <c r="A814" s="58" t="str">
        <f>Schedule!E812</f>
        <v>A036000</v>
      </c>
      <c r="B814" s="58" t="s">
        <v>3530</v>
      </c>
      <c r="C814" s="58" t="str">
        <f t="shared" si="36"/>
        <v>036000 KS</v>
      </c>
      <c r="D814" s="58" t="s">
        <v>3671</v>
      </c>
      <c r="E814" s="110" t="s">
        <v>3527</v>
      </c>
      <c r="F814" s="110" t="str">
        <f>IFERROR(VLOOKUP(C814,[1]evdl298!$B:$D,3,0),"")</f>
        <v/>
      </c>
      <c r="G814" s="110" t="str">
        <f>IFERROR(VLOOKUP(C814,[1]evdl298!$B:$C,2,0),"")</f>
        <v/>
      </c>
      <c r="H814" s="110" t="str">
        <f t="shared" si="37"/>
        <v/>
      </c>
      <c r="I814" s="110" t="str">
        <f t="shared" si="38"/>
        <v/>
      </c>
      <c r="J814" s="110"/>
      <c r="K814" s="110"/>
      <c r="M814" s="110"/>
      <c r="O814" s="110"/>
    </row>
    <row r="815" spans="1:15" x14ac:dyDescent="0.3">
      <c r="A815" s="58" t="str">
        <f>Schedule!E813</f>
        <v>A036010</v>
      </c>
      <c r="B815" s="58" t="s">
        <v>2278</v>
      </c>
      <c r="C815" s="58" t="str">
        <f t="shared" si="36"/>
        <v>036010 KS</v>
      </c>
      <c r="D815" s="58" t="s">
        <v>3671</v>
      </c>
      <c r="E815" s="110" t="s">
        <v>3527</v>
      </c>
      <c r="F815" s="110" t="str">
        <f>IFERROR(VLOOKUP(C815,[1]evdl298!$B:$D,3,0),"")</f>
        <v/>
      </c>
      <c r="G815" s="110" t="str">
        <f>IFERROR(VLOOKUP(C815,[1]evdl298!$B:$C,2,0),"")</f>
        <v/>
      </c>
      <c r="H815" s="110" t="str">
        <f t="shared" si="37"/>
        <v/>
      </c>
      <c r="I815" s="110" t="str">
        <f t="shared" si="38"/>
        <v/>
      </c>
      <c r="J815" s="110"/>
      <c r="K815" s="110"/>
      <c r="M815" s="110"/>
      <c r="O815" s="110"/>
    </row>
    <row r="816" spans="1:15" x14ac:dyDescent="0.3">
      <c r="A816" s="58" t="str">
        <f>Schedule!E814</f>
        <v>A036030</v>
      </c>
      <c r="B816" s="58" t="s">
        <v>2279</v>
      </c>
      <c r="C816" s="58" t="str">
        <f t="shared" si="36"/>
        <v>036030 KS</v>
      </c>
      <c r="D816" s="58" t="s">
        <v>3671</v>
      </c>
      <c r="E816" s="110" t="s">
        <v>3527</v>
      </c>
      <c r="F816" s="110" t="str">
        <f>IFERROR(VLOOKUP(C816,[1]evdl298!$B:$D,3,0),"")</f>
        <v>E</v>
      </c>
      <c r="G816" s="110">
        <f>IFERROR(VLOOKUP(C816,[1]evdl298!$B:$C,2,0),"")</f>
        <v>41515</v>
      </c>
      <c r="H816" s="110" t="str">
        <f t="shared" si="37"/>
        <v>E</v>
      </c>
      <c r="I816" s="110">
        <f t="shared" si="38"/>
        <v>41515</v>
      </c>
      <c r="J816" s="110"/>
      <c r="K816" s="110"/>
      <c r="M816" s="110"/>
      <c r="O816" s="110"/>
    </row>
    <row r="817" spans="1:15" x14ac:dyDescent="0.3">
      <c r="A817" s="58" t="str">
        <f>Schedule!E815</f>
        <v>A036090</v>
      </c>
      <c r="B817" s="58" t="s">
        <v>2280</v>
      </c>
      <c r="C817" s="58" t="str">
        <f t="shared" si="36"/>
        <v>036090 KS</v>
      </c>
      <c r="D817" s="58" t="s">
        <v>3671</v>
      </c>
      <c r="E817" s="110" t="s">
        <v>3527</v>
      </c>
      <c r="F817" s="110" t="str">
        <f>IFERROR(VLOOKUP(C817,[1]evdl298!$B:$D,3,0),"")</f>
        <v>E</v>
      </c>
      <c r="G817" s="110">
        <f>IFERROR(VLOOKUP(C817,[1]evdl298!$B:$C,2,0),"")</f>
        <v>41499</v>
      </c>
      <c r="H817" s="110" t="str">
        <f t="shared" si="37"/>
        <v>E</v>
      </c>
      <c r="I817" s="110">
        <f t="shared" si="38"/>
        <v>41499</v>
      </c>
      <c r="J817" s="110"/>
      <c r="K817" s="110"/>
      <c r="M817" s="110"/>
      <c r="O817" s="110"/>
    </row>
    <row r="818" spans="1:15" x14ac:dyDescent="0.3">
      <c r="A818" s="58" t="str">
        <f>Schedule!E816</f>
        <v>A036120</v>
      </c>
      <c r="B818" s="58" t="s">
        <v>2281</v>
      </c>
      <c r="C818" s="58" t="str">
        <f t="shared" si="36"/>
        <v>036120 KS</v>
      </c>
      <c r="D818" s="58" t="s">
        <v>3671</v>
      </c>
      <c r="E818" s="110" t="s">
        <v>3527</v>
      </c>
      <c r="F818" s="110" t="str">
        <f>IFERROR(VLOOKUP(C818,[1]evdl298!$B:$D,3,0),"")</f>
        <v>E</v>
      </c>
      <c r="G818" s="110">
        <f>IFERROR(VLOOKUP(C818,[1]evdl298!$B:$C,2,0),"")</f>
        <v>41500</v>
      </c>
      <c r="H818" s="110" t="str">
        <f t="shared" si="37"/>
        <v>E</v>
      </c>
      <c r="I818" s="110">
        <f t="shared" si="38"/>
        <v>41500</v>
      </c>
      <c r="J818" s="110"/>
      <c r="K818" s="110"/>
      <c r="M818" s="110"/>
      <c r="O818" s="110"/>
    </row>
    <row r="819" spans="1:15" x14ac:dyDescent="0.3">
      <c r="A819" s="58" t="str">
        <f>Schedule!E817</f>
        <v>A036170</v>
      </c>
      <c r="B819" s="58" t="s">
        <v>2282</v>
      </c>
      <c r="C819" s="58" t="str">
        <f t="shared" si="36"/>
        <v>036170 KS</v>
      </c>
      <c r="D819" s="58" t="s">
        <v>3671</v>
      </c>
      <c r="E819" s="110" t="s">
        <v>3527</v>
      </c>
      <c r="F819" s="110" t="str">
        <f>IFERROR(VLOOKUP(C819,[1]evdl298!$B:$D,3,0),"")</f>
        <v/>
      </c>
      <c r="G819" s="110" t="str">
        <f>IFERROR(VLOOKUP(C819,[1]evdl298!$B:$C,2,0),"")</f>
        <v/>
      </c>
      <c r="H819" s="110" t="str">
        <f t="shared" si="37"/>
        <v/>
      </c>
      <c r="I819" s="110" t="str">
        <f t="shared" si="38"/>
        <v/>
      </c>
      <c r="J819" s="110"/>
      <c r="K819" s="110"/>
      <c r="M819" s="110"/>
      <c r="O819" s="110"/>
    </row>
    <row r="820" spans="1:15" x14ac:dyDescent="0.3">
      <c r="A820" s="58" t="str">
        <f>Schedule!E818</f>
        <v>A036180</v>
      </c>
      <c r="B820" s="58" t="s">
        <v>2283</v>
      </c>
      <c r="C820" s="58" t="str">
        <f t="shared" si="36"/>
        <v>036180 KS</v>
      </c>
      <c r="D820" s="58" t="s">
        <v>3671</v>
      </c>
      <c r="E820" s="110" t="s">
        <v>3527</v>
      </c>
      <c r="F820" s="110" t="str">
        <f>IFERROR(VLOOKUP(C820,[1]evdl298!$B:$D,3,0),"")</f>
        <v>E</v>
      </c>
      <c r="G820" s="110">
        <f>IFERROR(VLOOKUP(C820,[1]evdl298!$B:$C,2,0),"")</f>
        <v>41495</v>
      </c>
      <c r="H820" s="110" t="str">
        <f t="shared" si="37"/>
        <v>E</v>
      </c>
      <c r="I820" s="110">
        <f t="shared" si="38"/>
        <v>41495</v>
      </c>
      <c r="J820" s="110"/>
      <c r="K820" s="110"/>
      <c r="M820" s="110"/>
      <c r="O820" s="110"/>
    </row>
    <row r="821" spans="1:15" x14ac:dyDescent="0.3">
      <c r="A821" s="58" t="str">
        <f>Schedule!E819</f>
        <v>A036190</v>
      </c>
      <c r="B821" s="58" t="s">
        <v>2284</v>
      </c>
      <c r="C821" s="58" t="str">
        <f t="shared" si="36"/>
        <v>036190 KS</v>
      </c>
      <c r="D821" s="58" t="s">
        <v>3671</v>
      </c>
      <c r="E821" s="110" t="s">
        <v>3527</v>
      </c>
      <c r="F821" s="110" t="str">
        <f>IFERROR(VLOOKUP(C821,[1]evdl298!$B:$D,3,0),"")</f>
        <v>E</v>
      </c>
      <c r="G821" s="110">
        <f>IFERROR(VLOOKUP(C821,[1]evdl298!$B:$C,2,0),"")</f>
        <v>41499</v>
      </c>
      <c r="H821" s="110" t="str">
        <f t="shared" si="37"/>
        <v>E</v>
      </c>
      <c r="I821" s="110">
        <f t="shared" si="38"/>
        <v>41499</v>
      </c>
      <c r="J821" s="110"/>
      <c r="K821" s="110"/>
      <c r="M821" s="110"/>
      <c r="O821" s="110"/>
    </row>
    <row r="822" spans="1:15" x14ac:dyDescent="0.3">
      <c r="A822" s="58" t="str">
        <f>Schedule!E820</f>
        <v>A036200</v>
      </c>
      <c r="B822" s="58" t="s">
        <v>2285</v>
      </c>
      <c r="C822" s="58" t="str">
        <f t="shared" si="36"/>
        <v>036200 KS</v>
      </c>
      <c r="D822" s="58" t="s">
        <v>3671</v>
      </c>
      <c r="E822" s="110" t="s">
        <v>3527</v>
      </c>
      <c r="F822" s="110" t="str">
        <f>IFERROR(VLOOKUP(C822,[1]evdl298!$B:$D,3,0),"")</f>
        <v/>
      </c>
      <c r="G822" s="110" t="str">
        <f>IFERROR(VLOOKUP(C822,[1]evdl298!$B:$C,2,0),"")</f>
        <v/>
      </c>
      <c r="H822" s="110" t="str">
        <f t="shared" si="37"/>
        <v/>
      </c>
      <c r="I822" s="110" t="str">
        <f t="shared" si="38"/>
        <v/>
      </c>
      <c r="J822" s="110"/>
      <c r="K822" s="110"/>
      <c r="M822" s="110"/>
      <c r="O822" s="110"/>
    </row>
    <row r="823" spans="1:15" x14ac:dyDescent="0.3">
      <c r="A823" s="58" t="str">
        <f>Schedule!E821</f>
        <v>A036210</v>
      </c>
      <c r="B823" s="58" t="s">
        <v>2286</v>
      </c>
      <c r="C823" s="58" t="str">
        <f t="shared" si="36"/>
        <v>036210 KS</v>
      </c>
      <c r="D823" s="58" t="s">
        <v>3671</v>
      </c>
      <c r="E823" s="110" t="s">
        <v>3527</v>
      </c>
      <c r="F823" s="110" t="str">
        <f>IFERROR(VLOOKUP(C823,[1]evdl298!$B:$D,3,0),"")</f>
        <v>E</v>
      </c>
      <c r="G823" s="110">
        <f>IFERROR(VLOOKUP(C823,[1]evdl298!$B:$C,2,0),"")</f>
        <v>41500</v>
      </c>
      <c r="H823" s="110" t="str">
        <f t="shared" si="37"/>
        <v>E</v>
      </c>
      <c r="I823" s="110">
        <f t="shared" si="38"/>
        <v>41500</v>
      </c>
      <c r="J823" s="110"/>
      <c r="K823" s="110"/>
      <c r="M823" s="110"/>
      <c r="O823" s="110"/>
    </row>
    <row r="824" spans="1:15" x14ac:dyDescent="0.3">
      <c r="A824" s="58" t="str">
        <f>Schedule!E822</f>
        <v>A036220</v>
      </c>
      <c r="B824" s="58" t="s">
        <v>2287</v>
      </c>
      <c r="C824" s="58" t="str">
        <f t="shared" si="36"/>
        <v>036220 KS</v>
      </c>
      <c r="D824" s="58" t="s">
        <v>3671</v>
      </c>
      <c r="E824" s="110" t="s">
        <v>3527</v>
      </c>
      <c r="F824" s="110" t="str">
        <f>IFERROR(VLOOKUP(C824,[1]evdl298!$B:$D,3,0),"")</f>
        <v>E</v>
      </c>
      <c r="G824" s="110">
        <f>IFERROR(VLOOKUP(C824,[1]evdl298!$B:$C,2,0),"")</f>
        <v>41500</v>
      </c>
      <c r="H824" s="110" t="str">
        <f t="shared" si="37"/>
        <v>E</v>
      </c>
      <c r="I824" s="110">
        <f t="shared" si="38"/>
        <v>41500</v>
      </c>
      <c r="J824" s="110"/>
      <c r="K824" s="110"/>
      <c r="M824" s="110"/>
      <c r="O824" s="110"/>
    </row>
    <row r="825" spans="1:15" x14ac:dyDescent="0.3">
      <c r="A825" s="58" t="str">
        <f>Schedule!E823</f>
        <v>A036260</v>
      </c>
      <c r="B825" s="58" t="s">
        <v>2288</v>
      </c>
      <c r="C825" s="58" t="str">
        <f t="shared" si="36"/>
        <v>036260 KS</v>
      </c>
      <c r="D825" s="58" t="s">
        <v>3671</v>
      </c>
      <c r="E825" s="110" t="s">
        <v>3527</v>
      </c>
      <c r="F825" s="110" t="str">
        <f>IFERROR(VLOOKUP(C825,[1]evdl298!$B:$D,3,0),"")</f>
        <v/>
      </c>
      <c r="G825" s="110" t="str">
        <f>IFERROR(VLOOKUP(C825,[1]evdl298!$B:$C,2,0),"")</f>
        <v/>
      </c>
      <c r="H825" s="110" t="str">
        <f t="shared" si="37"/>
        <v/>
      </c>
      <c r="I825" s="110" t="str">
        <f t="shared" si="38"/>
        <v/>
      </c>
      <c r="J825" s="110"/>
      <c r="K825" s="110"/>
      <c r="M825" s="110"/>
      <c r="O825" s="110"/>
    </row>
    <row r="826" spans="1:15" x14ac:dyDescent="0.3">
      <c r="A826" s="58" t="str">
        <f>Schedule!E824</f>
        <v>A036420</v>
      </c>
      <c r="B826" s="58" t="s">
        <v>2289</v>
      </c>
      <c r="C826" s="58" t="str">
        <f t="shared" si="36"/>
        <v>036420 KS</v>
      </c>
      <c r="D826" s="58" t="s">
        <v>3671</v>
      </c>
      <c r="E826" s="110" t="s">
        <v>3527</v>
      </c>
      <c r="F826" s="110" t="str">
        <f>IFERROR(VLOOKUP(C826,[1]evdl298!$B:$D,3,0),"")</f>
        <v/>
      </c>
      <c r="G826" s="110" t="str">
        <f>IFERROR(VLOOKUP(C826,[1]evdl298!$B:$C,2,0),"")</f>
        <v/>
      </c>
      <c r="H826" s="110" t="str">
        <f t="shared" si="37"/>
        <v/>
      </c>
      <c r="I826" s="110" t="str">
        <f t="shared" si="38"/>
        <v/>
      </c>
      <c r="J826" s="110"/>
      <c r="K826" s="110"/>
      <c r="M826" s="110"/>
      <c r="O826" s="110"/>
    </row>
    <row r="827" spans="1:15" x14ac:dyDescent="0.3">
      <c r="A827" s="58" t="str">
        <f>Schedule!E825</f>
        <v>A036460</v>
      </c>
      <c r="B827" s="58" t="s">
        <v>2290</v>
      </c>
      <c r="C827" s="58" t="str">
        <f t="shared" si="36"/>
        <v>036460 KS</v>
      </c>
      <c r="D827" s="58" t="s">
        <v>3671</v>
      </c>
      <c r="E827" s="110" t="s">
        <v>3527</v>
      </c>
      <c r="F827" s="110" t="str">
        <f>IFERROR(VLOOKUP(C827,[1]evdl298!$B:$D,3,0),"")</f>
        <v>E</v>
      </c>
      <c r="G827" s="110">
        <f>IFERROR(VLOOKUP(C827,[1]evdl298!$B:$C,2,0),"")</f>
        <v>41500</v>
      </c>
      <c r="H827" s="110" t="str">
        <f t="shared" si="37"/>
        <v>E</v>
      </c>
      <c r="I827" s="110">
        <f t="shared" si="38"/>
        <v>41500</v>
      </c>
      <c r="J827" s="110"/>
      <c r="K827" s="110"/>
      <c r="M827" s="110"/>
      <c r="O827" s="110"/>
    </row>
    <row r="828" spans="1:15" x14ac:dyDescent="0.3">
      <c r="A828" s="58" t="str">
        <f>Schedule!E826</f>
        <v>A036480</v>
      </c>
      <c r="B828" s="58" t="s">
        <v>2291</v>
      </c>
      <c r="C828" s="58" t="str">
        <f t="shared" si="36"/>
        <v>036480 KS</v>
      </c>
      <c r="D828" s="58" t="s">
        <v>3671</v>
      </c>
      <c r="E828" s="110" t="s">
        <v>3527</v>
      </c>
      <c r="F828" s="110" t="str">
        <f>IFERROR(VLOOKUP(C828,[1]evdl298!$B:$D,3,0),"")</f>
        <v>E</v>
      </c>
      <c r="G828" s="110">
        <f>IFERROR(VLOOKUP(C828,[1]evdl298!$B:$C,2,0),"")</f>
        <v>41495</v>
      </c>
      <c r="H828" s="110" t="str">
        <f t="shared" si="37"/>
        <v>E</v>
      </c>
      <c r="I828" s="110">
        <f t="shared" si="38"/>
        <v>41495</v>
      </c>
      <c r="J828" s="110"/>
      <c r="K828" s="110"/>
      <c r="M828" s="110"/>
      <c r="O828" s="110"/>
    </row>
    <row r="829" spans="1:15" x14ac:dyDescent="0.3">
      <c r="A829" s="58" t="str">
        <f>Schedule!E827</f>
        <v>A036490</v>
      </c>
      <c r="B829" s="58" t="s">
        <v>2292</v>
      </c>
      <c r="C829" s="58" t="str">
        <f t="shared" si="36"/>
        <v>036490 KS</v>
      </c>
      <c r="D829" s="58" t="s">
        <v>3671</v>
      </c>
      <c r="E829" s="110" t="s">
        <v>3527</v>
      </c>
      <c r="F829" s="110" t="str">
        <f>IFERROR(VLOOKUP(C829,[1]evdl298!$B:$D,3,0),"")</f>
        <v>E</v>
      </c>
      <c r="G829" s="110">
        <f>IFERROR(VLOOKUP(C829,[1]evdl298!$B:$C,2,0),"")</f>
        <v>41481</v>
      </c>
      <c r="H829" s="110" t="str">
        <f t="shared" si="37"/>
        <v>E</v>
      </c>
      <c r="I829" s="110">
        <f t="shared" si="38"/>
        <v>41481</v>
      </c>
      <c r="J829" s="110"/>
      <c r="K829" s="110"/>
      <c r="M829" s="110"/>
      <c r="O829" s="110"/>
    </row>
    <row r="830" spans="1:15" x14ac:dyDescent="0.3">
      <c r="A830" s="58" t="str">
        <f>Schedule!E828</f>
        <v>A036500</v>
      </c>
      <c r="B830" s="58" t="s">
        <v>2293</v>
      </c>
      <c r="C830" s="58" t="str">
        <f t="shared" si="36"/>
        <v>036500 KS</v>
      </c>
      <c r="D830" s="58" t="s">
        <v>3671</v>
      </c>
      <c r="E830" s="110" t="s">
        <v>3678</v>
      </c>
      <c r="F830" s="110" t="str">
        <f>IFERROR(VLOOKUP(C830,[1]evdl298!$B:$D,3,0),"")</f>
        <v>E</v>
      </c>
      <c r="G830" s="110">
        <f>IFERROR(VLOOKUP(C830,[1]evdl298!$B:$C,2,0),"")</f>
        <v>41500</v>
      </c>
      <c r="H830" s="110" t="str">
        <f t="shared" si="37"/>
        <v>E</v>
      </c>
      <c r="I830" s="110">
        <f t="shared" si="38"/>
        <v>41500</v>
      </c>
      <c r="J830" s="110"/>
      <c r="K830" s="110"/>
      <c r="M830" s="110"/>
      <c r="O830" s="110"/>
    </row>
    <row r="831" spans="1:15" x14ac:dyDescent="0.3">
      <c r="A831" s="58" t="str">
        <f>Schedule!E829</f>
        <v>A036530</v>
      </c>
      <c r="B831" s="58" t="s">
        <v>2294</v>
      </c>
      <c r="C831" s="58" t="str">
        <f t="shared" si="36"/>
        <v>036530 KS</v>
      </c>
      <c r="D831" s="58" t="s">
        <v>3671</v>
      </c>
      <c r="E831" s="110" t="s">
        <v>3527</v>
      </c>
      <c r="F831" s="110" t="str">
        <f>IFERROR(VLOOKUP(C831,[1]evdl298!$B:$D,3,0),"")</f>
        <v>E</v>
      </c>
      <c r="G831" s="110">
        <f>IFERROR(VLOOKUP(C831,[1]evdl298!$B:$C,2,0),"")</f>
        <v>41495</v>
      </c>
      <c r="H831" s="110" t="str">
        <f t="shared" si="37"/>
        <v>E</v>
      </c>
      <c r="I831" s="110">
        <f t="shared" si="38"/>
        <v>41495</v>
      </c>
      <c r="J831" s="110"/>
      <c r="K831" s="110"/>
      <c r="M831" s="110"/>
      <c r="O831" s="110"/>
    </row>
    <row r="832" spans="1:15" x14ac:dyDescent="0.3">
      <c r="A832" s="58" t="str">
        <f>Schedule!E830</f>
        <v>A036540</v>
      </c>
      <c r="B832" s="58" t="s">
        <v>2295</v>
      </c>
      <c r="C832" s="58" t="str">
        <f t="shared" si="36"/>
        <v>036540 KS</v>
      </c>
      <c r="D832" s="58" t="s">
        <v>3671</v>
      </c>
      <c r="E832" s="110" t="s">
        <v>3527</v>
      </c>
      <c r="F832" s="110" t="str">
        <f>IFERROR(VLOOKUP(C832,[1]evdl298!$B:$D,3,0),"")</f>
        <v/>
      </c>
      <c r="G832" s="110" t="str">
        <f>IFERROR(VLOOKUP(C832,[1]evdl298!$B:$C,2,0),"")</f>
        <v/>
      </c>
      <c r="H832" s="110" t="str">
        <f t="shared" si="37"/>
        <v/>
      </c>
      <c r="I832" s="110" t="str">
        <f t="shared" si="38"/>
        <v/>
      </c>
      <c r="J832" s="110"/>
      <c r="K832" s="110"/>
      <c r="M832" s="110"/>
      <c r="O832" s="110"/>
    </row>
    <row r="833" spans="1:15" x14ac:dyDescent="0.3">
      <c r="A833" s="58" t="str">
        <f>Schedule!E831</f>
        <v>A036560</v>
      </c>
      <c r="B833" s="58" t="s">
        <v>2296</v>
      </c>
      <c r="C833" s="58" t="str">
        <f t="shared" si="36"/>
        <v>036560 KS</v>
      </c>
      <c r="D833" s="58" t="s">
        <v>3671</v>
      </c>
      <c r="E833" s="110" t="s">
        <v>3527</v>
      </c>
      <c r="F833" s="110" t="str">
        <f>IFERROR(VLOOKUP(C833,[1]evdl298!$B:$D,3,0),"")</f>
        <v>E</v>
      </c>
      <c r="G833" s="110">
        <f>IFERROR(VLOOKUP(C833,[1]evdl298!$B:$C,2,0),"")</f>
        <v>41496</v>
      </c>
      <c r="H833" s="110" t="str">
        <f t="shared" si="37"/>
        <v>E</v>
      </c>
      <c r="I833" s="110">
        <f t="shared" si="38"/>
        <v>41496</v>
      </c>
      <c r="J833" s="110"/>
      <c r="K833" s="110"/>
      <c r="M833" s="110"/>
      <c r="O833" s="110"/>
    </row>
    <row r="834" spans="1:15" x14ac:dyDescent="0.3">
      <c r="A834" s="58" t="str">
        <f>Schedule!E832</f>
        <v>A036570</v>
      </c>
      <c r="B834" s="58" t="s">
        <v>2297</v>
      </c>
      <c r="C834" s="58" t="str">
        <f t="shared" si="36"/>
        <v>036570 KS</v>
      </c>
      <c r="D834" s="58" t="s">
        <v>3671</v>
      </c>
      <c r="E834" s="110" t="s">
        <v>3527</v>
      </c>
      <c r="F834" s="110" t="str">
        <f>IFERROR(VLOOKUP(C834,[1]evdl298!$B:$D,3,0),"")</f>
        <v>E</v>
      </c>
      <c r="G834" s="110">
        <f>IFERROR(VLOOKUP(C834,[1]evdl298!$B:$C,2,0),"")</f>
        <v>41494</v>
      </c>
      <c r="H834" s="110" t="str">
        <f t="shared" si="37"/>
        <v>E</v>
      </c>
      <c r="I834" s="110">
        <f t="shared" si="38"/>
        <v>41494</v>
      </c>
      <c r="J834" s="110"/>
      <c r="K834" s="110"/>
      <c r="M834" s="110"/>
      <c r="O834" s="110"/>
    </row>
    <row r="835" spans="1:15" x14ac:dyDescent="0.3">
      <c r="A835" s="58" t="str">
        <f>Schedule!E833</f>
        <v>A036580</v>
      </c>
      <c r="B835" s="58" t="s">
        <v>2298</v>
      </c>
      <c r="C835" s="58" t="str">
        <f t="shared" si="36"/>
        <v>036580 KS</v>
      </c>
      <c r="D835" s="58" t="s">
        <v>3671</v>
      </c>
      <c r="E835" s="110" t="s">
        <v>3685</v>
      </c>
      <c r="F835" s="110" t="str">
        <f>IFERROR(VLOOKUP(C835,[1]evdl298!$B:$D,3,0),"")</f>
        <v>E</v>
      </c>
      <c r="G835" s="110">
        <f>IFERROR(VLOOKUP(C835,[1]evdl298!$B:$C,2,0),"")</f>
        <v>41495</v>
      </c>
      <c r="H835" s="110" t="str">
        <f t="shared" si="37"/>
        <v>E</v>
      </c>
      <c r="I835" s="110">
        <f t="shared" si="38"/>
        <v>41495</v>
      </c>
      <c r="J835" s="110"/>
      <c r="K835" s="110"/>
      <c r="M835" s="110"/>
      <c r="O835" s="110"/>
    </row>
    <row r="836" spans="1:15" x14ac:dyDescent="0.3">
      <c r="A836" s="58" t="str">
        <f>Schedule!E834</f>
        <v>A036620</v>
      </c>
      <c r="B836" s="58" t="s">
        <v>2299</v>
      </c>
      <c r="C836" s="58" t="str">
        <f t="shared" si="36"/>
        <v>036620 KS</v>
      </c>
      <c r="D836" s="58" t="s">
        <v>3671</v>
      </c>
      <c r="E836" s="110" t="s">
        <v>3527</v>
      </c>
      <c r="F836" s="110" t="str">
        <f>IFERROR(VLOOKUP(C836,[1]evdl298!$B:$D,3,0),"")</f>
        <v>E</v>
      </c>
      <c r="G836" s="110">
        <f>IFERROR(VLOOKUP(C836,[1]evdl298!$B:$C,2,0),"")</f>
        <v>41500</v>
      </c>
      <c r="H836" s="110" t="str">
        <f t="shared" si="37"/>
        <v>E</v>
      </c>
      <c r="I836" s="110">
        <f t="shared" si="38"/>
        <v>41500</v>
      </c>
      <c r="J836" s="110"/>
      <c r="K836" s="110"/>
      <c r="M836" s="110"/>
      <c r="O836" s="110"/>
    </row>
    <row r="837" spans="1:15" x14ac:dyDescent="0.3">
      <c r="A837" s="58" t="str">
        <f>Schedule!E835</f>
        <v>A036630</v>
      </c>
      <c r="B837" s="58" t="s">
        <v>2300</v>
      </c>
      <c r="C837" s="58" t="str">
        <f t="shared" si="36"/>
        <v>036630 KS</v>
      </c>
      <c r="D837" s="58" t="s">
        <v>3671</v>
      </c>
      <c r="E837" s="110" t="s">
        <v>3527</v>
      </c>
      <c r="F837" s="110" t="str">
        <f>IFERROR(VLOOKUP(C837,[1]evdl298!$B:$D,3,0),"")</f>
        <v/>
      </c>
      <c r="G837" s="110" t="str">
        <f>IFERROR(VLOOKUP(C837,[1]evdl298!$B:$C,2,0),"")</f>
        <v/>
      </c>
      <c r="H837" s="110" t="str">
        <f t="shared" si="37"/>
        <v/>
      </c>
      <c r="I837" s="110" t="str">
        <f t="shared" si="38"/>
        <v/>
      </c>
      <c r="J837" s="110"/>
      <c r="K837" s="110"/>
      <c r="M837" s="110"/>
      <c r="O837" s="110"/>
    </row>
    <row r="838" spans="1:15" x14ac:dyDescent="0.3">
      <c r="A838" s="58" t="str">
        <f>Schedule!E836</f>
        <v>A036640</v>
      </c>
      <c r="B838" s="58" t="s">
        <v>2301</v>
      </c>
      <c r="C838" s="58" t="str">
        <f t="shared" si="36"/>
        <v>036640 KS</v>
      </c>
      <c r="D838" s="58" t="s">
        <v>3671</v>
      </c>
      <c r="E838" s="110" t="s">
        <v>3527</v>
      </c>
      <c r="F838" s="110" t="str">
        <f>IFERROR(VLOOKUP(C838,[1]evdl298!$B:$D,3,0),"")</f>
        <v>E</v>
      </c>
      <c r="G838" s="110">
        <f>IFERROR(VLOOKUP(C838,[1]evdl298!$B:$C,2,0),"")</f>
        <v>41515</v>
      </c>
      <c r="H838" s="110" t="str">
        <f t="shared" si="37"/>
        <v>E</v>
      </c>
      <c r="I838" s="110">
        <f t="shared" si="38"/>
        <v>41515</v>
      </c>
      <c r="J838" s="110"/>
      <c r="K838" s="110"/>
      <c r="M838" s="110"/>
      <c r="O838" s="110"/>
    </row>
    <row r="839" spans="1:15" x14ac:dyDescent="0.3">
      <c r="A839" s="58" t="str">
        <f>Schedule!E837</f>
        <v>A036670</v>
      </c>
      <c r="B839" s="58" t="s">
        <v>2302</v>
      </c>
      <c r="C839" s="58" t="str">
        <f t="shared" si="36"/>
        <v>036670 KS</v>
      </c>
      <c r="D839" s="58" t="s">
        <v>3671</v>
      </c>
      <c r="E839" s="110" t="s">
        <v>3527</v>
      </c>
      <c r="F839" s="110" t="str">
        <f>IFERROR(VLOOKUP(C839,[1]evdl298!$B:$D,3,0),"")</f>
        <v>E</v>
      </c>
      <c r="G839" s="110">
        <f>IFERROR(VLOOKUP(C839,[1]evdl298!$B:$C,2,0),"")</f>
        <v>41499</v>
      </c>
      <c r="H839" s="110" t="str">
        <f t="shared" si="37"/>
        <v>E</v>
      </c>
      <c r="I839" s="110">
        <f t="shared" si="38"/>
        <v>41499</v>
      </c>
      <c r="J839" s="110"/>
      <c r="K839" s="110"/>
      <c r="M839" s="110"/>
      <c r="O839" s="110"/>
    </row>
    <row r="840" spans="1:15" x14ac:dyDescent="0.3">
      <c r="A840" s="58" t="str">
        <f>Schedule!E838</f>
        <v>A036690</v>
      </c>
      <c r="B840" s="58" t="s">
        <v>2303</v>
      </c>
      <c r="C840" s="58" t="str">
        <f t="shared" si="36"/>
        <v>036690 KS</v>
      </c>
      <c r="D840" s="58" t="s">
        <v>3671</v>
      </c>
      <c r="E840" s="110" t="s">
        <v>3527</v>
      </c>
      <c r="F840" s="110" t="str">
        <f>IFERROR(VLOOKUP(C840,[1]evdl298!$B:$D,3,0),"")</f>
        <v/>
      </c>
      <c r="G840" s="110" t="str">
        <f>IFERROR(VLOOKUP(C840,[1]evdl298!$B:$C,2,0),"")</f>
        <v/>
      </c>
      <c r="H840" s="110" t="str">
        <f t="shared" si="37"/>
        <v/>
      </c>
      <c r="I840" s="110" t="str">
        <f t="shared" si="38"/>
        <v/>
      </c>
      <c r="J840" s="110"/>
      <c r="K840" s="110"/>
      <c r="M840" s="110"/>
      <c r="O840" s="110"/>
    </row>
    <row r="841" spans="1:15" x14ac:dyDescent="0.3">
      <c r="A841" s="58" t="str">
        <f>Schedule!E839</f>
        <v>A036710</v>
      </c>
      <c r="B841" s="58" t="s">
        <v>2304</v>
      </c>
      <c r="C841" s="58" t="str">
        <f t="shared" si="36"/>
        <v>036710 KS</v>
      </c>
      <c r="D841" s="58" t="s">
        <v>3671</v>
      </c>
      <c r="E841" s="110" t="s">
        <v>3527</v>
      </c>
      <c r="F841" s="110" t="str">
        <f>IFERROR(VLOOKUP(C841,[1]evdl298!$B:$D,3,0),"")</f>
        <v>E</v>
      </c>
      <c r="G841" s="110">
        <f>IFERROR(VLOOKUP(C841,[1]evdl298!$B:$C,2,0),"")</f>
        <v>41515</v>
      </c>
      <c r="H841" s="110" t="str">
        <f t="shared" si="37"/>
        <v>E</v>
      </c>
      <c r="I841" s="110">
        <f t="shared" si="38"/>
        <v>41515</v>
      </c>
      <c r="J841" s="110"/>
      <c r="K841" s="110"/>
      <c r="M841" s="110"/>
      <c r="O841" s="110"/>
    </row>
    <row r="842" spans="1:15" x14ac:dyDescent="0.3">
      <c r="A842" s="58" t="str">
        <f>Schedule!E840</f>
        <v>A036800</v>
      </c>
      <c r="B842" s="58" t="s">
        <v>2305</v>
      </c>
      <c r="C842" s="58" t="str">
        <f t="shared" si="36"/>
        <v>036800 KS</v>
      </c>
      <c r="D842" s="58" t="s">
        <v>3671</v>
      </c>
      <c r="E842" s="110" t="s">
        <v>3683</v>
      </c>
      <c r="F842" s="110" t="str">
        <f>IFERROR(VLOOKUP(C842,[1]evdl298!$B:$D,3,0),"")</f>
        <v>E</v>
      </c>
      <c r="G842" s="110">
        <f>IFERROR(VLOOKUP(C842,[1]evdl298!$B:$C,2,0),"")</f>
        <v>41460</v>
      </c>
      <c r="H842" s="110" t="str">
        <f t="shared" si="37"/>
        <v>E</v>
      </c>
      <c r="I842" s="110">
        <f t="shared" si="38"/>
        <v>41460</v>
      </c>
      <c r="J842" s="110"/>
      <c r="K842" s="110"/>
      <c r="M842" s="110"/>
      <c r="O842" s="110"/>
    </row>
    <row r="843" spans="1:15" x14ac:dyDescent="0.3">
      <c r="A843" s="58" t="str">
        <f>Schedule!E841</f>
        <v>A036810</v>
      </c>
      <c r="B843" s="58" t="s">
        <v>2306</v>
      </c>
      <c r="C843" s="58" t="str">
        <f t="shared" si="36"/>
        <v>036810 KS</v>
      </c>
      <c r="D843" s="58" t="s">
        <v>3671</v>
      </c>
      <c r="E843" s="110" t="s">
        <v>3527</v>
      </c>
      <c r="F843" s="110" t="str">
        <f>IFERROR(VLOOKUP(C843,[1]evdl298!$B:$D,3,0),"")</f>
        <v>E</v>
      </c>
      <c r="G843" s="110">
        <f>IFERROR(VLOOKUP(C843,[1]evdl298!$B:$C,2,0),"")</f>
        <v>41495</v>
      </c>
      <c r="H843" s="110" t="str">
        <f t="shared" si="37"/>
        <v>E</v>
      </c>
      <c r="I843" s="110">
        <f t="shared" si="38"/>
        <v>41495</v>
      </c>
      <c r="J843" s="110"/>
      <c r="K843" s="110"/>
      <c r="M843" s="110"/>
      <c r="O843" s="110"/>
    </row>
    <row r="844" spans="1:15" x14ac:dyDescent="0.3">
      <c r="A844" s="58" t="str">
        <f>Schedule!E842</f>
        <v>A036830</v>
      </c>
      <c r="B844" s="58" t="s">
        <v>2307</v>
      </c>
      <c r="C844" s="58" t="str">
        <f t="shared" si="36"/>
        <v>036830 KS</v>
      </c>
      <c r="D844" s="58" t="s">
        <v>3671</v>
      </c>
      <c r="E844" s="110" t="s">
        <v>3527</v>
      </c>
      <c r="F844" s="110" t="str">
        <f>IFERROR(VLOOKUP(C844,[1]evdl298!$B:$D,3,0),"")</f>
        <v>E</v>
      </c>
      <c r="G844" s="110">
        <f>IFERROR(VLOOKUP(C844,[1]evdl298!$B:$C,2,0),"")</f>
        <v>41515</v>
      </c>
      <c r="H844" s="110" t="str">
        <f t="shared" si="37"/>
        <v>E</v>
      </c>
      <c r="I844" s="110">
        <f t="shared" si="38"/>
        <v>41515</v>
      </c>
      <c r="J844" s="110"/>
      <c r="K844" s="110"/>
      <c r="M844" s="110"/>
      <c r="O844" s="110"/>
    </row>
    <row r="845" spans="1:15" x14ac:dyDescent="0.3">
      <c r="A845" s="58" t="str">
        <f>Schedule!E843</f>
        <v>A036890</v>
      </c>
      <c r="B845" s="58" t="s">
        <v>2308</v>
      </c>
      <c r="C845" s="58" t="str">
        <f t="shared" si="36"/>
        <v>036890 KS</v>
      </c>
      <c r="D845" s="58" t="s">
        <v>3671</v>
      </c>
      <c r="E845" s="110" t="s">
        <v>3688</v>
      </c>
      <c r="F845" s="110" t="str">
        <f>IFERROR(VLOOKUP(C845,[1]evdl298!$B:$D,3,0),"")</f>
        <v>E</v>
      </c>
      <c r="G845" s="110">
        <f>IFERROR(VLOOKUP(C845,[1]evdl298!$B:$C,2,0),"")</f>
        <v>41515</v>
      </c>
      <c r="H845" s="110" t="str">
        <f t="shared" si="37"/>
        <v>E</v>
      </c>
      <c r="I845" s="110">
        <f t="shared" si="38"/>
        <v>41515</v>
      </c>
      <c r="J845" s="110"/>
      <c r="K845" s="110"/>
      <c r="M845" s="110"/>
      <c r="O845" s="110"/>
    </row>
    <row r="846" spans="1:15" x14ac:dyDescent="0.3">
      <c r="A846" s="58" t="str">
        <f>Schedule!E844</f>
        <v>A036930</v>
      </c>
      <c r="B846" s="58" t="s">
        <v>2309</v>
      </c>
      <c r="C846" s="58" t="str">
        <f t="shared" si="36"/>
        <v>036930 KS</v>
      </c>
      <c r="D846" s="58" t="s">
        <v>3671</v>
      </c>
      <c r="E846" s="110" t="s">
        <v>3527</v>
      </c>
      <c r="F846" s="110" t="str">
        <f>IFERROR(VLOOKUP(C846,[1]evdl298!$B:$D,3,0),"")</f>
        <v/>
      </c>
      <c r="G846" s="110" t="str">
        <f>IFERROR(VLOOKUP(C846,[1]evdl298!$B:$C,2,0),"")</f>
        <v/>
      </c>
      <c r="H846" s="110" t="str">
        <f t="shared" si="37"/>
        <v/>
      </c>
      <c r="I846" s="110" t="str">
        <f t="shared" si="38"/>
        <v/>
      </c>
      <c r="J846" s="110"/>
      <c r="K846" s="110"/>
      <c r="M846" s="110"/>
      <c r="O846" s="110"/>
    </row>
    <row r="847" spans="1:15" x14ac:dyDescent="0.3">
      <c r="A847" s="58" t="str">
        <f>Schedule!E845</f>
        <v>A037070</v>
      </c>
      <c r="B847" s="58" t="s">
        <v>2310</v>
      </c>
      <c r="C847" s="58" t="str">
        <f t="shared" si="36"/>
        <v>037070 KS</v>
      </c>
      <c r="D847" s="58" t="s">
        <v>3671</v>
      </c>
      <c r="E847" s="110" t="s">
        <v>3688</v>
      </c>
      <c r="F847" s="110" t="str">
        <f>IFERROR(VLOOKUP(C847,[1]evdl298!$B:$D,3,0),"")</f>
        <v>E</v>
      </c>
      <c r="G847" s="110">
        <f>IFERROR(VLOOKUP(C847,[1]evdl298!$B:$C,2,0),"")</f>
        <v>41495</v>
      </c>
      <c r="H847" s="110" t="str">
        <f t="shared" si="37"/>
        <v>E</v>
      </c>
      <c r="I847" s="110">
        <f t="shared" si="38"/>
        <v>41495</v>
      </c>
      <c r="J847" s="110"/>
      <c r="K847" s="110"/>
      <c r="M847" s="110"/>
      <c r="O847" s="110"/>
    </row>
    <row r="848" spans="1:15" x14ac:dyDescent="0.3">
      <c r="A848" s="58" t="str">
        <f>Schedule!E846</f>
        <v>A037230</v>
      </c>
      <c r="B848" s="58" t="s">
        <v>2311</v>
      </c>
      <c r="C848" s="58" t="str">
        <f t="shared" si="36"/>
        <v>037230 KS</v>
      </c>
      <c r="D848" s="58" t="s">
        <v>3671</v>
      </c>
      <c r="E848" s="110" t="s">
        <v>3527</v>
      </c>
      <c r="F848" s="110" t="str">
        <f>IFERROR(VLOOKUP(C848,[1]evdl298!$B:$D,3,0),"")</f>
        <v>E</v>
      </c>
      <c r="G848" s="110">
        <f>IFERROR(VLOOKUP(C848,[1]evdl298!$B:$C,2,0),"")</f>
        <v>41500</v>
      </c>
      <c r="H848" s="110" t="str">
        <f t="shared" si="37"/>
        <v>E</v>
      </c>
      <c r="I848" s="110">
        <f t="shared" si="38"/>
        <v>41500</v>
      </c>
      <c r="J848" s="110"/>
      <c r="K848" s="110"/>
      <c r="M848" s="110"/>
      <c r="O848" s="110"/>
    </row>
    <row r="849" spans="1:15" x14ac:dyDescent="0.3">
      <c r="A849" s="58" t="str">
        <f>Schedule!E847</f>
        <v>A037270</v>
      </c>
      <c r="B849" s="58" t="s">
        <v>2312</v>
      </c>
      <c r="C849" s="58" t="str">
        <f t="shared" ref="C849:C912" si="39">RIGHT(A849,6)&amp;" KS"</f>
        <v>037270 KS</v>
      </c>
      <c r="D849" s="58" t="s">
        <v>3671</v>
      </c>
      <c r="E849" s="110" t="s">
        <v>3527</v>
      </c>
      <c r="F849" s="110" t="str">
        <f>IFERROR(VLOOKUP(C849,[1]evdl298!$B:$D,3,0),"")</f>
        <v/>
      </c>
      <c r="G849" s="110" t="str">
        <f>IFERROR(VLOOKUP(C849,[1]evdl298!$B:$C,2,0),"")</f>
        <v/>
      </c>
      <c r="H849" s="110" t="str">
        <f t="shared" ref="H849:H912" si="40">F849</f>
        <v/>
      </c>
      <c r="I849" s="110" t="str">
        <f t="shared" ref="I849:I912" si="41">IF(ISNUMBER(G849),G849,E849)</f>
        <v/>
      </c>
      <c r="J849" s="110"/>
      <c r="K849" s="110"/>
      <c r="M849" s="110"/>
      <c r="O849" s="110"/>
    </row>
    <row r="850" spans="1:15" x14ac:dyDescent="0.3">
      <c r="A850" s="58" t="str">
        <f>Schedule!E848</f>
        <v>A037330</v>
      </c>
      <c r="B850" s="58" t="s">
        <v>2313</v>
      </c>
      <c r="C850" s="58" t="str">
        <f t="shared" si="39"/>
        <v>037330 KS</v>
      </c>
      <c r="D850" s="58" t="s">
        <v>3671</v>
      </c>
      <c r="E850" s="110" t="s">
        <v>3527</v>
      </c>
      <c r="F850" s="110" t="str">
        <f>IFERROR(VLOOKUP(C850,[1]evdl298!$B:$D,3,0),"")</f>
        <v>E</v>
      </c>
      <c r="G850" s="110">
        <f>IFERROR(VLOOKUP(C850,[1]evdl298!$B:$C,2,0),"")</f>
        <v>41500</v>
      </c>
      <c r="H850" s="110" t="str">
        <f t="shared" si="40"/>
        <v>E</v>
      </c>
      <c r="I850" s="110">
        <f t="shared" si="41"/>
        <v>41500</v>
      </c>
      <c r="J850" s="110"/>
      <c r="K850" s="110"/>
      <c r="M850" s="110"/>
      <c r="O850" s="110"/>
    </row>
    <row r="851" spans="1:15" x14ac:dyDescent="0.3">
      <c r="A851" s="58" t="str">
        <f>Schedule!E849</f>
        <v>A037340</v>
      </c>
      <c r="B851" s="58" t="s">
        <v>2314</v>
      </c>
      <c r="C851" s="58" t="str">
        <f t="shared" si="39"/>
        <v>037340 KS</v>
      </c>
      <c r="D851" s="58" t="s">
        <v>3671</v>
      </c>
      <c r="E851" s="110" t="s">
        <v>3527</v>
      </c>
      <c r="F851" s="110" t="str">
        <f>IFERROR(VLOOKUP(C851,[1]evdl298!$B:$D,3,0),"")</f>
        <v/>
      </c>
      <c r="G851" s="110" t="str">
        <f>IFERROR(VLOOKUP(C851,[1]evdl298!$B:$C,2,0),"")</f>
        <v/>
      </c>
      <c r="H851" s="110" t="str">
        <f t="shared" si="40"/>
        <v/>
      </c>
      <c r="I851" s="110" t="str">
        <f t="shared" si="41"/>
        <v/>
      </c>
      <c r="J851" s="110"/>
      <c r="K851" s="110"/>
      <c r="M851" s="110"/>
      <c r="O851" s="110"/>
    </row>
    <row r="852" spans="1:15" x14ac:dyDescent="0.3">
      <c r="A852" s="58" t="str">
        <f>Schedule!E850</f>
        <v>A037350</v>
      </c>
      <c r="B852" s="58" t="s">
        <v>2315</v>
      </c>
      <c r="C852" s="58" t="str">
        <f t="shared" si="39"/>
        <v>037350 KS</v>
      </c>
      <c r="D852" s="58" t="s">
        <v>3671</v>
      </c>
      <c r="E852" s="110" t="s">
        <v>3527</v>
      </c>
      <c r="F852" s="110" t="str">
        <f>IFERROR(VLOOKUP(C852,[1]evdl298!$B:$D,3,0),"")</f>
        <v/>
      </c>
      <c r="G852" s="110" t="str">
        <f>IFERROR(VLOOKUP(C852,[1]evdl298!$B:$C,2,0),"")</f>
        <v/>
      </c>
      <c r="H852" s="110" t="str">
        <f t="shared" si="40"/>
        <v/>
      </c>
      <c r="I852" s="110" t="str">
        <f t="shared" si="41"/>
        <v/>
      </c>
      <c r="J852" s="110"/>
      <c r="K852" s="110"/>
      <c r="M852" s="110"/>
      <c r="O852" s="110"/>
    </row>
    <row r="853" spans="1:15" x14ac:dyDescent="0.3">
      <c r="A853" s="58" t="str">
        <f>Schedule!E851</f>
        <v>A037370</v>
      </c>
      <c r="B853" s="58" t="s">
        <v>2316</v>
      </c>
      <c r="C853" s="58" t="str">
        <f t="shared" si="39"/>
        <v>037370 KS</v>
      </c>
      <c r="D853" s="58" t="s">
        <v>3671</v>
      </c>
      <c r="E853" s="110" t="s">
        <v>3527</v>
      </c>
      <c r="F853" s="110" t="str">
        <f>IFERROR(VLOOKUP(C853,[1]evdl298!$B:$D,3,0),"")</f>
        <v/>
      </c>
      <c r="G853" s="110" t="str">
        <f>IFERROR(VLOOKUP(C853,[1]evdl298!$B:$C,2,0),"")</f>
        <v/>
      </c>
      <c r="H853" s="110" t="str">
        <f t="shared" si="40"/>
        <v/>
      </c>
      <c r="I853" s="110" t="str">
        <f t="shared" si="41"/>
        <v/>
      </c>
      <c r="J853" s="110"/>
      <c r="K853" s="110"/>
      <c r="M853" s="110"/>
      <c r="O853" s="110"/>
    </row>
    <row r="854" spans="1:15" x14ac:dyDescent="0.3">
      <c r="A854" s="58" t="str">
        <f>Schedule!E852</f>
        <v>A037400</v>
      </c>
      <c r="B854" s="58" t="s">
        <v>2317</v>
      </c>
      <c r="C854" s="58" t="str">
        <f t="shared" si="39"/>
        <v>037400 KS</v>
      </c>
      <c r="D854" s="58" t="s">
        <v>3671</v>
      </c>
      <c r="E854" s="110" t="s">
        <v>3527</v>
      </c>
      <c r="F854" s="110" t="str">
        <f>IFERROR(VLOOKUP(C854,[1]evdl298!$B:$D,3,0),"")</f>
        <v>E</v>
      </c>
      <c r="G854" s="110">
        <f>IFERROR(VLOOKUP(C854,[1]evdl298!$B:$C,2,0),"")</f>
        <v>41500</v>
      </c>
      <c r="H854" s="110" t="str">
        <f t="shared" si="40"/>
        <v>E</v>
      </c>
      <c r="I854" s="110">
        <f t="shared" si="41"/>
        <v>41500</v>
      </c>
      <c r="J854" s="110"/>
      <c r="K854" s="110"/>
      <c r="M854" s="110"/>
      <c r="O854" s="110"/>
    </row>
    <row r="855" spans="1:15" x14ac:dyDescent="0.3">
      <c r="A855" s="58" t="str">
        <f>Schedule!E853</f>
        <v>A037440</v>
      </c>
      <c r="B855" s="58" t="s">
        <v>2318</v>
      </c>
      <c r="C855" s="58" t="str">
        <f t="shared" si="39"/>
        <v>037440 KS</v>
      </c>
      <c r="D855" s="58" t="s">
        <v>3671</v>
      </c>
      <c r="E855" s="110" t="s">
        <v>3527</v>
      </c>
      <c r="F855" s="110" t="str">
        <f>IFERROR(VLOOKUP(C855,[1]evdl298!$B:$D,3,0),"")</f>
        <v>E</v>
      </c>
      <c r="G855" s="110">
        <f>IFERROR(VLOOKUP(C855,[1]evdl298!$B:$C,2,0),"")</f>
        <v>41500</v>
      </c>
      <c r="H855" s="110" t="str">
        <f t="shared" si="40"/>
        <v>E</v>
      </c>
      <c r="I855" s="110">
        <f t="shared" si="41"/>
        <v>41500</v>
      </c>
      <c r="J855" s="110"/>
      <c r="K855" s="110"/>
      <c r="M855" s="110"/>
      <c r="O855" s="110"/>
    </row>
    <row r="856" spans="1:15" x14ac:dyDescent="0.3">
      <c r="A856" s="58" t="str">
        <f>Schedule!E854</f>
        <v>A037460</v>
      </c>
      <c r="B856" s="58" t="s">
        <v>2319</v>
      </c>
      <c r="C856" s="58" t="str">
        <f t="shared" si="39"/>
        <v>037460 KS</v>
      </c>
      <c r="D856" s="58" t="s">
        <v>3671</v>
      </c>
      <c r="E856" s="110" t="s">
        <v>3527</v>
      </c>
      <c r="F856" s="110" t="str">
        <f>IFERROR(VLOOKUP(C856,[1]evdl298!$B:$D,3,0),"")</f>
        <v>E</v>
      </c>
      <c r="G856" s="110">
        <f>IFERROR(VLOOKUP(C856,[1]evdl298!$B:$C,2,0),"")</f>
        <v>41500</v>
      </c>
      <c r="H856" s="110" t="str">
        <f t="shared" si="40"/>
        <v>E</v>
      </c>
      <c r="I856" s="110">
        <f t="shared" si="41"/>
        <v>41500</v>
      </c>
      <c r="J856" s="110"/>
      <c r="K856" s="110"/>
      <c r="M856" s="110"/>
      <c r="O856" s="110"/>
    </row>
    <row r="857" spans="1:15" x14ac:dyDescent="0.3">
      <c r="A857" s="58" t="str">
        <f>Schedule!E855</f>
        <v>A037560</v>
      </c>
      <c r="B857" s="58" t="s">
        <v>2320</v>
      </c>
      <c r="C857" s="58" t="str">
        <f t="shared" si="39"/>
        <v>037560 KS</v>
      </c>
      <c r="D857" s="58" t="s">
        <v>3671</v>
      </c>
      <c r="E857" s="110" t="s">
        <v>3527</v>
      </c>
      <c r="F857" s="110" t="str">
        <f>IFERROR(VLOOKUP(C857,[1]evdl298!$B:$D,3,0),"")</f>
        <v>E</v>
      </c>
      <c r="G857" s="110">
        <f>IFERROR(VLOOKUP(C857,[1]evdl298!$B:$C,2,0),"")</f>
        <v>41500</v>
      </c>
      <c r="H857" s="110" t="str">
        <f t="shared" si="40"/>
        <v>E</v>
      </c>
      <c r="I857" s="110">
        <f t="shared" si="41"/>
        <v>41500</v>
      </c>
      <c r="J857" s="110"/>
      <c r="K857" s="110"/>
      <c r="M857" s="110"/>
      <c r="O857" s="110"/>
    </row>
    <row r="858" spans="1:15" x14ac:dyDescent="0.3">
      <c r="A858" s="58" t="str">
        <f>Schedule!E856</f>
        <v>A037620</v>
      </c>
      <c r="B858" s="58" t="s">
        <v>3552</v>
      </c>
      <c r="C858" s="58" t="str">
        <f t="shared" si="39"/>
        <v>037620 KS</v>
      </c>
      <c r="D858" s="58" t="s">
        <v>3671</v>
      </c>
      <c r="E858" s="110">
        <v>41495</v>
      </c>
      <c r="F858" s="110" t="str">
        <f>IFERROR(VLOOKUP(C858,[1]evdl298!$B:$D,3,0),"")</f>
        <v>E</v>
      </c>
      <c r="G858" s="110">
        <f>IFERROR(VLOOKUP(C858,[1]evdl298!$B:$C,2,0),"")</f>
        <v>41494</v>
      </c>
      <c r="H858" s="110" t="str">
        <f t="shared" si="40"/>
        <v>E</v>
      </c>
      <c r="I858" s="110">
        <f t="shared" si="41"/>
        <v>41494</v>
      </c>
      <c r="J858" s="110"/>
      <c r="K858" s="110"/>
      <c r="M858" s="110"/>
      <c r="O858" s="110"/>
    </row>
    <row r="859" spans="1:15" x14ac:dyDescent="0.3">
      <c r="A859" s="58" t="str">
        <f>Schedule!E857</f>
        <v>A037630</v>
      </c>
      <c r="B859" s="58" t="s">
        <v>2321</v>
      </c>
      <c r="C859" s="58" t="str">
        <f t="shared" si="39"/>
        <v>037630 KS</v>
      </c>
      <c r="D859" s="58" t="s">
        <v>3671</v>
      </c>
      <c r="E859" s="110">
        <v>41501</v>
      </c>
      <c r="F859" s="110" t="str">
        <f>IFERROR(VLOOKUP(C859,[1]evdl298!$B:$D,3,0),"")</f>
        <v>E</v>
      </c>
      <c r="G859" s="110">
        <f>IFERROR(VLOOKUP(C859,[1]evdl298!$B:$C,2,0),"")</f>
        <v>41486</v>
      </c>
      <c r="H859" s="110" t="str">
        <f t="shared" si="40"/>
        <v>E</v>
      </c>
      <c r="I859" s="110">
        <f t="shared" si="41"/>
        <v>41486</v>
      </c>
      <c r="J859" s="110"/>
      <c r="K859" s="110"/>
      <c r="M859" s="110"/>
      <c r="O859" s="110"/>
    </row>
    <row r="860" spans="1:15" x14ac:dyDescent="0.3">
      <c r="A860" s="58" t="str">
        <f>Schedule!E858</f>
        <v>A037710</v>
      </c>
      <c r="B860" s="58" t="s">
        <v>2322</v>
      </c>
      <c r="C860" s="58" t="str">
        <f t="shared" si="39"/>
        <v>037710 KS</v>
      </c>
      <c r="D860" s="58" t="s">
        <v>3671</v>
      </c>
      <c r="E860" s="110" t="s">
        <v>3527</v>
      </c>
      <c r="F860" s="110" t="str">
        <f>IFERROR(VLOOKUP(C860,[1]evdl298!$B:$D,3,0),"")</f>
        <v>E</v>
      </c>
      <c r="G860" s="110">
        <f>IFERROR(VLOOKUP(C860,[1]evdl298!$B:$C,2,0),"")</f>
        <v>41500</v>
      </c>
      <c r="H860" s="110" t="str">
        <f t="shared" si="40"/>
        <v>E</v>
      </c>
      <c r="I860" s="110">
        <f t="shared" si="41"/>
        <v>41500</v>
      </c>
      <c r="J860" s="110"/>
      <c r="K860" s="110"/>
      <c r="M860" s="110"/>
      <c r="O860" s="110"/>
    </row>
    <row r="861" spans="1:15" x14ac:dyDescent="0.3">
      <c r="A861" s="58" t="str">
        <f>Schedule!E859</f>
        <v>A037760</v>
      </c>
      <c r="B861" s="58" t="s">
        <v>2323</v>
      </c>
      <c r="C861" s="58" t="str">
        <f t="shared" si="39"/>
        <v>037760 KS</v>
      </c>
      <c r="D861" s="58" t="s">
        <v>3671</v>
      </c>
      <c r="E861" s="110" t="s">
        <v>3527</v>
      </c>
      <c r="F861" s="110" t="str">
        <f>IFERROR(VLOOKUP(C861,[1]evdl298!$B:$D,3,0),"")</f>
        <v/>
      </c>
      <c r="G861" s="110" t="str">
        <f>IFERROR(VLOOKUP(C861,[1]evdl298!$B:$C,2,0),"")</f>
        <v/>
      </c>
      <c r="H861" s="110" t="str">
        <f t="shared" si="40"/>
        <v/>
      </c>
      <c r="I861" s="110" t="str">
        <f t="shared" si="41"/>
        <v/>
      </c>
      <c r="J861" s="110"/>
      <c r="K861" s="110"/>
      <c r="M861" s="110"/>
      <c r="O861" s="110"/>
    </row>
    <row r="862" spans="1:15" x14ac:dyDescent="0.3">
      <c r="A862" s="58" t="str">
        <f>Schedule!E860</f>
        <v>A037950</v>
      </c>
      <c r="B862" s="58" t="s">
        <v>2324</v>
      </c>
      <c r="C862" s="58" t="str">
        <f t="shared" si="39"/>
        <v>037950 KS</v>
      </c>
      <c r="D862" s="58" t="s">
        <v>3671</v>
      </c>
      <c r="E862" s="110" t="s">
        <v>3527</v>
      </c>
      <c r="F862" s="110" t="str">
        <f>IFERROR(VLOOKUP(C862,[1]evdl298!$B:$D,3,0),"")</f>
        <v/>
      </c>
      <c r="G862" s="110" t="str">
        <f>IFERROR(VLOOKUP(C862,[1]evdl298!$B:$C,2,0),"")</f>
        <v/>
      </c>
      <c r="H862" s="110" t="str">
        <f t="shared" si="40"/>
        <v/>
      </c>
      <c r="I862" s="110" t="str">
        <f t="shared" si="41"/>
        <v/>
      </c>
      <c r="J862" s="110"/>
      <c r="K862" s="110"/>
      <c r="M862" s="110"/>
      <c r="O862" s="110"/>
    </row>
    <row r="863" spans="1:15" x14ac:dyDescent="0.3">
      <c r="A863" s="58" t="str">
        <f>Schedule!E861</f>
        <v>A038010</v>
      </c>
      <c r="B863" s="58" t="s">
        <v>2325</v>
      </c>
      <c r="C863" s="58" t="str">
        <f t="shared" si="39"/>
        <v>038010 KS</v>
      </c>
      <c r="D863" s="58" t="s">
        <v>3671</v>
      </c>
      <c r="E863" s="110" t="s">
        <v>3527</v>
      </c>
      <c r="F863" s="110" t="str">
        <f>IFERROR(VLOOKUP(C863,[1]evdl298!$B:$D,3,0),"")</f>
        <v/>
      </c>
      <c r="G863" s="110" t="str">
        <f>IFERROR(VLOOKUP(C863,[1]evdl298!$B:$C,2,0),"")</f>
        <v/>
      </c>
      <c r="H863" s="110" t="str">
        <f t="shared" si="40"/>
        <v/>
      </c>
      <c r="I863" s="110" t="str">
        <f t="shared" si="41"/>
        <v/>
      </c>
      <c r="J863" s="110"/>
      <c r="K863" s="110"/>
      <c r="M863" s="110"/>
      <c r="O863" s="110"/>
    </row>
    <row r="864" spans="1:15" x14ac:dyDescent="0.3">
      <c r="A864" s="58" t="str">
        <f>Schedule!E862</f>
        <v>A038060</v>
      </c>
      <c r="B864" s="58" t="s">
        <v>2326</v>
      </c>
      <c r="C864" s="58" t="str">
        <f t="shared" si="39"/>
        <v>038060 KS</v>
      </c>
      <c r="D864" s="58" t="s">
        <v>3671</v>
      </c>
      <c r="E864" s="110" t="s">
        <v>3527</v>
      </c>
      <c r="F864" s="110" t="str">
        <f>IFERROR(VLOOKUP(C864,[1]evdl298!$B:$D,3,0),"")</f>
        <v>E</v>
      </c>
      <c r="G864" s="110">
        <f>IFERROR(VLOOKUP(C864,[1]evdl298!$B:$C,2,0),"")</f>
        <v>41492</v>
      </c>
      <c r="H864" s="110" t="str">
        <f t="shared" si="40"/>
        <v>E</v>
      </c>
      <c r="I864" s="110">
        <f t="shared" si="41"/>
        <v>41492</v>
      </c>
      <c r="J864" s="110"/>
      <c r="K864" s="110"/>
      <c r="M864" s="110"/>
      <c r="O864" s="110"/>
    </row>
    <row r="865" spans="1:15" x14ac:dyDescent="0.3">
      <c r="A865" s="58" t="str">
        <f>Schedule!E863</f>
        <v>A038070</v>
      </c>
      <c r="B865" s="58" t="s">
        <v>2327</v>
      </c>
      <c r="C865" s="58" t="str">
        <f t="shared" si="39"/>
        <v>038070 KS</v>
      </c>
      <c r="D865" s="58" t="s">
        <v>3671</v>
      </c>
      <c r="E865" s="110" t="s">
        <v>3527</v>
      </c>
      <c r="F865" s="110" t="str">
        <f>IFERROR(VLOOKUP(C865,[1]evdl298!$B:$D,3,0),"")</f>
        <v>E</v>
      </c>
      <c r="G865" s="110">
        <f>IFERROR(VLOOKUP(C865,[1]evdl298!$B:$C,2,0),"")</f>
        <v>41499</v>
      </c>
      <c r="H865" s="110" t="str">
        <f t="shared" si="40"/>
        <v>E</v>
      </c>
      <c r="I865" s="110">
        <f t="shared" si="41"/>
        <v>41499</v>
      </c>
      <c r="J865" s="110"/>
      <c r="K865" s="110"/>
      <c r="M865" s="110"/>
      <c r="O865" s="110"/>
    </row>
    <row r="866" spans="1:15" x14ac:dyDescent="0.3">
      <c r="A866" s="58" t="str">
        <f>Schedule!E864</f>
        <v>A038110</v>
      </c>
      <c r="B866" s="58" t="s">
        <v>2328</v>
      </c>
      <c r="C866" s="58" t="str">
        <f t="shared" si="39"/>
        <v>038110 KS</v>
      </c>
      <c r="D866" s="58" t="s">
        <v>3671</v>
      </c>
      <c r="E866" s="110" t="s">
        <v>3527</v>
      </c>
      <c r="F866" s="110" t="str">
        <f>IFERROR(VLOOKUP(C866,[1]evdl298!$B:$D,3,0),"")</f>
        <v/>
      </c>
      <c r="G866" s="110" t="str">
        <f>IFERROR(VLOOKUP(C866,[1]evdl298!$B:$C,2,0),"")</f>
        <v/>
      </c>
      <c r="H866" s="110" t="str">
        <f t="shared" si="40"/>
        <v/>
      </c>
      <c r="I866" s="110" t="str">
        <f t="shared" si="41"/>
        <v/>
      </c>
      <c r="J866" s="110"/>
      <c r="K866" s="110"/>
      <c r="M866" s="110"/>
      <c r="O866" s="110"/>
    </row>
    <row r="867" spans="1:15" x14ac:dyDescent="0.3">
      <c r="A867" s="58" t="str">
        <f>Schedule!E865</f>
        <v>A038290</v>
      </c>
      <c r="B867" s="58" t="s">
        <v>2329</v>
      </c>
      <c r="C867" s="58" t="str">
        <f t="shared" si="39"/>
        <v>038290 KS</v>
      </c>
      <c r="D867" s="58" t="s">
        <v>3671</v>
      </c>
      <c r="E867" s="110" t="s">
        <v>3527</v>
      </c>
      <c r="F867" s="110" t="str">
        <f>IFERROR(VLOOKUP(C867,[1]evdl298!$B:$D,3,0),"")</f>
        <v>E</v>
      </c>
      <c r="G867" s="110">
        <f>IFERROR(VLOOKUP(C867,[1]evdl298!$B:$C,2,0),"")</f>
        <v>41479</v>
      </c>
      <c r="H867" s="110" t="str">
        <f t="shared" si="40"/>
        <v>E</v>
      </c>
      <c r="I867" s="110">
        <f t="shared" si="41"/>
        <v>41479</v>
      </c>
      <c r="J867" s="110"/>
      <c r="K867" s="110"/>
      <c r="M867" s="110"/>
      <c r="O867" s="110"/>
    </row>
    <row r="868" spans="1:15" x14ac:dyDescent="0.3">
      <c r="A868" s="58" t="str">
        <f>Schedule!E866</f>
        <v>A038340</v>
      </c>
      <c r="B868" s="58" t="s">
        <v>2330</v>
      </c>
      <c r="C868" s="58" t="str">
        <f t="shared" si="39"/>
        <v>038340 KS</v>
      </c>
      <c r="D868" s="58" t="s">
        <v>3671</v>
      </c>
      <c r="E868" s="110" t="s">
        <v>3527</v>
      </c>
      <c r="F868" s="110" t="str">
        <f>IFERROR(VLOOKUP(C868,[1]evdl298!$B:$D,3,0),"")</f>
        <v/>
      </c>
      <c r="G868" s="110" t="str">
        <f>IFERROR(VLOOKUP(C868,[1]evdl298!$B:$C,2,0),"")</f>
        <v/>
      </c>
      <c r="H868" s="110" t="str">
        <f t="shared" si="40"/>
        <v/>
      </c>
      <c r="I868" s="110" t="str">
        <f t="shared" si="41"/>
        <v/>
      </c>
      <c r="J868" s="110"/>
      <c r="K868" s="110"/>
      <c r="M868" s="110"/>
      <c r="O868" s="110"/>
    </row>
    <row r="869" spans="1:15" x14ac:dyDescent="0.3">
      <c r="A869" s="58" t="str">
        <f>Schedule!E867</f>
        <v>A038390</v>
      </c>
      <c r="B869" s="58" t="s">
        <v>2331</v>
      </c>
      <c r="C869" s="58" t="str">
        <f t="shared" si="39"/>
        <v>038390 KS</v>
      </c>
      <c r="D869" s="58" t="s">
        <v>3671</v>
      </c>
      <c r="E869" s="110" t="s">
        <v>3527</v>
      </c>
      <c r="F869" s="110" t="str">
        <f>IFERROR(VLOOKUP(C869,[1]evdl298!$B:$D,3,0),"")</f>
        <v>E</v>
      </c>
      <c r="G869" s="110">
        <f>IFERROR(VLOOKUP(C869,[1]evdl298!$B:$C,2,0),"")</f>
        <v>41474</v>
      </c>
      <c r="H869" s="110" t="str">
        <f t="shared" si="40"/>
        <v>E</v>
      </c>
      <c r="I869" s="110">
        <f t="shared" si="41"/>
        <v>41474</v>
      </c>
      <c r="J869" s="110"/>
      <c r="K869" s="110"/>
      <c r="M869" s="110"/>
      <c r="O869" s="110"/>
    </row>
    <row r="870" spans="1:15" x14ac:dyDescent="0.3">
      <c r="A870" s="58" t="str">
        <f>Schedule!E868</f>
        <v>A038460</v>
      </c>
      <c r="B870" s="58" t="s">
        <v>2332</v>
      </c>
      <c r="C870" s="58" t="str">
        <f t="shared" si="39"/>
        <v>038460 KS</v>
      </c>
      <c r="D870" s="58" t="s">
        <v>3671</v>
      </c>
      <c r="E870" s="110" t="s">
        <v>3527</v>
      </c>
      <c r="F870" s="110" t="str">
        <f>IFERROR(VLOOKUP(C870,[1]evdl298!$B:$D,3,0),"")</f>
        <v/>
      </c>
      <c r="G870" s="110" t="str">
        <f>IFERROR(VLOOKUP(C870,[1]evdl298!$B:$C,2,0),"")</f>
        <v/>
      </c>
      <c r="H870" s="110" t="str">
        <f t="shared" si="40"/>
        <v/>
      </c>
      <c r="I870" s="110" t="str">
        <f t="shared" si="41"/>
        <v/>
      </c>
      <c r="J870" s="110"/>
      <c r="K870" s="110"/>
      <c r="M870" s="110"/>
      <c r="O870" s="110"/>
    </row>
    <row r="871" spans="1:15" x14ac:dyDescent="0.3">
      <c r="A871" s="58" t="str">
        <f>Schedule!E869</f>
        <v>A038500</v>
      </c>
      <c r="B871" s="58" t="s">
        <v>2333</v>
      </c>
      <c r="C871" s="58" t="str">
        <f t="shared" si="39"/>
        <v>038500 KS</v>
      </c>
      <c r="D871" s="58" t="s">
        <v>3671</v>
      </c>
      <c r="E871" s="110" t="s">
        <v>3527</v>
      </c>
      <c r="F871" s="110" t="str">
        <f>IFERROR(VLOOKUP(C871,[1]evdl298!$B:$D,3,0),"")</f>
        <v/>
      </c>
      <c r="G871" s="110" t="str">
        <f>IFERROR(VLOOKUP(C871,[1]evdl298!$B:$C,2,0),"")</f>
        <v/>
      </c>
      <c r="H871" s="110" t="str">
        <f t="shared" si="40"/>
        <v/>
      </c>
      <c r="I871" s="110" t="str">
        <f t="shared" si="41"/>
        <v/>
      </c>
      <c r="J871" s="110"/>
      <c r="K871" s="110"/>
      <c r="M871" s="110"/>
      <c r="O871" s="110"/>
    </row>
    <row r="872" spans="1:15" x14ac:dyDescent="0.3">
      <c r="A872" s="58" t="str">
        <f>Schedule!E870</f>
        <v>A038530</v>
      </c>
      <c r="B872" s="58" t="s">
        <v>2334</v>
      </c>
      <c r="C872" s="58" t="str">
        <f t="shared" si="39"/>
        <v>038530 KS</v>
      </c>
      <c r="D872" s="58" t="s">
        <v>3671</v>
      </c>
      <c r="E872" s="110" t="s">
        <v>3527</v>
      </c>
      <c r="F872" s="110" t="str">
        <f>IFERROR(VLOOKUP(C872,[1]evdl298!$B:$D,3,0),"")</f>
        <v>E</v>
      </c>
      <c r="G872" s="110">
        <f>IFERROR(VLOOKUP(C872,[1]evdl298!$B:$C,2,0),"")</f>
        <v>41500</v>
      </c>
      <c r="H872" s="110" t="str">
        <f t="shared" si="40"/>
        <v>E</v>
      </c>
      <c r="I872" s="110">
        <f t="shared" si="41"/>
        <v>41500</v>
      </c>
      <c r="J872" s="110"/>
      <c r="K872" s="110"/>
      <c r="M872" s="110"/>
      <c r="O872" s="110"/>
    </row>
    <row r="873" spans="1:15" x14ac:dyDescent="0.3">
      <c r="A873" s="58" t="str">
        <f>Schedule!E871</f>
        <v>A038540</v>
      </c>
      <c r="B873" s="58" t="s">
        <v>2335</v>
      </c>
      <c r="C873" s="58" t="str">
        <f t="shared" si="39"/>
        <v>038540 KS</v>
      </c>
      <c r="D873" s="58" t="s">
        <v>3671</v>
      </c>
      <c r="E873" s="110" t="s">
        <v>3527</v>
      </c>
      <c r="F873" s="110" t="str">
        <f>IFERROR(VLOOKUP(C873,[1]evdl298!$B:$D,3,0),"")</f>
        <v>E</v>
      </c>
      <c r="G873" s="110">
        <f>IFERROR(VLOOKUP(C873,[1]evdl298!$B:$C,2,0),"")</f>
        <v>41499</v>
      </c>
      <c r="H873" s="110" t="str">
        <f t="shared" si="40"/>
        <v>E</v>
      </c>
      <c r="I873" s="110">
        <f t="shared" si="41"/>
        <v>41499</v>
      </c>
      <c r="J873" s="110"/>
      <c r="K873" s="110"/>
      <c r="M873" s="110"/>
      <c r="O873" s="110"/>
    </row>
    <row r="874" spans="1:15" x14ac:dyDescent="0.3">
      <c r="A874" s="58" t="str">
        <f>Schedule!E872</f>
        <v>A038620</v>
      </c>
      <c r="B874" s="58" t="s">
        <v>2336</v>
      </c>
      <c r="C874" s="58" t="str">
        <f t="shared" si="39"/>
        <v>038620 KS</v>
      </c>
      <c r="D874" s="58" t="s">
        <v>3671</v>
      </c>
      <c r="E874" s="110" t="s">
        <v>3527</v>
      </c>
      <c r="F874" s="110" t="str">
        <f>IFERROR(VLOOKUP(C874,[1]evdl298!$B:$D,3,0),"")</f>
        <v/>
      </c>
      <c r="G874" s="110" t="str">
        <f>IFERROR(VLOOKUP(C874,[1]evdl298!$B:$C,2,0),"")</f>
        <v/>
      </c>
      <c r="H874" s="110" t="str">
        <f t="shared" si="40"/>
        <v/>
      </c>
      <c r="I874" s="110" t="str">
        <f t="shared" si="41"/>
        <v/>
      </c>
      <c r="J874" s="110"/>
      <c r="K874" s="110"/>
      <c r="M874" s="110"/>
      <c r="O874" s="110"/>
    </row>
    <row r="875" spans="1:15" x14ac:dyDescent="0.3">
      <c r="A875" s="58" t="str">
        <f>Schedule!E873</f>
        <v>A038680</v>
      </c>
      <c r="B875" s="58" t="s">
        <v>2337</v>
      </c>
      <c r="C875" s="58" t="str">
        <f t="shared" si="39"/>
        <v>038680 KS</v>
      </c>
      <c r="D875" s="58" t="s">
        <v>3671</v>
      </c>
      <c r="E875" s="110" t="s">
        <v>3527</v>
      </c>
      <c r="F875" s="110" t="str">
        <f>IFERROR(VLOOKUP(C875,[1]evdl298!$B:$D,3,0),"")</f>
        <v/>
      </c>
      <c r="G875" s="110" t="str">
        <f>IFERROR(VLOOKUP(C875,[1]evdl298!$B:$C,2,0),"")</f>
        <v/>
      </c>
      <c r="H875" s="110" t="str">
        <f t="shared" si="40"/>
        <v/>
      </c>
      <c r="I875" s="110" t="str">
        <f t="shared" si="41"/>
        <v/>
      </c>
      <c r="J875" s="110"/>
      <c r="K875" s="110"/>
      <c r="M875" s="110"/>
      <c r="O875" s="110"/>
    </row>
    <row r="876" spans="1:15" x14ac:dyDescent="0.3">
      <c r="A876" s="58" t="str">
        <f>Schedule!E874</f>
        <v>A038870</v>
      </c>
      <c r="B876" s="58" t="s">
        <v>2338</v>
      </c>
      <c r="C876" s="58" t="str">
        <f t="shared" si="39"/>
        <v>038870 KS</v>
      </c>
      <c r="D876" s="58" t="s">
        <v>3671</v>
      </c>
      <c r="E876" s="110" t="s">
        <v>3527</v>
      </c>
      <c r="F876" s="110" t="str">
        <f>IFERROR(VLOOKUP(C876,[1]evdl298!$B:$D,3,0),"")</f>
        <v>E</v>
      </c>
      <c r="G876" s="110">
        <f>IFERROR(VLOOKUP(C876,[1]evdl298!$B:$C,2,0),"")</f>
        <v>41500</v>
      </c>
      <c r="H876" s="110" t="str">
        <f t="shared" si="40"/>
        <v>E</v>
      </c>
      <c r="I876" s="110">
        <f t="shared" si="41"/>
        <v>41500</v>
      </c>
      <c r="J876" s="110"/>
      <c r="K876" s="110"/>
      <c r="M876" s="110"/>
      <c r="O876" s="110"/>
    </row>
    <row r="877" spans="1:15" x14ac:dyDescent="0.3">
      <c r="A877" s="58" t="str">
        <f>Schedule!E875</f>
        <v>A038880</v>
      </c>
      <c r="B877" s="58" t="s">
        <v>2339</v>
      </c>
      <c r="C877" s="58" t="str">
        <f t="shared" si="39"/>
        <v>038880 KS</v>
      </c>
      <c r="D877" s="58" t="s">
        <v>3671</v>
      </c>
      <c r="E877" s="110" t="s">
        <v>3527</v>
      </c>
      <c r="F877" s="110" t="str">
        <f>IFERROR(VLOOKUP(C877,[1]evdl298!$B:$D,3,0),"")</f>
        <v/>
      </c>
      <c r="G877" s="110" t="str">
        <f>IFERROR(VLOOKUP(C877,[1]evdl298!$B:$C,2,0),"")</f>
        <v/>
      </c>
      <c r="H877" s="110" t="str">
        <f t="shared" si="40"/>
        <v/>
      </c>
      <c r="I877" s="110" t="str">
        <f t="shared" si="41"/>
        <v/>
      </c>
      <c r="J877" s="110"/>
      <c r="K877" s="110"/>
      <c r="M877" s="110"/>
      <c r="O877" s="110"/>
    </row>
    <row r="878" spans="1:15" x14ac:dyDescent="0.3">
      <c r="A878" s="58" t="str">
        <f>Schedule!E876</f>
        <v>A038950</v>
      </c>
      <c r="B878" s="58" t="s">
        <v>3642</v>
      </c>
      <c r="C878" s="58" t="str">
        <f t="shared" si="39"/>
        <v>038950 KS</v>
      </c>
      <c r="D878" s="58" t="s">
        <v>3671</v>
      </c>
      <c r="E878" s="110" t="s">
        <v>3527</v>
      </c>
      <c r="F878" s="110" t="str">
        <f>IFERROR(VLOOKUP(C878,[1]evdl298!$B:$D,3,0),"")</f>
        <v>E</v>
      </c>
      <c r="G878" s="110">
        <f>IFERROR(VLOOKUP(C878,[1]evdl298!$B:$C,2,0),"")</f>
        <v>41499</v>
      </c>
      <c r="H878" s="110" t="str">
        <f t="shared" si="40"/>
        <v>E</v>
      </c>
      <c r="I878" s="110">
        <f t="shared" si="41"/>
        <v>41499</v>
      </c>
      <c r="J878" s="110"/>
      <c r="K878" s="110"/>
      <c r="M878" s="110"/>
      <c r="O878" s="110"/>
    </row>
    <row r="879" spans="1:15" x14ac:dyDescent="0.3">
      <c r="A879" s="58" t="str">
        <f>Schedule!E877</f>
        <v>A039010</v>
      </c>
      <c r="B879" s="58" t="s">
        <v>2340</v>
      </c>
      <c r="C879" s="58" t="str">
        <f t="shared" si="39"/>
        <v>039010 KS</v>
      </c>
      <c r="D879" s="58" t="s">
        <v>3671</v>
      </c>
      <c r="E879" s="110" t="s">
        <v>3527</v>
      </c>
      <c r="F879" s="110" t="str">
        <f>IFERROR(VLOOKUP(C879,[1]evdl298!$B:$D,3,0),"")</f>
        <v/>
      </c>
      <c r="G879" s="110" t="str">
        <f>IFERROR(VLOOKUP(C879,[1]evdl298!$B:$C,2,0),"")</f>
        <v/>
      </c>
      <c r="H879" s="110" t="str">
        <f t="shared" si="40"/>
        <v/>
      </c>
      <c r="I879" s="110" t="str">
        <f t="shared" si="41"/>
        <v/>
      </c>
      <c r="J879" s="110"/>
      <c r="K879" s="110"/>
      <c r="M879" s="110"/>
      <c r="O879" s="110"/>
    </row>
    <row r="880" spans="1:15" x14ac:dyDescent="0.3">
      <c r="A880" s="58" t="str">
        <f>Schedule!E878</f>
        <v>A039020</v>
      </c>
      <c r="B880" s="58" t="s">
        <v>2341</v>
      </c>
      <c r="C880" s="58" t="str">
        <f t="shared" si="39"/>
        <v>039020 KS</v>
      </c>
      <c r="D880" s="58" t="s">
        <v>3671</v>
      </c>
      <c r="E880" s="110" t="s">
        <v>3527</v>
      </c>
      <c r="F880" s="110" t="str">
        <f>IFERROR(VLOOKUP(C880,[1]evdl298!$B:$D,3,0),"")</f>
        <v/>
      </c>
      <c r="G880" s="110" t="str">
        <f>IFERROR(VLOOKUP(C880,[1]evdl298!$B:$C,2,0),"")</f>
        <v/>
      </c>
      <c r="H880" s="110" t="str">
        <f t="shared" si="40"/>
        <v/>
      </c>
      <c r="I880" s="110" t="str">
        <f t="shared" si="41"/>
        <v/>
      </c>
      <c r="J880" s="110"/>
      <c r="K880" s="110"/>
      <c r="M880" s="110"/>
      <c r="O880" s="110"/>
    </row>
    <row r="881" spans="1:15" x14ac:dyDescent="0.3">
      <c r="A881" s="58" t="str">
        <f>Schedule!E879</f>
        <v>A039030</v>
      </c>
      <c r="B881" s="58" t="s">
        <v>2342</v>
      </c>
      <c r="C881" s="58" t="str">
        <f t="shared" si="39"/>
        <v>039030 KS</v>
      </c>
      <c r="D881" s="58" t="s">
        <v>3671</v>
      </c>
      <c r="E881" s="110" t="s">
        <v>3527</v>
      </c>
      <c r="F881" s="110" t="str">
        <f>IFERROR(VLOOKUP(C881,[1]evdl298!$B:$D,3,0),"")</f>
        <v>E</v>
      </c>
      <c r="G881" s="110">
        <f>IFERROR(VLOOKUP(C881,[1]evdl298!$B:$C,2,0),"")</f>
        <v>41515</v>
      </c>
      <c r="H881" s="110" t="str">
        <f t="shared" si="40"/>
        <v>E</v>
      </c>
      <c r="I881" s="110">
        <f t="shared" si="41"/>
        <v>41515</v>
      </c>
      <c r="J881" s="110"/>
      <c r="K881" s="110"/>
      <c r="M881" s="110"/>
      <c r="O881" s="110"/>
    </row>
    <row r="882" spans="1:15" x14ac:dyDescent="0.3">
      <c r="A882" s="58" t="str">
        <f>Schedule!E880</f>
        <v>A039130</v>
      </c>
      <c r="B882" s="58" t="s">
        <v>2343</v>
      </c>
      <c r="C882" s="58" t="str">
        <f t="shared" si="39"/>
        <v>039130 KS</v>
      </c>
      <c r="D882" s="58" t="s">
        <v>3671</v>
      </c>
      <c r="E882" s="110" t="s">
        <v>3527</v>
      </c>
      <c r="F882" s="110" t="str">
        <f>IFERROR(VLOOKUP(C882,[1]evdl298!$B:$D,3,0),"")</f>
        <v>E</v>
      </c>
      <c r="G882" s="110">
        <f>IFERROR(VLOOKUP(C882,[1]evdl298!$B:$C,2,0),"")</f>
        <v>41515</v>
      </c>
      <c r="H882" s="110" t="str">
        <f t="shared" si="40"/>
        <v>E</v>
      </c>
      <c r="I882" s="110">
        <f t="shared" si="41"/>
        <v>41515</v>
      </c>
      <c r="J882" s="110"/>
      <c r="K882" s="110"/>
      <c r="M882" s="110"/>
      <c r="O882" s="110"/>
    </row>
    <row r="883" spans="1:15" x14ac:dyDescent="0.3">
      <c r="A883" s="58" t="str">
        <f>Schedule!E881</f>
        <v>A039200</v>
      </c>
      <c r="B883" s="58" t="s">
        <v>2344</v>
      </c>
      <c r="C883" s="58" t="str">
        <f t="shared" si="39"/>
        <v>039200 KS</v>
      </c>
      <c r="D883" s="58" t="s">
        <v>3671</v>
      </c>
      <c r="E883" s="110" t="s">
        <v>3527</v>
      </c>
      <c r="F883" s="110" t="str">
        <f>IFERROR(VLOOKUP(C883,[1]evdl298!$B:$D,3,0),"")</f>
        <v>E</v>
      </c>
      <c r="G883" s="110">
        <f>IFERROR(VLOOKUP(C883,[1]evdl298!$B:$C,2,0),"")</f>
        <v>41515</v>
      </c>
      <c r="H883" s="110" t="str">
        <f t="shared" si="40"/>
        <v>E</v>
      </c>
      <c r="I883" s="110">
        <f t="shared" si="41"/>
        <v>41515</v>
      </c>
      <c r="J883" s="110"/>
      <c r="K883" s="110"/>
      <c r="M883" s="110"/>
      <c r="O883" s="110"/>
    </row>
    <row r="884" spans="1:15" x14ac:dyDescent="0.3">
      <c r="A884" s="58" t="str">
        <f>Schedule!E882</f>
        <v>A039230</v>
      </c>
      <c r="B884" s="58" t="s">
        <v>2345</v>
      </c>
      <c r="C884" s="58" t="str">
        <f t="shared" si="39"/>
        <v>039230 KS</v>
      </c>
      <c r="D884" s="58" t="s">
        <v>3671</v>
      </c>
      <c r="E884" s="110" t="s">
        <v>3527</v>
      </c>
      <c r="F884" s="110" t="str">
        <f>IFERROR(VLOOKUP(C884,[1]evdl298!$B:$D,3,0),"")</f>
        <v/>
      </c>
      <c r="G884" s="110" t="str">
        <f>IFERROR(VLOOKUP(C884,[1]evdl298!$B:$C,2,0),"")</f>
        <v/>
      </c>
      <c r="H884" s="110" t="str">
        <f t="shared" si="40"/>
        <v/>
      </c>
      <c r="I884" s="110" t="str">
        <f t="shared" si="41"/>
        <v/>
      </c>
      <c r="J884" s="110"/>
      <c r="K884" s="110"/>
      <c r="M884" s="110"/>
      <c r="O884" s="110"/>
    </row>
    <row r="885" spans="1:15" x14ac:dyDescent="0.3">
      <c r="A885" s="58" t="str">
        <f>Schedule!E883</f>
        <v>A039240</v>
      </c>
      <c r="B885" s="58" t="s">
        <v>2346</v>
      </c>
      <c r="C885" s="58" t="str">
        <f t="shared" si="39"/>
        <v>039240 KS</v>
      </c>
      <c r="D885" s="58" t="s">
        <v>3671</v>
      </c>
      <c r="E885" s="110" t="s">
        <v>3527</v>
      </c>
      <c r="F885" s="110" t="str">
        <f>IFERROR(VLOOKUP(C885,[1]evdl298!$B:$D,3,0),"")</f>
        <v>E</v>
      </c>
      <c r="G885" s="110">
        <f>IFERROR(VLOOKUP(C885,[1]evdl298!$B:$C,2,0),"")</f>
        <v>41500</v>
      </c>
      <c r="H885" s="110" t="str">
        <f t="shared" si="40"/>
        <v>E</v>
      </c>
      <c r="I885" s="110">
        <f t="shared" si="41"/>
        <v>41500</v>
      </c>
      <c r="J885" s="110"/>
      <c r="K885" s="110"/>
      <c r="M885" s="110"/>
      <c r="O885" s="110"/>
    </row>
    <row r="886" spans="1:15" x14ac:dyDescent="0.3">
      <c r="A886" s="58" t="str">
        <f>Schedule!E884</f>
        <v>A039290</v>
      </c>
      <c r="B886" s="58" t="s">
        <v>2347</v>
      </c>
      <c r="C886" s="58" t="str">
        <f t="shared" si="39"/>
        <v>039290 KS</v>
      </c>
      <c r="D886" s="58" t="s">
        <v>3671</v>
      </c>
      <c r="E886" s="110" t="s">
        <v>3527</v>
      </c>
      <c r="F886" s="110" t="str">
        <f>IFERROR(VLOOKUP(C886,[1]evdl298!$B:$D,3,0),"")</f>
        <v/>
      </c>
      <c r="G886" s="110" t="str">
        <f>IFERROR(VLOOKUP(C886,[1]evdl298!$B:$C,2,0),"")</f>
        <v/>
      </c>
      <c r="H886" s="110" t="str">
        <f t="shared" si="40"/>
        <v/>
      </c>
      <c r="I886" s="110" t="str">
        <f t="shared" si="41"/>
        <v/>
      </c>
      <c r="J886" s="110"/>
      <c r="K886" s="110"/>
      <c r="M886" s="110"/>
      <c r="O886" s="110"/>
    </row>
    <row r="887" spans="1:15" x14ac:dyDescent="0.3">
      <c r="A887" s="58" t="str">
        <f>Schedule!E885</f>
        <v>A039310</v>
      </c>
      <c r="B887" s="58" t="s">
        <v>2348</v>
      </c>
      <c r="C887" s="58" t="str">
        <f t="shared" si="39"/>
        <v>039310 KS</v>
      </c>
      <c r="D887" s="58" t="s">
        <v>3671</v>
      </c>
      <c r="E887" s="110" t="s">
        <v>3527</v>
      </c>
      <c r="F887" s="110" t="str">
        <f>IFERROR(VLOOKUP(C887,[1]evdl298!$B:$D,3,0),"")</f>
        <v/>
      </c>
      <c r="G887" s="110" t="str">
        <f>IFERROR(VLOOKUP(C887,[1]evdl298!$B:$C,2,0),"")</f>
        <v/>
      </c>
      <c r="H887" s="110" t="str">
        <f t="shared" si="40"/>
        <v/>
      </c>
      <c r="I887" s="110" t="str">
        <f t="shared" si="41"/>
        <v/>
      </c>
      <c r="J887" s="110"/>
      <c r="K887" s="110"/>
      <c r="M887" s="110"/>
      <c r="O887" s="110"/>
    </row>
    <row r="888" spans="1:15" x14ac:dyDescent="0.3">
      <c r="A888" s="58" t="str">
        <f>Schedule!E886</f>
        <v>A039340</v>
      </c>
      <c r="B888" s="58" t="s">
        <v>2349</v>
      </c>
      <c r="C888" s="58" t="str">
        <f t="shared" si="39"/>
        <v>039340 KS</v>
      </c>
      <c r="D888" s="58" t="s">
        <v>3671</v>
      </c>
      <c r="E888" s="110" t="s">
        <v>3527</v>
      </c>
      <c r="F888" s="110" t="str">
        <f>IFERROR(VLOOKUP(C888,[1]evdl298!$B:$D,3,0),"")</f>
        <v/>
      </c>
      <c r="G888" s="110" t="str">
        <f>IFERROR(VLOOKUP(C888,[1]evdl298!$B:$C,2,0),"")</f>
        <v/>
      </c>
      <c r="H888" s="110" t="str">
        <f t="shared" si="40"/>
        <v/>
      </c>
      <c r="I888" s="110" t="str">
        <f t="shared" si="41"/>
        <v/>
      </c>
      <c r="J888" s="110"/>
      <c r="K888" s="110"/>
      <c r="M888" s="110"/>
      <c r="O888" s="110"/>
    </row>
    <row r="889" spans="1:15" x14ac:dyDescent="0.3">
      <c r="A889" s="58" t="str">
        <f>Schedule!E887</f>
        <v>A039420</v>
      </c>
      <c r="B889" s="58" t="s">
        <v>2350</v>
      </c>
      <c r="C889" s="58" t="str">
        <f t="shared" si="39"/>
        <v>039420 KS</v>
      </c>
      <c r="D889" s="58" t="s">
        <v>3671</v>
      </c>
      <c r="E889" s="110" t="s">
        <v>3527</v>
      </c>
      <c r="F889" s="110" t="str">
        <f>IFERROR(VLOOKUP(C889,[1]evdl298!$B:$D,3,0),"")</f>
        <v>E</v>
      </c>
      <c r="G889" s="110">
        <f>IFERROR(VLOOKUP(C889,[1]evdl298!$B:$C,2,0),"")</f>
        <v>41500</v>
      </c>
      <c r="H889" s="110" t="str">
        <f t="shared" si="40"/>
        <v>E</v>
      </c>
      <c r="I889" s="110">
        <f t="shared" si="41"/>
        <v>41500</v>
      </c>
      <c r="J889" s="110"/>
      <c r="K889" s="110"/>
      <c r="M889" s="110"/>
      <c r="O889" s="110"/>
    </row>
    <row r="890" spans="1:15" x14ac:dyDescent="0.3">
      <c r="A890" s="58" t="str">
        <f>Schedule!E888</f>
        <v>A039440</v>
      </c>
      <c r="B890" s="58" t="s">
        <v>2351</v>
      </c>
      <c r="C890" s="58" t="str">
        <f t="shared" si="39"/>
        <v>039440 KS</v>
      </c>
      <c r="D890" s="58" t="s">
        <v>3671</v>
      </c>
      <c r="E890" s="110" t="s">
        <v>3527</v>
      </c>
      <c r="F890" s="110" t="str">
        <f>IFERROR(VLOOKUP(C890,[1]evdl298!$B:$D,3,0),"")</f>
        <v>E</v>
      </c>
      <c r="G890" s="110">
        <f>IFERROR(VLOOKUP(C890,[1]evdl298!$B:$C,2,0),"")</f>
        <v>41500</v>
      </c>
      <c r="H890" s="110" t="str">
        <f t="shared" si="40"/>
        <v>E</v>
      </c>
      <c r="I890" s="110">
        <f t="shared" si="41"/>
        <v>41500</v>
      </c>
      <c r="J890" s="110"/>
      <c r="K890" s="110"/>
      <c r="M890" s="110"/>
      <c r="O890" s="110"/>
    </row>
    <row r="891" spans="1:15" x14ac:dyDescent="0.3">
      <c r="A891" s="58" t="str">
        <f>Schedule!E889</f>
        <v>A039490</v>
      </c>
      <c r="B891" s="58" t="s">
        <v>2352</v>
      </c>
      <c r="C891" s="58" t="str">
        <f t="shared" si="39"/>
        <v>039490 KS</v>
      </c>
      <c r="D891" s="58" t="s">
        <v>3671</v>
      </c>
      <c r="E891" s="110" t="s">
        <v>3527</v>
      </c>
      <c r="F891" s="110" t="str">
        <f>IFERROR(VLOOKUP(C891,[1]evdl298!$B:$D,3,0),"")</f>
        <v>E</v>
      </c>
      <c r="G891" s="110">
        <f>IFERROR(VLOOKUP(C891,[1]evdl298!$B:$C,2,0),"")</f>
        <v>41500</v>
      </c>
      <c r="H891" s="110" t="str">
        <f t="shared" si="40"/>
        <v>E</v>
      </c>
      <c r="I891" s="110">
        <f t="shared" si="41"/>
        <v>41500</v>
      </c>
      <c r="J891" s="110"/>
      <c r="K891" s="110"/>
      <c r="M891" s="110"/>
      <c r="O891" s="110"/>
    </row>
    <row r="892" spans="1:15" x14ac:dyDescent="0.3">
      <c r="A892" s="58" t="str">
        <f>Schedule!E890</f>
        <v>A039530</v>
      </c>
      <c r="B892" s="58" t="s">
        <v>7</v>
      </c>
      <c r="C892" s="58" t="str">
        <f t="shared" si="39"/>
        <v>039530 KS</v>
      </c>
      <c r="D892" s="58" t="s">
        <v>3671</v>
      </c>
      <c r="E892" s="110" t="s">
        <v>3675</v>
      </c>
      <c r="F892" s="110" t="str">
        <f>IFERROR(VLOOKUP(C892,[1]evdl298!$B:$D,3,0),"")</f>
        <v/>
      </c>
      <c r="G892" s="110" t="str">
        <f>IFERROR(VLOOKUP(C892,[1]evdl298!$B:$C,2,0),"")</f>
        <v/>
      </c>
      <c r="H892" s="110" t="str">
        <f t="shared" si="40"/>
        <v/>
      </c>
      <c r="I892" s="110" t="str">
        <f t="shared" si="41"/>
        <v>2013-08-15</v>
      </c>
      <c r="J892" s="110"/>
      <c r="K892" s="110"/>
      <c r="M892" s="110"/>
      <c r="O892" s="110"/>
    </row>
    <row r="893" spans="1:15" x14ac:dyDescent="0.3">
      <c r="A893" s="58" t="str">
        <f>Schedule!E891</f>
        <v>A039560</v>
      </c>
      <c r="B893" s="58" t="s">
        <v>2353</v>
      </c>
      <c r="C893" s="58" t="str">
        <f t="shared" si="39"/>
        <v>039560 KS</v>
      </c>
      <c r="D893" s="58" t="s">
        <v>3671</v>
      </c>
      <c r="E893" s="110" t="s">
        <v>3527</v>
      </c>
      <c r="F893" s="110" t="str">
        <f>IFERROR(VLOOKUP(C893,[1]evdl298!$B:$D,3,0),"")</f>
        <v>E</v>
      </c>
      <c r="G893" s="110">
        <f>IFERROR(VLOOKUP(C893,[1]evdl298!$B:$C,2,0),"")</f>
        <v>41500</v>
      </c>
      <c r="H893" s="110" t="str">
        <f t="shared" si="40"/>
        <v>E</v>
      </c>
      <c r="I893" s="110">
        <f t="shared" si="41"/>
        <v>41500</v>
      </c>
      <c r="J893" s="110"/>
      <c r="K893" s="110"/>
      <c r="M893" s="110"/>
      <c r="O893" s="110"/>
    </row>
    <row r="894" spans="1:15" x14ac:dyDescent="0.3">
      <c r="A894" s="58" t="str">
        <f>Schedule!E892</f>
        <v>A039610</v>
      </c>
      <c r="B894" s="58" t="s">
        <v>2354</v>
      </c>
      <c r="C894" s="58" t="str">
        <f t="shared" si="39"/>
        <v>039610 KS</v>
      </c>
      <c r="D894" s="58" t="s">
        <v>3671</v>
      </c>
      <c r="E894" s="110" t="s">
        <v>3527</v>
      </c>
      <c r="F894" s="110" t="str">
        <f>IFERROR(VLOOKUP(C894,[1]evdl298!$B:$D,3,0),"")</f>
        <v>E</v>
      </c>
      <c r="G894" s="110">
        <f>IFERROR(VLOOKUP(C894,[1]evdl298!$B:$C,2,0),"")</f>
        <v>41500</v>
      </c>
      <c r="H894" s="110" t="str">
        <f t="shared" si="40"/>
        <v>E</v>
      </c>
      <c r="I894" s="110">
        <f t="shared" si="41"/>
        <v>41500</v>
      </c>
      <c r="J894" s="110"/>
      <c r="K894" s="110"/>
      <c r="M894" s="110"/>
      <c r="O894" s="110"/>
    </row>
    <row r="895" spans="1:15" x14ac:dyDescent="0.3">
      <c r="A895" s="58" t="str">
        <f>Schedule!E893</f>
        <v>A039670</v>
      </c>
      <c r="B895" s="58" t="s">
        <v>2355</v>
      </c>
      <c r="C895" s="58" t="str">
        <f t="shared" si="39"/>
        <v>039670 KS</v>
      </c>
      <c r="D895" s="58" t="s">
        <v>3671</v>
      </c>
      <c r="E895" s="110" t="s">
        <v>3527</v>
      </c>
      <c r="F895" s="110" t="str">
        <f>IFERROR(VLOOKUP(C895,[1]evdl298!$B:$D,3,0),"")</f>
        <v/>
      </c>
      <c r="G895" s="110" t="str">
        <f>IFERROR(VLOOKUP(C895,[1]evdl298!$B:$C,2,0),"")</f>
        <v/>
      </c>
      <c r="H895" s="110" t="str">
        <f t="shared" si="40"/>
        <v/>
      </c>
      <c r="I895" s="110" t="str">
        <f t="shared" si="41"/>
        <v/>
      </c>
      <c r="J895" s="110"/>
      <c r="K895" s="110"/>
      <c r="M895" s="110"/>
      <c r="O895" s="110"/>
    </row>
    <row r="896" spans="1:15" x14ac:dyDescent="0.3">
      <c r="A896" s="58" t="str">
        <f>Schedule!E894</f>
        <v>A039740</v>
      </c>
      <c r="B896" s="58" t="s">
        <v>2356</v>
      </c>
      <c r="C896" s="58" t="str">
        <f t="shared" si="39"/>
        <v>039740 KS</v>
      </c>
      <c r="D896" s="58" t="s">
        <v>3671</v>
      </c>
      <c r="E896" s="110" t="s">
        <v>3527</v>
      </c>
      <c r="F896" s="110" t="str">
        <f>IFERROR(VLOOKUP(C896,[1]evdl298!$B:$D,3,0),"")</f>
        <v/>
      </c>
      <c r="G896" s="110" t="str">
        <f>IFERROR(VLOOKUP(C896,[1]evdl298!$B:$C,2,0),"")</f>
        <v/>
      </c>
      <c r="H896" s="110" t="str">
        <f t="shared" si="40"/>
        <v/>
      </c>
      <c r="I896" s="110" t="str">
        <f t="shared" si="41"/>
        <v/>
      </c>
      <c r="J896" s="110"/>
      <c r="K896" s="110"/>
      <c r="M896" s="110"/>
      <c r="O896" s="110"/>
    </row>
    <row r="897" spans="1:15" x14ac:dyDescent="0.3">
      <c r="A897" s="58" t="str">
        <f>Schedule!E895</f>
        <v>A039790</v>
      </c>
      <c r="B897" s="58" t="s">
        <v>2357</v>
      </c>
      <c r="C897" s="58" t="str">
        <f t="shared" si="39"/>
        <v>039790 KS</v>
      </c>
      <c r="D897" s="58" t="s">
        <v>3671</v>
      </c>
      <c r="E897" s="110" t="s">
        <v>3527</v>
      </c>
      <c r="F897" s="110" t="str">
        <f>IFERROR(VLOOKUP(C897,[1]evdl298!$B:$D,3,0),"")</f>
        <v/>
      </c>
      <c r="G897" s="110" t="str">
        <f>IFERROR(VLOOKUP(C897,[1]evdl298!$B:$C,2,0),"")</f>
        <v/>
      </c>
      <c r="H897" s="110" t="str">
        <f t="shared" si="40"/>
        <v/>
      </c>
      <c r="I897" s="110" t="str">
        <f t="shared" si="41"/>
        <v/>
      </c>
      <c r="J897" s="110"/>
      <c r="K897" s="110"/>
      <c r="M897" s="110"/>
      <c r="O897" s="110"/>
    </row>
    <row r="898" spans="1:15" x14ac:dyDescent="0.3">
      <c r="A898" s="58" t="str">
        <f>Schedule!E896</f>
        <v>A039830</v>
      </c>
      <c r="B898" s="58" t="s">
        <v>2358</v>
      </c>
      <c r="C898" s="58" t="str">
        <f t="shared" si="39"/>
        <v>039830 KS</v>
      </c>
      <c r="D898" s="58" t="s">
        <v>3671</v>
      </c>
      <c r="E898" s="110" t="s">
        <v>3527</v>
      </c>
      <c r="F898" s="110" t="str">
        <f>IFERROR(VLOOKUP(C898,[1]evdl298!$B:$D,3,0),"")</f>
        <v/>
      </c>
      <c r="G898" s="110" t="str">
        <f>IFERROR(VLOOKUP(C898,[1]evdl298!$B:$C,2,0),"")</f>
        <v/>
      </c>
      <c r="H898" s="110" t="str">
        <f t="shared" si="40"/>
        <v/>
      </c>
      <c r="I898" s="110" t="str">
        <f t="shared" si="41"/>
        <v/>
      </c>
      <c r="J898" s="110"/>
      <c r="K898" s="110"/>
      <c r="M898" s="110"/>
      <c r="O898" s="110"/>
    </row>
    <row r="899" spans="1:15" x14ac:dyDescent="0.3">
      <c r="A899" s="58" t="str">
        <f>Schedule!E897</f>
        <v>A039840</v>
      </c>
      <c r="B899" s="58" t="s">
        <v>2359</v>
      </c>
      <c r="C899" s="58" t="str">
        <f t="shared" si="39"/>
        <v>039840 KS</v>
      </c>
      <c r="D899" s="58" t="s">
        <v>3671</v>
      </c>
      <c r="E899" s="110" t="s">
        <v>3527</v>
      </c>
      <c r="F899" s="110" t="str">
        <f>IFERROR(VLOOKUP(C899,[1]evdl298!$B:$D,3,0),"")</f>
        <v>E</v>
      </c>
      <c r="G899" s="110">
        <f>IFERROR(VLOOKUP(C899,[1]evdl298!$B:$C,2,0),"")</f>
        <v>41500</v>
      </c>
      <c r="H899" s="110" t="str">
        <f t="shared" si="40"/>
        <v>E</v>
      </c>
      <c r="I899" s="110">
        <f t="shared" si="41"/>
        <v>41500</v>
      </c>
      <c r="J899" s="110"/>
      <c r="K899" s="110"/>
      <c r="M899" s="110"/>
      <c r="O899" s="110"/>
    </row>
    <row r="900" spans="1:15" x14ac:dyDescent="0.3">
      <c r="A900" s="58" t="str">
        <f>Schedule!E898</f>
        <v>A039850</v>
      </c>
      <c r="B900" s="58" t="s">
        <v>2360</v>
      </c>
      <c r="C900" s="58" t="str">
        <f t="shared" si="39"/>
        <v>039850 KS</v>
      </c>
      <c r="D900" s="58" t="s">
        <v>3671</v>
      </c>
      <c r="E900" s="110" t="s">
        <v>3527</v>
      </c>
      <c r="F900" s="110" t="str">
        <f>IFERROR(VLOOKUP(C900,[1]evdl298!$B:$D,3,0),"")</f>
        <v/>
      </c>
      <c r="G900" s="110" t="str">
        <f>IFERROR(VLOOKUP(C900,[1]evdl298!$B:$C,2,0),"")</f>
        <v/>
      </c>
      <c r="H900" s="110" t="str">
        <f t="shared" si="40"/>
        <v/>
      </c>
      <c r="I900" s="110" t="str">
        <f t="shared" si="41"/>
        <v/>
      </c>
      <c r="J900" s="110"/>
      <c r="K900" s="110"/>
      <c r="M900" s="110"/>
      <c r="O900" s="110"/>
    </row>
    <row r="901" spans="1:15" x14ac:dyDescent="0.3">
      <c r="A901" s="58" t="str">
        <f>Schedule!E899</f>
        <v>A039860</v>
      </c>
      <c r="B901" s="58" t="s">
        <v>2361</v>
      </c>
      <c r="C901" s="58" t="str">
        <f t="shared" si="39"/>
        <v>039860 KS</v>
      </c>
      <c r="D901" s="58" t="s">
        <v>3671</v>
      </c>
      <c r="E901" s="110" t="s">
        <v>3527</v>
      </c>
      <c r="F901" s="110" t="str">
        <f>IFERROR(VLOOKUP(C901,[1]evdl298!$B:$D,3,0),"")</f>
        <v/>
      </c>
      <c r="G901" s="110" t="str">
        <f>IFERROR(VLOOKUP(C901,[1]evdl298!$B:$C,2,0),"")</f>
        <v/>
      </c>
      <c r="H901" s="110" t="str">
        <f t="shared" si="40"/>
        <v/>
      </c>
      <c r="I901" s="110" t="str">
        <f t="shared" si="41"/>
        <v/>
      </c>
      <c r="J901" s="110"/>
      <c r="K901" s="110"/>
      <c r="M901" s="110"/>
      <c r="O901" s="110"/>
    </row>
    <row r="902" spans="1:15" x14ac:dyDescent="0.3">
      <c r="A902" s="58" t="str">
        <f>Schedule!E900</f>
        <v>A039980</v>
      </c>
      <c r="B902" s="58" t="s">
        <v>2362</v>
      </c>
      <c r="C902" s="58" t="str">
        <f t="shared" si="39"/>
        <v>039980 KS</v>
      </c>
      <c r="D902" s="58" t="s">
        <v>3671</v>
      </c>
      <c r="E902" s="110" t="s">
        <v>3527</v>
      </c>
      <c r="F902" s="110" t="str">
        <f>IFERROR(VLOOKUP(C902,[1]evdl298!$B:$D,3,0),"")</f>
        <v>E</v>
      </c>
      <c r="G902" s="110">
        <f>IFERROR(VLOOKUP(C902,[1]evdl298!$B:$C,2,0),"")</f>
        <v>41495</v>
      </c>
      <c r="H902" s="110" t="str">
        <f t="shared" si="40"/>
        <v>E</v>
      </c>
      <c r="I902" s="110">
        <f t="shared" si="41"/>
        <v>41495</v>
      </c>
      <c r="J902" s="110"/>
      <c r="K902" s="110"/>
      <c r="M902" s="110"/>
      <c r="O902" s="110"/>
    </row>
    <row r="903" spans="1:15" x14ac:dyDescent="0.3">
      <c r="A903" s="58" t="str">
        <f>Schedule!E901</f>
        <v>A040160</v>
      </c>
      <c r="B903" s="58" t="s">
        <v>2363</v>
      </c>
      <c r="C903" s="58" t="str">
        <f t="shared" si="39"/>
        <v>040160 KS</v>
      </c>
      <c r="D903" s="58" t="s">
        <v>3671</v>
      </c>
      <c r="E903" s="110" t="s">
        <v>3527</v>
      </c>
      <c r="F903" s="110" t="str">
        <f>IFERROR(VLOOKUP(C903,[1]evdl298!$B:$D,3,0),"")</f>
        <v/>
      </c>
      <c r="G903" s="110" t="str">
        <f>IFERROR(VLOOKUP(C903,[1]evdl298!$B:$C,2,0),"")</f>
        <v/>
      </c>
      <c r="H903" s="110" t="str">
        <f t="shared" si="40"/>
        <v/>
      </c>
      <c r="I903" s="110" t="str">
        <f t="shared" si="41"/>
        <v/>
      </c>
      <c r="J903" s="110"/>
      <c r="K903" s="110"/>
      <c r="M903" s="110"/>
      <c r="O903" s="110"/>
    </row>
    <row r="904" spans="1:15" x14ac:dyDescent="0.3">
      <c r="A904" s="58" t="str">
        <f>Schedule!E902</f>
        <v>A040300</v>
      </c>
      <c r="B904" s="58" t="s">
        <v>2364</v>
      </c>
      <c r="C904" s="58" t="str">
        <f t="shared" si="39"/>
        <v>040300 KS</v>
      </c>
      <c r="D904" s="58" t="s">
        <v>3671</v>
      </c>
      <c r="E904" s="110" t="s">
        <v>3527</v>
      </c>
      <c r="F904" s="110" t="str">
        <f>IFERROR(VLOOKUP(C904,[1]evdl298!$B:$D,3,0),"")</f>
        <v>E</v>
      </c>
      <c r="G904" s="110">
        <f>IFERROR(VLOOKUP(C904,[1]evdl298!$B:$C,2,0),"")</f>
        <v>41478</v>
      </c>
      <c r="H904" s="110" t="str">
        <f t="shared" si="40"/>
        <v>E</v>
      </c>
      <c r="I904" s="110">
        <f t="shared" si="41"/>
        <v>41478</v>
      </c>
      <c r="J904" s="110"/>
      <c r="K904" s="110"/>
      <c r="M904" s="110"/>
      <c r="O904" s="110"/>
    </row>
    <row r="905" spans="1:15" x14ac:dyDescent="0.3">
      <c r="A905" s="58" t="str">
        <f>Schedule!E903</f>
        <v>A040350</v>
      </c>
      <c r="B905" s="58" t="s">
        <v>2365</v>
      </c>
      <c r="C905" s="58" t="str">
        <f t="shared" si="39"/>
        <v>040350 KS</v>
      </c>
      <c r="D905" s="58" t="s">
        <v>3671</v>
      </c>
      <c r="E905" s="110" t="s">
        <v>3527</v>
      </c>
      <c r="F905" s="110" t="str">
        <f>IFERROR(VLOOKUP(C905,[1]evdl298!$B:$D,3,0),"")</f>
        <v/>
      </c>
      <c r="G905" s="110" t="str">
        <f>IFERROR(VLOOKUP(C905,[1]evdl298!$B:$C,2,0),"")</f>
        <v/>
      </c>
      <c r="H905" s="110" t="str">
        <f t="shared" si="40"/>
        <v/>
      </c>
      <c r="I905" s="110" t="str">
        <f t="shared" si="41"/>
        <v/>
      </c>
      <c r="J905" s="110"/>
      <c r="K905" s="110"/>
      <c r="M905" s="110"/>
      <c r="O905" s="110"/>
    </row>
    <row r="906" spans="1:15" x14ac:dyDescent="0.3">
      <c r="A906" s="58" t="str">
        <f>Schedule!E904</f>
        <v>A040420</v>
      </c>
      <c r="B906" s="58" t="s">
        <v>2366</v>
      </c>
      <c r="C906" s="58" t="str">
        <f t="shared" si="39"/>
        <v>040420 KS</v>
      </c>
      <c r="D906" s="58" t="s">
        <v>3671</v>
      </c>
      <c r="E906" s="110" t="s">
        <v>3527</v>
      </c>
      <c r="F906" s="110" t="str">
        <f>IFERROR(VLOOKUP(C906,[1]evdl298!$B:$D,3,0),"")</f>
        <v>E</v>
      </c>
      <c r="G906" s="110">
        <f>IFERROR(VLOOKUP(C906,[1]evdl298!$B:$C,2,0),"")</f>
        <v>41515</v>
      </c>
      <c r="H906" s="110" t="str">
        <f t="shared" si="40"/>
        <v>E</v>
      </c>
      <c r="I906" s="110">
        <f t="shared" si="41"/>
        <v>41515</v>
      </c>
      <c r="J906" s="110"/>
      <c r="K906" s="110"/>
      <c r="M906" s="110"/>
      <c r="O906" s="110"/>
    </row>
    <row r="907" spans="1:15" x14ac:dyDescent="0.3">
      <c r="A907" s="58" t="str">
        <f>Schedule!E905</f>
        <v>A040610</v>
      </c>
      <c r="B907" s="58" t="s">
        <v>2367</v>
      </c>
      <c r="C907" s="58" t="str">
        <f t="shared" si="39"/>
        <v>040610 KS</v>
      </c>
      <c r="D907" s="58" t="s">
        <v>3671</v>
      </c>
      <c r="E907" s="110" t="s">
        <v>3527</v>
      </c>
      <c r="F907" s="110" t="str">
        <f>IFERROR(VLOOKUP(C907,[1]evdl298!$B:$D,3,0),"")</f>
        <v>E</v>
      </c>
      <c r="G907" s="110">
        <f>IFERROR(VLOOKUP(C907,[1]evdl298!$B:$C,2,0),"")</f>
        <v>41515</v>
      </c>
      <c r="H907" s="110" t="str">
        <f t="shared" si="40"/>
        <v>E</v>
      </c>
      <c r="I907" s="110">
        <f t="shared" si="41"/>
        <v>41515</v>
      </c>
      <c r="J907" s="110"/>
      <c r="K907" s="110"/>
      <c r="M907" s="110"/>
      <c r="O907" s="110"/>
    </row>
    <row r="908" spans="1:15" x14ac:dyDescent="0.3">
      <c r="A908" s="58" t="str">
        <f>Schedule!E906</f>
        <v>A040670</v>
      </c>
      <c r="B908" s="58" t="s">
        <v>2368</v>
      </c>
      <c r="C908" s="58" t="str">
        <f t="shared" si="39"/>
        <v>040670 KS</v>
      </c>
      <c r="D908" s="58" t="s">
        <v>3671</v>
      </c>
      <c r="E908" s="110" t="s">
        <v>3527</v>
      </c>
      <c r="F908" s="110" t="str">
        <f>IFERROR(VLOOKUP(C908,[1]evdl298!$B:$D,3,0),"")</f>
        <v/>
      </c>
      <c r="G908" s="110" t="str">
        <f>IFERROR(VLOOKUP(C908,[1]evdl298!$B:$C,2,0),"")</f>
        <v/>
      </c>
      <c r="H908" s="110" t="str">
        <f t="shared" si="40"/>
        <v/>
      </c>
      <c r="I908" s="110" t="str">
        <f t="shared" si="41"/>
        <v/>
      </c>
      <c r="J908" s="110"/>
      <c r="K908" s="110"/>
      <c r="M908" s="110"/>
      <c r="O908" s="110"/>
    </row>
    <row r="909" spans="1:15" x14ac:dyDescent="0.3">
      <c r="A909" s="58" t="str">
        <f>Schedule!E907</f>
        <v>A040910</v>
      </c>
      <c r="B909" s="58" t="s">
        <v>2369</v>
      </c>
      <c r="C909" s="58" t="str">
        <f t="shared" si="39"/>
        <v>040910 KS</v>
      </c>
      <c r="D909" s="58" t="s">
        <v>3671</v>
      </c>
      <c r="E909" s="110" t="s">
        <v>3527</v>
      </c>
      <c r="F909" s="110" t="str">
        <f>IFERROR(VLOOKUP(C909,[1]evdl298!$B:$D,3,0),"")</f>
        <v>E</v>
      </c>
      <c r="G909" s="110">
        <f>IFERROR(VLOOKUP(C909,[1]evdl298!$B:$C,2,0),"")</f>
        <v>41500</v>
      </c>
      <c r="H909" s="110" t="str">
        <f t="shared" si="40"/>
        <v>E</v>
      </c>
      <c r="I909" s="110">
        <f t="shared" si="41"/>
        <v>41500</v>
      </c>
      <c r="J909" s="110"/>
      <c r="K909" s="110"/>
      <c r="M909" s="110"/>
      <c r="O909" s="110"/>
    </row>
    <row r="910" spans="1:15" x14ac:dyDescent="0.3">
      <c r="A910" s="58" t="str">
        <f>Schedule!E908</f>
        <v>A041020</v>
      </c>
      <c r="B910" s="58" t="s">
        <v>3349</v>
      </c>
      <c r="C910" s="58" t="str">
        <f t="shared" si="39"/>
        <v>041020 KS</v>
      </c>
      <c r="D910" s="58" t="s">
        <v>3671</v>
      </c>
      <c r="E910" s="110" t="s">
        <v>3527</v>
      </c>
      <c r="F910" s="110" t="str">
        <f>IFERROR(VLOOKUP(C910,[1]evdl298!$B:$D,3,0),"")</f>
        <v>E</v>
      </c>
      <c r="G910" s="110">
        <f>IFERROR(VLOOKUP(C910,[1]evdl298!$B:$C,2,0),"")</f>
        <v>41515</v>
      </c>
      <c r="H910" s="110" t="str">
        <f t="shared" si="40"/>
        <v>E</v>
      </c>
      <c r="I910" s="110">
        <f t="shared" si="41"/>
        <v>41515</v>
      </c>
      <c r="J910" s="110"/>
      <c r="K910" s="110"/>
      <c r="M910" s="110"/>
      <c r="O910" s="110"/>
    </row>
    <row r="911" spans="1:15" x14ac:dyDescent="0.3">
      <c r="A911" s="58" t="str">
        <f>Schedule!E909</f>
        <v>A041060</v>
      </c>
      <c r="B911" s="58" t="s">
        <v>2370</v>
      </c>
      <c r="C911" s="58" t="str">
        <f t="shared" si="39"/>
        <v>041060 KS</v>
      </c>
      <c r="D911" s="58" t="s">
        <v>3671</v>
      </c>
      <c r="E911" s="110" t="s">
        <v>3527</v>
      </c>
      <c r="F911" s="110" t="str">
        <f>IFERROR(VLOOKUP(C911,[1]evdl298!$B:$D,3,0),"")</f>
        <v/>
      </c>
      <c r="G911" s="110" t="str">
        <f>IFERROR(VLOOKUP(C911,[1]evdl298!$B:$C,2,0),"")</f>
        <v/>
      </c>
      <c r="H911" s="110" t="str">
        <f t="shared" si="40"/>
        <v/>
      </c>
      <c r="I911" s="110" t="str">
        <f t="shared" si="41"/>
        <v/>
      </c>
      <c r="J911" s="110"/>
      <c r="K911" s="110"/>
      <c r="M911" s="110"/>
      <c r="O911" s="110"/>
    </row>
    <row r="912" spans="1:15" x14ac:dyDescent="0.3">
      <c r="A912" s="58" t="str">
        <f>Schedule!E910</f>
        <v>A041140</v>
      </c>
      <c r="B912" s="58" t="s">
        <v>3643</v>
      </c>
      <c r="C912" s="58" t="str">
        <f t="shared" si="39"/>
        <v>041140 KS</v>
      </c>
      <c r="D912" s="58" t="s">
        <v>3671</v>
      </c>
      <c r="E912" s="110" t="s">
        <v>3527</v>
      </c>
      <c r="F912" s="110" t="str">
        <f>IFERROR(VLOOKUP(C912,[1]evdl298!$B:$D,3,0),"")</f>
        <v/>
      </c>
      <c r="G912" s="110" t="str">
        <f>IFERROR(VLOOKUP(C912,[1]evdl298!$B:$C,2,0),"")</f>
        <v/>
      </c>
      <c r="H912" s="110" t="str">
        <f t="shared" si="40"/>
        <v/>
      </c>
      <c r="I912" s="110" t="str">
        <f t="shared" si="41"/>
        <v/>
      </c>
      <c r="J912" s="110"/>
      <c r="K912" s="110"/>
      <c r="M912" s="110"/>
      <c r="O912" s="110"/>
    </row>
    <row r="913" spans="1:15" x14ac:dyDescent="0.3">
      <c r="A913" s="58" t="str">
        <f>Schedule!E911</f>
        <v>A041190</v>
      </c>
      <c r="B913" s="58" t="s">
        <v>2371</v>
      </c>
      <c r="C913" s="58" t="str">
        <f t="shared" ref="C913:C976" si="42">RIGHT(A913,6)&amp;" KS"</f>
        <v>041190 KS</v>
      </c>
      <c r="D913" s="58" t="s">
        <v>3671</v>
      </c>
      <c r="E913" s="110" t="s">
        <v>3527</v>
      </c>
      <c r="F913" s="110" t="str">
        <f>IFERROR(VLOOKUP(C913,[1]evdl298!$B:$D,3,0),"")</f>
        <v/>
      </c>
      <c r="G913" s="110" t="str">
        <f>IFERROR(VLOOKUP(C913,[1]evdl298!$B:$C,2,0),"")</f>
        <v/>
      </c>
      <c r="H913" s="110" t="str">
        <f t="shared" ref="H913:H976" si="43">F913</f>
        <v/>
      </c>
      <c r="I913" s="110" t="str">
        <f t="shared" ref="I913:I976" si="44">IF(ISNUMBER(G913),G913,E913)</f>
        <v/>
      </c>
      <c r="J913" s="110"/>
      <c r="K913" s="110"/>
      <c r="M913" s="110"/>
      <c r="O913" s="110"/>
    </row>
    <row r="914" spans="1:15" x14ac:dyDescent="0.3">
      <c r="A914" s="58" t="str">
        <f>Schedule!E912</f>
        <v>A041440</v>
      </c>
      <c r="B914" s="58" t="s">
        <v>2372</v>
      </c>
      <c r="C914" s="58" t="str">
        <f t="shared" si="42"/>
        <v>041440 KS</v>
      </c>
      <c r="D914" s="58" t="s">
        <v>3671</v>
      </c>
      <c r="E914" s="110" t="s">
        <v>3527</v>
      </c>
      <c r="F914" s="110" t="str">
        <f>IFERROR(VLOOKUP(C914,[1]evdl298!$B:$D,3,0),"")</f>
        <v>E</v>
      </c>
      <c r="G914" s="110">
        <f>IFERROR(VLOOKUP(C914,[1]evdl298!$B:$C,2,0),"")</f>
        <v>41515</v>
      </c>
      <c r="H914" s="110" t="str">
        <f t="shared" si="43"/>
        <v>E</v>
      </c>
      <c r="I914" s="110">
        <f t="shared" si="44"/>
        <v>41515</v>
      </c>
      <c r="J914" s="110"/>
      <c r="K914" s="110"/>
      <c r="M914" s="110"/>
      <c r="O914" s="110"/>
    </row>
    <row r="915" spans="1:15" x14ac:dyDescent="0.3">
      <c r="A915" s="58" t="str">
        <f>Schedule!E913</f>
        <v>A041460</v>
      </c>
      <c r="B915" s="58" t="s">
        <v>2373</v>
      </c>
      <c r="C915" s="58" t="str">
        <f t="shared" si="42"/>
        <v>041460 KS</v>
      </c>
      <c r="D915" s="58" t="s">
        <v>3671</v>
      </c>
      <c r="E915" s="110" t="s">
        <v>3527</v>
      </c>
      <c r="F915" s="110" t="str">
        <f>IFERROR(VLOOKUP(C915,[1]evdl298!$B:$D,3,0),"")</f>
        <v>E</v>
      </c>
      <c r="G915" s="110">
        <f>IFERROR(VLOOKUP(C915,[1]evdl298!$B:$C,2,0),"")</f>
        <v>41515</v>
      </c>
      <c r="H915" s="110" t="str">
        <f t="shared" si="43"/>
        <v>E</v>
      </c>
      <c r="I915" s="110">
        <f t="shared" si="44"/>
        <v>41515</v>
      </c>
      <c r="J915" s="110"/>
      <c r="K915" s="110"/>
      <c r="M915" s="110"/>
      <c r="O915" s="110"/>
    </row>
    <row r="916" spans="1:15" x14ac:dyDescent="0.3">
      <c r="A916" s="58" t="str">
        <f>Schedule!E914</f>
        <v>A041510</v>
      </c>
      <c r="B916" s="58" t="s">
        <v>3350</v>
      </c>
      <c r="C916" s="58" t="str">
        <f t="shared" si="42"/>
        <v>041510 KS</v>
      </c>
      <c r="D916" s="58" t="s">
        <v>3671</v>
      </c>
      <c r="E916" s="110" t="s">
        <v>3527</v>
      </c>
      <c r="F916" s="110" t="str">
        <f>IFERROR(VLOOKUP(C916,[1]evdl298!$B:$D,3,0),"")</f>
        <v/>
      </c>
      <c r="G916" s="110" t="str">
        <f>IFERROR(VLOOKUP(C916,[1]evdl298!$B:$C,2,0),"")</f>
        <v/>
      </c>
      <c r="H916" s="110" t="str">
        <f t="shared" si="43"/>
        <v/>
      </c>
      <c r="I916" s="110" t="str">
        <f t="shared" si="44"/>
        <v/>
      </c>
      <c r="J916" s="110"/>
      <c r="K916" s="110"/>
      <c r="M916" s="110"/>
      <c r="O916" s="110"/>
    </row>
    <row r="917" spans="1:15" x14ac:dyDescent="0.3">
      <c r="A917" s="58" t="str">
        <f>Schedule!E915</f>
        <v>A041520</v>
      </c>
      <c r="B917" s="58" t="s">
        <v>2374</v>
      </c>
      <c r="C917" s="58" t="str">
        <f t="shared" si="42"/>
        <v>041520 KS</v>
      </c>
      <c r="D917" s="58" t="s">
        <v>3671</v>
      </c>
      <c r="E917" s="110" t="s">
        <v>3701</v>
      </c>
      <c r="F917" s="110" t="str">
        <f>IFERROR(VLOOKUP(C917,[1]evdl298!$B:$D,3,0),"")</f>
        <v>E</v>
      </c>
      <c r="G917" s="110">
        <f>IFERROR(VLOOKUP(C917,[1]evdl298!$B:$C,2,0),"")</f>
        <v>41495</v>
      </c>
      <c r="H917" s="110" t="str">
        <f t="shared" si="43"/>
        <v>E</v>
      </c>
      <c r="I917" s="110">
        <f t="shared" si="44"/>
        <v>41495</v>
      </c>
      <c r="J917" s="110"/>
      <c r="K917" s="110"/>
      <c r="M917" s="110"/>
      <c r="O917" s="110"/>
    </row>
    <row r="918" spans="1:15" x14ac:dyDescent="0.3">
      <c r="A918" s="58" t="str">
        <f>Schedule!E916</f>
        <v>A041590</v>
      </c>
      <c r="B918" s="58" t="s">
        <v>2375</v>
      </c>
      <c r="C918" s="58" t="str">
        <f t="shared" si="42"/>
        <v>041590 KS</v>
      </c>
      <c r="D918" s="58" t="s">
        <v>3671</v>
      </c>
      <c r="E918" s="110" t="s">
        <v>3527</v>
      </c>
      <c r="F918" s="110" t="str">
        <f>IFERROR(VLOOKUP(C918,[1]evdl298!$B:$D,3,0),"")</f>
        <v>E</v>
      </c>
      <c r="G918" s="110">
        <f>IFERROR(VLOOKUP(C918,[1]evdl298!$B:$C,2,0),"")</f>
        <v>41500</v>
      </c>
      <c r="H918" s="110" t="str">
        <f t="shared" si="43"/>
        <v>E</v>
      </c>
      <c r="I918" s="110">
        <f t="shared" si="44"/>
        <v>41500</v>
      </c>
      <c r="J918" s="110"/>
      <c r="K918" s="110"/>
      <c r="M918" s="110"/>
      <c r="O918" s="110"/>
    </row>
    <row r="919" spans="1:15" x14ac:dyDescent="0.3">
      <c r="A919" s="58" t="str">
        <f>Schedule!E917</f>
        <v>A041650</v>
      </c>
      <c r="B919" s="58" t="s">
        <v>3664</v>
      </c>
      <c r="C919" s="58" t="str">
        <f t="shared" si="42"/>
        <v>041650 KS</v>
      </c>
      <c r="D919" s="58" t="s">
        <v>3671</v>
      </c>
      <c r="E919" s="110" t="s">
        <v>3527</v>
      </c>
      <c r="F919" s="110" t="str">
        <f>IFERROR(VLOOKUP(C919,[1]evdl298!$B:$D,3,0),"")</f>
        <v>E</v>
      </c>
      <c r="G919" s="110">
        <f>IFERROR(VLOOKUP(C919,[1]evdl298!$B:$C,2,0),"")</f>
        <v>41515</v>
      </c>
      <c r="H919" s="110" t="str">
        <f t="shared" si="43"/>
        <v>E</v>
      </c>
      <c r="I919" s="110">
        <f t="shared" si="44"/>
        <v>41515</v>
      </c>
      <c r="J919" s="110"/>
      <c r="K919" s="110"/>
      <c r="M919" s="110"/>
      <c r="O919" s="110"/>
    </row>
    <row r="920" spans="1:15" x14ac:dyDescent="0.3">
      <c r="A920" s="58" t="str">
        <f>Schedule!E918</f>
        <v>A041830</v>
      </c>
      <c r="B920" s="58" t="s">
        <v>2376</v>
      </c>
      <c r="C920" s="58" t="str">
        <f t="shared" si="42"/>
        <v>041830 KS</v>
      </c>
      <c r="D920" s="58" t="s">
        <v>3671</v>
      </c>
      <c r="E920" s="110" t="s">
        <v>3527</v>
      </c>
      <c r="F920" s="110" t="str">
        <f>IFERROR(VLOOKUP(C920,[1]evdl298!$B:$D,3,0),"")</f>
        <v>E</v>
      </c>
      <c r="G920" s="110">
        <f>IFERROR(VLOOKUP(C920,[1]evdl298!$B:$C,2,0),"")</f>
        <v>41515</v>
      </c>
      <c r="H920" s="110" t="str">
        <f t="shared" si="43"/>
        <v>E</v>
      </c>
      <c r="I920" s="110">
        <f t="shared" si="44"/>
        <v>41515</v>
      </c>
      <c r="J920" s="110"/>
      <c r="K920" s="110"/>
      <c r="M920" s="110"/>
      <c r="O920" s="110"/>
    </row>
    <row r="921" spans="1:15" x14ac:dyDescent="0.3">
      <c r="A921" s="58" t="str">
        <f>Schedule!E919</f>
        <v>A041910</v>
      </c>
      <c r="B921" s="58" t="s">
        <v>2377</v>
      </c>
      <c r="C921" s="58" t="str">
        <f t="shared" si="42"/>
        <v>041910 KS</v>
      </c>
      <c r="D921" s="58" t="s">
        <v>3671</v>
      </c>
      <c r="E921" s="110" t="s">
        <v>3527</v>
      </c>
      <c r="F921" s="110" t="str">
        <f>IFERROR(VLOOKUP(C921,[1]evdl298!$B:$D,3,0),"")</f>
        <v>E</v>
      </c>
      <c r="G921" s="110">
        <f>IFERROR(VLOOKUP(C921,[1]evdl298!$B:$C,2,0),"")</f>
        <v>41500</v>
      </c>
      <c r="H921" s="110" t="str">
        <f t="shared" si="43"/>
        <v>E</v>
      </c>
      <c r="I921" s="110">
        <f t="shared" si="44"/>
        <v>41500</v>
      </c>
      <c r="J921" s="110"/>
      <c r="K921" s="110"/>
      <c r="M921" s="110"/>
      <c r="O921" s="110"/>
    </row>
    <row r="922" spans="1:15" x14ac:dyDescent="0.3">
      <c r="A922" s="58" t="str">
        <f>Schedule!E920</f>
        <v>A041930</v>
      </c>
      <c r="B922" s="58" t="s">
        <v>2378</v>
      </c>
      <c r="C922" s="58" t="str">
        <f t="shared" si="42"/>
        <v>041930 KS</v>
      </c>
      <c r="D922" s="58" t="s">
        <v>3671</v>
      </c>
      <c r="E922" s="110" t="s">
        <v>3527</v>
      </c>
      <c r="F922" s="110" t="str">
        <f>IFERROR(VLOOKUP(C922,[1]evdl298!$B:$D,3,0),"")</f>
        <v/>
      </c>
      <c r="G922" s="110" t="str">
        <f>IFERROR(VLOOKUP(C922,[1]evdl298!$B:$C,2,0),"")</f>
        <v/>
      </c>
      <c r="H922" s="110" t="str">
        <f t="shared" si="43"/>
        <v/>
      </c>
      <c r="I922" s="110" t="str">
        <f t="shared" si="44"/>
        <v/>
      </c>
      <c r="J922" s="110"/>
      <c r="K922" s="110"/>
      <c r="M922" s="110"/>
      <c r="O922" s="110"/>
    </row>
    <row r="923" spans="1:15" x14ac:dyDescent="0.3">
      <c r="A923" s="58" t="str">
        <f>Schedule!E921</f>
        <v>A041960</v>
      </c>
      <c r="B923" s="58" t="s">
        <v>2379</v>
      </c>
      <c r="C923" s="58" t="str">
        <f t="shared" si="42"/>
        <v>041960 KS</v>
      </c>
      <c r="D923" s="58" t="s">
        <v>3671</v>
      </c>
      <c r="E923" s="110" t="s">
        <v>3527</v>
      </c>
      <c r="F923" s="110" t="str">
        <f>IFERROR(VLOOKUP(C923,[1]evdl298!$B:$D,3,0),"")</f>
        <v>E</v>
      </c>
      <c r="G923" s="110">
        <f>IFERROR(VLOOKUP(C923,[1]evdl298!$B:$C,2,0),"")</f>
        <v>41499</v>
      </c>
      <c r="H923" s="110" t="str">
        <f t="shared" si="43"/>
        <v>E</v>
      </c>
      <c r="I923" s="110">
        <f t="shared" si="44"/>
        <v>41499</v>
      </c>
      <c r="J923" s="110"/>
      <c r="K923" s="110"/>
      <c r="M923" s="110"/>
      <c r="O923" s="110"/>
    </row>
    <row r="924" spans="1:15" x14ac:dyDescent="0.3">
      <c r="A924" s="58" t="str">
        <f>Schedule!E922</f>
        <v>A042040</v>
      </c>
      <c r="B924" s="58" t="s">
        <v>2380</v>
      </c>
      <c r="C924" s="58" t="str">
        <f t="shared" si="42"/>
        <v>042040 KS</v>
      </c>
      <c r="D924" s="58" t="s">
        <v>3671</v>
      </c>
      <c r="E924" s="110" t="s">
        <v>3527</v>
      </c>
      <c r="F924" s="110" t="str">
        <f>IFERROR(VLOOKUP(C924,[1]evdl298!$B:$D,3,0),"")</f>
        <v/>
      </c>
      <c r="G924" s="110" t="str">
        <f>IFERROR(VLOOKUP(C924,[1]evdl298!$B:$C,2,0),"")</f>
        <v/>
      </c>
      <c r="H924" s="110" t="str">
        <f t="shared" si="43"/>
        <v/>
      </c>
      <c r="I924" s="110" t="str">
        <f t="shared" si="44"/>
        <v/>
      </c>
      <c r="J924" s="110"/>
      <c r="K924" s="110"/>
      <c r="M924" s="110"/>
      <c r="O924" s="110"/>
    </row>
    <row r="925" spans="1:15" x14ac:dyDescent="0.3">
      <c r="A925" s="58" t="str">
        <f>Schedule!E923</f>
        <v>A042110</v>
      </c>
      <c r="B925" s="58" t="s">
        <v>2381</v>
      </c>
      <c r="C925" s="58" t="str">
        <f t="shared" si="42"/>
        <v>042110 KS</v>
      </c>
      <c r="D925" s="58" t="s">
        <v>3671</v>
      </c>
      <c r="E925" s="110" t="s">
        <v>3527</v>
      </c>
      <c r="F925" s="110" t="str">
        <f>IFERROR(VLOOKUP(C925,[1]evdl298!$B:$D,3,0),"")</f>
        <v>E</v>
      </c>
      <c r="G925" s="110">
        <f>IFERROR(VLOOKUP(C925,[1]evdl298!$B:$C,2,0),"")</f>
        <v>41500</v>
      </c>
      <c r="H925" s="110" t="str">
        <f t="shared" si="43"/>
        <v>E</v>
      </c>
      <c r="I925" s="110">
        <f t="shared" si="44"/>
        <v>41500</v>
      </c>
      <c r="J925" s="110"/>
      <c r="K925" s="110"/>
      <c r="M925" s="110"/>
      <c r="O925" s="110"/>
    </row>
    <row r="926" spans="1:15" x14ac:dyDescent="0.3">
      <c r="A926" s="58" t="str">
        <f>Schedule!E924</f>
        <v>A042370</v>
      </c>
      <c r="B926" s="58" t="s">
        <v>2382</v>
      </c>
      <c r="C926" s="58" t="str">
        <f t="shared" si="42"/>
        <v>042370 KS</v>
      </c>
      <c r="D926" s="58" t="s">
        <v>3671</v>
      </c>
      <c r="E926" s="110" t="s">
        <v>3527</v>
      </c>
      <c r="F926" s="110" t="str">
        <f>IFERROR(VLOOKUP(C926,[1]evdl298!$B:$D,3,0),"")</f>
        <v>E</v>
      </c>
      <c r="G926" s="110">
        <f>IFERROR(VLOOKUP(C926,[1]evdl298!$B:$C,2,0),"")</f>
        <v>41473</v>
      </c>
      <c r="H926" s="110" t="str">
        <f t="shared" si="43"/>
        <v>E</v>
      </c>
      <c r="I926" s="110">
        <f t="shared" si="44"/>
        <v>41473</v>
      </c>
      <c r="J926" s="110"/>
      <c r="K926" s="110"/>
      <c r="M926" s="110"/>
      <c r="O926" s="110"/>
    </row>
    <row r="927" spans="1:15" x14ac:dyDescent="0.3">
      <c r="A927" s="58" t="str">
        <f>Schedule!E925</f>
        <v>A042420</v>
      </c>
      <c r="B927" s="58" t="s">
        <v>2383</v>
      </c>
      <c r="C927" s="58" t="str">
        <f t="shared" si="42"/>
        <v>042420 KS</v>
      </c>
      <c r="D927" s="58" t="s">
        <v>3671</v>
      </c>
      <c r="E927" s="110" t="s">
        <v>3527</v>
      </c>
      <c r="F927" s="110" t="str">
        <f>IFERROR(VLOOKUP(C927,[1]evdl298!$B:$D,3,0),"")</f>
        <v>E</v>
      </c>
      <c r="G927" s="110">
        <f>IFERROR(VLOOKUP(C927,[1]evdl298!$B:$C,2,0),"")</f>
        <v>41500</v>
      </c>
      <c r="H927" s="110" t="str">
        <f t="shared" si="43"/>
        <v>E</v>
      </c>
      <c r="I927" s="110">
        <f t="shared" si="44"/>
        <v>41500</v>
      </c>
      <c r="J927" s="110"/>
      <c r="K927" s="110"/>
      <c r="M927" s="110"/>
      <c r="O927" s="110"/>
    </row>
    <row r="928" spans="1:15" x14ac:dyDescent="0.3">
      <c r="A928" s="58" t="str">
        <f>Schedule!E926</f>
        <v>A042500</v>
      </c>
      <c r="B928" s="58" t="s">
        <v>3644</v>
      </c>
      <c r="C928" s="58" t="str">
        <f t="shared" si="42"/>
        <v>042500 KS</v>
      </c>
      <c r="D928" s="58" t="s">
        <v>3671</v>
      </c>
      <c r="E928" s="110" t="s">
        <v>3527</v>
      </c>
      <c r="F928" s="110" t="str">
        <f>IFERROR(VLOOKUP(C928,[1]evdl298!$B:$D,3,0),"")</f>
        <v/>
      </c>
      <c r="G928" s="110" t="str">
        <f>IFERROR(VLOOKUP(C928,[1]evdl298!$B:$C,2,0),"")</f>
        <v/>
      </c>
      <c r="H928" s="110" t="str">
        <f t="shared" si="43"/>
        <v/>
      </c>
      <c r="I928" s="110" t="str">
        <f t="shared" si="44"/>
        <v/>
      </c>
      <c r="J928" s="110"/>
      <c r="K928" s="110"/>
      <c r="M928" s="110"/>
      <c r="O928" s="110"/>
    </row>
    <row r="929" spans="1:15" x14ac:dyDescent="0.3">
      <c r="A929" s="58" t="str">
        <f>Schedule!E927</f>
        <v>A042510</v>
      </c>
      <c r="B929" s="58" t="s">
        <v>2384</v>
      </c>
      <c r="C929" s="58" t="str">
        <f t="shared" si="42"/>
        <v>042510 KS</v>
      </c>
      <c r="D929" s="58" t="s">
        <v>3671</v>
      </c>
      <c r="E929" s="110" t="s">
        <v>3527</v>
      </c>
      <c r="F929" s="110" t="str">
        <f>IFERROR(VLOOKUP(C929,[1]evdl298!$B:$D,3,0),"")</f>
        <v>E</v>
      </c>
      <c r="G929" s="110">
        <f>IFERROR(VLOOKUP(C929,[1]evdl298!$B:$C,2,0),"")</f>
        <v>41473</v>
      </c>
      <c r="H929" s="110" t="str">
        <f t="shared" si="43"/>
        <v>E</v>
      </c>
      <c r="I929" s="110">
        <f t="shared" si="44"/>
        <v>41473</v>
      </c>
      <c r="J929" s="110"/>
      <c r="K929" s="110"/>
      <c r="M929" s="110"/>
      <c r="O929" s="110"/>
    </row>
    <row r="930" spans="1:15" x14ac:dyDescent="0.3">
      <c r="A930" s="58" t="str">
        <f>Schedule!E928</f>
        <v>A042520</v>
      </c>
      <c r="B930" s="58" t="s">
        <v>2385</v>
      </c>
      <c r="C930" s="58" t="str">
        <f t="shared" si="42"/>
        <v>042520 KS</v>
      </c>
      <c r="D930" s="58" t="s">
        <v>3671</v>
      </c>
      <c r="E930" s="110" t="s">
        <v>3527</v>
      </c>
      <c r="F930" s="110" t="str">
        <f>IFERROR(VLOOKUP(C930,[1]evdl298!$B:$D,3,0),"")</f>
        <v>E</v>
      </c>
      <c r="G930" s="110">
        <f>IFERROR(VLOOKUP(C930,[1]evdl298!$B:$C,2,0),"")</f>
        <v>41500</v>
      </c>
      <c r="H930" s="110" t="str">
        <f t="shared" si="43"/>
        <v>E</v>
      </c>
      <c r="I930" s="110">
        <f t="shared" si="44"/>
        <v>41500</v>
      </c>
      <c r="J930" s="110"/>
      <c r="K930" s="110"/>
      <c r="M930" s="110"/>
      <c r="O930" s="110"/>
    </row>
    <row r="931" spans="1:15" x14ac:dyDescent="0.3">
      <c r="A931" s="58" t="str">
        <f>Schedule!E929</f>
        <v>A042600</v>
      </c>
      <c r="B931" s="58" t="s">
        <v>2386</v>
      </c>
      <c r="C931" s="58" t="str">
        <f t="shared" si="42"/>
        <v>042600 KS</v>
      </c>
      <c r="D931" s="58" t="s">
        <v>3671</v>
      </c>
      <c r="E931" s="110" t="s">
        <v>3527</v>
      </c>
      <c r="F931" s="110" t="str">
        <f>IFERROR(VLOOKUP(C931,[1]evdl298!$B:$D,3,0),"")</f>
        <v>E</v>
      </c>
      <c r="G931" s="110">
        <f>IFERROR(VLOOKUP(C931,[1]evdl298!$B:$C,2,0),"")</f>
        <v>41515</v>
      </c>
      <c r="H931" s="110" t="str">
        <f t="shared" si="43"/>
        <v>E</v>
      </c>
      <c r="I931" s="110">
        <f t="shared" si="44"/>
        <v>41515</v>
      </c>
      <c r="J931" s="110"/>
      <c r="K931" s="110"/>
      <c r="M931" s="110"/>
      <c r="O931" s="110"/>
    </row>
    <row r="932" spans="1:15" x14ac:dyDescent="0.3">
      <c r="A932" s="58" t="str">
        <f>Schedule!E930</f>
        <v>A042660</v>
      </c>
      <c r="B932" s="58" t="s">
        <v>2387</v>
      </c>
      <c r="C932" s="58" t="str">
        <f t="shared" si="42"/>
        <v>042660 KS</v>
      </c>
      <c r="D932" s="58" t="s">
        <v>3671</v>
      </c>
      <c r="E932" s="110" t="s">
        <v>3527</v>
      </c>
      <c r="F932" s="110" t="str">
        <f>IFERROR(VLOOKUP(C932,[1]evdl298!$B:$D,3,0),"")</f>
        <v>E</v>
      </c>
      <c r="G932" s="110">
        <f>IFERROR(VLOOKUP(C932,[1]evdl298!$B:$C,2,0),"")</f>
        <v>41500</v>
      </c>
      <c r="H932" s="110" t="str">
        <f t="shared" si="43"/>
        <v>E</v>
      </c>
      <c r="I932" s="110">
        <f t="shared" si="44"/>
        <v>41500</v>
      </c>
      <c r="J932" s="110"/>
      <c r="K932" s="110"/>
      <c r="M932" s="110"/>
      <c r="O932" s="110"/>
    </row>
    <row r="933" spans="1:15" x14ac:dyDescent="0.3">
      <c r="A933" s="58" t="str">
        <f>Schedule!E931</f>
        <v>A042670</v>
      </c>
      <c r="B933" s="58" t="s">
        <v>2388</v>
      </c>
      <c r="C933" s="58" t="str">
        <f t="shared" si="42"/>
        <v>042670 KS</v>
      </c>
      <c r="D933" s="58" t="s">
        <v>3671</v>
      </c>
      <c r="E933" s="110">
        <v>41511</v>
      </c>
      <c r="F933" s="110" t="str">
        <f>IFERROR(VLOOKUP(C933,[1]evdl298!$B:$D,3,0),"")</f>
        <v>E</v>
      </c>
      <c r="G933" s="110">
        <f>IFERROR(VLOOKUP(C933,[1]evdl298!$B:$C,2,0),"")</f>
        <v>41481</v>
      </c>
      <c r="H933" s="110" t="str">
        <f t="shared" si="43"/>
        <v>E</v>
      </c>
      <c r="I933" s="110">
        <f t="shared" si="44"/>
        <v>41481</v>
      </c>
      <c r="J933" s="110"/>
      <c r="K933" s="110"/>
      <c r="M933" s="110"/>
      <c r="O933" s="110"/>
    </row>
    <row r="934" spans="1:15" x14ac:dyDescent="0.3">
      <c r="A934" s="58" t="str">
        <f>Schedule!E932</f>
        <v>A042700</v>
      </c>
      <c r="B934" s="58" t="s">
        <v>2389</v>
      </c>
      <c r="C934" s="58" t="str">
        <f t="shared" si="42"/>
        <v>042700 KS</v>
      </c>
      <c r="D934" s="58" t="s">
        <v>3671</v>
      </c>
      <c r="E934" s="110" t="s">
        <v>3674</v>
      </c>
      <c r="F934" s="110" t="str">
        <f>IFERROR(VLOOKUP(C934,[1]evdl298!$B:$D,3,0),"")</f>
        <v>E</v>
      </c>
      <c r="G934" s="110">
        <f>IFERROR(VLOOKUP(C934,[1]evdl298!$B:$C,2,0),"")</f>
        <v>41515</v>
      </c>
      <c r="H934" s="110" t="str">
        <f t="shared" si="43"/>
        <v>E</v>
      </c>
      <c r="I934" s="110">
        <f t="shared" si="44"/>
        <v>41515</v>
      </c>
      <c r="J934" s="110"/>
      <c r="K934" s="110"/>
      <c r="M934" s="110"/>
      <c r="O934" s="110"/>
    </row>
    <row r="935" spans="1:15" x14ac:dyDescent="0.3">
      <c r="A935" s="58" t="str">
        <f>Schedule!E933</f>
        <v>A042940</v>
      </c>
      <c r="B935" s="58" t="s">
        <v>2390</v>
      </c>
      <c r="C935" s="58" t="str">
        <f t="shared" si="42"/>
        <v>042940 KS</v>
      </c>
      <c r="D935" s="58" t="s">
        <v>3671</v>
      </c>
      <c r="E935" s="110" t="s">
        <v>3527</v>
      </c>
      <c r="F935" s="110" t="str">
        <f>IFERROR(VLOOKUP(C935,[1]evdl298!$B:$D,3,0),"")</f>
        <v>E</v>
      </c>
      <c r="G935" s="110">
        <f>IFERROR(VLOOKUP(C935,[1]evdl298!$B:$C,2,0),"")</f>
        <v>41500</v>
      </c>
      <c r="H935" s="110" t="str">
        <f t="shared" si="43"/>
        <v>E</v>
      </c>
      <c r="I935" s="110">
        <f t="shared" si="44"/>
        <v>41500</v>
      </c>
      <c r="J935" s="110"/>
      <c r="K935" s="110"/>
      <c r="M935" s="110"/>
      <c r="O935" s="110"/>
    </row>
    <row r="936" spans="1:15" x14ac:dyDescent="0.3">
      <c r="A936" s="58" t="str">
        <f>Schedule!E934</f>
        <v>A043090</v>
      </c>
      <c r="B936" s="58" t="s">
        <v>2391</v>
      </c>
      <c r="C936" s="58" t="str">
        <f t="shared" si="42"/>
        <v>043090 KS</v>
      </c>
      <c r="D936" s="58" t="s">
        <v>3671</v>
      </c>
      <c r="E936" s="110" t="s">
        <v>3527</v>
      </c>
      <c r="F936" s="110" t="str">
        <f>IFERROR(VLOOKUP(C936,[1]evdl298!$B:$D,3,0),"")</f>
        <v/>
      </c>
      <c r="G936" s="110" t="str">
        <f>IFERROR(VLOOKUP(C936,[1]evdl298!$B:$C,2,0),"")</f>
        <v/>
      </c>
      <c r="H936" s="110" t="str">
        <f t="shared" si="43"/>
        <v/>
      </c>
      <c r="I936" s="110" t="str">
        <f t="shared" si="44"/>
        <v/>
      </c>
      <c r="J936" s="110"/>
      <c r="K936" s="110"/>
      <c r="M936" s="110"/>
      <c r="O936" s="110"/>
    </row>
    <row r="937" spans="1:15" x14ac:dyDescent="0.3">
      <c r="A937" s="58" t="str">
        <f>Schedule!E935</f>
        <v>A043100</v>
      </c>
      <c r="B937" s="58" t="s">
        <v>2392</v>
      </c>
      <c r="C937" s="58" t="str">
        <f t="shared" si="42"/>
        <v>043100 KS</v>
      </c>
      <c r="D937" s="58" t="s">
        <v>3671</v>
      </c>
      <c r="E937" s="110" t="s">
        <v>3527</v>
      </c>
      <c r="F937" s="110" t="str">
        <f>IFERROR(VLOOKUP(C937,[1]evdl298!$B:$D,3,0),"")</f>
        <v/>
      </c>
      <c r="G937" s="110" t="str">
        <f>IFERROR(VLOOKUP(C937,[1]evdl298!$B:$C,2,0),"")</f>
        <v/>
      </c>
      <c r="H937" s="110" t="str">
        <f t="shared" si="43"/>
        <v/>
      </c>
      <c r="I937" s="110" t="str">
        <f t="shared" si="44"/>
        <v/>
      </c>
      <c r="J937" s="110"/>
      <c r="K937" s="110"/>
      <c r="M937" s="110"/>
      <c r="O937" s="110"/>
    </row>
    <row r="938" spans="1:15" x14ac:dyDescent="0.3">
      <c r="A938" s="58" t="str">
        <f>Schedule!E936</f>
        <v>A043150</v>
      </c>
      <c r="B938" s="58" t="s">
        <v>2393</v>
      </c>
      <c r="C938" s="58" t="str">
        <f t="shared" si="42"/>
        <v>043150 KS</v>
      </c>
      <c r="D938" s="58" t="s">
        <v>3671</v>
      </c>
      <c r="E938" s="110" t="s">
        <v>3527</v>
      </c>
      <c r="F938" s="110" t="str">
        <f>IFERROR(VLOOKUP(C938,[1]evdl298!$B:$D,3,0),"")</f>
        <v>E</v>
      </c>
      <c r="G938" s="110">
        <f>IFERROR(VLOOKUP(C938,[1]evdl298!$B:$C,2,0),"")</f>
        <v>41515</v>
      </c>
      <c r="H938" s="110" t="str">
        <f t="shared" si="43"/>
        <v>E</v>
      </c>
      <c r="I938" s="110">
        <f t="shared" si="44"/>
        <v>41515</v>
      </c>
      <c r="J938" s="110"/>
      <c r="K938" s="110"/>
      <c r="M938" s="110"/>
      <c r="O938" s="110"/>
    </row>
    <row r="939" spans="1:15" x14ac:dyDescent="0.3">
      <c r="A939" s="58" t="str">
        <f>Schedule!E937</f>
        <v>A043200</v>
      </c>
      <c r="B939" s="58" t="s">
        <v>2394</v>
      </c>
      <c r="C939" s="58" t="str">
        <f t="shared" si="42"/>
        <v>043200 KS</v>
      </c>
      <c r="D939" s="58" t="s">
        <v>3671</v>
      </c>
      <c r="E939" s="110" t="s">
        <v>3527</v>
      </c>
      <c r="F939" s="110" t="str">
        <f>IFERROR(VLOOKUP(C939,[1]evdl298!$B:$D,3,0),"")</f>
        <v/>
      </c>
      <c r="G939" s="110" t="str">
        <f>IFERROR(VLOOKUP(C939,[1]evdl298!$B:$C,2,0),"")</f>
        <v/>
      </c>
      <c r="H939" s="110" t="str">
        <f t="shared" si="43"/>
        <v/>
      </c>
      <c r="I939" s="110" t="str">
        <f t="shared" si="44"/>
        <v/>
      </c>
      <c r="J939" s="110"/>
      <c r="K939" s="110"/>
      <c r="M939" s="110"/>
      <c r="O939" s="110"/>
    </row>
    <row r="940" spans="1:15" x14ac:dyDescent="0.3">
      <c r="A940" s="58" t="str">
        <f>Schedule!E938</f>
        <v>A043220</v>
      </c>
      <c r="B940" s="58" t="s">
        <v>2395</v>
      </c>
      <c r="C940" s="58" t="str">
        <f t="shared" si="42"/>
        <v>043220 KS</v>
      </c>
      <c r="D940" s="58" t="s">
        <v>3671</v>
      </c>
      <c r="E940" s="110" t="s">
        <v>3527</v>
      </c>
      <c r="F940" s="110" t="str">
        <f>IFERROR(VLOOKUP(C940,[1]evdl298!$B:$D,3,0),"")</f>
        <v/>
      </c>
      <c r="G940" s="110" t="str">
        <f>IFERROR(VLOOKUP(C940,[1]evdl298!$B:$C,2,0),"")</f>
        <v/>
      </c>
      <c r="H940" s="110" t="str">
        <f t="shared" si="43"/>
        <v/>
      </c>
      <c r="I940" s="110" t="str">
        <f t="shared" si="44"/>
        <v/>
      </c>
      <c r="J940" s="110"/>
      <c r="K940" s="110"/>
      <c r="M940" s="110"/>
      <c r="O940" s="110"/>
    </row>
    <row r="941" spans="1:15" x14ac:dyDescent="0.3">
      <c r="A941" s="58" t="str">
        <f>Schedule!E939</f>
        <v>A043260</v>
      </c>
      <c r="B941" s="58" t="s">
        <v>2396</v>
      </c>
      <c r="C941" s="58" t="str">
        <f t="shared" si="42"/>
        <v>043260 KS</v>
      </c>
      <c r="D941" s="58" t="s">
        <v>3671</v>
      </c>
      <c r="E941" s="110" t="s">
        <v>3527</v>
      </c>
      <c r="F941" s="110" t="str">
        <f>IFERROR(VLOOKUP(C941,[1]evdl298!$B:$D,3,0),"")</f>
        <v/>
      </c>
      <c r="G941" s="110" t="str">
        <f>IFERROR(VLOOKUP(C941,[1]evdl298!$B:$C,2,0),"")</f>
        <v/>
      </c>
      <c r="H941" s="110" t="str">
        <f t="shared" si="43"/>
        <v/>
      </c>
      <c r="I941" s="110" t="str">
        <f t="shared" si="44"/>
        <v/>
      </c>
      <c r="J941" s="110"/>
      <c r="K941" s="110"/>
      <c r="M941" s="110"/>
      <c r="O941" s="110"/>
    </row>
    <row r="942" spans="1:15" x14ac:dyDescent="0.3">
      <c r="A942" s="58" t="str">
        <f>Schedule!E940</f>
        <v>A043290</v>
      </c>
      <c r="B942" s="58" t="s">
        <v>2397</v>
      </c>
      <c r="C942" s="58" t="str">
        <f t="shared" si="42"/>
        <v>043290 KS</v>
      </c>
      <c r="D942" s="58" t="s">
        <v>3671</v>
      </c>
      <c r="E942" s="110" t="s">
        <v>3527</v>
      </c>
      <c r="F942" s="110" t="str">
        <f>IFERROR(VLOOKUP(C942,[1]evdl298!$B:$D,3,0),"")</f>
        <v/>
      </c>
      <c r="G942" s="110" t="str">
        <f>IFERROR(VLOOKUP(C942,[1]evdl298!$B:$C,2,0),"")</f>
        <v/>
      </c>
      <c r="H942" s="110" t="str">
        <f t="shared" si="43"/>
        <v/>
      </c>
      <c r="I942" s="110" t="str">
        <f t="shared" si="44"/>
        <v/>
      </c>
      <c r="J942" s="110"/>
      <c r="K942" s="110"/>
      <c r="M942" s="110"/>
      <c r="O942" s="110"/>
    </row>
    <row r="943" spans="1:15" x14ac:dyDescent="0.3">
      <c r="A943" s="58" t="str">
        <f>Schedule!E941</f>
        <v>A043340</v>
      </c>
      <c r="B943" s="58" t="s">
        <v>3351</v>
      </c>
      <c r="C943" s="58" t="str">
        <f t="shared" si="42"/>
        <v>043340 KS</v>
      </c>
      <c r="D943" s="58" t="s">
        <v>3671</v>
      </c>
      <c r="E943" s="110" t="s">
        <v>3527</v>
      </c>
      <c r="F943" s="110" t="str">
        <f>IFERROR(VLOOKUP(C943,[1]evdl298!$B:$D,3,0),"")</f>
        <v>E</v>
      </c>
      <c r="G943" s="110">
        <f>IFERROR(VLOOKUP(C943,[1]evdl298!$B:$C,2,0),"")</f>
        <v>41500</v>
      </c>
      <c r="H943" s="110" t="str">
        <f t="shared" si="43"/>
        <v>E</v>
      </c>
      <c r="I943" s="110">
        <f t="shared" si="44"/>
        <v>41500</v>
      </c>
      <c r="J943" s="110"/>
      <c r="K943" s="110"/>
      <c r="M943" s="110"/>
      <c r="O943" s="110"/>
    </row>
    <row r="944" spans="1:15" x14ac:dyDescent="0.3">
      <c r="A944" s="58" t="str">
        <f>Schedule!E942</f>
        <v>A043360</v>
      </c>
      <c r="B944" s="58" t="s">
        <v>2398</v>
      </c>
      <c r="C944" s="58" t="str">
        <f t="shared" si="42"/>
        <v>043360 KS</v>
      </c>
      <c r="D944" s="58" t="s">
        <v>3671</v>
      </c>
      <c r="E944" s="110" t="s">
        <v>3527</v>
      </c>
      <c r="F944" s="110" t="str">
        <f>IFERROR(VLOOKUP(C944,[1]evdl298!$B:$D,3,0),"")</f>
        <v>E</v>
      </c>
      <c r="G944" s="110">
        <f>IFERROR(VLOOKUP(C944,[1]evdl298!$B:$C,2,0),"")</f>
        <v>41500</v>
      </c>
      <c r="H944" s="110" t="str">
        <f t="shared" si="43"/>
        <v>E</v>
      </c>
      <c r="I944" s="110">
        <f t="shared" si="44"/>
        <v>41500</v>
      </c>
      <c r="J944" s="110"/>
      <c r="K944" s="110"/>
      <c r="M944" s="110"/>
      <c r="O944" s="110"/>
    </row>
    <row r="945" spans="1:15" x14ac:dyDescent="0.3">
      <c r="A945" s="58" t="str">
        <f>Schedule!E943</f>
        <v>A043370</v>
      </c>
      <c r="B945" s="58" t="s">
        <v>2399</v>
      </c>
      <c r="C945" s="58" t="str">
        <f t="shared" si="42"/>
        <v>043370 KS</v>
      </c>
      <c r="D945" s="58" t="s">
        <v>3671</v>
      </c>
      <c r="E945" s="110" t="s">
        <v>3527</v>
      </c>
      <c r="F945" s="110" t="str">
        <f>IFERROR(VLOOKUP(C945,[1]evdl298!$B:$D,3,0),"")</f>
        <v/>
      </c>
      <c r="G945" s="110" t="str">
        <f>IFERROR(VLOOKUP(C945,[1]evdl298!$B:$C,2,0),"")</f>
        <v/>
      </c>
      <c r="H945" s="110" t="str">
        <f t="shared" si="43"/>
        <v/>
      </c>
      <c r="I945" s="110" t="str">
        <f t="shared" si="44"/>
        <v/>
      </c>
      <c r="J945" s="110"/>
      <c r="K945" s="110"/>
      <c r="M945" s="110"/>
      <c r="O945" s="110"/>
    </row>
    <row r="946" spans="1:15" x14ac:dyDescent="0.3">
      <c r="A946" s="58" t="str">
        <f>Schedule!E944</f>
        <v>A043580</v>
      </c>
      <c r="B946" s="58" t="s">
        <v>2400</v>
      </c>
      <c r="C946" s="58" t="str">
        <f t="shared" si="42"/>
        <v>043580 KS</v>
      </c>
      <c r="D946" s="58" t="s">
        <v>3671</v>
      </c>
      <c r="E946" s="110" t="s">
        <v>3696</v>
      </c>
      <c r="F946" s="110" t="str">
        <f>IFERROR(VLOOKUP(C946,[1]evdl298!$B:$D,3,0),"")</f>
        <v/>
      </c>
      <c r="G946" s="110" t="str">
        <f>IFERROR(VLOOKUP(C946,[1]evdl298!$B:$C,2,0),"")</f>
        <v/>
      </c>
      <c r="H946" s="110" t="str">
        <f t="shared" si="43"/>
        <v/>
      </c>
      <c r="I946" s="110" t="str">
        <f t="shared" si="44"/>
        <v>2013-08-16</v>
      </c>
      <c r="J946" s="110"/>
      <c r="K946" s="110"/>
      <c r="M946" s="110"/>
      <c r="O946" s="110"/>
    </row>
    <row r="947" spans="1:15" x14ac:dyDescent="0.3">
      <c r="A947" s="58" t="str">
        <f>Schedule!E945</f>
        <v>A043590</v>
      </c>
      <c r="B947" s="58" t="s">
        <v>2401</v>
      </c>
      <c r="C947" s="58" t="str">
        <f t="shared" si="42"/>
        <v>043590 KS</v>
      </c>
      <c r="D947" s="58" t="s">
        <v>3671</v>
      </c>
      <c r="E947" s="110" t="s">
        <v>3527</v>
      </c>
      <c r="F947" s="110" t="str">
        <f>IFERROR(VLOOKUP(C947,[1]evdl298!$B:$D,3,0),"")</f>
        <v>E</v>
      </c>
      <c r="G947" s="110">
        <f>IFERROR(VLOOKUP(C947,[1]evdl298!$B:$C,2,0),"")</f>
        <v>41493</v>
      </c>
      <c r="H947" s="110" t="str">
        <f t="shared" si="43"/>
        <v>E</v>
      </c>
      <c r="I947" s="110">
        <f t="shared" si="44"/>
        <v>41493</v>
      </c>
      <c r="J947" s="110"/>
      <c r="K947" s="110"/>
      <c r="M947" s="110"/>
      <c r="O947" s="110"/>
    </row>
    <row r="948" spans="1:15" x14ac:dyDescent="0.3">
      <c r="A948" s="58" t="str">
        <f>Schedule!E946</f>
        <v>A043610</v>
      </c>
      <c r="B948" s="58" t="s">
        <v>2402</v>
      </c>
      <c r="C948" s="58" t="str">
        <f t="shared" si="42"/>
        <v>043610 KS</v>
      </c>
      <c r="D948" s="58" t="s">
        <v>3671</v>
      </c>
      <c r="E948" s="110" t="s">
        <v>3527</v>
      </c>
      <c r="F948" s="110" t="str">
        <f>IFERROR(VLOOKUP(C948,[1]evdl298!$B:$D,3,0),"")</f>
        <v/>
      </c>
      <c r="G948" s="110" t="str">
        <f>IFERROR(VLOOKUP(C948,[1]evdl298!$B:$C,2,0),"")</f>
        <v/>
      </c>
      <c r="H948" s="110" t="str">
        <f t="shared" si="43"/>
        <v/>
      </c>
      <c r="I948" s="110" t="str">
        <f t="shared" si="44"/>
        <v/>
      </c>
      <c r="J948" s="110"/>
      <c r="K948" s="110"/>
      <c r="M948" s="110"/>
      <c r="O948" s="110"/>
    </row>
    <row r="949" spans="1:15" x14ac:dyDescent="0.3">
      <c r="A949" s="58" t="str">
        <f>Schedule!E947</f>
        <v>A043650</v>
      </c>
      <c r="B949" s="58" t="s">
        <v>2403</v>
      </c>
      <c r="C949" s="58" t="str">
        <f t="shared" si="42"/>
        <v>043650 KS</v>
      </c>
      <c r="D949" s="58" t="s">
        <v>3671</v>
      </c>
      <c r="E949" s="110" t="s">
        <v>3527</v>
      </c>
      <c r="F949" s="110" t="str">
        <f>IFERROR(VLOOKUP(C949,[1]evdl298!$B:$D,3,0),"")</f>
        <v>E</v>
      </c>
      <c r="G949" s="110">
        <f>IFERROR(VLOOKUP(C949,[1]evdl298!$B:$C,2,0),"")</f>
        <v>41485</v>
      </c>
      <c r="H949" s="110" t="str">
        <f t="shared" si="43"/>
        <v>E</v>
      </c>
      <c r="I949" s="110">
        <f t="shared" si="44"/>
        <v>41485</v>
      </c>
      <c r="J949" s="110"/>
      <c r="K949" s="110"/>
      <c r="M949" s="110"/>
      <c r="O949" s="110"/>
    </row>
    <row r="950" spans="1:15" x14ac:dyDescent="0.3">
      <c r="A950" s="58" t="str">
        <f>Schedule!E948</f>
        <v>A043710</v>
      </c>
      <c r="B950" s="58" t="s">
        <v>2404</v>
      </c>
      <c r="C950" s="58" t="str">
        <f t="shared" si="42"/>
        <v>043710 KS</v>
      </c>
      <c r="D950" s="58" t="s">
        <v>3671</v>
      </c>
      <c r="E950" s="110">
        <v>41487</v>
      </c>
      <c r="F950" s="110" t="str">
        <f>IFERROR(VLOOKUP(C950,[1]evdl298!$B:$D,3,0),"")</f>
        <v>E</v>
      </c>
      <c r="G950" s="110">
        <f>IFERROR(VLOOKUP(C950,[1]evdl298!$B:$C,2,0),"")</f>
        <v>41500</v>
      </c>
      <c r="H950" s="110" t="str">
        <f t="shared" si="43"/>
        <v>E</v>
      </c>
      <c r="I950" s="110">
        <f t="shared" si="44"/>
        <v>41500</v>
      </c>
      <c r="J950" s="110"/>
      <c r="K950" s="110"/>
      <c r="M950" s="110"/>
      <c r="O950" s="110"/>
    </row>
    <row r="951" spans="1:15" x14ac:dyDescent="0.3">
      <c r="A951" s="58" t="str">
        <f>Schedule!E949</f>
        <v>A043910</v>
      </c>
      <c r="B951" s="58" t="s">
        <v>2405</v>
      </c>
      <c r="C951" s="58" t="str">
        <f t="shared" si="42"/>
        <v>043910 KS</v>
      </c>
      <c r="D951" s="58" t="s">
        <v>3671</v>
      </c>
      <c r="E951" s="110" t="s">
        <v>3527</v>
      </c>
      <c r="F951" s="110" t="str">
        <f>IFERROR(VLOOKUP(C951,[1]evdl298!$B:$D,3,0),"")</f>
        <v/>
      </c>
      <c r="G951" s="110" t="str">
        <f>IFERROR(VLOOKUP(C951,[1]evdl298!$B:$C,2,0),"")</f>
        <v/>
      </c>
      <c r="H951" s="110" t="str">
        <f t="shared" si="43"/>
        <v/>
      </c>
      <c r="I951" s="110" t="str">
        <f t="shared" si="44"/>
        <v/>
      </c>
      <c r="J951" s="110"/>
      <c r="K951" s="110"/>
      <c r="M951" s="110"/>
      <c r="O951" s="110"/>
    </row>
    <row r="952" spans="1:15" x14ac:dyDescent="0.3">
      <c r="A952" s="58" t="str">
        <f>Schedule!E950</f>
        <v>A044060</v>
      </c>
      <c r="B952" s="58" t="s">
        <v>2406</v>
      </c>
      <c r="C952" s="58" t="str">
        <f t="shared" si="42"/>
        <v>044060 KS</v>
      </c>
      <c r="D952" s="58" t="s">
        <v>3671</v>
      </c>
      <c r="E952" s="110" t="s">
        <v>3527</v>
      </c>
      <c r="F952" s="110" t="str">
        <f>IFERROR(VLOOKUP(C952,[1]evdl298!$B:$D,3,0),"")</f>
        <v>E</v>
      </c>
      <c r="G952" s="110">
        <f>IFERROR(VLOOKUP(C952,[1]evdl298!$B:$C,2,0),"")</f>
        <v>41515</v>
      </c>
      <c r="H952" s="110" t="str">
        <f t="shared" si="43"/>
        <v>E</v>
      </c>
      <c r="I952" s="110">
        <f t="shared" si="44"/>
        <v>41515</v>
      </c>
      <c r="J952" s="110"/>
      <c r="K952" s="110"/>
      <c r="M952" s="110"/>
      <c r="O952" s="110"/>
    </row>
    <row r="953" spans="1:15" x14ac:dyDescent="0.3">
      <c r="A953" s="58" t="str">
        <f>Schedule!E951</f>
        <v>A044180</v>
      </c>
      <c r="B953" s="58" t="s">
        <v>2407</v>
      </c>
      <c r="C953" s="58" t="str">
        <f t="shared" si="42"/>
        <v>044180 KS</v>
      </c>
      <c r="D953" s="58" t="s">
        <v>3671</v>
      </c>
      <c r="E953" s="110" t="s">
        <v>3527</v>
      </c>
      <c r="F953" s="110" t="str">
        <f>IFERROR(VLOOKUP(C953,[1]evdl298!$B:$D,3,0),"")</f>
        <v/>
      </c>
      <c r="G953" s="110" t="str">
        <f>IFERROR(VLOOKUP(C953,[1]evdl298!$B:$C,2,0),"")</f>
        <v/>
      </c>
      <c r="H953" s="110" t="str">
        <f t="shared" si="43"/>
        <v/>
      </c>
      <c r="I953" s="110" t="str">
        <f t="shared" si="44"/>
        <v/>
      </c>
      <c r="J953" s="110"/>
      <c r="K953" s="110"/>
      <c r="M953" s="110"/>
      <c r="O953" s="110"/>
    </row>
    <row r="954" spans="1:15" x14ac:dyDescent="0.3">
      <c r="A954" s="58" t="str">
        <f>Schedule!E952</f>
        <v>A044340</v>
      </c>
      <c r="B954" s="58" t="s">
        <v>2408</v>
      </c>
      <c r="C954" s="58" t="str">
        <f t="shared" si="42"/>
        <v>044340 KS</v>
      </c>
      <c r="D954" s="58" t="s">
        <v>3671</v>
      </c>
      <c r="E954" s="110" t="s">
        <v>3527</v>
      </c>
      <c r="F954" s="110" t="str">
        <f>IFERROR(VLOOKUP(C954,[1]evdl298!$B:$D,3,0),"")</f>
        <v>E</v>
      </c>
      <c r="G954" s="110">
        <f>IFERROR(VLOOKUP(C954,[1]evdl298!$B:$C,2,0),"")</f>
        <v>41515</v>
      </c>
      <c r="H954" s="110" t="str">
        <f t="shared" si="43"/>
        <v>E</v>
      </c>
      <c r="I954" s="110">
        <f t="shared" si="44"/>
        <v>41515</v>
      </c>
      <c r="J954" s="110"/>
      <c r="K954" s="110"/>
      <c r="M954" s="110"/>
      <c r="O954" s="110"/>
    </row>
    <row r="955" spans="1:15" x14ac:dyDescent="0.3">
      <c r="A955" s="58" t="str">
        <f>Schedule!E953</f>
        <v>A044380</v>
      </c>
      <c r="B955" s="58" t="s">
        <v>2409</v>
      </c>
      <c r="C955" s="58" t="str">
        <f t="shared" si="42"/>
        <v>044380 KS</v>
      </c>
      <c r="D955" s="58" t="s">
        <v>3671</v>
      </c>
      <c r="E955" s="110" t="s">
        <v>3527</v>
      </c>
      <c r="F955" s="110" t="str">
        <f>IFERROR(VLOOKUP(C955,[1]evdl298!$B:$D,3,0),"")</f>
        <v>E</v>
      </c>
      <c r="G955" s="110">
        <f>IFERROR(VLOOKUP(C955,[1]evdl298!$B:$C,2,0),"")</f>
        <v>41499</v>
      </c>
      <c r="H955" s="110" t="str">
        <f t="shared" si="43"/>
        <v>E</v>
      </c>
      <c r="I955" s="110">
        <f t="shared" si="44"/>
        <v>41499</v>
      </c>
      <c r="J955" s="110"/>
      <c r="K955" s="110"/>
      <c r="M955" s="110"/>
      <c r="O955" s="110"/>
    </row>
    <row r="956" spans="1:15" x14ac:dyDescent="0.3">
      <c r="A956" s="58" t="str">
        <f>Schedule!E954</f>
        <v>A044450</v>
      </c>
      <c r="B956" s="58" t="s">
        <v>2410</v>
      </c>
      <c r="C956" s="58" t="str">
        <f t="shared" si="42"/>
        <v>044450 KS</v>
      </c>
      <c r="D956" s="58" t="s">
        <v>3671</v>
      </c>
      <c r="E956" s="110" t="s">
        <v>3527</v>
      </c>
      <c r="F956" s="110" t="str">
        <f>IFERROR(VLOOKUP(C956,[1]evdl298!$B:$D,3,0),"")</f>
        <v>E</v>
      </c>
      <c r="G956" s="110">
        <f>IFERROR(VLOOKUP(C956,[1]evdl298!$B:$C,2,0),"")</f>
        <v>41515</v>
      </c>
      <c r="H956" s="110" t="str">
        <f t="shared" si="43"/>
        <v>E</v>
      </c>
      <c r="I956" s="110">
        <f t="shared" si="44"/>
        <v>41515</v>
      </c>
      <c r="J956" s="110"/>
      <c r="K956" s="110"/>
      <c r="M956" s="110"/>
      <c r="O956" s="110"/>
    </row>
    <row r="957" spans="1:15" x14ac:dyDescent="0.3">
      <c r="A957" s="58" t="str">
        <f>Schedule!E955</f>
        <v>A044480</v>
      </c>
      <c r="B957" s="58" t="s">
        <v>2411</v>
      </c>
      <c r="C957" s="58" t="str">
        <f t="shared" si="42"/>
        <v>044480 KS</v>
      </c>
      <c r="D957" s="58" t="s">
        <v>3671</v>
      </c>
      <c r="E957" s="110" t="s">
        <v>3527</v>
      </c>
      <c r="F957" s="110" t="str">
        <f>IFERROR(VLOOKUP(C957,[1]evdl298!$B:$D,3,0),"")</f>
        <v>E</v>
      </c>
      <c r="G957" s="110">
        <f>IFERROR(VLOOKUP(C957,[1]evdl298!$B:$C,2,0),"")</f>
        <v>41515</v>
      </c>
      <c r="H957" s="110" t="str">
        <f t="shared" si="43"/>
        <v>E</v>
      </c>
      <c r="I957" s="110">
        <f t="shared" si="44"/>
        <v>41515</v>
      </c>
      <c r="J957" s="110"/>
      <c r="K957" s="110"/>
      <c r="M957" s="110"/>
      <c r="O957" s="110"/>
    </row>
    <row r="958" spans="1:15" x14ac:dyDescent="0.3">
      <c r="A958" s="58" t="str">
        <f>Schedule!E956</f>
        <v>A044490</v>
      </c>
      <c r="B958" s="58" t="s">
        <v>2412</v>
      </c>
      <c r="C958" s="58" t="str">
        <f t="shared" si="42"/>
        <v>044490 KS</v>
      </c>
      <c r="D958" s="58" t="s">
        <v>3671</v>
      </c>
      <c r="E958" s="110" t="s">
        <v>3527</v>
      </c>
      <c r="F958" s="110" t="str">
        <f>IFERROR(VLOOKUP(C958,[1]evdl298!$B:$D,3,0),"")</f>
        <v>E</v>
      </c>
      <c r="G958" s="110">
        <f>IFERROR(VLOOKUP(C958,[1]evdl298!$B:$C,2,0),"")</f>
        <v>41492</v>
      </c>
      <c r="H958" s="110" t="str">
        <f t="shared" si="43"/>
        <v>E</v>
      </c>
      <c r="I958" s="110">
        <f t="shared" si="44"/>
        <v>41492</v>
      </c>
      <c r="J958" s="110"/>
      <c r="K958" s="110"/>
      <c r="M958" s="110"/>
      <c r="O958" s="110"/>
    </row>
    <row r="959" spans="1:15" x14ac:dyDescent="0.3">
      <c r="A959" s="58" t="str">
        <f>Schedule!E957</f>
        <v>A044780</v>
      </c>
      <c r="B959" s="58" t="s">
        <v>2413</v>
      </c>
      <c r="C959" s="58" t="str">
        <f t="shared" si="42"/>
        <v>044780 KS</v>
      </c>
      <c r="D959" s="58" t="s">
        <v>3671</v>
      </c>
      <c r="E959" s="110" t="s">
        <v>3696</v>
      </c>
      <c r="F959" s="110" t="str">
        <f>IFERROR(VLOOKUP(C959,[1]evdl298!$B:$D,3,0),"")</f>
        <v>E</v>
      </c>
      <c r="G959" s="110">
        <f>IFERROR(VLOOKUP(C959,[1]evdl298!$B:$C,2,0),"")</f>
        <v>41515</v>
      </c>
      <c r="H959" s="110" t="str">
        <f t="shared" si="43"/>
        <v>E</v>
      </c>
      <c r="I959" s="110">
        <f t="shared" si="44"/>
        <v>41515</v>
      </c>
      <c r="J959" s="110"/>
      <c r="K959" s="110"/>
      <c r="M959" s="110"/>
      <c r="O959" s="110"/>
    </row>
    <row r="960" spans="1:15" x14ac:dyDescent="0.3">
      <c r="A960" s="58" t="str">
        <f>Schedule!E958</f>
        <v>A044820</v>
      </c>
      <c r="B960" s="58" t="s">
        <v>2414</v>
      </c>
      <c r="C960" s="58" t="str">
        <f t="shared" si="42"/>
        <v>044820 KS</v>
      </c>
      <c r="D960" s="58" t="s">
        <v>3671</v>
      </c>
      <c r="E960" s="110" t="s">
        <v>3527</v>
      </c>
      <c r="F960" s="110" t="str">
        <f>IFERROR(VLOOKUP(C960,[1]evdl298!$B:$D,3,0),"")</f>
        <v>E</v>
      </c>
      <c r="G960" s="110">
        <f>IFERROR(VLOOKUP(C960,[1]evdl298!$B:$C,2,0),"")</f>
        <v>41500</v>
      </c>
      <c r="H960" s="110" t="str">
        <f t="shared" si="43"/>
        <v>E</v>
      </c>
      <c r="I960" s="110">
        <f t="shared" si="44"/>
        <v>41500</v>
      </c>
      <c r="J960" s="110"/>
      <c r="K960" s="110"/>
      <c r="M960" s="110"/>
      <c r="O960" s="110"/>
    </row>
    <row r="961" spans="1:15" x14ac:dyDescent="0.3">
      <c r="A961" s="58" t="str">
        <f>Schedule!E959</f>
        <v>A044960</v>
      </c>
      <c r="B961" s="58" t="s">
        <v>2415</v>
      </c>
      <c r="C961" s="58" t="str">
        <f t="shared" si="42"/>
        <v>044960 KS</v>
      </c>
      <c r="D961" s="58" t="s">
        <v>3671</v>
      </c>
      <c r="E961" s="110" t="s">
        <v>3527</v>
      </c>
      <c r="F961" s="110" t="str">
        <f>IFERROR(VLOOKUP(C961,[1]evdl298!$B:$D,3,0),"")</f>
        <v>E</v>
      </c>
      <c r="G961" s="110">
        <f>IFERROR(VLOOKUP(C961,[1]evdl298!$B:$C,2,0),"")</f>
        <v>41500</v>
      </c>
      <c r="H961" s="110" t="str">
        <f t="shared" si="43"/>
        <v>E</v>
      </c>
      <c r="I961" s="110">
        <f t="shared" si="44"/>
        <v>41500</v>
      </c>
      <c r="J961" s="110"/>
      <c r="K961" s="110"/>
      <c r="M961" s="110"/>
      <c r="O961" s="110"/>
    </row>
    <row r="962" spans="1:15" x14ac:dyDescent="0.3">
      <c r="A962" s="58" t="str">
        <f>Schedule!E960</f>
        <v>A045060</v>
      </c>
      <c r="B962" s="58" t="s">
        <v>2416</v>
      </c>
      <c r="C962" s="58" t="str">
        <f t="shared" si="42"/>
        <v>045060 KS</v>
      </c>
      <c r="D962" s="58" t="s">
        <v>3671</v>
      </c>
      <c r="E962" s="110" t="s">
        <v>3527</v>
      </c>
      <c r="F962" s="110" t="str">
        <f>IFERROR(VLOOKUP(C962,[1]evdl298!$B:$D,3,0),"")</f>
        <v/>
      </c>
      <c r="G962" s="110" t="str">
        <f>IFERROR(VLOOKUP(C962,[1]evdl298!$B:$C,2,0),"")</f>
        <v/>
      </c>
      <c r="H962" s="110" t="str">
        <f t="shared" si="43"/>
        <v/>
      </c>
      <c r="I962" s="110" t="str">
        <f t="shared" si="44"/>
        <v/>
      </c>
      <c r="J962" s="110"/>
      <c r="K962" s="110"/>
      <c r="M962" s="110"/>
      <c r="O962" s="110"/>
    </row>
    <row r="963" spans="1:15" x14ac:dyDescent="0.3">
      <c r="A963" s="58" t="str">
        <f>Schedule!E961</f>
        <v>A045100</v>
      </c>
      <c r="B963" s="58" t="s">
        <v>2417</v>
      </c>
      <c r="C963" s="58" t="str">
        <f t="shared" si="42"/>
        <v>045100 KS</v>
      </c>
      <c r="D963" s="58" t="s">
        <v>3671</v>
      </c>
      <c r="E963" s="110" t="s">
        <v>3527</v>
      </c>
      <c r="F963" s="110" t="str">
        <f>IFERROR(VLOOKUP(C963,[1]evdl298!$B:$D,3,0),"")</f>
        <v/>
      </c>
      <c r="G963" s="110" t="str">
        <f>IFERROR(VLOOKUP(C963,[1]evdl298!$B:$C,2,0),"")</f>
        <v/>
      </c>
      <c r="H963" s="110" t="str">
        <f t="shared" si="43"/>
        <v/>
      </c>
      <c r="I963" s="110" t="str">
        <f t="shared" si="44"/>
        <v/>
      </c>
      <c r="J963" s="110"/>
      <c r="K963" s="110"/>
      <c r="M963" s="110"/>
      <c r="O963" s="110"/>
    </row>
    <row r="964" spans="1:15" x14ac:dyDescent="0.3">
      <c r="A964" s="58" t="str">
        <f>Schedule!E962</f>
        <v>A045300</v>
      </c>
      <c r="B964" s="58" t="s">
        <v>2418</v>
      </c>
      <c r="C964" s="58" t="str">
        <f t="shared" si="42"/>
        <v>045300 KS</v>
      </c>
      <c r="D964" s="58" t="s">
        <v>3671</v>
      </c>
      <c r="E964" s="110" t="s">
        <v>3527</v>
      </c>
      <c r="F964" s="110" t="str">
        <f>IFERROR(VLOOKUP(C964,[1]evdl298!$B:$D,3,0),"")</f>
        <v/>
      </c>
      <c r="G964" s="110" t="str">
        <f>IFERROR(VLOOKUP(C964,[1]evdl298!$B:$C,2,0),"")</f>
        <v/>
      </c>
      <c r="H964" s="110" t="str">
        <f t="shared" si="43"/>
        <v/>
      </c>
      <c r="I964" s="110" t="str">
        <f t="shared" si="44"/>
        <v/>
      </c>
      <c r="J964" s="110"/>
      <c r="K964" s="110"/>
      <c r="M964" s="110"/>
      <c r="O964" s="110"/>
    </row>
    <row r="965" spans="1:15" x14ac:dyDescent="0.3">
      <c r="A965" s="58" t="str">
        <f>Schedule!E963</f>
        <v>A045340</v>
      </c>
      <c r="B965" s="58" t="s">
        <v>2419</v>
      </c>
      <c r="C965" s="58" t="str">
        <f t="shared" si="42"/>
        <v>045340 KS</v>
      </c>
      <c r="D965" s="58" t="s">
        <v>3671</v>
      </c>
      <c r="E965" s="110" t="s">
        <v>3527</v>
      </c>
      <c r="F965" s="110" t="str">
        <f>IFERROR(VLOOKUP(C965,[1]evdl298!$B:$D,3,0),"")</f>
        <v>E</v>
      </c>
      <c r="G965" s="110">
        <f>IFERROR(VLOOKUP(C965,[1]evdl298!$B:$C,2,0),"")</f>
        <v>41499</v>
      </c>
      <c r="H965" s="110" t="str">
        <f t="shared" si="43"/>
        <v>E</v>
      </c>
      <c r="I965" s="110">
        <f t="shared" si="44"/>
        <v>41499</v>
      </c>
      <c r="J965" s="110"/>
      <c r="K965" s="110"/>
      <c r="M965" s="110"/>
      <c r="O965" s="110"/>
    </row>
    <row r="966" spans="1:15" x14ac:dyDescent="0.3">
      <c r="A966" s="58" t="str">
        <f>Schedule!E964</f>
        <v>A045390</v>
      </c>
      <c r="B966" s="58" t="s">
        <v>2420</v>
      </c>
      <c r="C966" s="58" t="str">
        <f t="shared" si="42"/>
        <v>045390 KS</v>
      </c>
      <c r="D966" s="58" t="s">
        <v>3671</v>
      </c>
      <c r="E966" s="110" t="s">
        <v>3527</v>
      </c>
      <c r="F966" s="110" t="str">
        <f>IFERROR(VLOOKUP(C966,[1]evdl298!$B:$D,3,0),"")</f>
        <v/>
      </c>
      <c r="G966" s="110" t="str">
        <f>IFERROR(VLOOKUP(C966,[1]evdl298!$B:$C,2,0),"")</f>
        <v/>
      </c>
      <c r="H966" s="110" t="str">
        <f t="shared" si="43"/>
        <v/>
      </c>
      <c r="I966" s="110" t="str">
        <f t="shared" si="44"/>
        <v/>
      </c>
      <c r="J966" s="110"/>
      <c r="K966" s="110"/>
      <c r="M966" s="110"/>
      <c r="O966" s="110"/>
    </row>
    <row r="967" spans="1:15" x14ac:dyDescent="0.3">
      <c r="A967" s="58" t="str">
        <f>Schedule!E965</f>
        <v>A045510</v>
      </c>
      <c r="B967" s="58" t="s">
        <v>2421</v>
      </c>
      <c r="C967" s="58" t="str">
        <f t="shared" si="42"/>
        <v>045510 KS</v>
      </c>
      <c r="D967" s="58" t="s">
        <v>3671</v>
      </c>
      <c r="E967" s="110" t="s">
        <v>3527</v>
      </c>
      <c r="F967" s="110" t="str">
        <f>IFERROR(VLOOKUP(C967,[1]evdl298!$B:$D,3,0),"")</f>
        <v>E</v>
      </c>
      <c r="G967" s="110">
        <f>IFERROR(VLOOKUP(C967,[1]evdl298!$B:$C,2,0),"")</f>
        <v>41500</v>
      </c>
      <c r="H967" s="110" t="str">
        <f t="shared" si="43"/>
        <v>E</v>
      </c>
      <c r="I967" s="110">
        <f t="shared" si="44"/>
        <v>41500</v>
      </c>
      <c r="J967" s="110"/>
      <c r="K967" s="110"/>
      <c r="M967" s="110"/>
      <c r="O967" s="110"/>
    </row>
    <row r="968" spans="1:15" x14ac:dyDescent="0.3">
      <c r="A968" s="58" t="str">
        <f>Schedule!E966</f>
        <v>A045520</v>
      </c>
      <c r="B968" s="58" t="s">
        <v>2422</v>
      </c>
      <c r="C968" s="58" t="str">
        <f t="shared" si="42"/>
        <v>045520 KS</v>
      </c>
      <c r="D968" s="58" t="s">
        <v>3671</v>
      </c>
      <c r="E968" s="110" t="s">
        <v>3527</v>
      </c>
      <c r="F968" s="110" t="str">
        <f>IFERROR(VLOOKUP(C968,[1]evdl298!$B:$D,3,0),"")</f>
        <v>E</v>
      </c>
      <c r="G968" s="110">
        <f>IFERROR(VLOOKUP(C968,[1]evdl298!$B:$C,2,0),"")</f>
        <v>41499</v>
      </c>
      <c r="H968" s="110" t="str">
        <f t="shared" si="43"/>
        <v>E</v>
      </c>
      <c r="I968" s="110">
        <f t="shared" si="44"/>
        <v>41499</v>
      </c>
      <c r="J968" s="110"/>
      <c r="K968" s="110"/>
      <c r="M968" s="110"/>
      <c r="O968" s="110"/>
    </row>
    <row r="969" spans="1:15" x14ac:dyDescent="0.3">
      <c r="A969" s="58" t="str">
        <f>Schedule!E967</f>
        <v>A045660</v>
      </c>
      <c r="B969" s="58" t="s">
        <v>2423</v>
      </c>
      <c r="C969" s="58" t="str">
        <f t="shared" si="42"/>
        <v>045660 KS</v>
      </c>
      <c r="D969" s="58" t="s">
        <v>3671</v>
      </c>
      <c r="E969" s="110" t="s">
        <v>3527</v>
      </c>
      <c r="F969" s="110" t="str">
        <f>IFERROR(VLOOKUP(C969,[1]evdl298!$B:$D,3,0),"")</f>
        <v>E</v>
      </c>
      <c r="G969" s="110">
        <f>IFERROR(VLOOKUP(C969,[1]evdl298!$B:$C,2,0),"")</f>
        <v>41495</v>
      </c>
      <c r="H969" s="110" t="str">
        <f t="shared" si="43"/>
        <v>E</v>
      </c>
      <c r="I969" s="110">
        <f t="shared" si="44"/>
        <v>41495</v>
      </c>
      <c r="J969" s="110"/>
      <c r="K969" s="110"/>
      <c r="M969" s="110"/>
      <c r="O969" s="110"/>
    </row>
    <row r="970" spans="1:15" x14ac:dyDescent="0.3">
      <c r="A970" s="58" t="str">
        <f>Schedule!E968</f>
        <v>A045890</v>
      </c>
      <c r="B970" s="58" t="s">
        <v>2424</v>
      </c>
      <c r="C970" s="58" t="str">
        <f t="shared" si="42"/>
        <v>045890 KS</v>
      </c>
      <c r="D970" s="58" t="s">
        <v>3671</v>
      </c>
      <c r="E970" s="110" t="s">
        <v>3527</v>
      </c>
      <c r="F970" s="110" t="str">
        <f>IFERROR(VLOOKUP(C970,[1]evdl298!$B:$D,3,0),"")</f>
        <v/>
      </c>
      <c r="G970" s="110" t="str">
        <f>IFERROR(VLOOKUP(C970,[1]evdl298!$B:$C,2,0),"")</f>
        <v/>
      </c>
      <c r="H970" s="110" t="str">
        <f t="shared" si="43"/>
        <v/>
      </c>
      <c r="I970" s="110" t="str">
        <f t="shared" si="44"/>
        <v/>
      </c>
      <c r="J970" s="110"/>
      <c r="K970" s="110"/>
      <c r="M970" s="110"/>
      <c r="O970" s="110"/>
    </row>
    <row r="971" spans="1:15" x14ac:dyDescent="0.3">
      <c r="A971" s="58" t="str">
        <f>Schedule!E969</f>
        <v>A045970</v>
      </c>
      <c r="B971" s="58" t="s">
        <v>2425</v>
      </c>
      <c r="C971" s="58" t="str">
        <f t="shared" si="42"/>
        <v>045970 KS</v>
      </c>
      <c r="D971" s="58" t="s">
        <v>3671</v>
      </c>
      <c r="E971" s="110" t="s">
        <v>3527</v>
      </c>
      <c r="F971" s="110" t="str">
        <f>IFERROR(VLOOKUP(C971,[1]evdl298!$B:$D,3,0),"")</f>
        <v/>
      </c>
      <c r="G971" s="110" t="str">
        <f>IFERROR(VLOOKUP(C971,[1]evdl298!$B:$C,2,0),"")</f>
        <v/>
      </c>
      <c r="H971" s="110" t="str">
        <f t="shared" si="43"/>
        <v/>
      </c>
      <c r="I971" s="110" t="str">
        <f t="shared" si="44"/>
        <v/>
      </c>
      <c r="J971" s="110"/>
      <c r="K971" s="110"/>
      <c r="M971" s="110"/>
      <c r="O971" s="110"/>
    </row>
    <row r="972" spans="1:15" x14ac:dyDescent="0.3">
      <c r="A972" s="58" t="str">
        <f>Schedule!E970</f>
        <v>A046070</v>
      </c>
      <c r="B972" s="58" t="s">
        <v>2426</v>
      </c>
      <c r="C972" s="58" t="str">
        <f t="shared" si="42"/>
        <v>046070 KS</v>
      </c>
      <c r="D972" s="58" t="s">
        <v>3671</v>
      </c>
      <c r="E972" s="110" t="s">
        <v>3527</v>
      </c>
      <c r="F972" s="110" t="str">
        <f>IFERROR(VLOOKUP(C972,[1]evdl298!$B:$D,3,0),"")</f>
        <v>E</v>
      </c>
      <c r="G972" s="110">
        <f>IFERROR(VLOOKUP(C972,[1]evdl298!$B:$C,2,0),"")</f>
        <v>41500</v>
      </c>
      <c r="H972" s="110" t="str">
        <f t="shared" si="43"/>
        <v>E</v>
      </c>
      <c r="I972" s="110">
        <f t="shared" si="44"/>
        <v>41500</v>
      </c>
      <c r="J972" s="110"/>
      <c r="K972" s="110"/>
      <c r="M972" s="110"/>
      <c r="O972" s="110"/>
    </row>
    <row r="973" spans="1:15" x14ac:dyDescent="0.3">
      <c r="A973" s="58" t="str">
        <f>Schedule!E971</f>
        <v>A046110</v>
      </c>
      <c r="B973" s="58" t="s">
        <v>2427</v>
      </c>
      <c r="C973" s="58" t="str">
        <f t="shared" si="42"/>
        <v>046110 KS</v>
      </c>
      <c r="D973" s="58" t="s">
        <v>3671</v>
      </c>
      <c r="E973" s="110" t="s">
        <v>3527</v>
      </c>
      <c r="F973" s="110" t="str">
        <f>IFERROR(VLOOKUP(C973,[1]evdl298!$B:$D,3,0),"")</f>
        <v/>
      </c>
      <c r="G973" s="110" t="str">
        <f>IFERROR(VLOOKUP(C973,[1]evdl298!$B:$C,2,0),"")</f>
        <v/>
      </c>
      <c r="H973" s="110" t="str">
        <f t="shared" si="43"/>
        <v/>
      </c>
      <c r="I973" s="110" t="str">
        <f t="shared" si="44"/>
        <v/>
      </c>
      <c r="J973" s="110"/>
      <c r="K973" s="110"/>
      <c r="M973" s="110"/>
      <c r="O973" s="110"/>
    </row>
    <row r="974" spans="1:15" x14ac:dyDescent="0.3">
      <c r="A974" s="58" t="str">
        <f>Schedule!E972</f>
        <v>A046120</v>
      </c>
      <c r="B974" s="58" t="s">
        <v>3562</v>
      </c>
      <c r="C974" s="58" t="str">
        <f t="shared" si="42"/>
        <v>046120 KS</v>
      </c>
      <c r="D974" s="58" t="s">
        <v>3671</v>
      </c>
      <c r="E974" s="110" t="s">
        <v>3527</v>
      </c>
      <c r="F974" s="110" t="str">
        <f>IFERROR(VLOOKUP(C974,[1]evdl298!$B:$D,3,0),"")</f>
        <v/>
      </c>
      <c r="G974" s="110" t="str">
        <f>IFERROR(VLOOKUP(C974,[1]evdl298!$B:$C,2,0),"")</f>
        <v/>
      </c>
      <c r="H974" s="110" t="str">
        <f t="shared" si="43"/>
        <v/>
      </c>
      <c r="I974" s="110" t="str">
        <f t="shared" si="44"/>
        <v/>
      </c>
      <c r="J974" s="110"/>
      <c r="K974" s="110"/>
      <c r="M974" s="110"/>
      <c r="O974" s="110"/>
    </row>
    <row r="975" spans="1:15" x14ac:dyDescent="0.3">
      <c r="A975" s="58" t="str">
        <f>Schedule!E973</f>
        <v>A046140</v>
      </c>
      <c r="B975" s="58" t="s">
        <v>3645</v>
      </c>
      <c r="C975" s="58" t="str">
        <f t="shared" si="42"/>
        <v>046140 KS</v>
      </c>
      <c r="D975" s="58" t="s">
        <v>3671</v>
      </c>
      <c r="E975" s="110" t="s">
        <v>3527</v>
      </c>
      <c r="F975" s="110" t="str">
        <f>IFERROR(VLOOKUP(C975,[1]evdl298!$B:$D,3,0),"")</f>
        <v/>
      </c>
      <c r="G975" s="110" t="str">
        <f>IFERROR(VLOOKUP(C975,[1]evdl298!$B:$C,2,0),"")</f>
        <v/>
      </c>
      <c r="H975" s="110" t="str">
        <f t="shared" si="43"/>
        <v/>
      </c>
      <c r="I975" s="110" t="str">
        <f t="shared" si="44"/>
        <v/>
      </c>
      <c r="J975" s="110"/>
      <c r="K975" s="110"/>
      <c r="M975" s="110"/>
      <c r="O975" s="110"/>
    </row>
    <row r="976" spans="1:15" x14ac:dyDescent="0.3">
      <c r="A976" s="58" t="str">
        <f>Schedule!E974</f>
        <v>A046210</v>
      </c>
      <c r="B976" s="58" t="s">
        <v>2428</v>
      </c>
      <c r="C976" s="58" t="str">
        <f t="shared" si="42"/>
        <v>046210 KS</v>
      </c>
      <c r="D976" s="58" t="s">
        <v>3671</v>
      </c>
      <c r="E976" s="110" t="s">
        <v>3527</v>
      </c>
      <c r="F976" s="110" t="str">
        <f>IFERROR(VLOOKUP(C976,[1]evdl298!$B:$D,3,0),"")</f>
        <v>E</v>
      </c>
      <c r="G976" s="110">
        <f>IFERROR(VLOOKUP(C976,[1]evdl298!$B:$C,2,0),"")</f>
        <v>41500</v>
      </c>
      <c r="H976" s="110" t="str">
        <f t="shared" si="43"/>
        <v>E</v>
      </c>
      <c r="I976" s="110">
        <f t="shared" si="44"/>
        <v>41500</v>
      </c>
      <c r="J976" s="110"/>
      <c r="K976" s="110"/>
      <c r="M976" s="110"/>
      <c r="O976" s="110"/>
    </row>
    <row r="977" spans="1:15" x14ac:dyDescent="0.3">
      <c r="A977" s="58" t="str">
        <f>Schedule!E975</f>
        <v>A046310</v>
      </c>
      <c r="B977" s="58" t="s">
        <v>2429</v>
      </c>
      <c r="C977" s="58" t="str">
        <f t="shared" ref="C977:C1040" si="45">RIGHT(A977,6)&amp;" KS"</f>
        <v>046310 KS</v>
      </c>
      <c r="D977" s="58" t="s">
        <v>3671</v>
      </c>
      <c r="E977" s="110" t="s">
        <v>3527</v>
      </c>
      <c r="F977" s="110" t="str">
        <f>IFERROR(VLOOKUP(C977,[1]evdl298!$B:$D,3,0),"")</f>
        <v/>
      </c>
      <c r="G977" s="110" t="str">
        <f>IFERROR(VLOOKUP(C977,[1]evdl298!$B:$C,2,0),"")</f>
        <v/>
      </c>
      <c r="H977" s="110" t="str">
        <f t="shared" ref="H977:H1040" si="46">F977</f>
        <v/>
      </c>
      <c r="I977" s="110" t="str">
        <f t="shared" ref="I977:I1040" si="47">IF(ISNUMBER(G977),G977,E977)</f>
        <v/>
      </c>
      <c r="J977" s="110"/>
      <c r="K977" s="110"/>
      <c r="M977" s="110"/>
      <c r="O977" s="110"/>
    </row>
    <row r="978" spans="1:15" x14ac:dyDescent="0.3">
      <c r="A978" s="58" t="str">
        <f>Schedule!E976</f>
        <v>A046390</v>
      </c>
      <c r="B978" s="58" t="s">
        <v>2430</v>
      </c>
      <c r="C978" s="58" t="str">
        <f t="shared" si="45"/>
        <v>046390 KS</v>
      </c>
      <c r="D978" s="58" t="s">
        <v>3671</v>
      </c>
      <c r="E978" s="110" t="s">
        <v>3527</v>
      </c>
      <c r="F978" s="110" t="str">
        <f>IFERROR(VLOOKUP(C978,[1]evdl298!$B:$D,3,0),"")</f>
        <v>E</v>
      </c>
      <c r="G978" s="110">
        <f>IFERROR(VLOOKUP(C978,[1]evdl298!$B:$C,2,0),"")</f>
        <v>41515</v>
      </c>
      <c r="H978" s="110" t="str">
        <f t="shared" si="46"/>
        <v>E</v>
      </c>
      <c r="I978" s="110">
        <f t="shared" si="47"/>
        <v>41515</v>
      </c>
      <c r="J978" s="110"/>
      <c r="K978" s="110"/>
      <c r="M978" s="110"/>
      <c r="O978" s="110"/>
    </row>
    <row r="979" spans="1:15" x14ac:dyDescent="0.3">
      <c r="A979" s="58" t="str">
        <f>Schedule!E977</f>
        <v>A046400</v>
      </c>
      <c r="B979" s="58" t="s">
        <v>2431</v>
      </c>
      <c r="C979" s="58" t="str">
        <f t="shared" si="45"/>
        <v>046400 KS</v>
      </c>
      <c r="D979" s="58" t="s">
        <v>3671</v>
      </c>
      <c r="E979" s="110" t="s">
        <v>3527</v>
      </c>
      <c r="F979" s="110" t="str">
        <f>IFERROR(VLOOKUP(C979,[1]evdl298!$B:$D,3,0),"")</f>
        <v>E</v>
      </c>
      <c r="G979" s="110">
        <f>IFERROR(VLOOKUP(C979,[1]evdl298!$B:$C,2,0),"")</f>
        <v>41500</v>
      </c>
      <c r="H979" s="110" t="str">
        <f t="shared" si="46"/>
        <v>E</v>
      </c>
      <c r="I979" s="110">
        <f t="shared" si="47"/>
        <v>41500</v>
      </c>
      <c r="J979" s="110"/>
      <c r="K979" s="110"/>
      <c r="M979" s="110"/>
      <c r="O979" s="110"/>
    </row>
    <row r="980" spans="1:15" x14ac:dyDescent="0.3">
      <c r="A980" s="58" t="str">
        <f>Schedule!E978</f>
        <v>A046440</v>
      </c>
      <c r="B980" s="58" t="s">
        <v>2432</v>
      </c>
      <c r="C980" s="58" t="str">
        <f t="shared" si="45"/>
        <v>046440 KS</v>
      </c>
      <c r="D980" s="58" t="s">
        <v>3671</v>
      </c>
      <c r="E980" s="110" t="s">
        <v>3527</v>
      </c>
      <c r="F980" s="110" t="str">
        <f>IFERROR(VLOOKUP(C980,[1]evdl298!$B:$D,3,0),"")</f>
        <v/>
      </c>
      <c r="G980" s="110" t="str">
        <f>IFERROR(VLOOKUP(C980,[1]evdl298!$B:$C,2,0),"")</f>
        <v/>
      </c>
      <c r="H980" s="110" t="str">
        <f t="shared" si="46"/>
        <v/>
      </c>
      <c r="I980" s="110" t="str">
        <f t="shared" si="47"/>
        <v/>
      </c>
      <c r="J980" s="110"/>
      <c r="K980" s="110"/>
      <c r="M980" s="110"/>
      <c r="O980" s="110"/>
    </row>
    <row r="981" spans="1:15" x14ac:dyDescent="0.3">
      <c r="A981" s="58" t="str">
        <f>Schedule!E979</f>
        <v>A046890</v>
      </c>
      <c r="B981" s="58" t="s">
        <v>2433</v>
      </c>
      <c r="C981" s="58" t="str">
        <f t="shared" si="45"/>
        <v>046890 KS</v>
      </c>
      <c r="D981" s="58" t="s">
        <v>3671</v>
      </c>
      <c r="E981" s="110" t="s">
        <v>3527</v>
      </c>
      <c r="F981" s="110" t="str">
        <f>IFERROR(VLOOKUP(C981,[1]evdl298!$B:$D,3,0),"")</f>
        <v>E</v>
      </c>
      <c r="G981" s="110">
        <f>IFERROR(VLOOKUP(C981,[1]evdl298!$B:$C,2,0),"")</f>
        <v>41479</v>
      </c>
      <c r="H981" s="110" t="str">
        <f t="shared" si="46"/>
        <v>E</v>
      </c>
      <c r="I981" s="110">
        <f t="shared" si="47"/>
        <v>41479</v>
      </c>
      <c r="J981" s="110"/>
      <c r="K981" s="110"/>
      <c r="M981" s="110"/>
      <c r="O981" s="110"/>
    </row>
    <row r="982" spans="1:15" x14ac:dyDescent="0.3">
      <c r="A982" s="58" t="str">
        <f>Schedule!E980</f>
        <v>A046940</v>
      </c>
      <c r="B982" s="58" t="s">
        <v>2434</v>
      </c>
      <c r="C982" s="58" t="str">
        <f t="shared" si="45"/>
        <v>046940 KS</v>
      </c>
      <c r="D982" s="58" t="s">
        <v>3671</v>
      </c>
      <c r="E982" s="110" t="s">
        <v>3680</v>
      </c>
      <c r="F982" s="110" t="str">
        <f>IFERROR(VLOOKUP(C982,[1]evdl298!$B:$D,3,0),"")</f>
        <v>E</v>
      </c>
      <c r="G982" s="110">
        <f>IFERROR(VLOOKUP(C982,[1]evdl298!$B:$C,2,0),"")</f>
        <v>41500</v>
      </c>
      <c r="H982" s="110" t="str">
        <f t="shared" si="46"/>
        <v>E</v>
      </c>
      <c r="I982" s="110">
        <f t="shared" si="47"/>
        <v>41500</v>
      </c>
      <c r="J982" s="110"/>
      <c r="K982" s="110"/>
      <c r="M982" s="110"/>
      <c r="O982" s="110"/>
    </row>
    <row r="983" spans="1:15" x14ac:dyDescent="0.3">
      <c r="A983" s="58" t="str">
        <f>Schedule!E981</f>
        <v>A046970</v>
      </c>
      <c r="B983" s="58" t="s">
        <v>2435</v>
      </c>
      <c r="C983" s="58" t="str">
        <f t="shared" si="45"/>
        <v>046970 KS</v>
      </c>
      <c r="D983" s="58" t="s">
        <v>3671</v>
      </c>
      <c r="E983" s="110" t="s">
        <v>3527</v>
      </c>
      <c r="F983" s="110" t="str">
        <f>IFERROR(VLOOKUP(C983,[1]evdl298!$B:$D,3,0),"")</f>
        <v/>
      </c>
      <c r="G983" s="110" t="str">
        <f>IFERROR(VLOOKUP(C983,[1]evdl298!$B:$C,2,0),"")</f>
        <v/>
      </c>
      <c r="H983" s="110" t="str">
        <f t="shared" si="46"/>
        <v/>
      </c>
      <c r="I983" s="110" t="str">
        <f t="shared" si="47"/>
        <v/>
      </c>
      <c r="J983" s="110"/>
      <c r="K983" s="110"/>
      <c r="M983" s="110"/>
      <c r="O983" s="110"/>
    </row>
    <row r="984" spans="1:15" x14ac:dyDescent="0.3">
      <c r="A984" s="58" t="str">
        <f>Schedule!E982</f>
        <v>A047040</v>
      </c>
      <c r="B984" s="58" t="s">
        <v>3553</v>
      </c>
      <c r="C984" s="58" t="str">
        <f t="shared" si="45"/>
        <v>047040 KS</v>
      </c>
      <c r="D984" s="58" t="s">
        <v>3671</v>
      </c>
      <c r="E984" s="110" t="s">
        <v>3527</v>
      </c>
      <c r="F984" s="110" t="str">
        <f>IFERROR(VLOOKUP(C984,[1]evdl298!$B:$D,3,0),"")</f>
        <v>E</v>
      </c>
      <c r="G984" s="110">
        <f>IFERROR(VLOOKUP(C984,[1]evdl298!$B:$C,2,0),"")</f>
        <v>41480</v>
      </c>
      <c r="H984" s="110" t="str">
        <f t="shared" si="46"/>
        <v>E</v>
      </c>
      <c r="I984" s="110">
        <f t="shared" si="47"/>
        <v>41480</v>
      </c>
      <c r="J984" s="110"/>
      <c r="K984" s="110"/>
      <c r="M984" s="110"/>
      <c r="O984" s="110"/>
    </row>
    <row r="985" spans="1:15" x14ac:dyDescent="0.3">
      <c r="A985" s="58" t="str">
        <f>Schedule!E983</f>
        <v>A047050</v>
      </c>
      <c r="B985" s="58" t="s">
        <v>2436</v>
      </c>
      <c r="C985" s="58" t="str">
        <f t="shared" si="45"/>
        <v>047050 KS</v>
      </c>
      <c r="D985" s="58" t="s">
        <v>3671</v>
      </c>
      <c r="E985" s="110" t="s">
        <v>3694</v>
      </c>
      <c r="F985" s="110" t="str">
        <f>IFERROR(VLOOKUP(C985,[1]evdl298!$B:$D,3,0),"")</f>
        <v>E</v>
      </c>
      <c r="G985" s="110">
        <f>IFERROR(VLOOKUP(C985,[1]evdl298!$B:$C,2,0),"")</f>
        <v>41480</v>
      </c>
      <c r="H985" s="110" t="str">
        <f t="shared" si="46"/>
        <v>E</v>
      </c>
      <c r="I985" s="110">
        <f t="shared" si="47"/>
        <v>41480</v>
      </c>
      <c r="J985" s="110"/>
      <c r="K985" s="110"/>
      <c r="M985" s="110"/>
      <c r="O985" s="110"/>
    </row>
    <row r="986" spans="1:15" x14ac:dyDescent="0.3">
      <c r="A986" s="58" t="str">
        <f>Schedule!E984</f>
        <v>A047080</v>
      </c>
      <c r="B986" s="58" t="s">
        <v>2437</v>
      </c>
      <c r="C986" s="58" t="str">
        <f t="shared" si="45"/>
        <v>047080 KS</v>
      </c>
      <c r="D986" s="58" t="s">
        <v>3671</v>
      </c>
      <c r="E986" s="110" t="s">
        <v>3527</v>
      </c>
      <c r="F986" s="110" t="str">
        <f>IFERROR(VLOOKUP(C986,[1]evdl298!$B:$D,3,0),"")</f>
        <v/>
      </c>
      <c r="G986" s="110" t="str">
        <f>IFERROR(VLOOKUP(C986,[1]evdl298!$B:$C,2,0),"")</f>
        <v/>
      </c>
      <c r="H986" s="110" t="str">
        <f t="shared" si="46"/>
        <v/>
      </c>
      <c r="I986" s="110" t="str">
        <f t="shared" si="47"/>
        <v/>
      </c>
      <c r="J986" s="110"/>
      <c r="K986" s="110"/>
      <c r="M986" s="110"/>
      <c r="O986" s="110"/>
    </row>
    <row r="987" spans="1:15" x14ac:dyDescent="0.3">
      <c r="A987" s="58" t="str">
        <f>Schedule!E985</f>
        <v>A047310</v>
      </c>
      <c r="B987" s="58" t="s">
        <v>2438</v>
      </c>
      <c r="C987" s="58" t="str">
        <f t="shared" si="45"/>
        <v>047310 KS</v>
      </c>
      <c r="D987" s="58" t="s">
        <v>3671</v>
      </c>
      <c r="E987" s="110" t="s">
        <v>3527</v>
      </c>
      <c r="F987" s="110" t="str">
        <f>IFERROR(VLOOKUP(C987,[1]evdl298!$B:$D,3,0),"")</f>
        <v>E</v>
      </c>
      <c r="G987" s="110">
        <f>IFERROR(VLOOKUP(C987,[1]evdl298!$B:$C,2,0),"")</f>
        <v>41487</v>
      </c>
      <c r="H987" s="110" t="str">
        <f t="shared" si="46"/>
        <v>E</v>
      </c>
      <c r="I987" s="110">
        <f t="shared" si="47"/>
        <v>41487</v>
      </c>
      <c r="J987" s="110"/>
      <c r="K987" s="110"/>
      <c r="M987" s="110"/>
      <c r="O987" s="110"/>
    </row>
    <row r="988" spans="1:15" x14ac:dyDescent="0.3">
      <c r="A988" s="58" t="str">
        <f>Schedule!E986</f>
        <v>A047400</v>
      </c>
      <c r="B988" s="58" t="s">
        <v>2439</v>
      </c>
      <c r="C988" s="58" t="str">
        <f t="shared" si="45"/>
        <v>047400 KS</v>
      </c>
      <c r="D988" s="58" t="s">
        <v>3671</v>
      </c>
      <c r="E988" s="110" t="s">
        <v>3527</v>
      </c>
      <c r="F988" s="110" t="str">
        <f>IFERROR(VLOOKUP(C988,[1]evdl298!$B:$D,3,0),"")</f>
        <v/>
      </c>
      <c r="G988" s="110" t="str">
        <f>IFERROR(VLOOKUP(C988,[1]evdl298!$B:$C,2,0),"")</f>
        <v/>
      </c>
      <c r="H988" s="110" t="str">
        <f t="shared" si="46"/>
        <v/>
      </c>
      <c r="I988" s="110" t="str">
        <f t="shared" si="47"/>
        <v/>
      </c>
      <c r="J988" s="110"/>
      <c r="K988" s="110"/>
      <c r="M988" s="110"/>
      <c r="O988" s="110"/>
    </row>
    <row r="989" spans="1:15" x14ac:dyDescent="0.3">
      <c r="A989" s="58" t="str">
        <f>Schedule!E987</f>
        <v>A047440</v>
      </c>
      <c r="B989" s="58" t="s">
        <v>2440</v>
      </c>
      <c r="C989" s="58" t="str">
        <f t="shared" si="45"/>
        <v>047440 KS</v>
      </c>
      <c r="D989" s="58" t="s">
        <v>3671</v>
      </c>
      <c r="E989" s="110" t="s">
        <v>3527</v>
      </c>
      <c r="F989" s="110" t="str">
        <f>IFERROR(VLOOKUP(C989,[1]evdl298!$B:$D,3,0),"")</f>
        <v>E</v>
      </c>
      <c r="G989" s="110">
        <f>IFERROR(VLOOKUP(C989,[1]evdl298!$B:$C,2,0),"")</f>
        <v>41495</v>
      </c>
      <c r="H989" s="110" t="str">
        <f t="shared" si="46"/>
        <v>E</v>
      </c>
      <c r="I989" s="110">
        <f t="shared" si="47"/>
        <v>41495</v>
      </c>
      <c r="J989" s="110"/>
      <c r="K989" s="110"/>
      <c r="M989" s="110"/>
      <c r="O989" s="110"/>
    </row>
    <row r="990" spans="1:15" x14ac:dyDescent="0.3">
      <c r="A990" s="58" t="str">
        <f>Schedule!E988</f>
        <v>A047560</v>
      </c>
      <c r="B990" s="58" t="s">
        <v>2441</v>
      </c>
      <c r="C990" s="58" t="str">
        <f t="shared" si="45"/>
        <v>047560 KS</v>
      </c>
      <c r="D990" s="58" t="s">
        <v>3671</v>
      </c>
      <c r="E990" s="110" t="s">
        <v>3527</v>
      </c>
      <c r="F990" s="110" t="str">
        <f>IFERROR(VLOOKUP(C990,[1]evdl298!$B:$D,3,0),"")</f>
        <v/>
      </c>
      <c r="G990" s="110" t="str">
        <f>IFERROR(VLOOKUP(C990,[1]evdl298!$B:$C,2,0),"")</f>
        <v/>
      </c>
      <c r="H990" s="110" t="str">
        <f t="shared" si="46"/>
        <v/>
      </c>
      <c r="I990" s="110" t="str">
        <f t="shared" si="47"/>
        <v/>
      </c>
      <c r="J990" s="110"/>
      <c r="K990" s="110"/>
      <c r="M990" s="110"/>
      <c r="O990" s="110"/>
    </row>
    <row r="991" spans="1:15" x14ac:dyDescent="0.3">
      <c r="A991" s="58" t="str">
        <f>Schedule!E989</f>
        <v>A047770</v>
      </c>
      <c r="B991" s="58" t="s">
        <v>2442</v>
      </c>
      <c r="C991" s="58" t="str">
        <f t="shared" si="45"/>
        <v>047770 KS</v>
      </c>
      <c r="D991" s="58" t="s">
        <v>3671</v>
      </c>
      <c r="E991" s="110" t="s">
        <v>3527</v>
      </c>
      <c r="F991" s="110" t="str">
        <f>IFERROR(VLOOKUP(C991,[1]evdl298!$B:$D,3,0),"")</f>
        <v>E</v>
      </c>
      <c r="G991" s="110">
        <f>IFERROR(VLOOKUP(C991,[1]evdl298!$B:$C,2,0),"")</f>
        <v>41515</v>
      </c>
      <c r="H991" s="110" t="str">
        <f t="shared" si="46"/>
        <v>E</v>
      </c>
      <c r="I991" s="110">
        <f t="shared" si="47"/>
        <v>41515</v>
      </c>
      <c r="J991" s="110"/>
      <c r="K991" s="110"/>
      <c r="M991" s="110"/>
      <c r="O991" s="110"/>
    </row>
    <row r="992" spans="1:15" x14ac:dyDescent="0.3">
      <c r="A992" s="58" t="str">
        <f>Schedule!E990</f>
        <v>A047810</v>
      </c>
      <c r="B992" s="58" t="s">
        <v>2443</v>
      </c>
      <c r="C992" s="58" t="str">
        <f t="shared" si="45"/>
        <v>047810 KS</v>
      </c>
      <c r="D992" s="58" t="s">
        <v>3671</v>
      </c>
      <c r="E992" s="110" t="s">
        <v>3527</v>
      </c>
      <c r="F992" s="110" t="str">
        <f>IFERROR(VLOOKUP(C992,[1]evdl298!$B:$D,3,0),"")</f>
        <v>E</v>
      </c>
      <c r="G992" s="110">
        <f>IFERROR(VLOOKUP(C992,[1]evdl298!$B:$C,2,0),"")</f>
        <v>41515</v>
      </c>
      <c r="H992" s="110" t="str">
        <f t="shared" si="46"/>
        <v>E</v>
      </c>
      <c r="I992" s="110">
        <f t="shared" si="47"/>
        <v>41515</v>
      </c>
      <c r="J992" s="110"/>
      <c r="K992" s="110"/>
      <c r="M992" s="110"/>
      <c r="O992" s="110"/>
    </row>
    <row r="993" spans="1:15" x14ac:dyDescent="0.3">
      <c r="A993" s="58" t="str">
        <f>Schedule!E991</f>
        <v>A047820</v>
      </c>
      <c r="B993" s="58" t="s">
        <v>3352</v>
      </c>
      <c r="C993" s="58" t="str">
        <f t="shared" si="45"/>
        <v>047820 KS</v>
      </c>
      <c r="D993" s="58" t="s">
        <v>3671</v>
      </c>
      <c r="E993" s="110" t="s">
        <v>3527</v>
      </c>
      <c r="F993" s="110" t="str">
        <f>IFERROR(VLOOKUP(C993,[1]evdl298!$B:$D,3,0),"")</f>
        <v>E</v>
      </c>
      <c r="G993" s="110">
        <f>IFERROR(VLOOKUP(C993,[1]evdl298!$B:$C,2,0),"")</f>
        <v>41515</v>
      </c>
      <c r="H993" s="110" t="str">
        <f t="shared" si="46"/>
        <v>E</v>
      </c>
      <c r="I993" s="110">
        <f t="shared" si="47"/>
        <v>41515</v>
      </c>
      <c r="J993" s="110"/>
      <c r="K993" s="110"/>
      <c r="M993" s="110"/>
      <c r="O993" s="110"/>
    </row>
    <row r="994" spans="1:15" x14ac:dyDescent="0.3">
      <c r="A994" s="58" t="str">
        <f>Schedule!E992</f>
        <v>A048260</v>
      </c>
      <c r="B994" s="58" t="s">
        <v>2444</v>
      </c>
      <c r="C994" s="58" t="str">
        <f t="shared" si="45"/>
        <v>048260 KS</v>
      </c>
      <c r="D994" s="58" t="s">
        <v>3671</v>
      </c>
      <c r="E994" s="110" t="s">
        <v>3527</v>
      </c>
      <c r="F994" s="110" t="str">
        <f>IFERROR(VLOOKUP(C994,[1]evdl298!$B:$D,3,0),"")</f>
        <v>E</v>
      </c>
      <c r="G994" s="110">
        <f>IFERROR(VLOOKUP(C994,[1]evdl298!$B:$C,2,0),"")</f>
        <v>41515</v>
      </c>
      <c r="H994" s="110" t="str">
        <f t="shared" si="46"/>
        <v>E</v>
      </c>
      <c r="I994" s="110">
        <f t="shared" si="47"/>
        <v>41515</v>
      </c>
      <c r="J994" s="110"/>
      <c r="K994" s="110"/>
      <c r="M994" s="110"/>
      <c r="O994" s="110"/>
    </row>
    <row r="995" spans="1:15" x14ac:dyDescent="0.3">
      <c r="A995" s="58" t="str">
        <f>Schedule!E993</f>
        <v>A048410</v>
      </c>
      <c r="B995" s="58" t="s">
        <v>2445</v>
      </c>
      <c r="C995" s="58" t="str">
        <f t="shared" si="45"/>
        <v>048410 KS</v>
      </c>
      <c r="D995" s="58" t="s">
        <v>3671</v>
      </c>
      <c r="E995" s="110" t="s">
        <v>3527</v>
      </c>
      <c r="F995" s="110" t="str">
        <f>IFERROR(VLOOKUP(C995,[1]evdl298!$B:$D,3,0),"")</f>
        <v/>
      </c>
      <c r="G995" s="110" t="str">
        <f>IFERROR(VLOOKUP(C995,[1]evdl298!$B:$C,2,0),"")</f>
        <v/>
      </c>
      <c r="H995" s="110" t="str">
        <f t="shared" si="46"/>
        <v/>
      </c>
      <c r="I995" s="110" t="str">
        <f t="shared" si="47"/>
        <v/>
      </c>
      <c r="J995" s="110"/>
      <c r="K995" s="110"/>
      <c r="M995" s="110"/>
      <c r="O995" s="110"/>
    </row>
    <row r="996" spans="1:15" x14ac:dyDescent="0.3">
      <c r="A996" s="58" t="str">
        <f>Schedule!E994</f>
        <v>A048430</v>
      </c>
      <c r="B996" s="58" t="s">
        <v>2446</v>
      </c>
      <c r="C996" s="58" t="str">
        <f t="shared" si="45"/>
        <v>048430 KS</v>
      </c>
      <c r="D996" s="58" t="s">
        <v>3671</v>
      </c>
      <c r="E996" s="110" t="s">
        <v>3527</v>
      </c>
      <c r="F996" s="110" t="str">
        <f>IFERROR(VLOOKUP(C996,[1]evdl298!$B:$D,3,0),"")</f>
        <v/>
      </c>
      <c r="G996" s="110" t="str">
        <f>IFERROR(VLOOKUP(C996,[1]evdl298!$B:$C,2,0),"")</f>
        <v/>
      </c>
      <c r="H996" s="110" t="str">
        <f t="shared" si="46"/>
        <v/>
      </c>
      <c r="I996" s="110" t="str">
        <f t="shared" si="47"/>
        <v/>
      </c>
      <c r="J996" s="110"/>
      <c r="K996" s="110"/>
      <c r="M996" s="110"/>
      <c r="O996" s="110"/>
    </row>
    <row r="997" spans="1:15" x14ac:dyDescent="0.3">
      <c r="A997" s="58" t="str">
        <f>Schedule!E995</f>
        <v>A048470</v>
      </c>
      <c r="B997" s="58" t="s">
        <v>2447</v>
      </c>
      <c r="C997" s="58" t="str">
        <f t="shared" si="45"/>
        <v>048470 KS</v>
      </c>
      <c r="D997" s="58" t="s">
        <v>3671</v>
      </c>
      <c r="E997" s="110" t="s">
        <v>3527</v>
      </c>
      <c r="F997" s="110" t="str">
        <f>IFERROR(VLOOKUP(C997,[1]evdl298!$B:$D,3,0),"")</f>
        <v>E</v>
      </c>
      <c r="G997" s="110">
        <f>IFERROR(VLOOKUP(C997,[1]evdl298!$B:$C,2,0),"")</f>
        <v>41500</v>
      </c>
      <c r="H997" s="110" t="str">
        <f t="shared" si="46"/>
        <v>E</v>
      </c>
      <c r="I997" s="110">
        <f t="shared" si="47"/>
        <v>41500</v>
      </c>
      <c r="J997" s="110"/>
      <c r="K997" s="110"/>
      <c r="M997" s="110"/>
      <c r="O997" s="110"/>
    </row>
    <row r="998" spans="1:15" x14ac:dyDescent="0.3">
      <c r="A998" s="58" t="str">
        <f>Schedule!E996</f>
        <v>A048530</v>
      </c>
      <c r="B998" s="58" t="s">
        <v>2448</v>
      </c>
      <c r="C998" s="58" t="str">
        <f t="shared" si="45"/>
        <v>048530 KS</v>
      </c>
      <c r="D998" s="58" t="s">
        <v>3671</v>
      </c>
      <c r="E998" s="110" t="s">
        <v>3527</v>
      </c>
      <c r="F998" s="110" t="str">
        <f>IFERROR(VLOOKUP(C998,[1]evdl298!$B:$D,3,0),"")</f>
        <v>E</v>
      </c>
      <c r="G998" s="110">
        <f>IFERROR(VLOOKUP(C998,[1]evdl298!$B:$C,2,0),"")</f>
        <v>41495</v>
      </c>
      <c r="H998" s="110" t="str">
        <f t="shared" si="46"/>
        <v>E</v>
      </c>
      <c r="I998" s="110">
        <f t="shared" si="47"/>
        <v>41495</v>
      </c>
      <c r="J998" s="110"/>
      <c r="K998" s="110"/>
      <c r="M998" s="110"/>
      <c r="O998" s="110"/>
    </row>
    <row r="999" spans="1:15" x14ac:dyDescent="0.3">
      <c r="A999" s="58" t="str">
        <f>Schedule!E997</f>
        <v>A048550</v>
      </c>
      <c r="B999" s="58" t="s">
        <v>3353</v>
      </c>
      <c r="C999" s="58" t="str">
        <f t="shared" si="45"/>
        <v>048550 KS</v>
      </c>
      <c r="D999" s="58" t="s">
        <v>3671</v>
      </c>
      <c r="E999" s="110" t="s">
        <v>3527</v>
      </c>
      <c r="F999" s="110" t="str">
        <f>IFERROR(VLOOKUP(C999,[1]evdl298!$B:$D,3,0),"")</f>
        <v>E</v>
      </c>
      <c r="G999" s="110">
        <f>IFERROR(VLOOKUP(C999,[1]evdl298!$B:$C,2,0),"")</f>
        <v>41500</v>
      </c>
      <c r="H999" s="110" t="str">
        <f t="shared" si="46"/>
        <v>E</v>
      </c>
      <c r="I999" s="110">
        <f t="shared" si="47"/>
        <v>41500</v>
      </c>
      <c r="J999" s="110"/>
      <c r="K999" s="110"/>
      <c r="M999" s="110"/>
      <c r="O999" s="110"/>
    </row>
    <row r="1000" spans="1:15" x14ac:dyDescent="0.3">
      <c r="A1000" s="58" t="str">
        <f>Schedule!E998</f>
        <v>A048770</v>
      </c>
      <c r="B1000" s="58" t="s">
        <v>2449</v>
      </c>
      <c r="C1000" s="58" t="str">
        <f t="shared" si="45"/>
        <v>048770 KS</v>
      </c>
      <c r="D1000" s="58" t="s">
        <v>3671</v>
      </c>
      <c r="E1000" s="110" t="s">
        <v>3527</v>
      </c>
      <c r="F1000" s="110" t="str">
        <f>IFERROR(VLOOKUP(C1000,[1]evdl298!$B:$D,3,0),"")</f>
        <v/>
      </c>
      <c r="G1000" s="110" t="str">
        <f>IFERROR(VLOOKUP(C1000,[1]evdl298!$B:$C,2,0),"")</f>
        <v/>
      </c>
      <c r="H1000" s="110" t="str">
        <f t="shared" si="46"/>
        <v/>
      </c>
      <c r="I1000" s="110" t="str">
        <f t="shared" si="47"/>
        <v/>
      </c>
      <c r="J1000" s="110"/>
      <c r="K1000" s="110"/>
      <c r="M1000" s="110"/>
      <c r="O1000" s="110"/>
    </row>
    <row r="1001" spans="1:15" x14ac:dyDescent="0.3">
      <c r="A1001" s="58" t="str">
        <f>Schedule!E999</f>
        <v>A048830</v>
      </c>
      <c r="B1001" s="58" t="s">
        <v>2450</v>
      </c>
      <c r="C1001" s="58" t="str">
        <f t="shared" si="45"/>
        <v>048830 KS</v>
      </c>
      <c r="D1001" s="58" t="s">
        <v>3671</v>
      </c>
      <c r="E1001" s="110" t="s">
        <v>3527</v>
      </c>
      <c r="F1001" s="110" t="str">
        <f>IFERROR(VLOOKUP(C1001,[1]evdl298!$B:$D,3,0),"")</f>
        <v/>
      </c>
      <c r="G1001" s="110" t="str">
        <f>IFERROR(VLOOKUP(C1001,[1]evdl298!$B:$C,2,0),"")</f>
        <v/>
      </c>
      <c r="H1001" s="110" t="str">
        <f t="shared" si="46"/>
        <v/>
      </c>
      <c r="I1001" s="110" t="str">
        <f t="shared" si="47"/>
        <v/>
      </c>
      <c r="J1001" s="110"/>
      <c r="K1001" s="110"/>
      <c r="M1001" s="110"/>
      <c r="O1001" s="110"/>
    </row>
    <row r="1002" spans="1:15" x14ac:dyDescent="0.3">
      <c r="A1002" s="58" t="str">
        <f>Schedule!E1000</f>
        <v>A048870</v>
      </c>
      <c r="B1002" s="58" t="s">
        <v>2451</v>
      </c>
      <c r="C1002" s="58" t="str">
        <f t="shared" si="45"/>
        <v>048870 KS</v>
      </c>
      <c r="D1002" s="58" t="s">
        <v>3671</v>
      </c>
      <c r="E1002" s="110" t="s">
        <v>3527</v>
      </c>
      <c r="F1002" s="110" t="str">
        <f>IFERROR(VLOOKUP(C1002,[1]evdl298!$B:$D,3,0),"")</f>
        <v>E</v>
      </c>
      <c r="G1002" s="110">
        <f>IFERROR(VLOOKUP(C1002,[1]evdl298!$B:$C,2,0),"")</f>
        <v>41488</v>
      </c>
      <c r="H1002" s="110" t="str">
        <f t="shared" si="46"/>
        <v>E</v>
      </c>
      <c r="I1002" s="110">
        <f t="shared" si="47"/>
        <v>41488</v>
      </c>
      <c r="J1002" s="110"/>
      <c r="K1002" s="110"/>
      <c r="M1002" s="110"/>
      <c r="O1002" s="110"/>
    </row>
    <row r="1003" spans="1:15" x14ac:dyDescent="0.3">
      <c r="A1003" s="58" t="str">
        <f>Schedule!E1001</f>
        <v>A048910</v>
      </c>
      <c r="B1003" s="58" t="s">
        <v>2452</v>
      </c>
      <c r="C1003" s="58" t="str">
        <f t="shared" si="45"/>
        <v>048910 KS</v>
      </c>
      <c r="D1003" s="58" t="s">
        <v>3671</v>
      </c>
      <c r="E1003" s="110" t="s">
        <v>3527</v>
      </c>
      <c r="F1003" s="110" t="str">
        <f>IFERROR(VLOOKUP(C1003,[1]evdl298!$B:$D,3,0),"")</f>
        <v>E</v>
      </c>
      <c r="G1003" s="110">
        <f>IFERROR(VLOOKUP(C1003,[1]evdl298!$B:$C,2,0),"")</f>
        <v>41515</v>
      </c>
      <c r="H1003" s="110" t="str">
        <f t="shared" si="46"/>
        <v>E</v>
      </c>
      <c r="I1003" s="110">
        <f t="shared" si="47"/>
        <v>41515</v>
      </c>
      <c r="J1003" s="110"/>
      <c r="K1003" s="110"/>
      <c r="M1003" s="110"/>
      <c r="O1003" s="110"/>
    </row>
    <row r="1004" spans="1:15" x14ac:dyDescent="0.3">
      <c r="A1004" s="58" t="str">
        <f>Schedule!E1002</f>
        <v>A049000</v>
      </c>
      <c r="B1004" s="58" t="s">
        <v>2453</v>
      </c>
      <c r="C1004" s="58" t="str">
        <f t="shared" si="45"/>
        <v>049000 KS</v>
      </c>
      <c r="D1004" s="58" t="s">
        <v>3671</v>
      </c>
      <c r="E1004" s="110" t="s">
        <v>3527</v>
      </c>
      <c r="F1004" s="110" t="str">
        <f>IFERROR(VLOOKUP(C1004,[1]evdl298!$B:$D,3,0),"")</f>
        <v/>
      </c>
      <c r="G1004" s="110" t="str">
        <f>IFERROR(VLOOKUP(C1004,[1]evdl298!$B:$C,2,0),"")</f>
        <v/>
      </c>
      <c r="H1004" s="110" t="str">
        <f t="shared" si="46"/>
        <v/>
      </c>
      <c r="I1004" s="110" t="str">
        <f t="shared" si="47"/>
        <v/>
      </c>
      <c r="J1004" s="110"/>
      <c r="K1004" s="110"/>
      <c r="M1004" s="110"/>
      <c r="O1004" s="110"/>
    </row>
    <row r="1005" spans="1:15" x14ac:dyDescent="0.3">
      <c r="A1005" s="58" t="str">
        <f>Schedule!E1003</f>
        <v>A049070</v>
      </c>
      <c r="B1005" s="58" t="s">
        <v>2454</v>
      </c>
      <c r="C1005" s="58" t="str">
        <f t="shared" si="45"/>
        <v>049070 KS</v>
      </c>
      <c r="D1005" s="58" t="s">
        <v>3671</v>
      </c>
      <c r="E1005" s="110" t="s">
        <v>3527</v>
      </c>
      <c r="F1005" s="110" t="str">
        <f>IFERROR(VLOOKUP(C1005,[1]evdl298!$B:$D,3,0),"")</f>
        <v/>
      </c>
      <c r="G1005" s="110" t="str">
        <f>IFERROR(VLOOKUP(C1005,[1]evdl298!$B:$C,2,0),"")</f>
        <v/>
      </c>
      <c r="H1005" s="110" t="str">
        <f t="shared" si="46"/>
        <v/>
      </c>
      <c r="I1005" s="110" t="str">
        <f t="shared" si="47"/>
        <v/>
      </c>
      <c r="J1005" s="110"/>
      <c r="K1005" s="110"/>
      <c r="M1005" s="110"/>
      <c r="O1005" s="110"/>
    </row>
    <row r="1006" spans="1:15" x14ac:dyDescent="0.3">
      <c r="A1006" s="58" t="str">
        <f>Schedule!E1004</f>
        <v>A049120</v>
      </c>
      <c r="B1006" s="58" t="s">
        <v>2455</v>
      </c>
      <c r="C1006" s="58" t="str">
        <f t="shared" si="45"/>
        <v>049120 KS</v>
      </c>
      <c r="D1006" s="58" t="s">
        <v>3671</v>
      </c>
      <c r="E1006" s="110" t="s">
        <v>3675</v>
      </c>
      <c r="F1006" s="110" t="str">
        <f>IFERROR(VLOOKUP(C1006,[1]evdl298!$B:$D,3,0),"")</f>
        <v>E</v>
      </c>
      <c r="G1006" s="110">
        <f>IFERROR(VLOOKUP(C1006,[1]evdl298!$B:$C,2,0),"")</f>
        <v>41500</v>
      </c>
      <c r="H1006" s="110" t="str">
        <f t="shared" si="46"/>
        <v>E</v>
      </c>
      <c r="I1006" s="110">
        <f t="shared" si="47"/>
        <v>41500</v>
      </c>
      <c r="J1006" s="110"/>
      <c r="K1006" s="110"/>
      <c r="M1006" s="110"/>
      <c r="O1006" s="110"/>
    </row>
    <row r="1007" spans="1:15" x14ac:dyDescent="0.3">
      <c r="A1007" s="58" t="str">
        <f>Schedule!E1005</f>
        <v>A049180</v>
      </c>
      <c r="B1007" s="58" t="s">
        <v>2456</v>
      </c>
      <c r="C1007" s="58" t="str">
        <f t="shared" si="45"/>
        <v>049180 KS</v>
      </c>
      <c r="D1007" s="58" t="s">
        <v>3671</v>
      </c>
      <c r="E1007" s="110" t="s">
        <v>3527</v>
      </c>
      <c r="F1007" s="110" t="str">
        <f>IFERROR(VLOOKUP(C1007,[1]evdl298!$B:$D,3,0),"")</f>
        <v>E</v>
      </c>
      <c r="G1007" s="110">
        <f>IFERROR(VLOOKUP(C1007,[1]evdl298!$B:$C,2,0),"")</f>
        <v>41515</v>
      </c>
      <c r="H1007" s="110" t="str">
        <f t="shared" si="46"/>
        <v>E</v>
      </c>
      <c r="I1007" s="110">
        <f t="shared" si="47"/>
        <v>41515</v>
      </c>
      <c r="J1007" s="110"/>
      <c r="K1007" s="110"/>
      <c r="M1007" s="110"/>
      <c r="O1007" s="110"/>
    </row>
    <row r="1008" spans="1:15" x14ac:dyDescent="0.3">
      <c r="A1008" s="58" t="str">
        <f>Schedule!E1006</f>
        <v>A049430</v>
      </c>
      <c r="B1008" s="58" t="s">
        <v>3646</v>
      </c>
      <c r="C1008" s="58" t="str">
        <f t="shared" si="45"/>
        <v>049430 KS</v>
      </c>
      <c r="D1008" s="58" t="s">
        <v>3671</v>
      </c>
      <c r="E1008" s="110" t="s">
        <v>3527</v>
      </c>
      <c r="F1008" s="110" t="str">
        <f>IFERROR(VLOOKUP(C1008,[1]evdl298!$B:$D,3,0),"")</f>
        <v/>
      </c>
      <c r="G1008" s="110" t="str">
        <f>IFERROR(VLOOKUP(C1008,[1]evdl298!$B:$C,2,0),"")</f>
        <v/>
      </c>
      <c r="H1008" s="110" t="str">
        <f t="shared" si="46"/>
        <v/>
      </c>
      <c r="I1008" s="110" t="str">
        <f t="shared" si="47"/>
        <v/>
      </c>
      <c r="J1008" s="110"/>
      <c r="K1008" s="110"/>
      <c r="M1008" s="110"/>
      <c r="O1008" s="110"/>
    </row>
    <row r="1009" spans="1:15" x14ac:dyDescent="0.3">
      <c r="A1009" s="58" t="str">
        <f>Schedule!E1007</f>
        <v>A049470</v>
      </c>
      <c r="B1009" s="58" t="s">
        <v>2457</v>
      </c>
      <c r="C1009" s="58" t="str">
        <f t="shared" si="45"/>
        <v>049470 KS</v>
      </c>
      <c r="D1009" s="58" t="s">
        <v>3671</v>
      </c>
      <c r="E1009" s="110" t="s">
        <v>3527</v>
      </c>
      <c r="F1009" s="110" t="str">
        <f>IFERROR(VLOOKUP(C1009,[1]evdl298!$B:$D,3,0),"")</f>
        <v/>
      </c>
      <c r="G1009" s="110" t="str">
        <f>IFERROR(VLOOKUP(C1009,[1]evdl298!$B:$C,2,0),"")</f>
        <v/>
      </c>
      <c r="H1009" s="110" t="str">
        <f t="shared" si="46"/>
        <v/>
      </c>
      <c r="I1009" s="110" t="str">
        <f t="shared" si="47"/>
        <v/>
      </c>
      <c r="J1009" s="110"/>
      <c r="K1009" s="110"/>
      <c r="M1009" s="110"/>
      <c r="O1009" s="110"/>
    </row>
    <row r="1010" spans="1:15" x14ac:dyDescent="0.3">
      <c r="A1010" s="58" t="str">
        <f>Schedule!E1008</f>
        <v>A049480</v>
      </c>
      <c r="B1010" s="58" t="s">
        <v>2458</v>
      </c>
      <c r="C1010" s="58" t="str">
        <f t="shared" si="45"/>
        <v>049480 KS</v>
      </c>
      <c r="D1010" s="58" t="s">
        <v>3671</v>
      </c>
      <c r="E1010" s="110" t="s">
        <v>3527</v>
      </c>
      <c r="F1010" s="110" t="str">
        <f>IFERROR(VLOOKUP(C1010,[1]evdl298!$B:$D,3,0),"")</f>
        <v/>
      </c>
      <c r="G1010" s="110" t="str">
        <f>IFERROR(VLOOKUP(C1010,[1]evdl298!$B:$C,2,0),"")</f>
        <v/>
      </c>
      <c r="H1010" s="110" t="str">
        <f t="shared" si="46"/>
        <v/>
      </c>
      <c r="I1010" s="110" t="str">
        <f t="shared" si="47"/>
        <v/>
      </c>
      <c r="J1010" s="110"/>
      <c r="K1010" s="110"/>
      <c r="M1010" s="110"/>
      <c r="O1010" s="110"/>
    </row>
    <row r="1011" spans="1:15" x14ac:dyDescent="0.3">
      <c r="A1011" s="58" t="str">
        <f>Schedule!E1009</f>
        <v>A049520</v>
      </c>
      <c r="B1011" s="58" t="s">
        <v>2459</v>
      </c>
      <c r="C1011" s="58" t="str">
        <f t="shared" si="45"/>
        <v>049520 KS</v>
      </c>
      <c r="D1011" s="58" t="s">
        <v>3671</v>
      </c>
      <c r="E1011" s="110" t="s">
        <v>3527</v>
      </c>
      <c r="F1011" s="110" t="str">
        <f>IFERROR(VLOOKUP(C1011,[1]evdl298!$B:$D,3,0),"")</f>
        <v>E</v>
      </c>
      <c r="G1011" s="110">
        <f>IFERROR(VLOOKUP(C1011,[1]evdl298!$B:$C,2,0),"")</f>
        <v>41515</v>
      </c>
      <c r="H1011" s="110" t="str">
        <f t="shared" si="46"/>
        <v>E</v>
      </c>
      <c r="I1011" s="110">
        <f t="shared" si="47"/>
        <v>41515</v>
      </c>
      <c r="J1011" s="110"/>
      <c r="K1011" s="110"/>
      <c r="M1011" s="110"/>
      <c r="O1011" s="110"/>
    </row>
    <row r="1012" spans="1:15" x14ac:dyDescent="0.3">
      <c r="A1012" s="58" t="str">
        <f>Schedule!E1010</f>
        <v>A049550</v>
      </c>
      <c r="B1012" s="58" t="s">
        <v>2460</v>
      </c>
      <c r="C1012" s="58" t="str">
        <f t="shared" si="45"/>
        <v>049550 KS</v>
      </c>
      <c r="D1012" s="58" t="s">
        <v>3671</v>
      </c>
      <c r="E1012" s="110" t="s">
        <v>3527</v>
      </c>
      <c r="F1012" s="110" t="str">
        <f>IFERROR(VLOOKUP(C1012,[1]evdl298!$B:$D,3,0),"")</f>
        <v>E</v>
      </c>
      <c r="G1012" s="110">
        <f>IFERROR(VLOOKUP(C1012,[1]evdl298!$B:$C,2,0),"")</f>
        <v>41495</v>
      </c>
      <c r="H1012" s="110" t="str">
        <f t="shared" si="46"/>
        <v>E</v>
      </c>
      <c r="I1012" s="110">
        <f t="shared" si="47"/>
        <v>41495</v>
      </c>
      <c r="J1012" s="110"/>
      <c r="K1012" s="110"/>
      <c r="M1012" s="110"/>
      <c r="O1012" s="110"/>
    </row>
    <row r="1013" spans="1:15" x14ac:dyDescent="0.3">
      <c r="A1013" s="58" t="str">
        <f>Schedule!E1011</f>
        <v>A049630</v>
      </c>
      <c r="B1013" s="58" t="s">
        <v>2461</v>
      </c>
      <c r="C1013" s="58" t="str">
        <f t="shared" si="45"/>
        <v>049630 KS</v>
      </c>
      <c r="D1013" s="58" t="s">
        <v>3671</v>
      </c>
      <c r="E1013" s="110" t="s">
        <v>3527</v>
      </c>
      <c r="F1013" s="110" t="str">
        <f>IFERROR(VLOOKUP(C1013,[1]evdl298!$B:$D,3,0),"")</f>
        <v/>
      </c>
      <c r="G1013" s="110" t="str">
        <f>IFERROR(VLOOKUP(C1013,[1]evdl298!$B:$C,2,0),"")</f>
        <v/>
      </c>
      <c r="H1013" s="110" t="str">
        <f t="shared" si="46"/>
        <v/>
      </c>
      <c r="I1013" s="110" t="str">
        <f t="shared" si="47"/>
        <v/>
      </c>
      <c r="J1013" s="110"/>
      <c r="K1013" s="110"/>
      <c r="M1013" s="110"/>
      <c r="O1013" s="110"/>
    </row>
    <row r="1014" spans="1:15" x14ac:dyDescent="0.3">
      <c r="A1014" s="58" t="str">
        <f>Schedule!E1012</f>
        <v>A049720</v>
      </c>
      <c r="B1014" s="58" t="s">
        <v>2462</v>
      </c>
      <c r="C1014" s="58" t="str">
        <f t="shared" si="45"/>
        <v>049720 KS</v>
      </c>
      <c r="D1014" s="58" t="s">
        <v>3671</v>
      </c>
      <c r="E1014" s="110" t="s">
        <v>3527</v>
      </c>
      <c r="F1014" s="110" t="str">
        <f>IFERROR(VLOOKUP(C1014,[1]evdl298!$B:$D,3,0),"")</f>
        <v/>
      </c>
      <c r="G1014" s="110" t="str">
        <f>IFERROR(VLOOKUP(C1014,[1]evdl298!$B:$C,2,0),"")</f>
        <v/>
      </c>
      <c r="H1014" s="110" t="str">
        <f t="shared" si="46"/>
        <v/>
      </c>
      <c r="I1014" s="110" t="str">
        <f t="shared" si="47"/>
        <v/>
      </c>
      <c r="J1014" s="110"/>
      <c r="K1014" s="110"/>
      <c r="M1014" s="110"/>
      <c r="O1014" s="110"/>
    </row>
    <row r="1015" spans="1:15" x14ac:dyDescent="0.3">
      <c r="A1015" s="58" t="str">
        <f>Schedule!E1013</f>
        <v>A049770</v>
      </c>
      <c r="B1015" s="58" t="s">
        <v>2463</v>
      </c>
      <c r="C1015" s="58" t="str">
        <f t="shared" si="45"/>
        <v>049770 KS</v>
      </c>
      <c r="D1015" s="58" t="s">
        <v>3671</v>
      </c>
      <c r="E1015" s="110" t="s">
        <v>3527</v>
      </c>
      <c r="F1015" s="110" t="str">
        <f>IFERROR(VLOOKUP(C1015,[1]evdl298!$B:$D,3,0),"")</f>
        <v>E</v>
      </c>
      <c r="G1015" s="110">
        <f>IFERROR(VLOOKUP(C1015,[1]evdl298!$B:$C,2,0),"")</f>
        <v>41499</v>
      </c>
      <c r="H1015" s="110" t="str">
        <f t="shared" si="46"/>
        <v>E</v>
      </c>
      <c r="I1015" s="110">
        <f t="shared" si="47"/>
        <v>41499</v>
      </c>
      <c r="J1015" s="110"/>
      <c r="K1015" s="110"/>
      <c r="M1015" s="110"/>
      <c r="O1015" s="110"/>
    </row>
    <row r="1016" spans="1:15" x14ac:dyDescent="0.3">
      <c r="A1016" s="58" t="str">
        <f>Schedule!E1014</f>
        <v>A049800</v>
      </c>
      <c r="B1016" s="58" t="s">
        <v>2464</v>
      </c>
      <c r="C1016" s="58" t="str">
        <f t="shared" si="45"/>
        <v>049800 KS</v>
      </c>
      <c r="D1016" s="58" t="s">
        <v>3671</v>
      </c>
      <c r="E1016" s="110" t="s">
        <v>3675</v>
      </c>
      <c r="F1016" s="110" t="str">
        <f>IFERROR(VLOOKUP(C1016,[1]evdl298!$B:$D,3,0),"")</f>
        <v/>
      </c>
      <c r="G1016" s="110" t="str">
        <f>IFERROR(VLOOKUP(C1016,[1]evdl298!$B:$C,2,0),"")</f>
        <v/>
      </c>
      <c r="H1016" s="110" t="str">
        <f t="shared" si="46"/>
        <v/>
      </c>
      <c r="I1016" s="110" t="str">
        <f t="shared" si="47"/>
        <v>2013-08-15</v>
      </c>
      <c r="J1016" s="110"/>
      <c r="K1016" s="110"/>
      <c r="M1016" s="110"/>
      <c r="O1016" s="110"/>
    </row>
    <row r="1017" spans="1:15" x14ac:dyDescent="0.3">
      <c r="A1017" s="58" t="str">
        <f>Schedule!E1015</f>
        <v>A049830</v>
      </c>
      <c r="B1017" s="58" t="s">
        <v>2465</v>
      </c>
      <c r="C1017" s="58" t="str">
        <f t="shared" si="45"/>
        <v>049830 KS</v>
      </c>
      <c r="D1017" s="58" t="s">
        <v>3671</v>
      </c>
      <c r="E1017" s="110" t="s">
        <v>3527</v>
      </c>
      <c r="F1017" s="110" t="str">
        <f>IFERROR(VLOOKUP(C1017,[1]evdl298!$B:$D,3,0),"")</f>
        <v>E</v>
      </c>
      <c r="G1017" s="110">
        <f>IFERROR(VLOOKUP(C1017,[1]evdl298!$B:$C,2,0),"")</f>
        <v>41481</v>
      </c>
      <c r="H1017" s="110" t="str">
        <f t="shared" si="46"/>
        <v>E</v>
      </c>
      <c r="I1017" s="110">
        <f t="shared" si="47"/>
        <v>41481</v>
      </c>
      <c r="J1017" s="110"/>
      <c r="K1017" s="110"/>
      <c r="M1017" s="110"/>
      <c r="O1017" s="110"/>
    </row>
    <row r="1018" spans="1:15" x14ac:dyDescent="0.3">
      <c r="A1018" s="58" t="str">
        <f>Schedule!E1016</f>
        <v>A049950</v>
      </c>
      <c r="B1018" s="58" t="s">
        <v>2466</v>
      </c>
      <c r="C1018" s="58" t="str">
        <f t="shared" si="45"/>
        <v>049950 KS</v>
      </c>
      <c r="D1018" s="58" t="s">
        <v>3671</v>
      </c>
      <c r="E1018" s="110" t="s">
        <v>3527</v>
      </c>
      <c r="F1018" s="110" t="str">
        <f>IFERROR(VLOOKUP(C1018,[1]evdl298!$B:$D,3,0),"")</f>
        <v>E</v>
      </c>
      <c r="G1018" s="110">
        <f>IFERROR(VLOOKUP(C1018,[1]evdl298!$B:$C,2,0),"")</f>
        <v>41499</v>
      </c>
      <c r="H1018" s="110" t="str">
        <f t="shared" si="46"/>
        <v>E</v>
      </c>
      <c r="I1018" s="110">
        <f t="shared" si="47"/>
        <v>41499</v>
      </c>
      <c r="J1018" s="110"/>
      <c r="K1018" s="110"/>
      <c r="M1018" s="110"/>
      <c r="O1018" s="110"/>
    </row>
    <row r="1019" spans="1:15" x14ac:dyDescent="0.3">
      <c r="A1019" s="58" t="str">
        <f>Schedule!E1017</f>
        <v>A049960</v>
      </c>
      <c r="B1019" s="58" t="s">
        <v>2467</v>
      </c>
      <c r="C1019" s="58" t="str">
        <f t="shared" si="45"/>
        <v>049960 KS</v>
      </c>
      <c r="D1019" s="58" t="s">
        <v>3671</v>
      </c>
      <c r="E1019" s="110" t="s">
        <v>3527</v>
      </c>
      <c r="F1019" s="110" t="str">
        <f>IFERROR(VLOOKUP(C1019,[1]evdl298!$B:$D,3,0),"")</f>
        <v>E</v>
      </c>
      <c r="G1019" s="110">
        <f>IFERROR(VLOOKUP(C1019,[1]evdl298!$B:$C,2,0),"")</f>
        <v>41515</v>
      </c>
      <c r="H1019" s="110" t="str">
        <f t="shared" si="46"/>
        <v>E</v>
      </c>
      <c r="I1019" s="110">
        <f t="shared" si="47"/>
        <v>41515</v>
      </c>
      <c r="J1019" s="110"/>
      <c r="K1019" s="110"/>
      <c r="M1019" s="110"/>
      <c r="O1019" s="110"/>
    </row>
    <row r="1020" spans="1:15" x14ac:dyDescent="0.3">
      <c r="A1020" s="58" t="str">
        <f>Schedule!E1018</f>
        <v>A050090</v>
      </c>
      <c r="B1020" s="58" t="s">
        <v>2468</v>
      </c>
      <c r="C1020" s="58" t="str">
        <f t="shared" si="45"/>
        <v>050090 KS</v>
      </c>
      <c r="D1020" s="58" t="s">
        <v>3671</v>
      </c>
      <c r="E1020" s="110" t="s">
        <v>3527</v>
      </c>
      <c r="F1020" s="110" t="str">
        <f>IFERROR(VLOOKUP(C1020,[1]evdl298!$B:$D,3,0),"")</f>
        <v/>
      </c>
      <c r="G1020" s="110" t="str">
        <f>IFERROR(VLOOKUP(C1020,[1]evdl298!$B:$C,2,0),"")</f>
        <v/>
      </c>
      <c r="H1020" s="110" t="str">
        <f t="shared" si="46"/>
        <v/>
      </c>
      <c r="I1020" s="110" t="str">
        <f t="shared" si="47"/>
        <v/>
      </c>
      <c r="J1020" s="110"/>
      <c r="K1020" s="110"/>
      <c r="M1020" s="110"/>
      <c r="O1020" s="110"/>
    </row>
    <row r="1021" spans="1:15" x14ac:dyDescent="0.3">
      <c r="A1021" s="58" t="str">
        <f>Schedule!E1019</f>
        <v>A050110</v>
      </c>
      <c r="B1021" s="58" t="s">
        <v>2469</v>
      </c>
      <c r="C1021" s="58" t="str">
        <f t="shared" si="45"/>
        <v>050110 KS</v>
      </c>
      <c r="D1021" s="58" t="s">
        <v>3671</v>
      </c>
      <c r="E1021" s="110" t="s">
        <v>3527</v>
      </c>
      <c r="F1021" s="110" t="str">
        <f>IFERROR(VLOOKUP(C1021,[1]evdl298!$B:$D,3,0),"")</f>
        <v/>
      </c>
      <c r="G1021" s="110" t="str">
        <f>IFERROR(VLOOKUP(C1021,[1]evdl298!$B:$C,2,0),"")</f>
        <v/>
      </c>
      <c r="H1021" s="110" t="str">
        <f t="shared" si="46"/>
        <v/>
      </c>
      <c r="I1021" s="110" t="str">
        <f t="shared" si="47"/>
        <v/>
      </c>
      <c r="J1021" s="110"/>
      <c r="K1021" s="110"/>
      <c r="M1021" s="110"/>
      <c r="O1021" s="110"/>
    </row>
    <row r="1022" spans="1:15" x14ac:dyDescent="0.3">
      <c r="A1022" s="58" t="str">
        <f>Schedule!E1020</f>
        <v>A050120</v>
      </c>
      <c r="B1022" s="58" t="s">
        <v>2470</v>
      </c>
      <c r="C1022" s="58" t="str">
        <f t="shared" si="45"/>
        <v>050120 KS</v>
      </c>
      <c r="D1022" s="58" t="s">
        <v>3671</v>
      </c>
      <c r="E1022" s="110" t="s">
        <v>3527</v>
      </c>
      <c r="F1022" s="110" t="str">
        <f>IFERROR(VLOOKUP(C1022,[1]evdl298!$B:$D,3,0),"")</f>
        <v/>
      </c>
      <c r="G1022" s="110" t="str">
        <f>IFERROR(VLOOKUP(C1022,[1]evdl298!$B:$C,2,0),"")</f>
        <v/>
      </c>
      <c r="H1022" s="110" t="str">
        <f t="shared" si="46"/>
        <v/>
      </c>
      <c r="I1022" s="110" t="str">
        <f t="shared" si="47"/>
        <v/>
      </c>
      <c r="J1022" s="110"/>
      <c r="K1022" s="110"/>
      <c r="M1022" s="110"/>
      <c r="O1022" s="110"/>
    </row>
    <row r="1023" spans="1:15" x14ac:dyDescent="0.3">
      <c r="A1023" s="58" t="str">
        <f>Schedule!E1021</f>
        <v>A050320</v>
      </c>
      <c r="B1023" s="58" t="s">
        <v>2471</v>
      </c>
      <c r="C1023" s="58" t="str">
        <f t="shared" si="45"/>
        <v>050320 KS</v>
      </c>
      <c r="D1023" s="58" t="s">
        <v>3671</v>
      </c>
      <c r="E1023" s="110" t="s">
        <v>3527</v>
      </c>
      <c r="F1023" s="110" t="str">
        <f>IFERROR(VLOOKUP(C1023,[1]evdl298!$B:$D,3,0),"")</f>
        <v/>
      </c>
      <c r="G1023" s="110" t="str">
        <f>IFERROR(VLOOKUP(C1023,[1]evdl298!$B:$C,2,0),"")</f>
        <v/>
      </c>
      <c r="H1023" s="110" t="str">
        <f t="shared" si="46"/>
        <v/>
      </c>
      <c r="I1023" s="110" t="str">
        <f t="shared" si="47"/>
        <v/>
      </c>
      <c r="J1023" s="110"/>
      <c r="K1023" s="110"/>
      <c r="M1023" s="110"/>
      <c r="O1023" s="110"/>
    </row>
    <row r="1024" spans="1:15" x14ac:dyDescent="0.3">
      <c r="A1024" s="58" t="str">
        <f>Schedule!E1022</f>
        <v>A050540</v>
      </c>
      <c r="B1024" s="58" t="s">
        <v>2472</v>
      </c>
      <c r="C1024" s="58" t="str">
        <f t="shared" si="45"/>
        <v>050540 KS</v>
      </c>
      <c r="D1024" s="58" t="s">
        <v>3671</v>
      </c>
      <c r="E1024" s="110" t="s">
        <v>3527</v>
      </c>
      <c r="F1024" s="110" t="str">
        <f>IFERROR(VLOOKUP(C1024,[1]evdl298!$B:$D,3,0),"")</f>
        <v>E</v>
      </c>
      <c r="G1024" s="110">
        <f>IFERROR(VLOOKUP(C1024,[1]evdl298!$B:$C,2,0),"")</f>
        <v>41515</v>
      </c>
      <c r="H1024" s="110" t="str">
        <f t="shared" si="46"/>
        <v>E</v>
      </c>
      <c r="I1024" s="110">
        <f t="shared" si="47"/>
        <v>41515</v>
      </c>
      <c r="J1024" s="110"/>
      <c r="K1024" s="110"/>
      <c r="M1024" s="110"/>
      <c r="O1024" s="110"/>
    </row>
    <row r="1025" spans="1:15" x14ac:dyDescent="0.3">
      <c r="A1025" s="58" t="str">
        <f>Schedule!E1023</f>
        <v>A050760</v>
      </c>
      <c r="B1025" s="58" t="s">
        <v>2473</v>
      </c>
      <c r="C1025" s="58" t="str">
        <f t="shared" si="45"/>
        <v>050760 KS</v>
      </c>
      <c r="D1025" s="58" t="s">
        <v>3671</v>
      </c>
      <c r="E1025" s="110" t="s">
        <v>3527</v>
      </c>
      <c r="F1025" s="110" t="str">
        <f>IFERROR(VLOOKUP(C1025,[1]evdl298!$B:$D,3,0),"")</f>
        <v>E</v>
      </c>
      <c r="G1025" s="110">
        <f>IFERROR(VLOOKUP(C1025,[1]evdl298!$B:$C,2,0),"")</f>
        <v>41515</v>
      </c>
      <c r="H1025" s="110" t="str">
        <f t="shared" si="46"/>
        <v>E</v>
      </c>
      <c r="I1025" s="110">
        <f t="shared" si="47"/>
        <v>41515</v>
      </c>
      <c r="J1025" s="110"/>
      <c r="K1025" s="110"/>
      <c r="M1025" s="110"/>
      <c r="O1025" s="110"/>
    </row>
    <row r="1026" spans="1:15" x14ac:dyDescent="0.3">
      <c r="A1026" s="58" t="str">
        <f>Schedule!E1024</f>
        <v>A050860</v>
      </c>
      <c r="B1026" s="58" t="s">
        <v>2474</v>
      </c>
      <c r="C1026" s="58" t="str">
        <f t="shared" si="45"/>
        <v>050860 KS</v>
      </c>
      <c r="D1026" s="58" t="s">
        <v>3671</v>
      </c>
      <c r="E1026" s="110" t="s">
        <v>3527</v>
      </c>
      <c r="F1026" s="110" t="str">
        <f>IFERROR(VLOOKUP(C1026,[1]evdl298!$B:$D,3,0),"")</f>
        <v/>
      </c>
      <c r="G1026" s="110" t="str">
        <f>IFERROR(VLOOKUP(C1026,[1]evdl298!$B:$C,2,0),"")</f>
        <v/>
      </c>
      <c r="H1026" s="110" t="str">
        <f t="shared" si="46"/>
        <v/>
      </c>
      <c r="I1026" s="110" t="str">
        <f t="shared" si="47"/>
        <v/>
      </c>
      <c r="J1026" s="110"/>
      <c r="K1026" s="110"/>
      <c r="M1026" s="110"/>
      <c r="O1026" s="110"/>
    </row>
    <row r="1027" spans="1:15" x14ac:dyDescent="0.3">
      <c r="A1027" s="58" t="str">
        <f>Schedule!E1025</f>
        <v>A050890</v>
      </c>
      <c r="B1027" s="58" t="s">
        <v>3354</v>
      </c>
      <c r="C1027" s="58" t="str">
        <f t="shared" si="45"/>
        <v>050890 KS</v>
      </c>
      <c r="D1027" s="58" t="s">
        <v>3671</v>
      </c>
      <c r="E1027" s="110" t="s">
        <v>3527</v>
      </c>
      <c r="F1027" s="110" t="str">
        <f>IFERROR(VLOOKUP(C1027,[1]evdl298!$B:$D,3,0),"")</f>
        <v/>
      </c>
      <c r="G1027" s="110" t="str">
        <f>IFERROR(VLOOKUP(C1027,[1]evdl298!$B:$C,2,0),"")</f>
        <v/>
      </c>
      <c r="H1027" s="110" t="str">
        <f t="shared" si="46"/>
        <v/>
      </c>
      <c r="I1027" s="110" t="str">
        <f t="shared" si="47"/>
        <v/>
      </c>
      <c r="J1027" s="110"/>
      <c r="K1027" s="110"/>
      <c r="M1027" s="110"/>
      <c r="O1027" s="110"/>
    </row>
    <row r="1028" spans="1:15" x14ac:dyDescent="0.3">
      <c r="A1028" s="58" t="str">
        <f>Schedule!E1026</f>
        <v>A051160</v>
      </c>
      <c r="B1028" s="58" t="s">
        <v>2475</v>
      </c>
      <c r="C1028" s="58" t="str">
        <f t="shared" si="45"/>
        <v>051160 KS</v>
      </c>
      <c r="D1028" s="58" t="s">
        <v>3671</v>
      </c>
      <c r="E1028" s="110" t="s">
        <v>3527</v>
      </c>
      <c r="F1028" s="110" t="str">
        <f>IFERROR(VLOOKUP(C1028,[1]evdl298!$B:$D,3,0),"")</f>
        <v>E</v>
      </c>
      <c r="G1028" s="110">
        <f>IFERROR(VLOOKUP(C1028,[1]evdl298!$B:$C,2,0),"")</f>
        <v>41500</v>
      </c>
      <c r="H1028" s="110" t="str">
        <f t="shared" si="46"/>
        <v>E</v>
      </c>
      <c r="I1028" s="110">
        <f t="shared" si="47"/>
        <v>41500</v>
      </c>
      <c r="J1028" s="110"/>
      <c r="K1028" s="110"/>
      <c r="M1028" s="110"/>
      <c r="O1028" s="110"/>
    </row>
    <row r="1029" spans="1:15" x14ac:dyDescent="0.3">
      <c r="A1029" s="58" t="str">
        <f>Schedule!E1027</f>
        <v>A051170</v>
      </c>
      <c r="B1029" s="58" t="s">
        <v>3647</v>
      </c>
      <c r="C1029" s="58" t="str">
        <f t="shared" si="45"/>
        <v>051170 KS</v>
      </c>
      <c r="D1029" s="58" t="s">
        <v>3671</v>
      </c>
      <c r="E1029" s="110" t="s">
        <v>3527</v>
      </c>
      <c r="F1029" s="110" t="str">
        <f>IFERROR(VLOOKUP(C1029,[1]evdl298!$B:$D,3,0),"")</f>
        <v/>
      </c>
      <c r="G1029" s="110" t="str">
        <f>IFERROR(VLOOKUP(C1029,[1]evdl298!$B:$C,2,0),"")</f>
        <v/>
      </c>
      <c r="H1029" s="110" t="str">
        <f t="shared" si="46"/>
        <v/>
      </c>
      <c r="I1029" s="110" t="str">
        <f t="shared" si="47"/>
        <v/>
      </c>
      <c r="J1029" s="110"/>
      <c r="K1029" s="110"/>
      <c r="M1029" s="110"/>
      <c r="O1029" s="110"/>
    </row>
    <row r="1030" spans="1:15" x14ac:dyDescent="0.3">
      <c r="A1030" s="58" t="str">
        <f>Schedule!E1028</f>
        <v>A051310</v>
      </c>
      <c r="B1030" s="58" t="s">
        <v>2476</v>
      </c>
      <c r="C1030" s="58" t="str">
        <f t="shared" si="45"/>
        <v>051310 KS</v>
      </c>
      <c r="D1030" s="58" t="s">
        <v>3671</v>
      </c>
      <c r="E1030" s="110" t="s">
        <v>3527</v>
      </c>
      <c r="F1030" s="110" t="str">
        <f>IFERROR(VLOOKUP(C1030,[1]evdl298!$B:$D,3,0),"")</f>
        <v/>
      </c>
      <c r="G1030" s="110" t="str">
        <f>IFERROR(VLOOKUP(C1030,[1]evdl298!$B:$C,2,0),"")</f>
        <v/>
      </c>
      <c r="H1030" s="110" t="str">
        <f t="shared" si="46"/>
        <v/>
      </c>
      <c r="I1030" s="110" t="str">
        <f t="shared" si="47"/>
        <v/>
      </c>
      <c r="J1030" s="110"/>
      <c r="K1030" s="110"/>
      <c r="M1030" s="110"/>
      <c r="O1030" s="110"/>
    </row>
    <row r="1031" spans="1:15" x14ac:dyDescent="0.3">
      <c r="A1031" s="58" t="str">
        <f>Schedule!E1029</f>
        <v>A051360</v>
      </c>
      <c r="B1031" s="58" t="s">
        <v>2477</v>
      </c>
      <c r="C1031" s="58" t="str">
        <f t="shared" si="45"/>
        <v>051360 KS</v>
      </c>
      <c r="D1031" s="58" t="s">
        <v>3671</v>
      </c>
      <c r="E1031" s="110" t="s">
        <v>3527</v>
      </c>
      <c r="F1031" s="110" t="str">
        <f>IFERROR(VLOOKUP(C1031,[1]evdl298!$B:$D,3,0),"")</f>
        <v>E</v>
      </c>
      <c r="G1031" s="110">
        <f>IFERROR(VLOOKUP(C1031,[1]evdl298!$B:$C,2,0),"")</f>
        <v>41495</v>
      </c>
      <c r="H1031" s="110" t="str">
        <f t="shared" si="46"/>
        <v>E</v>
      </c>
      <c r="I1031" s="110">
        <f t="shared" si="47"/>
        <v>41495</v>
      </c>
      <c r="J1031" s="110"/>
      <c r="K1031" s="110"/>
      <c r="M1031" s="110"/>
      <c r="O1031" s="110"/>
    </row>
    <row r="1032" spans="1:15" x14ac:dyDescent="0.3">
      <c r="A1032" s="58" t="str">
        <f>Schedule!E1030</f>
        <v>A051370</v>
      </c>
      <c r="B1032" s="58" t="s">
        <v>2478</v>
      </c>
      <c r="C1032" s="58" t="str">
        <f t="shared" si="45"/>
        <v>051370 KS</v>
      </c>
      <c r="D1032" s="58" t="s">
        <v>3671</v>
      </c>
      <c r="E1032" s="110" t="s">
        <v>3527</v>
      </c>
      <c r="F1032" s="110" t="str">
        <f>IFERROR(VLOOKUP(C1032,[1]evdl298!$B:$D,3,0),"")</f>
        <v>C</v>
      </c>
      <c r="G1032" s="110">
        <f>IFERROR(VLOOKUP(C1032,[1]evdl298!$B:$C,2,0),"")</f>
        <v>41466</v>
      </c>
      <c r="H1032" s="110" t="str">
        <f t="shared" si="46"/>
        <v>C</v>
      </c>
      <c r="I1032" s="110">
        <f t="shared" si="47"/>
        <v>41466</v>
      </c>
      <c r="J1032" s="110"/>
      <c r="K1032" s="110"/>
      <c r="M1032" s="110"/>
      <c r="O1032" s="110"/>
    </row>
    <row r="1033" spans="1:15" x14ac:dyDescent="0.3">
      <c r="A1033" s="58" t="str">
        <f>Schedule!E1031</f>
        <v>A051380</v>
      </c>
      <c r="B1033" s="58" t="s">
        <v>2479</v>
      </c>
      <c r="C1033" s="58" t="str">
        <f t="shared" si="45"/>
        <v>051380 KS</v>
      </c>
      <c r="D1033" s="58" t="s">
        <v>3671</v>
      </c>
      <c r="E1033" s="110" t="s">
        <v>3677</v>
      </c>
      <c r="F1033" s="110" t="str">
        <f>IFERROR(VLOOKUP(C1033,[1]evdl298!$B:$D,3,0),"")</f>
        <v>E</v>
      </c>
      <c r="G1033" s="110">
        <f>IFERROR(VLOOKUP(C1033,[1]evdl298!$B:$C,2,0),"")</f>
        <v>41500</v>
      </c>
      <c r="H1033" s="110" t="str">
        <f t="shared" si="46"/>
        <v>E</v>
      </c>
      <c r="I1033" s="110">
        <f t="shared" si="47"/>
        <v>41500</v>
      </c>
      <c r="J1033" s="110"/>
      <c r="K1033" s="110"/>
      <c r="M1033" s="110"/>
      <c r="O1033" s="110"/>
    </row>
    <row r="1034" spans="1:15" x14ac:dyDescent="0.3">
      <c r="A1034" s="58" t="str">
        <f>Schedule!E1032</f>
        <v>A051390</v>
      </c>
      <c r="B1034" s="58" t="s">
        <v>2480</v>
      </c>
      <c r="C1034" s="58" t="str">
        <f t="shared" si="45"/>
        <v>051390 KS</v>
      </c>
      <c r="D1034" s="58" t="s">
        <v>3671</v>
      </c>
      <c r="E1034" s="110" t="s">
        <v>3527</v>
      </c>
      <c r="F1034" s="110" t="str">
        <f>IFERROR(VLOOKUP(C1034,[1]evdl298!$B:$D,3,0),"")</f>
        <v>E</v>
      </c>
      <c r="G1034" s="110">
        <f>IFERROR(VLOOKUP(C1034,[1]evdl298!$B:$C,2,0),"")</f>
        <v>41515</v>
      </c>
      <c r="H1034" s="110" t="str">
        <f t="shared" si="46"/>
        <v>E</v>
      </c>
      <c r="I1034" s="110">
        <f t="shared" si="47"/>
        <v>41515</v>
      </c>
      <c r="J1034" s="110"/>
      <c r="K1034" s="110"/>
      <c r="M1034" s="110"/>
      <c r="O1034" s="110"/>
    </row>
    <row r="1035" spans="1:15" x14ac:dyDescent="0.3">
      <c r="A1035" s="58" t="str">
        <f>Schedule!E1033</f>
        <v>A051490</v>
      </c>
      <c r="B1035" s="58" t="s">
        <v>2481</v>
      </c>
      <c r="C1035" s="58" t="str">
        <f t="shared" si="45"/>
        <v>051490 KS</v>
      </c>
      <c r="D1035" s="58" t="s">
        <v>3671</v>
      </c>
      <c r="E1035" s="110" t="s">
        <v>3527</v>
      </c>
      <c r="F1035" s="110" t="str">
        <f>IFERROR(VLOOKUP(C1035,[1]evdl298!$B:$D,3,0),"")</f>
        <v>E</v>
      </c>
      <c r="G1035" s="110">
        <f>IFERROR(VLOOKUP(C1035,[1]evdl298!$B:$C,2,0),"")</f>
        <v>41500</v>
      </c>
      <c r="H1035" s="110" t="str">
        <f t="shared" si="46"/>
        <v>E</v>
      </c>
      <c r="I1035" s="110">
        <f t="shared" si="47"/>
        <v>41500</v>
      </c>
      <c r="J1035" s="110"/>
      <c r="K1035" s="110"/>
      <c r="M1035" s="110"/>
      <c r="O1035" s="110"/>
    </row>
    <row r="1036" spans="1:15" x14ac:dyDescent="0.3">
      <c r="A1036" s="58" t="str">
        <f>Schedule!E1034</f>
        <v>A051500</v>
      </c>
      <c r="B1036" s="58" t="s">
        <v>2482</v>
      </c>
      <c r="C1036" s="58" t="str">
        <f t="shared" si="45"/>
        <v>051500 KS</v>
      </c>
      <c r="D1036" s="58" t="s">
        <v>3671</v>
      </c>
      <c r="E1036" s="110" t="s">
        <v>3527</v>
      </c>
      <c r="F1036" s="110" t="str">
        <f>IFERROR(VLOOKUP(C1036,[1]evdl298!$B:$D,3,0),"")</f>
        <v>E</v>
      </c>
      <c r="G1036" s="110">
        <f>IFERROR(VLOOKUP(C1036,[1]evdl298!$B:$C,2,0),"")</f>
        <v>41515</v>
      </c>
      <c r="H1036" s="110" t="str">
        <f t="shared" si="46"/>
        <v>E</v>
      </c>
      <c r="I1036" s="110">
        <f t="shared" si="47"/>
        <v>41515</v>
      </c>
      <c r="J1036" s="110"/>
      <c r="K1036" s="110"/>
      <c r="M1036" s="110"/>
      <c r="O1036" s="110"/>
    </row>
    <row r="1037" spans="1:15" x14ac:dyDescent="0.3">
      <c r="A1037" s="58" t="str">
        <f>Schedule!E1035</f>
        <v>A051600</v>
      </c>
      <c r="B1037" s="58" t="s">
        <v>2483</v>
      </c>
      <c r="C1037" s="58" t="str">
        <f t="shared" si="45"/>
        <v>051600 KS</v>
      </c>
      <c r="D1037" s="58" t="s">
        <v>3671</v>
      </c>
      <c r="E1037" s="110">
        <v>41486</v>
      </c>
      <c r="F1037" s="110" t="str">
        <f>IFERROR(VLOOKUP(C1037,[1]evdl298!$B:$D,3,0),"")</f>
        <v>E</v>
      </c>
      <c r="G1037" s="110">
        <f>IFERROR(VLOOKUP(C1037,[1]evdl298!$B:$C,2,0),"")</f>
        <v>41485</v>
      </c>
      <c r="H1037" s="110" t="str">
        <f t="shared" si="46"/>
        <v>E</v>
      </c>
      <c r="I1037" s="110">
        <f t="shared" si="47"/>
        <v>41485</v>
      </c>
      <c r="J1037" s="110"/>
      <c r="K1037" s="110"/>
      <c r="M1037" s="110"/>
      <c r="O1037" s="110"/>
    </row>
    <row r="1038" spans="1:15" x14ac:dyDescent="0.3">
      <c r="A1038" s="58" t="str">
        <f>Schedule!E1036</f>
        <v>A051630</v>
      </c>
      <c r="B1038" s="58" t="s">
        <v>2484</v>
      </c>
      <c r="C1038" s="58" t="str">
        <f t="shared" si="45"/>
        <v>051630 KS</v>
      </c>
      <c r="D1038" s="58" t="s">
        <v>3671</v>
      </c>
      <c r="E1038" s="110">
        <v>41486</v>
      </c>
      <c r="F1038" s="110" t="str">
        <f>IFERROR(VLOOKUP(C1038,[1]evdl298!$B:$D,3,0),"")</f>
        <v>E</v>
      </c>
      <c r="G1038" s="110">
        <f>IFERROR(VLOOKUP(C1038,[1]evdl298!$B:$C,2,0),"")</f>
        <v>41460</v>
      </c>
      <c r="H1038" s="110" t="str">
        <f t="shared" si="46"/>
        <v>E</v>
      </c>
      <c r="I1038" s="110">
        <f t="shared" si="47"/>
        <v>41460</v>
      </c>
      <c r="J1038" s="110"/>
      <c r="K1038" s="110"/>
      <c r="M1038" s="110"/>
      <c r="O1038" s="110"/>
    </row>
    <row r="1039" spans="1:15" x14ac:dyDescent="0.3">
      <c r="A1039" s="58" t="str">
        <f>Schedule!E1037</f>
        <v>A051780</v>
      </c>
      <c r="B1039" s="58" t="s">
        <v>2485</v>
      </c>
      <c r="C1039" s="58" t="str">
        <f t="shared" si="45"/>
        <v>051780 KS</v>
      </c>
      <c r="D1039" s="58" t="s">
        <v>3671</v>
      </c>
      <c r="E1039" s="110" t="s">
        <v>3527</v>
      </c>
      <c r="F1039" s="110" t="str">
        <f>IFERROR(VLOOKUP(C1039,[1]evdl298!$B:$D,3,0),"")</f>
        <v/>
      </c>
      <c r="G1039" s="110" t="str">
        <f>IFERROR(VLOOKUP(C1039,[1]evdl298!$B:$C,2,0),"")</f>
        <v/>
      </c>
      <c r="H1039" s="110" t="str">
        <f t="shared" si="46"/>
        <v/>
      </c>
      <c r="I1039" s="110" t="str">
        <f t="shared" si="47"/>
        <v/>
      </c>
      <c r="J1039" s="110"/>
      <c r="K1039" s="110"/>
      <c r="M1039" s="110"/>
      <c r="O1039" s="110"/>
    </row>
    <row r="1040" spans="1:15" x14ac:dyDescent="0.3">
      <c r="A1040" s="58" t="str">
        <f>Schedule!E1038</f>
        <v>A051900</v>
      </c>
      <c r="B1040" s="58" t="s">
        <v>2486</v>
      </c>
      <c r="C1040" s="58" t="str">
        <f t="shared" si="45"/>
        <v>051900 KS</v>
      </c>
      <c r="D1040" s="58" t="s">
        <v>3671</v>
      </c>
      <c r="E1040" s="110" t="s">
        <v>3527</v>
      </c>
      <c r="F1040" s="110" t="str">
        <f>IFERROR(VLOOKUP(C1040,[1]evdl298!$B:$D,3,0),"")</f>
        <v>E</v>
      </c>
      <c r="G1040" s="110">
        <f>IFERROR(VLOOKUP(C1040,[1]evdl298!$B:$C,2,0),"")</f>
        <v>41480</v>
      </c>
      <c r="H1040" s="110" t="str">
        <f t="shared" si="46"/>
        <v>E</v>
      </c>
      <c r="I1040" s="110">
        <f t="shared" si="47"/>
        <v>41480</v>
      </c>
      <c r="J1040" s="110"/>
      <c r="K1040" s="110"/>
      <c r="M1040" s="110"/>
      <c r="O1040" s="110"/>
    </row>
    <row r="1041" spans="1:15" x14ac:dyDescent="0.3">
      <c r="A1041" s="58" t="str">
        <f>Schedule!E1039</f>
        <v>A051910</v>
      </c>
      <c r="B1041" s="58" t="s">
        <v>2487</v>
      </c>
      <c r="C1041" s="58" t="str">
        <f t="shared" ref="C1041:C1104" si="48">RIGHT(A1041,6)&amp;" KS"</f>
        <v>051910 KS</v>
      </c>
      <c r="D1041" s="58" t="s">
        <v>3671</v>
      </c>
      <c r="E1041" s="110" t="s">
        <v>3702</v>
      </c>
      <c r="F1041" s="110" t="str">
        <f>IFERROR(VLOOKUP(C1041,[1]evdl298!$B:$D,3,0),"")</f>
        <v>C</v>
      </c>
      <c r="G1041" s="110">
        <f>IFERROR(VLOOKUP(C1041,[1]evdl298!$B:$C,2,0),"")</f>
        <v>41477</v>
      </c>
      <c r="H1041" s="110" t="str">
        <f t="shared" ref="H1041:H1104" si="49">F1041</f>
        <v>C</v>
      </c>
      <c r="I1041" s="110">
        <f t="shared" ref="I1041:I1104" si="50">IF(ISNUMBER(G1041),G1041,E1041)</f>
        <v>41477</v>
      </c>
      <c r="J1041" s="110"/>
      <c r="K1041" s="110"/>
      <c r="M1041" s="110"/>
      <c r="O1041" s="110"/>
    </row>
    <row r="1042" spans="1:15" x14ac:dyDescent="0.3">
      <c r="A1042" s="58" t="str">
        <f>Schedule!E1040</f>
        <v>A051980</v>
      </c>
      <c r="B1042" s="58" t="s">
        <v>2488</v>
      </c>
      <c r="C1042" s="58" t="str">
        <f t="shared" si="48"/>
        <v>051980 KS</v>
      </c>
      <c r="D1042" s="58" t="s">
        <v>3671</v>
      </c>
      <c r="E1042" s="110" t="s">
        <v>3703</v>
      </c>
      <c r="F1042" s="110" t="str">
        <f>IFERROR(VLOOKUP(C1042,[1]evdl298!$B:$D,3,0),"")</f>
        <v/>
      </c>
      <c r="G1042" s="110" t="str">
        <f>IFERROR(VLOOKUP(C1042,[1]evdl298!$B:$C,2,0),"")</f>
        <v/>
      </c>
      <c r="H1042" s="110" t="str">
        <f t="shared" si="49"/>
        <v/>
      </c>
      <c r="I1042" s="110" t="str">
        <f t="shared" si="50"/>
        <v>2013-07-22</v>
      </c>
      <c r="J1042" s="110"/>
      <c r="K1042" s="110"/>
      <c r="M1042" s="110"/>
      <c r="O1042" s="110"/>
    </row>
    <row r="1043" spans="1:15" x14ac:dyDescent="0.3">
      <c r="A1043" s="58" t="str">
        <f>Schedule!E1041</f>
        <v>A052020</v>
      </c>
      <c r="B1043" s="58" t="s">
        <v>2489</v>
      </c>
      <c r="C1043" s="58" t="str">
        <f t="shared" si="48"/>
        <v>052020 KS</v>
      </c>
      <c r="D1043" s="58" t="s">
        <v>3671</v>
      </c>
      <c r="E1043" s="110" t="s">
        <v>3527</v>
      </c>
      <c r="F1043" s="110" t="str">
        <f>IFERROR(VLOOKUP(C1043,[1]evdl298!$B:$D,3,0),"")</f>
        <v/>
      </c>
      <c r="G1043" s="110" t="str">
        <f>IFERROR(VLOOKUP(C1043,[1]evdl298!$B:$C,2,0),"")</f>
        <v/>
      </c>
      <c r="H1043" s="110" t="str">
        <f t="shared" si="49"/>
        <v/>
      </c>
      <c r="I1043" s="110" t="str">
        <f t="shared" si="50"/>
        <v/>
      </c>
      <c r="J1043" s="110"/>
      <c r="K1043" s="110"/>
      <c r="M1043" s="110"/>
      <c r="O1043" s="110"/>
    </row>
    <row r="1044" spans="1:15" x14ac:dyDescent="0.3">
      <c r="A1044" s="58" t="str">
        <f>Schedule!E1042</f>
        <v>A052190</v>
      </c>
      <c r="B1044" s="58" t="s">
        <v>2490</v>
      </c>
      <c r="C1044" s="58" t="str">
        <f t="shared" si="48"/>
        <v>052190 KS</v>
      </c>
      <c r="D1044" s="58" t="s">
        <v>3671</v>
      </c>
      <c r="E1044" s="110" t="s">
        <v>3527</v>
      </c>
      <c r="F1044" s="110" t="str">
        <f>IFERROR(VLOOKUP(C1044,[1]evdl298!$B:$D,3,0),"")</f>
        <v>E</v>
      </c>
      <c r="G1044" s="110">
        <f>IFERROR(VLOOKUP(C1044,[1]evdl298!$B:$C,2,0),"")</f>
        <v>41500</v>
      </c>
      <c r="H1044" s="110" t="str">
        <f t="shared" si="49"/>
        <v>E</v>
      </c>
      <c r="I1044" s="110">
        <f t="shared" si="50"/>
        <v>41500</v>
      </c>
      <c r="J1044" s="110"/>
      <c r="K1044" s="110"/>
      <c r="M1044" s="110"/>
      <c r="O1044" s="110"/>
    </row>
    <row r="1045" spans="1:15" x14ac:dyDescent="0.3">
      <c r="A1045" s="58" t="str">
        <f>Schedule!E1043</f>
        <v>A052220</v>
      </c>
      <c r="B1045" s="58" t="s">
        <v>2491</v>
      </c>
      <c r="C1045" s="58" t="str">
        <f t="shared" si="48"/>
        <v>052220 KS</v>
      </c>
      <c r="D1045" s="58" t="s">
        <v>3671</v>
      </c>
      <c r="E1045" s="110" t="s">
        <v>3527</v>
      </c>
      <c r="F1045" s="110" t="str">
        <f>IFERROR(VLOOKUP(C1045,[1]evdl298!$B:$D,3,0),"")</f>
        <v>E</v>
      </c>
      <c r="G1045" s="110">
        <f>IFERROR(VLOOKUP(C1045,[1]evdl298!$B:$C,2,0),"")</f>
        <v>41494</v>
      </c>
      <c r="H1045" s="110" t="str">
        <f t="shared" si="49"/>
        <v>E</v>
      </c>
      <c r="I1045" s="110">
        <f t="shared" si="50"/>
        <v>41494</v>
      </c>
      <c r="J1045" s="110"/>
      <c r="K1045" s="110"/>
      <c r="M1045" s="110"/>
      <c r="O1045" s="110"/>
    </row>
    <row r="1046" spans="1:15" x14ac:dyDescent="0.3">
      <c r="A1046" s="58" t="str">
        <f>Schedule!E1044</f>
        <v>A052260</v>
      </c>
      <c r="B1046" s="58" t="s">
        <v>2492</v>
      </c>
      <c r="C1046" s="58" t="str">
        <f t="shared" si="48"/>
        <v>052260 KS</v>
      </c>
      <c r="D1046" s="58" t="s">
        <v>3671</v>
      </c>
      <c r="E1046" s="110" t="s">
        <v>3527</v>
      </c>
      <c r="F1046" s="110" t="str">
        <f>IFERROR(VLOOKUP(C1046,[1]evdl298!$B:$D,3,0),"")</f>
        <v>E</v>
      </c>
      <c r="G1046" s="110">
        <f>IFERROR(VLOOKUP(C1046,[1]evdl298!$B:$C,2,0),"")</f>
        <v>41515</v>
      </c>
      <c r="H1046" s="110" t="str">
        <f t="shared" si="49"/>
        <v>E</v>
      </c>
      <c r="I1046" s="110">
        <f t="shared" si="50"/>
        <v>41515</v>
      </c>
      <c r="J1046" s="110"/>
      <c r="K1046" s="110"/>
      <c r="M1046" s="110"/>
      <c r="O1046" s="110"/>
    </row>
    <row r="1047" spans="1:15" x14ac:dyDescent="0.3">
      <c r="A1047" s="58" t="str">
        <f>Schedule!E1045</f>
        <v>A052270</v>
      </c>
      <c r="B1047" s="58" t="s">
        <v>2493</v>
      </c>
      <c r="C1047" s="58" t="str">
        <f t="shared" si="48"/>
        <v>052270 KS</v>
      </c>
      <c r="D1047" s="58" t="s">
        <v>3671</v>
      </c>
      <c r="E1047" s="110" t="s">
        <v>3527</v>
      </c>
      <c r="F1047" s="110" t="str">
        <f>IFERROR(VLOOKUP(C1047,[1]evdl298!$B:$D,3,0),"")</f>
        <v>E</v>
      </c>
      <c r="G1047" s="110">
        <f>IFERROR(VLOOKUP(C1047,[1]evdl298!$B:$C,2,0),"")</f>
        <v>41500</v>
      </c>
      <c r="H1047" s="110" t="str">
        <f t="shared" si="49"/>
        <v>E</v>
      </c>
      <c r="I1047" s="110">
        <f t="shared" si="50"/>
        <v>41500</v>
      </c>
      <c r="J1047" s="110"/>
      <c r="K1047" s="110"/>
      <c r="M1047" s="110"/>
      <c r="O1047" s="110"/>
    </row>
    <row r="1048" spans="1:15" x14ac:dyDescent="0.3">
      <c r="A1048" s="58" t="str">
        <f>Schedule!E1046</f>
        <v>A052290</v>
      </c>
      <c r="B1048" s="58" t="s">
        <v>2494</v>
      </c>
      <c r="C1048" s="58" t="str">
        <f t="shared" si="48"/>
        <v>052290 KS</v>
      </c>
      <c r="D1048" s="58" t="s">
        <v>3671</v>
      </c>
      <c r="E1048" s="110" t="s">
        <v>3527</v>
      </c>
      <c r="F1048" s="110" t="str">
        <f>IFERROR(VLOOKUP(C1048,[1]evdl298!$B:$D,3,0),"")</f>
        <v/>
      </c>
      <c r="G1048" s="110" t="str">
        <f>IFERROR(VLOOKUP(C1048,[1]evdl298!$B:$C,2,0),"")</f>
        <v/>
      </c>
      <c r="H1048" s="110" t="str">
        <f t="shared" si="49"/>
        <v/>
      </c>
      <c r="I1048" s="110" t="str">
        <f t="shared" si="50"/>
        <v/>
      </c>
      <c r="J1048" s="110"/>
      <c r="K1048" s="110"/>
      <c r="M1048" s="110"/>
      <c r="O1048" s="110"/>
    </row>
    <row r="1049" spans="1:15" x14ac:dyDescent="0.3">
      <c r="A1049" s="58" t="str">
        <f>Schedule!E1047</f>
        <v>A052300</v>
      </c>
      <c r="B1049" s="58" t="s">
        <v>2495</v>
      </c>
      <c r="C1049" s="58" t="str">
        <f t="shared" si="48"/>
        <v>052300 KS</v>
      </c>
      <c r="D1049" s="58" t="s">
        <v>3671</v>
      </c>
      <c r="E1049" s="110" t="s">
        <v>3527</v>
      </c>
      <c r="F1049" s="110" t="str">
        <f>IFERROR(VLOOKUP(C1049,[1]evdl298!$B:$D,3,0),"")</f>
        <v>E</v>
      </c>
      <c r="G1049" s="110">
        <f>IFERROR(VLOOKUP(C1049,[1]evdl298!$B:$C,2,0),"")</f>
        <v>41515</v>
      </c>
      <c r="H1049" s="110" t="str">
        <f t="shared" si="49"/>
        <v>E</v>
      </c>
      <c r="I1049" s="110">
        <f t="shared" si="50"/>
        <v>41515</v>
      </c>
      <c r="J1049" s="110"/>
      <c r="K1049" s="110"/>
      <c r="M1049" s="110"/>
      <c r="O1049" s="110"/>
    </row>
    <row r="1050" spans="1:15" x14ac:dyDescent="0.3">
      <c r="A1050" s="58" t="str">
        <f>Schedule!E1048</f>
        <v>A052330</v>
      </c>
      <c r="B1050" s="58" t="s">
        <v>2496</v>
      </c>
      <c r="C1050" s="58" t="str">
        <f t="shared" si="48"/>
        <v>052330 KS</v>
      </c>
      <c r="D1050" s="58" t="s">
        <v>3671</v>
      </c>
      <c r="E1050" s="110" t="s">
        <v>3527</v>
      </c>
      <c r="F1050" s="110" t="str">
        <f>IFERROR(VLOOKUP(C1050,[1]evdl298!$B:$D,3,0),"")</f>
        <v>E</v>
      </c>
      <c r="G1050" s="110">
        <f>IFERROR(VLOOKUP(C1050,[1]evdl298!$B:$C,2,0),"")</f>
        <v>41460</v>
      </c>
      <c r="H1050" s="110" t="str">
        <f t="shared" si="49"/>
        <v>E</v>
      </c>
      <c r="I1050" s="110">
        <f t="shared" si="50"/>
        <v>41460</v>
      </c>
      <c r="J1050" s="110"/>
      <c r="K1050" s="110"/>
      <c r="M1050" s="110"/>
      <c r="O1050" s="110"/>
    </row>
    <row r="1051" spans="1:15" x14ac:dyDescent="0.3">
      <c r="A1051" s="58" t="str">
        <f>Schedule!E1049</f>
        <v>A052400</v>
      </c>
      <c r="B1051" s="58" t="s">
        <v>2497</v>
      </c>
      <c r="C1051" s="58" t="str">
        <f t="shared" si="48"/>
        <v>052400 KS</v>
      </c>
      <c r="D1051" s="58" t="s">
        <v>3671</v>
      </c>
      <c r="E1051" s="110" t="s">
        <v>3527</v>
      </c>
      <c r="F1051" s="110" t="str">
        <f>IFERROR(VLOOKUP(C1051,[1]evdl298!$B:$D,3,0),"")</f>
        <v/>
      </c>
      <c r="G1051" s="110" t="str">
        <f>IFERROR(VLOOKUP(C1051,[1]evdl298!$B:$C,2,0),"")</f>
        <v/>
      </c>
      <c r="H1051" s="110" t="str">
        <f t="shared" si="49"/>
        <v/>
      </c>
      <c r="I1051" s="110" t="str">
        <f t="shared" si="50"/>
        <v/>
      </c>
      <c r="J1051" s="110"/>
      <c r="K1051" s="110"/>
      <c r="M1051" s="110"/>
      <c r="O1051" s="110"/>
    </row>
    <row r="1052" spans="1:15" x14ac:dyDescent="0.3">
      <c r="A1052" s="58" t="str">
        <f>Schedule!E1050</f>
        <v>A052420</v>
      </c>
      <c r="B1052" s="58" t="s">
        <v>2498</v>
      </c>
      <c r="C1052" s="58" t="str">
        <f t="shared" si="48"/>
        <v>052420 KS</v>
      </c>
      <c r="D1052" s="58" t="s">
        <v>3671</v>
      </c>
      <c r="E1052" s="110" t="s">
        <v>3527</v>
      </c>
      <c r="F1052" s="110" t="str">
        <f>IFERROR(VLOOKUP(C1052,[1]evdl298!$B:$D,3,0),"")</f>
        <v>E</v>
      </c>
      <c r="G1052" s="110">
        <f>IFERROR(VLOOKUP(C1052,[1]evdl298!$B:$C,2,0),"")</f>
        <v>41500</v>
      </c>
      <c r="H1052" s="110" t="str">
        <f t="shared" si="49"/>
        <v>E</v>
      </c>
      <c r="I1052" s="110">
        <f t="shared" si="50"/>
        <v>41500</v>
      </c>
      <c r="J1052" s="110"/>
      <c r="K1052" s="110"/>
      <c r="M1052" s="110"/>
      <c r="O1052" s="110"/>
    </row>
    <row r="1053" spans="1:15" x14ac:dyDescent="0.3">
      <c r="A1053" s="58" t="str">
        <f>Schedule!E1051</f>
        <v>A052460</v>
      </c>
      <c r="B1053" s="58" t="s">
        <v>2499</v>
      </c>
      <c r="C1053" s="58" t="str">
        <f t="shared" si="48"/>
        <v>052460 KS</v>
      </c>
      <c r="D1053" s="58" t="s">
        <v>3671</v>
      </c>
      <c r="E1053" s="110" t="s">
        <v>3527</v>
      </c>
      <c r="F1053" s="110" t="str">
        <f>IFERROR(VLOOKUP(C1053,[1]evdl298!$B:$D,3,0),"")</f>
        <v>E</v>
      </c>
      <c r="G1053" s="110">
        <f>IFERROR(VLOOKUP(C1053,[1]evdl298!$B:$C,2,0),"")</f>
        <v>41494</v>
      </c>
      <c r="H1053" s="110" t="str">
        <f t="shared" si="49"/>
        <v>E</v>
      </c>
      <c r="I1053" s="110">
        <f t="shared" si="50"/>
        <v>41494</v>
      </c>
      <c r="J1053" s="110"/>
      <c r="K1053" s="110"/>
      <c r="M1053" s="110"/>
      <c r="O1053" s="110"/>
    </row>
    <row r="1054" spans="1:15" x14ac:dyDescent="0.3">
      <c r="A1054" s="58" t="str">
        <f>Schedule!E1052</f>
        <v>A052600</v>
      </c>
      <c r="B1054" s="58" t="s">
        <v>2500</v>
      </c>
      <c r="C1054" s="58" t="str">
        <f t="shared" si="48"/>
        <v>052600 KS</v>
      </c>
      <c r="D1054" s="58" t="s">
        <v>3671</v>
      </c>
      <c r="E1054" s="110" t="s">
        <v>3527</v>
      </c>
      <c r="F1054" s="110" t="str">
        <f>IFERROR(VLOOKUP(C1054,[1]evdl298!$B:$D,3,0),"")</f>
        <v>E</v>
      </c>
      <c r="G1054" s="110">
        <f>IFERROR(VLOOKUP(C1054,[1]evdl298!$B:$C,2,0),"")</f>
        <v>41500</v>
      </c>
      <c r="H1054" s="110" t="str">
        <f t="shared" si="49"/>
        <v>E</v>
      </c>
      <c r="I1054" s="110">
        <f t="shared" si="50"/>
        <v>41500</v>
      </c>
      <c r="J1054" s="110"/>
      <c r="K1054" s="110"/>
      <c r="M1054" s="110"/>
      <c r="O1054" s="110"/>
    </row>
    <row r="1055" spans="1:15" x14ac:dyDescent="0.3">
      <c r="A1055" s="58" t="str">
        <f>Schedule!E1053</f>
        <v>A052670</v>
      </c>
      <c r="B1055" s="58" t="s">
        <v>2501</v>
      </c>
      <c r="C1055" s="58" t="str">
        <f t="shared" si="48"/>
        <v>052670 KS</v>
      </c>
      <c r="D1055" s="58" t="s">
        <v>3671</v>
      </c>
      <c r="E1055" s="110" t="s">
        <v>3527</v>
      </c>
      <c r="F1055" s="110" t="str">
        <f>IFERROR(VLOOKUP(C1055,[1]evdl298!$B:$D,3,0),"")</f>
        <v>E</v>
      </c>
      <c r="G1055" s="110">
        <f>IFERROR(VLOOKUP(C1055,[1]evdl298!$B:$C,2,0),"")</f>
        <v>41500</v>
      </c>
      <c r="H1055" s="110" t="str">
        <f t="shared" si="49"/>
        <v>E</v>
      </c>
      <c r="I1055" s="110">
        <f t="shared" si="50"/>
        <v>41500</v>
      </c>
      <c r="J1055" s="110"/>
      <c r="K1055" s="110"/>
      <c r="M1055" s="110"/>
      <c r="O1055" s="110"/>
    </row>
    <row r="1056" spans="1:15" x14ac:dyDescent="0.3">
      <c r="A1056" s="58" t="str">
        <f>Schedule!E1054</f>
        <v>A052690</v>
      </c>
      <c r="B1056" s="58" t="s">
        <v>2502</v>
      </c>
      <c r="C1056" s="58" t="str">
        <f t="shared" si="48"/>
        <v>052690 KS</v>
      </c>
      <c r="D1056" s="58" t="s">
        <v>3671</v>
      </c>
      <c r="E1056" s="110" t="s">
        <v>3527</v>
      </c>
      <c r="F1056" s="110" t="str">
        <f>IFERROR(VLOOKUP(C1056,[1]evdl298!$B:$D,3,0),"")</f>
        <v>E</v>
      </c>
      <c r="G1056" s="110">
        <f>IFERROR(VLOOKUP(C1056,[1]evdl298!$B:$C,2,0),"")</f>
        <v>41480</v>
      </c>
      <c r="H1056" s="110" t="str">
        <f t="shared" si="49"/>
        <v>E</v>
      </c>
      <c r="I1056" s="110">
        <f t="shared" si="50"/>
        <v>41480</v>
      </c>
      <c r="J1056" s="110"/>
      <c r="K1056" s="110"/>
      <c r="M1056" s="110"/>
      <c r="O1056" s="110"/>
    </row>
    <row r="1057" spans="1:15" x14ac:dyDescent="0.3">
      <c r="A1057" s="58" t="str">
        <f>Schedule!E1055</f>
        <v>A052710</v>
      </c>
      <c r="B1057" s="58" t="s">
        <v>3355</v>
      </c>
      <c r="C1057" s="58" t="str">
        <f t="shared" si="48"/>
        <v>052710 KS</v>
      </c>
      <c r="D1057" s="58" t="s">
        <v>3671</v>
      </c>
      <c r="E1057" s="110" t="s">
        <v>3527</v>
      </c>
      <c r="F1057" s="110" t="str">
        <f>IFERROR(VLOOKUP(C1057,[1]evdl298!$B:$D,3,0),"")</f>
        <v>E</v>
      </c>
      <c r="G1057" s="110">
        <f>IFERROR(VLOOKUP(C1057,[1]evdl298!$B:$C,2,0),"")</f>
        <v>41515</v>
      </c>
      <c r="H1057" s="110" t="str">
        <f t="shared" si="49"/>
        <v>E</v>
      </c>
      <c r="I1057" s="110">
        <f t="shared" si="50"/>
        <v>41515</v>
      </c>
      <c r="J1057" s="110"/>
      <c r="K1057" s="110"/>
      <c r="M1057" s="110"/>
      <c r="O1057" s="110"/>
    </row>
    <row r="1058" spans="1:15" x14ac:dyDescent="0.3">
      <c r="A1058" s="58" t="str">
        <f>Schedule!E1056</f>
        <v>A052770</v>
      </c>
      <c r="B1058" s="58" t="s">
        <v>2503</v>
      </c>
      <c r="C1058" s="58" t="str">
        <f t="shared" si="48"/>
        <v>052770 KS</v>
      </c>
      <c r="D1058" s="58" t="s">
        <v>3671</v>
      </c>
      <c r="E1058" s="110" t="s">
        <v>3675</v>
      </c>
      <c r="F1058" s="110" t="str">
        <f>IFERROR(VLOOKUP(C1058,[1]evdl298!$B:$D,3,0),"")</f>
        <v/>
      </c>
      <c r="G1058" s="110" t="str">
        <f>IFERROR(VLOOKUP(C1058,[1]evdl298!$B:$C,2,0),"")</f>
        <v/>
      </c>
      <c r="H1058" s="110" t="str">
        <f t="shared" si="49"/>
        <v/>
      </c>
      <c r="I1058" s="110" t="str">
        <f t="shared" si="50"/>
        <v>2013-08-15</v>
      </c>
      <c r="J1058" s="110"/>
      <c r="K1058" s="110"/>
      <c r="M1058" s="110"/>
      <c r="O1058" s="110"/>
    </row>
    <row r="1059" spans="1:15" x14ac:dyDescent="0.3">
      <c r="A1059" s="58" t="str">
        <f>Schedule!E1057</f>
        <v>A052790</v>
      </c>
      <c r="B1059" s="58" t="s">
        <v>2504</v>
      </c>
      <c r="C1059" s="58" t="str">
        <f t="shared" si="48"/>
        <v>052790 KS</v>
      </c>
      <c r="D1059" s="58" t="s">
        <v>3671</v>
      </c>
      <c r="E1059" s="110" t="s">
        <v>3527</v>
      </c>
      <c r="F1059" s="110" t="str">
        <f>IFERROR(VLOOKUP(C1059,[1]evdl298!$B:$D,3,0),"")</f>
        <v>E</v>
      </c>
      <c r="G1059" s="110">
        <f>IFERROR(VLOOKUP(C1059,[1]evdl298!$B:$C,2,0),"")</f>
        <v>41500</v>
      </c>
      <c r="H1059" s="110" t="str">
        <f t="shared" si="49"/>
        <v>E</v>
      </c>
      <c r="I1059" s="110">
        <f t="shared" si="50"/>
        <v>41500</v>
      </c>
      <c r="J1059" s="110"/>
      <c r="K1059" s="110"/>
      <c r="M1059" s="110"/>
      <c r="O1059" s="110"/>
    </row>
    <row r="1060" spans="1:15" x14ac:dyDescent="0.3">
      <c r="A1060" s="58" t="str">
        <f>Schedule!E1058</f>
        <v>A052860</v>
      </c>
      <c r="B1060" s="58" t="s">
        <v>2505</v>
      </c>
      <c r="C1060" s="58" t="str">
        <f t="shared" si="48"/>
        <v>052860 KS</v>
      </c>
      <c r="D1060" s="58" t="s">
        <v>3671</v>
      </c>
      <c r="E1060" s="110" t="s">
        <v>3527</v>
      </c>
      <c r="F1060" s="110" t="str">
        <f>IFERROR(VLOOKUP(C1060,[1]evdl298!$B:$D,3,0),"")</f>
        <v/>
      </c>
      <c r="G1060" s="110" t="str">
        <f>IFERROR(VLOOKUP(C1060,[1]evdl298!$B:$C,2,0),"")</f>
        <v/>
      </c>
      <c r="H1060" s="110" t="str">
        <f t="shared" si="49"/>
        <v/>
      </c>
      <c r="I1060" s="110" t="str">
        <f t="shared" si="50"/>
        <v/>
      </c>
      <c r="J1060" s="110"/>
      <c r="K1060" s="110"/>
      <c r="M1060" s="110"/>
      <c r="O1060" s="110"/>
    </row>
    <row r="1061" spans="1:15" x14ac:dyDescent="0.3">
      <c r="A1061" s="58" t="str">
        <f>Schedule!E1059</f>
        <v>A052900</v>
      </c>
      <c r="B1061" s="58" t="s">
        <v>2506</v>
      </c>
      <c r="C1061" s="58" t="str">
        <f t="shared" si="48"/>
        <v>052900 KS</v>
      </c>
      <c r="D1061" s="58" t="s">
        <v>3671</v>
      </c>
      <c r="E1061" s="110" t="s">
        <v>3527</v>
      </c>
      <c r="F1061" s="110" t="str">
        <f>IFERROR(VLOOKUP(C1061,[1]evdl298!$B:$D,3,0),"")</f>
        <v/>
      </c>
      <c r="G1061" s="110" t="str">
        <f>IFERROR(VLOOKUP(C1061,[1]evdl298!$B:$C,2,0),"")</f>
        <v/>
      </c>
      <c r="H1061" s="110" t="str">
        <f t="shared" si="49"/>
        <v/>
      </c>
      <c r="I1061" s="110" t="str">
        <f t="shared" si="50"/>
        <v/>
      </c>
      <c r="J1061" s="110"/>
      <c r="K1061" s="110"/>
      <c r="M1061" s="110"/>
      <c r="O1061" s="110"/>
    </row>
    <row r="1062" spans="1:15" x14ac:dyDescent="0.3">
      <c r="A1062" s="58" t="str">
        <f>Schedule!E1060</f>
        <v>A053000</v>
      </c>
      <c r="B1062" s="58" t="s">
        <v>2507</v>
      </c>
      <c r="C1062" s="58" t="str">
        <f t="shared" si="48"/>
        <v>053000 KS</v>
      </c>
      <c r="D1062" s="58" t="s">
        <v>3671</v>
      </c>
      <c r="E1062" s="110" t="s">
        <v>3527</v>
      </c>
      <c r="F1062" s="110" t="str">
        <f>IFERROR(VLOOKUP(C1062,[1]evdl298!$B:$D,3,0),"")</f>
        <v>E</v>
      </c>
      <c r="G1062" s="110">
        <f>IFERROR(VLOOKUP(C1062,[1]evdl298!$B:$C,2,0),"")</f>
        <v>41488</v>
      </c>
      <c r="H1062" s="110" t="str">
        <f t="shared" si="49"/>
        <v>E</v>
      </c>
      <c r="I1062" s="110">
        <f t="shared" si="50"/>
        <v>41488</v>
      </c>
      <c r="J1062" s="110"/>
      <c r="K1062" s="110"/>
      <c r="M1062" s="110"/>
      <c r="O1062" s="110"/>
    </row>
    <row r="1063" spans="1:15" x14ac:dyDescent="0.3">
      <c r="A1063" s="58" t="str">
        <f>Schedule!E1061</f>
        <v>A053030</v>
      </c>
      <c r="B1063" s="58" t="s">
        <v>2508</v>
      </c>
      <c r="C1063" s="58" t="str">
        <f t="shared" si="48"/>
        <v>053030 KS</v>
      </c>
      <c r="D1063" s="58" t="s">
        <v>3671</v>
      </c>
      <c r="E1063" s="110">
        <v>41491</v>
      </c>
      <c r="F1063" s="110" t="str">
        <f>IFERROR(VLOOKUP(C1063,[1]evdl298!$B:$D,3,0),"")</f>
        <v/>
      </c>
      <c r="G1063" s="110" t="str">
        <f>IFERROR(VLOOKUP(C1063,[1]evdl298!$B:$C,2,0),"")</f>
        <v/>
      </c>
      <c r="H1063" s="110" t="str">
        <f t="shared" si="49"/>
        <v/>
      </c>
      <c r="I1063" s="110">
        <f t="shared" si="50"/>
        <v>41491</v>
      </c>
      <c r="J1063" s="110"/>
      <c r="K1063" s="110"/>
      <c r="M1063" s="110"/>
      <c r="O1063" s="110"/>
    </row>
    <row r="1064" spans="1:15" x14ac:dyDescent="0.3">
      <c r="A1064" s="58" t="str">
        <f>Schedule!E1062</f>
        <v>A053050</v>
      </c>
      <c r="B1064" s="58" t="s">
        <v>2509</v>
      </c>
      <c r="C1064" s="58" t="str">
        <f t="shared" si="48"/>
        <v>053050 KS</v>
      </c>
      <c r="D1064" s="58" t="s">
        <v>3671</v>
      </c>
      <c r="E1064" s="110" t="s">
        <v>3527</v>
      </c>
      <c r="F1064" s="110" t="str">
        <f>IFERROR(VLOOKUP(C1064,[1]evdl298!$B:$D,3,0),"")</f>
        <v>E</v>
      </c>
      <c r="G1064" s="110">
        <f>IFERROR(VLOOKUP(C1064,[1]evdl298!$B:$C,2,0),"")</f>
        <v>41500</v>
      </c>
      <c r="H1064" s="110" t="str">
        <f t="shared" si="49"/>
        <v>E</v>
      </c>
      <c r="I1064" s="110">
        <f t="shared" si="50"/>
        <v>41500</v>
      </c>
      <c r="J1064" s="110"/>
      <c r="K1064" s="110"/>
      <c r="M1064" s="110"/>
      <c r="O1064" s="110"/>
    </row>
    <row r="1065" spans="1:15" x14ac:dyDescent="0.3">
      <c r="A1065" s="58" t="str">
        <f>Schedule!E1063</f>
        <v>A053060</v>
      </c>
      <c r="B1065" s="58" t="s">
        <v>2510</v>
      </c>
      <c r="C1065" s="58" t="str">
        <f t="shared" si="48"/>
        <v>053060 KS</v>
      </c>
      <c r="D1065" s="58" t="s">
        <v>3671</v>
      </c>
      <c r="E1065" s="110" t="s">
        <v>3527</v>
      </c>
      <c r="F1065" s="110" t="str">
        <f>IFERROR(VLOOKUP(C1065,[1]evdl298!$B:$D,3,0),"")</f>
        <v/>
      </c>
      <c r="G1065" s="110" t="str">
        <f>IFERROR(VLOOKUP(C1065,[1]evdl298!$B:$C,2,0),"")</f>
        <v/>
      </c>
      <c r="H1065" s="110" t="str">
        <f t="shared" si="49"/>
        <v/>
      </c>
      <c r="I1065" s="110" t="str">
        <f t="shared" si="50"/>
        <v/>
      </c>
      <c r="J1065" s="110"/>
      <c r="K1065" s="110"/>
      <c r="M1065" s="110"/>
      <c r="O1065" s="110"/>
    </row>
    <row r="1066" spans="1:15" x14ac:dyDescent="0.3">
      <c r="A1066" s="58" t="str">
        <f>Schedule!E1064</f>
        <v>A053110</v>
      </c>
      <c r="B1066" s="58" t="s">
        <v>2511</v>
      </c>
      <c r="C1066" s="58" t="str">
        <f t="shared" si="48"/>
        <v>053110 KS</v>
      </c>
      <c r="D1066" s="58" t="s">
        <v>3671</v>
      </c>
      <c r="E1066" s="110" t="s">
        <v>3527</v>
      </c>
      <c r="F1066" s="110" t="str">
        <f>IFERROR(VLOOKUP(C1066,[1]evdl298!$B:$D,3,0),"")</f>
        <v/>
      </c>
      <c r="G1066" s="110" t="str">
        <f>IFERROR(VLOOKUP(C1066,[1]evdl298!$B:$C,2,0),"")</f>
        <v/>
      </c>
      <c r="H1066" s="110" t="str">
        <f t="shared" si="49"/>
        <v/>
      </c>
      <c r="I1066" s="110" t="str">
        <f t="shared" si="50"/>
        <v/>
      </c>
      <c r="J1066" s="110"/>
      <c r="K1066" s="110"/>
      <c r="M1066" s="110"/>
      <c r="O1066" s="110"/>
    </row>
    <row r="1067" spans="1:15" x14ac:dyDescent="0.3">
      <c r="A1067" s="58" t="str">
        <f>Schedule!E1065</f>
        <v>A053160</v>
      </c>
      <c r="B1067" s="58" t="s">
        <v>2512</v>
      </c>
      <c r="C1067" s="58" t="str">
        <f t="shared" si="48"/>
        <v>053160 KS</v>
      </c>
      <c r="D1067" s="58" t="s">
        <v>3671</v>
      </c>
      <c r="E1067" s="110" t="s">
        <v>3527</v>
      </c>
      <c r="F1067" s="110" t="str">
        <f>IFERROR(VLOOKUP(C1067,[1]evdl298!$B:$D,3,0),"")</f>
        <v>E</v>
      </c>
      <c r="G1067" s="110">
        <f>IFERROR(VLOOKUP(C1067,[1]evdl298!$B:$C,2,0),"")</f>
        <v>41500</v>
      </c>
      <c r="H1067" s="110" t="str">
        <f t="shared" si="49"/>
        <v>E</v>
      </c>
      <c r="I1067" s="110">
        <f t="shared" si="50"/>
        <v>41500</v>
      </c>
      <c r="J1067" s="110"/>
      <c r="K1067" s="110"/>
      <c r="M1067" s="110"/>
      <c r="O1067" s="110"/>
    </row>
    <row r="1068" spans="1:15" x14ac:dyDescent="0.3">
      <c r="A1068" s="58" t="str">
        <f>Schedule!E1066</f>
        <v>A053210</v>
      </c>
      <c r="B1068" s="58" t="s">
        <v>2513</v>
      </c>
      <c r="C1068" s="58" t="str">
        <f t="shared" si="48"/>
        <v>053210 KS</v>
      </c>
      <c r="D1068" s="58" t="s">
        <v>3671</v>
      </c>
      <c r="E1068" s="110" t="s">
        <v>3527</v>
      </c>
      <c r="F1068" s="110" t="str">
        <f>IFERROR(VLOOKUP(C1068,[1]evdl298!$B:$D,3,0),"")</f>
        <v>E</v>
      </c>
      <c r="G1068" s="110">
        <f>IFERROR(VLOOKUP(C1068,[1]evdl298!$B:$C,2,0),"")</f>
        <v>41515</v>
      </c>
      <c r="H1068" s="110" t="str">
        <f t="shared" si="49"/>
        <v>E</v>
      </c>
      <c r="I1068" s="110">
        <f t="shared" si="50"/>
        <v>41515</v>
      </c>
      <c r="J1068" s="110"/>
      <c r="K1068" s="110"/>
      <c r="M1068" s="110"/>
      <c r="O1068" s="110"/>
    </row>
    <row r="1069" spans="1:15" x14ac:dyDescent="0.3">
      <c r="A1069" s="58" t="str">
        <f>Schedule!E1067</f>
        <v>A053260</v>
      </c>
      <c r="B1069" s="58" t="s">
        <v>3531</v>
      </c>
      <c r="C1069" s="58" t="str">
        <f t="shared" si="48"/>
        <v>053260 KS</v>
      </c>
      <c r="D1069" s="58" t="s">
        <v>3671</v>
      </c>
      <c r="E1069" s="110" t="s">
        <v>3527</v>
      </c>
      <c r="F1069" s="110" t="str">
        <f>IFERROR(VLOOKUP(C1069,[1]evdl298!$B:$D,3,0),"")</f>
        <v/>
      </c>
      <c r="G1069" s="110" t="str">
        <f>IFERROR(VLOOKUP(C1069,[1]evdl298!$B:$C,2,0),"")</f>
        <v/>
      </c>
      <c r="H1069" s="110" t="str">
        <f t="shared" si="49"/>
        <v/>
      </c>
      <c r="I1069" s="110" t="str">
        <f t="shared" si="50"/>
        <v/>
      </c>
      <c r="J1069" s="110"/>
      <c r="K1069" s="110"/>
      <c r="M1069" s="110"/>
      <c r="O1069" s="110"/>
    </row>
    <row r="1070" spans="1:15" x14ac:dyDescent="0.3">
      <c r="A1070" s="58" t="str">
        <f>Schedule!E1068</f>
        <v>A053270</v>
      </c>
      <c r="B1070" s="58" t="s">
        <v>2514</v>
      </c>
      <c r="C1070" s="58" t="str">
        <f t="shared" si="48"/>
        <v>053270 KS</v>
      </c>
      <c r="D1070" s="58" t="s">
        <v>3671</v>
      </c>
      <c r="E1070" s="110" t="s">
        <v>3527</v>
      </c>
      <c r="F1070" s="110" t="str">
        <f>IFERROR(VLOOKUP(C1070,[1]evdl298!$B:$D,3,0),"")</f>
        <v/>
      </c>
      <c r="G1070" s="110" t="str">
        <f>IFERROR(VLOOKUP(C1070,[1]evdl298!$B:$C,2,0),"")</f>
        <v/>
      </c>
      <c r="H1070" s="110" t="str">
        <f t="shared" si="49"/>
        <v/>
      </c>
      <c r="I1070" s="110" t="str">
        <f t="shared" si="50"/>
        <v/>
      </c>
      <c r="J1070" s="110"/>
      <c r="K1070" s="110"/>
      <c r="M1070" s="110"/>
      <c r="O1070" s="110"/>
    </row>
    <row r="1071" spans="1:15" x14ac:dyDescent="0.3">
      <c r="A1071" s="58" t="str">
        <f>Schedule!E1069</f>
        <v>A053280</v>
      </c>
      <c r="B1071" s="58" t="s">
        <v>2515</v>
      </c>
      <c r="C1071" s="58" t="str">
        <f t="shared" si="48"/>
        <v>053280 KS</v>
      </c>
      <c r="D1071" s="58" t="s">
        <v>3671</v>
      </c>
      <c r="E1071" s="110" t="s">
        <v>3527</v>
      </c>
      <c r="F1071" s="110" t="str">
        <f>IFERROR(VLOOKUP(C1071,[1]evdl298!$B:$D,3,0),"")</f>
        <v>E</v>
      </c>
      <c r="G1071" s="110">
        <f>IFERROR(VLOOKUP(C1071,[1]evdl298!$B:$C,2,0),"")</f>
        <v>41500</v>
      </c>
      <c r="H1071" s="110" t="str">
        <f t="shared" si="49"/>
        <v>E</v>
      </c>
      <c r="I1071" s="110">
        <f t="shared" si="50"/>
        <v>41500</v>
      </c>
      <c r="J1071" s="110"/>
      <c r="K1071" s="110"/>
      <c r="M1071" s="110"/>
      <c r="O1071" s="110"/>
    </row>
    <row r="1072" spans="1:15" x14ac:dyDescent="0.3">
      <c r="A1072" s="58" t="str">
        <f>Schedule!E1070</f>
        <v>A053290</v>
      </c>
      <c r="B1072" s="58" t="s">
        <v>2516</v>
      </c>
      <c r="C1072" s="58" t="str">
        <f t="shared" si="48"/>
        <v>053290 KS</v>
      </c>
      <c r="D1072" s="58" t="s">
        <v>3671</v>
      </c>
      <c r="E1072" s="110" t="s">
        <v>3527</v>
      </c>
      <c r="F1072" s="110" t="str">
        <f>IFERROR(VLOOKUP(C1072,[1]evdl298!$B:$D,3,0),"")</f>
        <v>E</v>
      </c>
      <c r="G1072" s="110">
        <f>IFERROR(VLOOKUP(C1072,[1]evdl298!$B:$C,2,0),"")</f>
        <v>41515</v>
      </c>
      <c r="H1072" s="110" t="str">
        <f t="shared" si="49"/>
        <v>E</v>
      </c>
      <c r="I1072" s="110">
        <f t="shared" si="50"/>
        <v>41515</v>
      </c>
      <c r="J1072" s="110"/>
      <c r="K1072" s="110"/>
      <c r="M1072" s="110"/>
      <c r="O1072" s="110"/>
    </row>
    <row r="1073" spans="1:15" x14ac:dyDescent="0.3">
      <c r="A1073" s="58" t="str">
        <f>Schedule!E1071</f>
        <v>A053320</v>
      </c>
      <c r="B1073" s="58" t="s">
        <v>2517</v>
      </c>
      <c r="C1073" s="58" t="str">
        <f t="shared" si="48"/>
        <v>053320 KS</v>
      </c>
      <c r="D1073" s="58" t="s">
        <v>3671</v>
      </c>
      <c r="E1073" s="110" t="s">
        <v>3527</v>
      </c>
      <c r="F1073" s="110" t="str">
        <f>IFERROR(VLOOKUP(C1073,[1]evdl298!$B:$D,3,0),"")</f>
        <v/>
      </c>
      <c r="G1073" s="110" t="str">
        <f>IFERROR(VLOOKUP(C1073,[1]evdl298!$B:$C,2,0),"")</f>
        <v/>
      </c>
      <c r="H1073" s="110" t="str">
        <f t="shared" si="49"/>
        <v/>
      </c>
      <c r="I1073" s="110" t="str">
        <f t="shared" si="50"/>
        <v/>
      </c>
      <c r="J1073" s="110"/>
      <c r="K1073" s="110"/>
      <c r="M1073" s="110"/>
      <c r="O1073" s="110"/>
    </row>
    <row r="1074" spans="1:15" x14ac:dyDescent="0.3">
      <c r="A1074" s="58" t="str">
        <f>Schedule!E1072</f>
        <v>A053330</v>
      </c>
      <c r="B1074" s="58" t="s">
        <v>2518</v>
      </c>
      <c r="C1074" s="58" t="str">
        <f t="shared" si="48"/>
        <v>053330 KS</v>
      </c>
      <c r="D1074" s="58" t="s">
        <v>3671</v>
      </c>
      <c r="E1074" s="110" t="s">
        <v>3527</v>
      </c>
      <c r="F1074" s="110" t="str">
        <f>IFERROR(VLOOKUP(C1074,[1]evdl298!$B:$D,3,0),"")</f>
        <v/>
      </c>
      <c r="G1074" s="110" t="str">
        <f>IFERROR(VLOOKUP(C1074,[1]evdl298!$B:$C,2,0),"")</f>
        <v/>
      </c>
      <c r="H1074" s="110" t="str">
        <f t="shared" si="49"/>
        <v/>
      </c>
      <c r="I1074" s="110" t="str">
        <f t="shared" si="50"/>
        <v/>
      </c>
      <c r="J1074" s="110"/>
      <c r="K1074" s="110"/>
      <c r="M1074" s="110"/>
      <c r="O1074" s="110"/>
    </row>
    <row r="1075" spans="1:15" x14ac:dyDescent="0.3">
      <c r="A1075" s="58" t="str">
        <f>Schedule!E1073</f>
        <v>A053350</v>
      </c>
      <c r="B1075" s="58" t="s">
        <v>2519</v>
      </c>
      <c r="C1075" s="58" t="str">
        <f t="shared" si="48"/>
        <v>053350 KS</v>
      </c>
      <c r="D1075" s="58" t="s">
        <v>3671</v>
      </c>
      <c r="E1075" s="110" t="s">
        <v>3527</v>
      </c>
      <c r="F1075" s="110" t="str">
        <f>IFERROR(VLOOKUP(C1075,[1]evdl298!$B:$D,3,0),"")</f>
        <v>E</v>
      </c>
      <c r="G1075" s="110">
        <f>IFERROR(VLOOKUP(C1075,[1]evdl298!$B:$C,2,0),"")</f>
        <v>41500</v>
      </c>
      <c r="H1075" s="110" t="str">
        <f t="shared" si="49"/>
        <v>E</v>
      </c>
      <c r="I1075" s="110">
        <f t="shared" si="50"/>
        <v>41500</v>
      </c>
      <c r="J1075" s="110"/>
      <c r="K1075" s="110"/>
      <c r="M1075" s="110"/>
      <c r="O1075" s="110"/>
    </row>
    <row r="1076" spans="1:15" x14ac:dyDescent="0.3">
      <c r="A1076" s="58" t="str">
        <f>Schedule!E1074</f>
        <v>A053450</v>
      </c>
      <c r="B1076" s="58" t="s">
        <v>2520</v>
      </c>
      <c r="C1076" s="58" t="str">
        <f t="shared" si="48"/>
        <v>053450 KS</v>
      </c>
      <c r="D1076" s="58" t="s">
        <v>3671</v>
      </c>
      <c r="E1076" s="110" t="s">
        <v>3527</v>
      </c>
      <c r="F1076" s="110" t="str">
        <f>IFERROR(VLOOKUP(C1076,[1]evdl298!$B:$D,3,0),"")</f>
        <v>E</v>
      </c>
      <c r="G1076" s="110">
        <f>IFERROR(VLOOKUP(C1076,[1]evdl298!$B:$C,2,0),"")</f>
        <v>41515</v>
      </c>
      <c r="H1076" s="110" t="str">
        <f t="shared" si="49"/>
        <v>E</v>
      </c>
      <c r="I1076" s="110">
        <f t="shared" si="50"/>
        <v>41515</v>
      </c>
      <c r="J1076" s="110"/>
      <c r="K1076" s="110"/>
      <c r="M1076" s="110"/>
      <c r="O1076" s="110"/>
    </row>
    <row r="1077" spans="1:15" x14ac:dyDescent="0.3">
      <c r="A1077" s="58" t="str">
        <f>Schedule!E1075</f>
        <v>A053590</v>
      </c>
      <c r="B1077" s="58" t="s">
        <v>2521</v>
      </c>
      <c r="C1077" s="58" t="str">
        <f t="shared" si="48"/>
        <v>053590 KS</v>
      </c>
      <c r="D1077" s="58" t="s">
        <v>3671</v>
      </c>
      <c r="E1077" s="110" t="s">
        <v>3527</v>
      </c>
      <c r="F1077" s="110" t="str">
        <f>IFERROR(VLOOKUP(C1077,[1]evdl298!$B:$D,3,0),"")</f>
        <v>E</v>
      </c>
      <c r="G1077" s="110">
        <f>IFERROR(VLOOKUP(C1077,[1]evdl298!$B:$C,2,0),"")</f>
        <v>41495</v>
      </c>
      <c r="H1077" s="110" t="str">
        <f t="shared" si="49"/>
        <v>E</v>
      </c>
      <c r="I1077" s="110">
        <f t="shared" si="50"/>
        <v>41495</v>
      </c>
      <c r="J1077" s="110"/>
      <c r="K1077" s="110"/>
      <c r="M1077" s="110"/>
      <c r="O1077" s="110"/>
    </row>
    <row r="1078" spans="1:15" x14ac:dyDescent="0.3">
      <c r="A1078" s="58" t="str">
        <f>Schedule!E1076</f>
        <v>A053610</v>
      </c>
      <c r="B1078" s="58" t="s">
        <v>2522</v>
      </c>
      <c r="C1078" s="58" t="str">
        <f t="shared" si="48"/>
        <v>053610 KS</v>
      </c>
      <c r="D1078" s="58" t="s">
        <v>3671</v>
      </c>
      <c r="E1078" s="110" t="s">
        <v>3527</v>
      </c>
      <c r="F1078" s="110" t="str">
        <f>IFERROR(VLOOKUP(C1078,[1]evdl298!$B:$D,3,0),"")</f>
        <v/>
      </c>
      <c r="G1078" s="110" t="str">
        <f>IFERROR(VLOOKUP(C1078,[1]evdl298!$B:$C,2,0),"")</f>
        <v/>
      </c>
      <c r="H1078" s="110" t="str">
        <f t="shared" si="49"/>
        <v/>
      </c>
      <c r="I1078" s="110" t="str">
        <f t="shared" si="50"/>
        <v/>
      </c>
      <c r="J1078" s="110"/>
      <c r="K1078" s="110"/>
      <c r="M1078" s="110"/>
      <c r="O1078" s="110"/>
    </row>
    <row r="1079" spans="1:15" x14ac:dyDescent="0.3">
      <c r="A1079" s="58" t="str">
        <f>Schedule!E1077</f>
        <v>A053620</v>
      </c>
      <c r="B1079" s="58" t="s">
        <v>2523</v>
      </c>
      <c r="C1079" s="58" t="str">
        <f t="shared" si="48"/>
        <v>053620 KS</v>
      </c>
      <c r="D1079" s="58" t="s">
        <v>3671</v>
      </c>
      <c r="E1079" s="110" t="s">
        <v>3527</v>
      </c>
      <c r="F1079" s="110" t="str">
        <f>IFERROR(VLOOKUP(C1079,[1]evdl298!$B:$D,3,0),"")</f>
        <v>E</v>
      </c>
      <c r="G1079" s="110">
        <f>IFERROR(VLOOKUP(C1079,[1]evdl298!$B:$C,2,0),"")</f>
        <v>41481</v>
      </c>
      <c r="H1079" s="110" t="str">
        <f t="shared" si="49"/>
        <v>E</v>
      </c>
      <c r="I1079" s="110">
        <f t="shared" si="50"/>
        <v>41481</v>
      </c>
      <c r="J1079" s="110"/>
      <c r="K1079" s="110"/>
      <c r="M1079" s="110"/>
      <c r="O1079" s="110"/>
    </row>
    <row r="1080" spans="1:15" x14ac:dyDescent="0.3">
      <c r="A1080" s="58" t="str">
        <f>Schedule!E1078</f>
        <v>A053660</v>
      </c>
      <c r="B1080" s="58" t="s">
        <v>2524</v>
      </c>
      <c r="C1080" s="58" t="str">
        <f t="shared" si="48"/>
        <v>053660 KS</v>
      </c>
      <c r="D1080" s="58" t="s">
        <v>3671</v>
      </c>
      <c r="E1080" s="110" t="s">
        <v>3527</v>
      </c>
      <c r="F1080" s="110" t="str">
        <f>IFERROR(VLOOKUP(C1080,[1]evdl298!$B:$D,3,0),"")</f>
        <v>E</v>
      </c>
      <c r="G1080" s="110">
        <f>IFERROR(VLOOKUP(C1080,[1]evdl298!$B:$C,2,0),"")</f>
        <v>41500</v>
      </c>
      <c r="H1080" s="110" t="str">
        <f t="shared" si="49"/>
        <v>E</v>
      </c>
      <c r="I1080" s="110">
        <f t="shared" si="50"/>
        <v>41500</v>
      </c>
      <c r="J1080" s="110"/>
      <c r="K1080" s="110"/>
      <c r="M1080" s="110"/>
      <c r="O1080" s="110"/>
    </row>
    <row r="1081" spans="1:15" x14ac:dyDescent="0.3">
      <c r="A1081" s="58" t="str">
        <f>Schedule!E1079</f>
        <v>A053690</v>
      </c>
      <c r="B1081" s="58" t="s">
        <v>2525</v>
      </c>
      <c r="C1081" s="58" t="str">
        <f t="shared" si="48"/>
        <v>053690 KS</v>
      </c>
      <c r="D1081" s="58" t="s">
        <v>3671</v>
      </c>
      <c r="E1081" s="110" t="s">
        <v>3527</v>
      </c>
      <c r="F1081" s="110" t="str">
        <f>IFERROR(VLOOKUP(C1081,[1]evdl298!$B:$D,3,0),"")</f>
        <v/>
      </c>
      <c r="G1081" s="110" t="str">
        <f>IFERROR(VLOOKUP(C1081,[1]evdl298!$B:$C,2,0),"")</f>
        <v/>
      </c>
      <c r="H1081" s="110" t="str">
        <f t="shared" si="49"/>
        <v/>
      </c>
      <c r="I1081" s="110" t="str">
        <f t="shared" si="50"/>
        <v/>
      </c>
      <c r="J1081" s="110"/>
      <c r="K1081" s="110"/>
      <c r="M1081" s="110"/>
      <c r="O1081" s="110"/>
    </row>
    <row r="1082" spans="1:15" x14ac:dyDescent="0.3">
      <c r="A1082" s="58" t="str">
        <f>Schedule!E1080</f>
        <v>A053700</v>
      </c>
      <c r="B1082" s="58" t="s">
        <v>2526</v>
      </c>
      <c r="C1082" s="58" t="str">
        <f t="shared" si="48"/>
        <v>053700 KS</v>
      </c>
      <c r="D1082" s="58" t="s">
        <v>3671</v>
      </c>
      <c r="E1082" s="110" t="s">
        <v>3527</v>
      </c>
      <c r="F1082" s="110" t="str">
        <f>IFERROR(VLOOKUP(C1082,[1]evdl298!$B:$D,3,0),"")</f>
        <v>E</v>
      </c>
      <c r="G1082" s="110">
        <f>IFERROR(VLOOKUP(C1082,[1]evdl298!$B:$C,2,0),"")</f>
        <v>41515</v>
      </c>
      <c r="H1082" s="110" t="str">
        <f t="shared" si="49"/>
        <v>E</v>
      </c>
      <c r="I1082" s="110">
        <f t="shared" si="50"/>
        <v>41515</v>
      </c>
      <c r="J1082" s="110"/>
      <c r="K1082" s="110"/>
      <c r="M1082" s="110"/>
      <c r="O1082" s="110"/>
    </row>
    <row r="1083" spans="1:15" x14ac:dyDescent="0.3">
      <c r="A1083" s="58" t="str">
        <f>Schedule!E1081</f>
        <v>A053740</v>
      </c>
      <c r="B1083" s="58" t="s">
        <v>2527</v>
      </c>
      <c r="C1083" s="58" t="str">
        <f t="shared" si="48"/>
        <v>053740 KS</v>
      </c>
      <c r="D1083" s="58" t="s">
        <v>3671</v>
      </c>
      <c r="E1083" s="110" t="s">
        <v>3527</v>
      </c>
      <c r="F1083" s="110" t="str">
        <f>IFERROR(VLOOKUP(C1083,[1]evdl298!$B:$D,3,0),"")</f>
        <v>E</v>
      </c>
      <c r="G1083" s="110">
        <f>IFERROR(VLOOKUP(C1083,[1]evdl298!$B:$C,2,0),"")</f>
        <v>41473</v>
      </c>
      <c r="H1083" s="110" t="str">
        <f t="shared" si="49"/>
        <v>E</v>
      </c>
      <c r="I1083" s="110">
        <f t="shared" si="50"/>
        <v>41473</v>
      </c>
      <c r="J1083" s="110"/>
      <c r="K1083" s="110"/>
      <c r="M1083" s="110"/>
      <c r="O1083" s="110"/>
    </row>
    <row r="1084" spans="1:15" x14ac:dyDescent="0.3">
      <c r="A1084" s="58" t="str">
        <f>Schedule!E1082</f>
        <v>A053800</v>
      </c>
      <c r="B1084" s="58" t="s">
        <v>2528</v>
      </c>
      <c r="C1084" s="58" t="str">
        <f t="shared" si="48"/>
        <v>053800 KS</v>
      </c>
      <c r="D1084" s="58" t="s">
        <v>3671</v>
      </c>
      <c r="E1084" s="110" t="s">
        <v>3527</v>
      </c>
      <c r="F1084" s="110" t="str">
        <f>IFERROR(VLOOKUP(C1084,[1]evdl298!$B:$D,3,0),"")</f>
        <v>E</v>
      </c>
      <c r="G1084" s="110">
        <f>IFERROR(VLOOKUP(C1084,[1]evdl298!$B:$C,2,0),"")</f>
        <v>41515</v>
      </c>
      <c r="H1084" s="110" t="str">
        <f t="shared" si="49"/>
        <v>E</v>
      </c>
      <c r="I1084" s="110">
        <f t="shared" si="50"/>
        <v>41515</v>
      </c>
      <c r="J1084" s="110"/>
      <c r="K1084" s="110"/>
      <c r="M1084" s="110"/>
      <c r="O1084" s="110"/>
    </row>
    <row r="1085" spans="1:15" x14ac:dyDescent="0.3">
      <c r="A1085" s="58" t="str">
        <f>Schedule!E1083</f>
        <v>A053810</v>
      </c>
      <c r="B1085" s="58" t="s">
        <v>2529</v>
      </c>
      <c r="C1085" s="58" t="str">
        <f t="shared" si="48"/>
        <v>053810 KS</v>
      </c>
      <c r="D1085" s="58" t="s">
        <v>3671</v>
      </c>
      <c r="E1085" s="110" t="s">
        <v>3527</v>
      </c>
      <c r="F1085" s="110" t="str">
        <f>IFERROR(VLOOKUP(C1085,[1]evdl298!$B:$D,3,0),"")</f>
        <v/>
      </c>
      <c r="G1085" s="110" t="str">
        <f>IFERROR(VLOOKUP(C1085,[1]evdl298!$B:$C,2,0),"")</f>
        <v/>
      </c>
      <c r="H1085" s="110" t="str">
        <f t="shared" si="49"/>
        <v/>
      </c>
      <c r="I1085" s="110" t="str">
        <f t="shared" si="50"/>
        <v/>
      </c>
      <c r="J1085" s="110"/>
      <c r="K1085" s="110"/>
      <c r="M1085" s="110"/>
      <c r="O1085" s="110"/>
    </row>
    <row r="1086" spans="1:15" x14ac:dyDescent="0.3">
      <c r="A1086" s="58" t="str">
        <f>Schedule!E1084</f>
        <v>A053870</v>
      </c>
      <c r="B1086" s="58" t="s">
        <v>2530</v>
      </c>
      <c r="C1086" s="58" t="str">
        <f t="shared" si="48"/>
        <v>053870 KS</v>
      </c>
      <c r="D1086" s="58" t="s">
        <v>3671</v>
      </c>
      <c r="E1086" s="110" t="s">
        <v>3527</v>
      </c>
      <c r="F1086" s="110" t="str">
        <f>IFERROR(VLOOKUP(C1086,[1]evdl298!$B:$D,3,0),"")</f>
        <v/>
      </c>
      <c r="G1086" s="110" t="str">
        <f>IFERROR(VLOOKUP(C1086,[1]evdl298!$B:$C,2,0),"")</f>
        <v/>
      </c>
      <c r="H1086" s="110" t="str">
        <f t="shared" si="49"/>
        <v/>
      </c>
      <c r="I1086" s="110" t="str">
        <f t="shared" si="50"/>
        <v/>
      </c>
      <c r="J1086" s="110"/>
      <c r="K1086" s="110"/>
      <c r="M1086" s="110"/>
      <c r="O1086" s="110"/>
    </row>
    <row r="1087" spans="1:15" x14ac:dyDescent="0.3">
      <c r="A1087" s="58" t="str">
        <f>Schedule!E1085</f>
        <v>A053950</v>
      </c>
      <c r="B1087" s="58" t="s">
        <v>2531</v>
      </c>
      <c r="C1087" s="58" t="str">
        <f t="shared" si="48"/>
        <v>053950 KS</v>
      </c>
      <c r="D1087" s="58" t="s">
        <v>3671</v>
      </c>
      <c r="E1087" s="110" t="s">
        <v>3527</v>
      </c>
      <c r="F1087" s="110" t="str">
        <f>IFERROR(VLOOKUP(C1087,[1]evdl298!$B:$D,3,0),"")</f>
        <v>E</v>
      </c>
      <c r="G1087" s="110">
        <f>IFERROR(VLOOKUP(C1087,[1]evdl298!$B:$C,2,0),"")</f>
        <v>41500</v>
      </c>
      <c r="H1087" s="110" t="str">
        <f t="shared" si="49"/>
        <v>E</v>
      </c>
      <c r="I1087" s="110">
        <f t="shared" si="50"/>
        <v>41500</v>
      </c>
      <c r="J1087" s="110"/>
      <c r="K1087" s="110"/>
      <c r="M1087" s="110"/>
      <c r="O1087" s="110"/>
    </row>
    <row r="1088" spans="1:15" x14ac:dyDescent="0.3">
      <c r="A1088" s="58" t="str">
        <f>Schedule!E1086</f>
        <v>A053980</v>
      </c>
      <c r="B1088" s="58" t="s">
        <v>2532</v>
      </c>
      <c r="C1088" s="58" t="str">
        <f t="shared" si="48"/>
        <v>053980 KS</v>
      </c>
      <c r="D1088" s="58" t="s">
        <v>3671</v>
      </c>
      <c r="E1088" s="110" t="s">
        <v>3527</v>
      </c>
      <c r="F1088" s="110" t="str">
        <f>IFERROR(VLOOKUP(C1088,[1]evdl298!$B:$D,3,0),"")</f>
        <v/>
      </c>
      <c r="G1088" s="110" t="str">
        <f>IFERROR(VLOOKUP(C1088,[1]evdl298!$B:$C,2,0),"")</f>
        <v/>
      </c>
      <c r="H1088" s="110" t="str">
        <f t="shared" si="49"/>
        <v/>
      </c>
      <c r="I1088" s="110" t="str">
        <f t="shared" si="50"/>
        <v/>
      </c>
      <c r="J1088" s="110"/>
      <c r="K1088" s="110"/>
      <c r="M1088" s="110"/>
      <c r="O1088" s="110"/>
    </row>
    <row r="1089" spans="1:15" x14ac:dyDescent="0.3">
      <c r="A1089" s="58" t="str">
        <f>Schedule!E1087</f>
        <v>A054040</v>
      </c>
      <c r="B1089" s="58" t="s">
        <v>2533</v>
      </c>
      <c r="C1089" s="58" t="str">
        <f t="shared" si="48"/>
        <v>054040 KS</v>
      </c>
      <c r="D1089" s="58" t="s">
        <v>3671</v>
      </c>
      <c r="E1089" s="110" t="s">
        <v>3527</v>
      </c>
      <c r="F1089" s="110" t="str">
        <f>IFERROR(VLOOKUP(C1089,[1]evdl298!$B:$D,3,0),"")</f>
        <v/>
      </c>
      <c r="G1089" s="110" t="str">
        <f>IFERROR(VLOOKUP(C1089,[1]evdl298!$B:$C,2,0),"")</f>
        <v/>
      </c>
      <c r="H1089" s="110" t="str">
        <f t="shared" si="49"/>
        <v/>
      </c>
      <c r="I1089" s="110" t="str">
        <f t="shared" si="50"/>
        <v/>
      </c>
      <c r="J1089" s="110"/>
      <c r="K1089" s="110"/>
      <c r="M1089" s="110"/>
      <c r="O1089" s="110"/>
    </row>
    <row r="1090" spans="1:15" x14ac:dyDescent="0.3">
      <c r="A1090" s="58" t="str">
        <f>Schedule!E1088</f>
        <v>A054050</v>
      </c>
      <c r="B1090" s="58" t="s">
        <v>3095</v>
      </c>
      <c r="C1090" s="58" t="str">
        <f t="shared" si="48"/>
        <v>054050 KS</v>
      </c>
      <c r="D1090" s="58" t="s">
        <v>3671</v>
      </c>
      <c r="E1090" s="110" t="s">
        <v>3527</v>
      </c>
      <c r="F1090" s="110" t="str">
        <f>IFERROR(VLOOKUP(C1090,[1]evdl298!$B:$D,3,0),"")</f>
        <v/>
      </c>
      <c r="G1090" s="110" t="str">
        <f>IFERROR(VLOOKUP(C1090,[1]evdl298!$B:$C,2,0),"")</f>
        <v/>
      </c>
      <c r="H1090" s="110" t="str">
        <f t="shared" si="49"/>
        <v/>
      </c>
      <c r="I1090" s="110" t="str">
        <f t="shared" si="50"/>
        <v/>
      </c>
      <c r="J1090" s="110"/>
      <c r="K1090" s="110"/>
      <c r="M1090" s="110"/>
      <c r="O1090" s="110"/>
    </row>
    <row r="1091" spans="1:15" x14ac:dyDescent="0.3">
      <c r="A1091" s="58" t="str">
        <f>Schedule!E1089</f>
        <v>A054090</v>
      </c>
      <c r="B1091" s="58" t="s">
        <v>2534</v>
      </c>
      <c r="C1091" s="58" t="str">
        <f t="shared" si="48"/>
        <v>054090 KS</v>
      </c>
      <c r="D1091" s="58" t="s">
        <v>3671</v>
      </c>
      <c r="E1091" s="110" t="s">
        <v>3527</v>
      </c>
      <c r="F1091" s="110" t="str">
        <f>IFERROR(VLOOKUP(C1091,[1]evdl298!$B:$D,3,0),"")</f>
        <v>E</v>
      </c>
      <c r="G1091" s="110">
        <f>IFERROR(VLOOKUP(C1091,[1]evdl298!$B:$C,2,0),"")</f>
        <v>41500</v>
      </c>
      <c r="H1091" s="110" t="str">
        <f t="shared" si="49"/>
        <v>E</v>
      </c>
      <c r="I1091" s="110">
        <f t="shared" si="50"/>
        <v>41500</v>
      </c>
      <c r="J1091" s="110"/>
      <c r="K1091" s="110"/>
      <c r="M1091" s="110"/>
      <c r="O1091" s="110"/>
    </row>
    <row r="1092" spans="1:15" x14ac:dyDescent="0.3">
      <c r="A1092" s="58" t="str">
        <f>Schedule!E1090</f>
        <v>A054180</v>
      </c>
      <c r="B1092" s="58" t="s">
        <v>2535</v>
      </c>
      <c r="C1092" s="58" t="str">
        <f t="shared" si="48"/>
        <v>054180 KS</v>
      </c>
      <c r="D1092" s="58" t="s">
        <v>3671</v>
      </c>
      <c r="E1092" s="110" t="s">
        <v>3527</v>
      </c>
      <c r="F1092" s="110" t="str">
        <f>IFERROR(VLOOKUP(C1092,[1]evdl298!$B:$D,3,0),"")</f>
        <v>E</v>
      </c>
      <c r="G1092" s="110">
        <f>IFERROR(VLOOKUP(C1092,[1]evdl298!$B:$C,2,0),"")</f>
        <v>41506</v>
      </c>
      <c r="H1092" s="110" t="str">
        <f t="shared" si="49"/>
        <v>E</v>
      </c>
      <c r="I1092" s="110">
        <f t="shared" si="50"/>
        <v>41506</v>
      </c>
      <c r="J1092" s="110"/>
      <c r="K1092" s="110"/>
      <c r="M1092" s="110"/>
      <c r="O1092" s="110"/>
    </row>
    <row r="1093" spans="1:15" x14ac:dyDescent="0.3">
      <c r="A1093" s="58" t="str">
        <f>Schedule!E1091</f>
        <v>A054210</v>
      </c>
      <c r="B1093" s="58" t="s">
        <v>2536</v>
      </c>
      <c r="C1093" s="58" t="str">
        <f t="shared" si="48"/>
        <v>054210 KS</v>
      </c>
      <c r="D1093" s="58" t="s">
        <v>3671</v>
      </c>
      <c r="E1093" s="110" t="s">
        <v>3527</v>
      </c>
      <c r="F1093" s="110" t="str">
        <f>IFERROR(VLOOKUP(C1093,[1]evdl298!$B:$D,3,0),"")</f>
        <v>E</v>
      </c>
      <c r="G1093" s="110">
        <f>IFERROR(VLOOKUP(C1093,[1]evdl298!$B:$C,2,0),"")</f>
        <v>41515</v>
      </c>
      <c r="H1093" s="110" t="str">
        <f t="shared" si="49"/>
        <v>E</v>
      </c>
      <c r="I1093" s="110">
        <f t="shared" si="50"/>
        <v>41515</v>
      </c>
      <c r="J1093" s="110"/>
      <c r="K1093" s="110"/>
      <c r="M1093" s="110"/>
      <c r="O1093" s="110"/>
    </row>
    <row r="1094" spans="1:15" x14ac:dyDescent="0.3">
      <c r="A1094" s="58" t="str">
        <f>Schedule!E1092</f>
        <v>A054220</v>
      </c>
      <c r="B1094" s="58" t="s">
        <v>2537</v>
      </c>
      <c r="C1094" s="58" t="str">
        <f t="shared" si="48"/>
        <v>054220 KS</v>
      </c>
      <c r="D1094" s="58" t="s">
        <v>3671</v>
      </c>
      <c r="E1094" s="110" t="s">
        <v>3527</v>
      </c>
      <c r="F1094" s="110" t="str">
        <f>IFERROR(VLOOKUP(C1094,[1]evdl298!$B:$D,3,0),"")</f>
        <v>E</v>
      </c>
      <c r="G1094" s="110">
        <f>IFERROR(VLOOKUP(C1094,[1]evdl298!$B:$C,2,0),"")</f>
        <v>41500</v>
      </c>
      <c r="H1094" s="110" t="str">
        <f t="shared" si="49"/>
        <v>E</v>
      </c>
      <c r="I1094" s="110">
        <f t="shared" si="50"/>
        <v>41500</v>
      </c>
      <c r="J1094" s="110"/>
      <c r="K1094" s="110"/>
      <c r="M1094" s="110"/>
      <c r="O1094" s="110"/>
    </row>
    <row r="1095" spans="1:15" x14ac:dyDescent="0.3">
      <c r="A1095" s="58" t="str">
        <f>Schedule!E1093</f>
        <v>A054300</v>
      </c>
      <c r="B1095" s="58" t="s">
        <v>2538</v>
      </c>
      <c r="C1095" s="58" t="str">
        <f t="shared" si="48"/>
        <v>054300 KS</v>
      </c>
      <c r="D1095" s="58" t="s">
        <v>3671</v>
      </c>
      <c r="E1095" s="110" t="s">
        <v>3527</v>
      </c>
      <c r="F1095" s="110" t="str">
        <f>IFERROR(VLOOKUP(C1095,[1]evdl298!$B:$D,3,0),"")</f>
        <v>E</v>
      </c>
      <c r="G1095" s="110">
        <f>IFERROR(VLOOKUP(C1095,[1]evdl298!$B:$C,2,0),"")</f>
        <v>41500</v>
      </c>
      <c r="H1095" s="110" t="str">
        <f t="shared" si="49"/>
        <v>E</v>
      </c>
      <c r="I1095" s="110">
        <f t="shared" si="50"/>
        <v>41500</v>
      </c>
      <c r="J1095" s="110"/>
      <c r="K1095" s="110"/>
      <c r="M1095" s="110"/>
      <c r="O1095" s="110"/>
    </row>
    <row r="1096" spans="1:15" x14ac:dyDescent="0.3">
      <c r="A1096" s="58" t="str">
        <f>Schedule!E1094</f>
        <v>A054340</v>
      </c>
      <c r="B1096" s="58" t="s">
        <v>2539</v>
      </c>
      <c r="C1096" s="58" t="str">
        <f t="shared" si="48"/>
        <v>054340 KS</v>
      </c>
      <c r="D1096" s="58" t="s">
        <v>3671</v>
      </c>
      <c r="E1096" s="110" t="s">
        <v>3527</v>
      </c>
      <c r="F1096" s="110" t="str">
        <f>IFERROR(VLOOKUP(C1096,[1]evdl298!$B:$D,3,0),"")</f>
        <v/>
      </c>
      <c r="G1096" s="110" t="str">
        <f>IFERROR(VLOOKUP(C1096,[1]evdl298!$B:$C,2,0),"")</f>
        <v/>
      </c>
      <c r="H1096" s="110" t="str">
        <f t="shared" si="49"/>
        <v/>
      </c>
      <c r="I1096" s="110" t="str">
        <f t="shared" si="50"/>
        <v/>
      </c>
      <c r="J1096" s="110"/>
      <c r="K1096" s="110"/>
      <c r="M1096" s="110"/>
      <c r="O1096" s="110"/>
    </row>
    <row r="1097" spans="1:15" x14ac:dyDescent="0.3">
      <c r="A1097" s="58" t="str">
        <f>Schedule!E1095</f>
        <v>A054410</v>
      </c>
      <c r="B1097" s="58" t="s">
        <v>2540</v>
      </c>
      <c r="C1097" s="58" t="str">
        <f t="shared" si="48"/>
        <v>054410 KS</v>
      </c>
      <c r="D1097" s="58" t="s">
        <v>3671</v>
      </c>
      <c r="E1097" s="110" t="s">
        <v>3527</v>
      </c>
      <c r="F1097" s="110" t="str">
        <f>IFERROR(VLOOKUP(C1097,[1]evdl298!$B:$D,3,0),"")</f>
        <v/>
      </c>
      <c r="G1097" s="110" t="str">
        <f>IFERROR(VLOOKUP(C1097,[1]evdl298!$B:$C,2,0),"")</f>
        <v/>
      </c>
      <c r="H1097" s="110" t="str">
        <f t="shared" si="49"/>
        <v/>
      </c>
      <c r="I1097" s="110" t="str">
        <f t="shared" si="50"/>
        <v/>
      </c>
      <c r="J1097" s="110"/>
      <c r="K1097" s="110"/>
      <c r="M1097" s="110"/>
      <c r="O1097" s="110"/>
    </row>
    <row r="1098" spans="1:15" x14ac:dyDescent="0.3">
      <c r="A1098" s="58" t="str">
        <f>Schedule!E1096</f>
        <v>A054450</v>
      </c>
      <c r="B1098" s="58" t="s">
        <v>2541</v>
      </c>
      <c r="C1098" s="58" t="str">
        <f t="shared" si="48"/>
        <v>054450 KS</v>
      </c>
      <c r="D1098" s="58" t="s">
        <v>3671</v>
      </c>
      <c r="E1098" s="110" t="s">
        <v>3527</v>
      </c>
      <c r="F1098" s="110" t="str">
        <f>IFERROR(VLOOKUP(C1098,[1]evdl298!$B:$D,3,0),"")</f>
        <v>E</v>
      </c>
      <c r="G1098" s="110">
        <f>IFERROR(VLOOKUP(C1098,[1]evdl298!$B:$C,2,0),"")</f>
        <v>41492</v>
      </c>
      <c r="H1098" s="110" t="str">
        <f t="shared" si="49"/>
        <v>E</v>
      </c>
      <c r="I1098" s="110">
        <f t="shared" si="50"/>
        <v>41492</v>
      </c>
      <c r="J1098" s="110"/>
      <c r="K1098" s="110"/>
      <c r="M1098" s="110"/>
      <c r="O1098" s="110"/>
    </row>
    <row r="1099" spans="1:15" x14ac:dyDescent="0.3">
      <c r="A1099" s="58" t="str">
        <f>Schedule!E1097</f>
        <v>A054540</v>
      </c>
      <c r="B1099" s="58" t="s">
        <v>2542</v>
      </c>
      <c r="C1099" s="58" t="str">
        <f t="shared" si="48"/>
        <v>054540 KS</v>
      </c>
      <c r="D1099" s="58" t="s">
        <v>3671</v>
      </c>
      <c r="E1099" s="110" t="s">
        <v>3675</v>
      </c>
      <c r="F1099" s="110" t="str">
        <f>IFERROR(VLOOKUP(C1099,[1]evdl298!$B:$D,3,0),"")</f>
        <v>E</v>
      </c>
      <c r="G1099" s="110">
        <f>IFERROR(VLOOKUP(C1099,[1]evdl298!$B:$C,2,0),"")</f>
        <v>41515</v>
      </c>
      <c r="H1099" s="110" t="str">
        <f t="shared" si="49"/>
        <v>E</v>
      </c>
      <c r="I1099" s="110">
        <f t="shared" si="50"/>
        <v>41515</v>
      </c>
      <c r="J1099" s="110"/>
      <c r="K1099" s="110"/>
      <c r="M1099" s="110"/>
      <c r="O1099" s="110"/>
    </row>
    <row r="1100" spans="1:15" x14ac:dyDescent="0.3">
      <c r="A1100" s="58" t="str">
        <f>Schedule!E1098</f>
        <v>A054620</v>
      </c>
      <c r="B1100" s="58" t="s">
        <v>2543</v>
      </c>
      <c r="C1100" s="58" t="str">
        <f t="shared" si="48"/>
        <v>054620 KS</v>
      </c>
      <c r="D1100" s="58" t="s">
        <v>3671</v>
      </c>
      <c r="E1100" s="110" t="s">
        <v>3527</v>
      </c>
      <c r="F1100" s="110" t="str">
        <f>IFERROR(VLOOKUP(C1100,[1]evdl298!$B:$D,3,0),"")</f>
        <v/>
      </c>
      <c r="G1100" s="110" t="str">
        <f>IFERROR(VLOOKUP(C1100,[1]evdl298!$B:$C,2,0),"")</f>
        <v/>
      </c>
      <c r="H1100" s="110" t="str">
        <f t="shared" si="49"/>
        <v/>
      </c>
      <c r="I1100" s="110" t="str">
        <f t="shared" si="50"/>
        <v/>
      </c>
      <c r="J1100" s="110"/>
      <c r="K1100" s="110"/>
      <c r="M1100" s="110"/>
      <c r="O1100" s="110"/>
    </row>
    <row r="1101" spans="1:15" x14ac:dyDescent="0.3">
      <c r="A1101" s="58" t="str">
        <f>Schedule!E1099</f>
        <v>A054630</v>
      </c>
      <c r="B1101" s="58" t="s">
        <v>2544</v>
      </c>
      <c r="C1101" s="58" t="str">
        <f t="shared" si="48"/>
        <v>054630 KS</v>
      </c>
      <c r="D1101" s="58" t="s">
        <v>3671</v>
      </c>
      <c r="E1101" s="110" t="s">
        <v>3527</v>
      </c>
      <c r="F1101" s="110" t="str">
        <f>IFERROR(VLOOKUP(C1101,[1]evdl298!$B:$D,3,0),"")</f>
        <v>E</v>
      </c>
      <c r="G1101" s="110">
        <f>IFERROR(VLOOKUP(C1101,[1]evdl298!$B:$C,2,0),"")</f>
        <v>41500</v>
      </c>
      <c r="H1101" s="110" t="str">
        <f t="shared" si="49"/>
        <v>E</v>
      </c>
      <c r="I1101" s="110">
        <f t="shared" si="50"/>
        <v>41500</v>
      </c>
      <c r="J1101" s="110"/>
      <c r="K1101" s="110"/>
      <c r="M1101" s="110"/>
      <c r="O1101" s="110"/>
    </row>
    <row r="1102" spans="1:15" x14ac:dyDescent="0.3">
      <c r="A1102" s="58" t="str">
        <f>Schedule!E1100</f>
        <v>A054670</v>
      </c>
      <c r="B1102" s="58" t="s">
        <v>2545</v>
      </c>
      <c r="C1102" s="58" t="str">
        <f t="shared" si="48"/>
        <v>054670 KS</v>
      </c>
      <c r="D1102" s="58" t="s">
        <v>3671</v>
      </c>
      <c r="E1102" s="110" t="s">
        <v>3527</v>
      </c>
      <c r="F1102" s="110" t="str">
        <f>IFERROR(VLOOKUP(C1102,[1]evdl298!$B:$D,3,0),"")</f>
        <v>E</v>
      </c>
      <c r="G1102" s="110">
        <f>IFERROR(VLOOKUP(C1102,[1]evdl298!$B:$C,2,0),"")</f>
        <v>41460</v>
      </c>
      <c r="H1102" s="110" t="str">
        <f t="shared" si="49"/>
        <v>E</v>
      </c>
      <c r="I1102" s="110">
        <f t="shared" si="50"/>
        <v>41460</v>
      </c>
      <c r="J1102" s="110"/>
      <c r="K1102" s="110"/>
      <c r="M1102" s="110"/>
      <c r="O1102" s="110"/>
    </row>
    <row r="1103" spans="1:15" x14ac:dyDescent="0.3">
      <c r="A1103" s="58" t="str">
        <f>Schedule!E1101</f>
        <v>A054780</v>
      </c>
      <c r="B1103" s="58" t="s">
        <v>2546</v>
      </c>
      <c r="C1103" s="58" t="str">
        <f t="shared" si="48"/>
        <v>054780 KS</v>
      </c>
      <c r="D1103" s="58" t="s">
        <v>3671</v>
      </c>
      <c r="E1103" s="110" t="s">
        <v>3527</v>
      </c>
      <c r="F1103" s="110" t="str">
        <f>IFERROR(VLOOKUP(C1103,[1]evdl298!$B:$D,3,0),"")</f>
        <v>E</v>
      </c>
      <c r="G1103" s="110">
        <f>IFERROR(VLOOKUP(C1103,[1]evdl298!$B:$C,2,0),"")</f>
        <v>41492</v>
      </c>
      <c r="H1103" s="110" t="str">
        <f t="shared" si="49"/>
        <v>E</v>
      </c>
      <c r="I1103" s="110">
        <f t="shared" si="50"/>
        <v>41492</v>
      </c>
      <c r="J1103" s="110"/>
      <c r="K1103" s="110"/>
      <c r="M1103" s="110"/>
      <c r="O1103" s="110"/>
    </row>
    <row r="1104" spans="1:15" x14ac:dyDescent="0.3">
      <c r="A1104" s="58" t="str">
        <f>Schedule!E1102</f>
        <v>A054800</v>
      </c>
      <c r="B1104" s="58" t="s">
        <v>2547</v>
      </c>
      <c r="C1104" s="58" t="str">
        <f t="shared" si="48"/>
        <v>054800 KS</v>
      </c>
      <c r="D1104" s="58" t="s">
        <v>3671</v>
      </c>
      <c r="E1104" s="110" t="s">
        <v>3527</v>
      </c>
      <c r="F1104" s="110" t="str">
        <f>IFERROR(VLOOKUP(C1104,[1]evdl298!$B:$D,3,0),"")</f>
        <v/>
      </c>
      <c r="G1104" s="110" t="str">
        <f>IFERROR(VLOOKUP(C1104,[1]evdl298!$B:$C,2,0),"")</f>
        <v/>
      </c>
      <c r="H1104" s="110" t="str">
        <f t="shared" si="49"/>
        <v/>
      </c>
      <c r="I1104" s="110" t="str">
        <f t="shared" si="50"/>
        <v/>
      </c>
      <c r="J1104" s="110"/>
      <c r="K1104" s="110"/>
      <c r="M1104" s="110"/>
      <c r="O1104" s="110"/>
    </row>
    <row r="1105" spans="1:15" x14ac:dyDescent="0.3">
      <c r="A1105" s="58" t="str">
        <f>Schedule!E1103</f>
        <v>A054920</v>
      </c>
      <c r="B1105" s="58" t="s">
        <v>2548</v>
      </c>
      <c r="C1105" s="58" t="str">
        <f t="shared" ref="C1105:C1168" si="51">RIGHT(A1105,6)&amp;" KS"</f>
        <v>054920 KS</v>
      </c>
      <c r="D1105" s="58" t="s">
        <v>3671</v>
      </c>
      <c r="E1105" s="110" t="s">
        <v>3527</v>
      </c>
      <c r="F1105" s="110" t="str">
        <f>IFERROR(VLOOKUP(C1105,[1]evdl298!$B:$D,3,0),"")</f>
        <v/>
      </c>
      <c r="G1105" s="110" t="str">
        <f>IFERROR(VLOOKUP(C1105,[1]evdl298!$B:$C,2,0),"")</f>
        <v/>
      </c>
      <c r="H1105" s="110" t="str">
        <f t="shared" ref="H1105:H1168" si="52">F1105</f>
        <v/>
      </c>
      <c r="I1105" s="110" t="str">
        <f t="shared" ref="I1105:I1168" si="53">IF(ISNUMBER(G1105),G1105,E1105)</f>
        <v/>
      </c>
      <c r="J1105" s="110"/>
      <c r="K1105" s="110"/>
      <c r="M1105" s="110"/>
      <c r="O1105" s="110"/>
    </row>
    <row r="1106" spans="1:15" x14ac:dyDescent="0.3">
      <c r="A1106" s="58" t="str">
        <f>Schedule!E1104</f>
        <v>A054930</v>
      </c>
      <c r="B1106" s="58" t="s">
        <v>2549</v>
      </c>
      <c r="C1106" s="58" t="str">
        <f t="shared" si="51"/>
        <v>054930 KS</v>
      </c>
      <c r="D1106" s="58" t="s">
        <v>3671</v>
      </c>
      <c r="E1106" s="110" t="s">
        <v>3527</v>
      </c>
      <c r="F1106" s="110" t="str">
        <f>IFERROR(VLOOKUP(C1106,[1]evdl298!$B:$D,3,0),"")</f>
        <v>E</v>
      </c>
      <c r="G1106" s="110">
        <f>IFERROR(VLOOKUP(C1106,[1]evdl298!$B:$C,2,0),"")</f>
        <v>41500</v>
      </c>
      <c r="H1106" s="110" t="str">
        <f t="shared" si="52"/>
        <v>E</v>
      </c>
      <c r="I1106" s="110">
        <f t="shared" si="53"/>
        <v>41500</v>
      </c>
      <c r="J1106" s="110"/>
      <c r="K1106" s="110"/>
      <c r="M1106" s="110"/>
      <c r="O1106" s="110"/>
    </row>
    <row r="1107" spans="1:15" x14ac:dyDescent="0.3">
      <c r="A1107" s="58" t="str">
        <f>Schedule!E1105</f>
        <v>A054940</v>
      </c>
      <c r="B1107" s="58" t="s">
        <v>2550</v>
      </c>
      <c r="C1107" s="58" t="str">
        <f t="shared" si="51"/>
        <v>054940 KS</v>
      </c>
      <c r="D1107" s="58" t="s">
        <v>3671</v>
      </c>
      <c r="E1107" s="110" t="s">
        <v>3527</v>
      </c>
      <c r="F1107" s="110" t="str">
        <f>IFERROR(VLOOKUP(C1107,[1]evdl298!$B:$D,3,0),"")</f>
        <v/>
      </c>
      <c r="G1107" s="110" t="str">
        <f>IFERROR(VLOOKUP(C1107,[1]evdl298!$B:$C,2,0),"")</f>
        <v/>
      </c>
      <c r="H1107" s="110" t="str">
        <f t="shared" si="52"/>
        <v/>
      </c>
      <c r="I1107" s="110" t="str">
        <f t="shared" si="53"/>
        <v/>
      </c>
      <c r="J1107" s="110"/>
      <c r="K1107" s="110"/>
      <c r="M1107" s="110"/>
      <c r="O1107" s="110"/>
    </row>
    <row r="1108" spans="1:15" x14ac:dyDescent="0.3">
      <c r="A1108" s="58" t="str">
        <f>Schedule!E1106</f>
        <v>A054950</v>
      </c>
      <c r="B1108" s="58" t="s">
        <v>2551</v>
      </c>
      <c r="C1108" s="58" t="str">
        <f t="shared" si="51"/>
        <v>054950 KS</v>
      </c>
      <c r="D1108" s="58" t="s">
        <v>3671</v>
      </c>
      <c r="E1108" s="110" t="s">
        <v>3527</v>
      </c>
      <c r="F1108" s="110" t="str">
        <f>IFERROR(VLOOKUP(C1108,[1]evdl298!$B:$D,3,0),"")</f>
        <v>E</v>
      </c>
      <c r="G1108" s="110">
        <f>IFERROR(VLOOKUP(C1108,[1]evdl298!$B:$C,2,0),"")</f>
        <v>41495</v>
      </c>
      <c r="H1108" s="110" t="str">
        <f t="shared" si="52"/>
        <v>E</v>
      </c>
      <c r="I1108" s="110">
        <f t="shared" si="53"/>
        <v>41495</v>
      </c>
      <c r="J1108" s="110"/>
      <c r="K1108" s="110"/>
      <c r="M1108" s="110"/>
      <c r="O1108" s="110"/>
    </row>
    <row r="1109" spans="1:15" x14ac:dyDescent="0.3">
      <c r="A1109" s="58" t="str">
        <f>Schedule!E1107</f>
        <v>A055550</v>
      </c>
      <c r="B1109" s="58" t="s">
        <v>2552</v>
      </c>
      <c r="C1109" s="58" t="str">
        <f t="shared" si="51"/>
        <v>055550 KS</v>
      </c>
      <c r="D1109" s="58" t="s">
        <v>3671</v>
      </c>
      <c r="E1109" s="110" t="s">
        <v>3527</v>
      </c>
      <c r="F1109" s="110" t="str">
        <f>IFERROR(VLOOKUP(C1109,[1]evdl298!$B:$D,3,0),"")</f>
        <v>E</v>
      </c>
      <c r="G1109" s="110">
        <f>IFERROR(VLOOKUP(C1109,[1]evdl298!$B:$C,2,0),"")</f>
        <v>41486</v>
      </c>
      <c r="H1109" s="110" t="str">
        <f t="shared" si="52"/>
        <v>E</v>
      </c>
      <c r="I1109" s="110">
        <f t="shared" si="53"/>
        <v>41486</v>
      </c>
      <c r="J1109" s="110"/>
      <c r="K1109" s="110"/>
      <c r="M1109" s="110"/>
      <c r="O1109" s="110"/>
    </row>
    <row r="1110" spans="1:15" x14ac:dyDescent="0.3">
      <c r="A1110" s="58" t="str">
        <f>Schedule!E1108</f>
        <v>A056000</v>
      </c>
      <c r="B1110" s="58" t="s">
        <v>2553</v>
      </c>
      <c r="C1110" s="58" t="str">
        <f t="shared" si="51"/>
        <v>056000 KS</v>
      </c>
      <c r="D1110" s="58" t="s">
        <v>3671</v>
      </c>
      <c r="E1110" s="110" t="s">
        <v>3681</v>
      </c>
      <c r="F1110" s="110" t="str">
        <f>IFERROR(VLOOKUP(C1110,[1]evdl298!$B:$D,3,0),"")</f>
        <v/>
      </c>
      <c r="G1110" s="110" t="str">
        <f>IFERROR(VLOOKUP(C1110,[1]evdl298!$B:$C,2,0),"")</f>
        <v/>
      </c>
      <c r="H1110" s="110" t="str">
        <f t="shared" si="52"/>
        <v/>
      </c>
      <c r="I1110" s="110" t="str">
        <f t="shared" si="53"/>
        <v>2013-07-30</v>
      </c>
      <c r="J1110" s="110"/>
      <c r="K1110" s="110"/>
      <c r="M1110" s="110"/>
      <c r="O1110" s="110"/>
    </row>
    <row r="1111" spans="1:15" x14ac:dyDescent="0.3">
      <c r="A1111" s="58" t="str">
        <f>Schedule!E1109</f>
        <v>A056080</v>
      </c>
      <c r="B1111" s="58" t="s">
        <v>2554</v>
      </c>
      <c r="C1111" s="58" t="str">
        <f t="shared" si="51"/>
        <v>056080 KS</v>
      </c>
      <c r="D1111" s="58" t="s">
        <v>3671</v>
      </c>
      <c r="E1111" s="110" t="s">
        <v>3527</v>
      </c>
      <c r="F1111" s="110" t="str">
        <f>IFERROR(VLOOKUP(C1111,[1]evdl298!$B:$D,3,0),"")</f>
        <v>E</v>
      </c>
      <c r="G1111" s="110">
        <f>IFERROR(VLOOKUP(C1111,[1]evdl298!$B:$C,2,0),"")</f>
        <v>41500</v>
      </c>
      <c r="H1111" s="110" t="str">
        <f t="shared" si="52"/>
        <v>E</v>
      </c>
      <c r="I1111" s="110">
        <f t="shared" si="53"/>
        <v>41500</v>
      </c>
      <c r="J1111" s="110"/>
      <c r="K1111" s="110"/>
      <c r="M1111" s="110"/>
      <c r="O1111" s="110"/>
    </row>
    <row r="1112" spans="1:15" x14ac:dyDescent="0.3">
      <c r="A1112" s="58" t="str">
        <f>Schedule!E1110</f>
        <v>A056190</v>
      </c>
      <c r="B1112" s="58" t="s">
        <v>2555</v>
      </c>
      <c r="C1112" s="58" t="str">
        <f t="shared" si="51"/>
        <v>056190 KS</v>
      </c>
      <c r="D1112" s="58" t="s">
        <v>3671</v>
      </c>
      <c r="E1112" s="110" t="s">
        <v>3527</v>
      </c>
      <c r="F1112" s="110" t="str">
        <f>IFERROR(VLOOKUP(C1112,[1]evdl298!$B:$D,3,0),"")</f>
        <v>E</v>
      </c>
      <c r="G1112" s="110">
        <f>IFERROR(VLOOKUP(C1112,[1]evdl298!$B:$C,2,0),"")</f>
        <v>41515</v>
      </c>
      <c r="H1112" s="110" t="str">
        <f t="shared" si="52"/>
        <v>E</v>
      </c>
      <c r="I1112" s="110">
        <f t="shared" si="53"/>
        <v>41515</v>
      </c>
      <c r="J1112" s="110"/>
      <c r="K1112" s="110"/>
      <c r="M1112" s="110"/>
      <c r="O1112" s="110"/>
    </row>
    <row r="1113" spans="1:15" x14ac:dyDescent="0.3">
      <c r="A1113" s="58" t="str">
        <f>Schedule!E1111</f>
        <v>A056340</v>
      </c>
      <c r="B1113" s="58" t="s">
        <v>2556</v>
      </c>
      <c r="C1113" s="58" t="str">
        <f t="shared" si="51"/>
        <v>056340 KS</v>
      </c>
      <c r="D1113" s="58" t="s">
        <v>3671</v>
      </c>
      <c r="E1113" s="110" t="s">
        <v>3704</v>
      </c>
      <c r="F1113" s="110" t="str">
        <f>IFERROR(VLOOKUP(C1113,[1]evdl298!$B:$D,3,0),"")</f>
        <v>E</v>
      </c>
      <c r="G1113" s="110">
        <f>IFERROR(VLOOKUP(C1113,[1]evdl298!$B:$C,2,0),"")</f>
        <v>41500</v>
      </c>
      <c r="H1113" s="110" t="str">
        <f t="shared" si="52"/>
        <v>E</v>
      </c>
      <c r="I1113" s="110">
        <f t="shared" si="53"/>
        <v>41500</v>
      </c>
      <c r="J1113" s="110"/>
      <c r="K1113" s="110"/>
      <c r="M1113" s="110"/>
      <c r="O1113" s="110"/>
    </row>
    <row r="1114" spans="1:15" x14ac:dyDescent="0.3">
      <c r="A1114" s="58" t="str">
        <f>Schedule!E1112</f>
        <v>A056360</v>
      </c>
      <c r="B1114" s="58" t="s">
        <v>2557</v>
      </c>
      <c r="C1114" s="58" t="str">
        <f t="shared" si="51"/>
        <v>056360 KS</v>
      </c>
      <c r="D1114" s="58" t="s">
        <v>3671</v>
      </c>
      <c r="E1114" s="110" t="s">
        <v>3527</v>
      </c>
      <c r="F1114" s="110" t="str">
        <f>IFERROR(VLOOKUP(C1114,[1]evdl298!$B:$D,3,0),"")</f>
        <v/>
      </c>
      <c r="G1114" s="110" t="str">
        <f>IFERROR(VLOOKUP(C1114,[1]evdl298!$B:$C,2,0),"")</f>
        <v/>
      </c>
      <c r="H1114" s="110" t="str">
        <f t="shared" si="52"/>
        <v/>
      </c>
      <c r="I1114" s="110" t="str">
        <f t="shared" si="53"/>
        <v/>
      </c>
      <c r="J1114" s="110"/>
      <c r="K1114" s="110"/>
      <c r="M1114" s="110"/>
      <c r="O1114" s="110"/>
    </row>
    <row r="1115" spans="1:15" x14ac:dyDescent="0.3">
      <c r="A1115" s="58" t="str">
        <f>Schedule!E1113</f>
        <v>A056700</v>
      </c>
      <c r="B1115" s="58" t="s">
        <v>2558</v>
      </c>
      <c r="C1115" s="58" t="str">
        <f t="shared" si="51"/>
        <v>056700 KS</v>
      </c>
      <c r="D1115" s="58" t="s">
        <v>3671</v>
      </c>
      <c r="E1115" s="110" t="s">
        <v>3527</v>
      </c>
      <c r="F1115" s="110" t="str">
        <f>IFERROR(VLOOKUP(C1115,[1]evdl298!$B:$D,3,0),"")</f>
        <v>E</v>
      </c>
      <c r="G1115" s="110">
        <f>IFERROR(VLOOKUP(C1115,[1]evdl298!$B:$C,2,0),"")</f>
        <v>41515</v>
      </c>
      <c r="H1115" s="110" t="str">
        <f t="shared" si="52"/>
        <v>E</v>
      </c>
      <c r="I1115" s="110">
        <f t="shared" si="53"/>
        <v>41515</v>
      </c>
      <c r="J1115" s="110"/>
      <c r="K1115" s="110"/>
      <c r="M1115" s="110"/>
      <c r="O1115" s="110"/>
    </row>
    <row r="1116" spans="1:15" x14ac:dyDescent="0.3">
      <c r="A1116" s="58" t="str">
        <f>Schedule!E1114</f>
        <v>A056730</v>
      </c>
      <c r="B1116" s="58" t="s">
        <v>2559</v>
      </c>
      <c r="C1116" s="58" t="str">
        <f t="shared" si="51"/>
        <v>056730 KS</v>
      </c>
      <c r="D1116" s="58" t="s">
        <v>3671</v>
      </c>
      <c r="E1116" s="110" t="s">
        <v>3527</v>
      </c>
      <c r="F1116" s="110" t="str">
        <f>IFERROR(VLOOKUP(C1116,[1]evdl298!$B:$D,3,0),"")</f>
        <v/>
      </c>
      <c r="G1116" s="110" t="str">
        <f>IFERROR(VLOOKUP(C1116,[1]evdl298!$B:$C,2,0),"")</f>
        <v/>
      </c>
      <c r="H1116" s="110" t="str">
        <f t="shared" si="52"/>
        <v/>
      </c>
      <c r="I1116" s="110" t="str">
        <f t="shared" si="53"/>
        <v/>
      </c>
      <c r="J1116" s="110"/>
      <c r="K1116" s="110"/>
      <c r="M1116" s="110"/>
      <c r="O1116" s="110"/>
    </row>
    <row r="1117" spans="1:15" x14ac:dyDescent="0.3">
      <c r="A1117" s="58" t="str">
        <f>Schedule!E1115</f>
        <v>A056810</v>
      </c>
      <c r="B1117" s="58" t="s">
        <v>2560</v>
      </c>
      <c r="C1117" s="58" t="str">
        <f t="shared" si="51"/>
        <v>056810 KS</v>
      </c>
      <c r="D1117" s="58" t="s">
        <v>3671</v>
      </c>
      <c r="E1117" s="110" t="s">
        <v>3527</v>
      </c>
      <c r="F1117" s="110" t="str">
        <f>IFERROR(VLOOKUP(C1117,[1]evdl298!$B:$D,3,0),"")</f>
        <v/>
      </c>
      <c r="G1117" s="110" t="str">
        <f>IFERROR(VLOOKUP(C1117,[1]evdl298!$B:$C,2,0),"")</f>
        <v/>
      </c>
      <c r="H1117" s="110" t="str">
        <f t="shared" si="52"/>
        <v/>
      </c>
      <c r="I1117" s="110" t="str">
        <f t="shared" si="53"/>
        <v/>
      </c>
      <c r="J1117" s="110"/>
      <c r="K1117" s="110"/>
      <c r="M1117" s="110"/>
      <c r="O1117" s="110"/>
    </row>
    <row r="1118" spans="1:15" x14ac:dyDescent="0.3">
      <c r="A1118" s="58" t="str">
        <f>Schedule!E1116</f>
        <v>A057030</v>
      </c>
      <c r="B1118" s="58" t="s">
        <v>2561</v>
      </c>
      <c r="C1118" s="58" t="str">
        <f t="shared" si="51"/>
        <v>057030 KS</v>
      </c>
      <c r="D1118" s="58" t="s">
        <v>3671</v>
      </c>
      <c r="E1118" s="110" t="s">
        <v>3527</v>
      </c>
      <c r="F1118" s="110" t="str">
        <f>IFERROR(VLOOKUP(C1118,[1]evdl298!$B:$D,3,0),"")</f>
        <v/>
      </c>
      <c r="G1118" s="110" t="str">
        <f>IFERROR(VLOOKUP(C1118,[1]evdl298!$B:$C,2,0),"")</f>
        <v/>
      </c>
      <c r="H1118" s="110" t="str">
        <f t="shared" si="52"/>
        <v/>
      </c>
      <c r="I1118" s="110" t="str">
        <f t="shared" si="53"/>
        <v/>
      </c>
      <c r="J1118" s="110"/>
      <c r="K1118" s="110"/>
      <c r="M1118" s="110"/>
      <c r="O1118" s="110"/>
    </row>
    <row r="1119" spans="1:15" x14ac:dyDescent="0.3">
      <c r="A1119" s="58" t="str">
        <f>Schedule!E1117</f>
        <v>A057050</v>
      </c>
      <c r="B1119" s="58" t="s">
        <v>2562</v>
      </c>
      <c r="C1119" s="58" t="str">
        <f t="shared" si="51"/>
        <v>057050 KS</v>
      </c>
      <c r="D1119" s="58" t="s">
        <v>3671</v>
      </c>
      <c r="E1119" s="110" t="s">
        <v>3527</v>
      </c>
      <c r="F1119" s="110" t="str">
        <f>IFERROR(VLOOKUP(C1119,[1]evdl298!$B:$D,3,0),"")</f>
        <v>E</v>
      </c>
      <c r="G1119" s="110">
        <f>IFERROR(VLOOKUP(C1119,[1]evdl298!$B:$C,2,0),"")</f>
        <v>41486</v>
      </c>
      <c r="H1119" s="110" t="str">
        <f t="shared" si="52"/>
        <v>E</v>
      </c>
      <c r="I1119" s="110">
        <f t="shared" si="53"/>
        <v>41486</v>
      </c>
      <c r="J1119" s="110"/>
      <c r="K1119" s="110"/>
      <c r="M1119" s="110"/>
      <c r="O1119" s="110"/>
    </row>
    <row r="1120" spans="1:15" x14ac:dyDescent="0.3">
      <c r="A1120" s="58" t="str">
        <f>Schedule!E1118</f>
        <v>A057500</v>
      </c>
      <c r="B1120" s="58" t="s">
        <v>3356</v>
      </c>
      <c r="C1120" s="58" t="str">
        <f t="shared" si="51"/>
        <v>057500 KS</v>
      </c>
      <c r="D1120" s="58" t="s">
        <v>3671</v>
      </c>
      <c r="E1120" s="110" t="s">
        <v>3678</v>
      </c>
      <c r="F1120" s="110" t="str">
        <f>IFERROR(VLOOKUP(C1120,[1]evdl298!$B:$D,3,0),"")</f>
        <v/>
      </c>
      <c r="G1120" s="110" t="str">
        <f>IFERROR(VLOOKUP(C1120,[1]evdl298!$B:$C,2,0),"")</f>
        <v/>
      </c>
      <c r="H1120" s="110" t="str">
        <f t="shared" si="52"/>
        <v/>
      </c>
      <c r="I1120" s="110" t="str">
        <f t="shared" si="53"/>
        <v>2013-07-26</v>
      </c>
      <c r="J1120" s="110"/>
      <c r="K1120" s="110"/>
      <c r="M1120" s="110"/>
      <c r="O1120" s="110"/>
    </row>
    <row r="1121" spans="1:15" x14ac:dyDescent="0.3">
      <c r="A1121" s="58" t="str">
        <f>Schedule!E1119</f>
        <v>A057540</v>
      </c>
      <c r="B1121" s="58" t="s">
        <v>2563</v>
      </c>
      <c r="C1121" s="58" t="str">
        <f t="shared" si="51"/>
        <v>057540 KS</v>
      </c>
      <c r="D1121" s="58" t="s">
        <v>3671</v>
      </c>
      <c r="E1121" s="110" t="s">
        <v>3527</v>
      </c>
      <c r="F1121" s="110" t="str">
        <f>IFERROR(VLOOKUP(C1121,[1]evdl298!$B:$D,3,0),"")</f>
        <v/>
      </c>
      <c r="G1121" s="110" t="str">
        <f>IFERROR(VLOOKUP(C1121,[1]evdl298!$B:$C,2,0),"")</f>
        <v/>
      </c>
      <c r="H1121" s="110" t="str">
        <f t="shared" si="52"/>
        <v/>
      </c>
      <c r="I1121" s="110" t="str">
        <f t="shared" si="53"/>
        <v/>
      </c>
      <c r="J1121" s="110"/>
      <c r="K1121" s="110"/>
      <c r="M1121" s="110"/>
      <c r="O1121" s="110"/>
    </row>
    <row r="1122" spans="1:15" x14ac:dyDescent="0.3">
      <c r="A1122" s="58" t="str">
        <f>Schedule!E1120</f>
        <v>A057680</v>
      </c>
      <c r="B1122" s="58" t="s">
        <v>2564</v>
      </c>
      <c r="C1122" s="58" t="str">
        <f t="shared" si="51"/>
        <v>057680 KS</v>
      </c>
      <c r="D1122" s="58" t="s">
        <v>3671</v>
      </c>
      <c r="E1122" s="110" t="s">
        <v>3527</v>
      </c>
      <c r="F1122" s="110" t="str">
        <f>IFERROR(VLOOKUP(C1122,[1]evdl298!$B:$D,3,0),"")</f>
        <v>E</v>
      </c>
      <c r="G1122" s="110">
        <f>IFERROR(VLOOKUP(C1122,[1]evdl298!$B:$C,2,0),"")</f>
        <v>41500</v>
      </c>
      <c r="H1122" s="110" t="str">
        <f t="shared" si="52"/>
        <v>E</v>
      </c>
      <c r="I1122" s="110">
        <f t="shared" si="53"/>
        <v>41500</v>
      </c>
      <c r="J1122" s="110"/>
      <c r="K1122" s="110"/>
      <c r="M1122" s="110"/>
      <c r="O1122" s="110"/>
    </row>
    <row r="1123" spans="1:15" x14ac:dyDescent="0.3">
      <c r="A1123" s="58" t="str">
        <f>Schedule!E1121</f>
        <v>A057880</v>
      </c>
      <c r="B1123" s="58" t="s">
        <v>2565</v>
      </c>
      <c r="C1123" s="58" t="str">
        <f t="shared" si="51"/>
        <v>057880 KS</v>
      </c>
      <c r="D1123" s="58" t="s">
        <v>3671</v>
      </c>
      <c r="E1123" s="110" t="s">
        <v>3527</v>
      </c>
      <c r="F1123" s="110" t="str">
        <f>IFERROR(VLOOKUP(C1123,[1]evdl298!$B:$D,3,0),"")</f>
        <v/>
      </c>
      <c r="G1123" s="110" t="str">
        <f>IFERROR(VLOOKUP(C1123,[1]evdl298!$B:$C,2,0),"")</f>
        <v/>
      </c>
      <c r="H1123" s="110" t="str">
        <f t="shared" si="52"/>
        <v/>
      </c>
      <c r="I1123" s="110" t="str">
        <f t="shared" si="53"/>
        <v/>
      </c>
      <c r="J1123" s="110"/>
      <c r="K1123" s="110"/>
      <c r="M1123" s="110"/>
      <c r="O1123" s="110"/>
    </row>
    <row r="1124" spans="1:15" x14ac:dyDescent="0.3">
      <c r="A1124" s="58" t="str">
        <f>Schedule!E1122</f>
        <v>A058220</v>
      </c>
      <c r="B1124" s="58" t="s">
        <v>2566</v>
      </c>
      <c r="C1124" s="58" t="str">
        <f t="shared" si="51"/>
        <v>058220 KS</v>
      </c>
      <c r="D1124" s="58" t="s">
        <v>3671</v>
      </c>
      <c r="E1124" s="110" t="s">
        <v>3527</v>
      </c>
      <c r="F1124" s="110" t="str">
        <f>IFERROR(VLOOKUP(C1124,[1]evdl298!$B:$D,3,0),"")</f>
        <v>E</v>
      </c>
      <c r="G1124" s="110">
        <f>IFERROR(VLOOKUP(C1124,[1]evdl298!$B:$C,2,0),"")</f>
        <v>41499</v>
      </c>
      <c r="H1124" s="110" t="str">
        <f t="shared" si="52"/>
        <v>E</v>
      </c>
      <c r="I1124" s="110">
        <f t="shared" si="53"/>
        <v>41499</v>
      </c>
      <c r="J1124" s="110"/>
      <c r="K1124" s="110"/>
      <c r="M1124" s="110"/>
      <c r="O1124" s="110"/>
    </row>
    <row r="1125" spans="1:15" x14ac:dyDescent="0.3">
      <c r="A1125" s="58" t="str">
        <f>Schedule!E1123</f>
        <v>A058370</v>
      </c>
      <c r="B1125" s="58" t="s">
        <v>2567</v>
      </c>
      <c r="C1125" s="58" t="str">
        <f t="shared" si="51"/>
        <v>058370 KS</v>
      </c>
      <c r="D1125" s="58" t="s">
        <v>3671</v>
      </c>
      <c r="E1125" s="110" t="s">
        <v>3527</v>
      </c>
      <c r="F1125" s="110" t="str">
        <f>IFERROR(VLOOKUP(C1125,[1]evdl298!$B:$D,3,0),"")</f>
        <v>E</v>
      </c>
      <c r="G1125" s="110">
        <f>IFERROR(VLOOKUP(C1125,[1]evdl298!$B:$C,2,0),"")</f>
        <v>41500</v>
      </c>
      <c r="H1125" s="110" t="str">
        <f t="shared" si="52"/>
        <v>E</v>
      </c>
      <c r="I1125" s="110">
        <f t="shared" si="53"/>
        <v>41500</v>
      </c>
      <c r="J1125" s="110"/>
      <c r="K1125" s="110"/>
      <c r="M1125" s="110"/>
      <c r="O1125" s="110"/>
    </row>
    <row r="1126" spans="1:15" x14ac:dyDescent="0.3">
      <c r="A1126" s="58" t="str">
        <f>Schedule!E1124</f>
        <v>A058400</v>
      </c>
      <c r="B1126" s="58" t="s">
        <v>2568</v>
      </c>
      <c r="C1126" s="58" t="str">
        <f t="shared" si="51"/>
        <v>058400 KS</v>
      </c>
      <c r="D1126" s="58" t="s">
        <v>3671</v>
      </c>
      <c r="E1126" s="110" t="s">
        <v>3527</v>
      </c>
      <c r="F1126" s="110" t="str">
        <f>IFERROR(VLOOKUP(C1126,[1]evdl298!$B:$D,3,0),"")</f>
        <v/>
      </c>
      <c r="G1126" s="110" t="str">
        <f>IFERROR(VLOOKUP(C1126,[1]evdl298!$B:$C,2,0),"")</f>
        <v/>
      </c>
      <c r="H1126" s="110" t="str">
        <f t="shared" si="52"/>
        <v/>
      </c>
      <c r="I1126" s="110" t="str">
        <f t="shared" si="53"/>
        <v/>
      </c>
      <c r="J1126" s="110"/>
      <c r="K1126" s="110"/>
      <c r="M1126" s="110"/>
      <c r="O1126" s="110"/>
    </row>
    <row r="1127" spans="1:15" x14ac:dyDescent="0.3">
      <c r="A1127" s="58" t="str">
        <f>Schedule!E1125</f>
        <v>A058420</v>
      </c>
      <c r="B1127" s="58" t="s">
        <v>3357</v>
      </c>
      <c r="C1127" s="58" t="str">
        <f t="shared" si="51"/>
        <v>058420 KS</v>
      </c>
      <c r="D1127" s="58" t="s">
        <v>3671</v>
      </c>
      <c r="E1127" s="110" t="s">
        <v>3527</v>
      </c>
      <c r="F1127" s="110" t="str">
        <f>IFERROR(VLOOKUP(C1127,[1]evdl298!$B:$D,3,0),"")</f>
        <v>E</v>
      </c>
      <c r="G1127" s="110">
        <f>IFERROR(VLOOKUP(C1127,[1]evdl298!$B:$C,2,0),"")</f>
        <v>41500</v>
      </c>
      <c r="H1127" s="110" t="str">
        <f t="shared" si="52"/>
        <v>E</v>
      </c>
      <c r="I1127" s="110">
        <f t="shared" si="53"/>
        <v>41500</v>
      </c>
      <c r="J1127" s="110"/>
      <c r="K1127" s="110"/>
      <c r="M1127" s="110"/>
      <c r="O1127" s="110"/>
    </row>
    <row r="1128" spans="1:15" x14ac:dyDescent="0.3">
      <c r="A1128" s="58" t="str">
        <f>Schedule!E1126</f>
        <v>A058430</v>
      </c>
      <c r="B1128" s="58" t="s">
        <v>2569</v>
      </c>
      <c r="C1128" s="58" t="str">
        <f t="shared" si="51"/>
        <v>058430 KS</v>
      </c>
      <c r="D1128" s="58" t="s">
        <v>3671</v>
      </c>
      <c r="E1128" s="110" t="s">
        <v>3527</v>
      </c>
      <c r="F1128" s="110" t="str">
        <f>IFERROR(VLOOKUP(C1128,[1]evdl298!$B:$D,3,0),"")</f>
        <v>E</v>
      </c>
      <c r="G1128" s="110">
        <f>IFERROR(VLOOKUP(C1128,[1]evdl298!$B:$C,2,0),"")</f>
        <v>41460</v>
      </c>
      <c r="H1128" s="110" t="str">
        <f t="shared" si="52"/>
        <v>E</v>
      </c>
      <c r="I1128" s="110">
        <f t="shared" si="53"/>
        <v>41460</v>
      </c>
      <c r="J1128" s="110"/>
      <c r="K1128" s="110"/>
      <c r="M1128" s="110"/>
      <c r="O1128" s="110"/>
    </row>
    <row r="1129" spans="1:15" x14ac:dyDescent="0.3">
      <c r="A1129" s="58" t="str">
        <f>Schedule!E1127</f>
        <v>A058450</v>
      </c>
      <c r="B1129" s="58" t="s">
        <v>2570</v>
      </c>
      <c r="C1129" s="58" t="str">
        <f t="shared" si="51"/>
        <v>058450 KS</v>
      </c>
      <c r="D1129" s="58" t="s">
        <v>3671</v>
      </c>
      <c r="E1129" s="110" t="s">
        <v>3527</v>
      </c>
      <c r="F1129" s="110" t="str">
        <f>IFERROR(VLOOKUP(C1129,[1]evdl298!$B:$D,3,0),"")</f>
        <v/>
      </c>
      <c r="G1129" s="110" t="str">
        <f>IFERROR(VLOOKUP(C1129,[1]evdl298!$B:$C,2,0),"")</f>
        <v/>
      </c>
      <c r="H1129" s="110" t="str">
        <f t="shared" si="52"/>
        <v/>
      </c>
      <c r="I1129" s="110" t="str">
        <f t="shared" si="53"/>
        <v/>
      </c>
      <c r="J1129" s="110"/>
      <c r="K1129" s="110"/>
      <c r="M1129" s="110"/>
      <c r="O1129" s="110"/>
    </row>
    <row r="1130" spans="1:15" x14ac:dyDescent="0.3">
      <c r="A1130" s="58" t="str">
        <f>Schedule!E1128</f>
        <v>A058470</v>
      </c>
      <c r="B1130" s="58" t="s">
        <v>2571</v>
      </c>
      <c r="C1130" s="58" t="str">
        <f t="shared" si="51"/>
        <v>058470 KS</v>
      </c>
      <c r="D1130" s="58" t="s">
        <v>3671</v>
      </c>
      <c r="E1130" s="110" t="s">
        <v>3527</v>
      </c>
      <c r="F1130" s="110" t="str">
        <f>IFERROR(VLOOKUP(C1130,[1]evdl298!$B:$D,3,0),"")</f>
        <v>E</v>
      </c>
      <c r="G1130" s="110">
        <f>IFERROR(VLOOKUP(C1130,[1]evdl298!$B:$C,2,0),"")</f>
        <v>41500</v>
      </c>
      <c r="H1130" s="110" t="str">
        <f t="shared" si="52"/>
        <v>E</v>
      </c>
      <c r="I1130" s="110">
        <f t="shared" si="53"/>
        <v>41500</v>
      </c>
      <c r="J1130" s="110"/>
      <c r="K1130" s="110"/>
      <c r="M1130" s="110"/>
      <c r="O1130" s="110"/>
    </row>
    <row r="1131" spans="1:15" x14ac:dyDescent="0.3">
      <c r="A1131" s="58" t="str">
        <f>Schedule!E1129</f>
        <v>A058530</v>
      </c>
      <c r="B1131" s="58" t="s">
        <v>2572</v>
      </c>
      <c r="C1131" s="58" t="str">
        <f t="shared" si="51"/>
        <v>058530 KS</v>
      </c>
      <c r="D1131" s="58" t="s">
        <v>3671</v>
      </c>
      <c r="E1131" s="110" t="s">
        <v>3527</v>
      </c>
      <c r="F1131" s="110" t="str">
        <f>IFERROR(VLOOKUP(C1131,[1]evdl298!$B:$D,3,0),"")</f>
        <v/>
      </c>
      <c r="G1131" s="110" t="str">
        <f>IFERROR(VLOOKUP(C1131,[1]evdl298!$B:$C,2,0),"")</f>
        <v/>
      </c>
      <c r="H1131" s="110" t="str">
        <f t="shared" si="52"/>
        <v/>
      </c>
      <c r="I1131" s="110" t="str">
        <f t="shared" si="53"/>
        <v/>
      </c>
      <c r="J1131" s="110"/>
      <c r="K1131" s="110"/>
      <c r="M1131" s="110"/>
      <c r="O1131" s="110"/>
    </row>
    <row r="1132" spans="1:15" x14ac:dyDescent="0.3">
      <c r="A1132" s="58" t="str">
        <f>Schedule!E1130</f>
        <v>A058610</v>
      </c>
      <c r="B1132" s="58" t="s">
        <v>2573</v>
      </c>
      <c r="C1132" s="58" t="str">
        <f t="shared" si="51"/>
        <v>058610 KS</v>
      </c>
      <c r="D1132" s="58" t="s">
        <v>3671</v>
      </c>
      <c r="E1132" s="110" t="s">
        <v>3527</v>
      </c>
      <c r="F1132" s="110" t="str">
        <f>IFERROR(VLOOKUP(C1132,[1]evdl298!$B:$D,3,0),"")</f>
        <v/>
      </c>
      <c r="G1132" s="110" t="str">
        <f>IFERROR(VLOOKUP(C1132,[1]evdl298!$B:$C,2,0),"")</f>
        <v/>
      </c>
      <c r="H1132" s="110" t="str">
        <f t="shared" si="52"/>
        <v/>
      </c>
      <c r="I1132" s="110" t="str">
        <f t="shared" si="53"/>
        <v/>
      </c>
      <c r="J1132" s="110"/>
      <c r="K1132" s="110"/>
      <c r="M1132" s="110"/>
      <c r="O1132" s="110"/>
    </row>
    <row r="1133" spans="1:15" x14ac:dyDescent="0.3">
      <c r="A1133" s="58" t="str">
        <f>Schedule!E1131</f>
        <v>A058630</v>
      </c>
      <c r="B1133" s="58" t="s">
        <v>2574</v>
      </c>
      <c r="C1133" s="58" t="str">
        <f t="shared" si="51"/>
        <v>058630 KS</v>
      </c>
      <c r="D1133" s="58" t="s">
        <v>3671</v>
      </c>
      <c r="E1133" s="110" t="s">
        <v>3527</v>
      </c>
      <c r="F1133" s="110" t="str">
        <f>IFERROR(VLOOKUP(C1133,[1]evdl298!$B:$D,3,0),"")</f>
        <v>E</v>
      </c>
      <c r="G1133" s="110">
        <f>IFERROR(VLOOKUP(C1133,[1]evdl298!$B:$C,2,0),"")</f>
        <v>41515</v>
      </c>
      <c r="H1133" s="110" t="str">
        <f t="shared" si="52"/>
        <v>E</v>
      </c>
      <c r="I1133" s="110">
        <f t="shared" si="53"/>
        <v>41515</v>
      </c>
      <c r="J1133" s="110"/>
      <c r="K1133" s="110"/>
      <c r="M1133" s="110"/>
      <c r="O1133" s="110"/>
    </row>
    <row r="1134" spans="1:15" x14ac:dyDescent="0.3">
      <c r="A1134" s="58" t="str">
        <f>Schedule!E1132</f>
        <v>A058650</v>
      </c>
      <c r="B1134" s="58" t="s">
        <v>2575</v>
      </c>
      <c r="C1134" s="58" t="str">
        <f t="shared" si="51"/>
        <v>058650 KS</v>
      </c>
      <c r="D1134" s="58" t="s">
        <v>3671</v>
      </c>
      <c r="E1134" s="110" t="s">
        <v>3527</v>
      </c>
      <c r="F1134" s="110" t="str">
        <f>IFERROR(VLOOKUP(C1134,[1]evdl298!$B:$D,3,0),"")</f>
        <v/>
      </c>
      <c r="G1134" s="110" t="str">
        <f>IFERROR(VLOOKUP(C1134,[1]evdl298!$B:$C,2,0),"")</f>
        <v/>
      </c>
      <c r="H1134" s="110" t="str">
        <f t="shared" si="52"/>
        <v/>
      </c>
      <c r="I1134" s="110" t="str">
        <f t="shared" si="53"/>
        <v/>
      </c>
      <c r="J1134" s="110"/>
      <c r="K1134" s="110"/>
      <c r="M1134" s="110"/>
      <c r="O1134" s="110"/>
    </row>
    <row r="1135" spans="1:15" x14ac:dyDescent="0.3">
      <c r="A1135" s="58" t="str">
        <f>Schedule!E1133</f>
        <v>A058730</v>
      </c>
      <c r="B1135" s="58" t="s">
        <v>2576</v>
      </c>
      <c r="C1135" s="58" t="str">
        <f t="shared" si="51"/>
        <v>058730 KS</v>
      </c>
      <c r="D1135" s="58" t="s">
        <v>3671</v>
      </c>
      <c r="E1135" s="110" t="s">
        <v>3527</v>
      </c>
      <c r="F1135" s="110" t="str">
        <f>IFERROR(VLOOKUP(C1135,[1]evdl298!$B:$D,3,0),"")</f>
        <v>E</v>
      </c>
      <c r="G1135" s="110">
        <f>IFERROR(VLOOKUP(C1135,[1]evdl298!$B:$C,2,0),"")</f>
        <v>41480</v>
      </c>
      <c r="H1135" s="110" t="str">
        <f t="shared" si="52"/>
        <v>E</v>
      </c>
      <c r="I1135" s="110">
        <f t="shared" si="53"/>
        <v>41480</v>
      </c>
      <c r="J1135" s="110"/>
      <c r="K1135" s="110"/>
      <c r="M1135" s="110"/>
      <c r="O1135" s="110"/>
    </row>
    <row r="1136" spans="1:15" x14ac:dyDescent="0.3">
      <c r="A1136" s="58" t="str">
        <f>Schedule!E1134</f>
        <v>A058820</v>
      </c>
      <c r="B1136" s="58" t="s">
        <v>2577</v>
      </c>
      <c r="C1136" s="58" t="str">
        <f t="shared" si="51"/>
        <v>058820 KS</v>
      </c>
      <c r="D1136" s="58" t="s">
        <v>3671</v>
      </c>
      <c r="E1136" s="110" t="s">
        <v>3527</v>
      </c>
      <c r="F1136" s="110" t="str">
        <f>IFERROR(VLOOKUP(C1136,[1]evdl298!$B:$D,3,0),"")</f>
        <v/>
      </c>
      <c r="G1136" s="110" t="str">
        <f>IFERROR(VLOOKUP(C1136,[1]evdl298!$B:$C,2,0),"")</f>
        <v/>
      </c>
      <c r="H1136" s="110" t="str">
        <f t="shared" si="52"/>
        <v/>
      </c>
      <c r="I1136" s="110" t="str">
        <f t="shared" si="53"/>
        <v/>
      </c>
      <c r="J1136" s="110"/>
      <c r="K1136" s="110"/>
      <c r="M1136" s="110"/>
      <c r="O1136" s="110"/>
    </row>
    <row r="1137" spans="1:15" x14ac:dyDescent="0.3">
      <c r="A1137" s="58" t="str">
        <f>Schedule!E1135</f>
        <v>A058850</v>
      </c>
      <c r="B1137" s="58" t="s">
        <v>3648</v>
      </c>
      <c r="C1137" s="58" t="str">
        <f t="shared" si="51"/>
        <v>058850 KS</v>
      </c>
      <c r="D1137" s="58" t="s">
        <v>3671</v>
      </c>
      <c r="E1137" s="110" t="s">
        <v>3527</v>
      </c>
      <c r="F1137" s="110" t="str">
        <f>IFERROR(VLOOKUP(C1137,[1]evdl298!$B:$D,3,0),"")</f>
        <v>E</v>
      </c>
      <c r="G1137" s="110">
        <f>IFERROR(VLOOKUP(C1137,[1]evdl298!$B:$C,2,0),"")</f>
        <v>41488</v>
      </c>
      <c r="H1137" s="110" t="str">
        <f t="shared" si="52"/>
        <v>E</v>
      </c>
      <c r="I1137" s="110">
        <f t="shared" si="53"/>
        <v>41488</v>
      </c>
      <c r="J1137" s="110"/>
      <c r="K1137" s="110"/>
      <c r="M1137" s="110"/>
      <c r="O1137" s="110"/>
    </row>
    <row r="1138" spans="1:15" x14ac:dyDescent="0.3">
      <c r="A1138" s="58" t="str">
        <f>Schedule!E1136</f>
        <v>A058860</v>
      </c>
      <c r="B1138" s="58" t="s">
        <v>3358</v>
      </c>
      <c r="C1138" s="58" t="str">
        <f t="shared" si="51"/>
        <v>058860 KS</v>
      </c>
      <c r="D1138" s="58" t="s">
        <v>3671</v>
      </c>
      <c r="E1138" s="110" t="s">
        <v>3527</v>
      </c>
      <c r="F1138" s="110" t="str">
        <f>IFERROR(VLOOKUP(C1138,[1]evdl298!$B:$D,3,0),"")</f>
        <v>E</v>
      </c>
      <c r="G1138" s="110">
        <f>IFERROR(VLOOKUP(C1138,[1]evdl298!$B:$C,2,0),"")</f>
        <v>41488</v>
      </c>
      <c r="H1138" s="110" t="str">
        <f t="shared" si="52"/>
        <v>E</v>
      </c>
      <c r="I1138" s="110">
        <f t="shared" si="53"/>
        <v>41488</v>
      </c>
      <c r="J1138" s="110"/>
      <c r="K1138" s="110"/>
      <c r="M1138" s="110"/>
      <c r="O1138" s="110"/>
    </row>
    <row r="1139" spans="1:15" x14ac:dyDescent="0.3">
      <c r="A1139" s="58" t="str">
        <f>Schedule!E1137</f>
        <v>A059090</v>
      </c>
      <c r="B1139" s="58" t="s">
        <v>3359</v>
      </c>
      <c r="C1139" s="58" t="str">
        <f t="shared" si="51"/>
        <v>059090 KS</v>
      </c>
      <c r="D1139" s="58" t="s">
        <v>3671</v>
      </c>
      <c r="E1139" s="110" t="s">
        <v>3527</v>
      </c>
      <c r="F1139" s="110" t="str">
        <f>IFERROR(VLOOKUP(C1139,[1]evdl298!$B:$D,3,0),"")</f>
        <v/>
      </c>
      <c r="G1139" s="110" t="str">
        <f>IFERROR(VLOOKUP(C1139,[1]evdl298!$B:$C,2,0),"")</f>
        <v/>
      </c>
      <c r="H1139" s="110" t="str">
        <f t="shared" si="52"/>
        <v/>
      </c>
      <c r="I1139" s="110" t="str">
        <f t="shared" si="53"/>
        <v/>
      </c>
      <c r="J1139" s="110"/>
      <c r="K1139" s="110"/>
      <c r="M1139" s="110"/>
      <c r="O1139" s="110"/>
    </row>
    <row r="1140" spans="1:15" x14ac:dyDescent="0.3">
      <c r="A1140" s="58" t="str">
        <f>Schedule!E1138</f>
        <v>A059100</v>
      </c>
      <c r="B1140" s="58" t="s">
        <v>2578</v>
      </c>
      <c r="C1140" s="58" t="str">
        <f t="shared" si="51"/>
        <v>059100 KS</v>
      </c>
      <c r="D1140" s="58" t="s">
        <v>3671</v>
      </c>
      <c r="E1140" s="110" t="s">
        <v>3527</v>
      </c>
      <c r="F1140" s="110" t="str">
        <f>IFERROR(VLOOKUP(C1140,[1]evdl298!$B:$D,3,0),"")</f>
        <v>E</v>
      </c>
      <c r="G1140" s="110">
        <f>IFERROR(VLOOKUP(C1140,[1]evdl298!$B:$C,2,0),"")</f>
        <v>41500</v>
      </c>
      <c r="H1140" s="110" t="str">
        <f t="shared" si="52"/>
        <v>E</v>
      </c>
      <c r="I1140" s="110">
        <f t="shared" si="53"/>
        <v>41500</v>
      </c>
      <c r="J1140" s="110"/>
      <c r="K1140" s="110"/>
      <c r="M1140" s="110"/>
      <c r="O1140" s="110"/>
    </row>
    <row r="1141" spans="1:15" x14ac:dyDescent="0.3">
      <c r="A1141" s="58" t="str">
        <f>Schedule!E1139</f>
        <v>A059210</v>
      </c>
      <c r="B1141" s="58" t="s">
        <v>2579</v>
      </c>
      <c r="C1141" s="58" t="str">
        <f t="shared" si="51"/>
        <v>059210 KS</v>
      </c>
      <c r="D1141" s="58" t="s">
        <v>3671</v>
      </c>
      <c r="E1141" s="110" t="s">
        <v>3527</v>
      </c>
      <c r="F1141" s="110" t="str">
        <f>IFERROR(VLOOKUP(C1141,[1]evdl298!$B:$D,3,0),"")</f>
        <v>E</v>
      </c>
      <c r="G1141" s="110">
        <f>IFERROR(VLOOKUP(C1141,[1]evdl298!$B:$C,2,0),"")</f>
        <v>41515</v>
      </c>
      <c r="H1141" s="110" t="str">
        <f t="shared" si="52"/>
        <v>E</v>
      </c>
      <c r="I1141" s="110">
        <f t="shared" si="53"/>
        <v>41515</v>
      </c>
      <c r="J1141" s="110"/>
      <c r="K1141" s="110"/>
      <c r="M1141" s="110"/>
      <c r="O1141" s="110"/>
    </row>
    <row r="1142" spans="1:15" x14ac:dyDescent="0.3">
      <c r="A1142" s="58" t="str">
        <f>Schedule!E1140</f>
        <v>A060150</v>
      </c>
      <c r="B1142" s="58" t="s">
        <v>2580</v>
      </c>
      <c r="C1142" s="58" t="str">
        <f t="shared" si="51"/>
        <v>060150 KS</v>
      </c>
      <c r="D1142" s="58" t="s">
        <v>3671</v>
      </c>
      <c r="E1142" s="110" t="s">
        <v>3527</v>
      </c>
      <c r="F1142" s="110" t="str">
        <f>IFERROR(VLOOKUP(C1142,[1]evdl298!$B:$D,3,0),"")</f>
        <v>E</v>
      </c>
      <c r="G1142" s="110">
        <f>IFERROR(VLOOKUP(C1142,[1]evdl298!$B:$C,2,0),"")</f>
        <v>41500</v>
      </c>
      <c r="H1142" s="110" t="str">
        <f t="shared" si="52"/>
        <v>E</v>
      </c>
      <c r="I1142" s="110">
        <f t="shared" si="53"/>
        <v>41500</v>
      </c>
      <c r="J1142" s="110"/>
      <c r="K1142" s="110"/>
      <c r="M1142" s="110"/>
      <c r="O1142" s="110"/>
    </row>
    <row r="1143" spans="1:15" x14ac:dyDescent="0.3">
      <c r="A1143" s="58" t="str">
        <f>Schedule!E1141</f>
        <v>A060230</v>
      </c>
      <c r="B1143" s="58" t="s">
        <v>2581</v>
      </c>
      <c r="C1143" s="58" t="str">
        <f t="shared" si="51"/>
        <v>060230 KS</v>
      </c>
      <c r="D1143" s="58" t="s">
        <v>3671</v>
      </c>
      <c r="E1143" s="110" t="s">
        <v>3527</v>
      </c>
      <c r="F1143" s="110" t="str">
        <f>IFERROR(VLOOKUP(C1143,[1]evdl298!$B:$D,3,0),"")</f>
        <v>E</v>
      </c>
      <c r="G1143" s="110">
        <f>IFERROR(VLOOKUP(C1143,[1]evdl298!$B:$C,2,0),"")</f>
        <v>41500</v>
      </c>
      <c r="H1143" s="110" t="str">
        <f t="shared" si="52"/>
        <v>E</v>
      </c>
      <c r="I1143" s="110">
        <f t="shared" si="53"/>
        <v>41500</v>
      </c>
      <c r="J1143" s="110"/>
      <c r="K1143" s="110"/>
      <c r="M1143" s="110"/>
      <c r="O1143" s="110"/>
    </row>
    <row r="1144" spans="1:15" x14ac:dyDescent="0.3">
      <c r="A1144" s="58" t="str">
        <f>Schedule!E1142</f>
        <v>A060240</v>
      </c>
      <c r="B1144" s="58" t="s">
        <v>2582</v>
      </c>
      <c r="C1144" s="58" t="str">
        <f t="shared" si="51"/>
        <v>060240 KS</v>
      </c>
      <c r="D1144" s="58" t="s">
        <v>3671</v>
      </c>
      <c r="E1144" s="110" t="s">
        <v>3527</v>
      </c>
      <c r="F1144" s="110" t="str">
        <f>IFERROR(VLOOKUP(C1144,[1]evdl298!$B:$D,3,0),"")</f>
        <v>E</v>
      </c>
      <c r="G1144" s="110">
        <f>IFERROR(VLOOKUP(C1144,[1]evdl298!$B:$C,2,0),"")</f>
        <v>41500</v>
      </c>
      <c r="H1144" s="110" t="str">
        <f t="shared" si="52"/>
        <v>E</v>
      </c>
      <c r="I1144" s="110">
        <f t="shared" si="53"/>
        <v>41500</v>
      </c>
      <c r="J1144" s="110"/>
      <c r="K1144" s="110"/>
      <c r="M1144" s="110"/>
      <c r="O1144" s="110"/>
    </row>
    <row r="1145" spans="1:15" x14ac:dyDescent="0.3">
      <c r="A1145" s="58" t="str">
        <f>Schedule!E1143</f>
        <v>A060250</v>
      </c>
      <c r="B1145" s="58" t="s">
        <v>2583</v>
      </c>
      <c r="C1145" s="58" t="str">
        <f t="shared" si="51"/>
        <v>060250 KS</v>
      </c>
      <c r="D1145" s="58" t="s">
        <v>3671</v>
      </c>
      <c r="E1145" s="110" t="s">
        <v>3527</v>
      </c>
      <c r="F1145" s="110" t="str">
        <f>IFERROR(VLOOKUP(C1145,[1]evdl298!$B:$D,3,0),"")</f>
        <v>E</v>
      </c>
      <c r="G1145" s="110">
        <f>IFERROR(VLOOKUP(C1145,[1]evdl298!$B:$C,2,0),"")</f>
        <v>41515</v>
      </c>
      <c r="H1145" s="110" t="str">
        <f t="shared" si="52"/>
        <v>E</v>
      </c>
      <c r="I1145" s="110">
        <f t="shared" si="53"/>
        <v>41515</v>
      </c>
      <c r="J1145" s="110"/>
      <c r="K1145" s="110"/>
      <c r="M1145" s="110"/>
      <c r="O1145" s="110"/>
    </row>
    <row r="1146" spans="1:15" x14ac:dyDescent="0.3">
      <c r="A1146" s="58" t="str">
        <f>Schedule!E1144</f>
        <v>A060260</v>
      </c>
      <c r="B1146" s="58" t="s">
        <v>2584</v>
      </c>
      <c r="C1146" s="58" t="str">
        <f t="shared" si="51"/>
        <v>060260 KS</v>
      </c>
      <c r="D1146" s="58" t="s">
        <v>3671</v>
      </c>
      <c r="E1146" s="110" t="s">
        <v>3527</v>
      </c>
      <c r="F1146" s="110" t="str">
        <f>IFERROR(VLOOKUP(C1146,[1]evdl298!$B:$D,3,0),"")</f>
        <v>E</v>
      </c>
      <c r="G1146" s="110">
        <f>IFERROR(VLOOKUP(C1146,[1]evdl298!$B:$C,2,0),"")</f>
        <v>41460</v>
      </c>
      <c r="H1146" s="110" t="str">
        <f t="shared" si="52"/>
        <v>E</v>
      </c>
      <c r="I1146" s="110">
        <f t="shared" si="53"/>
        <v>41460</v>
      </c>
      <c r="J1146" s="110"/>
      <c r="K1146" s="110"/>
      <c r="M1146" s="110"/>
      <c r="O1146" s="110"/>
    </row>
    <row r="1147" spans="1:15" x14ac:dyDescent="0.3">
      <c r="A1147" s="58" t="str">
        <f>Schedule!E1145</f>
        <v>A060280</v>
      </c>
      <c r="B1147" s="58" t="s">
        <v>2585</v>
      </c>
      <c r="C1147" s="58" t="str">
        <f t="shared" si="51"/>
        <v>060280 KS</v>
      </c>
      <c r="D1147" s="58" t="s">
        <v>3671</v>
      </c>
      <c r="E1147" s="110" t="s">
        <v>3527</v>
      </c>
      <c r="F1147" s="110" t="str">
        <f>IFERROR(VLOOKUP(C1147,[1]evdl298!$B:$D,3,0),"")</f>
        <v>E</v>
      </c>
      <c r="G1147" s="110">
        <f>IFERROR(VLOOKUP(C1147,[1]evdl298!$B:$C,2,0),"")</f>
        <v>41500</v>
      </c>
      <c r="H1147" s="110" t="str">
        <f t="shared" si="52"/>
        <v>E</v>
      </c>
      <c r="I1147" s="110">
        <f t="shared" si="53"/>
        <v>41500</v>
      </c>
      <c r="J1147" s="110"/>
      <c r="K1147" s="110"/>
      <c r="M1147" s="110"/>
      <c r="O1147" s="110"/>
    </row>
    <row r="1148" spans="1:15" x14ac:dyDescent="0.3">
      <c r="A1148" s="58" t="str">
        <f>Schedule!E1146</f>
        <v>A060300</v>
      </c>
      <c r="B1148" s="58" t="s">
        <v>2586</v>
      </c>
      <c r="C1148" s="58" t="str">
        <f t="shared" si="51"/>
        <v>060300 KS</v>
      </c>
      <c r="D1148" s="58" t="s">
        <v>3671</v>
      </c>
      <c r="E1148" s="110" t="s">
        <v>3527</v>
      </c>
      <c r="F1148" s="110" t="str">
        <f>IFERROR(VLOOKUP(C1148,[1]evdl298!$B:$D,3,0),"")</f>
        <v>E</v>
      </c>
      <c r="G1148" s="110">
        <f>IFERROR(VLOOKUP(C1148,[1]evdl298!$B:$C,2,0),"")</f>
        <v>41500</v>
      </c>
      <c r="H1148" s="110" t="str">
        <f t="shared" si="52"/>
        <v>E</v>
      </c>
      <c r="I1148" s="110">
        <f t="shared" si="53"/>
        <v>41500</v>
      </c>
      <c r="J1148" s="110"/>
      <c r="K1148" s="110"/>
      <c r="M1148" s="110"/>
      <c r="O1148" s="110"/>
    </row>
    <row r="1149" spans="1:15" x14ac:dyDescent="0.3">
      <c r="A1149" s="58" t="str">
        <f>Schedule!E1147</f>
        <v>A060310</v>
      </c>
      <c r="B1149" s="58" t="s">
        <v>2587</v>
      </c>
      <c r="C1149" s="58" t="str">
        <f t="shared" si="51"/>
        <v>060310 KS</v>
      </c>
      <c r="D1149" s="58" t="s">
        <v>3671</v>
      </c>
      <c r="E1149" s="110" t="s">
        <v>3527</v>
      </c>
      <c r="F1149" s="110" t="str">
        <f>IFERROR(VLOOKUP(C1149,[1]evdl298!$B:$D,3,0),"")</f>
        <v>E</v>
      </c>
      <c r="G1149" s="110">
        <f>IFERROR(VLOOKUP(C1149,[1]evdl298!$B:$C,2,0),"")</f>
        <v>41500</v>
      </c>
      <c r="H1149" s="110" t="str">
        <f t="shared" si="52"/>
        <v>E</v>
      </c>
      <c r="I1149" s="110">
        <f t="shared" si="53"/>
        <v>41500</v>
      </c>
      <c r="J1149" s="110"/>
      <c r="K1149" s="110"/>
      <c r="M1149" s="110"/>
      <c r="O1149" s="110"/>
    </row>
    <row r="1150" spans="1:15" x14ac:dyDescent="0.3">
      <c r="A1150" s="58" t="str">
        <f>Schedule!E1148</f>
        <v>A060370</v>
      </c>
      <c r="B1150" s="58" t="s">
        <v>2588</v>
      </c>
      <c r="C1150" s="58" t="str">
        <f t="shared" si="51"/>
        <v>060370 KS</v>
      </c>
      <c r="D1150" s="58" t="s">
        <v>3671</v>
      </c>
      <c r="E1150" s="110" t="s">
        <v>3527</v>
      </c>
      <c r="F1150" s="110" t="str">
        <f>IFERROR(VLOOKUP(C1150,[1]evdl298!$B:$D,3,0),"")</f>
        <v>E</v>
      </c>
      <c r="G1150" s="110">
        <f>IFERROR(VLOOKUP(C1150,[1]evdl298!$B:$C,2,0),"")</f>
        <v>41515</v>
      </c>
      <c r="H1150" s="110" t="str">
        <f t="shared" si="52"/>
        <v>E</v>
      </c>
      <c r="I1150" s="110">
        <f t="shared" si="53"/>
        <v>41515</v>
      </c>
      <c r="J1150" s="110"/>
      <c r="K1150" s="110"/>
      <c r="M1150" s="110"/>
      <c r="O1150" s="110"/>
    </row>
    <row r="1151" spans="1:15" x14ac:dyDescent="0.3">
      <c r="A1151" s="58" t="str">
        <f>Schedule!E1149</f>
        <v>A060380</v>
      </c>
      <c r="B1151" s="58" t="s">
        <v>2589</v>
      </c>
      <c r="C1151" s="58" t="str">
        <f t="shared" si="51"/>
        <v>060380 KS</v>
      </c>
      <c r="D1151" s="58" t="s">
        <v>3671</v>
      </c>
      <c r="E1151" s="110" t="s">
        <v>3527</v>
      </c>
      <c r="F1151" s="110" t="str">
        <f>IFERROR(VLOOKUP(C1151,[1]evdl298!$B:$D,3,0),"")</f>
        <v/>
      </c>
      <c r="G1151" s="110" t="str">
        <f>IFERROR(VLOOKUP(C1151,[1]evdl298!$B:$C,2,0),"")</f>
        <v/>
      </c>
      <c r="H1151" s="110" t="str">
        <f t="shared" si="52"/>
        <v/>
      </c>
      <c r="I1151" s="110" t="str">
        <f t="shared" si="53"/>
        <v/>
      </c>
      <c r="J1151" s="110"/>
      <c r="K1151" s="110"/>
      <c r="M1151" s="110"/>
      <c r="O1151" s="110"/>
    </row>
    <row r="1152" spans="1:15" x14ac:dyDescent="0.3">
      <c r="A1152" s="58" t="str">
        <f>Schedule!E1150</f>
        <v>A060540</v>
      </c>
      <c r="B1152" s="58" t="s">
        <v>2590</v>
      </c>
      <c r="C1152" s="58" t="str">
        <f t="shared" si="51"/>
        <v>060540 KS</v>
      </c>
      <c r="D1152" s="58" t="s">
        <v>3671</v>
      </c>
      <c r="E1152" s="110" t="s">
        <v>3527</v>
      </c>
      <c r="F1152" s="110" t="str">
        <f>IFERROR(VLOOKUP(C1152,[1]evdl298!$B:$D,3,0),"")</f>
        <v/>
      </c>
      <c r="G1152" s="110" t="str">
        <f>IFERROR(VLOOKUP(C1152,[1]evdl298!$B:$C,2,0),"")</f>
        <v/>
      </c>
      <c r="H1152" s="110" t="str">
        <f t="shared" si="52"/>
        <v/>
      </c>
      <c r="I1152" s="110" t="str">
        <f t="shared" si="53"/>
        <v/>
      </c>
      <c r="J1152" s="110"/>
      <c r="K1152" s="110"/>
      <c r="M1152" s="110"/>
      <c r="O1152" s="110"/>
    </row>
    <row r="1153" spans="1:15" x14ac:dyDescent="0.3">
      <c r="A1153" s="58" t="str">
        <f>Schedule!E1151</f>
        <v>A060560</v>
      </c>
      <c r="B1153" s="58" t="s">
        <v>2591</v>
      </c>
      <c r="C1153" s="58" t="str">
        <f t="shared" si="51"/>
        <v>060560 KS</v>
      </c>
      <c r="D1153" s="58" t="s">
        <v>3671</v>
      </c>
      <c r="E1153" s="110" t="s">
        <v>3527</v>
      </c>
      <c r="F1153" s="110" t="str">
        <f>IFERROR(VLOOKUP(C1153,[1]evdl298!$B:$D,3,0),"")</f>
        <v/>
      </c>
      <c r="G1153" s="110" t="str">
        <f>IFERROR(VLOOKUP(C1153,[1]evdl298!$B:$C,2,0),"")</f>
        <v/>
      </c>
      <c r="H1153" s="110" t="str">
        <f t="shared" si="52"/>
        <v/>
      </c>
      <c r="I1153" s="110" t="str">
        <f t="shared" si="53"/>
        <v/>
      </c>
      <c r="J1153" s="110"/>
      <c r="K1153" s="110"/>
      <c r="M1153" s="110"/>
      <c r="O1153" s="110"/>
    </row>
    <row r="1154" spans="1:15" x14ac:dyDescent="0.3">
      <c r="A1154" s="58" t="str">
        <f>Schedule!E1152</f>
        <v>A060570</v>
      </c>
      <c r="B1154" s="58" t="s">
        <v>2592</v>
      </c>
      <c r="C1154" s="58" t="str">
        <f t="shared" si="51"/>
        <v>060570 KS</v>
      </c>
      <c r="D1154" s="58" t="s">
        <v>3671</v>
      </c>
      <c r="E1154" s="110" t="s">
        <v>3527</v>
      </c>
      <c r="F1154" s="110" t="str">
        <f>IFERROR(VLOOKUP(C1154,[1]evdl298!$B:$D,3,0),"")</f>
        <v>E</v>
      </c>
      <c r="G1154" s="110">
        <f>IFERROR(VLOOKUP(C1154,[1]evdl298!$B:$C,2,0),"")</f>
        <v>41515</v>
      </c>
      <c r="H1154" s="110" t="str">
        <f t="shared" si="52"/>
        <v>E</v>
      </c>
      <c r="I1154" s="110">
        <f t="shared" si="53"/>
        <v>41515</v>
      </c>
      <c r="J1154" s="110"/>
      <c r="K1154" s="110"/>
      <c r="M1154" s="110"/>
      <c r="O1154" s="110"/>
    </row>
    <row r="1155" spans="1:15" x14ac:dyDescent="0.3">
      <c r="A1155" s="58" t="str">
        <f>Schedule!E1153</f>
        <v>A060590</v>
      </c>
      <c r="B1155" s="58" t="s">
        <v>2593</v>
      </c>
      <c r="C1155" s="58" t="str">
        <f t="shared" si="51"/>
        <v>060590 KS</v>
      </c>
      <c r="D1155" s="58" t="s">
        <v>3671</v>
      </c>
      <c r="E1155" s="110" t="s">
        <v>3527</v>
      </c>
      <c r="F1155" s="110" t="str">
        <f>IFERROR(VLOOKUP(C1155,[1]evdl298!$B:$D,3,0),"")</f>
        <v>E</v>
      </c>
      <c r="G1155" s="110">
        <f>IFERROR(VLOOKUP(C1155,[1]evdl298!$B:$C,2,0),"")</f>
        <v>41515</v>
      </c>
      <c r="H1155" s="110" t="str">
        <f t="shared" si="52"/>
        <v>E</v>
      </c>
      <c r="I1155" s="110">
        <f t="shared" si="53"/>
        <v>41515</v>
      </c>
      <c r="J1155" s="110"/>
      <c r="K1155" s="110"/>
      <c r="M1155" s="110"/>
      <c r="O1155" s="110"/>
    </row>
    <row r="1156" spans="1:15" x14ac:dyDescent="0.3">
      <c r="A1156" s="58" t="str">
        <f>Schedule!E1154</f>
        <v>A060720</v>
      </c>
      <c r="B1156" s="58" t="s">
        <v>2594</v>
      </c>
      <c r="C1156" s="58" t="str">
        <f t="shared" si="51"/>
        <v>060720 KS</v>
      </c>
      <c r="D1156" s="58" t="s">
        <v>3671</v>
      </c>
      <c r="E1156" s="110" t="s">
        <v>3527</v>
      </c>
      <c r="F1156" s="110" t="str">
        <f>IFERROR(VLOOKUP(C1156,[1]evdl298!$B:$D,3,0),"")</f>
        <v>E</v>
      </c>
      <c r="G1156" s="110">
        <f>IFERROR(VLOOKUP(C1156,[1]evdl298!$B:$C,2,0),"")</f>
        <v>41495</v>
      </c>
      <c r="H1156" s="110" t="str">
        <f t="shared" si="52"/>
        <v>E</v>
      </c>
      <c r="I1156" s="110">
        <f t="shared" si="53"/>
        <v>41495</v>
      </c>
      <c r="J1156" s="110"/>
      <c r="K1156" s="110"/>
      <c r="M1156" s="110"/>
      <c r="O1156" s="110"/>
    </row>
    <row r="1157" spans="1:15" x14ac:dyDescent="0.3">
      <c r="A1157" s="58" t="str">
        <f>Schedule!E1155</f>
        <v>A060900</v>
      </c>
      <c r="B1157" s="58" t="s">
        <v>2595</v>
      </c>
      <c r="C1157" s="58" t="str">
        <f t="shared" si="51"/>
        <v>060900 KS</v>
      </c>
      <c r="D1157" s="58" t="s">
        <v>3671</v>
      </c>
      <c r="E1157" s="110" t="s">
        <v>3675</v>
      </c>
      <c r="F1157" s="110" t="str">
        <f>IFERROR(VLOOKUP(C1157,[1]evdl298!$B:$D,3,0),"")</f>
        <v/>
      </c>
      <c r="G1157" s="110" t="str">
        <f>IFERROR(VLOOKUP(C1157,[1]evdl298!$B:$C,2,0),"")</f>
        <v/>
      </c>
      <c r="H1157" s="110" t="str">
        <f t="shared" si="52"/>
        <v/>
      </c>
      <c r="I1157" s="110" t="str">
        <f t="shared" si="53"/>
        <v>2013-08-15</v>
      </c>
      <c r="J1157" s="110"/>
      <c r="K1157" s="110"/>
      <c r="M1157" s="110"/>
      <c r="O1157" s="110"/>
    </row>
    <row r="1158" spans="1:15" x14ac:dyDescent="0.3">
      <c r="A1158" s="58" t="str">
        <f>Schedule!E1156</f>
        <v>A060910</v>
      </c>
      <c r="B1158" s="58" t="s">
        <v>2596</v>
      </c>
      <c r="C1158" s="58" t="str">
        <f t="shared" si="51"/>
        <v>060910 KS</v>
      </c>
      <c r="D1158" s="58" t="s">
        <v>3671</v>
      </c>
      <c r="E1158" s="110" t="s">
        <v>3527</v>
      </c>
      <c r="F1158" s="110" t="str">
        <f>IFERROR(VLOOKUP(C1158,[1]evdl298!$B:$D,3,0),"")</f>
        <v>E</v>
      </c>
      <c r="G1158" s="110">
        <f>IFERROR(VLOOKUP(C1158,[1]evdl298!$B:$C,2,0),"")</f>
        <v>41500</v>
      </c>
      <c r="H1158" s="110" t="str">
        <f t="shared" si="52"/>
        <v>E</v>
      </c>
      <c r="I1158" s="110">
        <f t="shared" si="53"/>
        <v>41500</v>
      </c>
      <c r="J1158" s="110"/>
      <c r="K1158" s="110"/>
      <c r="M1158" s="110"/>
      <c r="O1158" s="110"/>
    </row>
    <row r="1159" spans="1:15" x14ac:dyDescent="0.3">
      <c r="A1159" s="58" t="str">
        <f>Schedule!E1157</f>
        <v>A060980</v>
      </c>
      <c r="B1159" s="58" t="s">
        <v>3665</v>
      </c>
      <c r="C1159" s="58" t="str">
        <f t="shared" si="51"/>
        <v>060980 KS</v>
      </c>
      <c r="D1159" s="58" t="s">
        <v>3671</v>
      </c>
      <c r="E1159" s="110" t="s">
        <v>3527</v>
      </c>
      <c r="F1159" s="110" t="str">
        <f>IFERROR(VLOOKUP(C1159,[1]evdl298!$B:$D,3,0),"")</f>
        <v>E</v>
      </c>
      <c r="G1159" s="110">
        <f>IFERROR(VLOOKUP(C1159,[1]evdl298!$B:$C,2,0),"")</f>
        <v>41481</v>
      </c>
      <c r="H1159" s="110" t="str">
        <f t="shared" si="52"/>
        <v>E</v>
      </c>
      <c r="I1159" s="110">
        <f t="shared" si="53"/>
        <v>41481</v>
      </c>
      <c r="J1159" s="110"/>
      <c r="K1159" s="110"/>
      <c r="M1159" s="110"/>
      <c r="O1159" s="110"/>
    </row>
    <row r="1160" spans="1:15" x14ac:dyDescent="0.3">
      <c r="A1160" s="58" t="str">
        <f>Schedule!E1158</f>
        <v>A061040</v>
      </c>
      <c r="B1160" s="58" t="s">
        <v>3360</v>
      </c>
      <c r="C1160" s="58" t="str">
        <f t="shared" si="51"/>
        <v>061040 KS</v>
      </c>
      <c r="D1160" s="58" t="s">
        <v>3671</v>
      </c>
      <c r="E1160" s="110" t="s">
        <v>3679</v>
      </c>
      <c r="F1160" s="110" t="str">
        <f>IFERROR(VLOOKUP(C1160,[1]evdl298!$B:$D,3,0),"")</f>
        <v>E</v>
      </c>
      <c r="G1160" s="110">
        <f>IFERROR(VLOOKUP(C1160,[1]evdl298!$B:$C,2,0),"")</f>
        <v>41515</v>
      </c>
      <c r="H1160" s="110" t="str">
        <f t="shared" si="52"/>
        <v>E</v>
      </c>
      <c r="I1160" s="110">
        <f t="shared" si="53"/>
        <v>41515</v>
      </c>
      <c r="J1160" s="110"/>
      <c r="K1160" s="110"/>
      <c r="M1160" s="110"/>
      <c r="O1160" s="110"/>
    </row>
    <row r="1161" spans="1:15" x14ac:dyDescent="0.3">
      <c r="A1161" s="58" t="str">
        <f>Schedule!E1159</f>
        <v>A061250</v>
      </c>
      <c r="B1161" s="58" t="s">
        <v>2597</v>
      </c>
      <c r="C1161" s="58" t="str">
        <f t="shared" si="51"/>
        <v>061250 KS</v>
      </c>
      <c r="D1161" s="58" t="s">
        <v>3671</v>
      </c>
      <c r="E1161" s="110" t="s">
        <v>3527</v>
      </c>
      <c r="F1161" s="110" t="str">
        <f>IFERROR(VLOOKUP(C1161,[1]evdl298!$B:$D,3,0),"")</f>
        <v/>
      </c>
      <c r="G1161" s="110" t="str">
        <f>IFERROR(VLOOKUP(C1161,[1]evdl298!$B:$C,2,0),"")</f>
        <v/>
      </c>
      <c r="H1161" s="110" t="str">
        <f t="shared" si="52"/>
        <v/>
      </c>
      <c r="I1161" s="110" t="str">
        <f t="shared" si="53"/>
        <v/>
      </c>
      <c r="J1161" s="110"/>
      <c r="K1161" s="110"/>
      <c r="M1161" s="110"/>
      <c r="O1161" s="110"/>
    </row>
    <row r="1162" spans="1:15" x14ac:dyDescent="0.3">
      <c r="A1162" s="58" t="str">
        <f>Schedule!E1160</f>
        <v>A061460</v>
      </c>
      <c r="B1162" s="58" t="s">
        <v>2598</v>
      </c>
      <c r="C1162" s="58" t="str">
        <f t="shared" si="51"/>
        <v>061460 KS</v>
      </c>
      <c r="D1162" s="58" t="s">
        <v>3671</v>
      </c>
      <c r="E1162" s="110" t="s">
        <v>3527</v>
      </c>
      <c r="F1162" s="110" t="str">
        <f>IFERROR(VLOOKUP(C1162,[1]evdl298!$B:$D,3,0),"")</f>
        <v>E</v>
      </c>
      <c r="G1162" s="110">
        <f>IFERROR(VLOOKUP(C1162,[1]evdl298!$B:$C,2,0),"")</f>
        <v>41500</v>
      </c>
      <c r="H1162" s="110" t="str">
        <f t="shared" si="52"/>
        <v>E</v>
      </c>
      <c r="I1162" s="110">
        <f t="shared" si="53"/>
        <v>41500</v>
      </c>
      <c r="J1162" s="110"/>
      <c r="K1162" s="110"/>
      <c r="M1162" s="110"/>
      <c r="O1162" s="110"/>
    </row>
    <row r="1163" spans="1:15" x14ac:dyDescent="0.3">
      <c r="A1163" s="58" t="str">
        <f>Schedule!E1161</f>
        <v>A061970</v>
      </c>
      <c r="B1163" s="58" t="s">
        <v>2599</v>
      </c>
      <c r="C1163" s="58" t="str">
        <f t="shared" si="51"/>
        <v>061970 KS</v>
      </c>
      <c r="D1163" s="58" t="s">
        <v>3671</v>
      </c>
      <c r="E1163" s="110" t="s">
        <v>3527</v>
      </c>
      <c r="F1163" s="110" t="str">
        <f>IFERROR(VLOOKUP(C1163,[1]evdl298!$B:$D,3,0),"")</f>
        <v>E</v>
      </c>
      <c r="G1163" s="110">
        <f>IFERROR(VLOOKUP(C1163,[1]evdl298!$B:$C,2,0),"")</f>
        <v>41487</v>
      </c>
      <c r="H1163" s="110" t="str">
        <f t="shared" si="52"/>
        <v>E</v>
      </c>
      <c r="I1163" s="110">
        <f t="shared" si="53"/>
        <v>41487</v>
      </c>
      <c r="J1163" s="110"/>
      <c r="K1163" s="110"/>
      <c r="M1163" s="110"/>
      <c r="O1163" s="110"/>
    </row>
    <row r="1164" spans="1:15" x14ac:dyDescent="0.3">
      <c r="A1164" s="58" t="str">
        <f>Schedule!E1162</f>
        <v>A062860</v>
      </c>
      <c r="B1164" s="58" t="s">
        <v>3361</v>
      </c>
      <c r="C1164" s="58" t="str">
        <f t="shared" si="51"/>
        <v>062860 KS</v>
      </c>
      <c r="D1164" s="58" t="s">
        <v>3671</v>
      </c>
      <c r="E1164" s="110" t="s">
        <v>3527</v>
      </c>
      <c r="F1164" s="110" t="str">
        <f>IFERROR(VLOOKUP(C1164,[1]evdl298!$B:$D,3,0),"")</f>
        <v/>
      </c>
      <c r="G1164" s="110" t="str">
        <f>IFERROR(VLOOKUP(C1164,[1]evdl298!$B:$C,2,0),"")</f>
        <v/>
      </c>
      <c r="H1164" s="110" t="str">
        <f t="shared" si="52"/>
        <v/>
      </c>
      <c r="I1164" s="110" t="str">
        <f t="shared" si="53"/>
        <v/>
      </c>
      <c r="J1164" s="110"/>
      <c r="K1164" s="110"/>
      <c r="M1164" s="110"/>
      <c r="O1164" s="110"/>
    </row>
    <row r="1165" spans="1:15" x14ac:dyDescent="0.3">
      <c r="A1165" s="58" t="str">
        <f>Schedule!E1163</f>
        <v>A063080</v>
      </c>
      <c r="B1165" s="58" t="s">
        <v>2600</v>
      </c>
      <c r="C1165" s="58" t="str">
        <f t="shared" si="51"/>
        <v>063080 KS</v>
      </c>
      <c r="D1165" s="58" t="s">
        <v>3671</v>
      </c>
      <c r="E1165" s="110" t="s">
        <v>3527</v>
      </c>
      <c r="F1165" s="110" t="str">
        <f>IFERROR(VLOOKUP(C1165,[1]evdl298!$B:$D,3,0),"")</f>
        <v>E</v>
      </c>
      <c r="G1165" s="110">
        <f>IFERROR(VLOOKUP(C1165,[1]evdl298!$B:$C,2,0),"")</f>
        <v>41499</v>
      </c>
      <c r="H1165" s="110" t="str">
        <f t="shared" si="52"/>
        <v>E</v>
      </c>
      <c r="I1165" s="110">
        <f t="shared" si="53"/>
        <v>41499</v>
      </c>
      <c r="J1165" s="110"/>
      <c r="K1165" s="110"/>
      <c r="M1165" s="110"/>
      <c r="O1165" s="110"/>
    </row>
    <row r="1166" spans="1:15" x14ac:dyDescent="0.3">
      <c r="A1166" s="58" t="str">
        <f>Schedule!E1164</f>
        <v>A063160</v>
      </c>
      <c r="B1166" s="58" t="s">
        <v>2601</v>
      </c>
      <c r="C1166" s="58" t="str">
        <f t="shared" si="51"/>
        <v>063160 KS</v>
      </c>
      <c r="D1166" s="58" t="s">
        <v>3671</v>
      </c>
      <c r="E1166" s="110" t="s">
        <v>3700</v>
      </c>
      <c r="F1166" s="110" t="str">
        <f>IFERROR(VLOOKUP(C1166,[1]evdl298!$B:$D,3,0),"")</f>
        <v>E</v>
      </c>
      <c r="G1166" s="110">
        <f>IFERROR(VLOOKUP(C1166,[1]evdl298!$B:$C,2,0),"")</f>
        <v>41485</v>
      </c>
      <c r="H1166" s="110" t="str">
        <f t="shared" si="52"/>
        <v>E</v>
      </c>
      <c r="I1166" s="110">
        <f t="shared" si="53"/>
        <v>41485</v>
      </c>
      <c r="J1166" s="110"/>
      <c r="K1166" s="110"/>
      <c r="M1166" s="110"/>
      <c r="O1166" s="110"/>
    </row>
    <row r="1167" spans="1:15" x14ac:dyDescent="0.3">
      <c r="A1167" s="58" t="str">
        <f>Schedule!E1165</f>
        <v>A063170</v>
      </c>
      <c r="B1167" s="58" t="s">
        <v>2602</v>
      </c>
      <c r="C1167" s="58" t="str">
        <f t="shared" si="51"/>
        <v>063170 KS</v>
      </c>
      <c r="D1167" s="58" t="s">
        <v>3671</v>
      </c>
      <c r="E1167" s="110" t="s">
        <v>3527</v>
      </c>
      <c r="F1167" s="110" t="str">
        <f>IFERROR(VLOOKUP(C1167,[1]evdl298!$B:$D,3,0),"")</f>
        <v/>
      </c>
      <c r="G1167" s="110" t="str">
        <f>IFERROR(VLOOKUP(C1167,[1]evdl298!$B:$C,2,0),"")</f>
        <v/>
      </c>
      <c r="H1167" s="110" t="str">
        <f t="shared" si="52"/>
        <v/>
      </c>
      <c r="I1167" s="110" t="str">
        <f t="shared" si="53"/>
        <v/>
      </c>
      <c r="J1167" s="110"/>
      <c r="K1167" s="110"/>
      <c r="M1167" s="110"/>
      <c r="O1167" s="110"/>
    </row>
    <row r="1168" spans="1:15" x14ac:dyDescent="0.3">
      <c r="A1168" s="58" t="str">
        <f>Schedule!E1166</f>
        <v>A063440</v>
      </c>
      <c r="B1168" s="58" t="s">
        <v>2603</v>
      </c>
      <c r="C1168" s="58" t="str">
        <f t="shared" si="51"/>
        <v>063440 KS</v>
      </c>
      <c r="D1168" s="58" t="s">
        <v>3671</v>
      </c>
      <c r="E1168" s="110" t="s">
        <v>3527</v>
      </c>
      <c r="F1168" s="110" t="str">
        <f>IFERROR(VLOOKUP(C1168,[1]evdl298!$B:$D,3,0),"")</f>
        <v>E</v>
      </c>
      <c r="G1168" s="110">
        <f>IFERROR(VLOOKUP(C1168,[1]evdl298!$B:$C,2,0),"")</f>
        <v>41460</v>
      </c>
      <c r="H1168" s="110" t="str">
        <f t="shared" si="52"/>
        <v>E</v>
      </c>
      <c r="I1168" s="110">
        <f t="shared" si="53"/>
        <v>41460</v>
      </c>
      <c r="J1168" s="110"/>
      <c r="K1168" s="110"/>
      <c r="M1168" s="110"/>
      <c r="O1168" s="110"/>
    </row>
    <row r="1169" spans="1:15" x14ac:dyDescent="0.3">
      <c r="A1169" s="58" t="str">
        <f>Schedule!E1167</f>
        <v>A063570</v>
      </c>
      <c r="B1169" s="58" t="s">
        <v>2604</v>
      </c>
      <c r="C1169" s="58" t="str">
        <f t="shared" ref="C1169:C1232" si="54">RIGHT(A1169,6)&amp;" KS"</f>
        <v>063570 KS</v>
      </c>
      <c r="D1169" s="58" t="s">
        <v>3671</v>
      </c>
      <c r="E1169" s="110" t="s">
        <v>3527</v>
      </c>
      <c r="F1169" s="110" t="str">
        <f>IFERROR(VLOOKUP(C1169,[1]evdl298!$B:$D,3,0),"")</f>
        <v>E</v>
      </c>
      <c r="G1169" s="110">
        <f>IFERROR(VLOOKUP(C1169,[1]evdl298!$B:$C,2,0),"")</f>
        <v>41500</v>
      </c>
      <c r="H1169" s="110" t="str">
        <f t="shared" ref="H1169:H1232" si="55">F1169</f>
        <v>E</v>
      </c>
      <c r="I1169" s="110">
        <f t="shared" ref="I1169:I1232" si="56">IF(ISNUMBER(G1169),G1169,E1169)</f>
        <v>41500</v>
      </c>
      <c r="J1169" s="110"/>
      <c r="K1169" s="110"/>
      <c r="M1169" s="110"/>
      <c r="O1169" s="110"/>
    </row>
    <row r="1170" spans="1:15" x14ac:dyDescent="0.3">
      <c r="A1170" s="58" t="str">
        <f>Schedule!E1168</f>
        <v>A064090</v>
      </c>
      <c r="B1170" s="58" t="s">
        <v>2605</v>
      </c>
      <c r="C1170" s="58" t="str">
        <f t="shared" si="54"/>
        <v>064090 KS</v>
      </c>
      <c r="D1170" s="58" t="s">
        <v>3671</v>
      </c>
      <c r="E1170" s="110" t="s">
        <v>3527</v>
      </c>
      <c r="F1170" s="110" t="str">
        <f>IFERROR(VLOOKUP(C1170,[1]evdl298!$B:$D,3,0),"")</f>
        <v>E</v>
      </c>
      <c r="G1170" s="110">
        <f>IFERROR(VLOOKUP(C1170,[1]evdl298!$B:$C,2,0),"")</f>
        <v>41500</v>
      </c>
      <c r="H1170" s="110" t="str">
        <f t="shared" si="55"/>
        <v>E</v>
      </c>
      <c r="I1170" s="110">
        <f t="shared" si="56"/>
        <v>41500</v>
      </c>
      <c r="J1170" s="110"/>
      <c r="K1170" s="110"/>
      <c r="M1170" s="110"/>
      <c r="O1170" s="110"/>
    </row>
    <row r="1171" spans="1:15" x14ac:dyDescent="0.3">
      <c r="A1171" s="58" t="str">
        <f>Schedule!E1169</f>
        <v>A064240</v>
      </c>
      <c r="B1171" s="58" t="s">
        <v>2606</v>
      </c>
      <c r="C1171" s="58" t="str">
        <f t="shared" si="54"/>
        <v>064240 KS</v>
      </c>
      <c r="D1171" s="58" t="s">
        <v>3671</v>
      </c>
      <c r="E1171" s="110" t="s">
        <v>3527</v>
      </c>
      <c r="F1171" s="110" t="str">
        <f>IFERROR(VLOOKUP(C1171,[1]evdl298!$B:$D,3,0),"")</f>
        <v>E</v>
      </c>
      <c r="G1171" s="110">
        <f>IFERROR(VLOOKUP(C1171,[1]evdl298!$B:$C,2,0),"")</f>
        <v>41515</v>
      </c>
      <c r="H1171" s="110" t="str">
        <f t="shared" si="55"/>
        <v>E</v>
      </c>
      <c r="I1171" s="110">
        <f t="shared" si="56"/>
        <v>41515</v>
      </c>
      <c r="J1171" s="110"/>
      <c r="K1171" s="110"/>
      <c r="M1171" s="110"/>
      <c r="O1171" s="110"/>
    </row>
    <row r="1172" spans="1:15" x14ac:dyDescent="0.3">
      <c r="A1172" s="58" t="str">
        <f>Schedule!E1170</f>
        <v>A064260</v>
      </c>
      <c r="B1172" s="58" t="s">
        <v>2607</v>
      </c>
      <c r="C1172" s="58" t="str">
        <f t="shared" si="54"/>
        <v>064260 KS</v>
      </c>
      <c r="D1172" s="58" t="s">
        <v>3671</v>
      </c>
      <c r="E1172" s="110" t="s">
        <v>3527</v>
      </c>
      <c r="F1172" s="110" t="str">
        <f>IFERROR(VLOOKUP(C1172,[1]evdl298!$B:$D,3,0),"")</f>
        <v/>
      </c>
      <c r="G1172" s="110" t="str">
        <f>IFERROR(VLOOKUP(C1172,[1]evdl298!$B:$C,2,0),"")</f>
        <v/>
      </c>
      <c r="H1172" s="110" t="str">
        <f t="shared" si="55"/>
        <v/>
      </c>
      <c r="I1172" s="110" t="str">
        <f t="shared" si="56"/>
        <v/>
      </c>
      <c r="J1172" s="110"/>
      <c r="K1172" s="110"/>
      <c r="M1172" s="110"/>
      <c r="O1172" s="110"/>
    </row>
    <row r="1173" spans="1:15" x14ac:dyDescent="0.3">
      <c r="A1173" s="58" t="str">
        <f>Schedule!E1171</f>
        <v>A064290</v>
      </c>
      <c r="B1173" s="58" t="s">
        <v>2608</v>
      </c>
      <c r="C1173" s="58" t="str">
        <f t="shared" si="54"/>
        <v>064290 KS</v>
      </c>
      <c r="D1173" s="58" t="s">
        <v>3671</v>
      </c>
      <c r="E1173" s="110" t="s">
        <v>3527</v>
      </c>
      <c r="F1173" s="110" t="str">
        <f>IFERROR(VLOOKUP(C1173,[1]evdl298!$B:$D,3,0),"")</f>
        <v>E</v>
      </c>
      <c r="G1173" s="110">
        <f>IFERROR(VLOOKUP(C1173,[1]evdl298!$B:$C,2,0),"")</f>
        <v>41500</v>
      </c>
      <c r="H1173" s="110" t="str">
        <f t="shared" si="55"/>
        <v>E</v>
      </c>
      <c r="I1173" s="110">
        <f t="shared" si="56"/>
        <v>41500</v>
      </c>
      <c r="J1173" s="110"/>
      <c r="K1173" s="110"/>
      <c r="M1173" s="110"/>
      <c r="O1173" s="110"/>
    </row>
    <row r="1174" spans="1:15" x14ac:dyDescent="0.3">
      <c r="A1174" s="58" t="str">
        <f>Schedule!E1172</f>
        <v>A064480</v>
      </c>
      <c r="B1174" s="58" t="s">
        <v>3362</v>
      </c>
      <c r="C1174" s="58" t="str">
        <f t="shared" si="54"/>
        <v>064480 KS</v>
      </c>
      <c r="D1174" s="58" t="s">
        <v>3671</v>
      </c>
      <c r="E1174" s="110" t="s">
        <v>3527</v>
      </c>
      <c r="F1174" s="110" t="str">
        <f>IFERROR(VLOOKUP(C1174,[1]evdl298!$B:$D,3,0),"")</f>
        <v>E</v>
      </c>
      <c r="G1174" s="110">
        <f>IFERROR(VLOOKUP(C1174,[1]evdl298!$B:$C,2,0),"")</f>
        <v>41494</v>
      </c>
      <c r="H1174" s="110" t="str">
        <f t="shared" si="55"/>
        <v>E</v>
      </c>
      <c r="I1174" s="110">
        <f t="shared" si="56"/>
        <v>41494</v>
      </c>
      <c r="J1174" s="110"/>
      <c r="K1174" s="110"/>
      <c r="M1174" s="110"/>
      <c r="O1174" s="110"/>
    </row>
    <row r="1175" spans="1:15" x14ac:dyDescent="0.3">
      <c r="A1175" s="58" t="str">
        <f>Schedule!E1173</f>
        <v>A064520</v>
      </c>
      <c r="B1175" s="58" t="s">
        <v>2609</v>
      </c>
      <c r="C1175" s="58" t="str">
        <f t="shared" si="54"/>
        <v>064520 KS</v>
      </c>
      <c r="D1175" s="58" t="s">
        <v>3671</v>
      </c>
      <c r="E1175" s="110" t="s">
        <v>3527</v>
      </c>
      <c r="F1175" s="110" t="str">
        <f>IFERROR(VLOOKUP(C1175,[1]evdl298!$B:$D,3,0),"")</f>
        <v/>
      </c>
      <c r="G1175" s="110" t="str">
        <f>IFERROR(VLOOKUP(C1175,[1]evdl298!$B:$C,2,0),"")</f>
        <v/>
      </c>
      <c r="H1175" s="110" t="str">
        <f t="shared" si="55"/>
        <v/>
      </c>
      <c r="I1175" s="110" t="str">
        <f t="shared" si="56"/>
        <v/>
      </c>
      <c r="J1175" s="110"/>
      <c r="K1175" s="110"/>
      <c r="M1175" s="110"/>
      <c r="O1175" s="110"/>
    </row>
    <row r="1176" spans="1:15" x14ac:dyDescent="0.3">
      <c r="A1176" s="58" t="str">
        <f>Schedule!E1174</f>
        <v>A064550</v>
      </c>
      <c r="B1176" s="58" t="s">
        <v>2610</v>
      </c>
      <c r="C1176" s="58" t="str">
        <f t="shared" si="54"/>
        <v>064550 KS</v>
      </c>
      <c r="D1176" s="58" t="s">
        <v>3671</v>
      </c>
      <c r="E1176" s="110" t="s">
        <v>3527</v>
      </c>
      <c r="F1176" s="110" t="str">
        <f>IFERROR(VLOOKUP(C1176,[1]evdl298!$B:$D,3,0),"")</f>
        <v/>
      </c>
      <c r="G1176" s="110" t="str">
        <f>IFERROR(VLOOKUP(C1176,[1]evdl298!$B:$C,2,0),"")</f>
        <v/>
      </c>
      <c r="H1176" s="110" t="str">
        <f t="shared" si="55"/>
        <v/>
      </c>
      <c r="I1176" s="110" t="str">
        <f t="shared" si="56"/>
        <v/>
      </c>
      <c r="J1176" s="110"/>
      <c r="K1176" s="110"/>
      <c r="M1176" s="110"/>
      <c r="O1176" s="110"/>
    </row>
    <row r="1177" spans="1:15" x14ac:dyDescent="0.3">
      <c r="A1177" s="58" t="str">
        <f>Schedule!E1175</f>
        <v>A064760</v>
      </c>
      <c r="B1177" s="58" t="s">
        <v>2611</v>
      </c>
      <c r="C1177" s="58" t="str">
        <f t="shared" si="54"/>
        <v>064760 KS</v>
      </c>
      <c r="D1177" s="58" t="s">
        <v>3671</v>
      </c>
      <c r="E1177" s="110" t="s">
        <v>3527</v>
      </c>
      <c r="F1177" s="110" t="str">
        <f>IFERROR(VLOOKUP(C1177,[1]evdl298!$B:$D,3,0),"")</f>
        <v>E</v>
      </c>
      <c r="G1177" s="110">
        <f>IFERROR(VLOOKUP(C1177,[1]evdl298!$B:$C,2,0),"")</f>
        <v>41460</v>
      </c>
      <c r="H1177" s="110" t="str">
        <f t="shared" si="55"/>
        <v>E</v>
      </c>
      <c r="I1177" s="110">
        <f t="shared" si="56"/>
        <v>41460</v>
      </c>
      <c r="J1177" s="110"/>
      <c r="K1177" s="110"/>
      <c r="M1177" s="110"/>
      <c r="O1177" s="110"/>
    </row>
    <row r="1178" spans="1:15" x14ac:dyDescent="0.3">
      <c r="A1178" s="58" t="str">
        <f>Schedule!E1176</f>
        <v>A064800</v>
      </c>
      <c r="B1178" s="58" t="s">
        <v>2612</v>
      </c>
      <c r="C1178" s="58" t="str">
        <f t="shared" si="54"/>
        <v>064800 KS</v>
      </c>
      <c r="D1178" s="58" t="s">
        <v>3671</v>
      </c>
      <c r="E1178" s="110" t="s">
        <v>3527</v>
      </c>
      <c r="F1178" s="110" t="str">
        <f>IFERROR(VLOOKUP(C1178,[1]evdl298!$B:$D,3,0),"")</f>
        <v>E</v>
      </c>
      <c r="G1178" s="110">
        <f>IFERROR(VLOOKUP(C1178,[1]evdl298!$B:$C,2,0),"")</f>
        <v>41500</v>
      </c>
      <c r="H1178" s="110" t="str">
        <f t="shared" si="55"/>
        <v>E</v>
      </c>
      <c r="I1178" s="110">
        <f t="shared" si="56"/>
        <v>41500</v>
      </c>
      <c r="J1178" s="110"/>
      <c r="K1178" s="110"/>
      <c r="M1178" s="110"/>
      <c r="O1178" s="110"/>
    </row>
    <row r="1179" spans="1:15" x14ac:dyDescent="0.3">
      <c r="A1179" s="58" t="str">
        <f>Schedule!E1177</f>
        <v>A064820</v>
      </c>
      <c r="B1179" s="58" t="s">
        <v>2613</v>
      </c>
      <c r="C1179" s="58" t="str">
        <f t="shared" si="54"/>
        <v>064820 KS</v>
      </c>
      <c r="D1179" s="58" t="s">
        <v>3671</v>
      </c>
      <c r="E1179" s="110" t="s">
        <v>3527</v>
      </c>
      <c r="F1179" s="110" t="str">
        <f>IFERROR(VLOOKUP(C1179,[1]evdl298!$B:$D,3,0),"")</f>
        <v/>
      </c>
      <c r="G1179" s="110" t="str">
        <f>IFERROR(VLOOKUP(C1179,[1]evdl298!$B:$C,2,0),"")</f>
        <v/>
      </c>
      <c r="H1179" s="110" t="str">
        <f t="shared" si="55"/>
        <v/>
      </c>
      <c r="I1179" s="110" t="str">
        <f t="shared" si="56"/>
        <v/>
      </c>
      <c r="J1179" s="110"/>
      <c r="K1179" s="110"/>
      <c r="M1179" s="110"/>
      <c r="O1179" s="110"/>
    </row>
    <row r="1180" spans="1:15" x14ac:dyDescent="0.3">
      <c r="A1180" s="58" t="str">
        <f>Schedule!E1178</f>
        <v>A064960</v>
      </c>
      <c r="B1180" s="58" t="s">
        <v>2614</v>
      </c>
      <c r="C1180" s="58" t="str">
        <f t="shared" si="54"/>
        <v>064960 KS</v>
      </c>
      <c r="D1180" s="58" t="s">
        <v>3671</v>
      </c>
      <c r="E1180" s="110" t="s">
        <v>3527</v>
      </c>
      <c r="F1180" s="110" t="str">
        <f>IFERROR(VLOOKUP(C1180,[1]evdl298!$B:$D,3,0),"")</f>
        <v>E</v>
      </c>
      <c r="G1180" s="110">
        <f>IFERROR(VLOOKUP(C1180,[1]evdl298!$B:$C,2,0),"")</f>
        <v>41495</v>
      </c>
      <c r="H1180" s="110" t="str">
        <f t="shared" si="55"/>
        <v>E</v>
      </c>
      <c r="I1180" s="110">
        <f t="shared" si="56"/>
        <v>41495</v>
      </c>
      <c r="J1180" s="110"/>
      <c r="K1180" s="110"/>
      <c r="M1180" s="110"/>
      <c r="O1180" s="110"/>
    </row>
    <row r="1181" spans="1:15" x14ac:dyDescent="0.3">
      <c r="A1181" s="58" t="str">
        <f>Schedule!E1179</f>
        <v>A065060</v>
      </c>
      <c r="B1181" s="58" t="s">
        <v>2615</v>
      </c>
      <c r="C1181" s="58" t="str">
        <f t="shared" si="54"/>
        <v>065060 KS</v>
      </c>
      <c r="D1181" s="58" t="s">
        <v>3671</v>
      </c>
      <c r="E1181" s="110" t="s">
        <v>3685</v>
      </c>
      <c r="F1181" s="110" t="str">
        <f>IFERROR(VLOOKUP(C1181,[1]evdl298!$B:$D,3,0),"")</f>
        <v/>
      </c>
      <c r="G1181" s="110" t="str">
        <f>IFERROR(VLOOKUP(C1181,[1]evdl298!$B:$C,2,0),"")</f>
        <v/>
      </c>
      <c r="H1181" s="110" t="str">
        <f t="shared" si="55"/>
        <v/>
      </c>
      <c r="I1181" s="110" t="str">
        <f t="shared" si="56"/>
        <v>2013-08-09</v>
      </c>
      <c r="J1181" s="110"/>
      <c r="K1181" s="110"/>
      <c r="M1181" s="110"/>
      <c r="O1181" s="110"/>
    </row>
    <row r="1182" spans="1:15" x14ac:dyDescent="0.3">
      <c r="A1182" s="58" t="str">
        <f>Schedule!E1180</f>
        <v>A065130</v>
      </c>
      <c r="B1182" s="58" t="s">
        <v>2616</v>
      </c>
      <c r="C1182" s="58" t="str">
        <f t="shared" si="54"/>
        <v>065130 KS</v>
      </c>
      <c r="D1182" s="58" t="s">
        <v>3671</v>
      </c>
      <c r="E1182" s="110" t="s">
        <v>3527</v>
      </c>
      <c r="F1182" s="110" t="str">
        <f>IFERROR(VLOOKUP(C1182,[1]evdl298!$B:$D,3,0),"")</f>
        <v>E</v>
      </c>
      <c r="G1182" s="110">
        <f>IFERROR(VLOOKUP(C1182,[1]evdl298!$B:$C,2,0),"")</f>
        <v>41495</v>
      </c>
      <c r="H1182" s="110" t="str">
        <f t="shared" si="55"/>
        <v>E</v>
      </c>
      <c r="I1182" s="110">
        <f t="shared" si="56"/>
        <v>41495</v>
      </c>
      <c r="J1182" s="110"/>
      <c r="K1182" s="110"/>
      <c r="M1182" s="110"/>
      <c r="O1182" s="110"/>
    </row>
    <row r="1183" spans="1:15" x14ac:dyDescent="0.3">
      <c r="A1183" s="58" t="str">
        <f>Schedule!E1181</f>
        <v>A065150</v>
      </c>
      <c r="B1183" s="58" t="s">
        <v>2617</v>
      </c>
      <c r="C1183" s="58" t="str">
        <f t="shared" si="54"/>
        <v>065150 KS</v>
      </c>
      <c r="D1183" s="58" t="s">
        <v>3671</v>
      </c>
      <c r="E1183" s="110" t="s">
        <v>3527</v>
      </c>
      <c r="F1183" s="110" t="str">
        <f>IFERROR(VLOOKUP(C1183,[1]evdl298!$B:$D,3,0),"")</f>
        <v/>
      </c>
      <c r="G1183" s="110" t="str">
        <f>IFERROR(VLOOKUP(C1183,[1]evdl298!$B:$C,2,0),"")</f>
        <v/>
      </c>
      <c r="H1183" s="110" t="str">
        <f t="shared" si="55"/>
        <v/>
      </c>
      <c r="I1183" s="110" t="str">
        <f t="shared" si="56"/>
        <v/>
      </c>
      <c r="J1183" s="110"/>
      <c r="K1183" s="110"/>
      <c r="M1183" s="110"/>
      <c r="O1183" s="110"/>
    </row>
    <row r="1184" spans="1:15" x14ac:dyDescent="0.3">
      <c r="A1184" s="58" t="str">
        <f>Schedule!E1182</f>
        <v>A065160</v>
      </c>
      <c r="B1184" s="58" t="s">
        <v>2618</v>
      </c>
      <c r="C1184" s="58" t="str">
        <f t="shared" si="54"/>
        <v>065160 KS</v>
      </c>
      <c r="D1184" s="58" t="s">
        <v>3671</v>
      </c>
      <c r="E1184" s="110" t="s">
        <v>3527</v>
      </c>
      <c r="F1184" s="110" t="str">
        <f>IFERROR(VLOOKUP(C1184,[1]evdl298!$B:$D,3,0),"")</f>
        <v/>
      </c>
      <c r="G1184" s="110" t="str">
        <f>IFERROR(VLOOKUP(C1184,[1]evdl298!$B:$C,2,0),"")</f>
        <v/>
      </c>
      <c r="H1184" s="110" t="str">
        <f t="shared" si="55"/>
        <v/>
      </c>
      <c r="I1184" s="110" t="str">
        <f t="shared" si="56"/>
        <v/>
      </c>
      <c r="J1184" s="110"/>
      <c r="K1184" s="110"/>
      <c r="M1184" s="110"/>
      <c r="O1184" s="110"/>
    </row>
    <row r="1185" spans="1:15" x14ac:dyDescent="0.3">
      <c r="A1185" s="58" t="str">
        <f>Schedule!E1183</f>
        <v>A065170</v>
      </c>
      <c r="B1185" s="58" t="s">
        <v>2619</v>
      </c>
      <c r="C1185" s="58" t="str">
        <f t="shared" si="54"/>
        <v>065170 KS</v>
      </c>
      <c r="D1185" s="58" t="s">
        <v>3671</v>
      </c>
      <c r="E1185" s="110" t="s">
        <v>3527</v>
      </c>
      <c r="F1185" s="110" t="str">
        <f>IFERROR(VLOOKUP(C1185,[1]evdl298!$B:$D,3,0),"")</f>
        <v/>
      </c>
      <c r="G1185" s="110" t="str">
        <f>IFERROR(VLOOKUP(C1185,[1]evdl298!$B:$C,2,0),"")</f>
        <v/>
      </c>
      <c r="H1185" s="110" t="str">
        <f t="shared" si="55"/>
        <v/>
      </c>
      <c r="I1185" s="110" t="str">
        <f t="shared" si="56"/>
        <v/>
      </c>
      <c r="J1185" s="110"/>
      <c r="K1185" s="110"/>
      <c r="M1185" s="110"/>
      <c r="O1185" s="110"/>
    </row>
    <row r="1186" spans="1:15" x14ac:dyDescent="0.3">
      <c r="A1186" s="58" t="str">
        <f>Schedule!E1184</f>
        <v>A065180</v>
      </c>
      <c r="B1186" s="58" t="s">
        <v>2620</v>
      </c>
      <c r="C1186" s="58" t="str">
        <f t="shared" si="54"/>
        <v>065180 KS</v>
      </c>
      <c r="D1186" s="58" t="s">
        <v>3671</v>
      </c>
      <c r="E1186" s="110" t="s">
        <v>3527</v>
      </c>
      <c r="F1186" s="110" t="str">
        <f>IFERROR(VLOOKUP(C1186,[1]evdl298!$B:$D,3,0),"")</f>
        <v>E</v>
      </c>
      <c r="G1186" s="110">
        <f>IFERROR(VLOOKUP(C1186,[1]evdl298!$B:$C,2,0),"")</f>
        <v>41500</v>
      </c>
      <c r="H1186" s="110" t="str">
        <f t="shared" si="55"/>
        <v>E</v>
      </c>
      <c r="I1186" s="110">
        <f t="shared" si="56"/>
        <v>41500</v>
      </c>
      <c r="J1186" s="110"/>
      <c r="K1186" s="110"/>
      <c r="M1186" s="110"/>
      <c r="O1186" s="110"/>
    </row>
    <row r="1187" spans="1:15" x14ac:dyDescent="0.3">
      <c r="A1187" s="58" t="str">
        <f>Schedule!E1185</f>
        <v>A065270</v>
      </c>
      <c r="B1187" s="58" t="s">
        <v>2621</v>
      </c>
      <c r="C1187" s="58" t="str">
        <f t="shared" si="54"/>
        <v>065270 KS</v>
      </c>
      <c r="D1187" s="58" t="s">
        <v>3671</v>
      </c>
      <c r="E1187" s="110" t="s">
        <v>3527</v>
      </c>
      <c r="F1187" s="110" t="str">
        <f>IFERROR(VLOOKUP(C1187,[1]evdl298!$B:$D,3,0),"")</f>
        <v>E</v>
      </c>
      <c r="G1187" s="110">
        <f>IFERROR(VLOOKUP(C1187,[1]evdl298!$B:$C,2,0),"")</f>
        <v>41515</v>
      </c>
      <c r="H1187" s="110" t="str">
        <f t="shared" si="55"/>
        <v>E</v>
      </c>
      <c r="I1187" s="110">
        <f t="shared" si="56"/>
        <v>41515</v>
      </c>
      <c r="J1187" s="110"/>
      <c r="K1187" s="110"/>
      <c r="M1187" s="110"/>
      <c r="O1187" s="110"/>
    </row>
    <row r="1188" spans="1:15" x14ac:dyDescent="0.3">
      <c r="A1188" s="58" t="str">
        <f>Schedule!E1186</f>
        <v>A065350</v>
      </c>
      <c r="B1188" s="58" t="s">
        <v>2622</v>
      </c>
      <c r="C1188" s="58" t="str">
        <f t="shared" si="54"/>
        <v>065350 KS</v>
      </c>
      <c r="D1188" s="58" t="s">
        <v>3671</v>
      </c>
      <c r="E1188" s="110" t="s">
        <v>3527</v>
      </c>
      <c r="F1188" s="110" t="str">
        <f>IFERROR(VLOOKUP(C1188,[1]evdl298!$B:$D,3,0),"")</f>
        <v>E</v>
      </c>
      <c r="G1188" s="110">
        <f>IFERROR(VLOOKUP(C1188,[1]evdl298!$B:$C,2,0),"")</f>
        <v>41500</v>
      </c>
      <c r="H1188" s="110" t="str">
        <f t="shared" si="55"/>
        <v>E</v>
      </c>
      <c r="I1188" s="110">
        <f t="shared" si="56"/>
        <v>41500</v>
      </c>
      <c r="J1188" s="110"/>
      <c r="K1188" s="110"/>
      <c r="M1188" s="110"/>
      <c r="O1188" s="110"/>
    </row>
    <row r="1189" spans="1:15" x14ac:dyDescent="0.3">
      <c r="A1189" s="58" t="str">
        <f>Schedule!E1187</f>
        <v>A065420</v>
      </c>
      <c r="B1189" s="58" t="s">
        <v>2623</v>
      </c>
      <c r="C1189" s="58" t="str">
        <f t="shared" si="54"/>
        <v>065420 KS</v>
      </c>
      <c r="D1189" s="58" t="s">
        <v>3671</v>
      </c>
      <c r="E1189" s="110" t="s">
        <v>3527</v>
      </c>
      <c r="F1189" s="110" t="str">
        <f>IFERROR(VLOOKUP(C1189,[1]evdl298!$B:$D,3,0),"")</f>
        <v/>
      </c>
      <c r="G1189" s="110" t="str">
        <f>IFERROR(VLOOKUP(C1189,[1]evdl298!$B:$C,2,0),"")</f>
        <v/>
      </c>
      <c r="H1189" s="110" t="str">
        <f t="shared" si="55"/>
        <v/>
      </c>
      <c r="I1189" s="110" t="str">
        <f t="shared" si="56"/>
        <v/>
      </c>
      <c r="J1189" s="110"/>
      <c r="K1189" s="110"/>
      <c r="M1189" s="110"/>
      <c r="O1189" s="110"/>
    </row>
    <row r="1190" spans="1:15" x14ac:dyDescent="0.3">
      <c r="A1190" s="58" t="str">
        <f>Schedule!E1188</f>
        <v>A065440</v>
      </c>
      <c r="B1190" s="58" t="s">
        <v>2624</v>
      </c>
      <c r="C1190" s="58" t="str">
        <f t="shared" si="54"/>
        <v>065440 KS</v>
      </c>
      <c r="D1190" s="58" t="s">
        <v>3671</v>
      </c>
      <c r="E1190" s="110" t="s">
        <v>3527</v>
      </c>
      <c r="F1190" s="110" t="str">
        <f>IFERROR(VLOOKUP(C1190,[1]evdl298!$B:$D,3,0),"")</f>
        <v/>
      </c>
      <c r="G1190" s="110" t="str">
        <f>IFERROR(VLOOKUP(C1190,[1]evdl298!$B:$C,2,0),"")</f>
        <v/>
      </c>
      <c r="H1190" s="110" t="str">
        <f t="shared" si="55"/>
        <v/>
      </c>
      <c r="I1190" s="110" t="str">
        <f t="shared" si="56"/>
        <v/>
      </c>
      <c r="J1190" s="110"/>
      <c r="K1190" s="110"/>
      <c r="M1190" s="110"/>
      <c r="O1190" s="110"/>
    </row>
    <row r="1191" spans="1:15" x14ac:dyDescent="0.3">
      <c r="A1191" s="58" t="str">
        <f>Schedule!E1189</f>
        <v>A065450</v>
      </c>
      <c r="B1191" s="58" t="s">
        <v>2625</v>
      </c>
      <c r="C1191" s="58" t="str">
        <f t="shared" si="54"/>
        <v>065450 KS</v>
      </c>
      <c r="D1191" s="58" t="s">
        <v>3671</v>
      </c>
      <c r="E1191" s="110" t="s">
        <v>3527</v>
      </c>
      <c r="F1191" s="110" t="str">
        <f>IFERROR(VLOOKUP(C1191,[1]evdl298!$B:$D,3,0),"")</f>
        <v>E</v>
      </c>
      <c r="G1191" s="110">
        <f>IFERROR(VLOOKUP(C1191,[1]evdl298!$B:$C,2,0),"")</f>
        <v>41460</v>
      </c>
      <c r="H1191" s="110" t="str">
        <f t="shared" si="55"/>
        <v>E</v>
      </c>
      <c r="I1191" s="110">
        <f t="shared" si="56"/>
        <v>41460</v>
      </c>
      <c r="J1191" s="110"/>
      <c r="K1191" s="110"/>
      <c r="M1191" s="110"/>
      <c r="O1191" s="110"/>
    </row>
    <row r="1192" spans="1:15" x14ac:dyDescent="0.3">
      <c r="A1192" s="58" t="str">
        <f>Schedule!E1190</f>
        <v>A065500</v>
      </c>
      <c r="B1192" s="58" t="s">
        <v>2626</v>
      </c>
      <c r="C1192" s="58" t="str">
        <f t="shared" si="54"/>
        <v>065500 KS</v>
      </c>
      <c r="D1192" s="58" t="s">
        <v>3671</v>
      </c>
      <c r="E1192" s="110" t="s">
        <v>3527</v>
      </c>
      <c r="F1192" s="110" t="str">
        <f>IFERROR(VLOOKUP(C1192,[1]evdl298!$B:$D,3,0),"")</f>
        <v/>
      </c>
      <c r="G1192" s="110" t="str">
        <f>IFERROR(VLOOKUP(C1192,[1]evdl298!$B:$C,2,0),"")</f>
        <v/>
      </c>
      <c r="H1192" s="110" t="str">
        <f t="shared" si="55"/>
        <v/>
      </c>
      <c r="I1192" s="110" t="str">
        <f t="shared" si="56"/>
        <v/>
      </c>
      <c r="J1192" s="110"/>
      <c r="K1192" s="110"/>
      <c r="M1192" s="110"/>
      <c r="O1192" s="110"/>
    </row>
    <row r="1193" spans="1:15" x14ac:dyDescent="0.3">
      <c r="A1193" s="58" t="str">
        <f>Schedule!E1191</f>
        <v>A065510</v>
      </c>
      <c r="B1193" s="58" t="s">
        <v>2627</v>
      </c>
      <c r="C1193" s="58" t="str">
        <f t="shared" si="54"/>
        <v>065510 KS</v>
      </c>
      <c r="D1193" s="58" t="s">
        <v>3671</v>
      </c>
      <c r="E1193" s="110" t="s">
        <v>3527</v>
      </c>
      <c r="F1193" s="110" t="str">
        <f>IFERROR(VLOOKUP(C1193,[1]evdl298!$B:$D,3,0),"")</f>
        <v>E</v>
      </c>
      <c r="G1193" s="110">
        <f>IFERROR(VLOOKUP(C1193,[1]evdl298!$B:$C,2,0),"")</f>
        <v>41515</v>
      </c>
      <c r="H1193" s="110" t="str">
        <f t="shared" si="55"/>
        <v>E</v>
      </c>
      <c r="I1193" s="110">
        <f t="shared" si="56"/>
        <v>41515</v>
      </c>
      <c r="J1193" s="110"/>
      <c r="K1193" s="110"/>
      <c r="M1193" s="110"/>
      <c r="O1193" s="110"/>
    </row>
    <row r="1194" spans="1:15" x14ac:dyDescent="0.3">
      <c r="A1194" s="58" t="str">
        <f>Schedule!E1192</f>
        <v>A065530</v>
      </c>
      <c r="B1194" s="58" t="s">
        <v>2628</v>
      </c>
      <c r="C1194" s="58" t="str">
        <f t="shared" si="54"/>
        <v>065530 KS</v>
      </c>
      <c r="D1194" s="58" t="s">
        <v>3671</v>
      </c>
      <c r="E1194" s="110" t="s">
        <v>3527</v>
      </c>
      <c r="F1194" s="110" t="str">
        <f>IFERROR(VLOOKUP(C1194,[1]evdl298!$B:$D,3,0),"")</f>
        <v>E</v>
      </c>
      <c r="G1194" s="110">
        <f>IFERROR(VLOOKUP(C1194,[1]evdl298!$B:$C,2,0),"")</f>
        <v>41500</v>
      </c>
      <c r="H1194" s="110" t="str">
        <f t="shared" si="55"/>
        <v>E</v>
      </c>
      <c r="I1194" s="110">
        <f t="shared" si="56"/>
        <v>41500</v>
      </c>
      <c r="J1194" s="110"/>
      <c r="K1194" s="110"/>
      <c r="M1194" s="110"/>
      <c r="O1194" s="110"/>
    </row>
    <row r="1195" spans="1:15" x14ac:dyDescent="0.3">
      <c r="A1195" s="58" t="str">
        <f>Schedule!E1193</f>
        <v>A065560</v>
      </c>
      <c r="B1195" s="58" t="s">
        <v>2629</v>
      </c>
      <c r="C1195" s="58" t="str">
        <f t="shared" si="54"/>
        <v>065560 KS</v>
      </c>
      <c r="D1195" s="58" t="s">
        <v>3671</v>
      </c>
      <c r="E1195" s="110" t="s">
        <v>3527</v>
      </c>
      <c r="F1195" s="110" t="str">
        <f>IFERROR(VLOOKUP(C1195,[1]evdl298!$B:$D,3,0),"")</f>
        <v/>
      </c>
      <c r="G1195" s="110" t="str">
        <f>IFERROR(VLOOKUP(C1195,[1]evdl298!$B:$C,2,0),"")</f>
        <v/>
      </c>
      <c r="H1195" s="110" t="str">
        <f t="shared" si="55"/>
        <v/>
      </c>
      <c r="I1195" s="110" t="str">
        <f t="shared" si="56"/>
        <v/>
      </c>
      <c r="J1195" s="110"/>
      <c r="K1195" s="110"/>
      <c r="M1195" s="110"/>
      <c r="O1195" s="110"/>
    </row>
    <row r="1196" spans="1:15" x14ac:dyDescent="0.3">
      <c r="A1196" s="58" t="str">
        <f>Schedule!E1194</f>
        <v>A065570</v>
      </c>
      <c r="B1196" s="58" t="s">
        <v>2630</v>
      </c>
      <c r="C1196" s="58" t="str">
        <f t="shared" si="54"/>
        <v>065570 KS</v>
      </c>
      <c r="D1196" s="58" t="s">
        <v>3671</v>
      </c>
      <c r="E1196" s="110" t="s">
        <v>3527</v>
      </c>
      <c r="F1196" s="110" t="str">
        <f>IFERROR(VLOOKUP(C1196,[1]evdl298!$B:$D,3,0),"")</f>
        <v>E</v>
      </c>
      <c r="G1196" s="110">
        <f>IFERROR(VLOOKUP(C1196,[1]evdl298!$B:$C,2,0),"")</f>
        <v>41495</v>
      </c>
      <c r="H1196" s="110" t="str">
        <f t="shared" si="55"/>
        <v>E</v>
      </c>
      <c r="I1196" s="110">
        <f t="shared" si="56"/>
        <v>41495</v>
      </c>
      <c r="J1196" s="110"/>
      <c r="K1196" s="110"/>
      <c r="M1196" s="110"/>
      <c r="O1196" s="110"/>
    </row>
    <row r="1197" spans="1:15" x14ac:dyDescent="0.3">
      <c r="A1197" s="58" t="str">
        <f>Schedule!E1195</f>
        <v>A065620</v>
      </c>
      <c r="B1197" s="58" t="s">
        <v>2631</v>
      </c>
      <c r="C1197" s="58" t="str">
        <f t="shared" si="54"/>
        <v>065620 KS</v>
      </c>
      <c r="D1197" s="58" t="s">
        <v>3671</v>
      </c>
      <c r="E1197" s="110" t="s">
        <v>3527</v>
      </c>
      <c r="F1197" s="110" t="str">
        <f>IFERROR(VLOOKUP(C1197,[1]evdl298!$B:$D,3,0),"")</f>
        <v/>
      </c>
      <c r="G1197" s="110" t="str">
        <f>IFERROR(VLOOKUP(C1197,[1]evdl298!$B:$C,2,0),"")</f>
        <v/>
      </c>
      <c r="H1197" s="110" t="str">
        <f t="shared" si="55"/>
        <v/>
      </c>
      <c r="I1197" s="110" t="str">
        <f t="shared" si="56"/>
        <v/>
      </c>
      <c r="J1197" s="110"/>
      <c r="K1197" s="110"/>
      <c r="M1197" s="110"/>
      <c r="O1197" s="110"/>
    </row>
    <row r="1198" spans="1:15" x14ac:dyDescent="0.3">
      <c r="A1198" s="58" t="str">
        <f>Schedule!E1196</f>
        <v>A065650</v>
      </c>
      <c r="B1198" s="58" t="s">
        <v>2632</v>
      </c>
      <c r="C1198" s="58" t="str">
        <f t="shared" si="54"/>
        <v>065650 KS</v>
      </c>
      <c r="D1198" s="58" t="s">
        <v>3671</v>
      </c>
      <c r="E1198" s="110" t="s">
        <v>3527</v>
      </c>
      <c r="F1198" s="110" t="str">
        <f>IFERROR(VLOOKUP(C1198,[1]evdl298!$B:$D,3,0),"")</f>
        <v>E</v>
      </c>
      <c r="G1198" s="110">
        <f>IFERROR(VLOOKUP(C1198,[1]evdl298!$B:$C,2,0),"")</f>
        <v>41499</v>
      </c>
      <c r="H1198" s="110" t="str">
        <f t="shared" si="55"/>
        <v>E</v>
      </c>
      <c r="I1198" s="110">
        <f t="shared" si="56"/>
        <v>41499</v>
      </c>
      <c r="J1198" s="110"/>
      <c r="K1198" s="110"/>
      <c r="M1198" s="110"/>
      <c r="O1198" s="110"/>
    </row>
    <row r="1199" spans="1:15" x14ac:dyDescent="0.3">
      <c r="A1199" s="58" t="str">
        <f>Schedule!E1197</f>
        <v>A065680</v>
      </c>
      <c r="B1199" s="58" t="s">
        <v>2633</v>
      </c>
      <c r="C1199" s="58" t="str">
        <f t="shared" si="54"/>
        <v>065680 KS</v>
      </c>
      <c r="D1199" s="58" t="s">
        <v>3671</v>
      </c>
      <c r="E1199" s="110" t="s">
        <v>3527</v>
      </c>
      <c r="F1199" s="110" t="str">
        <f>IFERROR(VLOOKUP(C1199,[1]evdl298!$B:$D,3,0),"")</f>
        <v>E</v>
      </c>
      <c r="G1199" s="110">
        <f>IFERROR(VLOOKUP(C1199,[1]evdl298!$B:$C,2,0),"")</f>
        <v>41492</v>
      </c>
      <c r="H1199" s="110" t="str">
        <f t="shared" si="55"/>
        <v>E</v>
      </c>
      <c r="I1199" s="110">
        <f t="shared" si="56"/>
        <v>41492</v>
      </c>
      <c r="J1199" s="110"/>
      <c r="K1199" s="110"/>
      <c r="M1199" s="110"/>
      <c r="O1199" s="110"/>
    </row>
    <row r="1200" spans="1:15" x14ac:dyDescent="0.3">
      <c r="A1200" s="58" t="str">
        <f>Schedule!E1198</f>
        <v>A065690</v>
      </c>
      <c r="B1200" s="58" t="s">
        <v>2634</v>
      </c>
      <c r="C1200" s="58" t="str">
        <f t="shared" si="54"/>
        <v>065690 KS</v>
      </c>
      <c r="D1200" s="58" t="s">
        <v>3671</v>
      </c>
      <c r="E1200" s="110" t="s">
        <v>3527</v>
      </c>
      <c r="F1200" s="110" t="str">
        <f>IFERROR(VLOOKUP(C1200,[1]evdl298!$B:$D,3,0),"")</f>
        <v>E</v>
      </c>
      <c r="G1200" s="110">
        <f>IFERROR(VLOOKUP(C1200,[1]evdl298!$B:$C,2,0),"")</f>
        <v>41500</v>
      </c>
      <c r="H1200" s="110" t="str">
        <f t="shared" si="55"/>
        <v>E</v>
      </c>
      <c r="I1200" s="110">
        <f t="shared" si="56"/>
        <v>41500</v>
      </c>
      <c r="J1200" s="110"/>
      <c r="K1200" s="110"/>
      <c r="M1200" s="110"/>
      <c r="O1200" s="110"/>
    </row>
    <row r="1201" spans="1:15" x14ac:dyDescent="0.3">
      <c r="A1201" s="58" t="str">
        <f>Schedule!E1199</f>
        <v>A065710</v>
      </c>
      <c r="B1201" s="58" t="s">
        <v>2635</v>
      </c>
      <c r="C1201" s="58" t="str">
        <f t="shared" si="54"/>
        <v>065710 KS</v>
      </c>
      <c r="D1201" s="58" t="s">
        <v>3671</v>
      </c>
      <c r="E1201" s="110" t="s">
        <v>3527</v>
      </c>
      <c r="F1201" s="110" t="str">
        <f>IFERROR(VLOOKUP(C1201,[1]evdl298!$B:$D,3,0),"")</f>
        <v>E</v>
      </c>
      <c r="G1201" s="110">
        <f>IFERROR(VLOOKUP(C1201,[1]evdl298!$B:$C,2,0),"")</f>
        <v>41515</v>
      </c>
      <c r="H1201" s="110" t="str">
        <f t="shared" si="55"/>
        <v>E</v>
      </c>
      <c r="I1201" s="110">
        <f t="shared" si="56"/>
        <v>41515</v>
      </c>
      <c r="J1201" s="110"/>
      <c r="K1201" s="110"/>
      <c r="M1201" s="110"/>
      <c r="O1201" s="110"/>
    </row>
    <row r="1202" spans="1:15" x14ac:dyDescent="0.3">
      <c r="A1202" s="58" t="str">
        <f>Schedule!E1200</f>
        <v>A065770</v>
      </c>
      <c r="B1202" s="58" t="s">
        <v>2636</v>
      </c>
      <c r="C1202" s="58" t="str">
        <f t="shared" si="54"/>
        <v>065770 KS</v>
      </c>
      <c r="D1202" s="58" t="s">
        <v>3671</v>
      </c>
      <c r="E1202" s="110" t="s">
        <v>3527</v>
      </c>
      <c r="F1202" s="110" t="str">
        <f>IFERROR(VLOOKUP(C1202,[1]evdl298!$B:$D,3,0),"")</f>
        <v/>
      </c>
      <c r="G1202" s="110" t="str">
        <f>IFERROR(VLOOKUP(C1202,[1]evdl298!$B:$C,2,0),"")</f>
        <v/>
      </c>
      <c r="H1202" s="110" t="str">
        <f t="shared" si="55"/>
        <v/>
      </c>
      <c r="I1202" s="110" t="str">
        <f t="shared" si="56"/>
        <v/>
      </c>
      <c r="J1202" s="110"/>
      <c r="K1202" s="110"/>
      <c r="M1202" s="110"/>
      <c r="O1202" s="110"/>
    </row>
    <row r="1203" spans="1:15" x14ac:dyDescent="0.3">
      <c r="A1203" s="58" t="str">
        <f>Schedule!E1201</f>
        <v>A065940</v>
      </c>
      <c r="B1203" s="58" t="s">
        <v>2637</v>
      </c>
      <c r="C1203" s="58" t="str">
        <f t="shared" si="54"/>
        <v>065940 KS</v>
      </c>
      <c r="D1203" s="58" t="s">
        <v>3671</v>
      </c>
      <c r="E1203" s="110" t="s">
        <v>3527</v>
      </c>
      <c r="F1203" s="110" t="str">
        <f>IFERROR(VLOOKUP(C1203,[1]evdl298!$B:$D,3,0),"")</f>
        <v/>
      </c>
      <c r="G1203" s="110" t="str">
        <f>IFERROR(VLOOKUP(C1203,[1]evdl298!$B:$C,2,0),"")</f>
        <v/>
      </c>
      <c r="H1203" s="110" t="str">
        <f t="shared" si="55"/>
        <v/>
      </c>
      <c r="I1203" s="110" t="str">
        <f t="shared" si="56"/>
        <v/>
      </c>
      <c r="J1203" s="110"/>
      <c r="K1203" s="110"/>
      <c r="M1203" s="110"/>
      <c r="O1203" s="110"/>
    </row>
    <row r="1204" spans="1:15" x14ac:dyDescent="0.3">
      <c r="A1204" s="58" t="str">
        <f>Schedule!E1202</f>
        <v>A065950</v>
      </c>
      <c r="B1204" s="58" t="s">
        <v>2638</v>
      </c>
      <c r="C1204" s="58" t="str">
        <f t="shared" si="54"/>
        <v>065950 KS</v>
      </c>
      <c r="D1204" s="58" t="s">
        <v>3671</v>
      </c>
      <c r="E1204" s="110" t="s">
        <v>3527</v>
      </c>
      <c r="F1204" s="110" t="str">
        <f>IFERROR(VLOOKUP(C1204,[1]evdl298!$B:$D,3,0),"")</f>
        <v/>
      </c>
      <c r="G1204" s="110" t="str">
        <f>IFERROR(VLOOKUP(C1204,[1]evdl298!$B:$C,2,0),"")</f>
        <v/>
      </c>
      <c r="H1204" s="110" t="str">
        <f t="shared" si="55"/>
        <v/>
      </c>
      <c r="I1204" s="110" t="str">
        <f t="shared" si="56"/>
        <v/>
      </c>
      <c r="J1204" s="110"/>
      <c r="K1204" s="110"/>
      <c r="M1204" s="110"/>
      <c r="O1204" s="110"/>
    </row>
    <row r="1205" spans="1:15" x14ac:dyDescent="0.3">
      <c r="A1205" s="58" t="str">
        <f>Schedule!E1203</f>
        <v>A066110</v>
      </c>
      <c r="B1205" s="58" t="s">
        <v>2639</v>
      </c>
      <c r="C1205" s="58" t="str">
        <f t="shared" si="54"/>
        <v>066110 KS</v>
      </c>
      <c r="D1205" s="58" t="s">
        <v>3671</v>
      </c>
      <c r="E1205" s="110" t="s">
        <v>3527</v>
      </c>
      <c r="F1205" s="110" t="str">
        <f>IFERROR(VLOOKUP(C1205,[1]evdl298!$B:$D,3,0),"")</f>
        <v>E</v>
      </c>
      <c r="G1205" s="110">
        <f>IFERROR(VLOOKUP(C1205,[1]evdl298!$B:$C,2,0),"")</f>
        <v>41515</v>
      </c>
      <c r="H1205" s="110" t="str">
        <f t="shared" si="55"/>
        <v>E</v>
      </c>
      <c r="I1205" s="110">
        <f t="shared" si="56"/>
        <v>41515</v>
      </c>
      <c r="J1205" s="110"/>
      <c r="K1205" s="110"/>
      <c r="M1205" s="110"/>
      <c r="O1205" s="110"/>
    </row>
    <row r="1206" spans="1:15" x14ac:dyDescent="0.3">
      <c r="A1206" s="58" t="str">
        <f>Schedule!E1204</f>
        <v>A066130</v>
      </c>
      <c r="B1206" s="58" t="s">
        <v>2640</v>
      </c>
      <c r="C1206" s="58" t="str">
        <f t="shared" si="54"/>
        <v>066130 KS</v>
      </c>
      <c r="D1206" s="58" t="s">
        <v>3671</v>
      </c>
      <c r="E1206" s="110" t="s">
        <v>3527</v>
      </c>
      <c r="F1206" s="110" t="str">
        <f>IFERROR(VLOOKUP(C1206,[1]evdl298!$B:$D,3,0),"")</f>
        <v>E</v>
      </c>
      <c r="G1206" s="110">
        <f>IFERROR(VLOOKUP(C1206,[1]evdl298!$B:$C,2,0),"")</f>
        <v>41500</v>
      </c>
      <c r="H1206" s="110" t="str">
        <f t="shared" si="55"/>
        <v>E</v>
      </c>
      <c r="I1206" s="110">
        <f t="shared" si="56"/>
        <v>41500</v>
      </c>
      <c r="J1206" s="110"/>
      <c r="K1206" s="110"/>
      <c r="M1206" s="110"/>
      <c r="O1206" s="110"/>
    </row>
    <row r="1207" spans="1:15" x14ac:dyDescent="0.3">
      <c r="A1207" s="58" t="str">
        <f>Schedule!E1205</f>
        <v>A066270</v>
      </c>
      <c r="B1207" s="58" t="s">
        <v>2641</v>
      </c>
      <c r="C1207" s="58" t="str">
        <f t="shared" si="54"/>
        <v>066270 KS</v>
      </c>
      <c r="D1207" s="58" t="s">
        <v>3671</v>
      </c>
      <c r="E1207" s="110" t="s">
        <v>3527</v>
      </c>
      <c r="F1207" s="110" t="str">
        <f>IFERROR(VLOOKUP(C1207,[1]evdl298!$B:$D,3,0),"")</f>
        <v>E</v>
      </c>
      <c r="G1207" s="110">
        <f>IFERROR(VLOOKUP(C1207,[1]evdl298!$B:$C,2,0),"")</f>
        <v>41495</v>
      </c>
      <c r="H1207" s="110" t="str">
        <f t="shared" si="55"/>
        <v>E</v>
      </c>
      <c r="I1207" s="110">
        <f t="shared" si="56"/>
        <v>41495</v>
      </c>
      <c r="J1207" s="110"/>
      <c r="K1207" s="110"/>
      <c r="M1207" s="110"/>
      <c r="O1207" s="110"/>
    </row>
    <row r="1208" spans="1:15" x14ac:dyDescent="0.3">
      <c r="A1208" s="58" t="str">
        <f>Schedule!E1206</f>
        <v>A066310</v>
      </c>
      <c r="B1208" s="58" t="s">
        <v>2642</v>
      </c>
      <c r="C1208" s="58" t="str">
        <f t="shared" si="54"/>
        <v>066310 KS</v>
      </c>
      <c r="D1208" s="58" t="s">
        <v>3671</v>
      </c>
      <c r="E1208" s="110" t="s">
        <v>3527</v>
      </c>
      <c r="F1208" s="110" t="str">
        <f>IFERROR(VLOOKUP(C1208,[1]evdl298!$B:$D,3,0),"")</f>
        <v/>
      </c>
      <c r="G1208" s="110" t="str">
        <f>IFERROR(VLOOKUP(C1208,[1]evdl298!$B:$C,2,0),"")</f>
        <v/>
      </c>
      <c r="H1208" s="110" t="str">
        <f t="shared" si="55"/>
        <v/>
      </c>
      <c r="I1208" s="110" t="str">
        <f t="shared" si="56"/>
        <v/>
      </c>
      <c r="J1208" s="110"/>
      <c r="K1208" s="110"/>
      <c r="M1208" s="110"/>
      <c r="O1208" s="110"/>
    </row>
    <row r="1209" spans="1:15" x14ac:dyDescent="0.3">
      <c r="A1209" s="58" t="str">
        <f>Schedule!E1207</f>
        <v>A066350</v>
      </c>
      <c r="B1209" s="58" t="s">
        <v>2643</v>
      </c>
      <c r="C1209" s="58" t="str">
        <f t="shared" si="54"/>
        <v>066350 KS</v>
      </c>
      <c r="D1209" s="58" t="s">
        <v>3671</v>
      </c>
      <c r="E1209" s="110" t="s">
        <v>3527</v>
      </c>
      <c r="F1209" s="110" t="str">
        <f>IFERROR(VLOOKUP(C1209,[1]evdl298!$B:$D,3,0),"")</f>
        <v>E</v>
      </c>
      <c r="G1209" s="110">
        <f>IFERROR(VLOOKUP(C1209,[1]evdl298!$B:$C,2,0),"")</f>
        <v>41460</v>
      </c>
      <c r="H1209" s="110" t="str">
        <f t="shared" si="55"/>
        <v>E</v>
      </c>
      <c r="I1209" s="110">
        <f t="shared" si="56"/>
        <v>41460</v>
      </c>
      <c r="J1209" s="110"/>
      <c r="K1209" s="110"/>
      <c r="M1209" s="110"/>
      <c r="O1209" s="110"/>
    </row>
    <row r="1210" spans="1:15" x14ac:dyDescent="0.3">
      <c r="A1210" s="58" t="str">
        <f>Schedule!E1208</f>
        <v>A066410</v>
      </c>
      <c r="B1210" s="58" t="s">
        <v>2644</v>
      </c>
      <c r="C1210" s="58" t="str">
        <f t="shared" si="54"/>
        <v>066410 KS</v>
      </c>
      <c r="D1210" s="58" t="s">
        <v>3671</v>
      </c>
      <c r="E1210" s="110" t="s">
        <v>3527</v>
      </c>
      <c r="F1210" s="110" t="str">
        <f>IFERROR(VLOOKUP(C1210,[1]evdl298!$B:$D,3,0),"")</f>
        <v/>
      </c>
      <c r="G1210" s="110" t="str">
        <f>IFERROR(VLOOKUP(C1210,[1]evdl298!$B:$C,2,0),"")</f>
        <v/>
      </c>
      <c r="H1210" s="110" t="str">
        <f t="shared" si="55"/>
        <v/>
      </c>
      <c r="I1210" s="110" t="str">
        <f t="shared" si="56"/>
        <v/>
      </c>
      <c r="J1210" s="110"/>
      <c r="K1210" s="110"/>
      <c r="M1210" s="110"/>
      <c r="O1210" s="110"/>
    </row>
    <row r="1211" spans="1:15" x14ac:dyDescent="0.3">
      <c r="A1211" s="58" t="str">
        <f>Schedule!E1209</f>
        <v>A066430</v>
      </c>
      <c r="B1211" s="58" t="s">
        <v>2645</v>
      </c>
      <c r="C1211" s="58" t="str">
        <f t="shared" si="54"/>
        <v>066430 KS</v>
      </c>
      <c r="D1211" s="58" t="s">
        <v>3671</v>
      </c>
      <c r="E1211" s="110" t="s">
        <v>3527</v>
      </c>
      <c r="F1211" s="110" t="str">
        <f>IFERROR(VLOOKUP(C1211,[1]evdl298!$B:$D,3,0),"")</f>
        <v/>
      </c>
      <c r="G1211" s="110" t="str">
        <f>IFERROR(VLOOKUP(C1211,[1]evdl298!$B:$C,2,0),"")</f>
        <v/>
      </c>
      <c r="H1211" s="110" t="str">
        <f t="shared" si="55"/>
        <v/>
      </c>
      <c r="I1211" s="110" t="str">
        <f t="shared" si="56"/>
        <v/>
      </c>
      <c r="J1211" s="110"/>
      <c r="K1211" s="110"/>
      <c r="M1211" s="110"/>
      <c r="O1211" s="110"/>
    </row>
    <row r="1212" spans="1:15" x14ac:dyDescent="0.3">
      <c r="A1212" s="58" t="str">
        <f>Schedule!E1210</f>
        <v>A066570</v>
      </c>
      <c r="B1212" s="58" t="s">
        <v>2646</v>
      </c>
      <c r="C1212" s="58" t="str">
        <f t="shared" si="54"/>
        <v>066570 KS</v>
      </c>
      <c r="D1212" s="58" t="s">
        <v>3671</v>
      </c>
      <c r="E1212" s="110" t="s">
        <v>3527</v>
      </c>
      <c r="F1212" s="110" t="str">
        <f>IFERROR(VLOOKUP(C1212,[1]evdl298!$B:$D,3,0),"")</f>
        <v>C</v>
      </c>
      <c r="G1212" s="110">
        <f>IFERROR(VLOOKUP(C1212,[1]evdl298!$B:$C,2,0),"")</f>
        <v>41479</v>
      </c>
      <c r="H1212" s="110" t="str">
        <f t="shared" si="55"/>
        <v>C</v>
      </c>
      <c r="I1212" s="110">
        <f t="shared" si="56"/>
        <v>41479</v>
      </c>
      <c r="J1212" s="110"/>
      <c r="K1212" s="110"/>
      <c r="M1212" s="110"/>
      <c r="O1212" s="110"/>
    </row>
    <row r="1213" spans="1:15" x14ac:dyDescent="0.3">
      <c r="A1213" s="58" t="str">
        <f>Schedule!E1211</f>
        <v>A066590</v>
      </c>
      <c r="B1213" s="58" t="s">
        <v>2647</v>
      </c>
      <c r="C1213" s="58" t="str">
        <f t="shared" si="54"/>
        <v>066590 KS</v>
      </c>
      <c r="D1213" s="58" t="s">
        <v>3671</v>
      </c>
      <c r="E1213" s="110" t="s">
        <v>3694</v>
      </c>
      <c r="F1213" s="110" t="str">
        <f>IFERROR(VLOOKUP(C1213,[1]evdl298!$B:$D,3,0),"")</f>
        <v/>
      </c>
      <c r="G1213" s="110" t="str">
        <f>IFERROR(VLOOKUP(C1213,[1]evdl298!$B:$C,2,0),"")</f>
        <v/>
      </c>
      <c r="H1213" s="110" t="str">
        <f t="shared" si="55"/>
        <v/>
      </c>
      <c r="I1213" s="110" t="str">
        <f t="shared" si="56"/>
        <v>2013-07-24</v>
      </c>
      <c r="J1213" s="110"/>
      <c r="K1213" s="110"/>
      <c r="M1213" s="110"/>
      <c r="O1213" s="110"/>
    </row>
    <row r="1214" spans="1:15" x14ac:dyDescent="0.3">
      <c r="A1214" s="58" t="str">
        <f>Schedule!E1212</f>
        <v>A066620</v>
      </c>
      <c r="B1214" s="58" t="s">
        <v>2648</v>
      </c>
      <c r="C1214" s="58" t="str">
        <f t="shared" si="54"/>
        <v>066620 KS</v>
      </c>
      <c r="D1214" s="58" t="s">
        <v>3671</v>
      </c>
      <c r="E1214" s="110" t="s">
        <v>3527</v>
      </c>
      <c r="F1214" s="110" t="str">
        <f>IFERROR(VLOOKUP(C1214,[1]evdl298!$B:$D,3,0),"")</f>
        <v/>
      </c>
      <c r="G1214" s="110" t="str">
        <f>IFERROR(VLOOKUP(C1214,[1]evdl298!$B:$C,2,0),"")</f>
        <v/>
      </c>
      <c r="H1214" s="110" t="str">
        <f t="shared" si="55"/>
        <v/>
      </c>
      <c r="I1214" s="110" t="str">
        <f t="shared" si="56"/>
        <v/>
      </c>
      <c r="J1214" s="110"/>
      <c r="K1214" s="110"/>
      <c r="M1214" s="110"/>
      <c r="O1214" s="110"/>
    </row>
    <row r="1215" spans="1:15" x14ac:dyDescent="0.3">
      <c r="A1215" s="58" t="str">
        <f>Schedule!E1213</f>
        <v>A066670</v>
      </c>
      <c r="B1215" s="58" t="s">
        <v>2649</v>
      </c>
      <c r="C1215" s="58" t="str">
        <f t="shared" si="54"/>
        <v>066670 KS</v>
      </c>
      <c r="D1215" s="58" t="s">
        <v>3671</v>
      </c>
      <c r="E1215" s="110" t="s">
        <v>3527</v>
      </c>
      <c r="F1215" s="110" t="str">
        <f>IFERROR(VLOOKUP(C1215,[1]evdl298!$B:$D,3,0),"")</f>
        <v>E</v>
      </c>
      <c r="G1215" s="110">
        <f>IFERROR(VLOOKUP(C1215,[1]evdl298!$B:$C,2,0),"")</f>
        <v>41460</v>
      </c>
      <c r="H1215" s="110" t="str">
        <f t="shared" si="55"/>
        <v>E</v>
      </c>
      <c r="I1215" s="110">
        <f t="shared" si="56"/>
        <v>41460</v>
      </c>
      <c r="J1215" s="110"/>
      <c r="K1215" s="110"/>
      <c r="M1215" s="110"/>
      <c r="O1215" s="110"/>
    </row>
    <row r="1216" spans="1:15" x14ac:dyDescent="0.3">
      <c r="A1216" s="58" t="str">
        <f>Schedule!E1214</f>
        <v>A066700</v>
      </c>
      <c r="B1216" s="58" t="s">
        <v>2650</v>
      </c>
      <c r="C1216" s="58" t="str">
        <f t="shared" si="54"/>
        <v>066700 KS</v>
      </c>
      <c r="D1216" s="58" t="s">
        <v>3671</v>
      </c>
      <c r="E1216" s="110" t="s">
        <v>3527</v>
      </c>
      <c r="F1216" s="110" t="str">
        <f>IFERROR(VLOOKUP(C1216,[1]evdl298!$B:$D,3,0),"")</f>
        <v/>
      </c>
      <c r="G1216" s="110" t="str">
        <f>IFERROR(VLOOKUP(C1216,[1]evdl298!$B:$C,2,0),"")</f>
        <v/>
      </c>
      <c r="H1216" s="110" t="str">
        <f t="shared" si="55"/>
        <v/>
      </c>
      <c r="I1216" s="110" t="str">
        <f t="shared" si="56"/>
        <v/>
      </c>
      <c r="J1216" s="110"/>
      <c r="K1216" s="110"/>
      <c r="M1216" s="110"/>
      <c r="O1216" s="110"/>
    </row>
    <row r="1217" spans="1:15" x14ac:dyDescent="0.3">
      <c r="A1217" s="58" t="str">
        <f>Schedule!E1215</f>
        <v>A066790</v>
      </c>
      <c r="B1217" s="58" t="s">
        <v>2651</v>
      </c>
      <c r="C1217" s="58" t="str">
        <f t="shared" si="54"/>
        <v>066790 KS</v>
      </c>
      <c r="D1217" s="58" t="s">
        <v>3671</v>
      </c>
      <c r="E1217" s="110" t="s">
        <v>3527</v>
      </c>
      <c r="F1217" s="110" t="str">
        <f>IFERROR(VLOOKUP(C1217,[1]evdl298!$B:$D,3,0),"")</f>
        <v>E</v>
      </c>
      <c r="G1217" s="110">
        <f>IFERROR(VLOOKUP(C1217,[1]evdl298!$B:$C,2,0),"")</f>
        <v>41515</v>
      </c>
      <c r="H1217" s="110" t="str">
        <f t="shared" si="55"/>
        <v>E</v>
      </c>
      <c r="I1217" s="110">
        <f t="shared" si="56"/>
        <v>41515</v>
      </c>
      <c r="J1217" s="110"/>
      <c r="K1217" s="110"/>
      <c r="M1217" s="110"/>
      <c r="O1217" s="110"/>
    </row>
    <row r="1218" spans="1:15" x14ac:dyDescent="0.3">
      <c r="A1218" s="58" t="str">
        <f>Schedule!E1216</f>
        <v>A066900</v>
      </c>
      <c r="B1218" s="58" t="s">
        <v>2652</v>
      </c>
      <c r="C1218" s="58" t="str">
        <f t="shared" si="54"/>
        <v>066900 KS</v>
      </c>
      <c r="D1218" s="58" t="s">
        <v>3671</v>
      </c>
      <c r="E1218" s="110" t="s">
        <v>3527</v>
      </c>
      <c r="F1218" s="110" t="str">
        <f>IFERROR(VLOOKUP(C1218,[1]evdl298!$B:$D,3,0),"")</f>
        <v>E</v>
      </c>
      <c r="G1218" s="110">
        <f>IFERROR(VLOOKUP(C1218,[1]evdl298!$B:$C,2,0),"")</f>
        <v>41460</v>
      </c>
      <c r="H1218" s="110" t="str">
        <f t="shared" si="55"/>
        <v>E</v>
      </c>
      <c r="I1218" s="110">
        <f t="shared" si="56"/>
        <v>41460</v>
      </c>
      <c r="J1218" s="110"/>
      <c r="K1218" s="110"/>
      <c r="M1218" s="110"/>
      <c r="O1218" s="110"/>
    </row>
    <row r="1219" spans="1:15" x14ac:dyDescent="0.3">
      <c r="A1219" s="58" t="str">
        <f>Schedule!E1217</f>
        <v>A066910</v>
      </c>
      <c r="B1219" s="58" t="s">
        <v>2653</v>
      </c>
      <c r="C1219" s="58" t="str">
        <f t="shared" si="54"/>
        <v>066910 KS</v>
      </c>
      <c r="D1219" s="58" t="s">
        <v>3671</v>
      </c>
      <c r="E1219" s="110" t="s">
        <v>3527</v>
      </c>
      <c r="F1219" s="110" t="str">
        <f>IFERROR(VLOOKUP(C1219,[1]evdl298!$B:$D,3,0),"")</f>
        <v>E</v>
      </c>
      <c r="G1219" s="110">
        <f>IFERROR(VLOOKUP(C1219,[1]evdl298!$B:$C,2,0),"")</f>
        <v>41515</v>
      </c>
      <c r="H1219" s="110" t="str">
        <f t="shared" si="55"/>
        <v>E</v>
      </c>
      <c r="I1219" s="110">
        <f t="shared" si="56"/>
        <v>41515</v>
      </c>
      <c r="J1219" s="110"/>
      <c r="K1219" s="110"/>
      <c r="M1219" s="110"/>
      <c r="O1219" s="110"/>
    </row>
    <row r="1220" spans="1:15" x14ac:dyDescent="0.3">
      <c r="A1220" s="58" t="str">
        <f>Schedule!E1218</f>
        <v>A066970</v>
      </c>
      <c r="B1220" s="58" t="s">
        <v>2654</v>
      </c>
      <c r="C1220" s="58" t="str">
        <f t="shared" si="54"/>
        <v>066970 KS</v>
      </c>
      <c r="D1220" s="58" t="s">
        <v>3671</v>
      </c>
      <c r="E1220" s="110" t="s">
        <v>3527</v>
      </c>
      <c r="F1220" s="110" t="str">
        <f>IFERROR(VLOOKUP(C1220,[1]evdl298!$B:$D,3,0),"")</f>
        <v>E</v>
      </c>
      <c r="G1220" s="110">
        <f>IFERROR(VLOOKUP(C1220,[1]evdl298!$B:$C,2,0),"")</f>
        <v>41515</v>
      </c>
      <c r="H1220" s="110" t="str">
        <f t="shared" si="55"/>
        <v>E</v>
      </c>
      <c r="I1220" s="110">
        <f t="shared" si="56"/>
        <v>41515</v>
      </c>
      <c r="J1220" s="110"/>
      <c r="K1220" s="110"/>
      <c r="M1220" s="110"/>
      <c r="O1220" s="110"/>
    </row>
    <row r="1221" spans="1:15" x14ac:dyDescent="0.3">
      <c r="A1221" s="58" t="str">
        <f>Schedule!E1219</f>
        <v>A066980</v>
      </c>
      <c r="B1221" s="58" t="s">
        <v>2655</v>
      </c>
      <c r="C1221" s="58" t="str">
        <f t="shared" si="54"/>
        <v>066980 KS</v>
      </c>
      <c r="D1221" s="58" t="s">
        <v>3671</v>
      </c>
      <c r="E1221" s="110" t="s">
        <v>3527</v>
      </c>
      <c r="F1221" s="110" t="str">
        <f>IFERROR(VLOOKUP(C1221,[1]evdl298!$B:$D,3,0),"")</f>
        <v/>
      </c>
      <c r="G1221" s="110" t="str">
        <f>IFERROR(VLOOKUP(C1221,[1]evdl298!$B:$C,2,0),"")</f>
        <v/>
      </c>
      <c r="H1221" s="110" t="str">
        <f t="shared" si="55"/>
        <v/>
      </c>
      <c r="I1221" s="110" t="str">
        <f t="shared" si="56"/>
        <v/>
      </c>
      <c r="J1221" s="110"/>
      <c r="K1221" s="110"/>
      <c r="M1221" s="110"/>
      <c r="O1221" s="110"/>
    </row>
    <row r="1222" spans="1:15" x14ac:dyDescent="0.3">
      <c r="A1222" s="58" t="str">
        <f>Schedule!E1220</f>
        <v>A067000</v>
      </c>
      <c r="B1222" s="58" t="s">
        <v>2656</v>
      </c>
      <c r="C1222" s="58" t="str">
        <f t="shared" si="54"/>
        <v>067000 KS</v>
      </c>
      <c r="D1222" s="58" t="s">
        <v>3671</v>
      </c>
      <c r="E1222" s="110" t="s">
        <v>3527</v>
      </c>
      <c r="F1222" s="110" t="str">
        <f>IFERROR(VLOOKUP(C1222,[1]evdl298!$B:$D,3,0),"")</f>
        <v>E</v>
      </c>
      <c r="G1222" s="110">
        <f>IFERROR(VLOOKUP(C1222,[1]evdl298!$B:$C,2,0),"")</f>
        <v>41515</v>
      </c>
      <c r="H1222" s="110" t="str">
        <f t="shared" si="55"/>
        <v>E</v>
      </c>
      <c r="I1222" s="110">
        <f t="shared" si="56"/>
        <v>41515</v>
      </c>
      <c r="J1222" s="110"/>
      <c r="K1222" s="110"/>
      <c r="M1222" s="110"/>
      <c r="O1222" s="110"/>
    </row>
    <row r="1223" spans="1:15" x14ac:dyDescent="0.3">
      <c r="A1223" s="58" t="str">
        <f>Schedule!E1221</f>
        <v>A067010</v>
      </c>
      <c r="B1223" s="58" t="s">
        <v>3666</v>
      </c>
      <c r="C1223" s="58" t="str">
        <f t="shared" si="54"/>
        <v>067010 KS</v>
      </c>
      <c r="D1223" s="58" t="s">
        <v>3671</v>
      </c>
      <c r="E1223" s="110" t="s">
        <v>3527</v>
      </c>
      <c r="F1223" s="110" t="str">
        <f>IFERROR(VLOOKUP(C1223,[1]evdl298!$B:$D,3,0),"")</f>
        <v>E</v>
      </c>
      <c r="G1223" s="110">
        <f>IFERROR(VLOOKUP(C1223,[1]evdl298!$B:$C,2,0),"")</f>
        <v>41493</v>
      </c>
      <c r="H1223" s="110" t="str">
        <f t="shared" si="55"/>
        <v>E</v>
      </c>
      <c r="I1223" s="110">
        <f t="shared" si="56"/>
        <v>41493</v>
      </c>
      <c r="J1223" s="110"/>
      <c r="K1223" s="110"/>
      <c r="M1223" s="110"/>
      <c r="O1223" s="110"/>
    </row>
    <row r="1224" spans="1:15" x14ac:dyDescent="0.3">
      <c r="A1224" s="58" t="str">
        <f>Schedule!E1222</f>
        <v>A067080</v>
      </c>
      <c r="B1224" s="58" t="s">
        <v>2657</v>
      </c>
      <c r="C1224" s="58" t="str">
        <f t="shared" si="54"/>
        <v>067080 KS</v>
      </c>
      <c r="D1224" s="58" t="s">
        <v>3671</v>
      </c>
      <c r="E1224" s="110" t="s">
        <v>3527</v>
      </c>
      <c r="F1224" s="110" t="str">
        <f>IFERROR(VLOOKUP(C1224,[1]evdl298!$B:$D,3,0),"")</f>
        <v/>
      </c>
      <c r="G1224" s="110" t="str">
        <f>IFERROR(VLOOKUP(C1224,[1]evdl298!$B:$C,2,0),"")</f>
        <v/>
      </c>
      <c r="H1224" s="110" t="str">
        <f t="shared" si="55"/>
        <v/>
      </c>
      <c r="I1224" s="110" t="str">
        <f t="shared" si="56"/>
        <v/>
      </c>
      <c r="J1224" s="110"/>
      <c r="K1224" s="110"/>
      <c r="M1224" s="110"/>
      <c r="O1224" s="110"/>
    </row>
    <row r="1225" spans="1:15" x14ac:dyDescent="0.3">
      <c r="A1225" s="58" t="str">
        <f>Schedule!E1223</f>
        <v>A067160</v>
      </c>
      <c r="B1225" s="58" t="s">
        <v>2658</v>
      </c>
      <c r="C1225" s="58" t="str">
        <f t="shared" si="54"/>
        <v>067160 KS</v>
      </c>
      <c r="D1225" s="58" t="s">
        <v>3671</v>
      </c>
      <c r="E1225" s="110" t="s">
        <v>3527</v>
      </c>
      <c r="F1225" s="110" t="str">
        <f>IFERROR(VLOOKUP(C1225,[1]evdl298!$B:$D,3,0),"")</f>
        <v>E</v>
      </c>
      <c r="G1225" s="110">
        <f>IFERROR(VLOOKUP(C1225,[1]evdl298!$B:$C,2,0),"")</f>
        <v>41500</v>
      </c>
      <c r="H1225" s="110" t="str">
        <f t="shared" si="55"/>
        <v>E</v>
      </c>
      <c r="I1225" s="110">
        <f t="shared" si="56"/>
        <v>41500</v>
      </c>
      <c r="J1225" s="110"/>
      <c r="K1225" s="110"/>
      <c r="M1225" s="110"/>
      <c r="O1225" s="110"/>
    </row>
    <row r="1226" spans="1:15" x14ac:dyDescent="0.3">
      <c r="A1226" s="58" t="str">
        <f>Schedule!E1224</f>
        <v>A067170</v>
      </c>
      <c r="B1226" s="58" t="s">
        <v>3649</v>
      </c>
      <c r="C1226" s="58" t="str">
        <f t="shared" si="54"/>
        <v>067170 KS</v>
      </c>
      <c r="D1226" s="58" t="s">
        <v>3671</v>
      </c>
      <c r="E1226" s="110" t="s">
        <v>3527</v>
      </c>
      <c r="F1226" s="110" t="str">
        <f>IFERROR(VLOOKUP(C1226,[1]evdl298!$B:$D,3,0),"")</f>
        <v>E</v>
      </c>
      <c r="G1226" s="110">
        <f>IFERROR(VLOOKUP(C1226,[1]evdl298!$B:$C,2,0),"")</f>
        <v>41500</v>
      </c>
      <c r="H1226" s="110" t="str">
        <f t="shared" si="55"/>
        <v>E</v>
      </c>
      <c r="I1226" s="110">
        <f t="shared" si="56"/>
        <v>41500</v>
      </c>
      <c r="J1226" s="110"/>
      <c r="K1226" s="110"/>
      <c r="M1226" s="110"/>
      <c r="O1226" s="110"/>
    </row>
    <row r="1227" spans="1:15" x14ac:dyDescent="0.3">
      <c r="A1227" s="58" t="str">
        <f>Schedule!E1225</f>
        <v>A067250</v>
      </c>
      <c r="B1227" s="58" t="s">
        <v>2659</v>
      </c>
      <c r="C1227" s="58" t="str">
        <f t="shared" si="54"/>
        <v>067250 KS</v>
      </c>
      <c r="D1227" s="58" t="s">
        <v>3671</v>
      </c>
      <c r="E1227" s="110" t="s">
        <v>3527</v>
      </c>
      <c r="F1227" s="110" t="str">
        <f>IFERROR(VLOOKUP(C1227,[1]evdl298!$B:$D,3,0),"")</f>
        <v>E</v>
      </c>
      <c r="G1227" s="110">
        <f>IFERROR(VLOOKUP(C1227,[1]evdl298!$B:$C,2,0),"")</f>
        <v>41500</v>
      </c>
      <c r="H1227" s="110" t="str">
        <f t="shared" si="55"/>
        <v>E</v>
      </c>
      <c r="I1227" s="110">
        <f t="shared" si="56"/>
        <v>41500</v>
      </c>
      <c r="J1227" s="110"/>
      <c r="K1227" s="110"/>
      <c r="M1227" s="110"/>
      <c r="O1227" s="110"/>
    </row>
    <row r="1228" spans="1:15" x14ac:dyDescent="0.3">
      <c r="A1228" s="58" t="str">
        <f>Schedule!E1226</f>
        <v>A067280</v>
      </c>
      <c r="B1228" s="58" t="s">
        <v>2660</v>
      </c>
      <c r="C1228" s="58" t="str">
        <f t="shared" si="54"/>
        <v>067280 KS</v>
      </c>
      <c r="D1228" s="58" t="s">
        <v>3671</v>
      </c>
      <c r="E1228" s="110" t="s">
        <v>3527</v>
      </c>
      <c r="F1228" s="110" t="str">
        <f>IFERROR(VLOOKUP(C1228,[1]evdl298!$B:$D,3,0),"")</f>
        <v>E</v>
      </c>
      <c r="G1228" s="110">
        <f>IFERROR(VLOOKUP(C1228,[1]evdl298!$B:$C,2,0),"")</f>
        <v>41480</v>
      </c>
      <c r="H1228" s="110" t="str">
        <f t="shared" si="55"/>
        <v>E</v>
      </c>
      <c r="I1228" s="110">
        <f t="shared" si="56"/>
        <v>41480</v>
      </c>
      <c r="J1228" s="110"/>
      <c r="K1228" s="110"/>
      <c r="M1228" s="110"/>
      <c r="O1228" s="110"/>
    </row>
    <row r="1229" spans="1:15" x14ac:dyDescent="0.3">
      <c r="A1229" s="58" t="str">
        <f>Schedule!E1227</f>
        <v>A067290</v>
      </c>
      <c r="B1229" s="58" t="s">
        <v>2661</v>
      </c>
      <c r="C1229" s="58" t="str">
        <f t="shared" si="54"/>
        <v>067290 KS</v>
      </c>
      <c r="D1229" s="58" t="s">
        <v>3671</v>
      </c>
      <c r="E1229" s="110" t="s">
        <v>3527</v>
      </c>
      <c r="F1229" s="110" t="str">
        <f>IFERROR(VLOOKUP(C1229,[1]evdl298!$B:$D,3,0),"")</f>
        <v/>
      </c>
      <c r="G1229" s="110" t="str">
        <f>IFERROR(VLOOKUP(C1229,[1]evdl298!$B:$C,2,0),"")</f>
        <v/>
      </c>
      <c r="H1229" s="110" t="str">
        <f t="shared" si="55"/>
        <v/>
      </c>
      <c r="I1229" s="110" t="str">
        <f t="shared" si="56"/>
        <v/>
      </c>
      <c r="J1229" s="110"/>
      <c r="K1229" s="110"/>
      <c r="M1229" s="110"/>
      <c r="O1229" s="110"/>
    </row>
    <row r="1230" spans="1:15" x14ac:dyDescent="0.3">
      <c r="A1230" s="58" t="str">
        <f>Schedule!E1228</f>
        <v>A067310</v>
      </c>
      <c r="B1230" s="58" t="s">
        <v>2662</v>
      </c>
      <c r="C1230" s="58" t="str">
        <f t="shared" si="54"/>
        <v>067310 KS</v>
      </c>
      <c r="D1230" s="58" t="s">
        <v>3671</v>
      </c>
      <c r="E1230" s="110" t="s">
        <v>3527</v>
      </c>
      <c r="F1230" s="110" t="str">
        <f>IFERROR(VLOOKUP(C1230,[1]evdl298!$B:$D,3,0),"")</f>
        <v/>
      </c>
      <c r="G1230" s="110" t="str">
        <f>IFERROR(VLOOKUP(C1230,[1]evdl298!$B:$C,2,0),"")</f>
        <v/>
      </c>
      <c r="H1230" s="110" t="str">
        <f t="shared" si="55"/>
        <v/>
      </c>
      <c r="I1230" s="110" t="str">
        <f t="shared" si="56"/>
        <v/>
      </c>
      <c r="J1230" s="110"/>
      <c r="K1230" s="110"/>
      <c r="M1230" s="110"/>
      <c r="O1230" s="110"/>
    </row>
    <row r="1231" spans="1:15" x14ac:dyDescent="0.3">
      <c r="A1231" s="58" t="str">
        <f>Schedule!E1229</f>
        <v>A067630</v>
      </c>
      <c r="B1231" s="58" t="s">
        <v>2663</v>
      </c>
      <c r="C1231" s="58" t="str">
        <f t="shared" si="54"/>
        <v>067630 KS</v>
      </c>
      <c r="D1231" s="58" t="s">
        <v>3671</v>
      </c>
      <c r="E1231" s="110" t="s">
        <v>3688</v>
      </c>
      <c r="F1231" s="110" t="str">
        <f>IFERROR(VLOOKUP(C1231,[1]evdl298!$B:$D,3,0),"")</f>
        <v>E</v>
      </c>
      <c r="G1231" s="110">
        <f>IFERROR(VLOOKUP(C1231,[1]evdl298!$B:$C,2,0),"")</f>
        <v>41500</v>
      </c>
      <c r="H1231" s="110" t="str">
        <f t="shared" si="55"/>
        <v>E</v>
      </c>
      <c r="I1231" s="110">
        <f t="shared" si="56"/>
        <v>41500</v>
      </c>
      <c r="J1231" s="110"/>
      <c r="K1231" s="110"/>
      <c r="M1231" s="110"/>
      <c r="O1231" s="110"/>
    </row>
    <row r="1232" spans="1:15" x14ac:dyDescent="0.3">
      <c r="A1232" s="58" t="str">
        <f>Schedule!E1230</f>
        <v>A067770</v>
      </c>
      <c r="B1232" s="58" t="s">
        <v>2664</v>
      </c>
      <c r="C1232" s="58" t="str">
        <f t="shared" si="54"/>
        <v>067770 KS</v>
      </c>
      <c r="D1232" s="58" t="s">
        <v>3671</v>
      </c>
      <c r="E1232" s="110" t="s">
        <v>3527</v>
      </c>
      <c r="F1232" s="110" t="str">
        <f>IFERROR(VLOOKUP(C1232,[1]evdl298!$B:$D,3,0),"")</f>
        <v/>
      </c>
      <c r="G1232" s="110" t="str">
        <f>IFERROR(VLOOKUP(C1232,[1]evdl298!$B:$C,2,0),"")</f>
        <v/>
      </c>
      <c r="H1232" s="110" t="str">
        <f t="shared" si="55"/>
        <v/>
      </c>
      <c r="I1232" s="110" t="str">
        <f t="shared" si="56"/>
        <v/>
      </c>
      <c r="J1232" s="110"/>
      <c r="K1232" s="110"/>
      <c r="M1232" s="110"/>
      <c r="O1232" s="110"/>
    </row>
    <row r="1233" spans="1:15" x14ac:dyDescent="0.3">
      <c r="A1233" s="58" t="str">
        <f>Schedule!E1231</f>
        <v>A067830</v>
      </c>
      <c r="B1233" s="58" t="s">
        <v>2665</v>
      </c>
      <c r="C1233" s="58" t="str">
        <f t="shared" ref="C1233:C1296" si="57">RIGHT(A1233,6)&amp;" KS"</f>
        <v>067830 KS</v>
      </c>
      <c r="D1233" s="58" t="s">
        <v>3671</v>
      </c>
      <c r="E1233" s="110" t="s">
        <v>3527</v>
      </c>
      <c r="F1233" s="110" t="str">
        <f>IFERROR(VLOOKUP(C1233,[1]evdl298!$B:$D,3,0),"")</f>
        <v>E</v>
      </c>
      <c r="G1233" s="110">
        <f>IFERROR(VLOOKUP(C1233,[1]evdl298!$B:$C,2,0),"")</f>
        <v>41515</v>
      </c>
      <c r="H1233" s="110" t="str">
        <f t="shared" ref="H1233:H1296" si="58">F1233</f>
        <v>E</v>
      </c>
      <c r="I1233" s="110">
        <f t="shared" ref="I1233:I1296" si="59">IF(ISNUMBER(G1233),G1233,E1233)</f>
        <v>41515</v>
      </c>
      <c r="J1233" s="110"/>
      <c r="K1233" s="110"/>
      <c r="M1233" s="110"/>
      <c r="O1233" s="110"/>
    </row>
    <row r="1234" spans="1:15" x14ac:dyDescent="0.3">
      <c r="A1234" s="58" t="str">
        <f>Schedule!E1232</f>
        <v>A067900</v>
      </c>
      <c r="B1234" s="58" t="s">
        <v>2666</v>
      </c>
      <c r="C1234" s="58" t="str">
        <f t="shared" si="57"/>
        <v>067900 KS</v>
      </c>
      <c r="D1234" s="58" t="s">
        <v>3671</v>
      </c>
      <c r="E1234" s="110" t="s">
        <v>3527</v>
      </c>
      <c r="F1234" s="110" t="str">
        <f>IFERROR(VLOOKUP(C1234,[1]evdl298!$B:$D,3,0),"")</f>
        <v>E</v>
      </c>
      <c r="G1234" s="110">
        <f>IFERROR(VLOOKUP(C1234,[1]evdl298!$B:$C,2,0),"")</f>
        <v>41500</v>
      </c>
      <c r="H1234" s="110" t="str">
        <f t="shared" si="58"/>
        <v>E</v>
      </c>
      <c r="I1234" s="110">
        <f t="shared" si="59"/>
        <v>41500</v>
      </c>
      <c r="J1234" s="110"/>
      <c r="K1234" s="110"/>
      <c r="M1234" s="110"/>
      <c r="O1234" s="110"/>
    </row>
    <row r="1235" spans="1:15" x14ac:dyDescent="0.3">
      <c r="A1235" s="58" t="str">
        <f>Schedule!E1233</f>
        <v>A067920</v>
      </c>
      <c r="B1235" s="58" t="s">
        <v>2667</v>
      </c>
      <c r="C1235" s="58" t="str">
        <f t="shared" si="57"/>
        <v>067920 KS</v>
      </c>
      <c r="D1235" s="58" t="s">
        <v>3671</v>
      </c>
      <c r="E1235" s="110" t="s">
        <v>3527</v>
      </c>
      <c r="F1235" s="110" t="str">
        <f>IFERROR(VLOOKUP(C1235,[1]evdl298!$B:$D,3,0),"")</f>
        <v>E</v>
      </c>
      <c r="G1235" s="110">
        <f>IFERROR(VLOOKUP(C1235,[1]evdl298!$B:$C,2,0),"")</f>
        <v>41493</v>
      </c>
      <c r="H1235" s="110" t="str">
        <f t="shared" si="58"/>
        <v>E</v>
      </c>
      <c r="I1235" s="110">
        <f t="shared" si="59"/>
        <v>41493</v>
      </c>
      <c r="J1235" s="110"/>
      <c r="K1235" s="110"/>
      <c r="M1235" s="110"/>
      <c r="O1235" s="110"/>
    </row>
    <row r="1236" spans="1:15" x14ac:dyDescent="0.3">
      <c r="A1236" s="58" t="str">
        <f>Schedule!E1234</f>
        <v>A067990</v>
      </c>
      <c r="B1236" s="58" t="s">
        <v>3363</v>
      </c>
      <c r="C1236" s="58" t="str">
        <f t="shared" si="57"/>
        <v>067990 KS</v>
      </c>
      <c r="D1236" s="58" t="s">
        <v>3671</v>
      </c>
      <c r="E1236" s="110" t="s">
        <v>3527</v>
      </c>
      <c r="F1236" s="110" t="str">
        <f>IFERROR(VLOOKUP(C1236,[1]evdl298!$B:$D,3,0),"")</f>
        <v/>
      </c>
      <c r="G1236" s="110" t="str">
        <f>IFERROR(VLOOKUP(C1236,[1]evdl298!$B:$C,2,0),"")</f>
        <v/>
      </c>
      <c r="H1236" s="110" t="str">
        <f t="shared" si="58"/>
        <v/>
      </c>
      <c r="I1236" s="110" t="str">
        <f t="shared" si="59"/>
        <v/>
      </c>
      <c r="J1236" s="110"/>
      <c r="K1236" s="110"/>
      <c r="M1236" s="110"/>
      <c r="O1236" s="110"/>
    </row>
    <row r="1237" spans="1:15" x14ac:dyDescent="0.3">
      <c r="A1237" s="58" t="str">
        <f>Schedule!E1235</f>
        <v>A068050</v>
      </c>
      <c r="B1237" s="58" t="s">
        <v>2668</v>
      </c>
      <c r="C1237" s="58" t="str">
        <f t="shared" si="57"/>
        <v>068050 KS</v>
      </c>
      <c r="D1237" s="58" t="s">
        <v>3671</v>
      </c>
      <c r="E1237" s="110" t="s">
        <v>3527</v>
      </c>
      <c r="F1237" s="110" t="str">
        <f>IFERROR(VLOOKUP(C1237,[1]evdl298!$B:$D,3,0),"")</f>
        <v/>
      </c>
      <c r="G1237" s="110" t="str">
        <f>IFERROR(VLOOKUP(C1237,[1]evdl298!$B:$C,2,0),"")</f>
        <v/>
      </c>
      <c r="H1237" s="110" t="str">
        <f t="shared" si="58"/>
        <v/>
      </c>
      <c r="I1237" s="110" t="str">
        <f t="shared" si="59"/>
        <v/>
      </c>
      <c r="J1237" s="110"/>
      <c r="K1237" s="110"/>
      <c r="M1237" s="110"/>
      <c r="O1237" s="110"/>
    </row>
    <row r="1238" spans="1:15" x14ac:dyDescent="0.3">
      <c r="A1238" s="58" t="str">
        <f>Schedule!E1236</f>
        <v>A068060</v>
      </c>
      <c r="B1238" s="58" t="s">
        <v>2669</v>
      </c>
      <c r="C1238" s="58" t="str">
        <f t="shared" si="57"/>
        <v>068060 KS</v>
      </c>
      <c r="D1238" s="58" t="s">
        <v>3671</v>
      </c>
      <c r="E1238" s="110" t="s">
        <v>3527</v>
      </c>
      <c r="F1238" s="110" t="str">
        <f>IFERROR(VLOOKUP(C1238,[1]evdl298!$B:$D,3,0),"")</f>
        <v/>
      </c>
      <c r="G1238" s="110" t="str">
        <f>IFERROR(VLOOKUP(C1238,[1]evdl298!$B:$C,2,0),"")</f>
        <v/>
      </c>
      <c r="H1238" s="110" t="str">
        <f t="shared" si="58"/>
        <v/>
      </c>
      <c r="I1238" s="110" t="str">
        <f t="shared" si="59"/>
        <v/>
      </c>
      <c r="J1238" s="110"/>
      <c r="K1238" s="110"/>
      <c r="M1238" s="110"/>
      <c r="O1238" s="110"/>
    </row>
    <row r="1239" spans="1:15" x14ac:dyDescent="0.3">
      <c r="A1239" s="58" t="str">
        <f>Schedule!E1237</f>
        <v>A068150</v>
      </c>
      <c r="B1239" s="58" t="s">
        <v>2670</v>
      </c>
      <c r="C1239" s="58" t="str">
        <f t="shared" si="57"/>
        <v>068150 KS</v>
      </c>
      <c r="D1239" s="58" t="s">
        <v>3671</v>
      </c>
      <c r="E1239" s="110" t="s">
        <v>3527</v>
      </c>
      <c r="F1239" s="110" t="str">
        <f>IFERROR(VLOOKUP(C1239,[1]evdl298!$B:$D,3,0),"")</f>
        <v>E</v>
      </c>
      <c r="G1239" s="110">
        <f>IFERROR(VLOOKUP(C1239,[1]evdl298!$B:$C,2,0),"")</f>
        <v>41515</v>
      </c>
      <c r="H1239" s="110" t="str">
        <f t="shared" si="58"/>
        <v>E</v>
      </c>
      <c r="I1239" s="110">
        <f t="shared" si="59"/>
        <v>41515</v>
      </c>
      <c r="J1239" s="110"/>
      <c r="K1239" s="110"/>
      <c r="M1239" s="110"/>
      <c r="O1239" s="110"/>
    </row>
    <row r="1240" spans="1:15" x14ac:dyDescent="0.3">
      <c r="A1240" s="58" t="str">
        <f>Schedule!E1238</f>
        <v>A068240</v>
      </c>
      <c r="B1240" s="58" t="s">
        <v>2671</v>
      </c>
      <c r="C1240" s="58" t="str">
        <f t="shared" si="57"/>
        <v>068240 KS</v>
      </c>
      <c r="D1240" s="58" t="s">
        <v>3671</v>
      </c>
      <c r="E1240" s="110" t="s">
        <v>3527</v>
      </c>
      <c r="F1240" s="110" t="str">
        <f>IFERROR(VLOOKUP(C1240,[1]evdl298!$B:$D,3,0),"")</f>
        <v>E</v>
      </c>
      <c r="G1240" s="110">
        <f>IFERROR(VLOOKUP(C1240,[1]evdl298!$B:$C,2,0),"")</f>
        <v>41492</v>
      </c>
      <c r="H1240" s="110" t="str">
        <f t="shared" si="58"/>
        <v>E</v>
      </c>
      <c r="I1240" s="110">
        <f t="shared" si="59"/>
        <v>41492</v>
      </c>
      <c r="J1240" s="110"/>
      <c r="K1240" s="110"/>
      <c r="M1240" s="110"/>
      <c r="O1240" s="110"/>
    </row>
    <row r="1241" spans="1:15" x14ac:dyDescent="0.3">
      <c r="A1241" s="58" t="str">
        <f>Schedule!E1239</f>
        <v>A068270</v>
      </c>
      <c r="B1241" s="58" t="s">
        <v>3364</v>
      </c>
      <c r="C1241" s="58" t="str">
        <f t="shared" si="57"/>
        <v>068270 KS</v>
      </c>
      <c r="D1241" s="58" t="s">
        <v>3671</v>
      </c>
      <c r="E1241" s="110" t="s">
        <v>3527</v>
      </c>
      <c r="F1241" s="110" t="str">
        <f>IFERROR(VLOOKUP(C1241,[1]evdl298!$B:$D,3,0),"")</f>
        <v>E</v>
      </c>
      <c r="G1241" s="110">
        <f>IFERROR(VLOOKUP(C1241,[1]evdl298!$B:$C,2,0),"")</f>
        <v>41515</v>
      </c>
      <c r="H1241" s="110" t="str">
        <f t="shared" si="58"/>
        <v>E</v>
      </c>
      <c r="I1241" s="110">
        <f t="shared" si="59"/>
        <v>41515</v>
      </c>
      <c r="J1241" s="110"/>
      <c r="K1241" s="110"/>
      <c r="M1241" s="110"/>
      <c r="O1241" s="110"/>
    </row>
    <row r="1242" spans="1:15" x14ac:dyDescent="0.3">
      <c r="A1242" s="58" t="str">
        <f>Schedule!E1240</f>
        <v>A068290</v>
      </c>
      <c r="B1242" s="58" t="s">
        <v>2672</v>
      </c>
      <c r="C1242" s="58" t="str">
        <f t="shared" si="57"/>
        <v>068290 KS</v>
      </c>
      <c r="D1242" s="58" t="s">
        <v>3671</v>
      </c>
      <c r="E1242" s="110" t="s">
        <v>3527</v>
      </c>
      <c r="F1242" s="110" t="str">
        <f>IFERROR(VLOOKUP(C1242,[1]evdl298!$B:$D,3,0),"")</f>
        <v/>
      </c>
      <c r="G1242" s="110" t="str">
        <f>IFERROR(VLOOKUP(C1242,[1]evdl298!$B:$C,2,0),"")</f>
        <v/>
      </c>
      <c r="H1242" s="110" t="str">
        <f t="shared" si="58"/>
        <v/>
      </c>
      <c r="I1242" s="110" t="str">
        <f t="shared" si="59"/>
        <v/>
      </c>
      <c r="J1242" s="110"/>
      <c r="K1242" s="110"/>
      <c r="M1242" s="110"/>
      <c r="O1242" s="110"/>
    </row>
    <row r="1243" spans="1:15" x14ac:dyDescent="0.3">
      <c r="A1243" s="58" t="str">
        <f>Schedule!E1241</f>
        <v>A068330</v>
      </c>
      <c r="B1243" s="58" t="s">
        <v>2673</v>
      </c>
      <c r="C1243" s="58" t="str">
        <f t="shared" si="57"/>
        <v>068330 KS</v>
      </c>
      <c r="D1243" s="58" t="s">
        <v>3671</v>
      </c>
      <c r="E1243" s="110" t="s">
        <v>3527</v>
      </c>
      <c r="F1243" s="110" t="str">
        <f>IFERROR(VLOOKUP(C1243,[1]evdl298!$B:$D,3,0),"")</f>
        <v>E</v>
      </c>
      <c r="G1243" s="110">
        <f>IFERROR(VLOOKUP(C1243,[1]evdl298!$B:$C,2,0),"")</f>
        <v>41500</v>
      </c>
      <c r="H1243" s="110" t="str">
        <f t="shared" si="58"/>
        <v>E</v>
      </c>
      <c r="I1243" s="110">
        <f t="shared" si="59"/>
        <v>41500</v>
      </c>
      <c r="J1243" s="110"/>
      <c r="K1243" s="110"/>
      <c r="M1243" s="110"/>
      <c r="O1243" s="110"/>
    </row>
    <row r="1244" spans="1:15" x14ac:dyDescent="0.3">
      <c r="A1244" s="58" t="str">
        <f>Schedule!E1242</f>
        <v>A068400</v>
      </c>
      <c r="B1244" s="58" t="s">
        <v>2674</v>
      </c>
      <c r="C1244" s="58" t="str">
        <f t="shared" si="57"/>
        <v>068400 KS</v>
      </c>
      <c r="D1244" s="58" t="s">
        <v>3671</v>
      </c>
      <c r="E1244" s="110" t="s">
        <v>3527</v>
      </c>
      <c r="F1244" s="110" t="str">
        <f>IFERROR(VLOOKUP(C1244,[1]evdl298!$B:$D,3,0),"")</f>
        <v>E</v>
      </c>
      <c r="G1244" s="110">
        <f>IFERROR(VLOOKUP(C1244,[1]evdl298!$B:$C,2,0),"")</f>
        <v>41515</v>
      </c>
      <c r="H1244" s="110" t="str">
        <f t="shared" si="58"/>
        <v>E</v>
      </c>
      <c r="I1244" s="110">
        <f t="shared" si="59"/>
        <v>41515</v>
      </c>
      <c r="J1244" s="110"/>
      <c r="K1244" s="110"/>
      <c r="M1244" s="110"/>
      <c r="O1244" s="110"/>
    </row>
    <row r="1245" spans="1:15" x14ac:dyDescent="0.3">
      <c r="A1245" s="58" t="str">
        <f>Schedule!E1243</f>
        <v>A068760</v>
      </c>
      <c r="B1245" s="58" t="s">
        <v>3365</v>
      </c>
      <c r="C1245" s="58" t="str">
        <f t="shared" si="57"/>
        <v>068760 KS</v>
      </c>
      <c r="D1245" s="58" t="s">
        <v>3671</v>
      </c>
      <c r="E1245" s="110" t="s">
        <v>3527</v>
      </c>
      <c r="F1245" s="110" t="str">
        <f>IFERROR(VLOOKUP(C1245,[1]evdl298!$B:$D,3,0),"")</f>
        <v/>
      </c>
      <c r="G1245" s="110" t="str">
        <f>IFERROR(VLOOKUP(C1245,[1]evdl298!$B:$C,2,0),"")</f>
        <v/>
      </c>
      <c r="H1245" s="110" t="str">
        <f t="shared" si="58"/>
        <v/>
      </c>
      <c r="I1245" s="110" t="str">
        <f t="shared" si="59"/>
        <v/>
      </c>
      <c r="J1245" s="110"/>
      <c r="K1245" s="110"/>
      <c r="M1245" s="110"/>
      <c r="O1245" s="110"/>
    </row>
    <row r="1246" spans="1:15" x14ac:dyDescent="0.3">
      <c r="A1246" s="58" t="str">
        <f>Schedule!E1244</f>
        <v>A068790</v>
      </c>
      <c r="B1246" s="58" t="s">
        <v>2675</v>
      </c>
      <c r="C1246" s="58" t="str">
        <f t="shared" si="57"/>
        <v>068790 KS</v>
      </c>
      <c r="D1246" s="58" t="s">
        <v>3671</v>
      </c>
      <c r="E1246" s="110" t="s">
        <v>3527</v>
      </c>
      <c r="F1246" s="110" t="str">
        <f>IFERROR(VLOOKUP(C1246,[1]evdl298!$B:$D,3,0),"")</f>
        <v/>
      </c>
      <c r="G1246" s="110" t="str">
        <f>IFERROR(VLOOKUP(C1246,[1]evdl298!$B:$C,2,0),"")</f>
        <v/>
      </c>
      <c r="H1246" s="110" t="str">
        <f t="shared" si="58"/>
        <v/>
      </c>
      <c r="I1246" s="110" t="str">
        <f t="shared" si="59"/>
        <v/>
      </c>
      <c r="J1246" s="110"/>
      <c r="K1246" s="110"/>
      <c r="M1246" s="110"/>
      <c r="O1246" s="110"/>
    </row>
    <row r="1247" spans="1:15" x14ac:dyDescent="0.3">
      <c r="A1247" s="58" t="str">
        <f>Schedule!E1245</f>
        <v>A068870</v>
      </c>
      <c r="B1247" s="58" t="s">
        <v>2676</v>
      </c>
      <c r="C1247" s="58" t="str">
        <f t="shared" si="57"/>
        <v>068870 KS</v>
      </c>
      <c r="D1247" s="58" t="s">
        <v>3671</v>
      </c>
      <c r="E1247" s="110" t="s">
        <v>3527</v>
      </c>
      <c r="F1247" s="110" t="str">
        <f>IFERROR(VLOOKUP(C1247,[1]evdl298!$B:$D,3,0),"")</f>
        <v>E</v>
      </c>
      <c r="G1247" s="110">
        <f>IFERROR(VLOOKUP(C1247,[1]evdl298!$B:$C,2,0),"")</f>
        <v>41481</v>
      </c>
      <c r="H1247" s="110" t="str">
        <f t="shared" si="58"/>
        <v>E</v>
      </c>
      <c r="I1247" s="110">
        <f t="shared" si="59"/>
        <v>41481</v>
      </c>
      <c r="J1247" s="110"/>
      <c r="K1247" s="110"/>
      <c r="M1247" s="110"/>
      <c r="O1247" s="110"/>
    </row>
    <row r="1248" spans="1:15" x14ac:dyDescent="0.3">
      <c r="A1248" s="58" t="str">
        <f>Schedule!E1246</f>
        <v>A068930</v>
      </c>
      <c r="B1248" s="58" t="s">
        <v>2677</v>
      </c>
      <c r="C1248" s="58" t="str">
        <f t="shared" si="57"/>
        <v>068930 KS</v>
      </c>
      <c r="D1248" s="58" t="s">
        <v>3671</v>
      </c>
      <c r="E1248" s="110">
        <v>41479</v>
      </c>
      <c r="F1248" s="110" t="str">
        <f>IFERROR(VLOOKUP(C1248,[1]evdl298!$B:$D,3,0),"")</f>
        <v>E</v>
      </c>
      <c r="G1248" s="110">
        <f>IFERROR(VLOOKUP(C1248,[1]evdl298!$B:$C,2,0),"")</f>
        <v>41460</v>
      </c>
      <c r="H1248" s="110" t="str">
        <f t="shared" si="58"/>
        <v>E</v>
      </c>
      <c r="I1248" s="110">
        <f t="shared" si="59"/>
        <v>41460</v>
      </c>
      <c r="J1248" s="110"/>
      <c r="K1248" s="110"/>
      <c r="M1248" s="110"/>
      <c r="O1248" s="110"/>
    </row>
    <row r="1249" spans="1:15" x14ac:dyDescent="0.3">
      <c r="A1249" s="58" t="str">
        <f>Schedule!E1247</f>
        <v>A068940</v>
      </c>
      <c r="B1249" s="58" t="s">
        <v>2678</v>
      </c>
      <c r="C1249" s="58" t="str">
        <f t="shared" si="57"/>
        <v>068940 KS</v>
      </c>
      <c r="D1249" s="58" t="s">
        <v>3671</v>
      </c>
      <c r="E1249" s="110" t="s">
        <v>3527</v>
      </c>
      <c r="F1249" s="110" t="str">
        <f>IFERROR(VLOOKUP(C1249,[1]evdl298!$B:$D,3,0),"")</f>
        <v/>
      </c>
      <c r="G1249" s="110" t="str">
        <f>IFERROR(VLOOKUP(C1249,[1]evdl298!$B:$C,2,0),"")</f>
        <v/>
      </c>
      <c r="H1249" s="110" t="str">
        <f t="shared" si="58"/>
        <v/>
      </c>
      <c r="I1249" s="110" t="str">
        <f t="shared" si="59"/>
        <v/>
      </c>
      <c r="J1249" s="110"/>
      <c r="K1249" s="110"/>
      <c r="M1249" s="110"/>
      <c r="O1249" s="110"/>
    </row>
    <row r="1250" spans="1:15" x14ac:dyDescent="0.3">
      <c r="A1250" s="58" t="str">
        <f>Schedule!E1248</f>
        <v>A069080</v>
      </c>
      <c r="B1250" s="58" t="s">
        <v>3366</v>
      </c>
      <c r="C1250" s="58" t="str">
        <f t="shared" si="57"/>
        <v>069080 KS</v>
      </c>
      <c r="D1250" s="58" t="s">
        <v>3671</v>
      </c>
      <c r="E1250" s="110" t="s">
        <v>3527</v>
      </c>
      <c r="F1250" s="110" t="str">
        <f>IFERROR(VLOOKUP(C1250,[1]evdl298!$B:$D,3,0),"")</f>
        <v>E</v>
      </c>
      <c r="G1250" s="110">
        <f>IFERROR(VLOOKUP(C1250,[1]evdl298!$B:$C,2,0),"")</f>
        <v>41500</v>
      </c>
      <c r="H1250" s="110" t="str">
        <f t="shared" si="58"/>
        <v>E</v>
      </c>
      <c r="I1250" s="110">
        <f t="shared" si="59"/>
        <v>41500</v>
      </c>
      <c r="J1250" s="110"/>
      <c r="K1250" s="110"/>
      <c r="M1250" s="110"/>
      <c r="O1250" s="110"/>
    </row>
    <row r="1251" spans="1:15" x14ac:dyDescent="0.3">
      <c r="A1251" s="58" t="str">
        <f>Schedule!E1249</f>
        <v>A069110</v>
      </c>
      <c r="B1251" s="58" t="s">
        <v>2679</v>
      </c>
      <c r="C1251" s="58" t="str">
        <f t="shared" si="57"/>
        <v>069110 KS</v>
      </c>
      <c r="D1251" s="58" t="s">
        <v>3671</v>
      </c>
      <c r="E1251" s="110" t="s">
        <v>3527</v>
      </c>
      <c r="F1251" s="110" t="str">
        <f>IFERROR(VLOOKUP(C1251,[1]evdl298!$B:$D,3,0),"")</f>
        <v>E</v>
      </c>
      <c r="G1251" s="110">
        <f>IFERROR(VLOOKUP(C1251,[1]evdl298!$B:$C,2,0),"")</f>
        <v>41460</v>
      </c>
      <c r="H1251" s="110" t="str">
        <f t="shared" si="58"/>
        <v>E</v>
      </c>
      <c r="I1251" s="110">
        <f t="shared" si="59"/>
        <v>41460</v>
      </c>
      <c r="J1251" s="110"/>
      <c r="K1251" s="110"/>
      <c r="M1251" s="110"/>
      <c r="O1251" s="110"/>
    </row>
    <row r="1252" spans="1:15" x14ac:dyDescent="0.3">
      <c r="A1252" s="58" t="str">
        <f>Schedule!E1250</f>
        <v>A069140</v>
      </c>
      <c r="B1252" s="58" t="s">
        <v>3554</v>
      </c>
      <c r="C1252" s="58" t="str">
        <f t="shared" si="57"/>
        <v>069140 KS</v>
      </c>
      <c r="D1252" s="58" t="s">
        <v>3671</v>
      </c>
      <c r="E1252" s="110" t="s">
        <v>3527</v>
      </c>
      <c r="F1252" s="110" t="str">
        <f>IFERROR(VLOOKUP(C1252,[1]evdl298!$B:$D,3,0),"")</f>
        <v>E</v>
      </c>
      <c r="G1252" s="110">
        <f>IFERROR(VLOOKUP(C1252,[1]evdl298!$B:$C,2,0),"")</f>
        <v>41515</v>
      </c>
      <c r="H1252" s="110" t="str">
        <f t="shared" si="58"/>
        <v>E</v>
      </c>
      <c r="I1252" s="110">
        <f t="shared" si="59"/>
        <v>41515</v>
      </c>
      <c r="J1252" s="110"/>
      <c r="K1252" s="110"/>
      <c r="M1252" s="110"/>
      <c r="O1252" s="110"/>
    </row>
    <row r="1253" spans="1:15" x14ac:dyDescent="0.3">
      <c r="A1253" s="58" t="str">
        <f>Schedule!E1251</f>
        <v>A069260</v>
      </c>
      <c r="B1253" s="58" t="s">
        <v>3367</v>
      </c>
      <c r="C1253" s="58" t="str">
        <f t="shared" si="57"/>
        <v>069260 KS</v>
      </c>
      <c r="D1253" s="58" t="s">
        <v>3671</v>
      </c>
      <c r="E1253" s="110" t="s">
        <v>3527</v>
      </c>
      <c r="F1253" s="110" t="str">
        <f>IFERROR(VLOOKUP(C1253,[1]evdl298!$B:$D,3,0),"")</f>
        <v>E</v>
      </c>
      <c r="G1253" s="110">
        <f>IFERROR(VLOOKUP(C1253,[1]evdl298!$B:$C,2,0),"")</f>
        <v>41515</v>
      </c>
      <c r="H1253" s="110" t="str">
        <f t="shared" si="58"/>
        <v>E</v>
      </c>
      <c r="I1253" s="110">
        <f t="shared" si="59"/>
        <v>41515</v>
      </c>
      <c r="J1253" s="110"/>
      <c r="K1253" s="110"/>
      <c r="M1253" s="110"/>
      <c r="O1253" s="110"/>
    </row>
    <row r="1254" spans="1:15" x14ac:dyDescent="0.3">
      <c r="A1254" s="58" t="str">
        <f>Schedule!E1252</f>
        <v>A069330</v>
      </c>
      <c r="B1254" s="58" t="s">
        <v>2680</v>
      </c>
      <c r="C1254" s="58" t="str">
        <f t="shared" si="57"/>
        <v>069330 KS</v>
      </c>
      <c r="D1254" s="58" t="s">
        <v>3671</v>
      </c>
      <c r="E1254" s="110" t="s">
        <v>3684</v>
      </c>
      <c r="F1254" s="110" t="str">
        <f>IFERROR(VLOOKUP(C1254,[1]evdl298!$B:$D,3,0),"")</f>
        <v>E</v>
      </c>
      <c r="G1254" s="110">
        <f>IFERROR(VLOOKUP(C1254,[1]evdl298!$B:$C,2,0),"")</f>
        <v>41500</v>
      </c>
      <c r="H1254" s="110" t="str">
        <f t="shared" si="58"/>
        <v>E</v>
      </c>
      <c r="I1254" s="110">
        <f t="shared" si="59"/>
        <v>41500</v>
      </c>
      <c r="J1254" s="110"/>
      <c r="K1254" s="110"/>
      <c r="M1254" s="110"/>
      <c r="O1254" s="110"/>
    </row>
    <row r="1255" spans="1:15" x14ac:dyDescent="0.3">
      <c r="A1255" s="58" t="str">
        <f>Schedule!E1253</f>
        <v>A069410</v>
      </c>
      <c r="B1255" s="58" t="s">
        <v>2681</v>
      </c>
      <c r="C1255" s="58" t="str">
        <f t="shared" si="57"/>
        <v>069410 KS</v>
      </c>
      <c r="D1255" s="58" t="s">
        <v>3671</v>
      </c>
      <c r="E1255" s="110" t="s">
        <v>3527</v>
      </c>
      <c r="F1255" s="110" t="str">
        <f>IFERROR(VLOOKUP(C1255,[1]evdl298!$B:$D,3,0),"")</f>
        <v>E</v>
      </c>
      <c r="G1255" s="110">
        <f>IFERROR(VLOOKUP(C1255,[1]evdl298!$B:$C,2,0),"")</f>
        <v>41515</v>
      </c>
      <c r="H1255" s="110" t="str">
        <f t="shared" si="58"/>
        <v>E</v>
      </c>
      <c r="I1255" s="110">
        <f t="shared" si="59"/>
        <v>41515</v>
      </c>
      <c r="J1255" s="110"/>
      <c r="K1255" s="110"/>
      <c r="M1255" s="110"/>
      <c r="O1255" s="110"/>
    </row>
    <row r="1256" spans="1:15" x14ac:dyDescent="0.3">
      <c r="A1256" s="58" t="str">
        <f>Schedule!E1254</f>
        <v>A069460</v>
      </c>
      <c r="B1256" s="58" t="s">
        <v>2682</v>
      </c>
      <c r="C1256" s="58" t="str">
        <f t="shared" si="57"/>
        <v>069460 KS</v>
      </c>
      <c r="D1256" s="58" t="s">
        <v>3671</v>
      </c>
      <c r="E1256" s="110" t="s">
        <v>3527</v>
      </c>
      <c r="F1256" s="110" t="str">
        <f>IFERROR(VLOOKUP(C1256,[1]evdl298!$B:$D,3,0),"")</f>
        <v/>
      </c>
      <c r="G1256" s="110" t="str">
        <f>IFERROR(VLOOKUP(C1256,[1]evdl298!$B:$C,2,0),"")</f>
        <v/>
      </c>
      <c r="H1256" s="110" t="str">
        <f t="shared" si="58"/>
        <v/>
      </c>
      <c r="I1256" s="110" t="str">
        <f t="shared" si="59"/>
        <v/>
      </c>
      <c r="J1256" s="110"/>
      <c r="K1256" s="110"/>
      <c r="M1256" s="110"/>
      <c r="O1256" s="110"/>
    </row>
    <row r="1257" spans="1:15" x14ac:dyDescent="0.3">
      <c r="A1257" s="58" t="str">
        <f>Schedule!E1255</f>
        <v>A069510</v>
      </c>
      <c r="B1257" s="58" t="s">
        <v>2683</v>
      </c>
      <c r="C1257" s="58" t="str">
        <f t="shared" si="57"/>
        <v>069510 KS</v>
      </c>
      <c r="D1257" s="58" t="s">
        <v>3671</v>
      </c>
      <c r="E1257" s="110" t="s">
        <v>3527</v>
      </c>
      <c r="F1257" s="110" t="str">
        <f>IFERROR(VLOOKUP(C1257,[1]evdl298!$B:$D,3,0),"")</f>
        <v>E</v>
      </c>
      <c r="G1257" s="110">
        <f>IFERROR(VLOOKUP(C1257,[1]evdl298!$B:$C,2,0),"")</f>
        <v>41500</v>
      </c>
      <c r="H1257" s="110" t="str">
        <f t="shared" si="58"/>
        <v>E</v>
      </c>
      <c r="I1257" s="110">
        <f t="shared" si="59"/>
        <v>41500</v>
      </c>
      <c r="J1257" s="110"/>
      <c r="K1257" s="110"/>
      <c r="M1257" s="110"/>
      <c r="O1257" s="110"/>
    </row>
    <row r="1258" spans="1:15" x14ac:dyDescent="0.3">
      <c r="A1258" s="58" t="str">
        <f>Schedule!E1256</f>
        <v>A069540</v>
      </c>
      <c r="B1258" s="58" t="s">
        <v>2684</v>
      </c>
      <c r="C1258" s="58" t="str">
        <f t="shared" si="57"/>
        <v>069540 KS</v>
      </c>
      <c r="D1258" s="58" t="s">
        <v>3671</v>
      </c>
      <c r="E1258" s="110" t="s">
        <v>3527</v>
      </c>
      <c r="F1258" s="110" t="str">
        <f>IFERROR(VLOOKUP(C1258,[1]evdl298!$B:$D,3,0),"")</f>
        <v>E</v>
      </c>
      <c r="G1258" s="110">
        <f>IFERROR(VLOOKUP(C1258,[1]evdl298!$B:$C,2,0),"")</f>
        <v>41500</v>
      </c>
      <c r="H1258" s="110" t="str">
        <f t="shared" si="58"/>
        <v>E</v>
      </c>
      <c r="I1258" s="110">
        <f t="shared" si="59"/>
        <v>41500</v>
      </c>
      <c r="J1258" s="110"/>
      <c r="K1258" s="110"/>
      <c r="M1258" s="110"/>
      <c r="O1258" s="110"/>
    </row>
    <row r="1259" spans="1:15" x14ac:dyDescent="0.3">
      <c r="A1259" s="58" t="str">
        <f>Schedule!E1257</f>
        <v>A069620</v>
      </c>
      <c r="B1259" s="58" t="s">
        <v>2685</v>
      </c>
      <c r="C1259" s="58" t="str">
        <f t="shared" si="57"/>
        <v>069620 KS</v>
      </c>
      <c r="D1259" s="58" t="s">
        <v>3671</v>
      </c>
      <c r="E1259" s="110" t="s">
        <v>3527</v>
      </c>
      <c r="F1259" s="110" t="str">
        <f>IFERROR(VLOOKUP(C1259,[1]evdl298!$B:$D,3,0),"")</f>
        <v>E</v>
      </c>
      <c r="G1259" s="110">
        <f>IFERROR(VLOOKUP(C1259,[1]evdl298!$B:$C,2,0),"")</f>
        <v>41515</v>
      </c>
      <c r="H1259" s="110" t="str">
        <f t="shared" si="58"/>
        <v>E</v>
      </c>
      <c r="I1259" s="110">
        <f t="shared" si="59"/>
        <v>41515</v>
      </c>
      <c r="J1259" s="110"/>
      <c r="K1259" s="110"/>
      <c r="M1259" s="110"/>
      <c r="O1259" s="110"/>
    </row>
    <row r="1260" spans="1:15" x14ac:dyDescent="0.3">
      <c r="A1260" s="58" t="str">
        <f>Schedule!E1258</f>
        <v>A069640</v>
      </c>
      <c r="B1260" s="58" t="s">
        <v>2686</v>
      </c>
      <c r="C1260" s="58" t="str">
        <f t="shared" si="57"/>
        <v>069640 KS</v>
      </c>
      <c r="D1260" s="58" t="s">
        <v>3671</v>
      </c>
      <c r="E1260" s="110">
        <v>41486</v>
      </c>
      <c r="F1260" s="110" t="str">
        <f>IFERROR(VLOOKUP(C1260,[1]evdl298!$B:$D,3,0),"")</f>
        <v>E</v>
      </c>
      <c r="G1260" s="110">
        <f>IFERROR(VLOOKUP(C1260,[1]evdl298!$B:$C,2,0),"")</f>
        <v>41515</v>
      </c>
      <c r="H1260" s="110" t="str">
        <f t="shared" si="58"/>
        <v>E</v>
      </c>
      <c r="I1260" s="110">
        <f t="shared" si="59"/>
        <v>41515</v>
      </c>
      <c r="J1260" s="110"/>
      <c r="K1260" s="110"/>
      <c r="M1260" s="110"/>
      <c r="O1260" s="110"/>
    </row>
    <row r="1261" spans="1:15" x14ac:dyDescent="0.3">
      <c r="A1261" s="58" t="str">
        <f>Schedule!E1259</f>
        <v>A069730</v>
      </c>
      <c r="B1261" s="58" t="s">
        <v>3368</v>
      </c>
      <c r="C1261" s="58" t="str">
        <f t="shared" si="57"/>
        <v>069730 KS</v>
      </c>
      <c r="D1261" s="58" t="s">
        <v>3671</v>
      </c>
      <c r="E1261" s="110" t="s">
        <v>3527</v>
      </c>
      <c r="F1261" s="110" t="str">
        <f>IFERROR(VLOOKUP(C1261,[1]evdl298!$B:$D,3,0),"")</f>
        <v>E</v>
      </c>
      <c r="G1261" s="110">
        <f>IFERROR(VLOOKUP(C1261,[1]evdl298!$B:$C,2,0),"")</f>
        <v>41499</v>
      </c>
      <c r="H1261" s="110" t="str">
        <f t="shared" si="58"/>
        <v>E</v>
      </c>
      <c r="I1261" s="110">
        <f t="shared" si="59"/>
        <v>41499</v>
      </c>
      <c r="J1261" s="110"/>
      <c r="K1261" s="110"/>
      <c r="M1261" s="110"/>
      <c r="O1261" s="110"/>
    </row>
    <row r="1262" spans="1:15" x14ac:dyDescent="0.3">
      <c r="A1262" s="58" t="str">
        <f>Schedule!E1260</f>
        <v>A069920</v>
      </c>
      <c r="B1262" s="58" t="s">
        <v>2687</v>
      </c>
      <c r="C1262" s="58" t="str">
        <f t="shared" si="57"/>
        <v>069920 KS</v>
      </c>
      <c r="D1262" s="58" t="s">
        <v>3671</v>
      </c>
      <c r="E1262" s="110" t="s">
        <v>3527</v>
      </c>
      <c r="F1262" s="110" t="str">
        <f>IFERROR(VLOOKUP(C1262,[1]evdl298!$B:$D,3,0),"")</f>
        <v/>
      </c>
      <c r="G1262" s="110" t="str">
        <f>IFERROR(VLOOKUP(C1262,[1]evdl298!$B:$C,2,0),"")</f>
        <v/>
      </c>
      <c r="H1262" s="110" t="str">
        <f t="shared" si="58"/>
        <v/>
      </c>
      <c r="I1262" s="110" t="str">
        <f t="shared" si="59"/>
        <v/>
      </c>
      <c r="J1262" s="110"/>
      <c r="K1262" s="110"/>
      <c r="M1262" s="110"/>
      <c r="O1262" s="110"/>
    </row>
    <row r="1263" spans="1:15" x14ac:dyDescent="0.3">
      <c r="A1263" s="58" t="str">
        <f>Schedule!E1261</f>
        <v>A069960</v>
      </c>
      <c r="B1263" s="58" t="s">
        <v>2688</v>
      </c>
      <c r="C1263" s="58" t="str">
        <f t="shared" si="57"/>
        <v>069960 KS</v>
      </c>
      <c r="D1263" s="58" t="s">
        <v>3671</v>
      </c>
      <c r="E1263" s="110" t="s">
        <v>3527</v>
      </c>
      <c r="F1263" s="110" t="str">
        <f>IFERROR(VLOOKUP(C1263,[1]evdl298!$B:$D,3,0),"")</f>
        <v>E</v>
      </c>
      <c r="G1263" s="110">
        <f>IFERROR(VLOOKUP(C1263,[1]evdl298!$B:$C,2,0),"")</f>
        <v>41486</v>
      </c>
      <c r="H1263" s="110" t="str">
        <f t="shared" si="58"/>
        <v>E</v>
      </c>
      <c r="I1263" s="110">
        <f t="shared" si="59"/>
        <v>41486</v>
      </c>
      <c r="J1263" s="110"/>
      <c r="K1263" s="110"/>
      <c r="M1263" s="110"/>
      <c r="O1263" s="110"/>
    </row>
    <row r="1264" spans="1:15" x14ac:dyDescent="0.3">
      <c r="A1264" s="58" t="str">
        <f>Schedule!E1262</f>
        <v>A070300</v>
      </c>
      <c r="B1264" s="58" t="s">
        <v>2689</v>
      </c>
      <c r="C1264" s="58" t="str">
        <f t="shared" si="57"/>
        <v>070300 KS</v>
      </c>
      <c r="D1264" s="58" t="s">
        <v>3671</v>
      </c>
      <c r="E1264" s="110" t="s">
        <v>3678</v>
      </c>
      <c r="F1264" s="110" t="str">
        <f>IFERROR(VLOOKUP(C1264,[1]evdl298!$B:$D,3,0),"")</f>
        <v>E</v>
      </c>
      <c r="G1264" s="110">
        <f>IFERROR(VLOOKUP(C1264,[1]evdl298!$B:$C,2,0),"")</f>
        <v>41481</v>
      </c>
      <c r="H1264" s="110" t="str">
        <f t="shared" si="58"/>
        <v>E</v>
      </c>
      <c r="I1264" s="110">
        <f t="shared" si="59"/>
        <v>41481</v>
      </c>
      <c r="J1264" s="110"/>
      <c r="K1264" s="110"/>
      <c r="M1264" s="110"/>
      <c r="O1264" s="110"/>
    </row>
    <row r="1265" spans="1:15" x14ac:dyDescent="0.3">
      <c r="A1265" s="58" t="str">
        <f>Schedule!E1263</f>
        <v>A070480</v>
      </c>
      <c r="B1265" s="58" t="s">
        <v>3369</v>
      </c>
      <c r="C1265" s="58" t="str">
        <f t="shared" si="57"/>
        <v>070480 KS</v>
      </c>
      <c r="D1265" s="58" t="s">
        <v>3671</v>
      </c>
      <c r="E1265" s="110" t="s">
        <v>3527</v>
      </c>
      <c r="F1265" s="110" t="str">
        <f>IFERROR(VLOOKUP(C1265,[1]evdl298!$B:$D,3,0),"")</f>
        <v/>
      </c>
      <c r="G1265" s="110" t="str">
        <f>IFERROR(VLOOKUP(C1265,[1]evdl298!$B:$C,2,0),"")</f>
        <v/>
      </c>
      <c r="H1265" s="110" t="str">
        <f t="shared" si="58"/>
        <v/>
      </c>
      <c r="I1265" s="110" t="str">
        <f t="shared" si="59"/>
        <v/>
      </c>
      <c r="J1265" s="110"/>
      <c r="K1265" s="110"/>
      <c r="M1265" s="110"/>
      <c r="O1265" s="110"/>
    </row>
    <row r="1266" spans="1:15" x14ac:dyDescent="0.3">
      <c r="A1266" s="58" t="str">
        <f>Schedule!E1264</f>
        <v>A070590</v>
      </c>
      <c r="B1266" s="58" t="s">
        <v>2690</v>
      </c>
      <c r="C1266" s="58" t="str">
        <f t="shared" si="57"/>
        <v>070590 KS</v>
      </c>
      <c r="D1266" s="58" t="s">
        <v>3671</v>
      </c>
      <c r="E1266" s="110" t="s">
        <v>3527</v>
      </c>
      <c r="F1266" s="110" t="str">
        <f>IFERROR(VLOOKUP(C1266,[1]evdl298!$B:$D,3,0),"")</f>
        <v/>
      </c>
      <c r="G1266" s="110" t="str">
        <f>IFERROR(VLOOKUP(C1266,[1]evdl298!$B:$C,2,0),"")</f>
        <v/>
      </c>
      <c r="H1266" s="110" t="str">
        <f t="shared" si="58"/>
        <v/>
      </c>
      <c r="I1266" s="110" t="str">
        <f t="shared" si="59"/>
        <v/>
      </c>
      <c r="J1266" s="110"/>
      <c r="K1266" s="110"/>
      <c r="M1266" s="110"/>
      <c r="O1266" s="110"/>
    </row>
    <row r="1267" spans="1:15" x14ac:dyDescent="0.3">
      <c r="A1267" s="58" t="str">
        <f>Schedule!E1265</f>
        <v>A071050</v>
      </c>
      <c r="B1267" s="58" t="s">
        <v>2691</v>
      </c>
      <c r="C1267" s="58" t="str">
        <f t="shared" si="57"/>
        <v>071050 KS</v>
      </c>
      <c r="D1267" s="58" t="s">
        <v>3671</v>
      </c>
      <c r="E1267" s="110" t="s">
        <v>3527</v>
      </c>
      <c r="F1267" s="110" t="str">
        <f>IFERROR(VLOOKUP(C1267,[1]evdl298!$B:$D,3,0),"")</f>
        <v>E</v>
      </c>
      <c r="G1267" s="110">
        <f>IFERROR(VLOOKUP(C1267,[1]evdl298!$B:$C,2,0),"")</f>
        <v>41500</v>
      </c>
      <c r="H1267" s="110" t="str">
        <f t="shared" si="58"/>
        <v>E</v>
      </c>
      <c r="I1267" s="110">
        <f t="shared" si="59"/>
        <v>41500</v>
      </c>
      <c r="J1267" s="110"/>
      <c r="K1267" s="110"/>
      <c r="M1267" s="110"/>
      <c r="O1267" s="110"/>
    </row>
    <row r="1268" spans="1:15" x14ac:dyDescent="0.3">
      <c r="A1268" s="58" t="str">
        <f>Schedule!E1266</f>
        <v>A071090</v>
      </c>
      <c r="B1268" s="58" t="s">
        <v>2692</v>
      </c>
      <c r="C1268" s="58" t="str">
        <f t="shared" si="57"/>
        <v>071090 KS</v>
      </c>
      <c r="D1268" s="58" t="s">
        <v>3671</v>
      </c>
      <c r="E1268" s="110" t="s">
        <v>3675</v>
      </c>
      <c r="F1268" s="110" t="str">
        <f>IFERROR(VLOOKUP(C1268,[1]evdl298!$B:$D,3,0),"")</f>
        <v>E</v>
      </c>
      <c r="G1268" s="110">
        <f>IFERROR(VLOOKUP(C1268,[1]evdl298!$B:$C,2,0),"")</f>
        <v>41499</v>
      </c>
      <c r="H1268" s="110" t="str">
        <f t="shared" si="58"/>
        <v>E</v>
      </c>
      <c r="I1268" s="110">
        <f t="shared" si="59"/>
        <v>41499</v>
      </c>
      <c r="J1268" s="110"/>
      <c r="K1268" s="110"/>
      <c r="M1268" s="110"/>
      <c r="O1268" s="110"/>
    </row>
    <row r="1269" spans="1:15" x14ac:dyDescent="0.3">
      <c r="A1269" s="58" t="str">
        <f>Schedule!E1267</f>
        <v>A071200</v>
      </c>
      <c r="B1269" s="58" t="s">
        <v>2693</v>
      </c>
      <c r="C1269" s="58" t="str">
        <f t="shared" si="57"/>
        <v>071200 KS</v>
      </c>
      <c r="D1269" s="58" t="s">
        <v>3671</v>
      </c>
      <c r="E1269" s="110" t="s">
        <v>3527</v>
      </c>
      <c r="F1269" s="110" t="str">
        <f>IFERROR(VLOOKUP(C1269,[1]evdl298!$B:$D,3,0),"")</f>
        <v/>
      </c>
      <c r="G1269" s="110" t="str">
        <f>IFERROR(VLOOKUP(C1269,[1]evdl298!$B:$C,2,0),"")</f>
        <v/>
      </c>
      <c r="H1269" s="110" t="str">
        <f t="shared" si="58"/>
        <v/>
      </c>
      <c r="I1269" s="110" t="str">
        <f t="shared" si="59"/>
        <v/>
      </c>
      <c r="J1269" s="110"/>
      <c r="K1269" s="110"/>
      <c r="M1269" s="110"/>
      <c r="O1269" s="110"/>
    </row>
    <row r="1270" spans="1:15" x14ac:dyDescent="0.3">
      <c r="A1270" s="58" t="str">
        <f>Schedule!E1268</f>
        <v>A071280</v>
      </c>
      <c r="B1270" s="58" t="s">
        <v>3370</v>
      </c>
      <c r="C1270" s="58" t="str">
        <f t="shared" si="57"/>
        <v>071280 KS</v>
      </c>
      <c r="D1270" s="58" t="s">
        <v>3671</v>
      </c>
      <c r="E1270" s="110" t="s">
        <v>3527</v>
      </c>
      <c r="F1270" s="110" t="str">
        <f>IFERROR(VLOOKUP(C1270,[1]evdl298!$B:$D,3,0),"")</f>
        <v>E</v>
      </c>
      <c r="G1270" s="110">
        <f>IFERROR(VLOOKUP(C1270,[1]evdl298!$B:$C,2,0),"")</f>
        <v>41460</v>
      </c>
      <c r="H1270" s="110" t="str">
        <f t="shared" si="58"/>
        <v>E</v>
      </c>
      <c r="I1270" s="110">
        <f t="shared" si="59"/>
        <v>41460</v>
      </c>
      <c r="J1270" s="110"/>
      <c r="K1270" s="110"/>
      <c r="M1270" s="110"/>
      <c r="O1270" s="110"/>
    </row>
    <row r="1271" spans="1:15" x14ac:dyDescent="0.3">
      <c r="A1271" s="58" t="str">
        <f>Schedule!E1269</f>
        <v>A071320</v>
      </c>
      <c r="B1271" s="58" t="s">
        <v>2694</v>
      </c>
      <c r="C1271" s="58" t="str">
        <f t="shared" si="57"/>
        <v>071320 KS</v>
      </c>
      <c r="D1271" s="58" t="s">
        <v>3671</v>
      </c>
      <c r="E1271" s="110" t="s">
        <v>3527</v>
      </c>
      <c r="F1271" s="110" t="str">
        <f>IFERROR(VLOOKUP(C1271,[1]evdl298!$B:$D,3,0),"")</f>
        <v>E</v>
      </c>
      <c r="G1271" s="110">
        <f>IFERROR(VLOOKUP(C1271,[1]evdl298!$B:$C,2,0),"")</f>
        <v>41500</v>
      </c>
      <c r="H1271" s="110" t="str">
        <f t="shared" si="58"/>
        <v>E</v>
      </c>
      <c r="I1271" s="110">
        <f t="shared" si="59"/>
        <v>41500</v>
      </c>
      <c r="J1271" s="110"/>
      <c r="K1271" s="110"/>
      <c r="M1271" s="110"/>
      <c r="O1271" s="110"/>
    </row>
    <row r="1272" spans="1:15" x14ac:dyDescent="0.3">
      <c r="A1272" s="58" t="str">
        <f>Schedule!E1270</f>
        <v>A071670</v>
      </c>
      <c r="B1272" s="58" t="s">
        <v>3371</v>
      </c>
      <c r="C1272" s="58" t="str">
        <f t="shared" si="57"/>
        <v>071670 KS</v>
      </c>
      <c r="D1272" s="58" t="s">
        <v>3671</v>
      </c>
      <c r="E1272" s="110" t="s">
        <v>3527</v>
      </c>
      <c r="F1272" s="110" t="str">
        <f>IFERROR(VLOOKUP(C1272,[1]evdl298!$B:$D,3,0),"")</f>
        <v/>
      </c>
      <c r="G1272" s="110" t="str">
        <f>IFERROR(VLOOKUP(C1272,[1]evdl298!$B:$C,2,0),"")</f>
        <v/>
      </c>
      <c r="H1272" s="110" t="str">
        <f t="shared" si="58"/>
        <v/>
      </c>
      <c r="I1272" s="110" t="str">
        <f t="shared" si="59"/>
        <v/>
      </c>
      <c r="J1272" s="110"/>
      <c r="K1272" s="110"/>
      <c r="M1272" s="110"/>
      <c r="O1272" s="110"/>
    </row>
    <row r="1273" spans="1:15" x14ac:dyDescent="0.3">
      <c r="A1273" s="58" t="str">
        <f>Schedule!E1271</f>
        <v>A071840</v>
      </c>
      <c r="B1273" s="58" t="s">
        <v>2695</v>
      </c>
      <c r="C1273" s="58" t="str">
        <f t="shared" si="57"/>
        <v>071840 KS</v>
      </c>
      <c r="D1273" s="58" t="s">
        <v>3671</v>
      </c>
      <c r="E1273" s="110" t="s">
        <v>3527</v>
      </c>
      <c r="F1273" s="110" t="str">
        <f>IFERROR(VLOOKUP(C1273,[1]evdl298!$B:$D,3,0),"")</f>
        <v>E</v>
      </c>
      <c r="G1273" s="110">
        <f>IFERROR(VLOOKUP(C1273,[1]evdl298!$B:$C,2,0),"")</f>
        <v>41478</v>
      </c>
      <c r="H1273" s="110" t="str">
        <f t="shared" si="58"/>
        <v>E</v>
      </c>
      <c r="I1273" s="110">
        <f t="shared" si="59"/>
        <v>41478</v>
      </c>
      <c r="J1273" s="110"/>
      <c r="K1273" s="110"/>
      <c r="M1273" s="110"/>
      <c r="O1273" s="110"/>
    </row>
    <row r="1274" spans="1:15" x14ac:dyDescent="0.3">
      <c r="A1274" s="58" t="str">
        <f>Schedule!E1272</f>
        <v>A071930</v>
      </c>
      <c r="B1274" s="58" t="s">
        <v>3532</v>
      </c>
      <c r="C1274" s="58" t="str">
        <f t="shared" si="57"/>
        <v>071930 KS</v>
      </c>
      <c r="D1274" s="58" t="s">
        <v>3671</v>
      </c>
      <c r="E1274" s="110">
        <v>41488</v>
      </c>
      <c r="F1274" s="110" t="str">
        <f>IFERROR(VLOOKUP(C1274,[1]evdl298!$B:$D,3,0),"")</f>
        <v/>
      </c>
      <c r="G1274" s="110" t="str">
        <f>IFERROR(VLOOKUP(C1274,[1]evdl298!$B:$C,2,0),"")</f>
        <v/>
      </c>
      <c r="H1274" s="110" t="str">
        <f t="shared" si="58"/>
        <v/>
      </c>
      <c r="I1274" s="110">
        <f t="shared" si="59"/>
        <v>41488</v>
      </c>
      <c r="J1274" s="110"/>
      <c r="K1274" s="110"/>
      <c r="M1274" s="110"/>
      <c r="O1274" s="110"/>
    </row>
    <row r="1275" spans="1:15" x14ac:dyDescent="0.3">
      <c r="A1275" s="58" t="str">
        <f>Schedule!E1273</f>
        <v>A071950</v>
      </c>
      <c r="B1275" s="58" t="s">
        <v>2696</v>
      </c>
      <c r="C1275" s="58" t="str">
        <f t="shared" si="57"/>
        <v>071950 KS</v>
      </c>
      <c r="D1275" s="58" t="s">
        <v>3671</v>
      </c>
      <c r="E1275" s="110" t="s">
        <v>3527</v>
      </c>
      <c r="F1275" s="110" t="str">
        <f>IFERROR(VLOOKUP(C1275,[1]evdl298!$B:$D,3,0),"")</f>
        <v/>
      </c>
      <c r="G1275" s="110" t="str">
        <f>IFERROR(VLOOKUP(C1275,[1]evdl298!$B:$C,2,0),"")</f>
        <v/>
      </c>
      <c r="H1275" s="110" t="str">
        <f t="shared" si="58"/>
        <v/>
      </c>
      <c r="I1275" s="110" t="str">
        <f t="shared" si="59"/>
        <v/>
      </c>
      <c r="J1275" s="110"/>
      <c r="K1275" s="110"/>
      <c r="M1275" s="110"/>
      <c r="O1275" s="110"/>
    </row>
    <row r="1276" spans="1:15" x14ac:dyDescent="0.3">
      <c r="A1276" s="58" t="str">
        <f>Schedule!E1274</f>
        <v>A071970</v>
      </c>
      <c r="B1276" s="58" t="s">
        <v>2697</v>
      </c>
      <c r="C1276" s="58" t="str">
        <f t="shared" si="57"/>
        <v>071970 KS</v>
      </c>
      <c r="D1276" s="58" t="s">
        <v>3671</v>
      </c>
      <c r="E1276" s="110" t="s">
        <v>3527</v>
      </c>
      <c r="F1276" s="110" t="str">
        <f>IFERROR(VLOOKUP(C1276,[1]evdl298!$B:$D,3,0),"")</f>
        <v>E</v>
      </c>
      <c r="G1276" s="110">
        <f>IFERROR(VLOOKUP(C1276,[1]evdl298!$B:$C,2,0),"")</f>
        <v>41500</v>
      </c>
      <c r="H1276" s="110" t="str">
        <f t="shared" si="58"/>
        <v>E</v>
      </c>
      <c r="I1276" s="110">
        <f t="shared" si="59"/>
        <v>41500</v>
      </c>
      <c r="J1276" s="110"/>
      <c r="K1276" s="110"/>
      <c r="M1276" s="110"/>
      <c r="O1276" s="110"/>
    </row>
    <row r="1277" spans="1:15" x14ac:dyDescent="0.3">
      <c r="A1277" s="58" t="str">
        <f>Schedule!E1275</f>
        <v>A072020</v>
      </c>
      <c r="B1277" s="58" t="s">
        <v>3595</v>
      </c>
      <c r="C1277" s="58" t="str">
        <f t="shared" si="57"/>
        <v>072020 KS</v>
      </c>
      <c r="D1277" s="58" t="s">
        <v>3671</v>
      </c>
      <c r="E1277" s="110" t="s">
        <v>3527</v>
      </c>
      <c r="F1277" s="110" t="str">
        <f>IFERROR(VLOOKUP(C1277,[1]evdl298!$B:$D,3,0),"")</f>
        <v>E</v>
      </c>
      <c r="G1277" s="110">
        <f>IFERROR(VLOOKUP(C1277,[1]evdl298!$B:$C,2,0),"")</f>
        <v>41500</v>
      </c>
      <c r="H1277" s="110" t="str">
        <f t="shared" si="58"/>
        <v>E</v>
      </c>
      <c r="I1277" s="110">
        <f t="shared" si="59"/>
        <v>41500</v>
      </c>
      <c r="J1277" s="110"/>
      <c r="K1277" s="110"/>
      <c r="M1277" s="110"/>
      <c r="O1277" s="110"/>
    </row>
    <row r="1278" spans="1:15" x14ac:dyDescent="0.3">
      <c r="A1278" s="58" t="str">
        <f>Schedule!E1276</f>
        <v>A072130</v>
      </c>
      <c r="B1278" s="58" t="s">
        <v>2698</v>
      </c>
      <c r="C1278" s="58" t="str">
        <f t="shared" si="57"/>
        <v>072130 KS</v>
      </c>
      <c r="D1278" s="58" t="s">
        <v>3671</v>
      </c>
      <c r="E1278" s="110" t="s">
        <v>3527</v>
      </c>
      <c r="F1278" s="110" t="str">
        <f>IFERROR(VLOOKUP(C1278,[1]evdl298!$B:$D,3,0),"")</f>
        <v>E</v>
      </c>
      <c r="G1278" s="110">
        <f>IFERROR(VLOOKUP(C1278,[1]evdl298!$B:$C,2,0),"")</f>
        <v>41515</v>
      </c>
      <c r="H1278" s="110" t="str">
        <f t="shared" si="58"/>
        <v>E</v>
      </c>
      <c r="I1278" s="110">
        <f t="shared" si="59"/>
        <v>41515</v>
      </c>
      <c r="J1278" s="110"/>
      <c r="K1278" s="110"/>
      <c r="M1278" s="110"/>
      <c r="O1278" s="110"/>
    </row>
    <row r="1279" spans="1:15" x14ac:dyDescent="0.3">
      <c r="A1279" s="58" t="str">
        <f>Schedule!E1277</f>
        <v>A072470</v>
      </c>
      <c r="B1279" s="58" t="s">
        <v>2699</v>
      </c>
      <c r="C1279" s="58" t="str">
        <f t="shared" si="57"/>
        <v>072470 KS</v>
      </c>
      <c r="D1279" s="58" t="s">
        <v>3671</v>
      </c>
      <c r="E1279" s="110" t="s">
        <v>3527</v>
      </c>
      <c r="F1279" s="110" t="str">
        <f>IFERROR(VLOOKUP(C1279,[1]evdl298!$B:$D,3,0),"")</f>
        <v>E</v>
      </c>
      <c r="G1279" s="110">
        <f>IFERROR(VLOOKUP(C1279,[1]evdl298!$B:$C,2,0),"")</f>
        <v>41515</v>
      </c>
      <c r="H1279" s="110" t="str">
        <f t="shared" si="58"/>
        <v>E</v>
      </c>
      <c r="I1279" s="110">
        <f t="shared" si="59"/>
        <v>41515</v>
      </c>
      <c r="J1279" s="110"/>
      <c r="K1279" s="110"/>
      <c r="M1279" s="110"/>
      <c r="O1279" s="110"/>
    </row>
    <row r="1280" spans="1:15" x14ac:dyDescent="0.3">
      <c r="A1280" s="58" t="str">
        <f>Schedule!E1278</f>
        <v>A072520</v>
      </c>
      <c r="B1280" s="58" t="s">
        <v>2700</v>
      </c>
      <c r="C1280" s="58" t="str">
        <f t="shared" si="57"/>
        <v>072520 KS</v>
      </c>
      <c r="D1280" s="58" t="s">
        <v>3671</v>
      </c>
      <c r="E1280" s="110" t="s">
        <v>3527</v>
      </c>
      <c r="F1280" s="110" t="str">
        <f>IFERROR(VLOOKUP(C1280,[1]evdl298!$B:$D,3,0),"")</f>
        <v/>
      </c>
      <c r="G1280" s="110" t="str">
        <f>IFERROR(VLOOKUP(C1280,[1]evdl298!$B:$C,2,0),"")</f>
        <v/>
      </c>
      <c r="H1280" s="110" t="str">
        <f t="shared" si="58"/>
        <v/>
      </c>
      <c r="I1280" s="110" t="str">
        <f t="shared" si="59"/>
        <v/>
      </c>
      <c r="J1280" s="110"/>
      <c r="K1280" s="110"/>
      <c r="M1280" s="110"/>
      <c r="O1280" s="110"/>
    </row>
    <row r="1281" spans="1:15" x14ac:dyDescent="0.3">
      <c r="A1281" s="58" t="str">
        <f>Schedule!E1279</f>
        <v>A072710</v>
      </c>
      <c r="B1281" s="58" t="s">
        <v>2701</v>
      </c>
      <c r="C1281" s="58" t="str">
        <f t="shared" si="57"/>
        <v>072710 KS</v>
      </c>
      <c r="D1281" s="58" t="s">
        <v>3671</v>
      </c>
      <c r="E1281" s="110" t="s">
        <v>3527</v>
      </c>
      <c r="F1281" s="110" t="str">
        <f>IFERROR(VLOOKUP(C1281,[1]evdl298!$B:$D,3,0),"")</f>
        <v/>
      </c>
      <c r="G1281" s="110" t="str">
        <f>IFERROR(VLOOKUP(C1281,[1]evdl298!$B:$C,2,0),"")</f>
        <v/>
      </c>
      <c r="H1281" s="110" t="str">
        <f t="shared" si="58"/>
        <v/>
      </c>
      <c r="I1281" s="110" t="str">
        <f t="shared" si="59"/>
        <v/>
      </c>
      <c r="J1281" s="110"/>
      <c r="K1281" s="110"/>
      <c r="M1281" s="110"/>
      <c r="O1281" s="110"/>
    </row>
    <row r="1282" spans="1:15" x14ac:dyDescent="0.3">
      <c r="A1282" s="58" t="str">
        <f>Schedule!E1280</f>
        <v>A072770</v>
      </c>
      <c r="B1282" s="58" t="s">
        <v>2702</v>
      </c>
      <c r="C1282" s="58" t="str">
        <f t="shared" si="57"/>
        <v>072770 KS</v>
      </c>
      <c r="D1282" s="58" t="s">
        <v>3671</v>
      </c>
      <c r="E1282" s="110" t="s">
        <v>3527</v>
      </c>
      <c r="F1282" s="110" t="str">
        <f>IFERROR(VLOOKUP(C1282,[1]evdl298!$B:$D,3,0),"")</f>
        <v>E</v>
      </c>
      <c r="G1282" s="110">
        <f>IFERROR(VLOOKUP(C1282,[1]evdl298!$B:$C,2,0),"")</f>
        <v>41515</v>
      </c>
      <c r="H1282" s="110" t="str">
        <f t="shared" si="58"/>
        <v>E</v>
      </c>
      <c r="I1282" s="110">
        <f t="shared" si="59"/>
        <v>41515</v>
      </c>
      <c r="J1282" s="110"/>
      <c r="K1282" s="110"/>
      <c r="M1282" s="110"/>
      <c r="O1282" s="110"/>
    </row>
    <row r="1283" spans="1:15" x14ac:dyDescent="0.3">
      <c r="A1283" s="58" t="str">
        <f>Schedule!E1281</f>
        <v>A072870</v>
      </c>
      <c r="B1283" s="58" t="s">
        <v>2703</v>
      </c>
      <c r="C1283" s="58" t="str">
        <f t="shared" si="57"/>
        <v>072870 KS</v>
      </c>
      <c r="D1283" s="58" t="s">
        <v>3671</v>
      </c>
      <c r="E1283" s="110" t="s">
        <v>3527</v>
      </c>
      <c r="F1283" s="110" t="str">
        <f>IFERROR(VLOOKUP(C1283,[1]evdl298!$B:$D,3,0),"")</f>
        <v>E</v>
      </c>
      <c r="G1283" s="110">
        <f>IFERROR(VLOOKUP(C1283,[1]evdl298!$B:$C,2,0),"")</f>
        <v>41494</v>
      </c>
      <c r="H1283" s="110" t="str">
        <f t="shared" si="58"/>
        <v>E</v>
      </c>
      <c r="I1283" s="110">
        <f t="shared" si="59"/>
        <v>41494</v>
      </c>
      <c r="J1283" s="110"/>
      <c r="K1283" s="110"/>
      <c r="M1283" s="110"/>
      <c r="O1283" s="110"/>
    </row>
    <row r="1284" spans="1:15" x14ac:dyDescent="0.3">
      <c r="A1284" s="58" t="str">
        <f>Schedule!E1282</f>
        <v>A072950</v>
      </c>
      <c r="B1284" s="58" t="s">
        <v>2704</v>
      </c>
      <c r="C1284" s="58" t="str">
        <f t="shared" si="57"/>
        <v>072950 KS</v>
      </c>
      <c r="D1284" s="58" t="s">
        <v>3671</v>
      </c>
      <c r="E1284" s="110" t="s">
        <v>3527</v>
      </c>
      <c r="F1284" s="110" t="str">
        <f>IFERROR(VLOOKUP(C1284,[1]evdl298!$B:$D,3,0),"")</f>
        <v>E</v>
      </c>
      <c r="G1284" s="110">
        <f>IFERROR(VLOOKUP(C1284,[1]evdl298!$B:$C,2,0),"")</f>
        <v>41500</v>
      </c>
      <c r="H1284" s="110" t="str">
        <f t="shared" si="58"/>
        <v>E</v>
      </c>
      <c r="I1284" s="110">
        <f t="shared" si="59"/>
        <v>41500</v>
      </c>
      <c r="J1284" s="110"/>
      <c r="K1284" s="110"/>
      <c r="M1284" s="110"/>
      <c r="O1284" s="110"/>
    </row>
    <row r="1285" spans="1:15" x14ac:dyDescent="0.3">
      <c r="A1285" s="58" t="str">
        <f>Schedule!E1283</f>
        <v>A073010</v>
      </c>
      <c r="B1285" s="58" t="s">
        <v>3372</v>
      </c>
      <c r="C1285" s="58" t="str">
        <f t="shared" si="57"/>
        <v>073010 KS</v>
      </c>
      <c r="D1285" s="58" t="s">
        <v>3671</v>
      </c>
      <c r="E1285" s="110" t="s">
        <v>3527</v>
      </c>
      <c r="F1285" s="110" t="str">
        <f>IFERROR(VLOOKUP(C1285,[1]evdl298!$B:$D,3,0),"")</f>
        <v>E</v>
      </c>
      <c r="G1285" s="110">
        <f>IFERROR(VLOOKUP(C1285,[1]evdl298!$B:$C,2,0),"")</f>
        <v>41500</v>
      </c>
      <c r="H1285" s="110" t="str">
        <f t="shared" si="58"/>
        <v>E</v>
      </c>
      <c r="I1285" s="110">
        <f t="shared" si="59"/>
        <v>41500</v>
      </c>
      <c r="J1285" s="110"/>
      <c r="K1285" s="110"/>
      <c r="M1285" s="110"/>
      <c r="O1285" s="110"/>
    </row>
    <row r="1286" spans="1:15" x14ac:dyDescent="0.3">
      <c r="A1286" s="58" t="str">
        <f>Schedule!E1284</f>
        <v>A073070</v>
      </c>
      <c r="B1286" s="58" t="s">
        <v>2705</v>
      </c>
      <c r="C1286" s="58" t="str">
        <f t="shared" si="57"/>
        <v>073070 KS</v>
      </c>
      <c r="D1286" s="58" t="s">
        <v>3671</v>
      </c>
      <c r="E1286" s="110" t="s">
        <v>3527</v>
      </c>
      <c r="F1286" s="110" t="str">
        <f>IFERROR(VLOOKUP(C1286,[1]evdl298!$B:$D,3,0),"")</f>
        <v/>
      </c>
      <c r="G1286" s="110" t="str">
        <f>IFERROR(VLOOKUP(C1286,[1]evdl298!$B:$C,2,0),"")</f>
        <v/>
      </c>
      <c r="H1286" s="110" t="str">
        <f t="shared" si="58"/>
        <v/>
      </c>
      <c r="I1286" s="110" t="str">
        <f t="shared" si="59"/>
        <v/>
      </c>
      <c r="J1286" s="110"/>
      <c r="K1286" s="110"/>
      <c r="M1286" s="110"/>
      <c r="O1286" s="110"/>
    </row>
    <row r="1287" spans="1:15" x14ac:dyDescent="0.3">
      <c r="A1287" s="58" t="str">
        <f>Schedule!E1285</f>
        <v>A073110</v>
      </c>
      <c r="B1287" s="58" t="s">
        <v>2706</v>
      </c>
      <c r="C1287" s="58" t="str">
        <f t="shared" si="57"/>
        <v>073110 KS</v>
      </c>
      <c r="D1287" s="58" t="s">
        <v>3671</v>
      </c>
      <c r="E1287" s="110" t="s">
        <v>3527</v>
      </c>
      <c r="F1287" s="110" t="str">
        <f>IFERROR(VLOOKUP(C1287,[1]evdl298!$B:$D,3,0),"")</f>
        <v/>
      </c>
      <c r="G1287" s="110" t="str">
        <f>IFERROR(VLOOKUP(C1287,[1]evdl298!$B:$C,2,0),"")</f>
        <v/>
      </c>
      <c r="H1287" s="110" t="str">
        <f t="shared" si="58"/>
        <v/>
      </c>
      <c r="I1287" s="110" t="str">
        <f t="shared" si="59"/>
        <v/>
      </c>
      <c r="J1287" s="110"/>
      <c r="K1287" s="110"/>
      <c r="M1287" s="110"/>
      <c r="O1287" s="110"/>
    </row>
    <row r="1288" spans="1:15" x14ac:dyDescent="0.3">
      <c r="A1288" s="58" t="str">
        <f>Schedule!E1286</f>
        <v>A073190</v>
      </c>
      <c r="B1288" s="58" t="s">
        <v>2707</v>
      </c>
      <c r="C1288" s="58" t="str">
        <f t="shared" si="57"/>
        <v>073190 KS</v>
      </c>
      <c r="D1288" s="58" t="s">
        <v>3671</v>
      </c>
      <c r="E1288" s="110" t="s">
        <v>3527</v>
      </c>
      <c r="F1288" s="110" t="str">
        <f>IFERROR(VLOOKUP(C1288,[1]evdl298!$B:$D,3,0),"")</f>
        <v>E</v>
      </c>
      <c r="G1288" s="110">
        <f>IFERROR(VLOOKUP(C1288,[1]evdl298!$B:$C,2,0),"")</f>
        <v>41500</v>
      </c>
      <c r="H1288" s="110" t="str">
        <f t="shared" si="58"/>
        <v>E</v>
      </c>
      <c r="I1288" s="110">
        <f t="shared" si="59"/>
        <v>41500</v>
      </c>
      <c r="J1288" s="110"/>
      <c r="K1288" s="110"/>
      <c r="M1288" s="110"/>
      <c r="O1288" s="110"/>
    </row>
    <row r="1289" spans="1:15" x14ac:dyDescent="0.3">
      <c r="A1289" s="58" t="str">
        <f>Schedule!E1287</f>
        <v>A073240</v>
      </c>
      <c r="B1289" s="58" t="s">
        <v>2708</v>
      </c>
      <c r="C1289" s="58" t="str">
        <f t="shared" si="57"/>
        <v>073240 KS</v>
      </c>
      <c r="D1289" s="58" t="s">
        <v>3671</v>
      </c>
      <c r="E1289" s="110" t="s">
        <v>3527</v>
      </c>
      <c r="F1289" s="110" t="str">
        <f>IFERROR(VLOOKUP(C1289,[1]evdl298!$B:$D,3,0),"")</f>
        <v>E</v>
      </c>
      <c r="G1289" s="110">
        <f>IFERROR(VLOOKUP(C1289,[1]evdl298!$B:$C,2,0),"")</f>
        <v>41500</v>
      </c>
      <c r="H1289" s="110" t="str">
        <f t="shared" si="58"/>
        <v>E</v>
      </c>
      <c r="I1289" s="110">
        <f t="shared" si="59"/>
        <v>41500</v>
      </c>
      <c r="J1289" s="110"/>
      <c r="K1289" s="110"/>
      <c r="M1289" s="110"/>
      <c r="O1289" s="110"/>
    </row>
    <row r="1290" spans="1:15" x14ac:dyDescent="0.3">
      <c r="A1290" s="58" t="str">
        <f>Schedule!E1288</f>
        <v>A073490</v>
      </c>
      <c r="B1290" s="58" t="s">
        <v>2709</v>
      </c>
      <c r="C1290" s="58" t="str">
        <f t="shared" si="57"/>
        <v>073490 KS</v>
      </c>
      <c r="D1290" s="58" t="s">
        <v>3671</v>
      </c>
      <c r="E1290" s="110">
        <v>41500</v>
      </c>
      <c r="F1290" s="110" t="str">
        <f>IFERROR(VLOOKUP(C1290,[1]evdl298!$B:$D,3,0),"")</f>
        <v>E</v>
      </c>
      <c r="G1290" s="110">
        <f>IFERROR(VLOOKUP(C1290,[1]evdl298!$B:$C,2,0),"")</f>
        <v>41515</v>
      </c>
      <c r="H1290" s="110" t="str">
        <f t="shared" si="58"/>
        <v>E</v>
      </c>
      <c r="I1290" s="110">
        <f t="shared" si="59"/>
        <v>41515</v>
      </c>
      <c r="J1290" s="110"/>
      <c r="K1290" s="110"/>
      <c r="M1290" s="110"/>
      <c r="O1290" s="110"/>
    </row>
    <row r="1291" spans="1:15" x14ac:dyDescent="0.3">
      <c r="A1291" s="58" t="str">
        <f>Schedule!E1289</f>
        <v>A073540</v>
      </c>
      <c r="B1291" s="58" t="s">
        <v>3650</v>
      </c>
      <c r="C1291" s="58" t="str">
        <f t="shared" si="57"/>
        <v>073540 KS</v>
      </c>
      <c r="D1291" s="58" t="s">
        <v>3671</v>
      </c>
      <c r="E1291" s="110" t="s">
        <v>3527</v>
      </c>
      <c r="F1291" s="110" t="str">
        <f>IFERROR(VLOOKUP(C1291,[1]evdl298!$B:$D,3,0),"")</f>
        <v>E</v>
      </c>
      <c r="G1291" s="110">
        <f>IFERROR(VLOOKUP(C1291,[1]evdl298!$B:$C,2,0),"")</f>
        <v>41499</v>
      </c>
      <c r="H1291" s="110" t="str">
        <f t="shared" si="58"/>
        <v>E</v>
      </c>
      <c r="I1291" s="110">
        <f t="shared" si="59"/>
        <v>41499</v>
      </c>
      <c r="J1291" s="110"/>
      <c r="K1291" s="110"/>
      <c r="M1291" s="110"/>
      <c r="O1291" s="110"/>
    </row>
    <row r="1292" spans="1:15" x14ac:dyDescent="0.3">
      <c r="A1292" s="58" t="str">
        <f>Schedule!E1290</f>
        <v>A073570</v>
      </c>
      <c r="B1292" s="58" t="s">
        <v>2710</v>
      </c>
      <c r="C1292" s="58" t="str">
        <f t="shared" si="57"/>
        <v>073570 KS</v>
      </c>
      <c r="D1292" s="58" t="s">
        <v>3671</v>
      </c>
      <c r="E1292" s="110" t="s">
        <v>3527</v>
      </c>
      <c r="F1292" s="110" t="str">
        <f>IFERROR(VLOOKUP(C1292,[1]evdl298!$B:$D,3,0),"")</f>
        <v>E</v>
      </c>
      <c r="G1292" s="110">
        <f>IFERROR(VLOOKUP(C1292,[1]evdl298!$B:$C,2,0),"")</f>
        <v>41500</v>
      </c>
      <c r="H1292" s="110" t="str">
        <f t="shared" si="58"/>
        <v>E</v>
      </c>
      <c r="I1292" s="110">
        <f t="shared" si="59"/>
        <v>41500</v>
      </c>
      <c r="J1292" s="110"/>
      <c r="K1292" s="110"/>
      <c r="M1292" s="110"/>
      <c r="O1292" s="110"/>
    </row>
    <row r="1293" spans="1:15" x14ac:dyDescent="0.3">
      <c r="A1293" s="58" t="str">
        <f>Schedule!E1291</f>
        <v>A073640</v>
      </c>
      <c r="B1293" s="58" t="s">
        <v>2711</v>
      </c>
      <c r="C1293" s="58" t="str">
        <f t="shared" si="57"/>
        <v>073640 KS</v>
      </c>
      <c r="D1293" s="58" t="s">
        <v>3671</v>
      </c>
      <c r="E1293" s="110" t="s">
        <v>3527</v>
      </c>
      <c r="F1293" s="110" t="str">
        <f>IFERROR(VLOOKUP(C1293,[1]evdl298!$B:$D,3,0),"")</f>
        <v>E</v>
      </c>
      <c r="G1293" s="110">
        <f>IFERROR(VLOOKUP(C1293,[1]evdl298!$B:$C,2,0),"")</f>
        <v>41515</v>
      </c>
      <c r="H1293" s="110" t="str">
        <f t="shared" si="58"/>
        <v>E</v>
      </c>
      <c r="I1293" s="110">
        <f t="shared" si="59"/>
        <v>41515</v>
      </c>
      <c r="J1293" s="110"/>
      <c r="K1293" s="110"/>
      <c r="M1293" s="110"/>
      <c r="O1293" s="110"/>
    </row>
    <row r="1294" spans="1:15" x14ac:dyDescent="0.3">
      <c r="A1294" s="58" t="str">
        <f>Schedule!E1292</f>
        <v>A073930</v>
      </c>
      <c r="B1294" s="58" t="s">
        <v>2712</v>
      </c>
      <c r="C1294" s="58" t="str">
        <f t="shared" si="57"/>
        <v>073930 KS</v>
      </c>
      <c r="D1294" s="58" t="s">
        <v>3671</v>
      </c>
      <c r="E1294" s="110" t="s">
        <v>3527</v>
      </c>
      <c r="F1294" s="110" t="str">
        <f>IFERROR(VLOOKUP(C1294,[1]evdl298!$B:$D,3,0),"")</f>
        <v/>
      </c>
      <c r="G1294" s="110" t="str">
        <f>IFERROR(VLOOKUP(C1294,[1]evdl298!$B:$C,2,0),"")</f>
        <v/>
      </c>
      <c r="H1294" s="110" t="str">
        <f t="shared" si="58"/>
        <v/>
      </c>
      <c r="I1294" s="110" t="str">
        <f t="shared" si="59"/>
        <v/>
      </c>
      <c r="J1294" s="110"/>
      <c r="K1294" s="110"/>
      <c r="M1294" s="110"/>
      <c r="O1294" s="110"/>
    </row>
    <row r="1295" spans="1:15" x14ac:dyDescent="0.3">
      <c r="A1295" s="58" t="str">
        <f>Schedule!E1293</f>
        <v>A074000</v>
      </c>
      <c r="B1295" s="58" t="s">
        <v>2713</v>
      </c>
      <c r="C1295" s="58" t="str">
        <f t="shared" si="57"/>
        <v>074000 KS</v>
      </c>
      <c r="D1295" s="58" t="s">
        <v>3671</v>
      </c>
      <c r="E1295" s="110" t="s">
        <v>3527</v>
      </c>
      <c r="F1295" s="110" t="str">
        <f>IFERROR(VLOOKUP(C1295,[1]evdl298!$B:$D,3,0),"")</f>
        <v/>
      </c>
      <c r="G1295" s="110" t="str">
        <f>IFERROR(VLOOKUP(C1295,[1]evdl298!$B:$C,2,0),"")</f>
        <v/>
      </c>
      <c r="H1295" s="110" t="str">
        <f t="shared" si="58"/>
        <v/>
      </c>
      <c r="I1295" s="110" t="str">
        <f t="shared" si="59"/>
        <v/>
      </c>
      <c r="J1295" s="110"/>
      <c r="K1295" s="110"/>
      <c r="M1295" s="110"/>
      <c r="O1295" s="110"/>
    </row>
    <row r="1296" spans="1:15" x14ac:dyDescent="0.3">
      <c r="A1296" s="58" t="str">
        <f>Schedule!E1294</f>
        <v>A074130</v>
      </c>
      <c r="B1296" s="58" t="s">
        <v>2714</v>
      </c>
      <c r="C1296" s="58" t="str">
        <f t="shared" si="57"/>
        <v>074130 KS</v>
      </c>
      <c r="D1296" s="58" t="s">
        <v>3671</v>
      </c>
      <c r="E1296" s="110" t="s">
        <v>3527</v>
      </c>
      <c r="F1296" s="110" t="str">
        <f>IFERROR(VLOOKUP(C1296,[1]evdl298!$B:$D,3,0),"")</f>
        <v>E</v>
      </c>
      <c r="G1296" s="110">
        <f>IFERROR(VLOOKUP(C1296,[1]evdl298!$B:$C,2,0),"")</f>
        <v>41495</v>
      </c>
      <c r="H1296" s="110" t="str">
        <f t="shared" si="58"/>
        <v>E</v>
      </c>
      <c r="I1296" s="110">
        <f t="shared" si="59"/>
        <v>41495</v>
      </c>
      <c r="J1296" s="110"/>
      <c r="K1296" s="110"/>
      <c r="M1296" s="110"/>
      <c r="O1296" s="110"/>
    </row>
    <row r="1297" spans="1:15" x14ac:dyDescent="0.3">
      <c r="A1297" s="58" t="str">
        <f>Schedule!E1295</f>
        <v>A074150</v>
      </c>
      <c r="B1297" s="58" t="s">
        <v>2715</v>
      </c>
      <c r="C1297" s="58" t="str">
        <f t="shared" ref="C1297:C1360" si="60">RIGHT(A1297,6)&amp;" KS"</f>
        <v>074150 KS</v>
      </c>
      <c r="D1297" s="58" t="s">
        <v>3671</v>
      </c>
      <c r="E1297" s="110" t="s">
        <v>3527</v>
      </c>
      <c r="F1297" s="110" t="str">
        <f>IFERROR(VLOOKUP(C1297,[1]evdl298!$B:$D,3,0),"")</f>
        <v>E</v>
      </c>
      <c r="G1297" s="110">
        <f>IFERROR(VLOOKUP(C1297,[1]evdl298!$B:$C,2,0),"")</f>
        <v>41515</v>
      </c>
      <c r="H1297" s="110" t="str">
        <f t="shared" ref="H1297:H1360" si="61">F1297</f>
        <v>E</v>
      </c>
      <c r="I1297" s="110">
        <f t="shared" ref="I1297:I1360" si="62">IF(ISNUMBER(G1297),G1297,E1297)</f>
        <v>41515</v>
      </c>
      <c r="J1297" s="110"/>
      <c r="K1297" s="110"/>
      <c r="M1297" s="110"/>
      <c r="O1297" s="110"/>
    </row>
    <row r="1298" spans="1:15" x14ac:dyDescent="0.3">
      <c r="A1298" s="58" t="str">
        <f>Schedule!E1296</f>
        <v>A074430</v>
      </c>
      <c r="B1298" s="58" t="s">
        <v>2716</v>
      </c>
      <c r="C1298" s="58" t="str">
        <f t="shared" si="60"/>
        <v>074430 KS</v>
      </c>
      <c r="D1298" s="58" t="s">
        <v>3671</v>
      </c>
      <c r="E1298" s="110" t="s">
        <v>3527</v>
      </c>
      <c r="F1298" s="110" t="str">
        <f>IFERROR(VLOOKUP(C1298,[1]evdl298!$B:$D,3,0),"")</f>
        <v/>
      </c>
      <c r="G1298" s="110" t="str">
        <f>IFERROR(VLOOKUP(C1298,[1]evdl298!$B:$C,2,0),"")</f>
        <v/>
      </c>
      <c r="H1298" s="110" t="str">
        <f t="shared" si="61"/>
        <v/>
      </c>
      <c r="I1298" s="110" t="str">
        <f t="shared" si="62"/>
        <v/>
      </c>
      <c r="J1298" s="110"/>
      <c r="K1298" s="110"/>
      <c r="M1298" s="110"/>
      <c r="O1298" s="110"/>
    </row>
    <row r="1299" spans="1:15" x14ac:dyDescent="0.3">
      <c r="A1299" s="58" t="str">
        <f>Schedule!E1297</f>
        <v>A074600</v>
      </c>
      <c r="B1299" s="58" t="s">
        <v>2717</v>
      </c>
      <c r="C1299" s="58" t="str">
        <f t="shared" si="60"/>
        <v>074600 KS</v>
      </c>
      <c r="D1299" s="58" t="s">
        <v>3671</v>
      </c>
      <c r="E1299" s="110" t="s">
        <v>3527</v>
      </c>
      <c r="F1299" s="110" t="str">
        <f>IFERROR(VLOOKUP(C1299,[1]evdl298!$B:$D,3,0),"")</f>
        <v>E</v>
      </c>
      <c r="G1299" s="110">
        <f>IFERROR(VLOOKUP(C1299,[1]evdl298!$B:$C,2,0),"")</f>
        <v>41515</v>
      </c>
      <c r="H1299" s="110" t="str">
        <f t="shared" si="61"/>
        <v>E</v>
      </c>
      <c r="I1299" s="110">
        <f t="shared" si="62"/>
        <v>41515</v>
      </c>
      <c r="J1299" s="110"/>
      <c r="K1299" s="110"/>
      <c r="M1299" s="110"/>
      <c r="O1299" s="110"/>
    </row>
    <row r="1300" spans="1:15" x14ac:dyDescent="0.3">
      <c r="A1300" s="58" t="str">
        <f>Schedule!E1298</f>
        <v>A074610</v>
      </c>
      <c r="B1300" s="58" t="s">
        <v>3533</v>
      </c>
      <c r="C1300" s="58" t="str">
        <f t="shared" si="60"/>
        <v>074610 KS</v>
      </c>
      <c r="D1300" s="58" t="s">
        <v>3671</v>
      </c>
      <c r="E1300" s="110" t="s">
        <v>3527</v>
      </c>
      <c r="F1300" s="110" t="str">
        <f>IFERROR(VLOOKUP(C1300,[1]evdl298!$B:$D,3,0),"")</f>
        <v/>
      </c>
      <c r="G1300" s="110" t="str">
        <f>IFERROR(VLOOKUP(C1300,[1]evdl298!$B:$C,2,0),"")</f>
        <v/>
      </c>
      <c r="H1300" s="110" t="str">
        <f t="shared" si="61"/>
        <v/>
      </c>
      <c r="I1300" s="110" t="str">
        <f t="shared" si="62"/>
        <v/>
      </c>
      <c r="J1300" s="110"/>
      <c r="K1300" s="110"/>
      <c r="M1300" s="110"/>
      <c r="O1300" s="110"/>
    </row>
    <row r="1301" spans="1:15" x14ac:dyDescent="0.3">
      <c r="A1301" s="58" t="str">
        <f>Schedule!E1299</f>
        <v>A075130</v>
      </c>
      <c r="B1301" s="58" t="s">
        <v>2718</v>
      </c>
      <c r="C1301" s="58" t="str">
        <f t="shared" si="60"/>
        <v>075130 KS</v>
      </c>
      <c r="D1301" s="58" t="s">
        <v>3671</v>
      </c>
      <c r="E1301" s="110" t="s">
        <v>3527</v>
      </c>
      <c r="F1301" s="110" t="str">
        <f>IFERROR(VLOOKUP(C1301,[1]evdl298!$B:$D,3,0),"")</f>
        <v>E</v>
      </c>
      <c r="G1301" s="110">
        <f>IFERROR(VLOOKUP(C1301,[1]evdl298!$B:$C,2,0),"")</f>
        <v>41500</v>
      </c>
      <c r="H1301" s="110" t="str">
        <f t="shared" si="61"/>
        <v>E</v>
      </c>
      <c r="I1301" s="110">
        <f t="shared" si="62"/>
        <v>41500</v>
      </c>
      <c r="J1301" s="110"/>
      <c r="K1301" s="110"/>
      <c r="M1301" s="110"/>
      <c r="O1301" s="110"/>
    </row>
    <row r="1302" spans="1:15" x14ac:dyDescent="0.3">
      <c r="A1302" s="58" t="str">
        <f>Schedule!E1300</f>
        <v>A075180</v>
      </c>
      <c r="B1302" s="58" t="s">
        <v>2719</v>
      </c>
      <c r="C1302" s="58" t="str">
        <f t="shared" si="60"/>
        <v>075180 KS</v>
      </c>
      <c r="D1302" s="58" t="s">
        <v>3671</v>
      </c>
      <c r="E1302" s="110" t="s">
        <v>3527</v>
      </c>
      <c r="F1302" s="110" t="str">
        <f>IFERROR(VLOOKUP(C1302,[1]evdl298!$B:$D,3,0),"")</f>
        <v>E</v>
      </c>
      <c r="G1302" s="110">
        <f>IFERROR(VLOOKUP(C1302,[1]evdl298!$B:$C,2,0),"")</f>
        <v>41500</v>
      </c>
      <c r="H1302" s="110" t="str">
        <f t="shared" si="61"/>
        <v>E</v>
      </c>
      <c r="I1302" s="110">
        <f t="shared" si="62"/>
        <v>41500</v>
      </c>
      <c r="J1302" s="110"/>
      <c r="K1302" s="110"/>
      <c r="M1302" s="110"/>
      <c r="O1302" s="110"/>
    </row>
    <row r="1303" spans="1:15" x14ac:dyDescent="0.3">
      <c r="A1303" s="58" t="str">
        <f>Schedule!E1301</f>
        <v>A075970</v>
      </c>
      <c r="B1303" s="58" t="s">
        <v>2720</v>
      </c>
      <c r="C1303" s="58" t="str">
        <f t="shared" si="60"/>
        <v>075970 KS</v>
      </c>
      <c r="D1303" s="58" t="s">
        <v>3671</v>
      </c>
      <c r="E1303" s="110" t="s">
        <v>3527</v>
      </c>
      <c r="F1303" s="110" t="str">
        <f>IFERROR(VLOOKUP(C1303,[1]evdl298!$B:$D,3,0),"")</f>
        <v>E</v>
      </c>
      <c r="G1303" s="110">
        <f>IFERROR(VLOOKUP(C1303,[1]evdl298!$B:$C,2,0),"")</f>
        <v>41500</v>
      </c>
      <c r="H1303" s="110" t="str">
        <f t="shared" si="61"/>
        <v>E</v>
      </c>
      <c r="I1303" s="110">
        <f t="shared" si="62"/>
        <v>41500</v>
      </c>
      <c r="J1303" s="110"/>
      <c r="K1303" s="110"/>
      <c r="M1303" s="110"/>
      <c r="O1303" s="110"/>
    </row>
    <row r="1304" spans="1:15" x14ac:dyDescent="0.3">
      <c r="A1304" s="58" t="str">
        <f>Schedule!E1302</f>
        <v>A076080</v>
      </c>
      <c r="B1304" s="58" t="s">
        <v>2721</v>
      </c>
      <c r="C1304" s="58" t="str">
        <f t="shared" si="60"/>
        <v>076080 KS</v>
      </c>
      <c r="D1304" s="58" t="s">
        <v>3671</v>
      </c>
      <c r="E1304" s="110" t="s">
        <v>3527</v>
      </c>
      <c r="F1304" s="110" t="str">
        <f>IFERROR(VLOOKUP(C1304,[1]evdl298!$B:$D,3,0),"")</f>
        <v>E</v>
      </c>
      <c r="G1304" s="110">
        <f>IFERROR(VLOOKUP(C1304,[1]evdl298!$B:$C,2,0),"")</f>
        <v>41515</v>
      </c>
      <c r="H1304" s="110" t="str">
        <f t="shared" si="61"/>
        <v>E</v>
      </c>
      <c r="I1304" s="110">
        <f t="shared" si="62"/>
        <v>41515</v>
      </c>
      <c r="J1304" s="110"/>
      <c r="K1304" s="110"/>
      <c r="M1304" s="110"/>
      <c r="O1304" s="110"/>
    </row>
    <row r="1305" spans="1:15" x14ac:dyDescent="0.3">
      <c r="A1305" s="58" t="str">
        <f>Schedule!E1303</f>
        <v>A077280</v>
      </c>
      <c r="B1305" s="58" t="s">
        <v>2722</v>
      </c>
      <c r="C1305" s="58" t="str">
        <f t="shared" si="60"/>
        <v>077280 KS</v>
      </c>
      <c r="D1305" s="58" t="s">
        <v>3671</v>
      </c>
      <c r="E1305" s="110" t="s">
        <v>3527</v>
      </c>
      <c r="F1305" s="110" t="str">
        <f>IFERROR(VLOOKUP(C1305,[1]evdl298!$B:$D,3,0),"")</f>
        <v/>
      </c>
      <c r="G1305" s="110" t="str">
        <f>IFERROR(VLOOKUP(C1305,[1]evdl298!$B:$C,2,0),"")</f>
        <v/>
      </c>
      <c r="H1305" s="110" t="str">
        <f t="shared" si="61"/>
        <v/>
      </c>
      <c r="I1305" s="110" t="str">
        <f t="shared" si="62"/>
        <v/>
      </c>
      <c r="J1305" s="110"/>
      <c r="K1305" s="110"/>
      <c r="M1305" s="110"/>
      <c r="O1305" s="110"/>
    </row>
    <row r="1306" spans="1:15" x14ac:dyDescent="0.3">
      <c r="A1306" s="58" t="str">
        <f>Schedule!E1304</f>
        <v>A077360</v>
      </c>
      <c r="B1306" s="58" t="s">
        <v>2723</v>
      </c>
      <c r="C1306" s="58" t="str">
        <f t="shared" si="60"/>
        <v>077360 KS</v>
      </c>
      <c r="D1306" s="58" t="s">
        <v>3671</v>
      </c>
      <c r="E1306" s="110" t="s">
        <v>3527</v>
      </c>
      <c r="F1306" s="110" t="str">
        <f>IFERROR(VLOOKUP(C1306,[1]evdl298!$B:$D,3,0),"")</f>
        <v>E</v>
      </c>
      <c r="G1306" s="110">
        <f>IFERROR(VLOOKUP(C1306,[1]evdl298!$B:$C,2,0),"")</f>
        <v>41500</v>
      </c>
      <c r="H1306" s="110" t="str">
        <f t="shared" si="61"/>
        <v>E</v>
      </c>
      <c r="I1306" s="110">
        <f t="shared" si="62"/>
        <v>41500</v>
      </c>
      <c r="J1306" s="110"/>
      <c r="K1306" s="110"/>
      <c r="M1306" s="110"/>
      <c r="O1306" s="110"/>
    </row>
    <row r="1307" spans="1:15" x14ac:dyDescent="0.3">
      <c r="A1307" s="58" t="str">
        <f>Schedule!E1305</f>
        <v>A077500</v>
      </c>
      <c r="B1307" s="58" t="s">
        <v>2724</v>
      </c>
      <c r="C1307" s="58" t="str">
        <f t="shared" si="60"/>
        <v>077500 KS</v>
      </c>
      <c r="D1307" s="58" t="s">
        <v>3671</v>
      </c>
      <c r="E1307" s="110" t="s">
        <v>3684</v>
      </c>
      <c r="F1307" s="110" t="str">
        <f>IFERROR(VLOOKUP(C1307,[1]evdl298!$B:$D,3,0),"")</f>
        <v>E</v>
      </c>
      <c r="G1307" s="110">
        <f>IFERROR(VLOOKUP(C1307,[1]evdl298!$B:$C,2,0),"")</f>
        <v>41515</v>
      </c>
      <c r="H1307" s="110" t="str">
        <f t="shared" si="61"/>
        <v>E</v>
      </c>
      <c r="I1307" s="110">
        <f t="shared" si="62"/>
        <v>41515</v>
      </c>
      <c r="J1307" s="110"/>
      <c r="K1307" s="110"/>
      <c r="M1307" s="110"/>
      <c r="O1307" s="110"/>
    </row>
    <row r="1308" spans="1:15" x14ac:dyDescent="0.3">
      <c r="A1308" s="58" t="str">
        <f>Schedule!E1306</f>
        <v>A077970</v>
      </c>
      <c r="B1308" s="58" t="s">
        <v>2725</v>
      </c>
      <c r="C1308" s="58" t="str">
        <f t="shared" si="60"/>
        <v>077970 KS</v>
      </c>
      <c r="D1308" s="58" t="s">
        <v>3671</v>
      </c>
      <c r="E1308" s="110" t="s">
        <v>3527</v>
      </c>
      <c r="F1308" s="110" t="str">
        <f>IFERROR(VLOOKUP(C1308,[1]evdl298!$B:$D,3,0),"")</f>
        <v>E</v>
      </c>
      <c r="G1308" s="110">
        <f>IFERROR(VLOOKUP(C1308,[1]evdl298!$B:$C,2,0),"")</f>
        <v>41500</v>
      </c>
      <c r="H1308" s="110" t="str">
        <f t="shared" si="61"/>
        <v>E</v>
      </c>
      <c r="I1308" s="110">
        <f t="shared" si="62"/>
        <v>41500</v>
      </c>
      <c r="J1308" s="110"/>
      <c r="K1308" s="110"/>
      <c r="M1308" s="110"/>
      <c r="O1308" s="110"/>
    </row>
    <row r="1309" spans="1:15" x14ac:dyDescent="0.3">
      <c r="A1309" s="58" t="str">
        <f>Schedule!E1307</f>
        <v>A078000</v>
      </c>
      <c r="B1309" s="58" t="s">
        <v>2726</v>
      </c>
      <c r="C1309" s="58" t="str">
        <f t="shared" si="60"/>
        <v>078000 KS</v>
      </c>
      <c r="D1309" s="58" t="s">
        <v>3671</v>
      </c>
      <c r="E1309" s="110" t="s">
        <v>3527</v>
      </c>
      <c r="F1309" s="110" t="str">
        <f>IFERROR(VLOOKUP(C1309,[1]evdl298!$B:$D,3,0),"")</f>
        <v>E</v>
      </c>
      <c r="G1309" s="110">
        <f>IFERROR(VLOOKUP(C1309,[1]evdl298!$B:$C,2,0),"")</f>
        <v>41488</v>
      </c>
      <c r="H1309" s="110" t="str">
        <f t="shared" si="61"/>
        <v>E</v>
      </c>
      <c r="I1309" s="110">
        <f t="shared" si="62"/>
        <v>41488</v>
      </c>
      <c r="J1309" s="110"/>
      <c r="K1309" s="110"/>
      <c r="M1309" s="110"/>
      <c r="O1309" s="110"/>
    </row>
    <row r="1310" spans="1:15" x14ac:dyDescent="0.3">
      <c r="A1310" s="58" t="str">
        <f>Schedule!E1308</f>
        <v>A078020</v>
      </c>
      <c r="B1310" s="58" t="s">
        <v>2727</v>
      </c>
      <c r="C1310" s="58" t="str">
        <f t="shared" si="60"/>
        <v>078020 KS</v>
      </c>
      <c r="D1310" s="58" t="s">
        <v>3671</v>
      </c>
      <c r="E1310" s="110" t="s">
        <v>3527</v>
      </c>
      <c r="F1310" s="110" t="str">
        <f>IFERROR(VLOOKUP(C1310,[1]evdl298!$B:$D,3,0),"")</f>
        <v>E</v>
      </c>
      <c r="G1310" s="110">
        <f>IFERROR(VLOOKUP(C1310,[1]evdl298!$B:$C,2,0),"")</f>
        <v>41500</v>
      </c>
      <c r="H1310" s="110" t="str">
        <f t="shared" si="61"/>
        <v>E</v>
      </c>
      <c r="I1310" s="110">
        <f t="shared" si="62"/>
        <v>41500</v>
      </c>
      <c r="J1310" s="110"/>
      <c r="K1310" s="110"/>
      <c r="M1310" s="110"/>
      <c r="O1310" s="110"/>
    </row>
    <row r="1311" spans="1:15" x14ac:dyDescent="0.3">
      <c r="A1311" s="58" t="str">
        <f>Schedule!E1309</f>
        <v>A078070</v>
      </c>
      <c r="B1311" s="58" t="s">
        <v>2728</v>
      </c>
      <c r="C1311" s="58" t="str">
        <f t="shared" si="60"/>
        <v>078070 KS</v>
      </c>
      <c r="D1311" s="58" t="s">
        <v>3671</v>
      </c>
      <c r="E1311" s="110" t="s">
        <v>3527</v>
      </c>
      <c r="F1311" s="110" t="str">
        <f>IFERROR(VLOOKUP(C1311,[1]evdl298!$B:$D,3,0),"")</f>
        <v/>
      </c>
      <c r="G1311" s="110" t="str">
        <f>IFERROR(VLOOKUP(C1311,[1]evdl298!$B:$C,2,0),"")</f>
        <v/>
      </c>
      <c r="H1311" s="110" t="str">
        <f t="shared" si="61"/>
        <v/>
      </c>
      <c r="I1311" s="110" t="str">
        <f t="shared" si="62"/>
        <v/>
      </c>
      <c r="J1311" s="110"/>
      <c r="K1311" s="110"/>
      <c r="M1311" s="110"/>
      <c r="O1311" s="110"/>
    </row>
    <row r="1312" spans="1:15" x14ac:dyDescent="0.3">
      <c r="A1312" s="58" t="str">
        <f>Schedule!E1310</f>
        <v>A078130</v>
      </c>
      <c r="B1312" s="58" t="s">
        <v>2729</v>
      </c>
      <c r="C1312" s="58" t="str">
        <f t="shared" si="60"/>
        <v>078130 KS</v>
      </c>
      <c r="D1312" s="58" t="s">
        <v>3671</v>
      </c>
      <c r="E1312" s="110" t="s">
        <v>3527</v>
      </c>
      <c r="F1312" s="110" t="str">
        <f>IFERROR(VLOOKUP(C1312,[1]evdl298!$B:$D,3,0),"")</f>
        <v/>
      </c>
      <c r="G1312" s="110" t="str">
        <f>IFERROR(VLOOKUP(C1312,[1]evdl298!$B:$C,2,0),"")</f>
        <v/>
      </c>
      <c r="H1312" s="110" t="str">
        <f t="shared" si="61"/>
        <v/>
      </c>
      <c r="I1312" s="110" t="str">
        <f t="shared" si="62"/>
        <v/>
      </c>
      <c r="J1312" s="110"/>
      <c r="K1312" s="110"/>
      <c r="M1312" s="110"/>
      <c r="O1312" s="110"/>
    </row>
    <row r="1313" spans="1:15" x14ac:dyDescent="0.3">
      <c r="A1313" s="58" t="str">
        <f>Schedule!E1311</f>
        <v>A078140</v>
      </c>
      <c r="B1313" s="58" t="s">
        <v>2730</v>
      </c>
      <c r="C1313" s="58" t="str">
        <f t="shared" si="60"/>
        <v>078140 KS</v>
      </c>
      <c r="D1313" s="58" t="s">
        <v>3671</v>
      </c>
      <c r="E1313" s="110" t="s">
        <v>3527</v>
      </c>
      <c r="F1313" s="110" t="str">
        <f>IFERROR(VLOOKUP(C1313,[1]evdl298!$B:$D,3,0),"")</f>
        <v/>
      </c>
      <c r="G1313" s="110" t="str">
        <f>IFERROR(VLOOKUP(C1313,[1]evdl298!$B:$C,2,0),"")</f>
        <v/>
      </c>
      <c r="H1313" s="110" t="str">
        <f t="shared" si="61"/>
        <v/>
      </c>
      <c r="I1313" s="110" t="str">
        <f t="shared" si="62"/>
        <v/>
      </c>
      <c r="J1313" s="110"/>
      <c r="K1313" s="110"/>
      <c r="M1313" s="110"/>
      <c r="O1313" s="110"/>
    </row>
    <row r="1314" spans="1:15" x14ac:dyDescent="0.3">
      <c r="A1314" s="58" t="str">
        <f>Schedule!E1312</f>
        <v>A078150</v>
      </c>
      <c r="B1314" s="58" t="s">
        <v>2731</v>
      </c>
      <c r="C1314" s="58" t="str">
        <f t="shared" si="60"/>
        <v>078150 KS</v>
      </c>
      <c r="D1314" s="58" t="s">
        <v>3671</v>
      </c>
      <c r="E1314" s="110" t="s">
        <v>3527</v>
      </c>
      <c r="F1314" s="110" t="str">
        <f>IFERROR(VLOOKUP(C1314,[1]evdl298!$B:$D,3,0),"")</f>
        <v>E</v>
      </c>
      <c r="G1314" s="110">
        <f>IFERROR(VLOOKUP(C1314,[1]evdl298!$B:$C,2,0),"")</f>
        <v>41500</v>
      </c>
      <c r="H1314" s="110" t="str">
        <f t="shared" si="61"/>
        <v>E</v>
      </c>
      <c r="I1314" s="110">
        <f t="shared" si="62"/>
        <v>41500</v>
      </c>
      <c r="J1314" s="110"/>
      <c r="K1314" s="110"/>
      <c r="M1314" s="110"/>
      <c r="O1314" s="110"/>
    </row>
    <row r="1315" spans="1:15" x14ac:dyDescent="0.3">
      <c r="A1315" s="58" t="str">
        <f>Schedule!E1313</f>
        <v>A078160</v>
      </c>
      <c r="B1315" s="58" t="s">
        <v>2732</v>
      </c>
      <c r="C1315" s="58" t="str">
        <f t="shared" si="60"/>
        <v>078160 KS</v>
      </c>
      <c r="D1315" s="58" t="s">
        <v>3671</v>
      </c>
      <c r="E1315" s="110" t="s">
        <v>3527</v>
      </c>
      <c r="F1315" s="110" t="str">
        <f>IFERROR(VLOOKUP(C1315,[1]evdl298!$B:$D,3,0),"")</f>
        <v>E</v>
      </c>
      <c r="G1315" s="110">
        <f>IFERROR(VLOOKUP(C1315,[1]evdl298!$B:$C,2,0),"")</f>
        <v>41515</v>
      </c>
      <c r="H1315" s="110" t="str">
        <f t="shared" si="61"/>
        <v>E</v>
      </c>
      <c r="I1315" s="110">
        <f t="shared" si="62"/>
        <v>41515</v>
      </c>
      <c r="J1315" s="110"/>
      <c r="K1315" s="110"/>
      <c r="M1315" s="110"/>
      <c r="O1315" s="110"/>
    </row>
    <row r="1316" spans="1:15" x14ac:dyDescent="0.3">
      <c r="A1316" s="58" t="str">
        <f>Schedule!E1314</f>
        <v>A078340</v>
      </c>
      <c r="B1316" s="58" t="s">
        <v>2733</v>
      </c>
      <c r="C1316" s="58" t="str">
        <f t="shared" si="60"/>
        <v>078340 KS</v>
      </c>
      <c r="D1316" s="58" t="s">
        <v>3671</v>
      </c>
      <c r="E1316" s="110" t="s">
        <v>3527</v>
      </c>
      <c r="F1316" s="110" t="str">
        <f>IFERROR(VLOOKUP(C1316,[1]evdl298!$B:$D,3,0),"")</f>
        <v>E</v>
      </c>
      <c r="G1316" s="110">
        <f>IFERROR(VLOOKUP(C1316,[1]evdl298!$B:$C,2,0),"")</f>
        <v>41492</v>
      </c>
      <c r="H1316" s="110" t="str">
        <f t="shared" si="61"/>
        <v>E</v>
      </c>
      <c r="I1316" s="110">
        <f t="shared" si="62"/>
        <v>41492</v>
      </c>
      <c r="J1316" s="110"/>
      <c r="K1316" s="110"/>
      <c r="M1316" s="110"/>
      <c r="O1316" s="110"/>
    </row>
    <row r="1317" spans="1:15" x14ac:dyDescent="0.3">
      <c r="A1317" s="58" t="str">
        <f>Schedule!E1315</f>
        <v>A078350</v>
      </c>
      <c r="B1317" s="58" t="s">
        <v>2734</v>
      </c>
      <c r="C1317" s="58" t="str">
        <f t="shared" si="60"/>
        <v>078350 KS</v>
      </c>
      <c r="D1317" s="58" t="s">
        <v>3671</v>
      </c>
      <c r="E1317" s="110" t="s">
        <v>3700</v>
      </c>
      <c r="F1317" s="110" t="str">
        <f>IFERROR(VLOOKUP(C1317,[1]evdl298!$B:$D,3,0),"")</f>
        <v/>
      </c>
      <c r="G1317" s="110" t="str">
        <f>IFERROR(VLOOKUP(C1317,[1]evdl298!$B:$C,2,0),"")</f>
        <v/>
      </c>
      <c r="H1317" s="110" t="str">
        <f t="shared" si="61"/>
        <v/>
      </c>
      <c r="I1317" s="110" t="str">
        <f t="shared" si="62"/>
        <v>2013-08-06</v>
      </c>
      <c r="J1317" s="110"/>
      <c r="K1317" s="110"/>
      <c r="M1317" s="110"/>
      <c r="O1317" s="110"/>
    </row>
    <row r="1318" spans="1:15" x14ac:dyDescent="0.3">
      <c r="A1318" s="58" t="str">
        <f>Schedule!E1316</f>
        <v>A078520</v>
      </c>
      <c r="B1318" s="58" t="s">
        <v>2735</v>
      </c>
      <c r="C1318" s="58" t="str">
        <f t="shared" si="60"/>
        <v>078520 KS</v>
      </c>
      <c r="D1318" s="58" t="s">
        <v>3671</v>
      </c>
      <c r="E1318" s="110" t="s">
        <v>3527</v>
      </c>
      <c r="F1318" s="110" t="str">
        <f>IFERROR(VLOOKUP(C1318,[1]evdl298!$B:$D,3,0),"")</f>
        <v>E</v>
      </c>
      <c r="G1318" s="110">
        <f>IFERROR(VLOOKUP(C1318,[1]evdl298!$B:$C,2,0),"")</f>
        <v>41515</v>
      </c>
      <c r="H1318" s="110" t="str">
        <f t="shared" si="61"/>
        <v>E</v>
      </c>
      <c r="I1318" s="110">
        <f t="shared" si="62"/>
        <v>41515</v>
      </c>
      <c r="J1318" s="110"/>
      <c r="K1318" s="110"/>
      <c r="M1318" s="110"/>
      <c r="O1318" s="110"/>
    </row>
    <row r="1319" spans="1:15" x14ac:dyDescent="0.3">
      <c r="A1319" s="58" t="str">
        <f>Schedule!E1317</f>
        <v>A078590</v>
      </c>
      <c r="B1319" s="58" t="s">
        <v>2736</v>
      </c>
      <c r="C1319" s="58" t="str">
        <f t="shared" si="60"/>
        <v>078590 KS</v>
      </c>
      <c r="D1319" s="58" t="s">
        <v>3671</v>
      </c>
      <c r="E1319" s="110" t="s">
        <v>3527</v>
      </c>
      <c r="F1319" s="110" t="str">
        <f>IFERROR(VLOOKUP(C1319,[1]evdl298!$B:$D,3,0),"")</f>
        <v>E</v>
      </c>
      <c r="G1319" s="110">
        <f>IFERROR(VLOOKUP(C1319,[1]evdl298!$B:$C,2,0),"")</f>
        <v>41500</v>
      </c>
      <c r="H1319" s="110" t="str">
        <f t="shared" si="61"/>
        <v>E</v>
      </c>
      <c r="I1319" s="110">
        <f t="shared" si="62"/>
        <v>41500</v>
      </c>
      <c r="J1319" s="110"/>
      <c r="K1319" s="110"/>
      <c r="M1319" s="110"/>
      <c r="O1319" s="110"/>
    </row>
    <row r="1320" spans="1:15" x14ac:dyDescent="0.3">
      <c r="A1320" s="58" t="str">
        <f>Schedule!E1318</f>
        <v>A078600</v>
      </c>
      <c r="B1320" s="58" t="s">
        <v>2737</v>
      </c>
      <c r="C1320" s="58" t="str">
        <f t="shared" si="60"/>
        <v>078600 KS</v>
      </c>
      <c r="D1320" s="58" t="s">
        <v>3671</v>
      </c>
      <c r="E1320" s="110" t="s">
        <v>3527</v>
      </c>
      <c r="F1320" s="110" t="str">
        <f>IFERROR(VLOOKUP(C1320,[1]evdl298!$B:$D,3,0),"")</f>
        <v>E</v>
      </c>
      <c r="G1320" s="110">
        <f>IFERROR(VLOOKUP(C1320,[1]evdl298!$B:$C,2,0),"")</f>
        <v>41493</v>
      </c>
      <c r="H1320" s="110" t="str">
        <f t="shared" si="61"/>
        <v>E</v>
      </c>
      <c r="I1320" s="110">
        <f t="shared" si="62"/>
        <v>41493</v>
      </c>
      <c r="J1320" s="110"/>
      <c r="K1320" s="110"/>
      <c r="M1320" s="110"/>
      <c r="O1320" s="110"/>
    </row>
    <row r="1321" spans="1:15" x14ac:dyDescent="0.3">
      <c r="A1321" s="58" t="str">
        <f>Schedule!E1319</f>
        <v>A078650</v>
      </c>
      <c r="B1321" s="58" t="s">
        <v>2738</v>
      </c>
      <c r="C1321" s="58" t="str">
        <f t="shared" si="60"/>
        <v>078650 KS</v>
      </c>
      <c r="D1321" s="58" t="s">
        <v>3671</v>
      </c>
      <c r="E1321" s="110" t="s">
        <v>3527</v>
      </c>
      <c r="F1321" s="110" t="str">
        <f>IFERROR(VLOOKUP(C1321,[1]evdl298!$B:$D,3,0),"")</f>
        <v/>
      </c>
      <c r="G1321" s="110" t="str">
        <f>IFERROR(VLOOKUP(C1321,[1]evdl298!$B:$C,2,0),"")</f>
        <v/>
      </c>
      <c r="H1321" s="110" t="str">
        <f t="shared" si="61"/>
        <v/>
      </c>
      <c r="I1321" s="110" t="str">
        <f t="shared" si="62"/>
        <v/>
      </c>
      <c r="J1321" s="110"/>
      <c r="K1321" s="110"/>
      <c r="M1321" s="110"/>
      <c r="O1321" s="110"/>
    </row>
    <row r="1322" spans="1:15" x14ac:dyDescent="0.3">
      <c r="A1322" s="58" t="str">
        <f>Schedule!E1320</f>
        <v>A078780</v>
      </c>
      <c r="B1322" s="58" t="s">
        <v>3373</v>
      </c>
      <c r="C1322" s="58" t="str">
        <f t="shared" si="60"/>
        <v>078780 KS</v>
      </c>
      <c r="D1322" s="58" t="s">
        <v>3671</v>
      </c>
      <c r="E1322" s="110" t="s">
        <v>3527</v>
      </c>
      <c r="F1322" s="110" t="str">
        <f>IFERROR(VLOOKUP(C1322,[1]evdl298!$B:$D,3,0),"")</f>
        <v/>
      </c>
      <c r="G1322" s="110" t="str">
        <f>IFERROR(VLOOKUP(C1322,[1]evdl298!$B:$C,2,0),"")</f>
        <v/>
      </c>
      <c r="H1322" s="110" t="str">
        <f t="shared" si="61"/>
        <v/>
      </c>
      <c r="I1322" s="110" t="str">
        <f t="shared" si="62"/>
        <v/>
      </c>
      <c r="J1322" s="110"/>
      <c r="K1322" s="110"/>
      <c r="M1322" s="110"/>
      <c r="O1322" s="110"/>
    </row>
    <row r="1323" spans="1:15" x14ac:dyDescent="0.3">
      <c r="A1323" s="58" t="str">
        <f>Schedule!E1321</f>
        <v>A078860</v>
      </c>
      <c r="B1323" s="58" t="s">
        <v>2739</v>
      </c>
      <c r="C1323" s="58" t="str">
        <f t="shared" si="60"/>
        <v>078860 KS</v>
      </c>
      <c r="D1323" s="58" t="s">
        <v>3671</v>
      </c>
      <c r="E1323" s="110" t="s">
        <v>3527</v>
      </c>
      <c r="F1323" s="110" t="str">
        <f>IFERROR(VLOOKUP(C1323,[1]evdl298!$B:$D,3,0),"")</f>
        <v>E</v>
      </c>
      <c r="G1323" s="110">
        <f>IFERROR(VLOOKUP(C1323,[1]evdl298!$B:$C,2,0),"")</f>
        <v>41460</v>
      </c>
      <c r="H1323" s="110" t="str">
        <f t="shared" si="61"/>
        <v>E</v>
      </c>
      <c r="I1323" s="110">
        <f t="shared" si="62"/>
        <v>41460</v>
      </c>
      <c r="J1323" s="110"/>
      <c r="K1323" s="110"/>
      <c r="M1323" s="110"/>
      <c r="O1323" s="110"/>
    </row>
    <row r="1324" spans="1:15" x14ac:dyDescent="0.3">
      <c r="A1324" s="58" t="str">
        <f>Schedule!E1322</f>
        <v>A078890</v>
      </c>
      <c r="B1324" s="58" t="s">
        <v>2740</v>
      </c>
      <c r="C1324" s="58" t="str">
        <f t="shared" si="60"/>
        <v>078890 KS</v>
      </c>
      <c r="D1324" s="58" t="s">
        <v>3671</v>
      </c>
      <c r="E1324" s="110" t="s">
        <v>3527</v>
      </c>
      <c r="F1324" s="110" t="str">
        <f>IFERROR(VLOOKUP(C1324,[1]evdl298!$B:$D,3,0),"")</f>
        <v>E</v>
      </c>
      <c r="G1324" s="110">
        <f>IFERROR(VLOOKUP(C1324,[1]evdl298!$B:$C,2,0),"")</f>
        <v>41515</v>
      </c>
      <c r="H1324" s="110" t="str">
        <f t="shared" si="61"/>
        <v>E</v>
      </c>
      <c r="I1324" s="110">
        <f t="shared" si="62"/>
        <v>41515</v>
      </c>
      <c r="J1324" s="110"/>
      <c r="K1324" s="110"/>
      <c r="M1324" s="110"/>
      <c r="O1324" s="110"/>
    </row>
    <row r="1325" spans="1:15" x14ac:dyDescent="0.3">
      <c r="A1325" s="58" t="str">
        <f>Schedule!E1323</f>
        <v>A078930</v>
      </c>
      <c r="B1325" s="58" t="s">
        <v>2741</v>
      </c>
      <c r="C1325" s="58" t="str">
        <f t="shared" si="60"/>
        <v>078930 KS</v>
      </c>
      <c r="D1325" s="58" t="s">
        <v>3671</v>
      </c>
      <c r="E1325" s="110" t="s">
        <v>3675</v>
      </c>
      <c r="F1325" s="110" t="str">
        <f>IFERROR(VLOOKUP(C1325,[1]evdl298!$B:$D,3,0),"")</f>
        <v>E</v>
      </c>
      <c r="G1325" s="110">
        <f>IFERROR(VLOOKUP(C1325,[1]evdl298!$B:$C,2,0),"")</f>
        <v>41500</v>
      </c>
      <c r="H1325" s="110" t="str">
        <f t="shared" si="61"/>
        <v>E</v>
      </c>
      <c r="I1325" s="110">
        <f t="shared" si="62"/>
        <v>41500</v>
      </c>
      <c r="J1325" s="110"/>
      <c r="K1325" s="110"/>
      <c r="M1325" s="110"/>
      <c r="O1325" s="110"/>
    </row>
    <row r="1326" spans="1:15" x14ac:dyDescent="0.3">
      <c r="A1326" s="58" t="str">
        <f>Schedule!E1324</f>
        <v>A078940</v>
      </c>
      <c r="B1326" s="58" t="s">
        <v>2742</v>
      </c>
      <c r="C1326" s="58" t="str">
        <f t="shared" si="60"/>
        <v>078940 KS</v>
      </c>
      <c r="D1326" s="58" t="s">
        <v>3671</v>
      </c>
      <c r="E1326" s="110" t="s">
        <v>3683</v>
      </c>
      <c r="F1326" s="110" t="str">
        <f>IFERROR(VLOOKUP(C1326,[1]evdl298!$B:$D,3,0),"")</f>
        <v>E</v>
      </c>
      <c r="G1326" s="110">
        <f>IFERROR(VLOOKUP(C1326,[1]evdl298!$B:$C,2,0),"")</f>
        <v>41515</v>
      </c>
      <c r="H1326" s="110" t="str">
        <f t="shared" si="61"/>
        <v>E</v>
      </c>
      <c r="I1326" s="110">
        <f t="shared" si="62"/>
        <v>41515</v>
      </c>
      <c r="J1326" s="110"/>
      <c r="K1326" s="110"/>
      <c r="M1326" s="110"/>
      <c r="O1326" s="110"/>
    </row>
    <row r="1327" spans="1:15" x14ac:dyDescent="0.3">
      <c r="A1327" s="58" t="str">
        <f>Schedule!E1325</f>
        <v>A079000</v>
      </c>
      <c r="B1327" s="58" t="s">
        <v>2743</v>
      </c>
      <c r="C1327" s="58" t="str">
        <f t="shared" si="60"/>
        <v>079000 KS</v>
      </c>
      <c r="D1327" s="58" t="s">
        <v>3671</v>
      </c>
      <c r="E1327" s="110" t="s">
        <v>3527</v>
      </c>
      <c r="F1327" s="110" t="str">
        <f>IFERROR(VLOOKUP(C1327,[1]evdl298!$B:$D,3,0),"")</f>
        <v>E</v>
      </c>
      <c r="G1327" s="110">
        <f>IFERROR(VLOOKUP(C1327,[1]evdl298!$B:$C,2,0),"")</f>
        <v>41495</v>
      </c>
      <c r="H1327" s="110" t="str">
        <f t="shared" si="61"/>
        <v>E</v>
      </c>
      <c r="I1327" s="110">
        <f t="shared" si="62"/>
        <v>41495</v>
      </c>
      <c r="J1327" s="110"/>
      <c r="K1327" s="110"/>
      <c r="M1327" s="110"/>
      <c r="O1327" s="110"/>
    </row>
    <row r="1328" spans="1:15" x14ac:dyDescent="0.3">
      <c r="A1328" s="58" t="str">
        <f>Schedule!E1326</f>
        <v>A079160</v>
      </c>
      <c r="B1328" s="58" t="s">
        <v>2744</v>
      </c>
      <c r="C1328" s="58" t="str">
        <f t="shared" si="60"/>
        <v>079160 KS</v>
      </c>
      <c r="D1328" s="58" t="s">
        <v>3671</v>
      </c>
      <c r="E1328" s="110" t="s">
        <v>3527</v>
      </c>
      <c r="F1328" s="110" t="str">
        <f>IFERROR(VLOOKUP(C1328,[1]evdl298!$B:$D,3,0),"")</f>
        <v>E</v>
      </c>
      <c r="G1328" s="110">
        <f>IFERROR(VLOOKUP(C1328,[1]evdl298!$B:$C,2,0),"")</f>
        <v>41515</v>
      </c>
      <c r="H1328" s="110" t="str">
        <f t="shared" si="61"/>
        <v>E</v>
      </c>
      <c r="I1328" s="110">
        <f t="shared" si="62"/>
        <v>41515</v>
      </c>
      <c r="J1328" s="110"/>
      <c r="K1328" s="110"/>
      <c r="M1328" s="110"/>
      <c r="O1328" s="110"/>
    </row>
    <row r="1329" spans="1:15" x14ac:dyDescent="0.3">
      <c r="A1329" s="58" t="str">
        <f>Schedule!E1327</f>
        <v>A079170</v>
      </c>
      <c r="B1329" s="58" t="s">
        <v>2745</v>
      </c>
      <c r="C1329" s="58" t="str">
        <f t="shared" si="60"/>
        <v>079170 KS</v>
      </c>
      <c r="D1329" s="58" t="s">
        <v>3671</v>
      </c>
      <c r="E1329" s="110" t="s">
        <v>3700</v>
      </c>
      <c r="F1329" s="110" t="str">
        <f>IFERROR(VLOOKUP(C1329,[1]evdl298!$B:$D,3,0),"")</f>
        <v>E</v>
      </c>
      <c r="G1329" s="110">
        <f>IFERROR(VLOOKUP(C1329,[1]evdl298!$B:$C,2,0),"")</f>
        <v>41499</v>
      </c>
      <c r="H1329" s="110" t="str">
        <f t="shared" si="61"/>
        <v>E</v>
      </c>
      <c r="I1329" s="110">
        <f t="shared" si="62"/>
        <v>41499</v>
      </c>
      <c r="J1329" s="110"/>
      <c r="K1329" s="110"/>
      <c r="M1329" s="110"/>
      <c r="O1329" s="110"/>
    </row>
    <row r="1330" spans="1:15" x14ac:dyDescent="0.3">
      <c r="A1330" s="58" t="str">
        <f>Schedule!E1328</f>
        <v>A079190</v>
      </c>
      <c r="B1330" s="58" t="s">
        <v>2746</v>
      </c>
      <c r="C1330" s="58" t="str">
        <f t="shared" si="60"/>
        <v>079190 KS</v>
      </c>
      <c r="D1330" s="58" t="s">
        <v>3671</v>
      </c>
      <c r="E1330" s="110" t="s">
        <v>3527</v>
      </c>
      <c r="F1330" s="110" t="str">
        <f>IFERROR(VLOOKUP(C1330,[1]evdl298!$B:$D,3,0),"")</f>
        <v/>
      </c>
      <c r="G1330" s="110" t="str">
        <f>IFERROR(VLOOKUP(C1330,[1]evdl298!$B:$C,2,0),"")</f>
        <v/>
      </c>
      <c r="H1330" s="110" t="str">
        <f t="shared" si="61"/>
        <v/>
      </c>
      <c r="I1330" s="110" t="str">
        <f t="shared" si="62"/>
        <v/>
      </c>
      <c r="J1330" s="110"/>
      <c r="K1330" s="110"/>
      <c r="M1330" s="110"/>
      <c r="O1330" s="110"/>
    </row>
    <row r="1331" spans="1:15" x14ac:dyDescent="0.3">
      <c r="A1331" s="58" t="str">
        <f>Schedule!E1329</f>
        <v>A079370</v>
      </c>
      <c r="B1331" s="58" t="s">
        <v>2747</v>
      </c>
      <c r="C1331" s="58" t="str">
        <f t="shared" si="60"/>
        <v>079370 KS</v>
      </c>
      <c r="D1331" s="58" t="s">
        <v>3671</v>
      </c>
      <c r="E1331" s="110" t="s">
        <v>3527</v>
      </c>
      <c r="F1331" s="110" t="str">
        <f>IFERROR(VLOOKUP(C1331,[1]evdl298!$B:$D,3,0),"")</f>
        <v/>
      </c>
      <c r="G1331" s="110" t="str">
        <f>IFERROR(VLOOKUP(C1331,[1]evdl298!$B:$C,2,0),"")</f>
        <v/>
      </c>
      <c r="H1331" s="110" t="str">
        <f t="shared" si="61"/>
        <v/>
      </c>
      <c r="I1331" s="110" t="str">
        <f t="shared" si="62"/>
        <v/>
      </c>
      <c r="J1331" s="110"/>
      <c r="K1331" s="110"/>
      <c r="M1331" s="110"/>
      <c r="O1331" s="110"/>
    </row>
    <row r="1332" spans="1:15" x14ac:dyDescent="0.3">
      <c r="A1332" s="58" t="str">
        <f>Schedule!E1330</f>
        <v>A079430</v>
      </c>
      <c r="B1332" s="58" t="s">
        <v>2748</v>
      </c>
      <c r="C1332" s="58" t="str">
        <f t="shared" si="60"/>
        <v>079430 KS</v>
      </c>
      <c r="D1332" s="58" t="s">
        <v>3671</v>
      </c>
      <c r="E1332" s="110" t="s">
        <v>3527</v>
      </c>
      <c r="F1332" s="110" t="str">
        <f>IFERROR(VLOOKUP(C1332,[1]evdl298!$B:$D,3,0),"")</f>
        <v/>
      </c>
      <c r="G1332" s="110" t="str">
        <f>IFERROR(VLOOKUP(C1332,[1]evdl298!$B:$C,2,0),"")</f>
        <v/>
      </c>
      <c r="H1332" s="110" t="str">
        <f t="shared" si="61"/>
        <v/>
      </c>
      <c r="I1332" s="110" t="str">
        <f t="shared" si="62"/>
        <v/>
      </c>
      <c r="J1332" s="110"/>
      <c r="K1332" s="110"/>
      <c r="M1332" s="110"/>
      <c r="O1332" s="110"/>
    </row>
    <row r="1333" spans="1:15" x14ac:dyDescent="0.3">
      <c r="A1333" s="58" t="str">
        <f>Schedule!E1331</f>
        <v>A079650</v>
      </c>
      <c r="B1333" s="58" t="s">
        <v>2749</v>
      </c>
      <c r="C1333" s="58" t="str">
        <f t="shared" si="60"/>
        <v>079650 KS</v>
      </c>
      <c r="D1333" s="58" t="s">
        <v>3671</v>
      </c>
      <c r="E1333" s="110" t="s">
        <v>3527</v>
      </c>
      <c r="F1333" s="110" t="str">
        <f>IFERROR(VLOOKUP(C1333,[1]evdl298!$B:$D,3,0),"")</f>
        <v/>
      </c>
      <c r="G1333" s="110" t="str">
        <f>IFERROR(VLOOKUP(C1333,[1]evdl298!$B:$C,2,0),"")</f>
        <v/>
      </c>
      <c r="H1333" s="110" t="str">
        <f t="shared" si="61"/>
        <v/>
      </c>
      <c r="I1333" s="110" t="str">
        <f t="shared" si="62"/>
        <v/>
      </c>
      <c r="J1333" s="110"/>
      <c r="K1333" s="110"/>
      <c r="M1333" s="110"/>
      <c r="O1333" s="110"/>
    </row>
    <row r="1334" spans="1:15" x14ac:dyDescent="0.3">
      <c r="A1334" s="58" t="str">
        <f>Schedule!E1332</f>
        <v>A079660</v>
      </c>
      <c r="B1334" s="58" t="s">
        <v>2750</v>
      </c>
      <c r="C1334" s="58" t="str">
        <f t="shared" si="60"/>
        <v>079660 KS</v>
      </c>
      <c r="D1334" s="58" t="s">
        <v>3671</v>
      </c>
      <c r="E1334" s="110" t="s">
        <v>3527</v>
      </c>
      <c r="F1334" s="110" t="str">
        <f>IFERROR(VLOOKUP(C1334,[1]evdl298!$B:$D,3,0),"")</f>
        <v/>
      </c>
      <c r="G1334" s="110" t="str">
        <f>IFERROR(VLOOKUP(C1334,[1]evdl298!$B:$C,2,0),"")</f>
        <v/>
      </c>
      <c r="H1334" s="110" t="str">
        <f t="shared" si="61"/>
        <v/>
      </c>
      <c r="I1334" s="110" t="str">
        <f t="shared" si="62"/>
        <v/>
      </c>
      <c r="J1334" s="110"/>
      <c r="K1334" s="110"/>
      <c r="M1334" s="110"/>
      <c r="O1334" s="110"/>
    </row>
    <row r="1335" spans="1:15" x14ac:dyDescent="0.3">
      <c r="A1335" s="58" t="str">
        <f>Schedule!E1333</f>
        <v>A079810</v>
      </c>
      <c r="B1335" s="58" t="s">
        <v>2751</v>
      </c>
      <c r="C1335" s="58" t="str">
        <f t="shared" si="60"/>
        <v>079810 KS</v>
      </c>
      <c r="D1335" s="58" t="s">
        <v>3671</v>
      </c>
      <c r="E1335" s="110" t="s">
        <v>3527</v>
      </c>
      <c r="F1335" s="110" t="str">
        <f>IFERROR(VLOOKUP(C1335,[1]evdl298!$B:$D,3,0),"")</f>
        <v>E</v>
      </c>
      <c r="G1335" s="110">
        <f>IFERROR(VLOOKUP(C1335,[1]evdl298!$B:$C,2,0),"")</f>
        <v>41460</v>
      </c>
      <c r="H1335" s="110" t="str">
        <f t="shared" si="61"/>
        <v>E</v>
      </c>
      <c r="I1335" s="110">
        <f t="shared" si="62"/>
        <v>41460</v>
      </c>
      <c r="J1335" s="110"/>
      <c r="K1335" s="110"/>
      <c r="M1335" s="110"/>
      <c r="O1335" s="110"/>
    </row>
    <row r="1336" spans="1:15" x14ac:dyDescent="0.3">
      <c r="A1336" s="58" t="str">
        <f>Schedule!E1334</f>
        <v>A079940</v>
      </c>
      <c r="B1336" s="58" t="s">
        <v>2752</v>
      </c>
      <c r="C1336" s="58" t="str">
        <f t="shared" si="60"/>
        <v>079940 KS</v>
      </c>
      <c r="D1336" s="58" t="s">
        <v>3671</v>
      </c>
      <c r="E1336" s="110" t="s">
        <v>3527</v>
      </c>
      <c r="F1336" s="110" t="str">
        <f>IFERROR(VLOOKUP(C1336,[1]evdl298!$B:$D,3,0),"")</f>
        <v>E</v>
      </c>
      <c r="G1336" s="110">
        <f>IFERROR(VLOOKUP(C1336,[1]evdl298!$B:$C,2,0),"")</f>
        <v>41500</v>
      </c>
      <c r="H1336" s="110" t="str">
        <f t="shared" si="61"/>
        <v>E</v>
      </c>
      <c r="I1336" s="110">
        <f t="shared" si="62"/>
        <v>41500</v>
      </c>
      <c r="J1336" s="110"/>
      <c r="K1336" s="110"/>
      <c r="M1336" s="110"/>
      <c r="O1336" s="110"/>
    </row>
    <row r="1337" spans="1:15" x14ac:dyDescent="0.3">
      <c r="A1337" s="58" t="str">
        <f>Schedule!E1335</f>
        <v>A079950</v>
      </c>
      <c r="B1337" s="58" t="s">
        <v>2753</v>
      </c>
      <c r="C1337" s="58" t="str">
        <f t="shared" si="60"/>
        <v>079950 KS</v>
      </c>
      <c r="D1337" s="58" t="s">
        <v>3671</v>
      </c>
      <c r="E1337" s="110" t="s">
        <v>3527</v>
      </c>
      <c r="F1337" s="110" t="str">
        <f>IFERROR(VLOOKUP(C1337,[1]evdl298!$B:$D,3,0),"")</f>
        <v/>
      </c>
      <c r="G1337" s="110" t="str">
        <f>IFERROR(VLOOKUP(C1337,[1]evdl298!$B:$C,2,0),"")</f>
        <v/>
      </c>
      <c r="H1337" s="110" t="str">
        <f t="shared" si="61"/>
        <v/>
      </c>
      <c r="I1337" s="110" t="str">
        <f t="shared" si="62"/>
        <v/>
      </c>
      <c r="J1337" s="110"/>
      <c r="K1337" s="110"/>
      <c r="M1337" s="110"/>
      <c r="O1337" s="110"/>
    </row>
    <row r="1338" spans="1:15" x14ac:dyDescent="0.3">
      <c r="A1338" s="58" t="str">
        <f>Schedule!E1336</f>
        <v>A079960</v>
      </c>
      <c r="B1338" s="58" t="s">
        <v>2754</v>
      </c>
      <c r="C1338" s="58" t="str">
        <f t="shared" si="60"/>
        <v>079960 KS</v>
      </c>
      <c r="D1338" s="58" t="s">
        <v>3671</v>
      </c>
      <c r="E1338" s="110" t="s">
        <v>3527</v>
      </c>
      <c r="F1338" s="110" t="str">
        <f>IFERROR(VLOOKUP(C1338,[1]evdl298!$B:$D,3,0),"")</f>
        <v/>
      </c>
      <c r="G1338" s="110" t="str">
        <f>IFERROR(VLOOKUP(C1338,[1]evdl298!$B:$C,2,0),"")</f>
        <v/>
      </c>
      <c r="H1338" s="110" t="str">
        <f t="shared" si="61"/>
        <v/>
      </c>
      <c r="I1338" s="110" t="str">
        <f t="shared" si="62"/>
        <v/>
      </c>
      <c r="J1338" s="110"/>
      <c r="K1338" s="110"/>
      <c r="M1338" s="110"/>
      <c r="O1338" s="110"/>
    </row>
    <row r="1339" spans="1:15" x14ac:dyDescent="0.3">
      <c r="A1339" s="58" t="str">
        <f>Schedule!E1337</f>
        <v>A079970</v>
      </c>
      <c r="B1339" s="58" t="s">
        <v>2755</v>
      </c>
      <c r="C1339" s="58" t="str">
        <f t="shared" si="60"/>
        <v>079970 KS</v>
      </c>
      <c r="D1339" s="58" t="s">
        <v>3671</v>
      </c>
      <c r="E1339" s="110" t="s">
        <v>3527</v>
      </c>
      <c r="F1339" s="110" t="str">
        <f>IFERROR(VLOOKUP(C1339,[1]evdl298!$B:$D,3,0),"")</f>
        <v>E</v>
      </c>
      <c r="G1339" s="110">
        <f>IFERROR(VLOOKUP(C1339,[1]evdl298!$B:$C,2,0),"")</f>
        <v>41488</v>
      </c>
      <c r="H1339" s="110" t="str">
        <f t="shared" si="61"/>
        <v>E</v>
      </c>
      <c r="I1339" s="110">
        <f t="shared" si="62"/>
        <v>41488</v>
      </c>
      <c r="J1339" s="110"/>
      <c r="K1339" s="110"/>
      <c r="M1339" s="110"/>
      <c r="O1339" s="110"/>
    </row>
    <row r="1340" spans="1:15" x14ac:dyDescent="0.3">
      <c r="A1340" s="58" t="str">
        <f>Schedule!E1338</f>
        <v>A079980</v>
      </c>
      <c r="B1340" s="58" t="s">
        <v>3374</v>
      </c>
      <c r="C1340" s="58" t="str">
        <f t="shared" si="60"/>
        <v>079980 KS</v>
      </c>
      <c r="D1340" s="58" t="s">
        <v>3671</v>
      </c>
      <c r="E1340" s="110" t="s">
        <v>3527</v>
      </c>
      <c r="F1340" s="110" t="str">
        <f>IFERROR(VLOOKUP(C1340,[1]evdl298!$B:$D,3,0),"")</f>
        <v>E</v>
      </c>
      <c r="G1340" s="110">
        <f>IFERROR(VLOOKUP(C1340,[1]evdl298!$B:$C,2,0),"")</f>
        <v>41515</v>
      </c>
      <c r="H1340" s="110" t="str">
        <f t="shared" si="61"/>
        <v>E</v>
      </c>
      <c r="I1340" s="110">
        <f t="shared" si="62"/>
        <v>41515</v>
      </c>
      <c r="J1340" s="110"/>
      <c r="K1340" s="110"/>
      <c r="M1340" s="110"/>
      <c r="O1340" s="110"/>
    </row>
    <row r="1341" spans="1:15" x14ac:dyDescent="0.3">
      <c r="A1341" s="58" t="str">
        <f>Schedule!E1339</f>
        <v>A080000</v>
      </c>
      <c r="B1341" s="58" t="s">
        <v>3375</v>
      </c>
      <c r="C1341" s="58" t="str">
        <f t="shared" si="60"/>
        <v>080000 KS</v>
      </c>
      <c r="D1341" s="58" t="s">
        <v>3671</v>
      </c>
      <c r="E1341" s="110">
        <v>41487</v>
      </c>
      <c r="F1341" s="110" t="str">
        <f>IFERROR(VLOOKUP(C1341,[1]evdl298!$B:$D,3,0),"")</f>
        <v>E</v>
      </c>
      <c r="G1341" s="110">
        <f>IFERROR(VLOOKUP(C1341,[1]evdl298!$B:$C,2,0),"")</f>
        <v>41495</v>
      </c>
      <c r="H1341" s="110" t="str">
        <f t="shared" si="61"/>
        <v>E</v>
      </c>
      <c r="I1341" s="110">
        <f t="shared" si="62"/>
        <v>41495</v>
      </c>
      <c r="J1341" s="110"/>
      <c r="K1341" s="110"/>
      <c r="M1341" s="110"/>
      <c r="O1341" s="110"/>
    </row>
    <row r="1342" spans="1:15" x14ac:dyDescent="0.3">
      <c r="A1342" s="58" t="str">
        <f>Schedule!E1340</f>
        <v>A080010</v>
      </c>
      <c r="B1342" s="58" t="s">
        <v>2756</v>
      </c>
      <c r="C1342" s="58" t="str">
        <f t="shared" si="60"/>
        <v>080010 KS</v>
      </c>
      <c r="D1342" s="58" t="s">
        <v>3671</v>
      </c>
      <c r="E1342" s="110" t="s">
        <v>3527</v>
      </c>
      <c r="F1342" s="110" t="str">
        <f>IFERROR(VLOOKUP(C1342,[1]evdl298!$B:$D,3,0),"")</f>
        <v>E</v>
      </c>
      <c r="G1342" s="110">
        <f>IFERROR(VLOOKUP(C1342,[1]evdl298!$B:$C,2,0),"")</f>
        <v>41500</v>
      </c>
      <c r="H1342" s="110" t="str">
        <f t="shared" si="61"/>
        <v>E</v>
      </c>
      <c r="I1342" s="110">
        <f t="shared" si="62"/>
        <v>41500</v>
      </c>
      <c r="J1342" s="110"/>
      <c r="K1342" s="110"/>
      <c r="M1342" s="110"/>
      <c r="O1342" s="110"/>
    </row>
    <row r="1343" spans="1:15" x14ac:dyDescent="0.3">
      <c r="A1343" s="58" t="str">
        <f>Schedule!E1341</f>
        <v>A080160</v>
      </c>
      <c r="B1343" s="58" t="s">
        <v>2757</v>
      </c>
      <c r="C1343" s="58" t="str">
        <f t="shared" si="60"/>
        <v>080160 KS</v>
      </c>
      <c r="D1343" s="58" t="s">
        <v>3671</v>
      </c>
      <c r="E1343" s="110" t="s">
        <v>3527</v>
      </c>
      <c r="F1343" s="110" t="str">
        <f>IFERROR(VLOOKUP(C1343,[1]evdl298!$B:$D,3,0),"")</f>
        <v>E</v>
      </c>
      <c r="G1343" s="110">
        <f>IFERROR(VLOOKUP(C1343,[1]evdl298!$B:$C,2,0),"")</f>
        <v>41471</v>
      </c>
      <c r="H1343" s="110" t="str">
        <f t="shared" si="61"/>
        <v>E</v>
      </c>
      <c r="I1343" s="110">
        <f t="shared" si="62"/>
        <v>41471</v>
      </c>
      <c r="J1343" s="110"/>
      <c r="K1343" s="110"/>
      <c r="M1343" s="110"/>
      <c r="O1343" s="110"/>
    </row>
    <row r="1344" spans="1:15" x14ac:dyDescent="0.3">
      <c r="A1344" s="58" t="str">
        <f>Schedule!E1342</f>
        <v>A080220</v>
      </c>
      <c r="B1344" s="58" t="s">
        <v>2758</v>
      </c>
      <c r="C1344" s="58" t="str">
        <f t="shared" si="60"/>
        <v>080220 KS</v>
      </c>
      <c r="D1344" s="58" t="s">
        <v>3671</v>
      </c>
      <c r="E1344" s="110" t="s">
        <v>3527</v>
      </c>
      <c r="F1344" s="110" t="str">
        <f>IFERROR(VLOOKUP(C1344,[1]evdl298!$B:$D,3,0),"")</f>
        <v>E</v>
      </c>
      <c r="G1344" s="110">
        <f>IFERROR(VLOOKUP(C1344,[1]evdl298!$B:$C,2,0),"")</f>
        <v>41515</v>
      </c>
      <c r="H1344" s="110" t="str">
        <f t="shared" si="61"/>
        <v>E</v>
      </c>
      <c r="I1344" s="110">
        <f t="shared" si="62"/>
        <v>41515</v>
      </c>
      <c r="J1344" s="110"/>
      <c r="K1344" s="110"/>
      <c r="M1344" s="110"/>
      <c r="O1344" s="110"/>
    </row>
    <row r="1345" spans="1:15" x14ac:dyDescent="0.3">
      <c r="A1345" s="58" t="str">
        <f>Schedule!E1343</f>
        <v>A080420</v>
      </c>
      <c r="B1345" s="58" t="s">
        <v>3651</v>
      </c>
      <c r="C1345" s="58" t="str">
        <f t="shared" si="60"/>
        <v>080420 KS</v>
      </c>
      <c r="D1345" s="58" t="s">
        <v>3671</v>
      </c>
      <c r="E1345" s="110" t="s">
        <v>3527</v>
      </c>
      <c r="F1345" s="110" t="str">
        <f>IFERROR(VLOOKUP(C1345,[1]evdl298!$B:$D,3,0),"")</f>
        <v/>
      </c>
      <c r="G1345" s="110" t="str">
        <f>IFERROR(VLOOKUP(C1345,[1]evdl298!$B:$C,2,0),"")</f>
        <v/>
      </c>
      <c r="H1345" s="110" t="str">
        <f t="shared" si="61"/>
        <v/>
      </c>
      <c r="I1345" s="110" t="str">
        <f t="shared" si="62"/>
        <v/>
      </c>
      <c r="J1345" s="110"/>
      <c r="K1345" s="110"/>
      <c r="M1345" s="110"/>
      <c r="O1345" s="110"/>
    </row>
    <row r="1346" spans="1:15" x14ac:dyDescent="0.3">
      <c r="A1346" s="58" t="str">
        <f>Schedule!E1344</f>
        <v>A080440</v>
      </c>
      <c r="B1346" s="58" t="s">
        <v>2759</v>
      </c>
      <c r="C1346" s="58" t="str">
        <f t="shared" si="60"/>
        <v>080440 KS</v>
      </c>
      <c r="D1346" s="58" t="s">
        <v>3671</v>
      </c>
      <c r="E1346" s="110" t="s">
        <v>3527</v>
      </c>
      <c r="F1346" s="110" t="str">
        <f>IFERROR(VLOOKUP(C1346,[1]evdl298!$B:$D,3,0),"")</f>
        <v>E</v>
      </c>
      <c r="G1346" s="110">
        <f>IFERROR(VLOOKUP(C1346,[1]evdl298!$B:$C,2,0),"")</f>
        <v>41500</v>
      </c>
      <c r="H1346" s="110" t="str">
        <f t="shared" si="61"/>
        <v>E</v>
      </c>
      <c r="I1346" s="110">
        <f t="shared" si="62"/>
        <v>41500</v>
      </c>
      <c r="J1346" s="110"/>
      <c r="K1346" s="110"/>
      <c r="M1346" s="110"/>
      <c r="O1346" s="110"/>
    </row>
    <row r="1347" spans="1:15" x14ac:dyDescent="0.3">
      <c r="A1347" s="58" t="str">
        <f>Schedule!E1345</f>
        <v>A080470</v>
      </c>
      <c r="B1347" s="58" t="s">
        <v>2760</v>
      </c>
      <c r="C1347" s="58" t="str">
        <f t="shared" si="60"/>
        <v>080470 KS</v>
      </c>
      <c r="D1347" s="58" t="s">
        <v>3671</v>
      </c>
      <c r="E1347" s="110" t="s">
        <v>3527</v>
      </c>
      <c r="F1347" s="110" t="str">
        <f>IFERROR(VLOOKUP(C1347,[1]evdl298!$B:$D,3,0),"")</f>
        <v>E</v>
      </c>
      <c r="G1347" s="110">
        <f>IFERROR(VLOOKUP(C1347,[1]evdl298!$B:$C,2,0),"")</f>
        <v>41515</v>
      </c>
      <c r="H1347" s="110" t="str">
        <f t="shared" si="61"/>
        <v>E</v>
      </c>
      <c r="I1347" s="110">
        <f t="shared" si="62"/>
        <v>41515</v>
      </c>
      <c r="J1347" s="110"/>
      <c r="K1347" s="110"/>
      <c r="M1347" s="110"/>
      <c r="O1347" s="110"/>
    </row>
    <row r="1348" spans="1:15" x14ac:dyDescent="0.3">
      <c r="A1348" s="58" t="str">
        <f>Schedule!E1346</f>
        <v>A080520</v>
      </c>
      <c r="B1348" s="58" t="s">
        <v>3652</v>
      </c>
      <c r="C1348" s="58" t="str">
        <f t="shared" si="60"/>
        <v>080520 KS</v>
      </c>
      <c r="D1348" s="58" t="s">
        <v>3671</v>
      </c>
      <c r="E1348" s="110" t="s">
        <v>3527</v>
      </c>
      <c r="F1348" s="110" t="str">
        <f>IFERROR(VLOOKUP(C1348,[1]evdl298!$B:$D,3,0),"")</f>
        <v/>
      </c>
      <c r="G1348" s="110" t="str">
        <f>IFERROR(VLOOKUP(C1348,[1]evdl298!$B:$C,2,0),"")</f>
        <v/>
      </c>
      <c r="H1348" s="110" t="str">
        <f t="shared" si="61"/>
        <v/>
      </c>
      <c r="I1348" s="110" t="str">
        <f t="shared" si="62"/>
        <v/>
      </c>
      <c r="J1348" s="110"/>
      <c r="K1348" s="110"/>
      <c r="M1348" s="110"/>
      <c r="O1348" s="110"/>
    </row>
    <row r="1349" spans="1:15" x14ac:dyDescent="0.3">
      <c r="A1349" s="58" t="str">
        <f>Schedule!E1347</f>
        <v>A080530</v>
      </c>
      <c r="B1349" s="58" t="s">
        <v>2761</v>
      </c>
      <c r="C1349" s="58" t="str">
        <f t="shared" si="60"/>
        <v>080530 KS</v>
      </c>
      <c r="D1349" s="58" t="s">
        <v>3671</v>
      </c>
      <c r="E1349" s="110" t="s">
        <v>3527</v>
      </c>
      <c r="F1349" s="110" t="str">
        <f>IFERROR(VLOOKUP(C1349,[1]evdl298!$B:$D,3,0),"")</f>
        <v/>
      </c>
      <c r="G1349" s="110" t="str">
        <f>IFERROR(VLOOKUP(C1349,[1]evdl298!$B:$C,2,0),"")</f>
        <v/>
      </c>
      <c r="H1349" s="110" t="str">
        <f t="shared" si="61"/>
        <v/>
      </c>
      <c r="I1349" s="110" t="str">
        <f t="shared" si="62"/>
        <v/>
      </c>
      <c r="J1349" s="110"/>
      <c r="K1349" s="110"/>
      <c r="M1349" s="110"/>
      <c r="O1349" s="110"/>
    </row>
    <row r="1350" spans="1:15" x14ac:dyDescent="0.3">
      <c r="A1350" s="58" t="str">
        <f>Schedule!E1348</f>
        <v>A081000</v>
      </c>
      <c r="B1350" s="58" t="s">
        <v>3376</v>
      </c>
      <c r="C1350" s="58" t="str">
        <f t="shared" si="60"/>
        <v>081000 KS</v>
      </c>
      <c r="D1350" s="58" t="s">
        <v>3671</v>
      </c>
      <c r="E1350" s="110" t="s">
        <v>3527</v>
      </c>
      <c r="F1350" s="110" t="str">
        <f>IFERROR(VLOOKUP(C1350,[1]evdl298!$B:$D,3,0),"")</f>
        <v>E</v>
      </c>
      <c r="G1350" s="110">
        <f>IFERROR(VLOOKUP(C1350,[1]evdl298!$B:$C,2,0),"")</f>
        <v>41500</v>
      </c>
      <c r="H1350" s="110" t="str">
        <f t="shared" si="61"/>
        <v>E</v>
      </c>
      <c r="I1350" s="110">
        <f t="shared" si="62"/>
        <v>41500</v>
      </c>
      <c r="J1350" s="110"/>
      <c r="K1350" s="110"/>
      <c r="M1350" s="110"/>
      <c r="O1350" s="110"/>
    </row>
    <row r="1351" spans="1:15" x14ac:dyDescent="0.3">
      <c r="A1351" s="58" t="str">
        <f>Schedule!E1349</f>
        <v>A081150</v>
      </c>
      <c r="B1351" s="58" t="s">
        <v>2762</v>
      </c>
      <c r="C1351" s="58" t="str">
        <f t="shared" si="60"/>
        <v>081150 KS</v>
      </c>
      <c r="D1351" s="58" t="s">
        <v>3671</v>
      </c>
      <c r="E1351" s="110" t="s">
        <v>3527</v>
      </c>
      <c r="F1351" s="110" t="str">
        <f>IFERROR(VLOOKUP(C1351,[1]evdl298!$B:$D,3,0),"")</f>
        <v/>
      </c>
      <c r="G1351" s="110" t="str">
        <f>IFERROR(VLOOKUP(C1351,[1]evdl298!$B:$C,2,0),"")</f>
        <v/>
      </c>
      <c r="H1351" s="110" t="str">
        <f t="shared" si="61"/>
        <v/>
      </c>
      <c r="I1351" s="110" t="str">
        <f t="shared" si="62"/>
        <v/>
      </c>
      <c r="J1351" s="110"/>
      <c r="K1351" s="110"/>
      <c r="M1351" s="110"/>
      <c r="O1351" s="110"/>
    </row>
    <row r="1352" spans="1:15" x14ac:dyDescent="0.3">
      <c r="A1352" s="58" t="str">
        <f>Schedule!E1350</f>
        <v>A081220</v>
      </c>
      <c r="B1352" s="58" t="s">
        <v>2763</v>
      </c>
      <c r="C1352" s="58" t="str">
        <f t="shared" si="60"/>
        <v>081220 KS</v>
      </c>
      <c r="D1352" s="58" t="s">
        <v>3671</v>
      </c>
      <c r="E1352" s="110" t="s">
        <v>3527</v>
      </c>
      <c r="F1352" s="110" t="str">
        <f>IFERROR(VLOOKUP(C1352,[1]evdl298!$B:$D,3,0),"")</f>
        <v>E</v>
      </c>
      <c r="G1352" s="110">
        <f>IFERROR(VLOOKUP(C1352,[1]evdl298!$B:$C,2,0),"")</f>
        <v>41499</v>
      </c>
      <c r="H1352" s="110" t="str">
        <f t="shared" si="61"/>
        <v>E</v>
      </c>
      <c r="I1352" s="110">
        <f t="shared" si="62"/>
        <v>41499</v>
      </c>
      <c r="J1352" s="110"/>
      <c r="K1352" s="110"/>
      <c r="M1352" s="110"/>
      <c r="O1352" s="110"/>
    </row>
    <row r="1353" spans="1:15" x14ac:dyDescent="0.3">
      <c r="A1353" s="58" t="str">
        <f>Schedule!E1351</f>
        <v>A081580</v>
      </c>
      <c r="B1353" s="58" t="s">
        <v>2764</v>
      </c>
      <c r="C1353" s="58" t="str">
        <f t="shared" si="60"/>
        <v>081580 KS</v>
      </c>
      <c r="D1353" s="58" t="s">
        <v>3671</v>
      </c>
      <c r="E1353" s="110" t="s">
        <v>3527</v>
      </c>
      <c r="F1353" s="110" t="str">
        <f>IFERROR(VLOOKUP(C1353,[1]evdl298!$B:$D,3,0),"")</f>
        <v>E</v>
      </c>
      <c r="G1353" s="110">
        <f>IFERROR(VLOOKUP(C1353,[1]evdl298!$B:$C,2,0),"")</f>
        <v>41515</v>
      </c>
      <c r="H1353" s="110" t="str">
        <f t="shared" si="61"/>
        <v>E</v>
      </c>
      <c r="I1353" s="110">
        <f t="shared" si="62"/>
        <v>41515</v>
      </c>
      <c r="J1353" s="110"/>
      <c r="K1353" s="110"/>
      <c r="M1353" s="110"/>
      <c r="O1353" s="110"/>
    </row>
    <row r="1354" spans="1:15" x14ac:dyDescent="0.3">
      <c r="A1354" s="58" t="str">
        <f>Schedule!E1352</f>
        <v>A081660</v>
      </c>
      <c r="B1354" s="58" t="s">
        <v>2765</v>
      </c>
      <c r="C1354" s="58" t="str">
        <f t="shared" si="60"/>
        <v>081660 KS</v>
      </c>
      <c r="D1354" s="58" t="s">
        <v>3671</v>
      </c>
      <c r="E1354" s="110" t="s">
        <v>3527</v>
      </c>
      <c r="F1354" s="110" t="str">
        <f>IFERROR(VLOOKUP(C1354,[1]evdl298!$B:$D,3,0),"")</f>
        <v>E</v>
      </c>
      <c r="G1354" s="110">
        <f>IFERROR(VLOOKUP(C1354,[1]evdl298!$B:$C,2,0),"")</f>
        <v>41500</v>
      </c>
      <c r="H1354" s="110" t="str">
        <f t="shared" si="61"/>
        <v>E</v>
      </c>
      <c r="I1354" s="110">
        <f t="shared" si="62"/>
        <v>41500</v>
      </c>
      <c r="J1354" s="110"/>
      <c r="K1354" s="110"/>
      <c r="M1354" s="110"/>
      <c r="O1354" s="110"/>
    </row>
    <row r="1355" spans="1:15" x14ac:dyDescent="0.3">
      <c r="A1355" s="58" t="str">
        <f>Schedule!E1353</f>
        <v>A081970</v>
      </c>
      <c r="B1355" s="58" t="s">
        <v>3377</v>
      </c>
      <c r="C1355" s="58" t="str">
        <f t="shared" si="60"/>
        <v>081970 KS</v>
      </c>
      <c r="D1355" s="58" t="s">
        <v>3671</v>
      </c>
      <c r="E1355" s="110" t="s">
        <v>3527</v>
      </c>
      <c r="F1355" s="110" t="str">
        <f>IFERROR(VLOOKUP(C1355,[1]evdl298!$B:$D,3,0),"")</f>
        <v/>
      </c>
      <c r="G1355" s="110" t="str">
        <f>IFERROR(VLOOKUP(C1355,[1]evdl298!$B:$C,2,0),"")</f>
        <v/>
      </c>
      <c r="H1355" s="110" t="str">
        <f t="shared" si="61"/>
        <v/>
      </c>
      <c r="I1355" s="110" t="str">
        <f t="shared" si="62"/>
        <v/>
      </c>
      <c r="J1355" s="110"/>
      <c r="K1355" s="110"/>
      <c r="M1355" s="110"/>
      <c r="O1355" s="110"/>
    </row>
    <row r="1356" spans="1:15" x14ac:dyDescent="0.3">
      <c r="A1356" s="58" t="str">
        <f>Schedule!E1354</f>
        <v>A082210</v>
      </c>
      <c r="B1356" s="58" t="s">
        <v>2766</v>
      </c>
      <c r="C1356" s="58" t="str">
        <f t="shared" si="60"/>
        <v>082210 KS</v>
      </c>
      <c r="D1356" s="58" t="s">
        <v>3671</v>
      </c>
      <c r="E1356" s="110" t="s">
        <v>3527</v>
      </c>
      <c r="F1356" s="110" t="str">
        <f>IFERROR(VLOOKUP(C1356,[1]evdl298!$B:$D,3,0),"")</f>
        <v>E</v>
      </c>
      <c r="G1356" s="110">
        <f>IFERROR(VLOOKUP(C1356,[1]evdl298!$B:$C,2,0),"")</f>
        <v>41515</v>
      </c>
      <c r="H1356" s="110" t="str">
        <f t="shared" si="61"/>
        <v>E</v>
      </c>
      <c r="I1356" s="110">
        <f t="shared" si="62"/>
        <v>41515</v>
      </c>
      <c r="J1356" s="110"/>
      <c r="K1356" s="110"/>
      <c r="M1356" s="110"/>
      <c r="O1356" s="110"/>
    </row>
    <row r="1357" spans="1:15" x14ac:dyDescent="0.3">
      <c r="A1357" s="58" t="str">
        <f>Schedule!E1355</f>
        <v>A082270</v>
      </c>
      <c r="B1357" s="58" t="s">
        <v>2767</v>
      </c>
      <c r="C1357" s="58" t="str">
        <f t="shared" si="60"/>
        <v>082270 KS</v>
      </c>
      <c r="D1357" s="58" t="s">
        <v>3671</v>
      </c>
      <c r="E1357" s="110" t="s">
        <v>3527</v>
      </c>
      <c r="F1357" s="110" t="str">
        <f>IFERROR(VLOOKUP(C1357,[1]evdl298!$B:$D,3,0),"")</f>
        <v/>
      </c>
      <c r="G1357" s="110" t="str">
        <f>IFERROR(VLOOKUP(C1357,[1]evdl298!$B:$C,2,0),"")</f>
        <v/>
      </c>
      <c r="H1357" s="110" t="str">
        <f t="shared" si="61"/>
        <v/>
      </c>
      <c r="I1357" s="110" t="str">
        <f t="shared" si="62"/>
        <v/>
      </c>
      <c r="J1357" s="110"/>
      <c r="K1357" s="110"/>
      <c r="M1357" s="110"/>
      <c r="O1357" s="110"/>
    </row>
    <row r="1358" spans="1:15" x14ac:dyDescent="0.3">
      <c r="A1358" s="58" t="str">
        <f>Schedule!E1356</f>
        <v>A082390</v>
      </c>
      <c r="B1358" s="58" t="s">
        <v>2768</v>
      </c>
      <c r="C1358" s="58" t="str">
        <f t="shared" si="60"/>
        <v>082390 KS</v>
      </c>
      <c r="D1358" s="58" t="s">
        <v>3671</v>
      </c>
      <c r="E1358" s="110" t="s">
        <v>3527</v>
      </c>
      <c r="F1358" s="110" t="str">
        <f>IFERROR(VLOOKUP(C1358,[1]evdl298!$B:$D,3,0),"")</f>
        <v>E</v>
      </c>
      <c r="G1358" s="110">
        <f>IFERROR(VLOOKUP(C1358,[1]evdl298!$B:$C,2,0),"")</f>
        <v>41500</v>
      </c>
      <c r="H1358" s="110" t="str">
        <f t="shared" si="61"/>
        <v>E</v>
      </c>
      <c r="I1358" s="110">
        <f t="shared" si="62"/>
        <v>41500</v>
      </c>
      <c r="J1358" s="110"/>
      <c r="K1358" s="110"/>
      <c r="M1358" s="110"/>
      <c r="O1358" s="110"/>
    </row>
    <row r="1359" spans="1:15" x14ac:dyDescent="0.3">
      <c r="A1359" s="58" t="str">
        <f>Schedule!E1357</f>
        <v>A082640</v>
      </c>
      <c r="B1359" s="58" t="s">
        <v>2769</v>
      </c>
      <c r="C1359" s="58" t="str">
        <f t="shared" si="60"/>
        <v>082640 KS</v>
      </c>
      <c r="D1359" s="58" t="s">
        <v>3671</v>
      </c>
      <c r="E1359" s="110" t="s">
        <v>3527</v>
      </c>
      <c r="F1359" s="110" t="str">
        <f>IFERROR(VLOOKUP(C1359,[1]evdl298!$B:$D,3,0),"")</f>
        <v>E</v>
      </c>
      <c r="G1359" s="110">
        <f>IFERROR(VLOOKUP(C1359,[1]evdl298!$B:$C,2,0),"")</f>
        <v>41494</v>
      </c>
      <c r="H1359" s="110" t="str">
        <f t="shared" si="61"/>
        <v>E</v>
      </c>
      <c r="I1359" s="110">
        <f t="shared" si="62"/>
        <v>41494</v>
      </c>
      <c r="J1359" s="110"/>
      <c r="K1359" s="110"/>
      <c r="M1359" s="110"/>
      <c r="O1359" s="110"/>
    </row>
    <row r="1360" spans="1:15" x14ac:dyDescent="0.3">
      <c r="A1360" s="58" t="str">
        <f>Schedule!E1358</f>
        <v>A082660</v>
      </c>
      <c r="B1360" s="58" t="s">
        <v>2770</v>
      </c>
      <c r="C1360" s="58" t="str">
        <f t="shared" si="60"/>
        <v>082660 KS</v>
      </c>
      <c r="D1360" s="58" t="s">
        <v>3671</v>
      </c>
      <c r="E1360" s="110" t="s">
        <v>3527</v>
      </c>
      <c r="F1360" s="110" t="str">
        <f>IFERROR(VLOOKUP(C1360,[1]evdl298!$B:$D,3,0),"")</f>
        <v>E</v>
      </c>
      <c r="G1360" s="110">
        <f>IFERROR(VLOOKUP(C1360,[1]evdl298!$B:$C,2,0),"")</f>
        <v>41500</v>
      </c>
      <c r="H1360" s="110" t="str">
        <f t="shared" si="61"/>
        <v>E</v>
      </c>
      <c r="I1360" s="110">
        <f t="shared" si="62"/>
        <v>41500</v>
      </c>
      <c r="J1360" s="110"/>
      <c r="K1360" s="110"/>
      <c r="M1360" s="110"/>
      <c r="O1360" s="110"/>
    </row>
    <row r="1361" spans="1:15" x14ac:dyDescent="0.3">
      <c r="A1361" s="58" t="str">
        <f>Schedule!E1359</f>
        <v>A082740</v>
      </c>
      <c r="B1361" s="58" t="s">
        <v>2771</v>
      </c>
      <c r="C1361" s="58" t="str">
        <f t="shared" ref="C1361:C1424" si="63">RIGHT(A1361,6)&amp;" KS"</f>
        <v>082740 KS</v>
      </c>
      <c r="D1361" s="58" t="s">
        <v>3671</v>
      </c>
      <c r="E1361" s="110" t="s">
        <v>3527</v>
      </c>
      <c r="F1361" s="110" t="str">
        <f>IFERROR(VLOOKUP(C1361,[1]evdl298!$B:$D,3,0),"")</f>
        <v>E</v>
      </c>
      <c r="G1361" s="110">
        <f>IFERROR(VLOOKUP(C1361,[1]evdl298!$B:$C,2,0),"")</f>
        <v>41500</v>
      </c>
      <c r="H1361" s="110" t="str">
        <f t="shared" ref="H1361:H1424" si="64">F1361</f>
        <v>E</v>
      </c>
      <c r="I1361" s="110">
        <f t="shared" ref="I1361:I1424" si="65">IF(ISNUMBER(G1361),G1361,E1361)</f>
        <v>41500</v>
      </c>
      <c r="J1361" s="110"/>
      <c r="K1361" s="110"/>
      <c r="M1361" s="110"/>
      <c r="O1361" s="110"/>
    </row>
    <row r="1362" spans="1:15" x14ac:dyDescent="0.3">
      <c r="A1362" s="58" t="str">
        <f>Schedule!E1360</f>
        <v>A082800</v>
      </c>
      <c r="B1362" s="58" t="s">
        <v>3378</v>
      </c>
      <c r="C1362" s="58" t="str">
        <f t="shared" si="63"/>
        <v>082800 KS</v>
      </c>
      <c r="D1362" s="58" t="s">
        <v>3671</v>
      </c>
      <c r="E1362" s="110" t="s">
        <v>3527</v>
      </c>
      <c r="F1362" s="110" t="str">
        <f>IFERROR(VLOOKUP(C1362,[1]evdl298!$B:$D,3,0),"")</f>
        <v>E</v>
      </c>
      <c r="G1362" s="110">
        <f>IFERROR(VLOOKUP(C1362,[1]evdl298!$B:$C,2,0),"")</f>
        <v>41472</v>
      </c>
      <c r="H1362" s="110" t="str">
        <f t="shared" si="64"/>
        <v>E</v>
      </c>
      <c r="I1362" s="110">
        <f t="shared" si="65"/>
        <v>41472</v>
      </c>
      <c r="J1362" s="110"/>
      <c r="K1362" s="110"/>
      <c r="M1362" s="110"/>
      <c r="O1362" s="110"/>
    </row>
    <row r="1363" spans="1:15" x14ac:dyDescent="0.3">
      <c r="A1363" s="58" t="str">
        <f>Schedule!E1361</f>
        <v>A082850</v>
      </c>
      <c r="B1363" s="58" t="s">
        <v>2772</v>
      </c>
      <c r="C1363" s="58" t="str">
        <f t="shared" si="63"/>
        <v>082850 KS</v>
      </c>
      <c r="D1363" s="58" t="s">
        <v>3671</v>
      </c>
      <c r="E1363" s="110" t="s">
        <v>3527</v>
      </c>
      <c r="F1363" s="110" t="str">
        <f>IFERROR(VLOOKUP(C1363,[1]evdl298!$B:$D,3,0),"")</f>
        <v>E</v>
      </c>
      <c r="G1363" s="110">
        <f>IFERROR(VLOOKUP(C1363,[1]evdl298!$B:$C,2,0),"")</f>
        <v>41500</v>
      </c>
      <c r="H1363" s="110" t="str">
        <f t="shared" si="64"/>
        <v>E</v>
      </c>
      <c r="I1363" s="110">
        <f t="shared" si="65"/>
        <v>41500</v>
      </c>
      <c r="J1363" s="110"/>
      <c r="K1363" s="110"/>
      <c r="M1363" s="110"/>
      <c r="O1363" s="110"/>
    </row>
    <row r="1364" spans="1:15" x14ac:dyDescent="0.3">
      <c r="A1364" s="58" t="str">
        <f>Schedule!E1362</f>
        <v>A082920</v>
      </c>
      <c r="B1364" s="58" t="s">
        <v>2773</v>
      </c>
      <c r="C1364" s="58" t="str">
        <f t="shared" si="63"/>
        <v>082920 KS</v>
      </c>
      <c r="D1364" s="58" t="s">
        <v>3671</v>
      </c>
      <c r="E1364" s="110" t="s">
        <v>3527</v>
      </c>
      <c r="F1364" s="110" t="str">
        <f>IFERROR(VLOOKUP(C1364,[1]evdl298!$B:$D,3,0),"")</f>
        <v>E</v>
      </c>
      <c r="G1364" s="110">
        <f>IFERROR(VLOOKUP(C1364,[1]evdl298!$B:$C,2,0),"")</f>
        <v>41499</v>
      </c>
      <c r="H1364" s="110" t="str">
        <f t="shared" si="64"/>
        <v>E</v>
      </c>
      <c r="I1364" s="110">
        <f t="shared" si="65"/>
        <v>41499</v>
      </c>
      <c r="J1364" s="110"/>
      <c r="K1364" s="110"/>
      <c r="M1364" s="110"/>
      <c r="O1364" s="110"/>
    </row>
    <row r="1365" spans="1:15" x14ac:dyDescent="0.3">
      <c r="A1365" s="58" t="str">
        <f>Schedule!E1363</f>
        <v>A082930</v>
      </c>
      <c r="B1365" s="58" t="s">
        <v>2774</v>
      </c>
      <c r="C1365" s="58" t="str">
        <f t="shared" si="63"/>
        <v>082930 KS</v>
      </c>
      <c r="D1365" s="58" t="s">
        <v>3671</v>
      </c>
      <c r="E1365" s="110" t="s">
        <v>3527</v>
      </c>
      <c r="F1365" s="110" t="str">
        <f>IFERROR(VLOOKUP(C1365,[1]evdl298!$B:$D,3,0),"")</f>
        <v>E</v>
      </c>
      <c r="G1365" s="110">
        <f>IFERROR(VLOOKUP(C1365,[1]evdl298!$B:$C,2,0),"")</f>
        <v>41485</v>
      </c>
      <c r="H1365" s="110" t="str">
        <f t="shared" si="64"/>
        <v>E</v>
      </c>
      <c r="I1365" s="110">
        <f t="shared" si="65"/>
        <v>41485</v>
      </c>
      <c r="J1365" s="110"/>
      <c r="K1365" s="110"/>
      <c r="M1365" s="110"/>
      <c r="O1365" s="110"/>
    </row>
    <row r="1366" spans="1:15" x14ac:dyDescent="0.3">
      <c r="A1366" s="58" t="str">
        <f>Schedule!E1364</f>
        <v>A083310</v>
      </c>
      <c r="B1366" s="58" t="s">
        <v>2775</v>
      </c>
      <c r="C1366" s="58" t="str">
        <f t="shared" si="63"/>
        <v>083310 KS</v>
      </c>
      <c r="D1366" s="58" t="s">
        <v>3671</v>
      </c>
      <c r="E1366" s="110" t="s">
        <v>3527</v>
      </c>
      <c r="F1366" s="110" t="str">
        <f>IFERROR(VLOOKUP(C1366,[1]evdl298!$B:$D,3,0),"")</f>
        <v/>
      </c>
      <c r="G1366" s="110" t="str">
        <f>IFERROR(VLOOKUP(C1366,[1]evdl298!$B:$C,2,0),"")</f>
        <v/>
      </c>
      <c r="H1366" s="110" t="str">
        <f t="shared" si="64"/>
        <v/>
      </c>
      <c r="I1366" s="110" t="str">
        <f t="shared" si="65"/>
        <v/>
      </c>
      <c r="J1366" s="110"/>
      <c r="K1366" s="110"/>
      <c r="M1366" s="110"/>
      <c r="O1366" s="110"/>
    </row>
    <row r="1367" spans="1:15" x14ac:dyDescent="0.3">
      <c r="A1367" s="58" t="str">
        <f>Schedule!E1365</f>
        <v>A083420</v>
      </c>
      <c r="B1367" s="58" t="s">
        <v>2776</v>
      </c>
      <c r="C1367" s="58" t="str">
        <f t="shared" si="63"/>
        <v>083420 KS</v>
      </c>
      <c r="D1367" s="58" t="s">
        <v>3671</v>
      </c>
      <c r="E1367" s="110" t="s">
        <v>3527</v>
      </c>
      <c r="F1367" s="110" t="str">
        <f>IFERROR(VLOOKUP(C1367,[1]evdl298!$B:$D,3,0),"")</f>
        <v>E</v>
      </c>
      <c r="G1367" s="110">
        <f>IFERROR(VLOOKUP(C1367,[1]evdl298!$B:$C,2,0),"")</f>
        <v>41500</v>
      </c>
      <c r="H1367" s="110" t="str">
        <f t="shared" si="64"/>
        <v>E</v>
      </c>
      <c r="I1367" s="110">
        <f t="shared" si="65"/>
        <v>41500</v>
      </c>
      <c r="J1367" s="110"/>
      <c r="K1367" s="110"/>
      <c r="M1367" s="110"/>
      <c r="O1367" s="110"/>
    </row>
    <row r="1368" spans="1:15" x14ac:dyDescent="0.3">
      <c r="A1368" s="58" t="str">
        <f>Schedule!E1366</f>
        <v>A083450</v>
      </c>
      <c r="B1368" s="58" t="s">
        <v>2777</v>
      </c>
      <c r="C1368" s="58" t="str">
        <f t="shared" si="63"/>
        <v>083450 KS</v>
      </c>
      <c r="D1368" s="58" t="s">
        <v>3671</v>
      </c>
      <c r="E1368" s="110" t="s">
        <v>3527</v>
      </c>
      <c r="F1368" s="110" t="str">
        <f>IFERROR(VLOOKUP(C1368,[1]evdl298!$B:$D,3,0),"")</f>
        <v/>
      </c>
      <c r="G1368" s="110" t="str">
        <f>IFERROR(VLOOKUP(C1368,[1]evdl298!$B:$C,2,0),"")</f>
        <v/>
      </c>
      <c r="H1368" s="110" t="str">
        <f t="shared" si="64"/>
        <v/>
      </c>
      <c r="I1368" s="110" t="str">
        <f t="shared" si="65"/>
        <v/>
      </c>
      <c r="J1368" s="110"/>
      <c r="K1368" s="110"/>
      <c r="M1368" s="110"/>
      <c r="O1368" s="110"/>
    </row>
    <row r="1369" spans="1:15" x14ac:dyDescent="0.3">
      <c r="A1369" s="58" t="str">
        <f>Schedule!E1367</f>
        <v>A083470</v>
      </c>
      <c r="B1369" s="58" t="s">
        <v>2778</v>
      </c>
      <c r="C1369" s="58" t="str">
        <f t="shared" si="63"/>
        <v>083470 KS</v>
      </c>
      <c r="D1369" s="58" t="s">
        <v>3671</v>
      </c>
      <c r="E1369" s="110" t="s">
        <v>3527</v>
      </c>
      <c r="F1369" s="110" t="str">
        <f>IFERROR(VLOOKUP(C1369,[1]evdl298!$B:$D,3,0),"")</f>
        <v>E</v>
      </c>
      <c r="G1369" s="110">
        <f>IFERROR(VLOOKUP(C1369,[1]evdl298!$B:$C,2,0),"")</f>
        <v>41515</v>
      </c>
      <c r="H1369" s="110" t="str">
        <f t="shared" si="64"/>
        <v>E</v>
      </c>
      <c r="I1369" s="110">
        <f t="shared" si="65"/>
        <v>41515</v>
      </c>
      <c r="J1369" s="110"/>
      <c r="K1369" s="110"/>
      <c r="M1369" s="110"/>
      <c r="O1369" s="110"/>
    </row>
    <row r="1370" spans="1:15" x14ac:dyDescent="0.3">
      <c r="A1370" s="58" t="str">
        <f>Schedule!E1368</f>
        <v>A083550</v>
      </c>
      <c r="B1370" s="58" t="s">
        <v>2779</v>
      </c>
      <c r="C1370" s="58" t="str">
        <f t="shared" si="63"/>
        <v>083550 KS</v>
      </c>
      <c r="D1370" s="58" t="s">
        <v>3671</v>
      </c>
      <c r="E1370" s="110" t="s">
        <v>3527</v>
      </c>
      <c r="F1370" s="110" t="str">
        <f>IFERROR(VLOOKUP(C1370,[1]evdl298!$B:$D,3,0),"")</f>
        <v>E</v>
      </c>
      <c r="G1370" s="110">
        <f>IFERROR(VLOOKUP(C1370,[1]evdl298!$B:$C,2,0),"")</f>
        <v>41515</v>
      </c>
      <c r="H1370" s="110" t="str">
        <f t="shared" si="64"/>
        <v>E</v>
      </c>
      <c r="I1370" s="110">
        <f t="shared" si="65"/>
        <v>41515</v>
      </c>
      <c r="J1370" s="110"/>
      <c r="K1370" s="110"/>
      <c r="M1370" s="110"/>
      <c r="O1370" s="110"/>
    </row>
    <row r="1371" spans="1:15" x14ac:dyDescent="0.3">
      <c r="A1371" s="58" t="str">
        <f>Schedule!E1369</f>
        <v>A083640</v>
      </c>
      <c r="B1371" s="58" t="s">
        <v>2780</v>
      </c>
      <c r="C1371" s="58" t="str">
        <f t="shared" si="63"/>
        <v>083640 KS</v>
      </c>
      <c r="D1371" s="58" t="s">
        <v>3671</v>
      </c>
      <c r="E1371" s="110" t="s">
        <v>3527</v>
      </c>
      <c r="F1371" s="110" t="str">
        <f>IFERROR(VLOOKUP(C1371,[1]evdl298!$B:$D,3,0),"")</f>
        <v/>
      </c>
      <c r="G1371" s="110" t="str">
        <f>IFERROR(VLOOKUP(C1371,[1]evdl298!$B:$C,2,0),"")</f>
        <v/>
      </c>
      <c r="H1371" s="110" t="str">
        <f t="shared" si="64"/>
        <v/>
      </c>
      <c r="I1371" s="110" t="str">
        <f t="shared" si="65"/>
        <v/>
      </c>
      <c r="J1371" s="110"/>
      <c r="K1371" s="110"/>
      <c r="M1371" s="110"/>
      <c r="O1371" s="110"/>
    </row>
    <row r="1372" spans="1:15" x14ac:dyDescent="0.3">
      <c r="A1372" s="58" t="str">
        <f>Schedule!E1370</f>
        <v>A083650</v>
      </c>
      <c r="B1372" s="58" t="s">
        <v>2781</v>
      </c>
      <c r="C1372" s="58" t="str">
        <f t="shared" si="63"/>
        <v>083650 KS</v>
      </c>
      <c r="D1372" s="58" t="s">
        <v>3671</v>
      </c>
      <c r="E1372" s="110" t="s">
        <v>3527</v>
      </c>
      <c r="F1372" s="110" t="str">
        <f>IFERROR(VLOOKUP(C1372,[1]evdl298!$B:$D,3,0),"")</f>
        <v>E</v>
      </c>
      <c r="G1372" s="110">
        <f>IFERROR(VLOOKUP(C1372,[1]evdl298!$B:$C,2,0),"")</f>
        <v>41515</v>
      </c>
      <c r="H1372" s="110" t="str">
        <f t="shared" si="64"/>
        <v>E</v>
      </c>
      <c r="I1372" s="110">
        <f t="shared" si="65"/>
        <v>41515</v>
      </c>
      <c r="J1372" s="110"/>
      <c r="K1372" s="110"/>
      <c r="M1372" s="110"/>
      <c r="O1372" s="110"/>
    </row>
    <row r="1373" spans="1:15" x14ac:dyDescent="0.3">
      <c r="A1373" s="58" t="str">
        <f>Schedule!E1371</f>
        <v>A083660</v>
      </c>
      <c r="B1373" s="58" t="s">
        <v>2782</v>
      </c>
      <c r="C1373" s="58" t="str">
        <f t="shared" si="63"/>
        <v>083660 KS</v>
      </c>
      <c r="D1373" s="58" t="s">
        <v>3671</v>
      </c>
      <c r="E1373" s="110" t="s">
        <v>3527</v>
      </c>
      <c r="F1373" s="110" t="str">
        <f>IFERROR(VLOOKUP(C1373,[1]evdl298!$B:$D,3,0),"")</f>
        <v>E</v>
      </c>
      <c r="G1373" s="110">
        <f>IFERROR(VLOOKUP(C1373,[1]evdl298!$B:$C,2,0),"")</f>
        <v>41515</v>
      </c>
      <c r="H1373" s="110" t="str">
        <f t="shared" si="64"/>
        <v>E</v>
      </c>
      <c r="I1373" s="110">
        <f t="shared" si="65"/>
        <v>41515</v>
      </c>
      <c r="J1373" s="110"/>
      <c r="K1373" s="110"/>
      <c r="M1373" s="110"/>
      <c r="O1373" s="110"/>
    </row>
    <row r="1374" spans="1:15" x14ac:dyDescent="0.3">
      <c r="A1374" s="58" t="str">
        <f>Schedule!E1372</f>
        <v>A083790</v>
      </c>
      <c r="B1374" s="58" t="s">
        <v>2783</v>
      </c>
      <c r="C1374" s="58" t="str">
        <f t="shared" si="63"/>
        <v>083790 KS</v>
      </c>
      <c r="D1374" s="58" t="s">
        <v>3671</v>
      </c>
      <c r="E1374" s="110" t="s">
        <v>3527</v>
      </c>
      <c r="F1374" s="110" t="str">
        <f>IFERROR(VLOOKUP(C1374,[1]evdl298!$B:$D,3,0),"")</f>
        <v/>
      </c>
      <c r="G1374" s="110" t="str">
        <f>IFERROR(VLOOKUP(C1374,[1]evdl298!$B:$C,2,0),"")</f>
        <v/>
      </c>
      <c r="H1374" s="110" t="str">
        <f t="shared" si="64"/>
        <v/>
      </c>
      <c r="I1374" s="110" t="str">
        <f t="shared" si="65"/>
        <v/>
      </c>
      <c r="J1374" s="110"/>
      <c r="K1374" s="110"/>
      <c r="M1374" s="110"/>
      <c r="O1374" s="110"/>
    </row>
    <row r="1375" spans="1:15" x14ac:dyDescent="0.3">
      <c r="A1375" s="58" t="str">
        <f>Schedule!E1373</f>
        <v>A083930</v>
      </c>
      <c r="B1375" s="58" t="s">
        <v>2784</v>
      </c>
      <c r="C1375" s="58" t="str">
        <f t="shared" si="63"/>
        <v>083930 KS</v>
      </c>
      <c r="D1375" s="58" t="s">
        <v>3671</v>
      </c>
      <c r="E1375" s="110" t="s">
        <v>3527</v>
      </c>
      <c r="F1375" s="110" t="str">
        <f>IFERROR(VLOOKUP(C1375,[1]evdl298!$B:$D,3,0),"")</f>
        <v>E</v>
      </c>
      <c r="G1375" s="110">
        <f>IFERROR(VLOOKUP(C1375,[1]evdl298!$B:$C,2,0),"")</f>
        <v>41515</v>
      </c>
      <c r="H1375" s="110" t="str">
        <f t="shared" si="64"/>
        <v>E</v>
      </c>
      <c r="I1375" s="110">
        <f t="shared" si="65"/>
        <v>41515</v>
      </c>
      <c r="J1375" s="110"/>
      <c r="K1375" s="110"/>
      <c r="M1375" s="110"/>
      <c r="O1375" s="110"/>
    </row>
    <row r="1376" spans="1:15" x14ac:dyDescent="0.3">
      <c r="A1376" s="58" t="str">
        <f>Schedule!E1374</f>
        <v>A084010</v>
      </c>
      <c r="B1376" s="58" t="s">
        <v>2785</v>
      </c>
      <c r="C1376" s="58" t="str">
        <f t="shared" si="63"/>
        <v>084010 KS</v>
      </c>
      <c r="D1376" s="58" t="s">
        <v>3671</v>
      </c>
      <c r="E1376" s="110" t="s">
        <v>3527</v>
      </c>
      <c r="F1376" s="110" t="str">
        <f>IFERROR(VLOOKUP(C1376,[1]evdl298!$B:$D,3,0),"")</f>
        <v>E</v>
      </c>
      <c r="G1376" s="110">
        <f>IFERROR(VLOOKUP(C1376,[1]evdl298!$B:$C,2,0),"")</f>
        <v>41500</v>
      </c>
      <c r="H1376" s="110" t="str">
        <f t="shared" si="64"/>
        <v>E</v>
      </c>
      <c r="I1376" s="110">
        <f t="shared" si="65"/>
        <v>41500</v>
      </c>
      <c r="J1376" s="110"/>
      <c r="K1376" s="110"/>
      <c r="M1376" s="110"/>
      <c r="O1376" s="110"/>
    </row>
    <row r="1377" spans="1:15" x14ac:dyDescent="0.3">
      <c r="A1377" s="58" t="str">
        <f>Schedule!E1375</f>
        <v>A084110</v>
      </c>
      <c r="B1377" s="58" t="s">
        <v>2786</v>
      </c>
      <c r="C1377" s="58" t="str">
        <f t="shared" si="63"/>
        <v>084110 KS</v>
      </c>
      <c r="D1377" s="58" t="s">
        <v>3671</v>
      </c>
      <c r="E1377" s="110" t="s">
        <v>3527</v>
      </c>
      <c r="F1377" s="110" t="str">
        <f>IFERROR(VLOOKUP(C1377,[1]evdl298!$B:$D,3,0),"")</f>
        <v>E</v>
      </c>
      <c r="G1377" s="110">
        <f>IFERROR(VLOOKUP(C1377,[1]evdl298!$B:$C,2,0),"")</f>
        <v>41515</v>
      </c>
      <c r="H1377" s="110" t="str">
        <f t="shared" si="64"/>
        <v>E</v>
      </c>
      <c r="I1377" s="110">
        <f t="shared" si="65"/>
        <v>41515</v>
      </c>
      <c r="J1377" s="110"/>
      <c r="K1377" s="110"/>
      <c r="M1377" s="110"/>
      <c r="O1377" s="110"/>
    </row>
    <row r="1378" spans="1:15" x14ac:dyDescent="0.3">
      <c r="A1378" s="58" t="str">
        <f>Schedule!E1376</f>
        <v>A084180</v>
      </c>
      <c r="B1378" s="58" t="s">
        <v>2787</v>
      </c>
      <c r="C1378" s="58" t="str">
        <f t="shared" si="63"/>
        <v>084180 KS</v>
      </c>
      <c r="D1378" s="58" t="s">
        <v>3671</v>
      </c>
      <c r="E1378" s="110" t="s">
        <v>3527</v>
      </c>
      <c r="F1378" s="110" t="str">
        <f>IFERROR(VLOOKUP(C1378,[1]evdl298!$B:$D,3,0),"")</f>
        <v>E</v>
      </c>
      <c r="G1378" s="110">
        <f>IFERROR(VLOOKUP(C1378,[1]evdl298!$B:$C,2,0),"")</f>
        <v>41492</v>
      </c>
      <c r="H1378" s="110" t="str">
        <f t="shared" si="64"/>
        <v>E</v>
      </c>
      <c r="I1378" s="110">
        <f t="shared" si="65"/>
        <v>41492</v>
      </c>
      <c r="J1378" s="110"/>
      <c r="K1378" s="110"/>
      <c r="M1378" s="110"/>
      <c r="O1378" s="110"/>
    </row>
    <row r="1379" spans="1:15" x14ac:dyDescent="0.3">
      <c r="A1379" s="58" t="str">
        <f>Schedule!E1377</f>
        <v>A084370</v>
      </c>
      <c r="B1379" s="58" t="s">
        <v>2788</v>
      </c>
      <c r="C1379" s="58" t="str">
        <f t="shared" si="63"/>
        <v>084370 KS</v>
      </c>
      <c r="D1379" s="58" t="s">
        <v>3671</v>
      </c>
      <c r="E1379" s="110" t="s">
        <v>3527</v>
      </c>
      <c r="F1379" s="110" t="str">
        <f>IFERROR(VLOOKUP(C1379,[1]evdl298!$B:$D,3,0),"")</f>
        <v>E</v>
      </c>
      <c r="G1379" s="110">
        <f>IFERROR(VLOOKUP(C1379,[1]evdl298!$B:$C,2,0),"")</f>
        <v>41515</v>
      </c>
      <c r="H1379" s="110" t="str">
        <f t="shared" si="64"/>
        <v>E</v>
      </c>
      <c r="I1379" s="110">
        <f t="shared" si="65"/>
        <v>41515</v>
      </c>
      <c r="J1379" s="110"/>
      <c r="K1379" s="110"/>
      <c r="M1379" s="110"/>
      <c r="O1379" s="110"/>
    </row>
    <row r="1380" spans="1:15" x14ac:dyDescent="0.3">
      <c r="A1380" s="58" t="str">
        <f>Schedule!E1378</f>
        <v>A084670</v>
      </c>
      <c r="B1380" s="58" t="s">
        <v>2789</v>
      </c>
      <c r="C1380" s="58" t="str">
        <f t="shared" si="63"/>
        <v>084670 KS</v>
      </c>
      <c r="D1380" s="58" t="s">
        <v>3671</v>
      </c>
      <c r="E1380" s="110" t="s">
        <v>3527</v>
      </c>
      <c r="F1380" s="110" t="str">
        <f>IFERROR(VLOOKUP(C1380,[1]evdl298!$B:$D,3,0),"")</f>
        <v/>
      </c>
      <c r="G1380" s="110" t="str">
        <f>IFERROR(VLOOKUP(C1380,[1]evdl298!$B:$C,2,0),"")</f>
        <v/>
      </c>
      <c r="H1380" s="110" t="str">
        <f t="shared" si="64"/>
        <v/>
      </c>
      <c r="I1380" s="110" t="str">
        <f t="shared" si="65"/>
        <v/>
      </c>
      <c r="J1380" s="110"/>
      <c r="K1380" s="110"/>
      <c r="M1380" s="110"/>
      <c r="O1380" s="110"/>
    </row>
    <row r="1381" spans="1:15" x14ac:dyDescent="0.3">
      <c r="A1381" s="58" t="str">
        <f>Schedule!E1379</f>
        <v>A084680</v>
      </c>
      <c r="B1381" s="58" t="s">
        <v>2790</v>
      </c>
      <c r="C1381" s="58" t="str">
        <f t="shared" si="63"/>
        <v>084680 KS</v>
      </c>
      <c r="D1381" s="58" t="s">
        <v>3671</v>
      </c>
      <c r="E1381" s="110" t="s">
        <v>3527</v>
      </c>
      <c r="F1381" s="110" t="str">
        <f>IFERROR(VLOOKUP(C1381,[1]evdl298!$B:$D,3,0),"")</f>
        <v/>
      </c>
      <c r="G1381" s="110" t="str">
        <f>IFERROR(VLOOKUP(C1381,[1]evdl298!$B:$C,2,0),"")</f>
        <v/>
      </c>
      <c r="H1381" s="110" t="str">
        <f t="shared" si="64"/>
        <v/>
      </c>
      <c r="I1381" s="110" t="str">
        <f t="shared" si="65"/>
        <v/>
      </c>
      <c r="J1381" s="110"/>
      <c r="K1381" s="110"/>
      <c r="M1381" s="110"/>
      <c r="O1381" s="110"/>
    </row>
    <row r="1382" spans="1:15" x14ac:dyDescent="0.3">
      <c r="A1382" s="58" t="str">
        <f>Schedule!E1380</f>
        <v>A084690</v>
      </c>
      <c r="B1382" s="58" t="s">
        <v>2791</v>
      </c>
      <c r="C1382" s="58" t="str">
        <f t="shared" si="63"/>
        <v>084690 KS</v>
      </c>
      <c r="D1382" s="58" t="s">
        <v>3671</v>
      </c>
      <c r="E1382" s="110" t="s">
        <v>3527</v>
      </c>
      <c r="F1382" s="110" t="str">
        <f>IFERROR(VLOOKUP(C1382,[1]evdl298!$B:$D,3,0),"")</f>
        <v/>
      </c>
      <c r="G1382" s="110" t="str">
        <f>IFERROR(VLOOKUP(C1382,[1]evdl298!$B:$C,2,0),"")</f>
        <v/>
      </c>
      <c r="H1382" s="110" t="str">
        <f t="shared" si="64"/>
        <v/>
      </c>
      <c r="I1382" s="110" t="str">
        <f t="shared" si="65"/>
        <v/>
      </c>
      <c r="J1382" s="110"/>
      <c r="K1382" s="110"/>
      <c r="M1382" s="110"/>
      <c r="O1382" s="110"/>
    </row>
    <row r="1383" spans="1:15" x14ac:dyDescent="0.3">
      <c r="A1383" s="58" t="str">
        <f>Schedule!E1381</f>
        <v>A084730</v>
      </c>
      <c r="B1383" s="58" t="s">
        <v>2792</v>
      </c>
      <c r="C1383" s="58" t="str">
        <f t="shared" si="63"/>
        <v>084730 KS</v>
      </c>
      <c r="D1383" s="58" t="s">
        <v>3671</v>
      </c>
      <c r="E1383" s="110" t="s">
        <v>3527</v>
      </c>
      <c r="F1383" s="110" t="str">
        <f>IFERROR(VLOOKUP(C1383,[1]evdl298!$B:$D,3,0),"")</f>
        <v/>
      </c>
      <c r="G1383" s="110" t="str">
        <f>IFERROR(VLOOKUP(C1383,[1]evdl298!$B:$C,2,0),"")</f>
        <v/>
      </c>
      <c r="H1383" s="110" t="str">
        <f t="shared" si="64"/>
        <v/>
      </c>
      <c r="I1383" s="110" t="str">
        <f t="shared" si="65"/>
        <v/>
      </c>
      <c r="J1383" s="110"/>
      <c r="K1383" s="110"/>
      <c r="M1383" s="110"/>
      <c r="O1383" s="110"/>
    </row>
    <row r="1384" spans="1:15" x14ac:dyDescent="0.3">
      <c r="A1384" s="58" t="str">
        <f>Schedule!E1382</f>
        <v>A084870</v>
      </c>
      <c r="B1384" s="58" t="s">
        <v>2793</v>
      </c>
      <c r="C1384" s="58" t="str">
        <f t="shared" si="63"/>
        <v>084870 KS</v>
      </c>
      <c r="D1384" s="58" t="s">
        <v>3671</v>
      </c>
      <c r="E1384" s="110" t="s">
        <v>3527</v>
      </c>
      <c r="F1384" s="110" t="str">
        <f>IFERROR(VLOOKUP(C1384,[1]evdl298!$B:$D,3,0),"")</f>
        <v>E</v>
      </c>
      <c r="G1384" s="110">
        <f>IFERROR(VLOOKUP(C1384,[1]evdl298!$B:$C,2,0),"")</f>
        <v>41500</v>
      </c>
      <c r="H1384" s="110" t="str">
        <f t="shared" si="64"/>
        <v>E</v>
      </c>
      <c r="I1384" s="110">
        <f t="shared" si="65"/>
        <v>41500</v>
      </c>
      <c r="J1384" s="110"/>
      <c r="K1384" s="110"/>
      <c r="M1384" s="110"/>
      <c r="O1384" s="110"/>
    </row>
    <row r="1385" spans="1:15" x14ac:dyDescent="0.3">
      <c r="A1385" s="58" t="str">
        <f>Schedule!E1383</f>
        <v>A084990</v>
      </c>
      <c r="B1385" s="58" t="s">
        <v>2794</v>
      </c>
      <c r="C1385" s="58" t="str">
        <f t="shared" si="63"/>
        <v>084990 KS</v>
      </c>
      <c r="D1385" s="58" t="s">
        <v>3671</v>
      </c>
      <c r="E1385" s="110" t="s">
        <v>3527</v>
      </c>
      <c r="F1385" s="110" t="str">
        <f>IFERROR(VLOOKUP(C1385,[1]evdl298!$B:$D,3,0),"")</f>
        <v/>
      </c>
      <c r="G1385" s="110" t="str">
        <f>IFERROR(VLOOKUP(C1385,[1]evdl298!$B:$C,2,0),"")</f>
        <v/>
      </c>
      <c r="H1385" s="110" t="str">
        <f t="shared" si="64"/>
        <v/>
      </c>
      <c r="I1385" s="110" t="str">
        <f t="shared" si="65"/>
        <v/>
      </c>
      <c r="J1385" s="110"/>
      <c r="K1385" s="110"/>
      <c r="M1385" s="110"/>
      <c r="O1385" s="110"/>
    </row>
    <row r="1386" spans="1:15" x14ac:dyDescent="0.3">
      <c r="A1386" s="58" t="str">
        <f>Schedule!E1384</f>
        <v>A085310</v>
      </c>
      <c r="B1386" s="58" t="s">
        <v>2795</v>
      </c>
      <c r="C1386" s="58" t="str">
        <f t="shared" si="63"/>
        <v>085310 KS</v>
      </c>
      <c r="D1386" s="58" t="s">
        <v>3671</v>
      </c>
      <c r="E1386" s="110" t="s">
        <v>3527</v>
      </c>
      <c r="F1386" s="110" t="str">
        <f>IFERROR(VLOOKUP(C1386,[1]evdl298!$B:$D,3,0),"")</f>
        <v/>
      </c>
      <c r="G1386" s="110" t="str">
        <f>IFERROR(VLOOKUP(C1386,[1]evdl298!$B:$C,2,0),"")</f>
        <v/>
      </c>
      <c r="H1386" s="110" t="str">
        <f t="shared" si="64"/>
        <v/>
      </c>
      <c r="I1386" s="110" t="str">
        <f t="shared" si="65"/>
        <v/>
      </c>
      <c r="J1386" s="110"/>
      <c r="K1386" s="110"/>
      <c r="M1386" s="110"/>
      <c r="O1386" s="110"/>
    </row>
    <row r="1387" spans="1:15" x14ac:dyDescent="0.3">
      <c r="A1387" s="58" t="str">
        <f>Schedule!E1385</f>
        <v>A085370</v>
      </c>
      <c r="B1387" s="58" t="s">
        <v>2796</v>
      </c>
      <c r="C1387" s="58" t="str">
        <f t="shared" si="63"/>
        <v>085370 KS</v>
      </c>
      <c r="D1387" s="58" t="s">
        <v>3671</v>
      </c>
      <c r="E1387" s="110" t="s">
        <v>3527</v>
      </c>
      <c r="F1387" s="110" t="str">
        <f>IFERROR(VLOOKUP(C1387,[1]evdl298!$B:$D,3,0),"")</f>
        <v>E</v>
      </c>
      <c r="G1387" s="110">
        <f>IFERROR(VLOOKUP(C1387,[1]evdl298!$B:$C,2,0),"")</f>
        <v>41486</v>
      </c>
      <c r="H1387" s="110" t="str">
        <f t="shared" si="64"/>
        <v>E</v>
      </c>
      <c r="I1387" s="110">
        <f t="shared" si="65"/>
        <v>41486</v>
      </c>
      <c r="J1387" s="110"/>
      <c r="K1387" s="110"/>
      <c r="M1387" s="110"/>
      <c r="O1387" s="110"/>
    </row>
    <row r="1388" spans="1:15" x14ac:dyDescent="0.3">
      <c r="A1388" s="58" t="str">
        <f>Schedule!E1386</f>
        <v>A085660</v>
      </c>
      <c r="B1388" s="58" t="s">
        <v>2797</v>
      </c>
      <c r="C1388" s="58" t="str">
        <f t="shared" si="63"/>
        <v>085660 KS</v>
      </c>
      <c r="D1388" s="58" t="s">
        <v>3671</v>
      </c>
      <c r="E1388" s="110" t="s">
        <v>3527</v>
      </c>
      <c r="F1388" s="110" t="str">
        <f>IFERROR(VLOOKUP(C1388,[1]evdl298!$B:$D,3,0),"")</f>
        <v>E</v>
      </c>
      <c r="G1388" s="110">
        <f>IFERROR(VLOOKUP(C1388,[1]evdl298!$B:$C,2,0),"")</f>
        <v>41500</v>
      </c>
      <c r="H1388" s="110" t="str">
        <f t="shared" si="64"/>
        <v>E</v>
      </c>
      <c r="I1388" s="110">
        <f t="shared" si="65"/>
        <v>41500</v>
      </c>
      <c r="J1388" s="110"/>
      <c r="K1388" s="110"/>
      <c r="M1388" s="110"/>
      <c r="O1388" s="110"/>
    </row>
    <row r="1389" spans="1:15" x14ac:dyDescent="0.3">
      <c r="A1389" s="58" t="str">
        <f>Schedule!E1387</f>
        <v>A085670</v>
      </c>
      <c r="B1389" s="58" t="s">
        <v>2798</v>
      </c>
      <c r="C1389" s="58" t="str">
        <f t="shared" si="63"/>
        <v>085670 KS</v>
      </c>
      <c r="D1389" s="58" t="s">
        <v>3671</v>
      </c>
      <c r="E1389" s="110" t="s">
        <v>3527</v>
      </c>
      <c r="F1389" s="110" t="str">
        <f>IFERROR(VLOOKUP(C1389,[1]evdl298!$B:$D,3,0),"")</f>
        <v>E</v>
      </c>
      <c r="G1389" s="110">
        <f>IFERROR(VLOOKUP(C1389,[1]evdl298!$B:$C,2,0),"")</f>
        <v>41515</v>
      </c>
      <c r="H1389" s="110" t="str">
        <f t="shared" si="64"/>
        <v>E</v>
      </c>
      <c r="I1389" s="110">
        <f t="shared" si="65"/>
        <v>41515</v>
      </c>
      <c r="J1389" s="110"/>
      <c r="K1389" s="110"/>
      <c r="M1389" s="110"/>
      <c r="O1389" s="110"/>
    </row>
    <row r="1390" spans="1:15" x14ac:dyDescent="0.3">
      <c r="A1390" s="58" t="str">
        <f>Schedule!E1388</f>
        <v>A085910</v>
      </c>
      <c r="B1390" s="58" t="s">
        <v>2799</v>
      </c>
      <c r="C1390" s="58" t="str">
        <f t="shared" si="63"/>
        <v>085910 KS</v>
      </c>
      <c r="D1390" s="58" t="s">
        <v>3671</v>
      </c>
      <c r="E1390" s="110" t="s">
        <v>3527</v>
      </c>
      <c r="F1390" s="110" t="str">
        <f>IFERROR(VLOOKUP(C1390,[1]evdl298!$B:$D,3,0),"")</f>
        <v/>
      </c>
      <c r="G1390" s="110" t="str">
        <f>IFERROR(VLOOKUP(C1390,[1]evdl298!$B:$C,2,0),"")</f>
        <v/>
      </c>
      <c r="H1390" s="110" t="str">
        <f t="shared" si="64"/>
        <v/>
      </c>
      <c r="I1390" s="110" t="str">
        <f t="shared" si="65"/>
        <v/>
      </c>
      <c r="J1390" s="110"/>
      <c r="K1390" s="110"/>
      <c r="M1390" s="110"/>
      <c r="O1390" s="110"/>
    </row>
    <row r="1391" spans="1:15" x14ac:dyDescent="0.3">
      <c r="A1391" s="58" t="str">
        <f>Schedule!E1389</f>
        <v>A086040</v>
      </c>
      <c r="B1391" s="58" t="s">
        <v>2800</v>
      </c>
      <c r="C1391" s="58" t="str">
        <f t="shared" si="63"/>
        <v>086040 KS</v>
      </c>
      <c r="D1391" s="58" t="s">
        <v>3671</v>
      </c>
      <c r="E1391" s="110" t="s">
        <v>3527</v>
      </c>
      <c r="F1391" s="110" t="str">
        <f>IFERROR(VLOOKUP(C1391,[1]evdl298!$B:$D,3,0),"")</f>
        <v/>
      </c>
      <c r="G1391" s="110" t="str">
        <f>IFERROR(VLOOKUP(C1391,[1]evdl298!$B:$C,2,0),"")</f>
        <v/>
      </c>
      <c r="H1391" s="110" t="str">
        <f t="shared" si="64"/>
        <v/>
      </c>
      <c r="I1391" s="110" t="str">
        <f t="shared" si="65"/>
        <v/>
      </c>
      <c r="J1391" s="110"/>
      <c r="K1391" s="110"/>
      <c r="M1391" s="110"/>
      <c r="O1391" s="110"/>
    </row>
    <row r="1392" spans="1:15" x14ac:dyDescent="0.3">
      <c r="A1392" s="58" t="str">
        <f>Schedule!E1390</f>
        <v>A086060</v>
      </c>
      <c r="B1392" s="58" t="s">
        <v>2801</v>
      </c>
      <c r="C1392" s="58" t="str">
        <f t="shared" si="63"/>
        <v>086060 KS</v>
      </c>
      <c r="D1392" s="58" t="s">
        <v>3671</v>
      </c>
      <c r="E1392" s="110" t="s">
        <v>3527</v>
      </c>
      <c r="F1392" s="110" t="str">
        <f>IFERROR(VLOOKUP(C1392,[1]evdl298!$B:$D,3,0),"")</f>
        <v>E</v>
      </c>
      <c r="G1392" s="110">
        <f>IFERROR(VLOOKUP(C1392,[1]evdl298!$B:$C,2,0),"")</f>
        <v>41515</v>
      </c>
      <c r="H1392" s="110" t="str">
        <f t="shared" si="64"/>
        <v>E</v>
      </c>
      <c r="I1392" s="110">
        <f t="shared" si="65"/>
        <v>41515</v>
      </c>
      <c r="J1392" s="110"/>
      <c r="K1392" s="110"/>
      <c r="M1392" s="110"/>
      <c r="O1392" s="110"/>
    </row>
    <row r="1393" spans="1:15" x14ac:dyDescent="0.3">
      <c r="A1393" s="58" t="str">
        <f>Schedule!E1391</f>
        <v>A086200</v>
      </c>
      <c r="B1393" s="58" t="s">
        <v>2802</v>
      </c>
      <c r="C1393" s="58" t="str">
        <f t="shared" si="63"/>
        <v>086200 KS</v>
      </c>
      <c r="D1393" s="58" t="s">
        <v>3671</v>
      </c>
      <c r="E1393" s="110" t="s">
        <v>3527</v>
      </c>
      <c r="F1393" s="110" t="str">
        <f>IFERROR(VLOOKUP(C1393,[1]evdl298!$B:$D,3,0),"")</f>
        <v/>
      </c>
      <c r="G1393" s="110" t="str">
        <f>IFERROR(VLOOKUP(C1393,[1]evdl298!$B:$C,2,0),"")</f>
        <v/>
      </c>
      <c r="H1393" s="110" t="str">
        <f t="shared" si="64"/>
        <v/>
      </c>
      <c r="I1393" s="110" t="str">
        <f t="shared" si="65"/>
        <v/>
      </c>
      <c r="J1393" s="110"/>
      <c r="K1393" s="110"/>
      <c r="M1393" s="110"/>
      <c r="O1393" s="110"/>
    </row>
    <row r="1394" spans="1:15" x14ac:dyDescent="0.3">
      <c r="A1394" s="58" t="str">
        <f>Schedule!E1392</f>
        <v>A086250</v>
      </c>
      <c r="B1394" s="58" t="s">
        <v>2803</v>
      </c>
      <c r="C1394" s="58" t="str">
        <f t="shared" si="63"/>
        <v>086250 KS</v>
      </c>
      <c r="D1394" s="58" t="s">
        <v>3671</v>
      </c>
      <c r="E1394" s="110" t="s">
        <v>3527</v>
      </c>
      <c r="F1394" s="110" t="str">
        <f>IFERROR(VLOOKUP(C1394,[1]evdl298!$B:$D,3,0),"")</f>
        <v>E</v>
      </c>
      <c r="G1394" s="110">
        <f>IFERROR(VLOOKUP(C1394,[1]evdl298!$B:$C,2,0),"")</f>
        <v>41500</v>
      </c>
      <c r="H1394" s="110" t="str">
        <f t="shared" si="64"/>
        <v>E</v>
      </c>
      <c r="I1394" s="110">
        <f t="shared" si="65"/>
        <v>41500</v>
      </c>
      <c r="J1394" s="110"/>
      <c r="K1394" s="110"/>
      <c r="M1394" s="110"/>
      <c r="O1394" s="110"/>
    </row>
    <row r="1395" spans="1:15" x14ac:dyDescent="0.3">
      <c r="A1395" s="58" t="str">
        <f>Schedule!E1393</f>
        <v>A086280</v>
      </c>
      <c r="B1395" s="58" t="s">
        <v>2804</v>
      </c>
      <c r="C1395" s="58" t="str">
        <f t="shared" si="63"/>
        <v>086280 KS</v>
      </c>
      <c r="D1395" s="58" t="s">
        <v>3671</v>
      </c>
      <c r="E1395" s="110" t="s">
        <v>3527</v>
      </c>
      <c r="F1395" s="110" t="str">
        <f>IFERROR(VLOOKUP(C1395,[1]evdl298!$B:$D,3,0),"")</f>
        <v>E</v>
      </c>
      <c r="G1395" s="110">
        <f>IFERROR(VLOOKUP(C1395,[1]evdl298!$B:$C,2,0),"")</f>
        <v>41515</v>
      </c>
      <c r="H1395" s="110" t="str">
        <f t="shared" si="64"/>
        <v>E</v>
      </c>
      <c r="I1395" s="110">
        <f t="shared" si="65"/>
        <v>41515</v>
      </c>
      <c r="J1395" s="110"/>
      <c r="K1395" s="110"/>
      <c r="M1395" s="110"/>
      <c r="O1395" s="110"/>
    </row>
    <row r="1396" spans="1:15" x14ac:dyDescent="0.3">
      <c r="A1396" s="58" t="str">
        <f>Schedule!E1394</f>
        <v>A086390</v>
      </c>
      <c r="B1396" s="58" t="s">
        <v>2805</v>
      </c>
      <c r="C1396" s="58" t="str">
        <f t="shared" si="63"/>
        <v>086390 KS</v>
      </c>
      <c r="D1396" s="58" t="s">
        <v>3671</v>
      </c>
      <c r="E1396" s="110">
        <v>41487</v>
      </c>
      <c r="F1396" s="110" t="str">
        <f>IFERROR(VLOOKUP(C1396,[1]evdl298!$B:$D,3,0),"")</f>
        <v>E</v>
      </c>
      <c r="G1396" s="110">
        <f>IFERROR(VLOOKUP(C1396,[1]evdl298!$B:$C,2,0),"")</f>
        <v>41500</v>
      </c>
      <c r="H1396" s="110" t="str">
        <f t="shared" si="64"/>
        <v>E</v>
      </c>
      <c r="I1396" s="110">
        <f t="shared" si="65"/>
        <v>41500</v>
      </c>
      <c r="J1396" s="110"/>
      <c r="K1396" s="110"/>
      <c r="M1396" s="110"/>
      <c r="O1396" s="110"/>
    </row>
    <row r="1397" spans="1:15" x14ac:dyDescent="0.3">
      <c r="A1397" s="58" t="str">
        <f>Schedule!E1395</f>
        <v>A086450</v>
      </c>
      <c r="B1397" s="58" t="s">
        <v>2806</v>
      </c>
      <c r="C1397" s="58" t="str">
        <f t="shared" si="63"/>
        <v>086450 KS</v>
      </c>
      <c r="D1397" s="58" t="s">
        <v>3671</v>
      </c>
      <c r="E1397" s="110" t="s">
        <v>3527</v>
      </c>
      <c r="F1397" s="110" t="str">
        <f>IFERROR(VLOOKUP(C1397,[1]evdl298!$B:$D,3,0),"")</f>
        <v>E</v>
      </c>
      <c r="G1397" s="110">
        <f>IFERROR(VLOOKUP(C1397,[1]evdl298!$B:$C,2,0),"")</f>
        <v>41460</v>
      </c>
      <c r="H1397" s="110" t="str">
        <f t="shared" si="64"/>
        <v>E</v>
      </c>
      <c r="I1397" s="110">
        <f t="shared" si="65"/>
        <v>41460</v>
      </c>
      <c r="J1397" s="110"/>
      <c r="K1397" s="110"/>
      <c r="M1397" s="110"/>
      <c r="O1397" s="110"/>
    </row>
    <row r="1398" spans="1:15" x14ac:dyDescent="0.3">
      <c r="A1398" s="58" t="str">
        <f>Schedule!E1396</f>
        <v>A086520</v>
      </c>
      <c r="B1398" s="58" t="s">
        <v>2807</v>
      </c>
      <c r="C1398" s="58" t="str">
        <f t="shared" si="63"/>
        <v>086520 KS</v>
      </c>
      <c r="D1398" s="58" t="s">
        <v>3671</v>
      </c>
      <c r="E1398" s="110" t="s">
        <v>3527</v>
      </c>
      <c r="F1398" s="110" t="str">
        <f>IFERROR(VLOOKUP(C1398,[1]evdl298!$B:$D,3,0),"")</f>
        <v>E</v>
      </c>
      <c r="G1398" s="110">
        <f>IFERROR(VLOOKUP(C1398,[1]evdl298!$B:$C,2,0),"")</f>
        <v>41500</v>
      </c>
      <c r="H1398" s="110" t="str">
        <f t="shared" si="64"/>
        <v>E</v>
      </c>
      <c r="I1398" s="110">
        <f t="shared" si="65"/>
        <v>41500</v>
      </c>
      <c r="J1398" s="110"/>
      <c r="K1398" s="110"/>
      <c r="M1398" s="110"/>
      <c r="O1398" s="110"/>
    </row>
    <row r="1399" spans="1:15" x14ac:dyDescent="0.3">
      <c r="A1399" s="58" t="str">
        <f>Schedule!E1397</f>
        <v>A086670</v>
      </c>
      <c r="B1399" s="58" t="s">
        <v>2808</v>
      </c>
      <c r="C1399" s="58" t="str">
        <f t="shared" si="63"/>
        <v>086670 KS</v>
      </c>
      <c r="D1399" s="58" t="s">
        <v>3671</v>
      </c>
      <c r="E1399" s="110" t="s">
        <v>3527</v>
      </c>
      <c r="F1399" s="110" t="str">
        <f>IFERROR(VLOOKUP(C1399,[1]evdl298!$B:$D,3,0),"")</f>
        <v>E</v>
      </c>
      <c r="G1399" s="110">
        <f>IFERROR(VLOOKUP(C1399,[1]evdl298!$B:$C,2,0),"")</f>
        <v>41492</v>
      </c>
      <c r="H1399" s="110" t="str">
        <f t="shared" si="64"/>
        <v>E</v>
      </c>
      <c r="I1399" s="110">
        <f t="shared" si="65"/>
        <v>41492</v>
      </c>
      <c r="J1399" s="110"/>
      <c r="K1399" s="110"/>
      <c r="M1399" s="110"/>
      <c r="O1399" s="110"/>
    </row>
    <row r="1400" spans="1:15" x14ac:dyDescent="0.3">
      <c r="A1400" s="58" t="str">
        <f>Schedule!E1398</f>
        <v>A086790</v>
      </c>
      <c r="B1400" s="58" t="s">
        <v>2809</v>
      </c>
      <c r="C1400" s="58" t="str">
        <f t="shared" si="63"/>
        <v>086790 KS</v>
      </c>
      <c r="D1400" s="58" t="s">
        <v>3671</v>
      </c>
      <c r="E1400" s="110" t="s">
        <v>3527</v>
      </c>
      <c r="F1400" s="110" t="str">
        <f>IFERROR(VLOOKUP(C1400,[1]evdl298!$B:$D,3,0),"")</f>
        <v>C</v>
      </c>
      <c r="G1400" s="110">
        <f>IFERROR(VLOOKUP(C1400,[1]evdl298!$B:$C,2,0),"")</f>
        <v>41474</v>
      </c>
      <c r="H1400" s="110" t="str">
        <f t="shared" si="64"/>
        <v>C</v>
      </c>
      <c r="I1400" s="110">
        <f t="shared" si="65"/>
        <v>41474</v>
      </c>
      <c r="J1400" s="110"/>
      <c r="K1400" s="110"/>
      <c r="M1400" s="110"/>
      <c r="O1400" s="110"/>
    </row>
    <row r="1401" spans="1:15" x14ac:dyDescent="0.3">
      <c r="A1401" s="58" t="str">
        <f>Schedule!E1399</f>
        <v>A086830</v>
      </c>
      <c r="B1401" s="58" t="s">
        <v>2810</v>
      </c>
      <c r="C1401" s="58" t="str">
        <f t="shared" si="63"/>
        <v>086830 KS</v>
      </c>
      <c r="D1401" s="58" t="s">
        <v>3671</v>
      </c>
      <c r="E1401" s="110" t="s">
        <v>3698</v>
      </c>
      <c r="F1401" s="110" t="str">
        <f>IFERROR(VLOOKUP(C1401,[1]evdl298!$B:$D,3,0),"")</f>
        <v>E</v>
      </c>
      <c r="G1401" s="110">
        <f>IFERROR(VLOOKUP(C1401,[1]evdl298!$B:$C,2,0),"")</f>
        <v>41515</v>
      </c>
      <c r="H1401" s="110" t="str">
        <f t="shared" si="64"/>
        <v>E</v>
      </c>
      <c r="I1401" s="110">
        <f t="shared" si="65"/>
        <v>41515</v>
      </c>
      <c r="J1401" s="110"/>
      <c r="K1401" s="110"/>
      <c r="M1401" s="110"/>
      <c r="O1401" s="110"/>
    </row>
    <row r="1402" spans="1:15" x14ac:dyDescent="0.3">
      <c r="A1402" s="58" t="str">
        <f>Schedule!E1400</f>
        <v>A086890</v>
      </c>
      <c r="B1402" s="58" t="s">
        <v>2811</v>
      </c>
      <c r="C1402" s="58" t="str">
        <f t="shared" si="63"/>
        <v>086890 KS</v>
      </c>
      <c r="D1402" s="58" t="s">
        <v>3671</v>
      </c>
      <c r="E1402" s="110" t="s">
        <v>3527</v>
      </c>
      <c r="F1402" s="110" t="str">
        <f>IFERROR(VLOOKUP(C1402,[1]evdl298!$B:$D,3,0),"")</f>
        <v>E</v>
      </c>
      <c r="G1402" s="110">
        <f>IFERROR(VLOOKUP(C1402,[1]evdl298!$B:$C,2,0),"")</f>
        <v>41500</v>
      </c>
      <c r="H1402" s="110" t="str">
        <f t="shared" si="64"/>
        <v>E</v>
      </c>
      <c r="I1402" s="110">
        <f t="shared" si="65"/>
        <v>41500</v>
      </c>
      <c r="J1402" s="110"/>
      <c r="K1402" s="110"/>
      <c r="M1402" s="110"/>
      <c r="O1402" s="110"/>
    </row>
    <row r="1403" spans="1:15" x14ac:dyDescent="0.3">
      <c r="A1403" s="58" t="str">
        <f>Schedule!E1401</f>
        <v>A086900</v>
      </c>
      <c r="B1403" s="58" t="s">
        <v>2812</v>
      </c>
      <c r="C1403" s="58" t="str">
        <f t="shared" si="63"/>
        <v>086900 KS</v>
      </c>
      <c r="D1403" s="58" t="s">
        <v>3671</v>
      </c>
      <c r="E1403" s="110" t="s">
        <v>3527</v>
      </c>
      <c r="F1403" s="110" t="str">
        <f>IFERROR(VLOOKUP(C1403,[1]evdl298!$B:$D,3,0),"")</f>
        <v>E</v>
      </c>
      <c r="G1403" s="110">
        <f>IFERROR(VLOOKUP(C1403,[1]evdl298!$B:$C,2,0),"")</f>
        <v>41515</v>
      </c>
      <c r="H1403" s="110" t="str">
        <f t="shared" si="64"/>
        <v>E</v>
      </c>
      <c r="I1403" s="110">
        <f t="shared" si="65"/>
        <v>41515</v>
      </c>
      <c r="J1403" s="110"/>
      <c r="K1403" s="110"/>
      <c r="M1403" s="110"/>
      <c r="O1403" s="110"/>
    </row>
    <row r="1404" spans="1:15" x14ac:dyDescent="0.3">
      <c r="A1404" s="58" t="str">
        <f>Schedule!E1402</f>
        <v>A086960</v>
      </c>
      <c r="B1404" s="58" t="s">
        <v>2813</v>
      </c>
      <c r="C1404" s="58" t="str">
        <f t="shared" si="63"/>
        <v>086960 KS</v>
      </c>
      <c r="D1404" s="58" t="s">
        <v>3671</v>
      </c>
      <c r="E1404" s="110" t="s">
        <v>3527</v>
      </c>
      <c r="F1404" s="110" t="str">
        <f>IFERROR(VLOOKUP(C1404,[1]evdl298!$B:$D,3,0),"")</f>
        <v>E</v>
      </c>
      <c r="G1404" s="110">
        <f>IFERROR(VLOOKUP(C1404,[1]evdl298!$B:$C,2,0),"")</f>
        <v>41495</v>
      </c>
      <c r="H1404" s="110" t="str">
        <f t="shared" si="64"/>
        <v>E</v>
      </c>
      <c r="I1404" s="110">
        <f t="shared" si="65"/>
        <v>41495</v>
      </c>
      <c r="J1404" s="110"/>
      <c r="K1404" s="110"/>
      <c r="M1404" s="110"/>
      <c r="O1404" s="110"/>
    </row>
    <row r="1405" spans="1:15" x14ac:dyDescent="0.3">
      <c r="A1405" s="58" t="str">
        <f>Schedule!E1403</f>
        <v>A086980</v>
      </c>
      <c r="B1405" s="58" t="s">
        <v>2814</v>
      </c>
      <c r="C1405" s="58" t="str">
        <f t="shared" si="63"/>
        <v>086980 KS</v>
      </c>
      <c r="D1405" s="58" t="s">
        <v>3671</v>
      </c>
      <c r="E1405" s="110" t="s">
        <v>3527</v>
      </c>
      <c r="F1405" s="110" t="str">
        <f>IFERROR(VLOOKUP(C1405,[1]evdl298!$B:$D,3,0),"")</f>
        <v/>
      </c>
      <c r="G1405" s="110" t="str">
        <f>IFERROR(VLOOKUP(C1405,[1]evdl298!$B:$C,2,0),"")</f>
        <v/>
      </c>
      <c r="H1405" s="110" t="str">
        <f t="shared" si="64"/>
        <v/>
      </c>
      <c r="I1405" s="110" t="str">
        <f t="shared" si="65"/>
        <v/>
      </c>
      <c r="J1405" s="110"/>
      <c r="K1405" s="110"/>
      <c r="M1405" s="110"/>
      <c r="O1405" s="110"/>
    </row>
    <row r="1406" spans="1:15" x14ac:dyDescent="0.3">
      <c r="A1406" s="58" t="str">
        <f>Schedule!E1404</f>
        <v>A087220</v>
      </c>
      <c r="B1406" s="58" t="s">
        <v>2815</v>
      </c>
      <c r="C1406" s="58" t="str">
        <f t="shared" si="63"/>
        <v>087220 KS</v>
      </c>
      <c r="D1406" s="58" t="s">
        <v>3671</v>
      </c>
      <c r="E1406" s="110" t="s">
        <v>3527</v>
      </c>
      <c r="F1406" s="110" t="str">
        <f>IFERROR(VLOOKUP(C1406,[1]evdl298!$B:$D,3,0),"")</f>
        <v>E</v>
      </c>
      <c r="G1406" s="110">
        <f>IFERROR(VLOOKUP(C1406,[1]evdl298!$B:$C,2,0),"")</f>
        <v>41515</v>
      </c>
      <c r="H1406" s="110" t="str">
        <f t="shared" si="64"/>
        <v>E</v>
      </c>
      <c r="I1406" s="110">
        <f t="shared" si="65"/>
        <v>41515</v>
      </c>
      <c r="J1406" s="110"/>
      <c r="K1406" s="110"/>
      <c r="M1406" s="110"/>
      <c r="O1406" s="110"/>
    </row>
    <row r="1407" spans="1:15" x14ac:dyDescent="0.3">
      <c r="A1407" s="58" t="str">
        <f>Schedule!E1405</f>
        <v>A087730</v>
      </c>
      <c r="B1407" s="58" t="s">
        <v>2816</v>
      </c>
      <c r="C1407" s="58" t="str">
        <f t="shared" si="63"/>
        <v>087730 KS</v>
      </c>
      <c r="D1407" s="58" t="s">
        <v>3671</v>
      </c>
      <c r="E1407" s="110" t="s">
        <v>3527</v>
      </c>
      <c r="F1407" s="110" t="str">
        <f>IFERROR(VLOOKUP(C1407,[1]evdl298!$B:$D,3,0),"")</f>
        <v>E</v>
      </c>
      <c r="G1407" s="110">
        <f>IFERROR(VLOOKUP(C1407,[1]evdl298!$B:$C,2,0),"")</f>
        <v>41460</v>
      </c>
      <c r="H1407" s="110" t="str">
        <f t="shared" si="64"/>
        <v>E</v>
      </c>
      <c r="I1407" s="110">
        <f t="shared" si="65"/>
        <v>41460</v>
      </c>
      <c r="J1407" s="110"/>
      <c r="K1407" s="110"/>
      <c r="M1407" s="110"/>
      <c r="O1407" s="110"/>
    </row>
    <row r="1408" spans="1:15" x14ac:dyDescent="0.3">
      <c r="A1408" s="58" t="str">
        <f>Schedule!E1406</f>
        <v>A088130</v>
      </c>
      <c r="B1408" s="58" t="s">
        <v>2817</v>
      </c>
      <c r="C1408" s="58" t="str">
        <f t="shared" si="63"/>
        <v>088130 KS</v>
      </c>
      <c r="D1408" s="58" t="s">
        <v>3671</v>
      </c>
      <c r="E1408" s="110" t="s">
        <v>3527</v>
      </c>
      <c r="F1408" s="110" t="str">
        <f>IFERROR(VLOOKUP(C1408,[1]evdl298!$B:$D,3,0),"")</f>
        <v/>
      </c>
      <c r="G1408" s="110" t="str">
        <f>IFERROR(VLOOKUP(C1408,[1]evdl298!$B:$C,2,0),"")</f>
        <v/>
      </c>
      <c r="H1408" s="110" t="str">
        <f t="shared" si="64"/>
        <v/>
      </c>
      <c r="I1408" s="110" t="str">
        <f t="shared" si="65"/>
        <v/>
      </c>
      <c r="J1408" s="110"/>
      <c r="K1408" s="110"/>
      <c r="M1408" s="110"/>
      <c r="O1408" s="110"/>
    </row>
    <row r="1409" spans="1:15" x14ac:dyDescent="0.3">
      <c r="A1409" s="58" t="str">
        <f>Schedule!E1407</f>
        <v>A088290</v>
      </c>
      <c r="B1409" s="58" t="s">
        <v>2818</v>
      </c>
      <c r="C1409" s="58" t="str">
        <f t="shared" si="63"/>
        <v>088290 KS</v>
      </c>
      <c r="D1409" s="58" t="s">
        <v>3671</v>
      </c>
      <c r="E1409" s="110" t="s">
        <v>3527</v>
      </c>
      <c r="F1409" s="110" t="str">
        <f>IFERROR(VLOOKUP(C1409,[1]evdl298!$B:$D,3,0),"")</f>
        <v>E</v>
      </c>
      <c r="G1409" s="110">
        <f>IFERROR(VLOOKUP(C1409,[1]evdl298!$B:$C,2,0),"")</f>
        <v>41515</v>
      </c>
      <c r="H1409" s="110" t="str">
        <f t="shared" si="64"/>
        <v>E</v>
      </c>
      <c r="I1409" s="110">
        <f t="shared" si="65"/>
        <v>41515</v>
      </c>
      <c r="J1409" s="110"/>
      <c r="K1409" s="110"/>
      <c r="M1409" s="110"/>
      <c r="O1409" s="110"/>
    </row>
    <row r="1410" spans="1:15" x14ac:dyDescent="0.3">
      <c r="A1410" s="58" t="str">
        <f>Schedule!E1408</f>
        <v>A088350</v>
      </c>
      <c r="B1410" s="58" t="s">
        <v>3379</v>
      </c>
      <c r="C1410" s="58" t="str">
        <f t="shared" si="63"/>
        <v>088350 KS</v>
      </c>
      <c r="D1410" s="58" t="s">
        <v>3671</v>
      </c>
      <c r="E1410" s="110" t="s">
        <v>3527</v>
      </c>
      <c r="F1410" s="110" t="str">
        <f>IFERROR(VLOOKUP(C1410,[1]evdl298!$B:$D,3,0),"")</f>
        <v>E</v>
      </c>
      <c r="G1410" s="110">
        <f>IFERROR(VLOOKUP(C1410,[1]evdl298!$B:$C,2,0),"")</f>
        <v>41495</v>
      </c>
      <c r="H1410" s="110" t="str">
        <f t="shared" si="64"/>
        <v>E</v>
      </c>
      <c r="I1410" s="110">
        <f t="shared" si="65"/>
        <v>41495</v>
      </c>
      <c r="J1410" s="110"/>
      <c r="K1410" s="110"/>
      <c r="M1410" s="110"/>
      <c r="O1410" s="110"/>
    </row>
    <row r="1411" spans="1:15" x14ac:dyDescent="0.3">
      <c r="A1411" s="58" t="str">
        <f>Schedule!E1409</f>
        <v>A088390</v>
      </c>
      <c r="B1411" s="58" t="s">
        <v>3380</v>
      </c>
      <c r="C1411" s="58" t="str">
        <f t="shared" si="63"/>
        <v>088390 KS</v>
      </c>
      <c r="D1411" s="58" t="s">
        <v>3671</v>
      </c>
      <c r="E1411" s="110" t="s">
        <v>3689</v>
      </c>
      <c r="F1411" s="110" t="str">
        <f>IFERROR(VLOOKUP(C1411,[1]evdl298!$B:$D,3,0),"")</f>
        <v>E</v>
      </c>
      <c r="G1411" s="110">
        <f>IFERROR(VLOOKUP(C1411,[1]evdl298!$B:$C,2,0),"")</f>
        <v>41515</v>
      </c>
      <c r="H1411" s="110" t="str">
        <f t="shared" si="64"/>
        <v>E</v>
      </c>
      <c r="I1411" s="110">
        <f t="shared" si="65"/>
        <v>41515</v>
      </c>
      <c r="J1411" s="110"/>
      <c r="K1411" s="110"/>
      <c r="M1411" s="110"/>
      <c r="O1411" s="110"/>
    </row>
    <row r="1412" spans="1:15" x14ac:dyDescent="0.3">
      <c r="A1412" s="58" t="str">
        <f>Schedule!E1410</f>
        <v>A088790</v>
      </c>
      <c r="B1412" s="58" t="s">
        <v>2819</v>
      </c>
      <c r="C1412" s="58" t="str">
        <f t="shared" si="63"/>
        <v>088790 KS</v>
      </c>
      <c r="D1412" s="58" t="s">
        <v>3671</v>
      </c>
      <c r="E1412" s="110" t="s">
        <v>3678</v>
      </c>
      <c r="F1412" s="110" t="str">
        <f>IFERROR(VLOOKUP(C1412,[1]evdl298!$B:$D,3,0),"")</f>
        <v>E</v>
      </c>
      <c r="G1412" s="110">
        <f>IFERROR(VLOOKUP(C1412,[1]evdl298!$B:$C,2,0),"")</f>
        <v>41515</v>
      </c>
      <c r="H1412" s="110" t="str">
        <f t="shared" si="64"/>
        <v>E</v>
      </c>
      <c r="I1412" s="110">
        <f t="shared" si="65"/>
        <v>41515</v>
      </c>
      <c r="J1412" s="110"/>
      <c r="K1412" s="110"/>
      <c r="M1412" s="110"/>
      <c r="O1412" s="110"/>
    </row>
    <row r="1413" spans="1:15" x14ac:dyDescent="0.3">
      <c r="A1413" s="58" t="str">
        <f>Schedule!E1411</f>
        <v>A088800</v>
      </c>
      <c r="B1413" s="58" t="s">
        <v>2820</v>
      </c>
      <c r="C1413" s="58" t="str">
        <f t="shared" si="63"/>
        <v>088800 KS</v>
      </c>
      <c r="D1413" s="58" t="s">
        <v>3671</v>
      </c>
      <c r="E1413" s="110" t="s">
        <v>3527</v>
      </c>
      <c r="F1413" s="110" t="str">
        <f>IFERROR(VLOOKUP(C1413,[1]evdl298!$B:$D,3,0),"")</f>
        <v/>
      </c>
      <c r="G1413" s="110" t="str">
        <f>IFERROR(VLOOKUP(C1413,[1]evdl298!$B:$C,2,0),"")</f>
        <v/>
      </c>
      <c r="H1413" s="110" t="str">
        <f t="shared" si="64"/>
        <v/>
      </c>
      <c r="I1413" s="110" t="str">
        <f t="shared" si="65"/>
        <v/>
      </c>
      <c r="J1413" s="110"/>
      <c r="K1413" s="110"/>
      <c r="M1413" s="110"/>
      <c r="O1413" s="110"/>
    </row>
    <row r="1414" spans="1:15" x14ac:dyDescent="0.3">
      <c r="A1414" s="58" t="str">
        <f>Schedule!E1412</f>
        <v>A088910</v>
      </c>
      <c r="B1414" s="58" t="s">
        <v>2821</v>
      </c>
      <c r="C1414" s="58" t="str">
        <f t="shared" si="63"/>
        <v>088910 KS</v>
      </c>
      <c r="D1414" s="58" t="s">
        <v>3671</v>
      </c>
      <c r="E1414" s="110" t="s">
        <v>3527</v>
      </c>
      <c r="F1414" s="110" t="str">
        <f>IFERROR(VLOOKUP(C1414,[1]evdl298!$B:$D,3,0),"")</f>
        <v>E</v>
      </c>
      <c r="G1414" s="110">
        <f>IFERROR(VLOOKUP(C1414,[1]evdl298!$B:$C,2,0),"")</f>
        <v>41460</v>
      </c>
      <c r="H1414" s="110" t="str">
        <f t="shared" si="64"/>
        <v>E</v>
      </c>
      <c r="I1414" s="110">
        <f t="shared" si="65"/>
        <v>41460</v>
      </c>
      <c r="J1414" s="110"/>
      <c r="K1414" s="110"/>
      <c r="M1414" s="110"/>
      <c r="O1414" s="110"/>
    </row>
    <row r="1415" spans="1:15" x14ac:dyDescent="0.3">
      <c r="A1415" s="58" t="str">
        <f>Schedule!E1413</f>
        <v>A089010</v>
      </c>
      <c r="B1415" s="58" t="s">
        <v>2822</v>
      </c>
      <c r="C1415" s="58" t="str">
        <f t="shared" si="63"/>
        <v>089010 KS</v>
      </c>
      <c r="D1415" s="58" t="s">
        <v>3671</v>
      </c>
      <c r="E1415" s="110" t="s">
        <v>3527</v>
      </c>
      <c r="F1415" s="110" t="str">
        <f>IFERROR(VLOOKUP(C1415,[1]evdl298!$B:$D,3,0),"")</f>
        <v>E</v>
      </c>
      <c r="G1415" s="110">
        <f>IFERROR(VLOOKUP(C1415,[1]evdl298!$B:$C,2,0),"")</f>
        <v>41515</v>
      </c>
      <c r="H1415" s="110" t="str">
        <f t="shared" si="64"/>
        <v>E</v>
      </c>
      <c r="I1415" s="110">
        <f t="shared" si="65"/>
        <v>41515</v>
      </c>
      <c r="J1415" s="110"/>
      <c r="K1415" s="110"/>
      <c r="M1415" s="110"/>
      <c r="O1415" s="110"/>
    </row>
    <row r="1416" spans="1:15" x14ac:dyDescent="0.3">
      <c r="A1416" s="58" t="str">
        <f>Schedule!E1414</f>
        <v>A089030</v>
      </c>
      <c r="B1416" s="58" t="s">
        <v>2823</v>
      </c>
      <c r="C1416" s="58" t="str">
        <f t="shared" si="63"/>
        <v>089030 KS</v>
      </c>
      <c r="D1416" s="58" t="s">
        <v>3671</v>
      </c>
      <c r="E1416" s="110" t="s">
        <v>3527</v>
      </c>
      <c r="F1416" s="110" t="str">
        <f>IFERROR(VLOOKUP(C1416,[1]evdl298!$B:$D,3,0),"")</f>
        <v>E</v>
      </c>
      <c r="G1416" s="110">
        <f>IFERROR(VLOOKUP(C1416,[1]evdl298!$B:$C,2,0),"")</f>
        <v>41473</v>
      </c>
      <c r="H1416" s="110" t="str">
        <f t="shared" si="64"/>
        <v>E</v>
      </c>
      <c r="I1416" s="110">
        <f t="shared" si="65"/>
        <v>41473</v>
      </c>
      <c r="J1416" s="110"/>
      <c r="K1416" s="110"/>
      <c r="M1416" s="110"/>
      <c r="O1416" s="110"/>
    </row>
    <row r="1417" spans="1:15" x14ac:dyDescent="0.3">
      <c r="A1417" s="58" t="str">
        <f>Schedule!E1415</f>
        <v>A089140</v>
      </c>
      <c r="B1417" s="58" t="s">
        <v>3381</v>
      </c>
      <c r="C1417" s="58" t="str">
        <f t="shared" si="63"/>
        <v>089140 KS</v>
      </c>
      <c r="D1417" s="58" t="s">
        <v>3671</v>
      </c>
      <c r="E1417" s="110" t="s">
        <v>3527</v>
      </c>
      <c r="F1417" s="110" t="str">
        <f>IFERROR(VLOOKUP(C1417,[1]evdl298!$B:$D,3,0),"")</f>
        <v>E</v>
      </c>
      <c r="G1417" s="110">
        <f>IFERROR(VLOOKUP(C1417,[1]evdl298!$B:$C,2,0),"")</f>
        <v>41460</v>
      </c>
      <c r="H1417" s="110" t="str">
        <f t="shared" si="64"/>
        <v>E</v>
      </c>
      <c r="I1417" s="110">
        <f t="shared" si="65"/>
        <v>41460</v>
      </c>
      <c r="J1417" s="110"/>
      <c r="K1417" s="110"/>
      <c r="M1417" s="110"/>
      <c r="O1417" s="110"/>
    </row>
    <row r="1418" spans="1:15" x14ac:dyDescent="0.3">
      <c r="A1418" s="58" t="str">
        <f>Schedule!E1416</f>
        <v>A089150</v>
      </c>
      <c r="B1418" s="58" t="s">
        <v>2824</v>
      </c>
      <c r="C1418" s="58" t="str">
        <f t="shared" si="63"/>
        <v>089150 KS</v>
      </c>
      <c r="D1418" s="58" t="s">
        <v>3671</v>
      </c>
      <c r="E1418" s="110" t="s">
        <v>3527</v>
      </c>
      <c r="F1418" s="110" t="str">
        <f>IFERROR(VLOOKUP(C1418,[1]evdl298!$B:$D,3,0),"")</f>
        <v/>
      </c>
      <c r="G1418" s="110" t="str">
        <f>IFERROR(VLOOKUP(C1418,[1]evdl298!$B:$C,2,0),"")</f>
        <v/>
      </c>
      <c r="H1418" s="110" t="str">
        <f t="shared" si="64"/>
        <v/>
      </c>
      <c r="I1418" s="110" t="str">
        <f t="shared" si="65"/>
        <v/>
      </c>
      <c r="J1418" s="110"/>
      <c r="K1418" s="110"/>
      <c r="M1418" s="110"/>
      <c r="O1418" s="110"/>
    </row>
    <row r="1419" spans="1:15" x14ac:dyDescent="0.3">
      <c r="A1419" s="58" t="str">
        <f>Schedule!E1417</f>
        <v>A089230</v>
      </c>
      <c r="B1419" s="58" t="s">
        <v>2825</v>
      </c>
      <c r="C1419" s="58" t="str">
        <f t="shared" si="63"/>
        <v>089230 KS</v>
      </c>
      <c r="D1419" s="58" t="s">
        <v>3671</v>
      </c>
      <c r="E1419" s="110" t="s">
        <v>3527</v>
      </c>
      <c r="F1419" s="110" t="str">
        <f>IFERROR(VLOOKUP(C1419,[1]evdl298!$B:$D,3,0),"")</f>
        <v>E</v>
      </c>
      <c r="G1419" s="110">
        <f>IFERROR(VLOOKUP(C1419,[1]evdl298!$B:$C,2,0),"")</f>
        <v>41500</v>
      </c>
      <c r="H1419" s="110" t="str">
        <f t="shared" si="64"/>
        <v>E</v>
      </c>
      <c r="I1419" s="110">
        <f t="shared" si="65"/>
        <v>41500</v>
      </c>
      <c r="J1419" s="110"/>
      <c r="K1419" s="110"/>
      <c r="M1419" s="110"/>
      <c r="O1419" s="110"/>
    </row>
    <row r="1420" spans="1:15" x14ac:dyDescent="0.3">
      <c r="A1420" s="58" t="str">
        <f>Schedule!E1418</f>
        <v>A089470</v>
      </c>
      <c r="B1420" s="58" t="s">
        <v>2826</v>
      </c>
      <c r="C1420" s="58" t="str">
        <f t="shared" si="63"/>
        <v>089470 KS</v>
      </c>
      <c r="D1420" s="58" t="s">
        <v>3671</v>
      </c>
      <c r="E1420" s="110" t="s">
        <v>3527</v>
      </c>
      <c r="F1420" s="110" t="str">
        <f>IFERROR(VLOOKUP(C1420,[1]evdl298!$B:$D,3,0),"")</f>
        <v>E</v>
      </c>
      <c r="G1420" s="110">
        <f>IFERROR(VLOOKUP(C1420,[1]evdl298!$B:$C,2,0),"")</f>
        <v>41481</v>
      </c>
      <c r="H1420" s="110" t="str">
        <f t="shared" si="64"/>
        <v>E</v>
      </c>
      <c r="I1420" s="110">
        <f t="shared" si="65"/>
        <v>41481</v>
      </c>
      <c r="J1420" s="110"/>
      <c r="K1420" s="110"/>
      <c r="M1420" s="110"/>
      <c r="O1420" s="110"/>
    </row>
    <row r="1421" spans="1:15" x14ac:dyDescent="0.3">
      <c r="A1421" s="58" t="str">
        <f>Schedule!E1419</f>
        <v>A089530</v>
      </c>
      <c r="B1421" s="58" t="s">
        <v>2827</v>
      </c>
      <c r="C1421" s="58" t="str">
        <f t="shared" si="63"/>
        <v>089530 KS</v>
      </c>
      <c r="D1421" s="58" t="s">
        <v>3671</v>
      </c>
      <c r="E1421" s="110" t="s">
        <v>3527</v>
      </c>
      <c r="F1421" s="110" t="str">
        <f>IFERROR(VLOOKUP(C1421,[1]evdl298!$B:$D,3,0),"")</f>
        <v>E</v>
      </c>
      <c r="G1421" s="110">
        <f>IFERROR(VLOOKUP(C1421,[1]evdl298!$B:$C,2,0),"")</f>
        <v>41500</v>
      </c>
      <c r="H1421" s="110" t="str">
        <f t="shared" si="64"/>
        <v>E</v>
      </c>
      <c r="I1421" s="110">
        <f t="shared" si="65"/>
        <v>41500</v>
      </c>
      <c r="J1421" s="110"/>
      <c r="K1421" s="110"/>
      <c r="M1421" s="110"/>
      <c r="O1421" s="110"/>
    </row>
    <row r="1422" spans="1:15" x14ac:dyDescent="0.3">
      <c r="A1422" s="58" t="str">
        <f>Schedule!E1420</f>
        <v>A089790</v>
      </c>
      <c r="B1422" s="58" t="s">
        <v>3382</v>
      </c>
      <c r="C1422" s="58" t="str">
        <f t="shared" si="63"/>
        <v>089790 KS</v>
      </c>
      <c r="D1422" s="58" t="s">
        <v>3671</v>
      </c>
      <c r="E1422" s="110" t="s">
        <v>3527</v>
      </c>
      <c r="F1422" s="110" t="str">
        <f>IFERROR(VLOOKUP(C1422,[1]evdl298!$B:$D,3,0),"")</f>
        <v>E</v>
      </c>
      <c r="G1422" s="110">
        <f>IFERROR(VLOOKUP(C1422,[1]evdl298!$B:$C,2,0),"")</f>
        <v>41500</v>
      </c>
      <c r="H1422" s="110" t="str">
        <f t="shared" si="64"/>
        <v>E</v>
      </c>
      <c r="I1422" s="110">
        <f t="shared" si="65"/>
        <v>41500</v>
      </c>
      <c r="J1422" s="110"/>
      <c r="K1422" s="110"/>
      <c r="M1422" s="110"/>
      <c r="O1422" s="110"/>
    </row>
    <row r="1423" spans="1:15" x14ac:dyDescent="0.3">
      <c r="A1423" s="58" t="str">
        <f>Schedule!E1421</f>
        <v>A089850</v>
      </c>
      <c r="B1423" s="58" t="s">
        <v>2828</v>
      </c>
      <c r="C1423" s="58" t="str">
        <f t="shared" si="63"/>
        <v>089850 KS</v>
      </c>
      <c r="D1423" s="58" t="s">
        <v>3671</v>
      </c>
      <c r="E1423" s="110" t="s">
        <v>3527</v>
      </c>
      <c r="F1423" s="110" t="str">
        <f>IFERROR(VLOOKUP(C1423,[1]evdl298!$B:$D,3,0),"")</f>
        <v>E</v>
      </c>
      <c r="G1423" s="110">
        <f>IFERROR(VLOOKUP(C1423,[1]evdl298!$B:$C,2,0),"")</f>
        <v>41515</v>
      </c>
      <c r="H1423" s="110" t="str">
        <f t="shared" si="64"/>
        <v>E</v>
      </c>
      <c r="I1423" s="110">
        <f t="shared" si="65"/>
        <v>41515</v>
      </c>
      <c r="J1423" s="110"/>
      <c r="K1423" s="110"/>
      <c r="M1423" s="110"/>
      <c r="O1423" s="110"/>
    </row>
    <row r="1424" spans="1:15" x14ac:dyDescent="0.3">
      <c r="A1424" s="58" t="str">
        <f>Schedule!E1422</f>
        <v>A089890</v>
      </c>
      <c r="B1424" s="58" t="s">
        <v>3383</v>
      </c>
      <c r="C1424" s="58" t="str">
        <f t="shared" si="63"/>
        <v>089890 KS</v>
      </c>
      <c r="D1424" s="58" t="s">
        <v>3671</v>
      </c>
      <c r="E1424" s="110" t="s">
        <v>3527</v>
      </c>
      <c r="F1424" s="110" t="str">
        <f>IFERROR(VLOOKUP(C1424,[1]evdl298!$B:$D,3,0),"")</f>
        <v>E</v>
      </c>
      <c r="G1424" s="110">
        <f>IFERROR(VLOOKUP(C1424,[1]evdl298!$B:$C,2,0),"")</f>
        <v>41460</v>
      </c>
      <c r="H1424" s="110" t="str">
        <f t="shared" si="64"/>
        <v>E</v>
      </c>
      <c r="I1424" s="110">
        <f t="shared" si="65"/>
        <v>41460</v>
      </c>
      <c r="J1424" s="110"/>
      <c r="K1424" s="110"/>
      <c r="M1424" s="110"/>
      <c r="O1424" s="110"/>
    </row>
    <row r="1425" spans="1:15" x14ac:dyDescent="0.3">
      <c r="A1425" s="58" t="str">
        <f>Schedule!E1423</f>
        <v>A089980</v>
      </c>
      <c r="B1425" s="58" t="s">
        <v>2829</v>
      </c>
      <c r="C1425" s="58" t="str">
        <f t="shared" ref="C1425:C1488" si="66">RIGHT(A1425,6)&amp;" KS"</f>
        <v>089980 KS</v>
      </c>
      <c r="D1425" s="58" t="s">
        <v>3671</v>
      </c>
      <c r="E1425" s="110" t="s">
        <v>3527</v>
      </c>
      <c r="F1425" s="110" t="str">
        <f>IFERROR(VLOOKUP(C1425,[1]evdl298!$B:$D,3,0),"")</f>
        <v>E</v>
      </c>
      <c r="G1425" s="110">
        <f>IFERROR(VLOOKUP(C1425,[1]evdl298!$B:$C,2,0),"")</f>
        <v>41515</v>
      </c>
      <c r="H1425" s="110" t="str">
        <f t="shared" ref="H1425:H1488" si="67">F1425</f>
        <v>E</v>
      </c>
      <c r="I1425" s="110">
        <f t="shared" ref="I1425:I1488" si="68">IF(ISNUMBER(G1425),G1425,E1425)</f>
        <v>41515</v>
      </c>
      <c r="J1425" s="110"/>
      <c r="K1425" s="110"/>
      <c r="M1425" s="110"/>
      <c r="O1425" s="110"/>
    </row>
    <row r="1426" spans="1:15" x14ac:dyDescent="0.3">
      <c r="A1426" s="58" t="str">
        <f>Schedule!E1424</f>
        <v>A090080</v>
      </c>
      <c r="B1426" s="58" t="s">
        <v>3384</v>
      </c>
      <c r="C1426" s="58" t="str">
        <f t="shared" si="66"/>
        <v>090080 KS</v>
      </c>
      <c r="D1426" s="58" t="s">
        <v>3671</v>
      </c>
      <c r="E1426" s="110" t="s">
        <v>3527</v>
      </c>
      <c r="F1426" s="110" t="str">
        <f>IFERROR(VLOOKUP(C1426,[1]evdl298!$B:$D,3,0),"")</f>
        <v/>
      </c>
      <c r="G1426" s="110" t="str">
        <f>IFERROR(VLOOKUP(C1426,[1]evdl298!$B:$C,2,0),"")</f>
        <v/>
      </c>
      <c r="H1426" s="110" t="str">
        <f t="shared" si="67"/>
        <v/>
      </c>
      <c r="I1426" s="110" t="str">
        <f t="shared" si="68"/>
        <v/>
      </c>
      <c r="J1426" s="110"/>
      <c r="K1426" s="110"/>
      <c r="M1426" s="110"/>
      <c r="O1426" s="110"/>
    </row>
    <row r="1427" spans="1:15" x14ac:dyDescent="0.3">
      <c r="A1427" s="58" t="str">
        <f>Schedule!E1425</f>
        <v>A090120</v>
      </c>
      <c r="B1427" s="58" t="s">
        <v>2830</v>
      </c>
      <c r="C1427" s="58" t="str">
        <f t="shared" si="66"/>
        <v>090120 KS</v>
      </c>
      <c r="D1427" s="58" t="s">
        <v>3671</v>
      </c>
      <c r="E1427" s="110" t="s">
        <v>3527</v>
      </c>
      <c r="F1427" s="110" t="str">
        <f>IFERROR(VLOOKUP(C1427,[1]evdl298!$B:$D,3,0),"")</f>
        <v/>
      </c>
      <c r="G1427" s="110" t="str">
        <f>IFERROR(VLOOKUP(C1427,[1]evdl298!$B:$C,2,0),"")</f>
        <v/>
      </c>
      <c r="H1427" s="110" t="str">
        <f t="shared" si="67"/>
        <v/>
      </c>
      <c r="I1427" s="110" t="str">
        <f t="shared" si="68"/>
        <v/>
      </c>
      <c r="J1427" s="110"/>
      <c r="K1427" s="110"/>
      <c r="M1427" s="110"/>
      <c r="O1427" s="110"/>
    </row>
    <row r="1428" spans="1:15" x14ac:dyDescent="0.3">
      <c r="A1428" s="58" t="str">
        <f>Schedule!E1426</f>
        <v>A090150</v>
      </c>
      <c r="B1428" s="58" t="s">
        <v>2831</v>
      </c>
      <c r="C1428" s="58" t="str">
        <f t="shared" si="66"/>
        <v>090150 KS</v>
      </c>
      <c r="D1428" s="58" t="s">
        <v>3671</v>
      </c>
      <c r="E1428" s="110" t="s">
        <v>3527</v>
      </c>
      <c r="F1428" s="110" t="str">
        <f>IFERROR(VLOOKUP(C1428,[1]evdl298!$B:$D,3,0),"")</f>
        <v/>
      </c>
      <c r="G1428" s="110" t="str">
        <f>IFERROR(VLOOKUP(C1428,[1]evdl298!$B:$C,2,0),"")</f>
        <v/>
      </c>
      <c r="H1428" s="110" t="str">
        <f t="shared" si="67"/>
        <v/>
      </c>
      <c r="I1428" s="110" t="str">
        <f t="shared" si="68"/>
        <v/>
      </c>
      <c r="J1428" s="110"/>
      <c r="K1428" s="110"/>
      <c r="M1428" s="110"/>
      <c r="O1428" s="110"/>
    </row>
    <row r="1429" spans="1:15" x14ac:dyDescent="0.3">
      <c r="A1429" s="58" t="str">
        <f>Schedule!E1427</f>
        <v>A090350</v>
      </c>
      <c r="B1429" s="58" t="s">
        <v>2832</v>
      </c>
      <c r="C1429" s="58" t="str">
        <f t="shared" si="66"/>
        <v>090350 KS</v>
      </c>
      <c r="D1429" s="58" t="s">
        <v>3671</v>
      </c>
      <c r="E1429" s="110" t="s">
        <v>3527</v>
      </c>
      <c r="F1429" s="110" t="str">
        <f>IFERROR(VLOOKUP(C1429,[1]evdl298!$B:$D,3,0),"")</f>
        <v/>
      </c>
      <c r="G1429" s="110" t="str">
        <f>IFERROR(VLOOKUP(C1429,[1]evdl298!$B:$C,2,0),"")</f>
        <v/>
      </c>
      <c r="H1429" s="110" t="str">
        <f t="shared" si="67"/>
        <v/>
      </c>
      <c r="I1429" s="110" t="str">
        <f t="shared" si="68"/>
        <v/>
      </c>
      <c r="J1429" s="110"/>
      <c r="K1429" s="110"/>
      <c r="M1429" s="110"/>
      <c r="O1429" s="110"/>
    </row>
    <row r="1430" spans="1:15" x14ac:dyDescent="0.3">
      <c r="A1430" s="58" t="str">
        <f>Schedule!E1428</f>
        <v>A090360</v>
      </c>
      <c r="B1430" s="58" t="s">
        <v>2833</v>
      </c>
      <c r="C1430" s="58" t="str">
        <f t="shared" si="66"/>
        <v>090360 KS</v>
      </c>
      <c r="D1430" s="58" t="s">
        <v>3671</v>
      </c>
      <c r="E1430" s="110" t="s">
        <v>3527</v>
      </c>
      <c r="F1430" s="110" t="str">
        <f>IFERROR(VLOOKUP(C1430,[1]evdl298!$B:$D,3,0),"")</f>
        <v/>
      </c>
      <c r="G1430" s="110" t="str">
        <f>IFERROR(VLOOKUP(C1430,[1]evdl298!$B:$C,2,0),"")</f>
        <v/>
      </c>
      <c r="H1430" s="110" t="str">
        <f t="shared" si="67"/>
        <v/>
      </c>
      <c r="I1430" s="110" t="str">
        <f t="shared" si="68"/>
        <v/>
      </c>
      <c r="J1430" s="110"/>
      <c r="K1430" s="110"/>
      <c r="M1430" s="110"/>
      <c r="O1430" s="110"/>
    </row>
    <row r="1431" spans="1:15" x14ac:dyDescent="0.3">
      <c r="A1431" s="58" t="str">
        <f>Schedule!E1429</f>
        <v>A090370</v>
      </c>
      <c r="B1431" s="58" t="s">
        <v>3385</v>
      </c>
      <c r="C1431" s="58" t="str">
        <f t="shared" si="66"/>
        <v>090370 KS</v>
      </c>
      <c r="D1431" s="58" t="s">
        <v>3671</v>
      </c>
      <c r="E1431" s="110" t="s">
        <v>3527</v>
      </c>
      <c r="F1431" s="110" t="str">
        <f>IFERROR(VLOOKUP(C1431,[1]evdl298!$B:$D,3,0),"")</f>
        <v/>
      </c>
      <c r="G1431" s="110" t="str">
        <f>IFERROR(VLOOKUP(C1431,[1]evdl298!$B:$C,2,0),"")</f>
        <v/>
      </c>
      <c r="H1431" s="110" t="str">
        <f t="shared" si="67"/>
        <v/>
      </c>
      <c r="I1431" s="110" t="str">
        <f t="shared" si="68"/>
        <v/>
      </c>
      <c r="J1431" s="110"/>
      <c r="K1431" s="110"/>
      <c r="M1431" s="110"/>
      <c r="O1431" s="110"/>
    </row>
    <row r="1432" spans="1:15" x14ac:dyDescent="0.3">
      <c r="A1432" s="58" t="str">
        <f>Schedule!E1430</f>
        <v>A090430</v>
      </c>
      <c r="B1432" s="58" t="s">
        <v>2834</v>
      </c>
      <c r="C1432" s="58" t="str">
        <f t="shared" si="66"/>
        <v>090430 KS</v>
      </c>
      <c r="D1432" s="58" t="s">
        <v>3671</v>
      </c>
      <c r="E1432" s="110" t="s">
        <v>3527</v>
      </c>
      <c r="F1432" s="110" t="str">
        <f>IFERROR(VLOOKUP(C1432,[1]evdl298!$B:$D,3,0),"")</f>
        <v>E</v>
      </c>
      <c r="G1432" s="110">
        <f>IFERROR(VLOOKUP(C1432,[1]evdl298!$B:$C,2,0),"")</f>
        <v>41494</v>
      </c>
      <c r="H1432" s="110" t="str">
        <f t="shared" si="67"/>
        <v>E</v>
      </c>
      <c r="I1432" s="110">
        <f t="shared" si="68"/>
        <v>41494</v>
      </c>
      <c r="J1432" s="110"/>
      <c r="K1432" s="110"/>
      <c r="M1432" s="110"/>
      <c r="O1432" s="110"/>
    </row>
    <row r="1433" spans="1:15" x14ac:dyDescent="0.3">
      <c r="A1433" s="58" t="str">
        <f>Schedule!E1431</f>
        <v>A090460</v>
      </c>
      <c r="B1433" s="58" t="s">
        <v>2835</v>
      </c>
      <c r="C1433" s="58" t="str">
        <f t="shared" si="66"/>
        <v>090460 KS</v>
      </c>
      <c r="D1433" s="58" t="s">
        <v>3671</v>
      </c>
      <c r="E1433" s="110" t="s">
        <v>3699</v>
      </c>
      <c r="F1433" s="110" t="str">
        <f>IFERROR(VLOOKUP(C1433,[1]evdl298!$B:$D,3,0),"")</f>
        <v>E</v>
      </c>
      <c r="G1433" s="110">
        <f>IFERROR(VLOOKUP(C1433,[1]evdl298!$B:$C,2,0),"")</f>
        <v>41515</v>
      </c>
      <c r="H1433" s="110" t="str">
        <f t="shared" si="67"/>
        <v>E</v>
      </c>
      <c r="I1433" s="110">
        <f t="shared" si="68"/>
        <v>41515</v>
      </c>
      <c r="J1433" s="110"/>
      <c r="K1433" s="110"/>
      <c r="M1433" s="110"/>
      <c r="O1433" s="110"/>
    </row>
    <row r="1434" spans="1:15" x14ac:dyDescent="0.3">
      <c r="A1434" s="58" t="str">
        <f>Schedule!E1432</f>
        <v>A090470</v>
      </c>
      <c r="B1434" s="58" t="s">
        <v>2836</v>
      </c>
      <c r="C1434" s="58" t="str">
        <f t="shared" si="66"/>
        <v>090470 KS</v>
      </c>
      <c r="D1434" s="58" t="s">
        <v>3671</v>
      </c>
      <c r="E1434" s="110" t="s">
        <v>3527</v>
      </c>
      <c r="F1434" s="110" t="str">
        <f>IFERROR(VLOOKUP(C1434,[1]evdl298!$B:$D,3,0),"")</f>
        <v>E</v>
      </c>
      <c r="G1434" s="110">
        <f>IFERROR(VLOOKUP(C1434,[1]evdl298!$B:$C,2,0),"")</f>
        <v>41515</v>
      </c>
      <c r="H1434" s="110" t="str">
        <f t="shared" si="67"/>
        <v>E</v>
      </c>
      <c r="I1434" s="110">
        <f t="shared" si="68"/>
        <v>41515</v>
      </c>
      <c r="J1434" s="110"/>
      <c r="K1434" s="110"/>
      <c r="M1434" s="110"/>
      <c r="O1434" s="110"/>
    </row>
    <row r="1435" spans="1:15" x14ac:dyDescent="0.3">
      <c r="A1435" s="58" t="str">
        <f>Schedule!E1433</f>
        <v>A090710</v>
      </c>
      <c r="B1435" s="58" t="s">
        <v>2837</v>
      </c>
      <c r="C1435" s="58" t="str">
        <f t="shared" si="66"/>
        <v>090710 KS</v>
      </c>
      <c r="D1435" s="58" t="s">
        <v>3671</v>
      </c>
      <c r="E1435" s="110" t="s">
        <v>3527</v>
      </c>
      <c r="F1435" s="110" t="str">
        <f>IFERROR(VLOOKUP(C1435,[1]evdl298!$B:$D,3,0),"")</f>
        <v>E</v>
      </c>
      <c r="G1435" s="110">
        <f>IFERROR(VLOOKUP(C1435,[1]evdl298!$B:$C,2,0),"")</f>
        <v>41499</v>
      </c>
      <c r="H1435" s="110" t="str">
        <f t="shared" si="67"/>
        <v>E</v>
      </c>
      <c r="I1435" s="110">
        <f t="shared" si="68"/>
        <v>41499</v>
      </c>
      <c r="J1435" s="110"/>
      <c r="K1435" s="110"/>
      <c r="M1435" s="110"/>
      <c r="O1435" s="110"/>
    </row>
    <row r="1436" spans="1:15" x14ac:dyDescent="0.3">
      <c r="A1436" s="58" t="str">
        <f>Schedule!E1434</f>
        <v>A090730</v>
      </c>
      <c r="B1436" s="58" t="s">
        <v>2838</v>
      </c>
      <c r="C1436" s="58" t="str">
        <f t="shared" si="66"/>
        <v>090730 KS</v>
      </c>
      <c r="D1436" s="58" t="s">
        <v>3671</v>
      </c>
      <c r="E1436" s="110" t="s">
        <v>3527</v>
      </c>
      <c r="F1436" s="110" t="str">
        <f>IFERROR(VLOOKUP(C1436,[1]evdl298!$B:$D,3,0),"")</f>
        <v/>
      </c>
      <c r="G1436" s="110" t="str">
        <f>IFERROR(VLOOKUP(C1436,[1]evdl298!$B:$C,2,0),"")</f>
        <v/>
      </c>
      <c r="H1436" s="110" t="str">
        <f t="shared" si="67"/>
        <v/>
      </c>
      <c r="I1436" s="110" t="str">
        <f t="shared" si="68"/>
        <v/>
      </c>
      <c r="J1436" s="110"/>
      <c r="K1436" s="110"/>
      <c r="M1436" s="110"/>
      <c r="O1436" s="110"/>
    </row>
    <row r="1437" spans="1:15" x14ac:dyDescent="0.3">
      <c r="A1437" s="58" t="str">
        <f>Schedule!E1435</f>
        <v>A090740</v>
      </c>
      <c r="B1437" s="58" t="s">
        <v>2839</v>
      </c>
      <c r="C1437" s="58" t="str">
        <f t="shared" si="66"/>
        <v>090740 KS</v>
      </c>
      <c r="D1437" s="58" t="s">
        <v>3671</v>
      </c>
      <c r="E1437" s="110" t="s">
        <v>3527</v>
      </c>
      <c r="F1437" s="110" t="str">
        <f>IFERROR(VLOOKUP(C1437,[1]evdl298!$B:$D,3,0),"")</f>
        <v/>
      </c>
      <c r="G1437" s="110" t="str">
        <f>IFERROR(VLOOKUP(C1437,[1]evdl298!$B:$C,2,0),"")</f>
        <v/>
      </c>
      <c r="H1437" s="110" t="str">
        <f t="shared" si="67"/>
        <v/>
      </c>
      <c r="I1437" s="110" t="str">
        <f t="shared" si="68"/>
        <v/>
      </c>
      <c r="J1437" s="110"/>
      <c r="K1437" s="110"/>
      <c r="M1437" s="110"/>
      <c r="O1437" s="110"/>
    </row>
    <row r="1438" spans="1:15" x14ac:dyDescent="0.3">
      <c r="A1438" s="58" t="str">
        <f>Schedule!E1436</f>
        <v>A091090</v>
      </c>
      <c r="B1438" s="58" t="s">
        <v>2840</v>
      </c>
      <c r="C1438" s="58" t="str">
        <f t="shared" si="66"/>
        <v>091090 KS</v>
      </c>
      <c r="D1438" s="58" t="s">
        <v>3671</v>
      </c>
      <c r="E1438" s="110" t="s">
        <v>3527</v>
      </c>
      <c r="F1438" s="110" t="str">
        <f>IFERROR(VLOOKUP(C1438,[1]evdl298!$B:$D,3,0),"")</f>
        <v>E</v>
      </c>
      <c r="G1438" s="110">
        <f>IFERROR(VLOOKUP(C1438,[1]evdl298!$B:$C,2,0),"")</f>
        <v>41515</v>
      </c>
      <c r="H1438" s="110" t="str">
        <f t="shared" si="67"/>
        <v>E</v>
      </c>
      <c r="I1438" s="110">
        <f t="shared" si="68"/>
        <v>41515</v>
      </c>
      <c r="J1438" s="110"/>
      <c r="K1438" s="110"/>
      <c r="M1438" s="110"/>
      <c r="O1438" s="110"/>
    </row>
    <row r="1439" spans="1:15" x14ac:dyDescent="0.3">
      <c r="A1439" s="58" t="str">
        <f>Schedule!E1437</f>
        <v>A091120</v>
      </c>
      <c r="B1439" s="58" t="s">
        <v>2841</v>
      </c>
      <c r="C1439" s="58" t="str">
        <f t="shared" si="66"/>
        <v>091120 KS</v>
      </c>
      <c r="D1439" s="58" t="s">
        <v>3671</v>
      </c>
      <c r="E1439" s="110" t="s">
        <v>3527</v>
      </c>
      <c r="F1439" s="110" t="str">
        <f>IFERROR(VLOOKUP(C1439,[1]evdl298!$B:$D,3,0),"")</f>
        <v>E</v>
      </c>
      <c r="G1439" s="110">
        <f>IFERROR(VLOOKUP(C1439,[1]evdl298!$B:$C,2,0),"")</f>
        <v>41500</v>
      </c>
      <c r="H1439" s="110" t="str">
        <f t="shared" si="67"/>
        <v>E</v>
      </c>
      <c r="I1439" s="110">
        <f t="shared" si="68"/>
        <v>41500</v>
      </c>
      <c r="J1439" s="110"/>
      <c r="K1439" s="110"/>
      <c r="M1439" s="110"/>
      <c r="O1439" s="110"/>
    </row>
    <row r="1440" spans="1:15" x14ac:dyDescent="0.3">
      <c r="A1440" s="58" t="str">
        <f>Schedule!E1438</f>
        <v>A091340</v>
      </c>
      <c r="B1440" s="58" t="s">
        <v>2842</v>
      </c>
      <c r="C1440" s="58" t="str">
        <f t="shared" si="66"/>
        <v>091340 KS</v>
      </c>
      <c r="D1440" s="58" t="s">
        <v>3671</v>
      </c>
      <c r="E1440" s="110" t="s">
        <v>3527</v>
      </c>
      <c r="F1440" s="110" t="str">
        <f>IFERROR(VLOOKUP(C1440,[1]evdl298!$B:$D,3,0),"")</f>
        <v/>
      </c>
      <c r="G1440" s="110" t="str">
        <f>IFERROR(VLOOKUP(C1440,[1]evdl298!$B:$C,2,0),"")</f>
        <v/>
      </c>
      <c r="H1440" s="110" t="str">
        <f t="shared" si="67"/>
        <v/>
      </c>
      <c r="I1440" s="110" t="str">
        <f t="shared" si="68"/>
        <v/>
      </c>
      <c r="J1440" s="110"/>
      <c r="K1440" s="110"/>
      <c r="M1440" s="110"/>
      <c r="O1440" s="110"/>
    </row>
    <row r="1441" spans="1:15" x14ac:dyDescent="0.3">
      <c r="A1441" s="58" t="str">
        <f>Schedule!E1439</f>
        <v>A091440</v>
      </c>
      <c r="B1441" s="58" t="s">
        <v>2843</v>
      </c>
      <c r="C1441" s="58" t="str">
        <f t="shared" si="66"/>
        <v>091440 KS</v>
      </c>
      <c r="D1441" s="58" t="s">
        <v>3671</v>
      </c>
      <c r="E1441" s="110" t="s">
        <v>3527</v>
      </c>
      <c r="F1441" s="110" t="str">
        <f>IFERROR(VLOOKUP(C1441,[1]evdl298!$B:$D,3,0),"")</f>
        <v>E</v>
      </c>
      <c r="G1441" s="110">
        <f>IFERROR(VLOOKUP(C1441,[1]evdl298!$B:$C,2,0),"")</f>
        <v>41460</v>
      </c>
      <c r="H1441" s="110" t="str">
        <f t="shared" si="67"/>
        <v>E</v>
      </c>
      <c r="I1441" s="110">
        <f t="shared" si="68"/>
        <v>41460</v>
      </c>
      <c r="J1441" s="110"/>
      <c r="K1441" s="110"/>
      <c r="M1441" s="110"/>
      <c r="O1441" s="110"/>
    </row>
    <row r="1442" spans="1:15" x14ac:dyDescent="0.3">
      <c r="A1442" s="58" t="str">
        <f>Schedule!E1440</f>
        <v>A091580</v>
      </c>
      <c r="B1442" s="58" t="s">
        <v>2844</v>
      </c>
      <c r="C1442" s="58" t="str">
        <f t="shared" si="66"/>
        <v>091580 KS</v>
      </c>
      <c r="D1442" s="58" t="s">
        <v>3671</v>
      </c>
      <c r="E1442" s="110" t="s">
        <v>3527</v>
      </c>
      <c r="F1442" s="110" t="str">
        <f>IFERROR(VLOOKUP(C1442,[1]evdl298!$B:$D,3,0),"")</f>
        <v>E</v>
      </c>
      <c r="G1442" s="110">
        <f>IFERROR(VLOOKUP(C1442,[1]evdl298!$B:$C,2,0),"")</f>
        <v>41499</v>
      </c>
      <c r="H1442" s="110" t="str">
        <f t="shared" si="67"/>
        <v>E</v>
      </c>
      <c r="I1442" s="110">
        <f t="shared" si="68"/>
        <v>41499</v>
      </c>
      <c r="J1442" s="110"/>
      <c r="K1442" s="110"/>
      <c r="M1442" s="110"/>
      <c r="O1442" s="110"/>
    </row>
    <row r="1443" spans="1:15" x14ac:dyDescent="0.3">
      <c r="A1443" s="58" t="str">
        <f>Schedule!E1441</f>
        <v>A091590</v>
      </c>
      <c r="B1443" s="58" t="s">
        <v>2845</v>
      </c>
      <c r="C1443" s="58" t="str">
        <f t="shared" si="66"/>
        <v>091590 KS</v>
      </c>
      <c r="D1443" s="58" t="s">
        <v>3671</v>
      </c>
      <c r="E1443" s="110" t="s">
        <v>3527</v>
      </c>
      <c r="F1443" s="110" t="str">
        <f>IFERROR(VLOOKUP(C1443,[1]evdl298!$B:$D,3,0),"")</f>
        <v/>
      </c>
      <c r="G1443" s="110" t="str">
        <f>IFERROR(VLOOKUP(C1443,[1]evdl298!$B:$C,2,0),"")</f>
        <v/>
      </c>
      <c r="H1443" s="110" t="str">
        <f t="shared" si="67"/>
        <v/>
      </c>
      <c r="I1443" s="110" t="str">
        <f t="shared" si="68"/>
        <v/>
      </c>
      <c r="J1443" s="110"/>
      <c r="K1443" s="110"/>
      <c r="M1443" s="110"/>
      <c r="O1443" s="110"/>
    </row>
    <row r="1444" spans="1:15" x14ac:dyDescent="0.3">
      <c r="A1444" s="58" t="str">
        <f>Schedule!E1442</f>
        <v>A091690</v>
      </c>
      <c r="B1444" s="58" t="s">
        <v>3386</v>
      </c>
      <c r="C1444" s="58" t="str">
        <f t="shared" si="66"/>
        <v>091690 KS</v>
      </c>
      <c r="D1444" s="58" t="s">
        <v>3671</v>
      </c>
      <c r="E1444" s="110" t="s">
        <v>3527</v>
      </c>
      <c r="F1444" s="110" t="str">
        <f>IFERROR(VLOOKUP(C1444,[1]evdl298!$B:$D,3,0),"")</f>
        <v>E</v>
      </c>
      <c r="G1444" s="110">
        <f>IFERROR(VLOOKUP(C1444,[1]evdl298!$B:$C,2,0),"")</f>
        <v>41471</v>
      </c>
      <c r="H1444" s="110" t="str">
        <f t="shared" si="67"/>
        <v>E</v>
      </c>
      <c r="I1444" s="110">
        <f t="shared" si="68"/>
        <v>41471</v>
      </c>
      <c r="J1444" s="110"/>
      <c r="K1444" s="110"/>
      <c r="M1444" s="110"/>
      <c r="O1444" s="110"/>
    </row>
    <row r="1445" spans="1:15" x14ac:dyDescent="0.3">
      <c r="A1445" s="58" t="str">
        <f>Schedule!E1443</f>
        <v>A091700</v>
      </c>
      <c r="B1445" s="58" t="s">
        <v>2846</v>
      </c>
      <c r="C1445" s="58" t="str">
        <f t="shared" si="66"/>
        <v>091700 KS</v>
      </c>
      <c r="D1445" s="58" t="s">
        <v>3671</v>
      </c>
      <c r="E1445" s="110" t="s">
        <v>3527</v>
      </c>
      <c r="F1445" s="110" t="str">
        <f>IFERROR(VLOOKUP(C1445,[1]evdl298!$B:$D,3,0),"")</f>
        <v>E</v>
      </c>
      <c r="G1445" s="110">
        <f>IFERROR(VLOOKUP(C1445,[1]evdl298!$B:$C,2,0),"")</f>
        <v>41499</v>
      </c>
      <c r="H1445" s="110" t="str">
        <f t="shared" si="67"/>
        <v>E</v>
      </c>
      <c r="I1445" s="110">
        <f t="shared" si="68"/>
        <v>41499</v>
      </c>
      <c r="J1445" s="110"/>
      <c r="K1445" s="110"/>
      <c r="M1445" s="110"/>
      <c r="O1445" s="110"/>
    </row>
    <row r="1446" spans="1:15" x14ac:dyDescent="0.3">
      <c r="A1446" s="58" t="str">
        <f>Schedule!E1444</f>
        <v>A091970</v>
      </c>
      <c r="B1446" s="58" t="s">
        <v>2847</v>
      </c>
      <c r="C1446" s="58" t="str">
        <f t="shared" si="66"/>
        <v>091970 KS</v>
      </c>
      <c r="D1446" s="58" t="s">
        <v>3671</v>
      </c>
      <c r="E1446" s="110" t="s">
        <v>3675</v>
      </c>
      <c r="F1446" s="110" t="str">
        <f>IFERROR(VLOOKUP(C1446,[1]evdl298!$B:$D,3,0),"")</f>
        <v>E</v>
      </c>
      <c r="G1446" s="110">
        <f>IFERROR(VLOOKUP(C1446,[1]evdl298!$B:$C,2,0),"")</f>
        <v>41499</v>
      </c>
      <c r="H1446" s="110" t="str">
        <f t="shared" si="67"/>
        <v>E</v>
      </c>
      <c r="I1446" s="110">
        <f t="shared" si="68"/>
        <v>41499</v>
      </c>
      <c r="J1446" s="110"/>
      <c r="K1446" s="110"/>
      <c r="M1446" s="110"/>
      <c r="O1446" s="110"/>
    </row>
    <row r="1447" spans="1:15" x14ac:dyDescent="0.3">
      <c r="A1447" s="58" t="str">
        <f>Schedule!E1445</f>
        <v>A092070</v>
      </c>
      <c r="B1447" s="58" t="s">
        <v>2848</v>
      </c>
      <c r="C1447" s="58" t="str">
        <f t="shared" si="66"/>
        <v>092070 KS</v>
      </c>
      <c r="D1447" s="58" t="s">
        <v>3671</v>
      </c>
      <c r="E1447" s="110" t="s">
        <v>3527</v>
      </c>
      <c r="F1447" s="110" t="str">
        <f>IFERROR(VLOOKUP(C1447,[1]evdl298!$B:$D,3,0),"")</f>
        <v>E</v>
      </c>
      <c r="G1447" s="110">
        <f>IFERROR(VLOOKUP(C1447,[1]evdl298!$B:$C,2,0),"")</f>
        <v>41460</v>
      </c>
      <c r="H1447" s="110" t="str">
        <f t="shared" si="67"/>
        <v>E</v>
      </c>
      <c r="I1447" s="110">
        <f t="shared" si="68"/>
        <v>41460</v>
      </c>
      <c r="J1447" s="110"/>
      <c r="K1447" s="110"/>
      <c r="M1447" s="110"/>
      <c r="O1447" s="110"/>
    </row>
    <row r="1448" spans="1:15" x14ac:dyDescent="0.3">
      <c r="A1448" s="58" t="str">
        <f>Schedule!E1446</f>
        <v>A092130</v>
      </c>
      <c r="B1448" s="58" t="s">
        <v>2849</v>
      </c>
      <c r="C1448" s="58" t="str">
        <f t="shared" si="66"/>
        <v>092130 KS</v>
      </c>
      <c r="D1448" s="58" t="s">
        <v>3671</v>
      </c>
      <c r="E1448" s="110" t="s">
        <v>3527</v>
      </c>
      <c r="F1448" s="110" t="str">
        <f>IFERROR(VLOOKUP(C1448,[1]evdl298!$B:$D,3,0),"")</f>
        <v>E</v>
      </c>
      <c r="G1448" s="110">
        <f>IFERROR(VLOOKUP(C1448,[1]evdl298!$B:$C,2,0),"")</f>
        <v>41515</v>
      </c>
      <c r="H1448" s="110" t="str">
        <f t="shared" si="67"/>
        <v>E</v>
      </c>
      <c r="I1448" s="110">
        <f t="shared" si="68"/>
        <v>41515</v>
      </c>
      <c r="J1448" s="110"/>
      <c r="K1448" s="110"/>
      <c r="M1448" s="110"/>
      <c r="O1448" s="110"/>
    </row>
    <row r="1449" spans="1:15" x14ac:dyDescent="0.3">
      <c r="A1449" s="58" t="str">
        <f>Schedule!E1447</f>
        <v>A092200</v>
      </c>
      <c r="B1449" s="58" t="s">
        <v>2850</v>
      </c>
      <c r="C1449" s="58" t="str">
        <f t="shared" si="66"/>
        <v>092200 KS</v>
      </c>
      <c r="D1449" s="58" t="s">
        <v>3671</v>
      </c>
      <c r="E1449" s="110" t="s">
        <v>3527</v>
      </c>
      <c r="F1449" s="110" t="str">
        <f>IFERROR(VLOOKUP(C1449,[1]evdl298!$B:$D,3,0),"")</f>
        <v/>
      </c>
      <c r="G1449" s="110" t="str">
        <f>IFERROR(VLOOKUP(C1449,[1]evdl298!$B:$C,2,0),"")</f>
        <v/>
      </c>
      <c r="H1449" s="110" t="str">
        <f t="shared" si="67"/>
        <v/>
      </c>
      <c r="I1449" s="110" t="str">
        <f t="shared" si="68"/>
        <v/>
      </c>
      <c r="J1449" s="110"/>
      <c r="K1449" s="110"/>
      <c r="M1449" s="110"/>
      <c r="O1449" s="110"/>
    </row>
    <row r="1450" spans="1:15" x14ac:dyDescent="0.3">
      <c r="A1450" s="58" t="str">
        <f>Schedule!E1448</f>
        <v>A092220</v>
      </c>
      <c r="B1450" s="58" t="s">
        <v>2851</v>
      </c>
      <c r="C1450" s="58" t="str">
        <f t="shared" si="66"/>
        <v>092220 KS</v>
      </c>
      <c r="D1450" s="58" t="s">
        <v>3671</v>
      </c>
      <c r="E1450" s="110" t="s">
        <v>3527</v>
      </c>
      <c r="F1450" s="110" t="str">
        <f>IFERROR(VLOOKUP(C1450,[1]evdl298!$B:$D,3,0),"")</f>
        <v/>
      </c>
      <c r="G1450" s="110" t="str">
        <f>IFERROR(VLOOKUP(C1450,[1]evdl298!$B:$C,2,0),"")</f>
        <v/>
      </c>
      <c r="H1450" s="110" t="str">
        <f t="shared" si="67"/>
        <v/>
      </c>
      <c r="I1450" s="110" t="str">
        <f t="shared" si="68"/>
        <v/>
      </c>
      <c r="J1450" s="110"/>
      <c r="K1450" s="110"/>
      <c r="M1450" s="110"/>
      <c r="O1450" s="110"/>
    </row>
    <row r="1451" spans="1:15" x14ac:dyDescent="0.3">
      <c r="A1451" s="58" t="str">
        <f>Schedule!E1449</f>
        <v>A092230</v>
      </c>
      <c r="B1451" s="58" t="s">
        <v>2852</v>
      </c>
      <c r="C1451" s="58" t="str">
        <f t="shared" si="66"/>
        <v>092230 KS</v>
      </c>
      <c r="D1451" s="58" t="s">
        <v>3671</v>
      </c>
      <c r="E1451" s="110" t="s">
        <v>3527</v>
      </c>
      <c r="F1451" s="110" t="str">
        <f>IFERROR(VLOOKUP(C1451,[1]evdl298!$B:$D,3,0),"")</f>
        <v/>
      </c>
      <c r="G1451" s="110" t="str">
        <f>IFERROR(VLOOKUP(C1451,[1]evdl298!$B:$C,2,0),"")</f>
        <v/>
      </c>
      <c r="H1451" s="110" t="str">
        <f t="shared" si="67"/>
        <v/>
      </c>
      <c r="I1451" s="110" t="str">
        <f t="shared" si="68"/>
        <v/>
      </c>
      <c r="J1451" s="110"/>
      <c r="K1451" s="110"/>
      <c r="M1451" s="110"/>
      <c r="O1451" s="110"/>
    </row>
    <row r="1452" spans="1:15" x14ac:dyDescent="0.3">
      <c r="A1452" s="58" t="str">
        <f>Schedule!E1450</f>
        <v>A092300</v>
      </c>
      <c r="B1452" s="58" t="s">
        <v>2853</v>
      </c>
      <c r="C1452" s="58" t="str">
        <f t="shared" si="66"/>
        <v>092300 KS</v>
      </c>
      <c r="D1452" s="58" t="s">
        <v>3671</v>
      </c>
      <c r="E1452" s="110" t="s">
        <v>3527</v>
      </c>
      <c r="F1452" s="110" t="str">
        <f>IFERROR(VLOOKUP(C1452,[1]evdl298!$B:$D,3,0),"")</f>
        <v>E</v>
      </c>
      <c r="G1452" s="110">
        <f>IFERROR(VLOOKUP(C1452,[1]evdl298!$B:$C,2,0),"")</f>
        <v>41500</v>
      </c>
      <c r="H1452" s="110" t="str">
        <f t="shared" si="67"/>
        <v>E</v>
      </c>
      <c r="I1452" s="110">
        <f t="shared" si="68"/>
        <v>41500</v>
      </c>
      <c r="J1452" s="110"/>
      <c r="K1452" s="110"/>
      <c r="M1452" s="110"/>
      <c r="O1452" s="110"/>
    </row>
    <row r="1453" spans="1:15" x14ac:dyDescent="0.3">
      <c r="A1453" s="58" t="str">
        <f>Schedule!E1451</f>
        <v>A092440</v>
      </c>
      <c r="B1453" s="58" t="s">
        <v>2854</v>
      </c>
      <c r="C1453" s="58" t="str">
        <f t="shared" si="66"/>
        <v>092440 KS</v>
      </c>
      <c r="D1453" s="58" t="s">
        <v>3671</v>
      </c>
      <c r="E1453" s="110" t="s">
        <v>3527</v>
      </c>
      <c r="F1453" s="110" t="str">
        <f>IFERROR(VLOOKUP(C1453,[1]evdl298!$B:$D,3,0),"")</f>
        <v>E</v>
      </c>
      <c r="G1453" s="110">
        <f>IFERROR(VLOOKUP(C1453,[1]evdl298!$B:$C,2,0),"")</f>
        <v>41473</v>
      </c>
      <c r="H1453" s="110" t="str">
        <f t="shared" si="67"/>
        <v>E</v>
      </c>
      <c r="I1453" s="110">
        <f t="shared" si="68"/>
        <v>41473</v>
      </c>
      <c r="J1453" s="110"/>
      <c r="K1453" s="110"/>
      <c r="M1453" s="110"/>
      <c r="O1453" s="110"/>
    </row>
    <row r="1454" spans="1:15" x14ac:dyDescent="0.3">
      <c r="A1454" s="58" t="str">
        <f>Schedule!E1452</f>
        <v>A092460</v>
      </c>
      <c r="B1454" s="58" t="s">
        <v>2855</v>
      </c>
      <c r="C1454" s="58" t="str">
        <f t="shared" si="66"/>
        <v>092460 KS</v>
      </c>
      <c r="D1454" s="58" t="s">
        <v>3671</v>
      </c>
      <c r="E1454" s="110" t="s">
        <v>3527</v>
      </c>
      <c r="F1454" s="110" t="str">
        <f>IFERROR(VLOOKUP(C1454,[1]evdl298!$B:$D,3,0),"")</f>
        <v/>
      </c>
      <c r="G1454" s="110" t="str">
        <f>IFERROR(VLOOKUP(C1454,[1]evdl298!$B:$C,2,0),"")</f>
        <v/>
      </c>
      <c r="H1454" s="110" t="str">
        <f t="shared" si="67"/>
        <v/>
      </c>
      <c r="I1454" s="110" t="str">
        <f t="shared" si="68"/>
        <v/>
      </c>
      <c r="J1454" s="110"/>
      <c r="K1454" s="110"/>
      <c r="M1454" s="110"/>
      <c r="O1454" s="110"/>
    </row>
    <row r="1455" spans="1:15" x14ac:dyDescent="0.3">
      <c r="A1455" s="58" t="str">
        <f>Schedule!E1453</f>
        <v>A092600</v>
      </c>
      <c r="B1455" s="58" t="s">
        <v>2856</v>
      </c>
      <c r="C1455" s="58" t="str">
        <f t="shared" si="66"/>
        <v>092600 KS</v>
      </c>
      <c r="D1455" s="58" t="s">
        <v>3671</v>
      </c>
      <c r="E1455" s="110" t="s">
        <v>3527</v>
      </c>
      <c r="F1455" s="110" t="str">
        <f>IFERROR(VLOOKUP(C1455,[1]evdl298!$B:$D,3,0),"")</f>
        <v>E</v>
      </c>
      <c r="G1455" s="110">
        <f>IFERROR(VLOOKUP(C1455,[1]evdl298!$B:$C,2,0),"")</f>
        <v>41493</v>
      </c>
      <c r="H1455" s="110" t="str">
        <f t="shared" si="67"/>
        <v>E</v>
      </c>
      <c r="I1455" s="110">
        <f t="shared" si="68"/>
        <v>41493</v>
      </c>
      <c r="J1455" s="110"/>
      <c r="K1455" s="110"/>
      <c r="M1455" s="110"/>
      <c r="O1455" s="110"/>
    </row>
    <row r="1456" spans="1:15" x14ac:dyDescent="0.3">
      <c r="A1456" s="58" t="str">
        <f>Schedule!E1454</f>
        <v>A092730</v>
      </c>
      <c r="B1456" s="58" t="s">
        <v>2857</v>
      </c>
      <c r="C1456" s="58" t="str">
        <f t="shared" si="66"/>
        <v>092730 KS</v>
      </c>
      <c r="D1456" s="58" t="s">
        <v>3671</v>
      </c>
      <c r="E1456" s="110" t="s">
        <v>3527</v>
      </c>
      <c r="F1456" s="110" t="str">
        <f>IFERROR(VLOOKUP(C1456,[1]evdl298!$B:$D,3,0),"")</f>
        <v>E</v>
      </c>
      <c r="G1456" s="110">
        <f>IFERROR(VLOOKUP(C1456,[1]evdl298!$B:$C,2,0),"")</f>
        <v>41460</v>
      </c>
      <c r="H1456" s="110" t="str">
        <f t="shared" si="67"/>
        <v>E</v>
      </c>
      <c r="I1456" s="110">
        <f t="shared" si="68"/>
        <v>41460</v>
      </c>
      <c r="J1456" s="110"/>
      <c r="K1456" s="110"/>
      <c r="M1456" s="110"/>
      <c r="O1456" s="110"/>
    </row>
    <row r="1457" spans="1:15" x14ac:dyDescent="0.3">
      <c r="A1457" s="58" t="str">
        <f>Schedule!E1455</f>
        <v>A093050</v>
      </c>
      <c r="B1457" s="58" t="s">
        <v>2858</v>
      </c>
      <c r="C1457" s="58" t="str">
        <f t="shared" si="66"/>
        <v>093050 KS</v>
      </c>
      <c r="D1457" s="58" t="s">
        <v>3671</v>
      </c>
      <c r="E1457" s="110" t="s">
        <v>3527</v>
      </c>
      <c r="F1457" s="110" t="str">
        <f>IFERROR(VLOOKUP(C1457,[1]evdl298!$B:$D,3,0),"")</f>
        <v/>
      </c>
      <c r="G1457" s="110" t="str">
        <f>IFERROR(VLOOKUP(C1457,[1]evdl298!$B:$C,2,0),"")</f>
        <v/>
      </c>
      <c r="H1457" s="110" t="str">
        <f t="shared" si="67"/>
        <v/>
      </c>
      <c r="I1457" s="110" t="str">
        <f t="shared" si="68"/>
        <v/>
      </c>
      <c r="J1457" s="110"/>
      <c r="K1457" s="110"/>
      <c r="M1457" s="110"/>
      <c r="O1457" s="110"/>
    </row>
    <row r="1458" spans="1:15" x14ac:dyDescent="0.3">
      <c r="A1458" s="58" t="str">
        <f>Schedule!E1456</f>
        <v>A093190</v>
      </c>
      <c r="B1458" s="58" t="s">
        <v>2859</v>
      </c>
      <c r="C1458" s="58" t="str">
        <f t="shared" si="66"/>
        <v>093190 KS</v>
      </c>
      <c r="D1458" s="58" t="s">
        <v>3671</v>
      </c>
      <c r="E1458" s="110" t="s">
        <v>3527</v>
      </c>
      <c r="F1458" s="110" t="str">
        <f>IFERROR(VLOOKUP(C1458,[1]evdl298!$B:$D,3,0),"")</f>
        <v>E</v>
      </c>
      <c r="G1458" s="110">
        <f>IFERROR(VLOOKUP(C1458,[1]evdl298!$B:$C,2,0),"")</f>
        <v>41515</v>
      </c>
      <c r="H1458" s="110" t="str">
        <f t="shared" si="67"/>
        <v>E</v>
      </c>
      <c r="I1458" s="110">
        <f t="shared" si="68"/>
        <v>41515</v>
      </c>
      <c r="J1458" s="110"/>
      <c r="K1458" s="110"/>
      <c r="M1458" s="110"/>
      <c r="O1458" s="110"/>
    </row>
    <row r="1459" spans="1:15" x14ac:dyDescent="0.3">
      <c r="A1459" s="58" t="str">
        <f>Schedule!E1457</f>
        <v>A093230</v>
      </c>
      <c r="B1459" s="58" t="s">
        <v>2860</v>
      </c>
      <c r="C1459" s="58" t="str">
        <f t="shared" si="66"/>
        <v>093230 KS</v>
      </c>
      <c r="D1459" s="58" t="s">
        <v>3671</v>
      </c>
      <c r="E1459" s="110" t="s">
        <v>3527</v>
      </c>
      <c r="F1459" s="110" t="str">
        <f>IFERROR(VLOOKUP(C1459,[1]evdl298!$B:$D,3,0),"")</f>
        <v/>
      </c>
      <c r="G1459" s="110" t="str">
        <f>IFERROR(VLOOKUP(C1459,[1]evdl298!$B:$C,2,0),"")</f>
        <v/>
      </c>
      <c r="H1459" s="110" t="str">
        <f t="shared" si="67"/>
        <v/>
      </c>
      <c r="I1459" s="110" t="str">
        <f t="shared" si="68"/>
        <v/>
      </c>
      <c r="J1459" s="110"/>
      <c r="K1459" s="110"/>
      <c r="M1459" s="110"/>
      <c r="O1459" s="110"/>
    </row>
    <row r="1460" spans="1:15" x14ac:dyDescent="0.3">
      <c r="A1460" s="58" t="str">
        <f>Schedule!E1458</f>
        <v>A093240</v>
      </c>
      <c r="B1460" s="58" t="s">
        <v>3611</v>
      </c>
      <c r="C1460" s="58" t="str">
        <f t="shared" si="66"/>
        <v>093240 KS</v>
      </c>
      <c r="D1460" s="58" t="s">
        <v>3671</v>
      </c>
      <c r="E1460" s="110" t="s">
        <v>3527</v>
      </c>
      <c r="F1460" s="110" t="str">
        <f>IFERROR(VLOOKUP(C1460,[1]evdl298!$B:$D,3,0),"")</f>
        <v/>
      </c>
      <c r="G1460" s="110" t="str">
        <f>IFERROR(VLOOKUP(C1460,[1]evdl298!$B:$C,2,0),"")</f>
        <v/>
      </c>
      <c r="H1460" s="110" t="str">
        <f t="shared" si="67"/>
        <v/>
      </c>
      <c r="I1460" s="110" t="str">
        <f t="shared" si="68"/>
        <v/>
      </c>
      <c r="J1460" s="110"/>
      <c r="K1460" s="110"/>
      <c r="M1460" s="110"/>
      <c r="O1460" s="110"/>
    </row>
    <row r="1461" spans="1:15" x14ac:dyDescent="0.3">
      <c r="A1461" s="58" t="str">
        <f>Schedule!E1459</f>
        <v>A093320</v>
      </c>
      <c r="B1461" s="58" t="s">
        <v>2861</v>
      </c>
      <c r="C1461" s="58" t="str">
        <f t="shared" si="66"/>
        <v>093320 KS</v>
      </c>
      <c r="D1461" s="58" t="s">
        <v>3671</v>
      </c>
      <c r="E1461" s="110" t="s">
        <v>3527</v>
      </c>
      <c r="F1461" s="110" t="str">
        <f>IFERROR(VLOOKUP(C1461,[1]evdl298!$B:$D,3,0),"")</f>
        <v>E</v>
      </c>
      <c r="G1461" s="110">
        <f>IFERROR(VLOOKUP(C1461,[1]evdl298!$B:$C,2,0),"")</f>
        <v>41474</v>
      </c>
      <c r="H1461" s="110" t="str">
        <f t="shared" si="67"/>
        <v>E</v>
      </c>
      <c r="I1461" s="110">
        <f t="shared" si="68"/>
        <v>41474</v>
      </c>
      <c r="J1461" s="110"/>
      <c r="K1461" s="110"/>
      <c r="M1461" s="110"/>
      <c r="O1461" s="110"/>
    </row>
    <row r="1462" spans="1:15" x14ac:dyDescent="0.3">
      <c r="A1462" s="58" t="str">
        <f>Schedule!E1460</f>
        <v>A093370</v>
      </c>
      <c r="B1462" s="58" t="s">
        <v>3387</v>
      </c>
      <c r="C1462" s="58" t="str">
        <f t="shared" si="66"/>
        <v>093370 KS</v>
      </c>
      <c r="D1462" s="58" t="s">
        <v>3671</v>
      </c>
      <c r="E1462" s="110" t="s">
        <v>3527</v>
      </c>
      <c r="F1462" s="110" t="str">
        <f>IFERROR(VLOOKUP(C1462,[1]evdl298!$B:$D,3,0),"")</f>
        <v/>
      </c>
      <c r="G1462" s="110" t="str">
        <f>IFERROR(VLOOKUP(C1462,[1]evdl298!$B:$C,2,0),"")</f>
        <v/>
      </c>
      <c r="H1462" s="110" t="str">
        <f t="shared" si="67"/>
        <v/>
      </c>
      <c r="I1462" s="110" t="str">
        <f t="shared" si="68"/>
        <v/>
      </c>
      <c r="J1462" s="110"/>
      <c r="K1462" s="110"/>
      <c r="M1462" s="110"/>
      <c r="O1462" s="110"/>
    </row>
    <row r="1463" spans="1:15" x14ac:dyDescent="0.3">
      <c r="A1463" s="58" t="str">
        <f>Schedule!E1461</f>
        <v>A093380</v>
      </c>
      <c r="B1463" s="58" t="s">
        <v>2862</v>
      </c>
      <c r="C1463" s="58" t="str">
        <f t="shared" si="66"/>
        <v>093380 KS</v>
      </c>
      <c r="D1463" s="58" t="s">
        <v>3671</v>
      </c>
      <c r="E1463" s="110" t="s">
        <v>3527</v>
      </c>
      <c r="F1463" s="110" t="str">
        <f>IFERROR(VLOOKUP(C1463,[1]evdl298!$B:$D,3,0),"")</f>
        <v>C</v>
      </c>
      <c r="G1463" s="110">
        <f>IFERROR(VLOOKUP(C1463,[1]evdl298!$B:$C,2,0),"")</f>
        <v>41467</v>
      </c>
      <c r="H1463" s="110" t="str">
        <f t="shared" si="67"/>
        <v>C</v>
      </c>
      <c r="I1463" s="110">
        <f t="shared" si="68"/>
        <v>41467</v>
      </c>
      <c r="J1463" s="110"/>
      <c r="K1463" s="110"/>
      <c r="M1463" s="110"/>
      <c r="O1463" s="110"/>
    </row>
    <row r="1464" spans="1:15" x14ac:dyDescent="0.3">
      <c r="A1464" s="58" t="str">
        <f>Schedule!E1462</f>
        <v>A093520</v>
      </c>
      <c r="B1464" s="58" t="s">
        <v>2863</v>
      </c>
      <c r="C1464" s="58" t="str">
        <f t="shared" si="66"/>
        <v>093520 KS</v>
      </c>
      <c r="D1464" s="58" t="s">
        <v>3671</v>
      </c>
      <c r="E1464" s="110" t="s">
        <v>3527</v>
      </c>
      <c r="F1464" s="110" t="str">
        <f>IFERROR(VLOOKUP(C1464,[1]evdl298!$B:$D,3,0),"")</f>
        <v>E</v>
      </c>
      <c r="G1464" s="110">
        <f>IFERROR(VLOOKUP(C1464,[1]evdl298!$B:$C,2,0),"")</f>
        <v>41499</v>
      </c>
      <c r="H1464" s="110" t="str">
        <f t="shared" si="67"/>
        <v>E</v>
      </c>
      <c r="I1464" s="110">
        <f t="shared" si="68"/>
        <v>41499</v>
      </c>
      <c r="J1464" s="110"/>
      <c r="K1464" s="110"/>
      <c r="M1464" s="110"/>
      <c r="O1464" s="110"/>
    </row>
    <row r="1465" spans="1:15" x14ac:dyDescent="0.3">
      <c r="A1465" s="58" t="str">
        <f>Schedule!E1463</f>
        <v>A093640</v>
      </c>
      <c r="B1465" s="58" t="s">
        <v>2864</v>
      </c>
      <c r="C1465" s="58" t="str">
        <f t="shared" si="66"/>
        <v>093640 KS</v>
      </c>
      <c r="D1465" s="58" t="s">
        <v>3671</v>
      </c>
      <c r="E1465" s="110" t="s">
        <v>3527</v>
      </c>
      <c r="F1465" s="110" t="str">
        <f>IFERROR(VLOOKUP(C1465,[1]evdl298!$B:$D,3,0),"")</f>
        <v>E</v>
      </c>
      <c r="G1465" s="110">
        <f>IFERROR(VLOOKUP(C1465,[1]evdl298!$B:$C,2,0),"")</f>
        <v>41499</v>
      </c>
      <c r="H1465" s="110" t="str">
        <f t="shared" si="67"/>
        <v>E</v>
      </c>
      <c r="I1465" s="110">
        <f t="shared" si="68"/>
        <v>41499</v>
      </c>
      <c r="J1465" s="110"/>
      <c r="K1465" s="110"/>
      <c r="M1465" s="110"/>
      <c r="O1465" s="110"/>
    </row>
    <row r="1466" spans="1:15" x14ac:dyDescent="0.3">
      <c r="A1466" s="58" t="str">
        <f>Schedule!E1464</f>
        <v>A093920</v>
      </c>
      <c r="B1466" s="58" t="s">
        <v>2865</v>
      </c>
      <c r="C1466" s="58" t="str">
        <f t="shared" si="66"/>
        <v>093920 KS</v>
      </c>
      <c r="D1466" s="58" t="s">
        <v>3671</v>
      </c>
      <c r="E1466" s="110" t="s">
        <v>3527</v>
      </c>
      <c r="F1466" s="110" t="str">
        <f>IFERROR(VLOOKUP(C1466,[1]evdl298!$B:$D,3,0),"")</f>
        <v>E</v>
      </c>
      <c r="G1466" s="110">
        <f>IFERROR(VLOOKUP(C1466,[1]evdl298!$B:$C,2,0),"")</f>
        <v>41515</v>
      </c>
      <c r="H1466" s="110" t="str">
        <f t="shared" si="67"/>
        <v>E</v>
      </c>
      <c r="I1466" s="110">
        <f t="shared" si="68"/>
        <v>41515</v>
      </c>
      <c r="J1466" s="110"/>
      <c r="K1466" s="110"/>
      <c r="M1466" s="110"/>
      <c r="O1466" s="110"/>
    </row>
    <row r="1467" spans="1:15" x14ac:dyDescent="0.3">
      <c r="A1467" s="58" t="str">
        <f>Schedule!E1465</f>
        <v>A094190</v>
      </c>
      <c r="B1467" s="58" t="s">
        <v>2866</v>
      </c>
      <c r="C1467" s="58" t="str">
        <f t="shared" si="66"/>
        <v>094190 KS</v>
      </c>
      <c r="D1467" s="58" t="s">
        <v>3671</v>
      </c>
      <c r="E1467" s="110" t="s">
        <v>3527</v>
      </c>
      <c r="F1467" s="110" t="str">
        <f>IFERROR(VLOOKUP(C1467,[1]evdl298!$B:$D,3,0),"")</f>
        <v>E</v>
      </c>
      <c r="G1467" s="110">
        <f>IFERROR(VLOOKUP(C1467,[1]evdl298!$B:$C,2,0),"")</f>
        <v>41515</v>
      </c>
      <c r="H1467" s="110" t="str">
        <f t="shared" si="67"/>
        <v>E</v>
      </c>
      <c r="I1467" s="110">
        <f t="shared" si="68"/>
        <v>41515</v>
      </c>
      <c r="J1467" s="110"/>
      <c r="K1467" s="110"/>
      <c r="M1467" s="110"/>
      <c r="O1467" s="110"/>
    </row>
    <row r="1468" spans="1:15" x14ac:dyDescent="0.3">
      <c r="A1468" s="58" t="str">
        <f>Schedule!E1466</f>
        <v>A094280</v>
      </c>
      <c r="B1468" s="58" t="s">
        <v>2867</v>
      </c>
      <c r="C1468" s="58" t="str">
        <f t="shared" si="66"/>
        <v>094280 KS</v>
      </c>
      <c r="D1468" s="58" t="s">
        <v>3671</v>
      </c>
      <c r="E1468" s="110" t="s">
        <v>3527</v>
      </c>
      <c r="F1468" s="110" t="str">
        <f>IFERROR(VLOOKUP(C1468,[1]evdl298!$B:$D,3,0),"")</f>
        <v/>
      </c>
      <c r="G1468" s="110" t="str">
        <f>IFERROR(VLOOKUP(C1468,[1]evdl298!$B:$C,2,0),"")</f>
        <v/>
      </c>
      <c r="H1468" s="110" t="str">
        <f t="shared" si="67"/>
        <v/>
      </c>
      <c r="I1468" s="110" t="str">
        <f t="shared" si="68"/>
        <v/>
      </c>
      <c r="J1468" s="110"/>
      <c r="K1468" s="110"/>
      <c r="M1468" s="110"/>
      <c r="O1468" s="110"/>
    </row>
    <row r="1469" spans="1:15" x14ac:dyDescent="0.3">
      <c r="A1469" s="58" t="str">
        <f>Schedule!E1467</f>
        <v>A094480</v>
      </c>
      <c r="B1469" s="58" t="s">
        <v>2868</v>
      </c>
      <c r="C1469" s="58" t="str">
        <f t="shared" si="66"/>
        <v>094480 KS</v>
      </c>
      <c r="D1469" s="58" t="s">
        <v>3671</v>
      </c>
      <c r="E1469" s="110" t="s">
        <v>3527</v>
      </c>
      <c r="F1469" s="110" t="str">
        <f>IFERROR(VLOOKUP(C1469,[1]evdl298!$B:$D,3,0),"")</f>
        <v>E</v>
      </c>
      <c r="G1469" s="110">
        <f>IFERROR(VLOOKUP(C1469,[1]evdl298!$B:$C,2,0),"")</f>
        <v>41515</v>
      </c>
      <c r="H1469" s="110" t="str">
        <f t="shared" si="67"/>
        <v>E</v>
      </c>
      <c r="I1469" s="110">
        <f t="shared" si="68"/>
        <v>41515</v>
      </c>
      <c r="J1469" s="110"/>
      <c r="K1469" s="110"/>
      <c r="M1469" s="110"/>
      <c r="O1469" s="110"/>
    </row>
    <row r="1470" spans="1:15" x14ac:dyDescent="0.3">
      <c r="A1470" s="58" t="str">
        <f>Schedule!E1468</f>
        <v>A094820</v>
      </c>
      <c r="B1470" s="58" t="s">
        <v>2869</v>
      </c>
      <c r="C1470" s="58" t="str">
        <f t="shared" si="66"/>
        <v>094820 KS</v>
      </c>
      <c r="D1470" s="58" t="s">
        <v>3671</v>
      </c>
      <c r="E1470" s="110" t="s">
        <v>3527</v>
      </c>
      <c r="F1470" s="110" t="str">
        <f>IFERROR(VLOOKUP(C1470,[1]evdl298!$B:$D,3,0),"")</f>
        <v>E</v>
      </c>
      <c r="G1470" s="110">
        <f>IFERROR(VLOOKUP(C1470,[1]evdl298!$B:$C,2,0),"")</f>
        <v>41500</v>
      </c>
      <c r="H1470" s="110" t="str">
        <f t="shared" si="67"/>
        <v>E</v>
      </c>
      <c r="I1470" s="110">
        <f t="shared" si="68"/>
        <v>41500</v>
      </c>
      <c r="J1470" s="110"/>
      <c r="K1470" s="110"/>
      <c r="M1470" s="110"/>
      <c r="O1470" s="110"/>
    </row>
    <row r="1471" spans="1:15" x14ac:dyDescent="0.3">
      <c r="A1471" s="58" t="str">
        <f>Schedule!E1469</f>
        <v>A094840</v>
      </c>
      <c r="B1471" s="58" t="s">
        <v>2870</v>
      </c>
      <c r="C1471" s="58" t="str">
        <f t="shared" si="66"/>
        <v>094840 KS</v>
      </c>
      <c r="D1471" s="58" t="s">
        <v>3671</v>
      </c>
      <c r="E1471" s="110" t="s">
        <v>3527</v>
      </c>
      <c r="F1471" s="110" t="str">
        <f>IFERROR(VLOOKUP(C1471,[1]evdl298!$B:$D,3,0),"")</f>
        <v>E</v>
      </c>
      <c r="G1471" s="110">
        <f>IFERROR(VLOOKUP(C1471,[1]evdl298!$B:$C,2,0),"")</f>
        <v>41515</v>
      </c>
      <c r="H1471" s="110" t="str">
        <f t="shared" si="67"/>
        <v>E</v>
      </c>
      <c r="I1471" s="110">
        <f t="shared" si="68"/>
        <v>41515</v>
      </c>
      <c r="J1471" s="110"/>
      <c r="K1471" s="110"/>
      <c r="M1471" s="110"/>
      <c r="O1471" s="110"/>
    </row>
    <row r="1472" spans="1:15" x14ac:dyDescent="0.3">
      <c r="A1472" s="58" t="str">
        <f>Schedule!E1470</f>
        <v>A094850</v>
      </c>
      <c r="B1472" s="58" t="s">
        <v>2871</v>
      </c>
      <c r="C1472" s="58" t="str">
        <f t="shared" si="66"/>
        <v>094850 KS</v>
      </c>
      <c r="D1472" s="58" t="s">
        <v>3671</v>
      </c>
      <c r="E1472" s="110" t="s">
        <v>3527</v>
      </c>
      <c r="F1472" s="110" t="str">
        <f>IFERROR(VLOOKUP(C1472,[1]evdl298!$B:$D,3,0),"")</f>
        <v>E</v>
      </c>
      <c r="G1472" s="110">
        <f>IFERROR(VLOOKUP(C1472,[1]evdl298!$B:$C,2,0),"")</f>
        <v>41500</v>
      </c>
      <c r="H1472" s="110" t="str">
        <f t="shared" si="67"/>
        <v>E</v>
      </c>
      <c r="I1472" s="110">
        <f t="shared" si="68"/>
        <v>41500</v>
      </c>
      <c r="J1472" s="110"/>
      <c r="K1472" s="110"/>
      <c r="M1472" s="110"/>
      <c r="O1472" s="110"/>
    </row>
    <row r="1473" spans="1:15" x14ac:dyDescent="0.3">
      <c r="A1473" s="58" t="str">
        <f>Schedule!E1471</f>
        <v>A094860</v>
      </c>
      <c r="B1473" s="58" t="s">
        <v>2872</v>
      </c>
      <c r="C1473" s="58" t="str">
        <f t="shared" si="66"/>
        <v>094860 KS</v>
      </c>
      <c r="D1473" s="58" t="s">
        <v>3671</v>
      </c>
      <c r="E1473" s="110" t="s">
        <v>3527</v>
      </c>
      <c r="F1473" s="110" t="str">
        <f>IFERROR(VLOOKUP(C1473,[1]evdl298!$B:$D,3,0),"")</f>
        <v>E</v>
      </c>
      <c r="G1473" s="110">
        <f>IFERROR(VLOOKUP(C1473,[1]evdl298!$B:$C,2,0),"")</f>
        <v>41500</v>
      </c>
      <c r="H1473" s="110" t="str">
        <f t="shared" si="67"/>
        <v>E</v>
      </c>
      <c r="I1473" s="110">
        <f t="shared" si="68"/>
        <v>41500</v>
      </c>
      <c r="J1473" s="110"/>
      <c r="K1473" s="110"/>
      <c r="M1473" s="110"/>
      <c r="O1473" s="110"/>
    </row>
    <row r="1474" spans="1:15" x14ac:dyDescent="0.3">
      <c r="A1474" s="58" t="str">
        <f>Schedule!E1472</f>
        <v>A094940</v>
      </c>
      <c r="B1474" s="58" t="s">
        <v>2873</v>
      </c>
      <c r="C1474" s="58" t="str">
        <f t="shared" si="66"/>
        <v>094940 KS</v>
      </c>
      <c r="D1474" s="58" t="s">
        <v>3671</v>
      </c>
      <c r="E1474" s="110" t="s">
        <v>3527</v>
      </c>
      <c r="F1474" s="110" t="str">
        <f>IFERROR(VLOOKUP(C1474,[1]evdl298!$B:$D,3,0),"")</f>
        <v>E</v>
      </c>
      <c r="G1474" s="110">
        <f>IFERROR(VLOOKUP(C1474,[1]evdl298!$B:$C,2,0),"")</f>
        <v>41495</v>
      </c>
      <c r="H1474" s="110" t="str">
        <f t="shared" si="67"/>
        <v>E</v>
      </c>
      <c r="I1474" s="110">
        <f t="shared" si="68"/>
        <v>41495</v>
      </c>
      <c r="J1474" s="110"/>
      <c r="K1474" s="110"/>
      <c r="M1474" s="110"/>
      <c r="O1474" s="110"/>
    </row>
    <row r="1475" spans="1:15" x14ac:dyDescent="0.3">
      <c r="A1475" s="58" t="str">
        <f>Schedule!E1473</f>
        <v>A094970</v>
      </c>
      <c r="B1475" s="58" t="s">
        <v>2874</v>
      </c>
      <c r="C1475" s="58" t="str">
        <f t="shared" si="66"/>
        <v>094970 KS</v>
      </c>
      <c r="D1475" s="58" t="s">
        <v>3671</v>
      </c>
      <c r="E1475" s="110" t="s">
        <v>3527</v>
      </c>
      <c r="F1475" s="110" t="str">
        <f>IFERROR(VLOOKUP(C1475,[1]evdl298!$B:$D,3,0),"")</f>
        <v/>
      </c>
      <c r="G1475" s="110" t="str">
        <f>IFERROR(VLOOKUP(C1475,[1]evdl298!$B:$C,2,0),"")</f>
        <v/>
      </c>
      <c r="H1475" s="110" t="str">
        <f t="shared" si="67"/>
        <v/>
      </c>
      <c r="I1475" s="110" t="str">
        <f t="shared" si="68"/>
        <v/>
      </c>
      <c r="J1475" s="110"/>
      <c r="K1475" s="110"/>
      <c r="M1475" s="110"/>
      <c r="O1475" s="110"/>
    </row>
    <row r="1476" spans="1:15" x14ac:dyDescent="0.3">
      <c r="A1476" s="58" t="str">
        <f>Schedule!E1474</f>
        <v>A095190</v>
      </c>
      <c r="B1476" s="58" t="s">
        <v>2875</v>
      </c>
      <c r="C1476" s="58" t="str">
        <f t="shared" si="66"/>
        <v>095190 KS</v>
      </c>
      <c r="D1476" s="58" t="s">
        <v>3671</v>
      </c>
      <c r="E1476" s="110" t="s">
        <v>3527</v>
      </c>
      <c r="F1476" s="110" t="str">
        <f>IFERROR(VLOOKUP(C1476,[1]evdl298!$B:$D,3,0),"")</f>
        <v>E</v>
      </c>
      <c r="G1476" s="110">
        <f>IFERROR(VLOOKUP(C1476,[1]evdl298!$B:$C,2,0),"")</f>
        <v>41515</v>
      </c>
      <c r="H1476" s="110" t="str">
        <f t="shared" si="67"/>
        <v>E</v>
      </c>
      <c r="I1476" s="110">
        <f t="shared" si="68"/>
        <v>41515</v>
      </c>
      <c r="J1476" s="110"/>
      <c r="K1476" s="110"/>
      <c r="M1476" s="110"/>
      <c r="O1476" s="110"/>
    </row>
    <row r="1477" spans="1:15" x14ac:dyDescent="0.3">
      <c r="A1477" s="58" t="str">
        <f>Schedule!E1475</f>
        <v>A095270</v>
      </c>
      <c r="B1477" s="58" t="s">
        <v>2876</v>
      </c>
      <c r="C1477" s="58" t="str">
        <f t="shared" si="66"/>
        <v>095270 KS</v>
      </c>
      <c r="D1477" s="58" t="s">
        <v>3671</v>
      </c>
      <c r="E1477" s="110" t="s">
        <v>3527</v>
      </c>
      <c r="F1477" s="110" t="str">
        <f>IFERROR(VLOOKUP(C1477,[1]evdl298!$B:$D,3,0),"")</f>
        <v/>
      </c>
      <c r="G1477" s="110" t="str">
        <f>IFERROR(VLOOKUP(C1477,[1]evdl298!$B:$C,2,0),"")</f>
        <v/>
      </c>
      <c r="H1477" s="110" t="str">
        <f t="shared" si="67"/>
        <v/>
      </c>
      <c r="I1477" s="110" t="str">
        <f t="shared" si="68"/>
        <v/>
      </c>
      <c r="J1477" s="110"/>
      <c r="K1477" s="110"/>
      <c r="M1477" s="110"/>
      <c r="O1477" s="110"/>
    </row>
    <row r="1478" spans="1:15" x14ac:dyDescent="0.3">
      <c r="A1478" s="58" t="str">
        <f>Schedule!E1476</f>
        <v>A095300</v>
      </c>
      <c r="B1478" s="58" t="s">
        <v>2877</v>
      </c>
      <c r="C1478" s="58" t="str">
        <f t="shared" si="66"/>
        <v>095300 KS</v>
      </c>
      <c r="D1478" s="58" t="s">
        <v>3671</v>
      </c>
      <c r="E1478" s="110" t="s">
        <v>3527</v>
      </c>
      <c r="F1478" s="110" t="str">
        <f>IFERROR(VLOOKUP(C1478,[1]evdl298!$B:$D,3,0),"")</f>
        <v>E</v>
      </c>
      <c r="G1478" s="110">
        <f>IFERROR(VLOOKUP(C1478,[1]evdl298!$B:$C,2,0),"")</f>
        <v>41500</v>
      </c>
      <c r="H1478" s="110" t="str">
        <f t="shared" si="67"/>
        <v>E</v>
      </c>
      <c r="I1478" s="110">
        <f t="shared" si="68"/>
        <v>41500</v>
      </c>
      <c r="J1478" s="110"/>
      <c r="K1478" s="110"/>
      <c r="M1478" s="110"/>
      <c r="O1478" s="110"/>
    </row>
    <row r="1479" spans="1:15" x14ac:dyDescent="0.3">
      <c r="A1479" s="58" t="str">
        <f>Schedule!E1477</f>
        <v>A095340</v>
      </c>
      <c r="B1479" s="58" t="s">
        <v>2878</v>
      </c>
      <c r="C1479" s="58" t="str">
        <f t="shared" si="66"/>
        <v>095340 KS</v>
      </c>
      <c r="D1479" s="58" t="s">
        <v>3671</v>
      </c>
      <c r="E1479" s="110" t="s">
        <v>3527</v>
      </c>
      <c r="F1479" s="110" t="str">
        <f>IFERROR(VLOOKUP(C1479,[1]evdl298!$B:$D,3,0),"")</f>
        <v>E</v>
      </c>
      <c r="G1479" s="110">
        <f>IFERROR(VLOOKUP(C1479,[1]evdl298!$B:$C,2,0),"")</f>
        <v>41515</v>
      </c>
      <c r="H1479" s="110" t="str">
        <f t="shared" si="67"/>
        <v>E</v>
      </c>
      <c r="I1479" s="110">
        <f t="shared" si="68"/>
        <v>41515</v>
      </c>
      <c r="J1479" s="110"/>
      <c r="K1479" s="110"/>
      <c r="M1479" s="110"/>
      <c r="O1479" s="110"/>
    </row>
    <row r="1480" spans="1:15" x14ac:dyDescent="0.3">
      <c r="A1480" s="58" t="str">
        <f>Schedule!E1478</f>
        <v>A095500</v>
      </c>
      <c r="B1480" s="58" t="s">
        <v>2879</v>
      </c>
      <c r="C1480" s="58" t="str">
        <f t="shared" si="66"/>
        <v>095500 KS</v>
      </c>
      <c r="D1480" s="58" t="s">
        <v>3671</v>
      </c>
      <c r="E1480" s="110" t="s">
        <v>3527</v>
      </c>
      <c r="F1480" s="110" t="str">
        <f>IFERROR(VLOOKUP(C1480,[1]evdl298!$B:$D,3,0),"")</f>
        <v>E</v>
      </c>
      <c r="G1480" s="110">
        <f>IFERROR(VLOOKUP(C1480,[1]evdl298!$B:$C,2,0),"")</f>
        <v>41493</v>
      </c>
      <c r="H1480" s="110" t="str">
        <f t="shared" si="67"/>
        <v>E</v>
      </c>
      <c r="I1480" s="110">
        <f t="shared" si="68"/>
        <v>41493</v>
      </c>
      <c r="J1480" s="110"/>
      <c r="K1480" s="110"/>
      <c r="M1480" s="110"/>
      <c r="O1480" s="110"/>
    </row>
    <row r="1481" spans="1:15" x14ac:dyDescent="0.3">
      <c r="A1481" s="58" t="str">
        <f>Schedule!E1479</f>
        <v>A095610</v>
      </c>
      <c r="B1481" s="58" t="s">
        <v>2880</v>
      </c>
      <c r="C1481" s="58" t="str">
        <f t="shared" si="66"/>
        <v>095610 KS</v>
      </c>
      <c r="D1481" s="58" t="s">
        <v>3671</v>
      </c>
      <c r="E1481" s="110" t="s">
        <v>3688</v>
      </c>
      <c r="F1481" s="110" t="str">
        <f>IFERROR(VLOOKUP(C1481,[1]evdl298!$B:$D,3,0),"")</f>
        <v>E</v>
      </c>
      <c r="G1481" s="110">
        <f>IFERROR(VLOOKUP(C1481,[1]evdl298!$B:$C,2,0),"")</f>
        <v>41460</v>
      </c>
      <c r="H1481" s="110" t="str">
        <f t="shared" si="67"/>
        <v>E</v>
      </c>
      <c r="I1481" s="110">
        <f t="shared" si="68"/>
        <v>41460</v>
      </c>
      <c r="J1481" s="110"/>
      <c r="K1481" s="110"/>
      <c r="M1481" s="110"/>
      <c r="O1481" s="110"/>
    </row>
    <row r="1482" spans="1:15" x14ac:dyDescent="0.3">
      <c r="A1482" s="58" t="str">
        <f>Schedule!E1480</f>
        <v>A095660</v>
      </c>
      <c r="B1482" s="58" t="s">
        <v>2881</v>
      </c>
      <c r="C1482" s="58" t="str">
        <f t="shared" si="66"/>
        <v>095660 KS</v>
      </c>
      <c r="D1482" s="58" t="s">
        <v>3671</v>
      </c>
      <c r="E1482" s="110" t="s">
        <v>3527</v>
      </c>
      <c r="F1482" s="110" t="str">
        <f>IFERROR(VLOOKUP(C1482,[1]evdl298!$B:$D,3,0),"")</f>
        <v>E</v>
      </c>
      <c r="G1482" s="110">
        <f>IFERROR(VLOOKUP(C1482,[1]evdl298!$B:$C,2,0),"")</f>
        <v>41500</v>
      </c>
      <c r="H1482" s="110" t="str">
        <f t="shared" si="67"/>
        <v>E</v>
      </c>
      <c r="I1482" s="110">
        <f t="shared" si="68"/>
        <v>41500</v>
      </c>
      <c r="J1482" s="110"/>
      <c r="K1482" s="110"/>
      <c r="M1482" s="110"/>
      <c r="O1482" s="110"/>
    </row>
    <row r="1483" spans="1:15" x14ac:dyDescent="0.3">
      <c r="A1483" s="58" t="str">
        <f>Schedule!E1481</f>
        <v>A095700</v>
      </c>
      <c r="B1483" s="58" t="s">
        <v>2882</v>
      </c>
      <c r="C1483" s="58" t="str">
        <f t="shared" si="66"/>
        <v>095700 KS</v>
      </c>
      <c r="D1483" s="58" t="s">
        <v>3671</v>
      </c>
      <c r="E1483" s="110" t="s">
        <v>3700</v>
      </c>
      <c r="F1483" s="110" t="str">
        <f>IFERROR(VLOOKUP(C1483,[1]evdl298!$B:$D,3,0),"")</f>
        <v>E</v>
      </c>
      <c r="G1483" s="110">
        <f>IFERROR(VLOOKUP(C1483,[1]evdl298!$B:$C,2,0),"")</f>
        <v>41515</v>
      </c>
      <c r="H1483" s="110" t="str">
        <f t="shared" si="67"/>
        <v>E</v>
      </c>
      <c r="I1483" s="110">
        <f t="shared" si="68"/>
        <v>41515</v>
      </c>
      <c r="J1483" s="110"/>
      <c r="K1483" s="110"/>
      <c r="M1483" s="110"/>
      <c r="O1483" s="110"/>
    </row>
    <row r="1484" spans="1:15" x14ac:dyDescent="0.3">
      <c r="A1484" s="58" t="str">
        <f>Schedule!E1482</f>
        <v>A095720</v>
      </c>
      <c r="B1484" s="58" t="s">
        <v>2883</v>
      </c>
      <c r="C1484" s="58" t="str">
        <f t="shared" si="66"/>
        <v>095720 KS</v>
      </c>
      <c r="D1484" s="58" t="s">
        <v>3671</v>
      </c>
      <c r="E1484" s="110" t="s">
        <v>3527</v>
      </c>
      <c r="F1484" s="110" t="str">
        <f>IFERROR(VLOOKUP(C1484,[1]evdl298!$B:$D,3,0),"")</f>
        <v>E</v>
      </c>
      <c r="G1484" s="110">
        <f>IFERROR(VLOOKUP(C1484,[1]evdl298!$B:$C,2,0),"")</f>
        <v>41515</v>
      </c>
      <c r="H1484" s="110" t="str">
        <f t="shared" si="67"/>
        <v>E</v>
      </c>
      <c r="I1484" s="110">
        <f t="shared" si="68"/>
        <v>41515</v>
      </c>
      <c r="J1484" s="110"/>
      <c r="K1484" s="110"/>
      <c r="M1484" s="110"/>
      <c r="O1484" s="110"/>
    </row>
    <row r="1485" spans="1:15" x14ac:dyDescent="0.3">
      <c r="A1485" s="58" t="str">
        <f>Schedule!E1483</f>
        <v>A095910</v>
      </c>
      <c r="B1485" s="58" t="s">
        <v>2884</v>
      </c>
      <c r="C1485" s="58" t="str">
        <f t="shared" si="66"/>
        <v>095910 KS</v>
      </c>
      <c r="D1485" s="58" t="s">
        <v>3671</v>
      </c>
      <c r="E1485" s="110" t="s">
        <v>3527</v>
      </c>
      <c r="F1485" s="110" t="str">
        <f>IFERROR(VLOOKUP(C1485,[1]evdl298!$B:$D,3,0),"")</f>
        <v>E</v>
      </c>
      <c r="G1485" s="110">
        <f>IFERROR(VLOOKUP(C1485,[1]evdl298!$B:$C,2,0),"")</f>
        <v>41515</v>
      </c>
      <c r="H1485" s="110" t="str">
        <f t="shared" si="67"/>
        <v>E</v>
      </c>
      <c r="I1485" s="110">
        <f t="shared" si="68"/>
        <v>41515</v>
      </c>
      <c r="J1485" s="110"/>
      <c r="K1485" s="110"/>
      <c r="M1485" s="110"/>
      <c r="O1485" s="110"/>
    </row>
    <row r="1486" spans="1:15" x14ac:dyDescent="0.3">
      <c r="A1486" s="58" t="str">
        <f>Schedule!E1484</f>
        <v>A096040</v>
      </c>
      <c r="B1486" s="58" t="s">
        <v>2885</v>
      </c>
      <c r="C1486" s="58" t="str">
        <f t="shared" si="66"/>
        <v>096040 KS</v>
      </c>
      <c r="D1486" s="58" t="s">
        <v>3671</v>
      </c>
      <c r="E1486" s="110" t="s">
        <v>3527</v>
      </c>
      <c r="F1486" s="110" t="str">
        <f>IFERROR(VLOOKUP(C1486,[1]evdl298!$B:$D,3,0),"")</f>
        <v>E</v>
      </c>
      <c r="G1486" s="110">
        <f>IFERROR(VLOOKUP(C1486,[1]evdl298!$B:$C,2,0),"")</f>
        <v>41515</v>
      </c>
      <c r="H1486" s="110" t="str">
        <f t="shared" si="67"/>
        <v>E</v>
      </c>
      <c r="I1486" s="110">
        <f t="shared" si="68"/>
        <v>41515</v>
      </c>
      <c r="J1486" s="110"/>
      <c r="K1486" s="110"/>
      <c r="M1486" s="110"/>
      <c r="O1486" s="110"/>
    </row>
    <row r="1487" spans="1:15" x14ac:dyDescent="0.3">
      <c r="A1487" s="58" t="str">
        <f>Schedule!E1485</f>
        <v>A096240</v>
      </c>
      <c r="B1487" s="58" t="s">
        <v>2886</v>
      </c>
      <c r="C1487" s="58" t="str">
        <f t="shared" si="66"/>
        <v>096240 KS</v>
      </c>
      <c r="D1487" s="58" t="s">
        <v>3671</v>
      </c>
      <c r="E1487" s="110" t="s">
        <v>3527</v>
      </c>
      <c r="F1487" s="110" t="str">
        <f>IFERROR(VLOOKUP(C1487,[1]evdl298!$B:$D,3,0),"")</f>
        <v>E</v>
      </c>
      <c r="G1487" s="110">
        <f>IFERROR(VLOOKUP(C1487,[1]evdl298!$B:$C,2,0),"")</f>
        <v>41515</v>
      </c>
      <c r="H1487" s="110" t="str">
        <f t="shared" si="67"/>
        <v>E</v>
      </c>
      <c r="I1487" s="110">
        <f t="shared" si="68"/>
        <v>41515</v>
      </c>
      <c r="J1487" s="110"/>
      <c r="K1487" s="110"/>
      <c r="M1487" s="110"/>
      <c r="O1487" s="110"/>
    </row>
    <row r="1488" spans="1:15" x14ac:dyDescent="0.3">
      <c r="A1488" s="58" t="str">
        <f>Schedule!E1486</f>
        <v>A096350</v>
      </c>
      <c r="B1488" s="58" t="s">
        <v>2887</v>
      </c>
      <c r="C1488" s="58" t="str">
        <f t="shared" si="66"/>
        <v>096350 KS</v>
      </c>
      <c r="D1488" s="58" t="s">
        <v>3671</v>
      </c>
      <c r="E1488" s="110" t="s">
        <v>3527</v>
      </c>
      <c r="F1488" s="110" t="str">
        <f>IFERROR(VLOOKUP(C1488,[1]evdl298!$B:$D,3,0),"")</f>
        <v>E</v>
      </c>
      <c r="G1488" s="110">
        <f>IFERROR(VLOOKUP(C1488,[1]evdl298!$B:$C,2,0),"")</f>
        <v>41500</v>
      </c>
      <c r="H1488" s="110" t="str">
        <f t="shared" si="67"/>
        <v>E</v>
      </c>
      <c r="I1488" s="110">
        <f t="shared" si="68"/>
        <v>41500</v>
      </c>
      <c r="J1488" s="110"/>
      <c r="K1488" s="110"/>
      <c r="M1488" s="110"/>
      <c r="O1488" s="110"/>
    </row>
    <row r="1489" spans="1:15" x14ac:dyDescent="0.3">
      <c r="A1489" s="58" t="str">
        <f>Schedule!E1487</f>
        <v>A096530</v>
      </c>
      <c r="B1489" s="58" t="s">
        <v>3653</v>
      </c>
      <c r="C1489" s="58" t="str">
        <f t="shared" ref="C1489:C1552" si="69">RIGHT(A1489,6)&amp;" KS"</f>
        <v>096530 KS</v>
      </c>
      <c r="D1489" s="58" t="s">
        <v>3671</v>
      </c>
      <c r="E1489" s="110" t="s">
        <v>3527</v>
      </c>
      <c r="F1489" s="110" t="str">
        <f>IFERROR(VLOOKUP(C1489,[1]evdl298!$B:$D,3,0),"")</f>
        <v>E</v>
      </c>
      <c r="G1489" s="110">
        <f>IFERROR(VLOOKUP(C1489,[1]evdl298!$B:$C,2,0),"")</f>
        <v>41493</v>
      </c>
      <c r="H1489" s="110" t="str">
        <f t="shared" ref="H1489:H1552" si="70">F1489</f>
        <v>E</v>
      </c>
      <c r="I1489" s="110">
        <f t="shared" ref="I1489:I1552" si="71">IF(ISNUMBER(G1489),G1489,E1489)</f>
        <v>41493</v>
      </c>
      <c r="J1489" s="110"/>
      <c r="K1489" s="110"/>
      <c r="M1489" s="110"/>
      <c r="O1489" s="110"/>
    </row>
    <row r="1490" spans="1:15" x14ac:dyDescent="0.3">
      <c r="A1490" s="58" t="str">
        <f>Schedule!E1488</f>
        <v>A096610</v>
      </c>
      <c r="B1490" s="58" t="s">
        <v>3388</v>
      </c>
      <c r="C1490" s="58" t="str">
        <f t="shared" si="69"/>
        <v>096610 KS</v>
      </c>
      <c r="D1490" s="58" t="s">
        <v>3671</v>
      </c>
      <c r="E1490" s="110" t="s">
        <v>3527</v>
      </c>
      <c r="F1490" s="110" t="str">
        <f>IFERROR(VLOOKUP(C1490,[1]evdl298!$B:$D,3,0),"")</f>
        <v>E</v>
      </c>
      <c r="G1490" s="110">
        <f>IFERROR(VLOOKUP(C1490,[1]evdl298!$B:$C,2,0),"")</f>
        <v>41515</v>
      </c>
      <c r="H1490" s="110" t="str">
        <f t="shared" si="70"/>
        <v>E</v>
      </c>
      <c r="I1490" s="110">
        <f t="shared" si="71"/>
        <v>41515</v>
      </c>
      <c r="J1490" s="110"/>
      <c r="K1490" s="110"/>
      <c r="M1490" s="110"/>
      <c r="O1490" s="110"/>
    </row>
    <row r="1491" spans="1:15" x14ac:dyDescent="0.3">
      <c r="A1491" s="58" t="str">
        <f>Schedule!E1489</f>
        <v>A096630</v>
      </c>
      <c r="B1491" s="58" t="s">
        <v>2888</v>
      </c>
      <c r="C1491" s="58" t="str">
        <f t="shared" si="69"/>
        <v>096630 KS</v>
      </c>
      <c r="D1491" s="58" t="s">
        <v>3671</v>
      </c>
      <c r="E1491" s="110" t="s">
        <v>3527</v>
      </c>
      <c r="F1491" s="110" t="str">
        <f>IFERROR(VLOOKUP(C1491,[1]evdl298!$B:$D,3,0),"")</f>
        <v>E</v>
      </c>
      <c r="G1491" s="110">
        <f>IFERROR(VLOOKUP(C1491,[1]evdl298!$B:$C,2,0),"")</f>
        <v>41500</v>
      </c>
      <c r="H1491" s="110" t="str">
        <f t="shared" si="70"/>
        <v>E</v>
      </c>
      <c r="I1491" s="110">
        <f t="shared" si="71"/>
        <v>41500</v>
      </c>
      <c r="J1491" s="110"/>
      <c r="K1491" s="110"/>
      <c r="M1491" s="110"/>
      <c r="O1491" s="110"/>
    </row>
    <row r="1492" spans="1:15" x14ac:dyDescent="0.3">
      <c r="A1492" s="58" t="str">
        <f>Schedule!E1490</f>
        <v>A096640</v>
      </c>
      <c r="B1492" s="58" t="s">
        <v>2889</v>
      </c>
      <c r="C1492" s="58" t="str">
        <f t="shared" si="69"/>
        <v>096640 KS</v>
      </c>
      <c r="D1492" s="58" t="s">
        <v>3671</v>
      </c>
      <c r="E1492" s="110" t="s">
        <v>3527</v>
      </c>
      <c r="F1492" s="110" t="str">
        <f>IFERROR(VLOOKUP(C1492,[1]evdl298!$B:$D,3,0),"")</f>
        <v>E</v>
      </c>
      <c r="G1492" s="110">
        <f>IFERROR(VLOOKUP(C1492,[1]evdl298!$B:$C,2,0),"")</f>
        <v>41493</v>
      </c>
      <c r="H1492" s="110" t="str">
        <f t="shared" si="70"/>
        <v>E</v>
      </c>
      <c r="I1492" s="110">
        <f t="shared" si="71"/>
        <v>41493</v>
      </c>
      <c r="J1492" s="110"/>
      <c r="K1492" s="110"/>
      <c r="M1492" s="110"/>
      <c r="O1492" s="110"/>
    </row>
    <row r="1493" spans="1:15" x14ac:dyDescent="0.3">
      <c r="A1493" s="58" t="str">
        <f>Schedule!E1491</f>
        <v>A096690</v>
      </c>
      <c r="B1493" s="58" t="s">
        <v>3389</v>
      </c>
      <c r="C1493" s="58" t="str">
        <f t="shared" si="69"/>
        <v>096690 KS</v>
      </c>
      <c r="D1493" s="58" t="s">
        <v>3671</v>
      </c>
      <c r="E1493" s="110" t="s">
        <v>3527</v>
      </c>
      <c r="F1493" s="110" t="str">
        <f>IFERROR(VLOOKUP(C1493,[1]evdl298!$B:$D,3,0),"")</f>
        <v>E</v>
      </c>
      <c r="G1493" s="110">
        <f>IFERROR(VLOOKUP(C1493,[1]evdl298!$B:$C,2,0),"")</f>
        <v>41515</v>
      </c>
      <c r="H1493" s="110" t="str">
        <f t="shared" si="70"/>
        <v>E</v>
      </c>
      <c r="I1493" s="110">
        <f t="shared" si="71"/>
        <v>41515</v>
      </c>
      <c r="J1493" s="110"/>
      <c r="K1493" s="110"/>
      <c r="M1493" s="110"/>
      <c r="O1493" s="110"/>
    </row>
    <row r="1494" spans="1:15" x14ac:dyDescent="0.3">
      <c r="A1494" s="58" t="str">
        <f>Schedule!E1492</f>
        <v>A096760</v>
      </c>
      <c r="B1494" s="58" t="s">
        <v>3390</v>
      </c>
      <c r="C1494" s="58" t="str">
        <f t="shared" si="69"/>
        <v>096760 KS</v>
      </c>
      <c r="D1494" s="58" t="s">
        <v>3671</v>
      </c>
      <c r="E1494" s="110" t="s">
        <v>3527</v>
      </c>
      <c r="F1494" s="110" t="str">
        <f>IFERROR(VLOOKUP(C1494,[1]evdl298!$B:$D,3,0),"")</f>
        <v/>
      </c>
      <c r="G1494" s="110" t="str">
        <f>IFERROR(VLOOKUP(C1494,[1]evdl298!$B:$C,2,0),"")</f>
        <v/>
      </c>
      <c r="H1494" s="110" t="str">
        <f t="shared" si="70"/>
        <v/>
      </c>
      <c r="I1494" s="110" t="str">
        <f t="shared" si="71"/>
        <v/>
      </c>
      <c r="J1494" s="110"/>
      <c r="K1494" s="110"/>
      <c r="M1494" s="110"/>
      <c r="O1494" s="110"/>
    </row>
    <row r="1495" spans="1:15" x14ac:dyDescent="0.3">
      <c r="A1495" s="58" t="str">
        <f>Schedule!E1493</f>
        <v>A096770</v>
      </c>
      <c r="B1495" s="58" t="s">
        <v>2890</v>
      </c>
      <c r="C1495" s="58" t="str">
        <f t="shared" si="69"/>
        <v>096770 KS</v>
      </c>
      <c r="D1495" s="58" t="s">
        <v>3671</v>
      </c>
      <c r="E1495" s="110" t="s">
        <v>3527</v>
      </c>
      <c r="F1495" s="110" t="str">
        <f>IFERROR(VLOOKUP(C1495,[1]evdl298!$B:$D,3,0),"")</f>
        <v>E</v>
      </c>
      <c r="G1495" s="110">
        <f>IFERROR(VLOOKUP(C1495,[1]evdl298!$B:$C,2,0),"")</f>
        <v>41481</v>
      </c>
      <c r="H1495" s="110" t="str">
        <f t="shared" si="70"/>
        <v>E</v>
      </c>
      <c r="I1495" s="110">
        <f t="shared" si="71"/>
        <v>41481</v>
      </c>
      <c r="J1495" s="110"/>
      <c r="K1495" s="110"/>
      <c r="M1495" s="110"/>
      <c r="O1495" s="110"/>
    </row>
    <row r="1496" spans="1:15" x14ac:dyDescent="0.3">
      <c r="A1496" s="58" t="str">
        <f>Schedule!E1494</f>
        <v>A096870</v>
      </c>
      <c r="B1496" s="58" t="s">
        <v>2891</v>
      </c>
      <c r="C1496" s="58" t="str">
        <f t="shared" si="69"/>
        <v>096870 KS</v>
      </c>
      <c r="D1496" s="58" t="s">
        <v>3671</v>
      </c>
      <c r="E1496" s="110" t="s">
        <v>3678</v>
      </c>
      <c r="F1496" s="110" t="str">
        <f>IFERROR(VLOOKUP(C1496,[1]evdl298!$B:$D,3,0),"")</f>
        <v>E</v>
      </c>
      <c r="G1496" s="110">
        <f>IFERROR(VLOOKUP(C1496,[1]evdl298!$B:$C,2,0),"")</f>
        <v>41500</v>
      </c>
      <c r="H1496" s="110" t="str">
        <f t="shared" si="70"/>
        <v>E</v>
      </c>
      <c r="I1496" s="110">
        <f t="shared" si="71"/>
        <v>41500</v>
      </c>
      <c r="J1496" s="110"/>
      <c r="K1496" s="110"/>
      <c r="M1496" s="110"/>
      <c r="O1496" s="110"/>
    </row>
    <row r="1497" spans="1:15" x14ac:dyDescent="0.3">
      <c r="A1497" s="58" t="str">
        <f>Schedule!E1495</f>
        <v>A097230</v>
      </c>
      <c r="B1497" s="58" t="s">
        <v>2892</v>
      </c>
      <c r="C1497" s="58" t="str">
        <f t="shared" si="69"/>
        <v>097230 KS</v>
      </c>
      <c r="D1497" s="58" t="s">
        <v>3671</v>
      </c>
      <c r="E1497" s="110" t="s">
        <v>3527</v>
      </c>
      <c r="F1497" s="110" t="str">
        <f>IFERROR(VLOOKUP(C1497,[1]evdl298!$B:$D,3,0),"")</f>
        <v>E</v>
      </c>
      <c r="G1497" s="110">
        <f>IFERROR(VLOOKUP(C1497,[1]evdl298!$B:$C,2,0),"")</f>
        <v>41500</v>
      </c>
      <c r="H1497" s="110" t="str">
        <f t="shared" si="70"/>
        <v>E</v>
      </c>
      <c r="I1497" s="110">
        <f t="shared" si="71"/>
        <v>41500</v>
      </c>
      <c r="J1497" s="110"/>
      <c r="K1497" s="110"/>
      <c r="M1497" s="110"/>
      <c r="O1497" s="110"/>
    </row>
    <row r="1498" spans="1:15" x14ac:dyDescent="0.3">
      <c r="A1498" s="58" t="str">
        <f>Schedule!E1496</f>
        <v>A097520</v>
      </c>
      <c r="B1498" s="58" t="s">
        <v>2893</v>
      </c>
      <c r="C1498" s="58" t="str">
        <f t="shared" si="69"/>
        <v>097520 KS</v>
      </c>
      <c r="D1498" s="58" t="s">
        <v>3671</v>
      </c>
      <c r="E1498" s="110" t="s">
        <v>3684</v>
      </c>
      <c r="F1498" s="110" t="str">
        <f>IFERROR(VLOOKUP(C1498,[1]evdl298!$B:$D,3,0),"")</f>
        <v/>
      </c>
      <c r="G1498" s="110" t="str">
        <f>IFERROR(VLOOKUP(C1498,[1]evdl298!$B:$C,2,0),"")</f>
        <v/>
      </c>
      <c r="H1498" s="110" t="str">
        <f t="shared" si="70"/>
        <v/>
      </c>
      <c r="I1498" s="110" t="str">
        <f t="shared" si="71"/>
        <v>2013-08-14</v>
      </c>
      <c r="J1498" s="110"/>
      <c r="K1498" s="110"/>
      <c r="M1498" s="110"/>
      <c r="O1498" s="110"/>
    </row>
    <row r="1499" spans="1:15" x14ac:dyDescent="0.3">
      <c r="A1499" s="58" t="str">
        <f>Schedule!E1497</f>
        <v>A097780</v>
      </c>
      <c r="B1499" s="58" t="s">
        <v>3391</v>
      </c>
      <c r="C1499" s="58" t="str">
        <f t="shared" si="69"/>
        <v>097780 KS</v>
      </c>
      <c r="D1499" s="58" t="s">
        <v>3671</v>
      </c>
      <c r="E1499" s="110" t="s">
        <v>3527</v>
      </c>
      <c r="F1499" s="110" t="str">
        <f>IFERROR(VLOOKUP(C1499,[1]evdl298!$B:$D,3,0),"")</f>
        <v>E</v>
      </c>
      <c r="G1499" s="110">
        <f>IFERROR(VLOOKUP(C1499,[1]evdl298!$B:$C,2,0),"")</f>
        <v>41515</v>
      </c>
      <c r="H1499" s="110" t="str">
        <f t="shared" si="70"/>
        <v>E</v>
      </c>
      <c r="I1499" s="110">
        <f t="shared" si="71"/>
        <v>41515</v>
      </c>
      <c r="J1499" s="110"/>
      <c r="K1499" s="110"/>
      <c r="M1499" s="110"/>
      <c r="O1499" s="110"/>
    </row>
    <row r="1500" spans="1:15" x14ac:dyDescent="0.3">
      <c r="A1500" s="58" t="str">
        <f>Schedule!E1498</f>
        <v>A097800</v>
      </c>
      <c r="B1500" s="58" t="s">
        <v>2894</v>
      </c>
      <c r="C1500" s="58" t="str">
        <f t="shared" si="69"/>
        <v>097800 KS</v>
      </c>
      <c r="D1500" s="58" t="s">
        <v>3671</v>
      </c>
      <c r="E1500" s="110" t="s">
        <v>3527</v>
      </c>
      <c r="F1500" s="110" t="str">
        <f>IFERROR(VLOOKUP(C1500,[1]evdl298!$B:$D,3,0),"")</f>
        <v/>
      </c>
      <c r="G1500" s="110" t="str">
        <f>IFERROR(VLOOKUP(C1500,[1]evdl298!$B:$C,2,0),"")</f>
        <v/>
      </c>
      <c r="H1500" s="110" t="str">
        <f t="shared" si="70"/>
        <v/>
      </c>
      <c r="I1500" s="110" t="str">
        <f t="shared" si="71"/>
        <v/>
      </c>
      <c r="J1500" s="110"/>
      <c r="K1500" s="110"/>
      <c r="M1500" s="110"/>
      <c r="O1500" s="110"/>
    </row>
    <row r="1501" spans="1:15" x14ac:dyDescent="0.3">
      <c r="A1501" s="58" t="str">
        <f>Schedule!E1499</f>
        <v>A097870</v>
      </c>
      <c r="B1501" s="58" t="s">
        <v>3654</v>
      </c>
      <c r="C1501" s="58" t="str">
        <f t="shared" si="69"/>
        <v>097870 KS</v>
      </c>
      <c r="D1501" s="58" t="s">
        <v>3671</v>
      </c>
      <c r="E1501" s="110" t="s">
        <v>3527</v>
      </c>
      <c r="F1501" s="110" t="str">
        <f>IFERROR(VLOOKUP(C1501,[1]evdl298!$B:$D,3,0),"")</f>
        <v>E</v>
      </c>
      <c r="G1501" s="110">
        <f>IFERROR(VLOOKUP(C1501,[1]evdl298!$B:$C,2,0),"")</f>
        <v>41507</v>
      </c>
      <c r="H1501" s="110" t="str">
        <f t="shared" si="70"/>
        <v>E</v>
      </c>
      <c r="I1501" s="110">
        <f t="shared" si="71"/>
        <v>41507</v>
      </c>
      <c r="J1501" s="110"/>
      <c r="K1501" s="110"/>
      <c r="M1501" s="110"/>
      <c r="O1501" s="110"/>
    </row>
    <row r="1502" spans="1:15" x14ac:dyDescent="0.3">
      <c r="A1502" s="58" t="str">
        <f>Schedule!E1500</f>
        <v>A097950</v>
      </c>
      <c r="B1502" s="58" t="s">
        <v>2895</v>
      </c>
      <c r="C1502" s="58" t="str">
        <f t="shared" si="69"/>
        <v>097950 KS</v>
      </c>
      <c r="D1502" s="58" t="s">
        <v>3671</v>
      </c>
      <c r="E1502" s="110" t="s">
        <v>3527</v>
      </c>
      <c r="F1502" s="110" t="str">
        <f>IFERROR(VLOOKUP(C1502,[1]evdl298!$B:$D,3,0),"")</f>
        <v>E</v>
      </c>
      <c r="G1502" s="110">
        <f>IFERROR(VLOOKUP(C1502,[1]evdl298!$B:$C,2,0),"")</f>
        <v>41488</v>
      </c>
      <c r="H1502" s="110" t="str">
        <f t="shared" si="70"/>
        <v>E</v>
      </c>
      <c r="I1502" s="110">
        <f t="shared" si="71"/>
        <v>41488</v>
      </c>
      <c r="J1502" s="110"/>
      <c r="K1502" s="110"/>
      <c r="M1502" s="110"/>
      <c r="O1502" s="110"/>
    </row>
    <row r="1503" spans="1:15" x14ac:dyDescent="0.3">
      <c r="A1503" s="58" t="str">
        <f>Schedule!E1501</f>
        <v>A098120</v>
      </c>
      <c r="B1503" s="58" t="s">
        <v>2896</v>
      </c>
      <c r="C1503" s="58" t="str">
        <f t="shared" si="69"/>
        <v>098120 KS</v>
      </c>
      <c r="D1503" s="58" t="s">
        <v>3671</v>
      </c>
      <c r="E1503" s="110" t="s">
        <v>3676</v>
      </c>
      <c r="F1503" s="110" t="str">
        <f>IFERROR(VLOOKUP(C1503,[1]evdl298!$B:$D,3,0),"")</f>
        <v>E</v>
      </c>
      <c r="G1503" s="110">
        <f>IFERROR(VLOOKUP(C1503,[1]evdl298!$B:$C,2,0),"")</f>
        <v>41499</v>
      </c>
      <c r="H1503" s="110" t="str">
        <f t="shared" si="70"/>
        <v>E</v>
      </c>
      <c r="I1503" s="110">
        <f t="shared" si="71"/>
        <v>41499</v>
      </c>
      <c r="J1503" s="110"/>
      <c r="K1503" s="110"/>
      <c r="M1503" s="110"/>
      <c r="O1503" s="110"/>
    </row>
    <row r="1504" spans="1:15" x14ac:dyDescent="0.3">
      <c r="A1504" s="58" t="str">
        <f>Schedule!E1502</f>
        <v>A098460</v>
      </c>
      <c r="B1504" s="58" t="s">
        <v>2897</v>
      </c>
      <c r="C1504" s="58" t="str">
        <f t="shared" si="69"/>
        <v>098460 KS</v>
      </c>
      <c r="D1504" s="58" t="s">
        <v>3671</v>
      </c>
      <c r="E1504" s="110" t="s">
        <v>3527</v>
      </c>
      <c r="F1504" s="110" t="str">
        <f>IFERROR(VLOOKUP(C1504,[1]evdl298!$B:$D,3,0),"")</f>
        <v/>
      </c>
      <c r="G1504" s="110" t="str">
        <f>IFERROR(VLOOKUP(C1504,[1]evdl298!$B:$C,2,0),"")</f>
        <v/>
      </c>
      <c r="H1504" s="110" t="str">
        <f t="shared" si="70"/>
        <v/>
      </c>
      <c r="I1504" s="110" t="str">
        <f t="shared" si="71"/>
        <v/>
      </c>
      <c r="J1504" s="110"/>
      <c r="K1504" s="110"/>
      <c r="M1504" s="110"/>
      <c r="O1504" s="110"/>
    </row>
    <row r="1505" spans="1:15" x14ac:dyDescent="0.3">
      <c r="A1505" s="58" t="str">
        <f>Schedule!E1503</f>
        <v>A098660</v>
      </c>
      <c r="B1505" s="58" t="s">
        <v>2898</v>
      </c>
      <c r="C1505" s="58" t="str">
        <f t="shared" si="69"/>
        <v>098660 KS</v>
      </c>
      <c r="D1505" s="58" t="s">
        <v>3671</v>
      </c>
      <c r="E1505" s="110" t="s">
        <v>3527</v>
      </c>
      <c r="F1505" s="110" t="str">
        <f>IFERROR(VLOOKUP(C1505,[1]evdl298!$B:$D,3,0),"")</f>
        <v/>
      </c>
      <c r="G1505" s="110" t="str">
        <f>IFERROR(VLOOKUP(C1505,[1]evdl298!$B:$C,2,0),"")</f>
        <v/>
      </c>
      <c r="H1505" s="110" t="str">
        <f t="shared" si="70"/>
        <v/>
      </c>
      <c r="I1505" s="110" t="str">
        <f t="shared" si="71"/>
        <v/>
      </c>
      <c r="J1505" s="110"/>
      <c r="K1505" s="110"/>
      <c r="M1505" s="110"/>
      <c r="O1505" s="110"/>
    </row>
    <row r="1506" spans="1:15" x14ac:dyDescent="0.3">
      <c r="A1506" s="58" t="str">
        <f>Schedule!E1504</f>
        <v>A099190</v>
      </c>
      <c r="B1506" s="58" t="s">
        <v>2899</v>
      </c>
      <c r="C1506" s="58" t="str">
        <f t="shared" si="69"/>
        <v>099190 KS</v>
      </c>
      <c r="D1506" s="58" t="s">
        <v>3671</v>
      </c>
      <c r="E1506" s="110" t="s">
        <v>3527</v>
      </c>
      <c r="F1506" s="110" t="str">
        <f>IFERROR(VLOOKUP(C1506,[1]evdl298!$B:$D,3,0),"")</f>
        <v/>
      </c>
      <c r="G1506" s="110" t="str">
        <f>IFERROR(VLOOKUP(C1506,[1]evdl298!$B:$C,2,0),"")</f>
        <v/>
      </c>
      <c r="H1506" s="110" t="str">
        <f t="shared" si="70"/>
        <v/>
      </c>
      <c r="I1506" s="110" t="str">
        <f t="shared" si="71"/>
        <v/>
      </c>
      <c r="J1506" s="110"/>
      <c r="K1506" s="110"/>
      <c r="M1506" s="110"/>
      <c r="O1506" s="110"/>
    </row>
    <row r="1507" spans="1:15" x14ac:dyDescent="0.3">
      <c r="A1507" s="58" t="str">
        <f>Schedule!E1505</f>
        <v>A099220</v>
      </c>
      <c r="B1507" s="58" t="s">
        <v>3612</v>
      </c>
      <c r="C1507" s="58" t="str">
        <f t="shared" si="69"/>
        <v>099220 KS</v>
      </c>
      <c r="D1507" s="58" t="s">
        <v>3671</v>
      </c>
      <c r="E1507" s="110" t="s">
        <v>3527</v>
      </c>
      <c r="F1507" s="110" t="str">
        <f>IFERROR(VLOOKUP(C1507,[1]evdl298!$B:$D,3,0),"")</f>
        <v/>
      </c>
      <c r="G1507" s="110" t="str">
        <f>IFERROR(VLOOKUP(C1507,[1]evdl298!$B:$C,2,0),"")</f>
        <v/>
      </c>
      <c r="H1507" s="110" t="str">
        <f t="shared" si="70"/>
        <v/>
      </c>
      <c r="I1507" s="110" t="str">
        <f t="shared" si="71"/>
        <v/>
      </c>
      <c r="J1507" s="110"/>
      <c r="K1507" s="110"/>
      <c r="M1507" s="110"/>
      <c r="O1507" s="110"/>
    </row>
    <row r="1508" spans="1:15" x14ac:dyDescent="0.3">
      <c r="A1508" s="58" t="str">
        <f>Schedule!E1506</f>
        <v>A099320</v>
      </c>
      <c r="B1508" s="58" t="s">
        <v>2900</v>
      </c>
      <c r="C1508" s="58" t="str">
        <f t="shared" si="69"/>
        <v>099320 KS</v>
      </c>
      <c r="D1508" s="58" t="s">
        <v>3671</v>
      </c>
      <c r="E1508" s="110" t="s">
        <v>3527</v>
      </c>
      <c r="F1508" s="110" t="str">
        <f>IFERROR(VLOOKUP(C1508,[1]evdl298!$B:$D,3,0),"")</f>
        <v>E</v>
      </c>
      <c r="G1508" s="110">
        <f>IFERROR(VLOOKUP(C1508,[1]evdl298!$B:$C,2,0),"")</f>
        <v>41500</v>
      </c>
      <c r="H1508" s="110" t="str">
        <f t="shared" si="70"/>
        <v>E</v>
      </c>
      <c r="I1508" s="110">
        <f t="shared" si="71"/>
        <v>41500</v>
      </c>
      <c r="J1508" s="110"/>
      <c r="K1508" s="110"/>
      <c r="M1508" s="110"/>
      <c r="O1508" s="110"/>
    </row>
    <row r="1509" spans="1:15" x14ac:dyDescent="0.3">
      <c r="A1509" s="58" t="str">
        <f>Schedule!E1507</f>
        <v>A099410</v>
      </c>
      <c r="B1509" s="58" t="s">
        <v>2901</v>
      </c>
      <c r="C1509" s="58" t="str">
        <f t="shared" si="69"/>
        <v>099410 KS</v>
      </c>
      <c r="D1509" s="58" t="s">
        <v>3671</v>
      </c>
      <c r="E1509" s="110" t="s">
        <v>3527</v>
      </c>
      <c r="F1509" s="110" t="str">
        <f>IFERROR(VLOOKUP(C1509,[1]evdl298!$B:$D,3,0),"")</f>
        <v/>
      </c>
      <c r="G1509" s="110" t="str">
        <f>IFERROR(VLOOKUP(C1509,[1]evdl298!$B:$C,2,0),"")</f>
        <v/>
      </c>
      <c r="H1509" s="110" t="str">
        <f t="shared" si="70"/>
        <v/>
      </c>
      <c r="I1509" s="110" t="str">
        <f t="shared" si="71"/>
        <v/>
      </c>
      <c r="J1509" s="110"/>
      <c r="K1509" s="110"/>
      <c r="M1509" s="110"/>
      <c r="O1509" s="110"/>
    </row>
    <row r="1510" spans="1:15" x14ac:dyDescent="0.3">
      <c r="A1510" s="58" t="str">
        <f>Schedule!E1508</f>
        <v>A099440</v>
      </c>
      <c r="B1510" s="58" t="s">
        <v>2902</v>
      </c>
      <c r="C1510" s="58" t="str">
        <f t="shared" si="69"/>
        <v>099440 KS</v>
      </c>
      <c r="D1510" s="58" t="s">
        <v>3671</v>
      </c>
      <c r="E1510" s="110" t="s">
        <v>3527</v>
      </c>
      <c r="F1510" s="110" t="str">
        <f>IFERROR(VLOOKUP(C1510,[1]evdl298!$B:$D,3,0),"")</f>
        <v>E</v>
      </c>
      <c r="G1510" s="110">
        <f>IFERROR(VLOOKUP(C1510,[1]evdl298!$B:$C,2,0),"")</f>
        <v>41480</v>
      </c>
      <c r="H1510" s="110" t="str">
        <f t="shared" si="70"/>
        <v>E</v>
      </c>
      <c r="I1510" s="110">
        <f t="shared" si="71"/>
        <v>41480</v>
      </c>
      <c r="J1510" s="110"/>
      <c r="K1510" s="110"/>
      <c r="M1510" s="110"/>
      <c r="O1510" s="110"/>
    </row>
    <row r="1511" spans="1:15" x14ac:dyDescent="0.3">
      <c r="A1511" s="58" t="str">
        <f>Schedule!E1509</f>
        <v>A099520</v>
      </c>
      <c r="B1511" s="58" t="s">
        <v>3534</v>
      </c>
      <c r="C1511" s="58" t="str">
        <f t="shared" si="69"/>
        <v>099520 KS</v>
      </c>
      <c r="D1511" s="58" t="s">
        <v>3671</v>
      </c>
      <c r="E1511" s="110" t="s">
        <v>3527</v>
      </c>
      <c r="F1511" s="110" t="str">
        <f>IFERROR(VLOOKUP(C1511,[1]evdl298!$B:$D,3,0),"")</f>
        <v>E</v>
      </c>
      <c r="G1511" s="110">
        <f>IFERROR(VLOOKUP(C1511,[1]evdl298!$B:$C,2,0),"")</f>
        <v>41500</v>
      </c>
      <c r="H1511" s="110" t="str">
        <f t="shared" si="70"/>
        <v>E</v>
      </c>
      <c r="I1511" s="110">
        <f t="shared" si="71"/>
        <v>41500</v>
      </c>
      <c r="J1511" s="110"/>
      <c r="K1511" s="110"/>
      <c r="M1511" s="110"/>
      <c r="O1511" s="110"/>
    </row>
    <row r="1512" spans="1:15" x14ac:dyDescent="0.3">
      <c r="A1512" s="58" t="str">
        <f>Schedule!E1510</f>
        <v>A099660</v>
      </c>
      <c r="B1512" s="58" t="s">
        <v>3392</v>
      </c>
      <c r="C1512" s="58" t="str">
        <f t="shared" si="69"/>
        <v>099660 KS</v>
      </c>
      <c r="D1512" s="58" t="s">
        <v>3671</v>
      </c>
      <c r="E1512" s="110" t="s">
        <v>3527</v>
      </c>
      <c r="F1512" s="110" t="str">
        <f>IFERROR(VLOOKUP(C1512,[1]evdl298!$B:$D,3,0),"")</f>
        <v/>
      </c>
      <c r="G1512" s="110" t="str">
        <f>IFERROR(VLOOKUP(C1512,[1]evdl298!$B:$C,2,0),"")</f>
        <v/>
      </c>
      <c r="H1512" s="110" t="str">
        <f t="shared" si="70"/>
        <v/>
      </c>
      <c r="I1512" s="110" t="str">
        <f t="shared" si="71"/>
        <v/>
      </c>
      <c r="J1512" s="110"/>
      <c r="K1512" s="110"/>
      <c r="M1512" s="110"/>
      <c r="O1512" s="110"/>
    </row>
    <row r="1513" spans="1:15" x14ac:dyDescent="0.3">
      <c r="A1513" s="58" t="str">
        <f>Schedule!E1511</f>
        <v>A099830</v>
      </c>
      <c r="B1513" s="58" t="s">
        <v>3655</v>
      </c>
      <c r="C1513" s="58" t="str">
        <f t="shared" si="69"/>
        <v>099830 KS</v>
      </c>
      <c r="D1513" s="58" t="s">
        <v>3671</v>
      </c>
      <c r="E1513" s="110" t="s">
        <v>3527</v>
      </c>
      <c r="F1513" s="110" t="str">
        <f>IFERROR(VLOOKUP(C1513,[1]evdl298!$B:$D,3,0),"")</f>
        <v>E</v>
      </c>
      <c r="G1513" s="110">
        <f>IFERROR(VLOOKUP(C1513,[1]evdl298!$B:$C,2,0),"")</f>
        <v>41500</v>
      </c>
      <c r="H1513" s="110" t="str">
        <f t="shared" si="70"/>
        <v>E</v>
      </c>
      <c r="I1513" s="110">
        <f t="shared" si="71"/>
        <v>41500</v>
      </c>
      <c r="J1513" s="110"/>
      <c r="K1513" s="110"/>
      <c r="M1513" s="110"/>
      <c r="O1513" s="110"/>
    </row>
    <row r="1514" spans="1:15" x14ac:dyDescent="0.3">
      <c r="A1514" s="58" t="str">
        <f>Schedule!E1512</f>
        <v>A100030</v>
      </c>
      <c r="B1514" s="58" t="s">
        <v>3393</v>
      </c>
      <c r="C1514" s="58" t="str">
        <f t="shared" si="69"/>
        <v>100030 KS</v>
      </c>
      <c r="D1514" s="58" t="s">
        <v>3671</v>
      </c>
      <c r="E1514" s="110" t="s">
        <v>3527</v>
      </c>
      <c r="F1514" s="110" t="str">
        <f>IFERROR(VLOOKUP(C1514,[1]evdl298!$B:$D,3,0),"")</f>
        <v>E</v>
      </c>
      <c r="G1514" s="110">
        <f>IFERROR(VLOOKUP(C1514,[1]evdl298!$B:$C,2,0),"")</f>
        <v>41499</v>
      </c>
      <c r="H1514" s="110" t="str">
        <f t="shared" si="70"/>
        <v>E</v>
      </c>
      <c r="I1514" s="110">
        <f t="shared" si="71"/>
        <v>41499</v>
      </c>
      <c r="J1514" s="110"/>
      <c r="K1514" s="110"/>
      <c r="M1514" s="110"/>
      <c r="O1514" s="110"/>
    </row>
    <row r="1515" spans="1:15" x14ac:dyDescent="0.3">
      <c r="A1515" s="58" t="str">
        <f>Schedule!E1513</f>
        <v>A100090</v>
      </c>
      <c r="B1515" s="58" t="s">
        <v>3394</v>
      </c>
      <c r="C1515" s="58" t="str">
        <f t="shared" si="69"/>
        <v>100090 KS</v>
      </c>
      <c r="D1515" s="58" t="s">
        <v>3671</v>
      </c>
      <c r="E1515" s="110" t="s">
        <v>3527</v>
      </c>
      <c r="F1515" s="110" t="str">
        <f>IFERROR(VLOOKUP(C1515,[1]evdl298!$B:$D,3,0),"")</f>
        <v>E</v>
      </c>
      <c r="G1515" s="110">
        <f>IFERROR(VLOOKUP(C1515,[1]evdl298!$B:$C,2,0),"")</f>
        <v>41500</v>
      </c>
      <c r="H1515" s="110" t="str">
        <f t="shared" si="70"/>
        <v>E</v>
      </c>
      <c r="I1515" s="110">
        <f t="shared" si="71"/>
        <v>41500</v>
      </c>
      <c r="J1515" s="110"/>
      <c r="K1515" s="110"/>
      <c r="M1515" s="110"/>
      <c r="O1515" s="110"/>
    </row>
    <row r="1516" spans="1:15" x14ac:dyDescent="0.3">
      <c r="A1516" s="58" t="str">
        <f>Schedule!E1514</f>
        <v>A100120</v>
      </c>
      <c r="B1516" s="58" t="s">
        <v>2903</v>
      </c>
      <c r="C1516" s="58" t="str">
        <f t="shared" si="69"/>
        <v>100120 KS</v>
      </c>
      <c r="D1516" s="58" t="s">
        <v>3671</v>
      </c>
      <c r="E1516" s="110" t="s">
        <v>3527</v>
      </c>
      <c r="F1516" s="110" t="str">
        <f>IFERROR(VLOOKUP(C1516,[1]evdl298!$B:$D,3,0),"")</f>
        <v/>
      </c>
      <c r="G1516" s="110" t="str">
        <f>IFERROR(VLOOKUP(C1516,[1]evdl298!$B:$C,2,0),"")</f>
        <v/>
      </c>
      <c r="H1516" s="110" t="str">
        <f t="shared" si="70"/>
        <v/>
      </c>
      <c r="I1516" s="110" t="str">
        <f t="shared" si="71"/>
        <v/>
      </c>
      <c r="J1516" s="110"/>
      <c r="K1516" s="110"/>
      <c r="M1516" s="110"/>
      <c r="O1516" s="110"/>
    </row>
    <row r="1517" spans="1:15" x14ac:dyDescent="0.3">
      <c r="A1517" s="58" t="str">
        <f>Schedule!E1515</f>
        <v>A100130</v>
      </c>
      <c r="B1517" s="58" t="s">
        <v>2904</v>
      </c>
      <c r="C1517" s="58" t="str">
        <f t="shared" si="69"/>
        <v>100130 KS</v>
      </c>
      <c r="D1517" s="58" t="s">
        <v>3671</v>
      </c>
      <c r="E1517" s="110" t="s">
        <v>3527</v>
      </c>
      <c r="F1517" s="110" t="str">
        <f>IFERROR(VLOOKUP(C1517,[1]evdl298!$B:$D,3,0),"")</f>
        <v>E</v>
      </c>
      <c r="G1517" s="110">
        <f>IFERROR(VLOOKUP(C1517,[1]evdl298!$B:$C,2,0),"")</f>
        <v>41499</v>
      </c>
      <c r="H1517" s="110" t="str">
        <f t="shared" si="70"/>
        <v>E</v>
      </c>
      <c r="I1517" s="110">
        <f t="shared" si="71"/>
        <v>41499</v>
      </c>
      <c r="J1517" s="110"/>
      <c r="K1517" s="110"/>
      <c r="M1517" s="110"/>
      <c r="O1517" s="110"/>
    </row>
    <row r="1518" spans="1:15" x14ac:dyDescent="0.3">
      <c r="A1518" s="58" t="str">
        <f>Schedule!E1516</f>
        <v>A100220</v>
      </c>
      <c r="B1518" s="58" t="s">
        <v>2905</v>
      </c>
      <c r="C1518" s="58" t="str">
        <f t="shared" si="69"/>
        <v>100220 KS</v>
      </c>
      <c r="D1518" s="58" t="s">
        <v>3671</v>
      </c>
      <c r="E1518" s="110" t="s">
        <v>3527</v>
      </c>
      <c r="F1518" s="110" t="str">
        <f>IFERROR(VLOOKUP(C1518,[1]evdl298!$B:$D,3,0),"")</f>
        <v>E</v>
      </c>
      <c r="G1518" s="110">
        <f>IFERROR(VLOOKUP(C1518,[1]evdl298!$B:$C,2,0),"")</f>
        <v>41515</v>
      </c>
      <c r="H1518" s="110" t="str">
        <f t="shared" si="70"/>
        <v>E</v>
      </c>
      <c r="I1518" s="110">
        <f t="shared" si="71"/>
        <v>41515</v>
      </c>
      <c r="J1518" s="110"/>
      <c r="K1518" s="110"/>
      <c r="M1518" s="110"/>
      <c r="O1518" s="110"/>
    </row>
    <row r="1519" spans="1:15" x14ac:dyDescent="0.3">
      <c r="A1519" s="58" t="str">
        <f>Schedule!E1517</f>
        <v>A100250</v>
      </c>
      <c r="B1519" s="58" t="s">
        <v>2906</v>
      </c>
      <c r="C1519" s="58" t="str">
        <f t="shared" si="69"/>
        <v>100250 KS</v>
      </c>
      <c r="D1519" s="58" t="s">
        <v>3671</v>
      </c>
      <c r="E1519" s="110" t="s">
        <v>3527</v>
      </c>
      <c r="F1519" s="110" t="str">
        <f>IFERROR(VLOOKUP(C1519,[1]evdl298!$B:$D,3,0),"")</f>
        <v>E</v>
      </c>
      <c r="G1519" s="110">
        <f>IFERROR(VLOOKUP(C1519,[1]evdl298!$B:$C,2,0),"")</f>
        <v>41500</v>
      </c>
      <c r="H1519" s="110" t="str">
        <f t="shared" si="70"/>
        <v>E</v>
      </c>
      <c r="I1519" s="110">
        <f t="shared" si="71"/>
        <v>41500</v>
      </c>
      <c r="J1519" s="110"/>
      <c r="K1519" s="110"/>
      <c r="M1519" s="110"/>
      <c r="O1519" s="110"/>
    </row>
    <row r="1520" spans="1:15" x14ac:dyDescent="0.3">
      <c r="A1520" s="58" t="str">
        <f>Schedule!E1518</f>
        <v>A100660</v>
      </c>
      <c r="B1520" s="58" t="s">
        <v>2907</v>
      </c>
      <c r="C1520" s="58" t="str">
        <f t="shared" si="69"/>
        <v>100660 KS</v>
      </c>
      <c r="D1520" s="58" t="s">
        <v>3671</v>
      </c>
      <c r="E1520" s="110" t="s">
        <v>3527</v>
      </c>
      <c r="F1520" s="110" t="str">
        <f>IFERROR(VLOOKUP(C1520,[1]evdl298!$B:$D,3,0),"")</f>
        <v>E</v>
      </c>
      <c r="G1520" s="110">
        <f>IFERROR(VLOOKUP(C1520,[1]evdl298!$B:$C,2,0),"")</f>
        <v>41500</v>
      </c>
      <c r="H1520" s="110" t="str">
        <f t="shared" si="70"/>
        <v>E</v>
      </c>
      <c r="I1520" s="110">
        <f t="shared" si="71"/>
        <v>41500</v>
      </c>
      <c r="J1520" s="110"/>
      <c r="K1520" s="110"/>
      <c r="M1520" s="110"/>
      <c r="O1520" s="110"/>
    </row>
    <row r="1521" spans="1:15" x14ac:dyDescent="0.3">
      <c r="A1521" s="58" t="str">
        <f>Schedule!E1519</f>
        <v>A100700</v>
      </c>
      <c r="B1521" s="58" t="s">
        <v>3395</v>
      </c>
      <c r="C1521" s="58" t="str">
        <f t="shared" si="69"/>
        <v>100700 KS</v>
      </c>
      <c r="D1521" s="58" t="s">
        <v>3671</v>
      </c>
      <c r="E1521" s="110" t="s">
        <v>3527</v>
      </c>
      <c r="F1521" s="110" t="str">
        <f>IFERROR(VLOOKUP(C1521,[1]evdl298!$B:$D,3,0),"")</f>
        <v>E</v>
      </c>
      <c r="G1521" s="110">
        <f>IFERROR(VLOOKUP(C1521,[1]evdl298!$B:$C,2,0),"")</f>
        <v>41515</v>
      </c>
      <c r="H1521" s="110" t="str">
        <f t="shared" si="70"/>
        <v>E</v>
      </c>
      <c r="I1521" s="110">
        <f t="shared" si="71"/>
        <v>41515</v>
      </c>
      <c r="J1521" s="110"/>
      <c r="K1521" s="110"/>
      <c r="M1521" s="110"/>
      <c r="O1521" s="110"/>
    </row>
    <row r="1522" spans="1:15" x14ac:dyDescent="0.3">
      <c r="A1522" s="58" t="str">
        <f>Schedule!E1520</f>
        <v>A100840</v>
      </c>
      <c r="B1522" s="58" t="s">
        <v>2908</v>
      </c>
      <c r="C1522" s="58" t="str">
        <f t="shared" si="69"/>
        <v>100840 KS</v>
      </c>
      <c r="D1522" s="58" t="s">
        <v>3671</v>
      </c>
      <c r="E1522" s="110" t="s">
        <v>3527</v>
      </c>
      <c r="F1522" s="110" t="str">
        <f>IFERROR(VLOOKUP(C1522,[1]evdl298!$B:$D,3,0),"")</f>
        <v>E</v>
      </c>
      <c r="G1522" s="110">
        <f>IFERROR(VLOOKUP(C1522,[1]evdl298!$B:$C,2,0),"")</f>
        <v>41495</v>
      </c>
      <c r="H1522" s="110" t="str">
        <f t="shared" si="70"/>
        <v>E</v>
      </c>
      <c r="I1522" s="110">
        <f t="shared" si="71"/>
        <v>41495</v>
      </c>
      <c r="J1522" s="110"/>
      <c r="K1522" s="110"/>
      <c r="M1522" s="110"/>
      <c r="O1522" s="110"/>
    </row>
    <row r="1523" spans="1:15" x14ac:dyDescent="0.3">
      <c r="A1523" s="58" t="str">
        <f>Schedule!E1521</f>
        <v>A101000</v>
      </c>
      <c r="B1523" s="58" t="s">
        <v>2909</v>
      </c>
      <c r="C1523" s="58" t="str">
        <f t="shared" si="69"/>
        <v>101000 KS</v>
      </c>
      <c r="D1523" s="58" t="s">
        <v>3671</v>
      </c>
      <c r="E1523" s="110" t="s">
        <v>3527</v>
      </c>
      <c r="F1523" s="110" t="str">
        <f>IFERROR(VLOOKUP(C1523,[1]evdl298!$B:$D,3,0),"")</f>
        <v/>
      </c>
      <c r="G1523" s="110" t="str">
        <f>IFERROR(VLOOKUP(C1523,[1]evdl298!$B:$C,2,0),"")</f>
        <v/>
      </c>
      <c r="H1523" s="110" t="str">
        <f t="shared" si="70"/>
        <v/>
      </c>
      <c r="I1523" s="110" t="str">
        <f t="shared" si="71"/>
        <v/>
      </c>
      <c r="J1523" s="110"/>
      <c r="K1523" s="110"/>
      <c r="M1523" s="110"/>
      <c r="O1523" s="110"/>
    </row>
    <row r="1524" spans="1:15" x14ac:dyDescent="0.3">
      <c r="A1524" s="58" t="str">
        <f>Schedule!E1522</f>
        <v>A101060</v>
      </c>
      <c r="B1524" s="58" t="s">
        <v>2910</v>
      </c>
      <c r="C1524" s="58" t="str">
        <f t="shared" si="69"/>
        <v>101060 KS</v>
      </c>
      <c r="D1524" s="58" t="s">
        <v>3671</v>
      </c>
      <c r="E1524" s="110" t="s">
        <v>3527</v>
      </c>
      <c r="F1524" s="110" t="str">
        <f>IFERROR(VLOOKUP(C1524,[1]evdl298!$B:$D,3,0),"")</f>
        <v/>
      </c>
      <c r="G1524" s="110" t="str">
        <f>IFERROR(VLOOKUP(C1524,[1]evdl298!$B:$C,2,0),"")</f>
        <v/>
      </c>
      <c r="H1524" s="110" t="str">
        <f t="shared" si="70"/>
        <v/>
      </c>
      <c r="I1524" s="110" t="str">
        <f t="shared" si="71"/>
        <v/>
      </c>
      <c r="J1524" s="110"/>
      <c r="K1524" s="110"/>
      <c r="M1524" s="110"/>
      <c r="O1524" s="110"/>
    </row>
    <row r="1525" spans="1:15" x14ac:dyDescent="0.3">
      <c r="A1525" s="58" t="str">
        <f>Schedule!E1523</f>
        <v>A101140</v>
      </c>
      <c r="B1525" s="58" t="s">
        <v>2911</v>
      </c>
      <c r="C1525" s="58" t="str">
        <f t="shared" si="69"/>
        <v>101140 KS</v>
      </c>
      <c r="D1525" s="58" t="s">
        <v>3671</v>
      </c>
      <c r="E1525" s="110" t="s">
        <v>3527</v>
      </c>
      <c r="F1525" s="110" t="str">
        <f>IFERROR(VLOOKUP(C1525,[1]evdl298!$B:$D,3,0),"")</f>
        <v>E</v>
      </c>
      <c r="G1525" s="110">
        <f>IFERROR(VLOOKUP(C1525,[1]evdl298!$B:$C,2,0),"")</f>
        <v>41500</v>
      </c>
      <c r="H1525" s="110" t="str">
        <f t="shared" si="70"/>
        <v>E</v>
      </c>
      <c r="I1525" s="110">
        <f t="shared" si="71"/>
        <v>41500</v>
      </c>
      <c r="J1525" s="110"/>
      <c r="K1525" s="110"/>
      <c r="M1525" s="110"/>
      <c r="O1525" s="110"/>
    </row>
    <row r="1526" spans="1:15" x14ac:dyDescent="0.3">
      <c r="A1526" s="58" t="str">
        <f>Schedule!E1524</f>
        <v>A101160</v>
      </c>
      <c r="B1526" s="58" t="s">
        <v>2912</v>
      </c>
      <c r="C1526" s="58" t="str">
        <f t="shared" si="69"/>
        <v>101160 KS</v>
      </c>
      <c r="D1526" s="58" t="s">
        <v>3671</v>
      </c>
      <c r="E1526" s="110" t="s">
        <v>3527</v>
      </c>
      <c r="F1526" s="110" t="str">
        <f>IFERROR(VLOOKUP(C1526,[1]evdl298!$B:$D,3,0),"")</f>
        <v>E</v>
      </c>
      <c r="G1526" s="110">
        <f>IFERROR(VLOOKUP(C1526,[1]evdl298!$B:$C,2,0),"")</f>
        <v>41515</v>
      </c>
      <c r="H1526" s="110" t="str">
        <f t="shared" si="70"/>
        <v>E</v>
      </c>
      <c r="I1526" s="110">
        <f t="shared" si="71"/>
        <v>41515</v>
      </c>
      <c r="J1526" s="110"/>
      <c r="K1526" s="110"/>
      <c r="M1526" s="110"/>
      <c r="O1526" s="110"/>
    </row>
    <row r="1527" spans="1:15" x14ac:dyDescent="0.3">
      <c r="A1527" s="58" t="str">
        <f>Schedule!E1525</f>
        <v>A101170</v>
      </c>
      <c r="B1527" s="58" t="s">
        <v>2913</v>
      </c>
      <c r="C1527" s="58" t="str">
        <f t="shared" si="69"/>
        <v>101170 KS</v>
      </c>
      <c r="D1527" s="58" t="s">
        <v>3671</v>
      </c>
      <c r="E1527" s="110" t="s">
        <v>3527</v>
      </c>
      <c r="F1527" s="110" t="str">
        <f>IFERROR(VLOOKUP(C1527,[1]evdl298!$B:$D,3,0),"")</f>
        <v/>
      </c>
      <c r="G1527" s="110" t="str">
        <f>IFERROR(VLOOKUP(C1527,[1]evdl298!$B:$C,2,0),"")</f>
        <v/>
      </c>
      <c r="H1527" s="110" t="str">
        <f t="shared" si="70"/>
        <v/>
      </c>
      <c r="I1527" s="110" t="str">
        <f t="shared" si="71"/>
        <v/>
      </c>
      <c r="J1527" s="110"/>
      <c r="K1527" s="110"/>
      <c r="M1527" s="110"/>
      <c r="O1527" s="110"/>
    </row>
    <row r="1528" spans="1:15" x14ac:dyDescent="0.3">
      <c r="A1528" s="58" t="str">
        <f>Schedule!E1526</f>
        <v>A101240</v>
      </c>
      <c r="B1528" s="58" t="s">
        <v>2914</v>
      </c>
      <c r="C1528" s="58" t="str">
        <f t="shared" si="69"/>
        <v>101240 KS</v>
      </c>
      <c r="D1528" s="58" t="s">
        <v>3671</v>
      </c>
      <c r="E1528" s="110" t="s">
        <v>3527</v>
      </c>
      <c r="F1528" s="110" t="str">
        <f>IFERROR(VLOOKUP(C1528,[1]evdl298!$B:$D,3,0),"")</f>
        <v>E</v>
      </c>
      <c r="G1528" s="110">
        <f>IFERROR(VLOOKUP(C1528,[1]evdl298!$B:$C,2,0),"")</f>
        <v>41495</v>
      </c>
      <c r="H1528" s="110" t="str">
        <f t="shared" si="70"/>
        <v>E</v>
      </c>
      <c r="I1528" s="110">
        <f t="shared" si="71"/>
        <v>41495</v>
      </c>
      <c r="J1528" s="110"/>
      <c r="K1528" s="110"/>
      <c r="M1528" s="110"/>
      <c r="O1528" s="110"/>
    </row>
    <row r="1529" spans="1:15" x14ac:dyDescent="0.3">
      <c r="A1529" s="58" t="str">
        <f>Schedule!E1527</f>
        <v>A101330</v>
      </c>
      <c r="B1529" s="58" t="s">
        <v>3396</v>
      </c>
      <c r="C1529" s="58" t="str">
        <f t="shared" si="69"/>
        <v>101330 KS</v>
      </c>
      <c r="D1529" s="58" t="s">
        <v>3671</v>
      </c>
      <c r="E1529" s="110" t="s">
        <v>3527</v>
      </c>
      <c r="F1529" s="110" t="str">
        <f>IFERROR(VLOOKUP(C1529,[1]evdl298!$B:$D,3,0),"")</f>
        <v>E</v>
      </c>
      <c r="G1529" s="110">
        <f>IFERROR(VLOOKUP(C1529,[1]evdl298!$B:$C,2,0),"")</f>
        <v>41500</v>
      </c>
      <c r="H1529" s="110" t="str">
        <f t="shared" si="70"/>
        <v>E</v>
      </c>
      <c r="I1529" s="110">
        <f t="shared" si="71"/>
        <v>41500</v>
      </c>
      <c r="J1529" s="110"/>
      <c r="K1529" s="110"/>
      <c r="M1529" s="110"/>
      <c r="O1529" s="110"/>
    </row>
    <row r="1530" spans="1:15" x14ac:dyDescent="0.3">
      <c r="A1530" s="58" t="str">
        <f>Schedule!E1528</f>
        <v>A101390</v>
      </c>
      <c r="B1530" s="58" t="s">
        <v>3397</v>
      </c>
      <c r="C1530" s="58" t="str">
        <f t="shared" si="69"/>
        <v>101390 KS</v>
      </c>
      <c r="D1530" s="58" t="s">
        <v>3671</v>
      </c>
      <c r="E1530" s="110" t="s">
        <v>3527</v>
      </c>
      <c r="F1530" s="110" t="str">
        <f>IFERROR(VLOOKUP(C1530,[1]evdl298!$B:$D,3,0),"")</f>
        <v>E</v>
      </c>
      <c r="G1530" s="110">
        <f>IFERROR(VLOOKUP(C1530,[1]evdl298!$B:$C,2,0),"")</f>
        <v>41500</v>
      </c>
      <c r="H1530" s="110" t="str">
        <f t="shared" si="70"/>
        <v>E</v>
      </c>
      <c r="I1530" s="110">
        <f t="shared" si="71"/>
        <v>41500</v>
      </c>
      <c r="J1530" s="110"/>
      <c r="K1530" s="110"/>
      <c r="M1530" s="110"/>
      <c r="O1530" s="110"/>
    </row>
    <row r="1531" spans="1:15" x14ac:dyDescent="0.3">
      <c r="A1531" s="58" t="str">
        <f>Schedule!E1529</f>
        <v>A101400</v>
      </c>
      <c r="B1531" s="58" t="s">
        <v>2915</v>
      </c>
      <c r="C1531" s="58" t="str">
        <f t="shared" si="69"/>
        <v>101400 KS</v>
      </c>
      <c r="D1531" s="58" t="s">
        <v>3671</v>
      </c>
      <c r="E1531" s="110" t="s">
        <v>3527</v>
      </c>
      <c r="F1531" s="110" t="str">
        <f>IFERROR(VLOOKUP(C1531,[1]evdl298!$B:$D,3,0),"")</f>
        <v/>
      </c>
      <c r="G1531" s="110" t="str">
        <f>IFERROR(VLOOKUP(C1531,[1]evdl298!$B:$C,2,0),"")</f>
        <v/>
      </c>
      <c r="H1531" s="110" t="str">
        <f t="shared" si="70"/>
        <v/>
      </c>
      <c r="I1531" s="110" t="str">
        <f t="shared" si="71"/>
        <v/>
      </c>
      <c r="J1531" s="110"/>
      <c r="K1531" s="110"/>
      <c r="M1531" s="110"/>
      <c r="O1531" s="110"/>
    </row>
    <row r="1532" spans="1:15" x14ac:dyDescent="0.3">
      <c r="A1532" s="58" t="str">
        <f>Schedule!E1530</f>
        <v>A101490</v>
      </c>
      <c r="B1532" s="58" t="s">
        <v>2916</v>
      </c>
      <c r="C1532" s="58" t="str">
        <f t="shared" si="69"/>
        <v>101490 KS</v>
      </c>
      <c r="D1532" s="58" t="s">
        <v>3671</v>
      </c>
      <c r="E1532" s="110" t="s">
        <v>3527</v>
      </c>
      <c r="F1532" s="110" t="str">
        <f>IFERROR(VLOOKUP(C1532,[1]evdl298!$B:$D,3,0),"")</f>
        <v/>
      </c>
      <c r="G1532" s="110" t="str">
        <f>IFERROR(VLOOKUP(C1532,[1]evdl298!$B:$C,2,0),"")</f>
        <v/>
      </c>
      <c r="H1532" s="110" t="str">
        <f t="shared" si="70"/>
        <v/>
      </c>
      <c r="I1532" s="110" t="str">
        <f t="shared" si="71"/>
        <v/>
      </c>
      <c r="J1532" s="110"/>
      <c r="K1532" s="110"/>
      <c r="M1532" s="110"/>
      <c r="O1532" s="110"/>
    </row>
    <row r="1533" spans="1:15" x14ac:dyDescent="0.3">
      <c r="A1533" s="58" t="str">
        <f>Schedule!E1531</f>
        <v>A101670</v>
      </c>
      <c r="B1533" s="58" t="s">
        <v>2917</v>
      </c>
      <c r="C1533" s="58" t="str">
        <f t="shared" si="69"/>
        <v>101670 KS</v>
      </c>
      <c r="D1533" s="58" t="s">
        <v>3671</v>
      </c>
      <c r="E1533" s="110" t="s">
        <v>3527</v>
      </c>
      <c r="F1533" s="110" t="str">
        <f>IFERROR(VLOOKUP(C1533,[1]evdl298!$B:$D,3,0),"")</f>
        <v>E</v>
      </c>
      <c r="G1533" s="110">
        <f>IFERROR(VLOOKUP(C1533,[1]evdl298!$B:$C,2,0),"")</f>
        <v>41495</v>
      </c>
      <c r="H1533" s="110" t="str">
        <f t="shared" si="70"/>
        <v>E</v>
      </c>
      <c r="I1533" s="110">
        <f t="shared" si="71"/>
        <v>41495</v>
      </c>
      <c r="J1533" s="110"/>
      <c r="K1533" s="110"/>
      <c r="M1533" s="110"/>
      <c r="O1533" s="110"/>
    </row>
    <row r="1534" spans="1:15" x14ac:dyDescent="0.3">
      <c r="A1534" s="58" t="str">
        <f>Schedule!E1532</f>
        <v>A101680</v>
      </c>
      <c r="B1534" s="58" t="s">
        <v>2918</v>
      </c>
      <c r="C1534" s="58" t="str">
        <f t="shared" si="69"/>
        <v>101680 KS</v>
      </c>
      <c r="D1534" s="58" t="s">
        <v>3671</v>
      </c>
      <c r="E1534" s="110" t="s">
        <v>3527</v>
      </c>
      <c r="F1534" s="110" t="str">
        <f>IFERROR(VLOOKUP(C1534,[1]evdl298!$B:$D,3,0),"")</f>
        <v>E</v>
      </c>
      <c r="G1534" s="110">
        <f>IFERROR(VLOOKUP(C1534,[1]evdl298!$B:$C,2,0),"")</f>
        <v>41499</v>
      </c>
      <c r="H1534" s="110" t="str">
        <f t="shared" si="70"/>
        <v>E</v>
      </c>
      <c r="I1534" s="110">
        <f t="shared" si="71"/>
        <v>41499</v>
      </c>
      <c r="J1534" s="110"/>
      <c r="K1534" s="110"/>
      <c r="M1534" s="110"/>
      <c r="O1534" s="110"/>
    </row>
    <row r="1535" spans="1:15" x14ac:dyDescent="0.3">
      <c r="A1535" s="58" t="str">
        <f>Schedule!E1533</f>
        <v>A101730</v>
      </c>
      <c r="B1535" s="58" t="s">
        <v>2919</v>
      </c>
      <c r="C1535" s="58" t="str">
        <f t="shared" si="69"/>
        <v>101730 KS</v>
      </c>
      <c r="D1535" s="58" t="s">
        <v>3671</v>
      </c>
      <c r="E1535" s="110" t="s">
        <v>3527</v>
      </c>
      <c r="F1535" s="110" t="str">
        <f>IFERROR(VLOOKUP(C1535,[1]evdl298!$B:$D,3,0),"")</f>
        <v>E</v>
      </c>
      <c r="G1535" s="110">
        <f>IFERROR(VLOOKUP(C1535,[1]evdl298!$B:$C,2,0),"")</f>
        <v>41500</v>
      </c>
      <c r="H1535" s="110" t="str">
        <f t="shared" si="70"/>
        <v>E</v>
      </c>
      <c r="I1535" s="110">
        <f t="shared" si="71"/>
        <v>41500</v>
      </c>
      <c r="J1535" s="110"/>
      <c r="K1535" s="110"/>
      <c r="M1535" s="110"/>
      <c r="O1535" s="110"/>
    </row>
    <row r="1536" spans="1:15" x14ac:dyDescent="0.3">
      <c r="A1536" s="58" t="str">
        <f>Schedule!E1534</f>
        <v>A101930</v>
      </c>
      <c r="B1536" s="58" t="s">
        <v>2920</v>
      </c>
      <c r="C1536" s="58" t="str">
        <f t="shared" si="69"/>
        <v>101930 KS</v>
      </c>
      <c r="D1536" s="58" t="s">
        <v>3671</v>
      </c>
      <c r="E1536" s="110" t="s">
        <v>3527</v>
      </c>
      <c r="F1536" s="110" t="str">
        <f>IFERROR(VLOOKUP(C1536,[1]evdl298!$B:$D,3,0),"")</f>
        <v>E</v>
      </c>
      <c r="G1536" s="110">
        <f>IFERROR(VLOOKUP(C1536,[1]evdl298!$B:$C,2,0),"")</f>
        <v>41500</v>
      </c>
      <c r="H1536" s="110" t="str">
        <f t="shared" si="70"/>
        <v>E</v>
      </c>
      <c r="I1536" s="110">
        <f t="shared" si="71"/>
        <v>41500</v>
      </c>
      <c r="J1536" s="110"/>
      <c r="K1536" s="110"/>
      <c r="M1536" s="110"/>
      <c r="O1536" s="110"/>
    </row>
    <row r="1537" spans="1:15" x14ac:dyDescent="0.3">
      <c r="A1537" s="58" t="str">
        <f>Schedule!E1535</f>
        <v>A101970</v>
      </c>
      <c r="B1537" s="58" t="s">
        <v>3398</v>
      </c>
      <c r="C1537" s="58" t="str">
        <f t="shared" si="69"/>
        <v>101970 KS</v>
      </c>
      <c r="D1537" s="58" t="s">
        <v>3671</v>
      </c>
      <c r="E1537" s="110" t="s">
        <v>3527</v>
      </c>
      <c r="F1537" s="110" t="str">
        <f>IFERROR(VLOOKUP(C1537,[1]evdl298!$B:$D,3,0),"")</f>
        <v>E</v>
      </c>
      <c r="G1537" s="110">
        <f>IFERROR(VLOOKUP(C1537,[1]evdl298!$B:$C,2,0),"")</f>
        <v>41499</v>
      </c>
      <c r="H1537" s="110" t="str">
        <f t="shared" si="70"/>
        <v>E</v>
      </c>
      <c r="I1537" s="110">
        <f t="shared" si="71"/>
        <v>41499</v>
      </c>
      <c r="J1537" s="110"/>
      <c r="K1537" s="110"/>
      <c r="M1537" s="110"/>
      <c r="O1537" s="110"/>
    </row>
    <row r="1538" spans="1:15" x14ac:dyDescent="0.3">
      <c r="A1538" s="58" t="str">
        <f>Schedule!E1536</f>
        <v>A101990</v>
      </c>
      <c r="B1538" s="58" t="s">
        <v>3399</v>
      </c>
      <c r="C1538" s="58" t="str">
        <f t="shared" si="69"/>
        <v>101990 KS</v>
      </c>
      <c r="D1538" s="58" t="s">
        <v>3671</v>
      </c>
      <c r="E1538" s="110" t="s">
        <v>3527</v>
      </c>
      <c r="F1538" s="110" t="str">
        <f>IFERROR(VLOOKUP(C1538,[1]evdl298!$B:$D,3,0),"")</f>
        <v/>
      </c>
      <c r="G1538" s="110" t="str">
        <f>IFERROR(VLOOKUP(C1538,[1]evdl298!$B:$C,2,0),"")</f>
        <v/>
      </c>
      <c r="H1538" s="110" t="str">
        <f t="shared" si="70"/>
        <v/>
      </c>
      <c r="I1538" s="110" t="str">
        <f t="shared" si="71"/>
        <v/>
      </c>
      <c r="J1538" s="110"/>
      <c r="K1538" s="110"/>
      <c r="M1538" s="110"/>
      <c r="O1538" s="110"/>
    </row>
    <row r="1539" spans="1:15" x14ac:dyDescent="0.3">
      <c r="A1539" s="58" t="str">
        <f>Schedule!E1537</f>
        <v>A102120</v>
      </c>
      <c r="B1539" s="58" t="s">
        <v>2921</v>
      </c>
      <c r="C1539" s="58" t="str">
        <f t="shared" si="69"/>
        <v>102120 KS</v>
      </c>
      <c r="D1539" s="58" t="s">
        <v>3671</v>
      </c>
      <c r="E1539" s="110" t="s">
        <v>3527</v>
      </c>
      <c r="F1539" s="110" t="str">
        <f>IFERROR(VLOOKUP(C1539,[1]evdl298!$B:$D,3,0),"")</f>
        <v/>
      </c>
      <c r="G1539" s="110" t="str">
        <f>IFERROR(VLOOKUP(C1539,[1]evdl298!$B:$C,2,0),"")</f>
        <v/>
      </c>
      <c r="H1539" s="110" t="str">
        <f t="shared" si="70"/>
        <v/>
      </c>
      <c r="I1539" s="110" t="str">
        <f t="shared" si="71"/>
        <v/>
      </c>
      <c r="J1539" s="110"/>
      <c r="K1539" s="110"/>
      <c r="M1539" s="110"/>
      <c r="O1539" s="110"/>
    </row>
    <row r="1540" spans="1:15" x14ac:dyDescent="0.3">
      <c r="A1540" s="58" t="str">
        <f>Schedule!E1538</f>
        <v>A102210</v>
      </c>
      <c r="B1540" s="58" t="s">
        <v>2922</v>
      </c>
      <c r="C1540" s="58" t="str">
        <f t="shared" si="69"/>
        <v>102210 KS</v>
      </c>
      <c r="D1540" s="58" t="s">
        <v>3671</v>
      </c>
      <c r="E1540" s="110" t="s">
        <v>3527</v>
      </c>
      <c r="F1540" s="110" t="str">
        <f>IFERROR(VLOOKUP(C1540,[1]evdl298!$B:$D,3,0),"")</f>
        <v>E</v>
      </c>
      <c r="G1540" s="110">
        <f>IFERROR(VLOOKUP(C1540,[1]evdl298!$B:$C,2,0),"")</f>
        <v>41500</v>
      </c>
      <c r="H1540" s="110" t="str">
        <f t="shared" si="70"/>
        <v>E</v>
      </c>
      <c r="I1540" s="110">
        <f t="shared" si="71"/>
        <v>41500</v>
      </c>
      <c r="J1540" s="110"/>
      <c r="K1540" s="110"/>
      <c r="M1540" s="110"/>
      <c r="O1540" s="110"/>
    </row>
    <row r="1541" spans="1:15" x14ac:dyDescent="0.3">
      <c r="A1541" s="58" t="str">
        <f>Schedule!E1539</f>
        <v>A102260</v>
      </c>
      <c r="B1541" s="58" t="s">
        <v>2923</v>
      </c>
      <c r="C1541" s="58" t="str">
        <f t="shared" si="69"/>
        <v>102260 KS</v>
      </c>
      <c r="D1541" s="58" t="s">
        <v>3671</v>
      </c>
      <c r="E1541" s="110" t="s">
        <v>3527</v>
      </c>
      <c r="F1541" s="110" t="str">
        <f>IFERROR(VLOOKUP(C1541,[1]evdl298!$B:$D,3,0),"")</f>
        <v>E</v>
      </c>
      <c r="G1541" s="110">
        <f>IFERROR(VLOOKUP(C1541,[1]evdl298!$B:$C,2,0),"")</f>
        <v>41500</v>
      </c>
      <c r="H1541" s="110" t="str">
        <f t="shared" si="70"/>
        <v>E</v>
      </c>
      <c r="I1541" s="110">
        <f t="shared" si="71"/>
        <v>41500</v>
      </c>
      <c r="J1541" s="110"/>
      <c r="K1541" s="110"/>
      <c r="M1541" s="110"/>
      <c r="O1541" s="110"/>
    </row>
    <row r="1542" spans="1:15" x14ac:dyDescent="0.3">
      <c r="A1542" s="58" t="str">
        <f>Schedule!E1540</f>
        <v>A102280</v>
      </c>
      <c r="B1542" s="58" t="s">
        <v>2924</v>
      </c>
      <c r="C1542" s="58" t="str">
        <f t="shared" si="69"/>
        <v>102280 KS</v>
      </c>
      <c r="D1542" s="58" t="s">
        <v>3671</v>
      </c>
      <c r="E1542" s="110" t="s">
        <v>3527</v>
      </c>
      <c r="F1542" s="110" t="str">
        <f>IFERROR(VLOOKUP(C1542,[1]evdl298!$B:$D,3,0),"")</f>
        <v>E</v>
      </c>
      <c r="G1542" s="110">
        <f>IFERROR(VLOOKUP(C1542,[1]evdl298!$B:$C,2,0),"")</f>
        <v>41500</v>
      </c>
      <c r="H1542" s="110" t="str">
        <f t="shared" si="70"/>
        <v>E</v>
      </c>
      <c r="I1542" s="110">
        <f t="shared" si="71"/>
        <v>41500</v>
      </c>
      <c r="J1542" s="110"/>
      <c r="K1542" s="110"/>
      <c r="M1542" s="110"/>
      <c r="O1542" s="110"/>
    </row>
    <row r="1543" spans="1:15" x14ac:dyDescent="0.3">
      <c r="A1543" s="58" t="str">
        <f>Schedule!E1541</f>
        <v>A102460</v>
      </c>
      <c r="B1543" s="58" t="s">
        <v>2925</v>
      </c>
      <c r="C1543" s="58" t="str">
        <f t="shared" si="69"/>
        <v>102460 KS</v>
      </c>
      <c r="D1543" s="58" t="s">
        <v>3671</v>
      </c>
      <c r="E1543" s="110" t="s">
        <v>3527</v>
      </c>
      <c r="F1543" s="110" t="str">
        <f>IFERROR(VLOOKUP(C1543,[1]evdl298!$B:$D,3,0),"")</f>
        <v>E</v>
      </c>
      <c r="G1543" s="110">
        <f>IFERROR(VLOOKUP(C1543,[1]evdl298!$B:$C,2,0),"")</f>
        <v>41500</v>
      </c>
      <c r="H1543" s="110" t="str">
        <f t="shared" si="70"/>
        <v>E</v>
      </c>
      <c r="I1543" s="110">
        <f t="shared" si="71"/>
        <v>41500</v>
      </c>
      <c r="J1543" s="110"/>
      <c r="K1543" s="110"/>
      <c r="M1543" s="110"/>
      <c r="O1543" s="110"/>
    </row>
    <row r="1544" spans="1:15" x14ac:dyDescent="0.3">
      <c r="A1544" s="58" t="str">
        <f>Schedule!E1542</f>
        <v>A102710</v>
      </c>
      <c r="B1544" s="58" t="s">
        <v>3400</v>
      </c>
      <c r="C1544" s="58" t="str">
        <f t="shared" si="69"/>
        <v>102710 KS</v>
      </c>
      <c r="D1544" s="58" t="s">
        <v>3671</v>
      </c>
      <c r="E1544" s="110" t="s">
        <v>3527</v>
      </c>
      <c r="F1544" s="110" t="str">
        <f>IFERROR(VLOOKUP(C1544,[1]evdl298!$B:$D,3,0),"")</f>
        <v>E</v>
      </c>
      <c r="G1544" s="110">
        <f>IFERROR(VLOOKUP(C1544,[1]evdl298!$B:$C,2,0),"")</f>
        <v>41515</v>
      </c>
      <c r="H1544" s="110" t="str">
        <f t="shared" si="70"/>
        <v>E</v>
      </c>
      <c r="I1544" s="110">
        <f t="shared" si="71"/>
        <v>41515</v>
      </c>
      <c r="J1544" s="110"/>
      <c r="K1544" s="110"/>
      <c r="M1544" s="110"/>
      <c r="O1544" s="110"/>
    </row>
    <row r="1545" spans="1:15" x14ac:dyDescent="0.3">
      <c r="A1545" s="58" t="str">
        <f>Schedule!E1543</f>
        <v>A102940</v>
      </c>
      <c r="B1545" s="58" t="s">
        <v>2926</v>
      </c>
      <c r="C1545" s="58" t="str">
        <f t="shared" si="69"/>
        <v>102940 KS</v>
      </c>
      <c r="D1545" s="58" t="s">
        <v>3671</v>
      </c>
      <c r="E1545" s="110" t="s">
        <v>3527</v>
      </c>
      <c r="F1545" s="110" t="str">
        <f>IFERROR(VLOOKUP(C1545,[1]evdl298!$B:$D,3,0),"")</f>
        <v>E</v>
      </c>
      <c r="G1545" s="110">
        <f>IFERROR(VLOOKUP(C1545,[1]evdl298!$B:$C,2,0),"")</f>
        <v>41474</v>
      </c>
      <c r="H1545" s="110" t="str">
        <f t="shared" si="70"/>
        <v>E</v>
      </c>
      <c r="I1545" s="110">
        <f t="shared" si="71"/>
        <v>41474</v>
      </c>
      <c r="J1545" s="110"/>
      <c r="K1545" s="110"/>
      <c r="M1545" s="110"/>
      <c r="O1545" s="110"/>
    </row>
    <row r="1546" spans="1:15" x14ac:dyDescent="0.3">
      <c r="A1546" s="58" t="str">
        <f>Schedule!E1544</f>
        <v>A103130</v>
      </c>
      <c r="B1546" s="58" t="s">
        <v>2927</v>
      </c>
      <c r="C1546" s="58" t="str">
        <f t="shared" si="69"/>
        <v>103130 KS</v>
      </c>
      <c r="D1546" s="58" t="s">
        <v>3671</v>
      </c>
      <c r="E1546" s="110" t="s">
        <v>3527</v>
      </c>
      <c r="F1546" s="110" t="str">
        <f>IFERROR(VLOOKUP(C1546,[1]evdl298!$B:$D,3,0),"")</f>
        <v>E</v>
      </c>
      <c r="G1546" s="110">
        <f>IFERROR(VLOOKUP(C1546,[1]evdl298!$B:$C,2,0),"")</f>
        <v>41495</v>
      </c>
      <c r="H1546" s="110" t="str">
        <f t="shared" si="70"/>
        <v>E</v>
      </c>
      <c r="I1546" s="110">
        <f t="shared" si="71"/>
        <v>41495</v>
      </c>
      <c r="J1546" s="110"/>
      <c r="K1546" s="110"/>
      <c r="M1546" s="110"/>
      <c r="O1546" s="110"/>
    </row>
    <row r="1547" spans="1:15" x14ac:dyDescent="0.3">
      <c r="A1547" s="58" t="str">
        <f>Schedule!E1545</f>
        <v>A103140</v>
      </c>
      <c r="B1547" s="58" t="s">
        <v>3401</v>
      </c>
      <c r="C1547" s="58" t="str">
        <f t="shared" si="69"/>
        <v>103140 KS</v>
      </c>
      <c r="D1547" s="58" t="s">
        <v>3671</v>
      </c>
      <c r="E1547" s="110" t="s">
        <v>3527</v>
      </c>
      <c r="F1547" s="110" t="str">
        <f>IFERROR(VLOOKUP(C1547,[1]evdl298!$B:$D,3,0),"")</f>
        <v>E</v>
      </c>
      <c r="G1547" s="110">
        <f>IFERROR(VLOOKUP(C1547,[1]evdl298!$B:$C,2,0),"")</f>
        <v>41485</v>
      </c>
      <c r="H1547" s="110" t="str">
        <f t="shared" si="70"/>
        <v>E</v>
      </c>
      <c r="I1547" s="110">
        <f t="shared" si="71"/>
        <v>41485</v>
      </c>
      <c r="J1547" s="110"/>
      <c r="K1547" s="110"/>
      <c r="M1547" s="110"/>
      <c r="O1547" s="110"/>
    </row>
    <row r="1548" spans="1:15" x14ac:dyDescent="0.3">
      <c r="A1548" s="58" t="str">
        <f>Schedule!E1546</f>
        <v>A103230</v>
      </c>
      <c r="B1548" s="58" t="s">
        <v>2928</v>
      </c>
      <c r="C1548" s="58" t="str">
        <f t="shared" si="69"/>
        <v>103230 KS</v>
      </c>
      <c r="D1548" s="58" t="s">
        <v>3671</v>
      </c>
      <c r="E1548" s="110" t="s">
        <v>3527</v>
      </c>
      <c r="F1548" s="110" t="str">
        <f>IFERROR(VLOOKUP(C1548,[1]evdl298!$B:$D,3,0),"")</f>
        <v>E</v>
      </c>
      <c r="G1548" s="110">
        <f>IFERROR(VLOOKUP(C1548,[1]evdl298!$B:$C,2,0),"")</f>
        <v>41500</v>
      </c>
      <c r="H1548" s="110" t="str">
        <f t="shared" si="70"/>
        <v>E</v>
      </c>
      <c r="I1548" s="110">
        <f t="shared" si="71"/>
        <v>41500</v>
      </c>
      <c r="J1548" s="110"/>
      <c r="K1548" s="110"/>
      <c r="M1548" s="110"/>
      <c r="O1548" s="110"/>
    </row>
    <row r="1549" spans="1:15" x14ac:dyDescent="0.3">
      <c r="A1549" s="58" t="str">
        <f>Schedule!E1547</f>
        <v>A103590</v>
      </c>
      <c r="B1549" s="58" t="s">
        <v>2929</v>
      </c>
      <c r="C1549" s="58" t="str">
        <f t="shared" si="69"/>
        <v>103590 KS</v>
      </c>
      <c r="D1549" s="58" t="s">
        <v>3671</v>
      </c>
      <c r="E1549" s="110" t="s">
        <v>3527</v>
      </c>
      <c r="F1549" s="110" t="str">
        <f>IFERROR(VLOOKUP(C1549,[1]evdl298!$B:$D,3,0),"")</f>
        <v>E</v>
      </c>
      <c r="G1549" s="110">
        <f>IFERROR(VLOOKUP(C1549,[1]evdl298!$B:$C,2,0),"")</f>
        <v>41488</v>
      </c>
      <c r="H1549" s="110" t="str">
        <f t="shared" si="70"/>
        <v>E</v>
      </c>
      <c r="I1549" s="110">
        <f t="shared" si="71"/>
        <v>41488</v>
      </c>
      <c r="J1549" s="110"/>
      <c r="K1549" s="110"/>
      <c r="M1549" s="110"/>
      <c r="O1549" s="110"/>
    </row>
    <row r="1550" spans="1:15" x14ac:dyDescent="0.3">
      <c r="A1550" s="58" t="str">
        <f>Schedule!E1548</f>
        <v>A104040</v>
      </c>
      <c r="B1550" s="58" t="s">
        <v>2930</v>
      </c>
      <c r="C1550" s="58" t="str">
        <f t="shared" si="69"/>
        <v>104040 KS</v>
      </c>
      <c r="D1550" s="58" t="s">
        <v>3671</v>
      </c>
      <c r="E1550" s="110" t="s">
        <v>3527</v>
      </c>
      <c r="F1550" s="110" t="str">
        <f>IFERROR(VLOOKUP(C1550,[1]evdl298!$B:$D,3,0),"")</f>
        <v>E</v>
      </c>
      <c r="G1550" s="110">
        <f>IFERROR(VLOOKUP(C1550,[1]evdl298!$B:$C,2,0),"")</f>
        <v>41515</v>
      </c>
      <c r="H1550" s="110" t="str">
        <f t="shared" si="70"/>
        <v>E</v>
      </c>
      <c r="I1550" s="110">
        <f t="shared" si="71"/>
        <v>41515</v>
      </c>
      <c r="J1550" s="110"/>
      <c r="K1550" s="110"/>
      <c r="M1550" s="110"/>
      <c r="O1550" s="110"/>
    </row>
    <row r="1551" spans="1:15" x14ac:dyDescent="0.3">
      <c r="A1551" s="58" t="str">
        <f>Schedule!E1549</f>
        <v>A104110</v>
      </c>
      <c r="B1551" s="58" t="s">
        <v>2931</v>
      </c>
      <c r="C1551" s="58" t="str">
        <f t="shared" si="69"/>
        <v>104110 KS</v>
      </c>
      <c r="D1551" s="58" t="s">
        <v>3671</v>
      </c>
      <c r="E1551" s="110" t="s">
        <v>3527</v>
      </c>
      <c r="F1551" s="110" t="str">
        <f>IFERROR(VLOOKUP(C1551,[1]evdl298!$B:$D,3,0),"")</f>
        <v/>
      </c>
      <c r="G1551" s="110" t="str">
        <f>IFERROR(VLOOKUP(C1551,[1]evdl298!$B:$C,2,0),"")</f>
        <v/>
      </c>
      <c r="H1551" s="110" t="str">
        <f t="shared" si="70"/>
        <v/>
      </c>
      <c r="I1551" s="110" t="str">
        <f t="shared" si="71"/>
        <v/>
      </c>
      <c r="J1551" s="110"/>
      <c r="K1551" s="110"/>
      <c r="M1551" s="110"/>
      <c r="O1551" s="110"/>
    </row>
    <row r="1552" spans="1:15" x14ac:dyDescent="0.3">
      <c r="A1552" s="58" t="str">
        <f>Schedule!E1550</f>
        <v>A104120</v>
      </c>
      <c r="B1552" s="58" t="s">
        <v>2932</v>
      </c>
      <c r="C1552" s="58" t="str">
        <f t="shared" si="69"/>
        <v>104120 KS</v>
      </c>
      <c r="D1552" s="58" t="s">
        <v>3671</v>
      </c>
      <c r="E1552" s="110" t="s">
        <v>3527</v>
      </c>
      <c r="F1552" s="110" t="str">
        <f>IFERROR(VLOOKUP(C1552,[1]evdl298!$B:$D,3,0),"")</f>
        <v>E</v>
      </c>
      <c r="G1552" s="110">
        <f>IFERROR(VLOOKUP(C1552,[1]evdl298!$B:$C,2,0),"")</f>
        <v>41500</v>
      </c>
      <c r="H1552" s="110" t="str">
        <f t="shared" si="70"/>
        <v>E</v>
      </c>
      <c r="I1552" s="110">
        <f t="shared" si="71"/>
        <v>41500</v>
      </c>
      <c r="J1552" s="110"/>
      <c r="K1552" s="110"/>
      <c r="M1552" s="110"/>
      <c r="O1552" s="110"/>
    </row>
    <row r="1553" spans="1:15" x14ac:dyDescent="0.3">
      <c r="A1553" s="58" t="str">
        <f>Schedule!E1551</f>
        <v>A104200</v>
      </c>
      <c r="B1553" s="58" t="s">
        <v>2933</v>
      </c>
      <c r="C1553" s="58" t="str">
        <f t="shared" ref="C1553:C1616" si="72">RIGHT(A1553,6)&amp;" KS"</f>
        <v>104200 KS</v>
      </c>
      <c r="D1553" s="58" t="s">
        <v>3671</v>
      </c>
      <c r="E1553" s="110" t="s">
        <v>3527</v>
      </c>
      <c r="F1553" s="110" t="str">
        <f>IFERROR(VLOOKUP(C1553,[1]evdl298!$B:$D,3,0),"")</f>
        <v>E</v>
      </c>
      <c r="G1553" s="110">
        <f>IFERROR(VLOOKUP(C1553,[1]evdl298!$B:$C,2,0),"")</f>
        <v>41500</v>
      </c>
      <c r="H1553" s="110" t="str">
        <f t="shared" ref="H1553:H1616" si="73">F1553</f>
        <v>E</v>
      </c>
      <c r="I1553" s="110">
        <f t="shared" ref="I1553:I1616" si="74">IF(ISNUMBER(G1553),G1553,E1553)</f>
        <v>41500</v>
      </c>
      <c r="J1553" s="110"/>
      <c r="K1553" s="110"/>
      <c r="M1553" s="110"/>
      <c r="O1553" s="110"/>
    </row>
    <row r="1554" spans="1:15" x14ac:dyDescent="0.3">
      <c r="A1554" s="58" t="str">
        <f>Schedule!E1552</f>
        <v>A104460</v>
      </c>
      <c r="B1554" s="58" t="s">
        <v>2934</v>
      </c>
      <c r="C1554" s="58" t="str">
        <f t="shared" si="72"/>
        <v>104460 KS</v>
      </c>
      <c r="D1554" s="58" t="s">
        <v>3671</v>
      </c>
      <c r="E1554" s="110" t="s">
        <v>3527</v>
      </c>
      <c r="F1554" s="110" t="str">
        <f>IFERROR(VLOOKUP(C1554,[1]evdl298!$B:$D,3,0),"")</f>
        <v>E</v>
      </c>
      <c r="G1554" s="110">
        <f>IFERROR(VLOOKUP(C1554,[1]evdl298!$B:$C,2,0),"")</f>
        <v>41499</v>
      </c>
      <c r="H1554" s="110" t="str">
        <f t="shared" si="73"/>
        <v>E</v>
      </c>
      <c r="I1554" s="110">
        <f t="shared" si="74"/>
        <v>41499</v>
      </c>
      <c r="J1554" s="110"/>
      <c r="K1554" s="110"/>
      <c r="M1554" s="110"/>
      <c r="O1554" s="110"/>
    </row>
    <row r="1555" spans="1:15" x14ac:dyDescent="0.3">
      <c r="A1555" s="58" t="str">
        <f>Schedule!E1553</f>
        <v>A104480</v>
      </c>
      <c r="B1555" s="58" t="s">
        <v>3402</v>
      </c>
      <c r="C1555" s="58" t="str">
        <f t="shared" si="72"/>
        <v>104480 KS</v>
      </c>
      <c r="D1555" s="58" t="s">
        <v>3671</v>
      </c>
      <c r="E1555" s="110" t="s">
        <v>3527</v>
      </c>
      <c r="F1555" s="110" t="str">
        <f>IFERROR(VLOOKUP(C1555,[1]evdl298!$B:$D,3,0),"")</f>
        <v>E</v>
      </c>
      <c r="G1555" s="110">
        <f>IFERROR(VLOOKUP(C1555,[1]evdl298!$B:$C,2,0),"")</f>
        <v>41500</v>
      </c>
      <c r="H1555" s="110" t="str">
        <f t="shared" si="73"/>
        <v>E</v>
      </c>
      <c r="I1555" s="110">
        <f t="shared" si="74"/>
        <v>41500</v>
      </c>
      <c r="J1555" s="110"/>
      <c r="K1555" s="110"/>
      <c r="M1555" s="110"/>
      <c r="O1555" s="110"/>
    </row>
    <row r="1556" spans="1:15" x14ac:dyDescent="0.3">
      <c r="A1556" s="58" t="str">
        <f>Schedule!E1554</f>
        <v>A104540</v>
      </c>
      <c r="B1556" s="58" t="s">
        <v>3403</v>
      </c>
      <c r="C1556" s="58" t="str">
        <f t="shared" si="72"/>
        <v>104540 KS</v>
      </c>
      <c r="D1556" s="58" t="s">
        <v>3671</v>
      </c>
      <c r="E1556" s="110" t="s">
        <v>3527</v>
      </c>
      <c r="F1556" s="110" t="str">
        <f>IFERROR(VLOOKUP(C1556,[1]evdl298!$B:$D,3,0),"")</f>
        <v/>
      </c>
      <c r="G1556" s="110" t="str">
        <f>IFERROR(VLOOKUP(C1556,[1]evdl298!$B:$C,2,0),"")</f>
        <v/>
      </c>
      <c r="H1556" s="110" t="str">
        <f t="shared" si="73"/>
        <v/>
      </c>
      <c r="I1556" s="110" t="str">
        <f t="shared" si="74"/>
        <v/>
      </c>
      <c r="J1556" s="110"/>
      <c r="K1556" s="110"/>
      <c r="M1556" s="110"/>
      <c r="O1556" s="110"/>
    </row>
    <row r="1557" spans="1:15" x14ac:dyDescent="0.3">
      <c r="A1557" s="58" t="str">
        <f>Schedule!E1555</f>
        <v>A104700</v>
      </c>
      <c r="B1557" s="58" t="s">
        <v>3656</v>
      </c>
      <c r="C1557" s="58" t="str">
        <f t="shared" si="72"/>
        <v>104700 KS</v>
      </c>
      <c r="D1557" s="58" t="s">
        <v>3671</v>
      </c>
      <c r="E1557" s="110" t="s">
        <v>3527</v>
      </c>
      <c r="F1557" s="110" t="str">
        <f>IFERROR(VLOOKUP(C1557,[1]evdl298!$B:$D,3,0),"")</f>
        <v>E</v>
      </c>
      <c r="G1557" s="110">
        <f>IFERROR(VLOOKUP(C1557,[1]evdl298!$B:$C,2,0),"")</f>
        <v>41500</v>
      </c>
      <c r="H1557" s="110" t="str">
        <f t="shared" si="73"/>
        <v>E</v>
      </c>
      <c r="I1557" s="110">
        <f t="shared" si="74"/>
        <v>41500</v>
      </c>
      <c r="J1557" s="110"/>
      <c r="K1557" s="110"/>
      <c r="M1557" s="110"/>
      <c r="O1557" s="110"/>
    </row>
    <row r="1558" spans="1:15" x14ac:dyDescent="0.3">
      <c r="A1558" s="58" t="str">
        <f>Schedule!E1556</f>
        <v>A104830</v>
      </c>
      <c r="B1558" s="58" t="s">
        <v>2935</v>
      </c>
      <c r="C1558" s="58" t="str">
        <f t="shared" si="72"/>
        <v>104830 KS</v>
      </c>
      <c r="D1558" s="58" t="s">
        <v>3671</v>
      </c>
      <c r="E1558" s="110" t="s">
        <v>3527</v>
      </c>
      <c r="F1558" s="110" t="str">
        <f>IFERROR(VLOOKUP(C1558,[1]evdl298!$B:$D,3,0),"")</f>
        <v>E</v>
      </c>
      <c r="G1558" s="110">
        <f>IFERROR(VLOOKUP(C1558,[1]evdl298!$B:$C,2,0),"")</f>
        <v>41515</v>
      </c>
      <c r="H1558" s="110" t="str">
        <f t="shared" si="73"/>
        <v>E</v>
      </c>
      <c r="I1558" s="110">
        <f t="shared" si="74"/>
        <v>41515</v>
      </c>
      <c r="J1558" s="110"/>
      <c r="K1558" s="110"/>
      <c r="M1558" s="110"/>
      <c r="O1558" s="110"/>
    </row>
    <row r="1559" spans="1:15" x14ac:dyDescent="0.3">
      <c r="A1559" s="58" t="str">
        <f>Schedule!E1557</f>
        <v>A105330</v>
      </c>
      <c r="B1559" s="58" t="s">
        <v>3404</v>
      </c>
      <c r="C1559" s="58" t="str">
        <f t="shared" si="72"/>
        <v>105330 KS</v>
      </c>
      <c r="D1559" s="58" t="s">
        <v>3671</v>
      </c>
      <c r="E1559" s="110" t="s">
        <v>3527</v>
      </c>
      <c r="F1559" s="110" t="str">
        <f>IFERROR(VLOOKUP(C1559,[1]evdl298!$B:$D,3,0),"")</f>
        <v>E</v>
      </c>
      <c r="G1559" s="110">
        <f>IFERROR(VLOOKUP(C1559,[1]evdl298!$B:$C,2,0),"")</f>
        <v>41515</v>
      </c>
      <c r="H1559" s="110" t="str">
        <f t="shared" si="73"/>
        <v>E</v>
      </c>
      <c r="I1559" s="110">
        <f t="shared" si="74"/>
        <v>41515</v>
      </c>
      <c r="J1559" s="110"/>
      <c r="K1559" s="110"/>
      <c r="M1559" s="110"/>
      <c r="O1559" s="110"/>
    </row>
    <row r="1560" spans="1:15" x14ac:dyDescent="0.3">
      <c r="A1560" s="58" t="str">
        <f>Schedule!E1558</f>
        <v>A105560</v>
      </c>
      <c r="B1560" s="58" t="s">
        <v>2936</v>
      </c>
      <c r="C1560" s="58" t="str">
        <f t="shared" si="72"/>
        <v>105560 KS</v>
      </c>
      <c r="D1560" s="58" t="s">
        <v>3671</v>
      </c>
      <c r="E1560" s="110" t="s">
        <v>3527</v>
      </c>
      <c r="F1560" s="110" t="str">
        <f>IFERROR(VLOOKUP(C1560,[1]evdl298!$B:$D,3,0),"")</f>
        <v>E</v>
      </c>
      <c r="G1560" s="110">
        <f>IFERROR(VLOOKUP(C1560,[1]evdl298!$B:$C,2,0),"")</f>
        <v>41481</v>
      </c>
      <c r="H1560" s="110" t="str">
        <f t="shared" si="73"/>
        <v>E</v>
      </c>
      <c r="I1560" s="110">
        <f t="shared" si="74"/>
        <v>41481</v>
      </c>
      <c r="J1560" s="110"/>
      <c r="K1560" s="110"/>
      <c r="M1560" s="110"/>
      <c r="O1560" s="110"/>
    </row>
    <row r="1561" spans="1:15" x14ac:dyDescent="0.3">
      <c r="A1561" s="58" t="str">
        <f>Schedule!E1559</f>
        <v>A105630</v>
      </c>
      <c r="B1561" s="58" t="s">
        <v>2937</v>
      </c>
      <c r="C1561" s="58" t="str">
        <f t="shared" si="72"/>
        <v>105630 KS</v>
      </c>
      <c r="D1561" s="58" t="s">
        <v>3671</v>
      </c>
      <c r="E1561" s="110" t="s">
        <v>3678</v>
      </c>
      <c r="F1561" s="110" t="str">
        <f>IFERROR(VLOOKUP(C1561,[1]evdl298!$B:$D,3,0),"")</f>
        <v>E</v>
      </c>
      <c r="G1561" s="110">
        <f>IFERROR(VLOOKUP(C1561,[1]evdl298!$B:$C,2,0),"")</f>
        <v>41515</v>
      </c>
      <c r="H1561" s="110" t="str">
        <f t="shared" si="73"/>
        <v>E</v>
      </c>
      <c r="I1561" s="110">
        <f t="shared" si="74"/>
        <v>41515</v>
      </c>
      <c r="J1561" s="110"/>
      <c r="K1561" s="110"/>
      <c r="M1561" s="110"/>
      <c r="O1561" s="110"/>
    </row>
    <row r="1562" spans="1:15" x14ac:dyDescent="0.3">
      <c r="A1562" s="58" t="str">
        <f>Schedule!E1560</f>
        <v>A105740</v>
      </c>
      <c r="B1562" s="58" t="s">
        <v>2938</v>
      </c>
      <c r="C1562" s="58" t="str">
        <f t="shared" si="72"/>
        <v>105740 KS</v>
      </c>
      <c r="D1562" s="58" t="s">
        <v>3671</v>
      </c>
      <c r="E1562" s="110" t="s">
        <v>3527</v>
      </c>
      <c r="F1562" s="110" t="str">
        <f>IFERROR(VLOOKUP(C1562,[1]evdl298!$B:$D,3,0),"")</f>
        <v>E</v>
      </c>
      <c r="G1562" s="110">
        <f>IFERROR(VLOOKUP(C1562,[1]evdl298!$B:$C,2,0),"")</f>
        <v>41460</v>
      </c>
      <c r="H1562" s="110" t="str">
        <f t="shared" si="73"/>
        <v>E</v>
      </c>
      <c r="I1562" s="110">
        <f t="shared" si="74"/>
        <v>41460</v>
      </c>
      <c r="J1562" s="110"/>
      <c r="K1562" s="110"/>
      <c r="M1562" s="110"/>
      <c r="O1562" s="110"/>
    </row>
    <row r="1563" spans="1:15" x14ac:dyDescent="0.3">
      <c r="A1563" s="58" t="str">
        <f>Schedule!E1561</f>
        <v>A105840</v>
      </c>
      <c r="B1563" s="58" t="s">
        <v>3405</v>
      </c>
      <c r="C1563" s="58" t="str">
        <f t="shared" si="72"/>
        <v>105840 KS</v>
      </c>
      <c r="D1563" s="58" t="s">
        <v>3671</v>
      </c>
      <c r="E1563" s="110" t="s">
        <v>3527</v>
      </c>
      <c r="F1563" s="110" t="str">
        <f>IFERROR(VLOOKUP(C1563,[1]evdl298!$B:$D,3,0),"")</f>
        <v>E</v>
      </c>
      <c r="G1563" s="110">
        <f>IFERROR(VLOOKUP(C1563,[1]evdl298!$B:$C,2,0),"")</f>
        <v>41500</v>
      </c>
      <c r="H1563" s="110" t="str">
        <f t="shared" si="73"/>
        <v>E</v>
      </c>
      <c r="I1563" s="110">
        <f t="shared" si="74"/>
        <v>41500</v>
      </c>
      <c r="J1563" s="110"/>
      <c r="K1563" s="110"/>
      <c r="M1563" s="110"/>
      <c r="O1563" s="110"/>
    </row>
    <row r="1564" spans="1:15" x14ac:dyDescent="0.3">
      <c r="A1564" s="58" t="str">
        <f>Schedule!E1562</f>
        <v>A106080</v>
      </c>
      <c r="B1564" s="58" t="s">
        <v>3406</v>
      </c>
      <c r="C1564" s="58" t="str">
        <f t="shared" si="72"/>
        <v>106080 KS</v>
      </c>
      <c r="D1564" s="58" t="s">
        <v>3671</v>
      </c>
      <c r="E1564" s="110" t="s">
        <v>3527</v>
      </c>
      <c r="F1564" s="110" t="str">
        <f>IFERROR(VLOOKUP(C1564,[1]evdl298!$B:$D,3,0),"")</f>
        <v>E</v>
      </c>
      <c r="G1564" s="110">
        <f>IFERROR(VLOOKUP(C1564,[1]evdl298!$B:$C,2,0),"")</f>
        <v>41515</v>
      </c>
      <c r="H1564" s="110" t="str">
        <f t="shared" si="73"/>
        <v>E</v>
      </c>
      <c r="I1564" s="110">
        <f t="shared" si="74"/>
        <v>41515</v>
      </c>
      <c r="J1564" s="110"/>
      <c r="K1564" s="110"/>
      <c r="M1564" s="110"/>
      <c r="O1564" s="110"/>
    </row>
    <row r="1565" spans="1:15" x14ac:dyDescent="0.3">
      <c r="A1565" s="58" t="str">
        <f>Schedule!E1563</f>
        <v>A106190</v>
      </c>
      <c r="B1565" s="58" t="s">
        <v>3407</v>
      </c>
      <c r="C1565" s="58" t="str">
        <f t="shared" si="72"/>
        <v>106190 KS</v>
      </c>
      <c r="D1565" s="58" t="s">
        <v>3671</v>
      </c>
      <c r="E1565" s="110" t="s">
        <v>3527</v>
      </c>
      <c r="F1565" s="110" t="str">
        <f>IFERROR(VLOOKUP(C1565,[1]evdl298!$B:$D,3,0),"")</f>
        <v>E</v>
      </c>
      <c r="G1565" s="110">
        <f>IFERROR(VLOOKUP(C1565,[1]evdl298!$B:$C,2,0),"")</f>
        <v>41500</v>
      </c>
      <c r="H1565" s="110" t="str">
        <f t="shared" si="73"/>
        <v>E</v>
      </c>
      <c r="I1565" s="110">
        <f t="shared" si="74"/>
        <v>41500</v>
      </c>
      <c r="J1565" s="110"/>
      <c r="K1565" s="110"/>
      <c r="M1565" s="110"/>
      <c r="O1565" s="110"/>
    </row>
    <row r="1566" spans="1:15" x14ac:dyDescent="0.3">
      <c r="A1566" s="58" t="str">
        <f>Schedule!E1564</f>
        <v>A106240</v>
      </c>
      <c r="B1566" s="58" t="s">
        <v>3408</v>
      </c>
      <c r="C1566" s="58" t="str">
        <f t="shared" si="72"/>
        <v>106240 KS</v>
      </c>
      <c r="D1566" s="58" t="s">
        <v>3671</v>
      </c>
      <c r="E1566" s="110" t="s">
        <v>3527</v>
      </c>
      <c r="F1566" s="110" t="str">
        <f>IFERROR(VLOOKUP(C1566,[1]evdl298!$B:$D,3,0),"")</f>
        <v>E</v>
      </c>
      <c r="G1566" s="110">
        <f>IFERROR(VLOOKUP(C1566,[1]evdl298!$B:$C,2,0),"")</f>
        <v>41500</v>
      </c>
      <c r="H1566" s="110" t="str">
        <f t="shared" si="73"/>
        <v>E</v>
      </c>
      <c r="I1566" s="110">
        <f t="shared" si="74"/>
        <v>41500</v>
      </c>
      <c r="J1566" s="110"/>
      <c r="K1566" s="110"/>
      <c r="M1566" s="110"/>
      <c r="O1566" s="110"/>
    </row>
    <row r="1567" spans="1:15" x14ac:dyDescent="0.3">
      <c r="A1567" s="58" t="str">
        <f>Schedule!E1565</f>
        <v>A106520</v>
      </c>
      <c r="B1567" s="58" t="s">
        <v>2939</v>
      </c>
      <c r="C1567" s="58" t="str">
        <f t="shared" si="72"/>
        <v>106520 KS</v>
      </c>
      <c r="D1567" s="58" t="s">
        <v>3671</v>
      </c>
      <c r="E1567" s="110" t="s">
        <v>3527</v>
      </c>
      <c r="F1567" s="110" t="str">
        <f>IFERROR(VLOOKUP(C1567,[1]evdl298!$B:$D,3,0),"")</f>
        <v>E</v>
      </c>
      <c r="G1567" s="110">
        <f>IFERROR(VLOOKUP(C1567,[1]evdl298!$B:$C,2,0),"")</f>
        <v>41495</v>
      </c>
      <c r="H1567" s="110" t="str">
        <f t="shared" si="73"/>
        <v>E</v>
      </c>
      <c r="I1567" s="110">
        <f t="shared" si="74"/>
        <v>41495</v>
      </c>
      <c r="J1567" s="110"/>
      <c r="K1567" s="110"/>
      <c r="M1567" s="110"/>
      <c r="O1567" s="110"/>
    </row>
    <row r="1568" spans="1:15" x14ac:dyDescent="0.3">
      <c r="A1568" s="58" t="str">
        <f>Schedule!E1566</f>
        <v>A107590</v>
      </c>
      <c r="B1568" s="58" t="s">
        <v>3409</v>
      </c>
      <c r="C1568" s="58" t="str">
        <f t="shared" si="72"/>
        <v>107590 KS</v>
      </c>
      <c r="D1568" s="58" t="s">
        <v>3671</v>
      </c>
      <c r="E1568" s="110" t="s">
        <v>3527</v>
      </c>
      <c r="F1568" s="110" t="str">
        <f>IFERROR(VLOOKUP(C1568,[1]evdl298!$B:$D,3,0),"")</f>
        <v>C</v>
      </c>
      <c r="G1568" s="110">
        <f>IFERROR(VLOOKUP(C1568,[1]evdl298!$B:$C,2,0),"")</f>
        <v>41466</v>
      </c>
      <c r="H1568" s="110" t="str">
        <f t="shared" si="73"/>
        <v>C</v>
      </c>
      <c r="I1568" s="110">
        <f t="shared" si="74"/>
        <v>41466</v>
      </c>
      <c r="J1568" s="110"/>
      <c r="K1568" s="110"/>
      <c r="M1568" s="110"/>
      <c r="O1568" s="110"/>
    </row>
    <row r="1569" spans="1:15" x14ac:dyDescent="0.3">
      <c r="A1569" s="58" t="str">
        <f>Schedule!E1567</f>
        <v>A108230</v>
      </c>
      <c r="B1569" s="58" t="s">
        <v>2940</v>
      </c>
      <c r="C1569" s="58" t="str">
        <f t="shared" si="72"/>
        <v>108230 KS</v>
      </c>
      <c r="D1569" s="58" t="s">
        <v>3671</v>
      </c>
      <c r="E1569" s="110" t="s">
        <v>3527</v>
      </c>
      <c r="F1569" s="110" t="str">
        <f>IFERROR(VLOOKUP(C1569,[1]evdl298!$B:$D,3,0),"")</f>
        <v/>
      </c>
      <c r="G1569" s="110" t="str">
        <f>IFERROR(VLOOKUP(C1569,[1]evdl298!$B:$C,2,0),"")</f>
        <v/>
      </c>
      <c r="H1569" s="110" t="str">
        <f t="shared" si="73"/>
        <v/>
      </c>
      <c r="I1569" s="110" t="str">
        <f t="shared" si="74"/>
        <v/>
      </c>
      <c r="J1569" s="110"/>
      <c r="K1569" s="110"/>
      <c r="M1569" s="110"/>
      <c r="O1569" s="110"/>
    </row>
    <row r="1570" spans="1:15" x14ac:dyDescent="0.3">
      <c r="A1570" s="58" t="str">
        <f>Schedule!E1568</f>
        <v>A108320</v>
      </c>
      <c r="B1570" s="58" t="s">
        <v>2941</v>
      </c>
      <c r="C1570" s="58" t="str">
        <f t="shared" si="72"/>
        <v>108320 KS</v>
      </c>
      <c r="D1570" s="58" t="s">
        <v>3671</v>
      </c>
      <c r="E1570" s="110" t="s">
        <v>3527</v>
      </c>
      <c r="F1570" s="110" t="str">
        <f>IFERROR(VLOOKUP(C1570,[1]evdl298!$B:$D,3,0),"")</f>
        <v>E</v>
      </c>
      <c r="G1570" s="110">
        <f>IFERROR(VLOOKUP(C1570,[1]evdl298!$B:$C,2,0),"")</f>
        <v>41515</v>
      </c>
      <c r="H1570" s="110" t="str">
        <f t="shared" si="73"/>
        <v>E</v>
      </c>
      <c r="I1570" s="110">
        <f t="shared" si="74"/>
        <v>41515</v>
      </c>
      <c r="J1570" s="110"/>
      <c r="K1570" s="110"/>
      <c r="M1570" s="110"/>
      <c r="O1570" s="110"/>
    </row>
    <row r="1571" spans="1:15" x14ac:dyDescent="0.3">
      <c r="A1571" s="58" t="str">
        <f>Schedule!E1569</f>
        <v>A108380</v>
      </c>
      <c r="B1571" s="58" t="s">
        <v>3410</v>
      </c>
      <c r="C1571" s="58" t="str">
        <f t="shared" si="72"/>
        <v>108380 KS</v>
      </c>
      <c r="D1571" s="58" t="s">
        <v>3671</v>
      </c>
      <c r="E1571" s="110" t="s">
        <v>3675</v>
      </c>
      <c r="F1571" s="110" t="str">
        <f>IFERROR(VLOOKUP(C1571,[1]evdl298!$B:$D,3,0),"")</f>
        <v>E</v>
      </c>
      <c r="G1571" s="110">
        <f>IFERROR(VLOOKUP(C1571,[1]evdl298!$B:$C,2,0),"")</f>
        <v>41515</v>
      </c>
      <c r="H1571" s="110" t="str">
        <f t="shared" si="73"/>
        <v>E</v>
      </c>
      <c r="I1571" s="110">
        <f t="shared" si="74"/>
        <v>41515</v>
      </c>
      <c r="J1571" s="110"/>
      <c r="K1571" s="110"/>
      <c r="M1571" s="110"/>
      <c r="O1571" s="110"/>
    </row>
    <row r="1572" spans="1:15" x14ac:dyDescent="0.3">
      <c r="A1572" s="58" t="str">
        <f>Schedule!E1570</f>
        <v>A108670</v>
      </c>
      <c r="B1572" s="58" t="s">
        <v>3411</v>
      </c>
      <c r="C1572" s="58" t="str">
        <f t="shared" si="72"/>
        <v>108670 KS</v>
      </c>
      <c r="D1572" s="58" t="s">
        <v>3671</v>
      </c>
      <c r="E1572" s="110" t="s">
        <v>3527</v>
      </c>
      <c r="F1572" s="110" t="str">
        <f>IFERROR(VLOOKUP(C1572,[1]evdl298!$B:$D,3,0),"")</f>
        <v>E</v>
      </c>
      <c r="G1572" s="110">
        <f>IFERROR(VLOOKUP(C1572,[1]evdl298!$B:$C,2,0),"")</f>
        <v>41485</v>
      </c>
      <c r="H1572" s="110" t="str">
        <f t="shared" si="73"/>
        <v>E</v>
      </c>
      <c r="I1572" s="110">
        <f t="shared" si="74"/>
        <v>41485</v>
      </c>
      <c r="J1572" s="110"/>
      <c r="K1572" s="110"/>
      <c r="M1572" s="110"/>
      <c r="O1572" s="110"/>
    </row>
    <row r="1573" spans="1:15" x14ac:dyDescent="0.3">
      <c r="A1573" s="58" t="str">
        <f>Schedule!E1571</f>
        <v>A108860</v>
      </c>
      <c r="B1573" s="58" t="s">
        <v>2942</v>
      </c>
      <c r="C1573" s="58" t="str">
        <f t="shared" si="72"/>
        <v>108860 KS</v>
      </c>
      <c r="D1573" s="58" t="s">
        <v>3671</v>
      </c>
      <c r="E1573" s="110" t="s">
        <v>3527</v>
      </c>
      <c r="F1573" s="110" t="str">
        <f>IFERROR(VLOOKUP(C1573,[1]evdl298!$B:$D,3,0),"")</f>
        <v>E</v>
      </c>
      <c r="G1573" s="110">
        <f>IFERROR(VLOOKUP(C1573,[1]evdl298!$B:$C,2,0),"")</f>
        <v>41500</v>
      </c>
      <c r="H1573" s="110" t="str">
        <f t="shared" si="73"/>
        <v>E</v>
      </c>
      <c r="I1573" s="110">
        <f t="shared" si="74"/>
        <v>41500</v>
      </c>
      <c r="J1573" s="110"/>
      <c r="K1573" s="110"/>
      <c r="M1573" s="110"/>
      <c r="O1573" s="110"/>
    </row>
    <row r="1574" spans="1:15" x14ac:dyDescent="0.3">
      <c r="A1574" s="58" t="str">
        <f>Schedule!E1572</f>
        <v>A109070</v>
      </c>
      <c r="B1574" s="58" t="s">
        <v>3412</v>
      </c>
      <c r="C1574" s="58" t="str">
        <f t="shared" si="72"/>
        <v>109070 KS</v>
      </c>
      <c r="D1574" s="58" t="s">
        <v>3671</v>
      </c>
      <c r="E1574" s="110" t="s">
        <v>3527</v>
      </c>
      <c r="F1574" s="110" t="str">
        <f>IFERROR(VLOOKUP(C1574,[1]evdl298!$B:$D,3,0),"")</f>
        <v>E</v>
      </c>
      <c r="G1574" s="110">
        <f>IFERROR(VLOOKUP(C1574,[1]evdl298!$B:$C,2,0),"")</f>
        <v>41500</v>
      </c>
      <c r="H1574" s="110" t="str">
        <f t="shared" si="73"/>
        <v>E</v>
      </c>
      <c r="I1574" s="110">
        <f t="shared" si="74"/>
        <v>41500</v>
      </c>
      <c r="J1574" s="110"/>
      <c r="K1574" s="110"/>
      <c r="M1574" s="110"/>
      <c r="O1574" s="110"/>
    </row>
    <row r="1575" spans="1:15" x14ac:dyDescent="0.3">
      <c r="A1575" s="58" t="str">
        <f>Schedule!E1573</f>
        <v>A109080</v>
      </c>
      <c r="B1575" s="58" t="s">
        <v>2943</v>
      </c>
      <c r="C1575" s="58" t="str">
        <f t="shared" si="72"/>
        <v>109080 KS</v>
      </c>
      <c r="D1575" s="58" t="s">
        <v>3671</v>
      </c>
      <c r="E1575" s="110" t="s">
        <v>3527</v>
      </c>
      <c r="F1575" s="110" t="str">
        <f>IFERROR(VLOOKUP(C1575,[1]evdl298!$B:$D,3,0),"")</f>
        <v>E</v>
      </c>
      <c r="G1575" s="110">
        <f>IFERROR(VLOOKUP(C1575,[1]evdl298!$B:$C,2,0),"")</f>
        <v>41495</v>
      </c>
      <c r="H1575" s="110" t="str">
        <f t="shared" si="73"/>
        <v>E</v>
      </c>
      <c r="I1575" s="110">
        <f t="shared" si="74"/>
        <v>41495</v>
      </c>
      <c r="J1575" s="110"/>
      <c r="K1575" s="110"/>
      <c r="M1575" s="110"/>
      <c r="O1575" s="110"/>
    </row>
    <row r="1576" spans="1:15" x14ac:dyDescent="0.3">
      <c r="A1576" s="58" t="str">
        <f>Schedule!E1574</f>
        <v>A109740</v>
      </c>
      <c r="B1576" s="58" t="s">
        <v>3413</v>
      </c>
      <c r="C1576" s="58" t="str">
        <f t="shared" si="72"/>
        <v>109740 KS</v>
      </c>
      <c r="D1576" s="58" t="s">
        <v>3671</v>
      </c>
      <c r="E1576" s="110" t="s">
        <v>3527</v>
      </c>
      <c r="F1576" s="110" t="str">
        <f>IFERROR(VLOOKUP(C1576,[1]evdl298!$B:$D,3,0),"")</f>
        <v>E</v>
      </c>
      <c r="G1576" s="110">
        <f>IFERROR(VLOOKUP(C1576,[1]evdl298!$B:$C,2,0),"")</f>
        <v>41500</v>
      </c>
      <c r="H1576" s="110" t="str">
        <f t="shared" si="73"/>
        <v>E</v>
      </c>
      <c r="I1576" s="110">
        <f t="shared" si="74"/>
        <v>41500</v>
      </c>
      <c r="J1576" s="110"/>
      <c r="K1576" s="110"/>
      <c r="M1576" s="110"/>
      <c r="O1576" s="110"/>
    </row>
    <row r="1577" spans="1:15" x14ac:dyDescent="0.3">
      <c r="A1577" s="58" t="str">
        <f>Schedule!E1575</f>
        <v>A109820</v>
      </c>
      <c r="B1577" s="58" t="s">
        <v>2944</v>
      </c>
      <c r="C1577" s="58" t="str">
        <f t="shared" si="72"/>
        <v>109820 KS</v>
      </c>
      <c r="D1577" s="58" t="s">
        <v>3671</v>
      </c>
      <c r="E1577" s="110" t="s">
        <v>3527</v>
      </c>
      <c r="F1577" s="110" t="str">
        <f>IFERROR(VLOOKUP(C1577,[1]evdl298!$B:$D,3,0),"")</f>
        <v/>
      </c>
      <c r="G1577" s="110" t="str">
        <f>IFERROR(VLOOKUP(C1577,[1]evdl298!$B:$C,2,0),"")</f>
        <v/>
      </c>
      <c r="H1577" s="110" t="str">
        <f t="shared" si="73"/>
        <v/>
      </c>
      <c r="I1577" s="110" t="str">
        <f t="shared" si="74"/>
        <v/>
      </c>
      <c r="J1577" s="110"/>
      <c r="K1577" s="110"/>
      <c r="M1577" s="110"/>
      <c r="O1577" s="110"/>
    </row>
    <row r="1578" spans="1:15" x14ac:dyDescent="0.3">
      <c r="A1578" s="58" t="str">
        <f>Schedule!E1576</f>
        <v>A109860</v>
      </c>
      <c r="B1578" s="58" t="s">
        <v>2945</v>
      </c>
      <c r="C1578" s="58" t="str">
        <f t="shared" si="72"/>
        <v>109860 KS</v>
      </c>
      <c r="D1578" s="58" t="s">
        <v>3671</v>
      </c>
      <c r="E1578" s="110" t="s">
        <v>3527</v>
      </c>
      <c r="F1578" s="110" t="str">
        <f>IFERROR(VLOOKUP(C1578,[1]evdl298!$B:$D,3,0),"")</f>
        <v>E</v>
      </c>
      <c r="G1578" s="110">
        <f>IFERROR(VLOOKUP(C1578,[1]evdl298!$B:$C,2,0),"")</f>
        <v>41499</v>
      </c>
      <c r="H1578" s="110" t="str">
        <f t="shared" si="73"/>
        <v>E</v>
      </c>
      <c r="I1578" s="110">
        <f t="shared" si="74"/>
        <v>41499</v>
      </c>
      <c r="J1578" s="110"/>
      <c r="K1578" s="110"/>
      <c r="M1578" s="110"/>
      <c r="O1578" s="110"/>
    </row>
    <row r="1579" spans="1:15" x14ac:dyDescent="0.3">
      <c r="A1579" s="58" t="str">
        <f>Schedule!E1577</f>
        <v>A109960</v>
      </c>
      <c r="B1579" s="58" t="s">
        <v>2946</v>
      </c>
      <c r="C1579" s="58" t="str">
        <f t="shared" si="72"/>
        <v>109960 KS</v>
      </c>
      <c r="D1579" s="58" t="s">
        <v>3671</v>
      </c>
      <c r="E1579" s="110" t="s">
        <v>3527</v>
      </c>
      <c r="F1579" s="110" t="str">
        <f>IFERROR(VLOOKUP(C1579,[1]evdl298!$B:$D,3,0),"")</f>
        <v>E</v>
      </c>
      <c r="G1579" s="110">
        <f>IFERROR(VLOOKUP(C1579,[1]evdl298!$B:$C,2,0),"")</f>
        <v>41500</v>
      </c>
      <c r="H1579" s="110" t="str">
        <f t="shared" si="73"/>
        <v>E</v>
      </c>
      <c r="I1579" s="110">
        <f t="shared" si="74"/>
        <v>41500</v>
      </c>
      <c r="J1579" s="110"/>
      <c r="K1579" s="110"/>
      <c r="M1579" s="110"/>
      <c r="O1579" s="110"/>
    </row>
    <row r="1580" spans="1:15" x14ac:dyDescent="0.3">
      <c r="A1580" s="58" t="str">
        <f>Schedule!E1578</f>
        <v>A110310</v>
      </c>
      <c r="B1580" s="58" t="s">
        <v>2947</v>
      </c>
      <c r="C1580" s="58" t="str">
        <f t="shared" si="72"/>
        <v>110310 KS</v>
      </c>
      <c r="D1580" s="58" t="s">
        <v>3671</v>
      </c>
      <c r="E1580" s="110" t="s">
        <v>3527</v>
      </c>
      <c r="F1580" s="110" t="str">
        <f>IFERROR(VLOOKUP(C1580,[1]evdl298!$B:$D,3,0),"")</f>
        <v>E</v>
      </c>
      <c r="G1580" s="110">
        <f>IFERROR(VLOOKUP(C1580,[1]evdl298!$B:$C,2,0),"")</f>
        <v>41460</v>
      </c>
      <c r="H1580" s="110" t="str">
        <f t="shared" si="73"/>
        <v>E</v>
      </c>
      <c r="I1580" s="110">
        <f t="shared" si="74"/>
        <v>41460</v>
      </c>
      <c r="J1580" s="110"/>
      <c r="K1580" s="110"/>
      <c r="M1580" s="110"/>
      <c r="O1580" s="110"/>
    </row>
    <row r="1581" spans="1:15" x14ac:dyDescent="0.3">
      <c r="A1581" s="58" t="str">
        <f>Schedule!E1579</f>
        <v>A110500</v>
      </c>
      <c r="B1581" s="58" t="s">
        <v>2948</v>
      </c>
      <c r="C1581" s="58" t="str">
        <f t="shared" si="72"/>
        <v>110500 KS</v>
      </c>
      <c r="D1581" s="58" t="s">
        <v>3671</v>
      </c>
      <c r="E1581" s="110" t="s">
        <v>3527</v>
      </c>
      <c r="F1581" s="110" t="str">
        <f>IFERROR(VLOOKUP(C1581,[1]evdl298!$B:$D,3,0),"")</f>
        <v/>
      </c>
      <c r="G1581" s="110" t="str">
        <f>IFERROR(VLOOKUP(C1581,[1]evdl298!$B:$C,2,0),"")</f>
        <v/>
      </c>
      <c r="H1581" s="110" t="str">
        <f t="shared" si="73"/>
        <v/>
      </c>
      <c r="I1581" s="110" t="str">
        <f t="shared" si="74"/>
        <v/>
      </c>
      <c r="J1581" s="110"/>
      <c r="K1581" s="110"/>
      <c r="M1581" s="110"/>
      <c r="O1581" s="110"/>
    </row>
    <row r="1582" spans="1:15" x14ac:dyDescent="0.3">
      <c r="A1582" s="58" t="str">
        <f>Schedule!E1580</f>
        <v>A110570</v>
      </c>
      <c r="B1582" s="58" t="s">
        <v>3414</v>
      </c>
      <c r="C1582" s="58" t="str">
        <f t="shared" si="72"/>
        <v>110570 KS</v>
      </c>
      <c r="D1582" s="58" t="s">
        <v>3671</v>
      </c>
      <c r="E1582" s="110" t="s">
        <v>3527</v>
      </c>
      <c r="F1582" s="110" t="str">
        <f>IFERROR(VLOOKUP(C1582,[1]evdl298!$B:$D,3,0),"")</f>
        <v>E</v>
      </c>
      <c r="G1582" s="110">
        <f>IFERROR(VLOOKUP(C1582,[1]evdl298!$B:$C,2,0),"")</f>
        <v>41515</v>
      </c>
      <c r="H1582" s="110" t="str">
        <f t="shared" si="73"/>
        <v>E</v>
      </c>
      <c r="I1582" s="110">
        <f t="shared" si="74"/>
        <v>41515</v>
      </c>
      <c r="J1582" s="110"/>
      <c r="K1582" s="110"/>
      <c r="M1582" s="110"/>
      <c r="O1582" s="110"/>
    </row>
    <row r="1583" spans="1:15" x14ac:dyDescent="0.3">
      <c r="A1583" s="58" t="str">
        <f>Schedule!E1581</f>
        <v>A111610</v>
      </c>
      <c r="B1583" s="58" t="s">
        <v>3415</v>
      </c>
      <c r="C1583" s="58" t="str">
        <f t="shared" si="72"/>
        <v>111610 KS</v>
      </c>
      <c r="D1583" s="58" t="s">
        <v>3671</v>
      </c>
      <c r="E1583" s="110" t="s">
        <v>3527</v>
      </c>
      <c r="F1583" s="110" t="str">
        <f>IFERROR(VLOOKUP(C1583,[1]evdl298!$B:$D,3,0),"")</f>
        <v>E</v>
      </c>
      <c r="G1583" s="110">
        <f>IFERROR(VLOOKUP(C1583,[1]evdl298!$B:$C,2,0),"")</f>
        <v>41500</v>
      </c>
      <c r="H1583" s="110" t="str">
        <f t="shared" si="73"/>
        <v>E</v>
      </c>
      <c r="I1583" s="110">
        <f t="shared" si="74"/>
        <v>41500</v>
      </c>
      <c r="J1583" s="110"/>
      <c r="K1583" s="110"/>
      <c r="M1583" s="110"/>
      <c r="O1583" s="110"/>
    </row>
    <row r="1584" spans="1:15" x14ac:dyDescent="0.3">
      <c r="A1584" s="58" t="str">
        <f>Schedule!E1582</f>
        <v>A111770</v>
      </c>
      <c r="B1584" s="58" t="s">
        <v>3667</v>
      </c>
      <c r="C1584" s="58" t="str">
        <f t="shared" si="72"/>
        <v>111770 KS</v>
      </c>
      <c r="D1584" s="58" t="s">
        <v>3671</v>
      </c>
      <c r="E1584" s="110" t="s">
        <v>3527</v>
      </c>
      <c r="F1584" s="110" t="str">
        <f>IFERROR(VLOOKUP(C1584,[1]evdl298!$B:$D,3,0),"")</f>
        <v>E</v>
      </c>
      <c r="G1584" s="110">
        <f>IFERROR(VLOOKUP(C1584,[1]evdl298!$B:$C,2,0),"")</f>
        <v>41493</v>
      </c>
      <c r="H1584" s="110" t="str">
        <f t="shared" si="73"/>
        <v>E</v>
      </c>
      <c r="I1584" s="110">
        <f t="shared" si="74"/>
        <v>41493</v>
      </c>
      <c r="J1584" s="110"/>
      <c r="K1584" s="110"/>
      <c r="M1584" s="110"/>
      <c r="O1584" s="110"/>
    </row>
    <row r="1585" spans="1:15" x14ac:dyDescent="0.3">
      <c r="A1585" s="58" t="str">
        <f>Schedule!E1583</f>
        <v>A111820</v>
      </c>
      <c r="B1585" s="58" t="s">
        <v>2949</v>
      </c>
      <c r="C1585" s="58" t="str">
        <f t="shared" si="72"/>
        <v>111820 KS</v>
      </c>
      <c r="D1585" s="58" t="s">
        <v>3671</v>
      </c>
      <c r="E1585" s="110" t="s">
        <v>3527</v>
      </c>
      <c r="F1585" s="110" t="str">
        <f>IFERROR(VLOOKUP(C1585,[1]evdl298!$B:$D,3,0),"")</f>
        <v>E</v>
      </c>
      <c r="G1585" s="110">
        <f>IFERROR(VLOOKUP(C1585,[1]evdl298!$B:$C,2,0),"")</f>
        <v>41500</v>
      </c>
      <c r="H1585" s="110" t="str">
        <f t="shared" si="73"/>
        <v>E</v>
      </c>
      <c r="I1585" s="110">
        <f t="shared" si="74"/>
        <v>41500</v>
      </c>
      <c r="J1585" s="110"/>
      <c r="K1585" s="110"/>
      <c r="M1585" s="110"/>
      <c r="O1585" s="110"/>
    </row>
    <row r="1586" spans="1:15" x14ac:dyDescent="0.3">
      <c r="A1586" s="58" t="str">
        <f>Schedule!E1584</f>
        <v>A111870</v>
      </c>
      <c r="B1586" s="58" t="s">
        <v>3416</v>
      </c>
      <c r="C1586" s="58" t="str">
        <f t="shared" si="72"/>
        <v>111870 KS</v>
      </c>
      <c r="D1586" s="58" t="s">
        <v>3671</v>
      </c>
      <c r="E1586" s="110" t="s">
        <v>3527</v>
      </c>
      <c r="F1586" s="110" t="str">
        <f>IFERROR(VLOOKUP(C1586,[1]evdl298!$B:$D,3,0),"")</f>
        <v>E</v>
      </c>
      <c r="G1586" s="110">
        <f>IFERROR(VLOOKUP(C1586,[1]evdl298!$B:$C,2,0),"")</f>
        <v>41492</v>
      </c>
      <c r="H1586" s="110" t="str">
        <f t="shared" si="73"/>
        <v>E</v>
      </c>
      <c r="I1586" s="110">
        <f t="shared" si="74"/>
        <v>41492</v>
      </c>
      <c r="J1586" s="110"/>
      <c r="K1586" s="110"/>
      <c r="M1586" s="110"/>
      <c r="O1586" s="110"/>
    </row>
    <row r="1587" spans="1:15" x14ac:dyDescent="0.3">
      <c r="A1587" s="58" t="str">
        <f>Schedule!E1585</f>
        <v>A112040</v>
      </c>
      <c r="B1587" s="58" t="s">
        <v>3417</v>
      </c>
      <c r="C1587" s="58" t="str">
        <f t="shared" si="72"/>
        <v>112040 KS</v>
      </c>
      <c r="D1587" s="58" t="s">
        <v>3671</v>
      </c>
      <c r="E1587" s="110" t="s">
        <v>3527</v>
      </c>
      <c r="F1587" s="110" t="str">
        <f>IFERROR(VLOOKUP(C1587,[1]evdl298!$B:$D,3,0),"")</f>
        <v>E</v>
      </c>
      <c r="G1587" s="110">
        <f>IFERROR(VLOOKUP(C1587,[1]evdl298!$B:$C,2,0),"")</f>
        <v>41500</v>
      </c>
      <c r="H1587" s="110" t="str">
        <f t="shared" si="73"/>
        <v>E</v>
      </c>
      <c r="I1587" s="110">
        <f t="shared" si="74"/>
        <v>41500</v>
      </c>
      <c r="J1587" s="110"/>
      <c r="K1587" s="110"/>
      <c r="M1587" s="110"/>
      <c r="O1587" s="110"/>
    </row>
    <row r="1588" spans="1:15" x14ac:dyDescent="0.3">
      <c r="A1588" s="58" t="str">
        <f>Schedule!E1586</f>
        <v>A112240</v>
      </c>
      <c r="B1588" s="58" t="s">
        <v>3535</v>
      </c>
      <c r="C1588" s="58" t="str">
        <f t="shared" si="72"/>
        <v>112240 KS</v>
      </c>
      <c r="D1588" s="58" t="s">
        <v>3671</v>
      </c>
      <c r="E1588" s="110" t="s">
        <v>3527</v>
      </c>
      <c r="F1588" s="110" t="str">
        <f>IFERROR(VLOOKUP(C1588,[1]evdl298!$B:$D,3,0),"")</f>
        <v>E</v>
      </c>
      <c r="G1588" s="110">
        <f>IFERROR(VLOOKUP(C1588,[1]evdl298!$B:$C,2,0),"")</f>
        <v>41495</v>
      </c>
      <c r="H1588" s="110" t="str">
        <f t="shared" si="73"/>
        <v>E</v>
      </c>
      <c r="I1588" s="110">
        <f t="shared" si="74"/>
        <v>41495</v>
      </c>
      <c r="J1588" s="110"/>
      <c r="K1588" s="110"/>
      <c r="M1588" s="110"/>
      <c r="O1588" s="110"/>
    </row>
    <row r="1589" spans="1:15" x14ac:dyDescent="0.3">
      <c r="A1589" s="58" t="str">
        <f>Schedule!E1587</f>
        <v>A113810</v>
      </c>
      <c r="B1589" s="58" t="s">
        <v>3418</v>
      </c>
      <c r="C1589" s="58" t="str">
        <f t="shared" si="72"/>
        <v>113810 KS</v>
      </c>
      <c r="D1589" s="58" t="s">
        <v>3671</v>
      </c>
      <c r="E1589" s="110" t="s">
        <v>3527</v>
      </c>
      <c r="F1589" s="110" t="str">
        <f>IFERROR(VLOOKUP(C1589,[1]evdl298!$B:$D,3,0),"")</f>
        <v>E</v>
      </c>
      <c r="G1589" s="110">
        <f>IFERROR(VLOOKUP(C1589,[1]evdl298!$B:$C,2,0),"")</f>
        <v>41500</v>
      </c>
      <c r="H1589" s="110" t="str">
        <f t="shared" si="73"/>
        <v>E</v>
      </c>
      <c r="I1589" s="110">
        <f t="shared" si="74"/>
        <v>41500</v>
      </c>
      <c r="J1589" s="110"/>
      <c r="K1589" s="110"/>
      <c r="M1589" s="110"/>
      <c r="O1589" s="110"/>
    </row>
    <row r="1590" spans="1:15" x14ac:dyDescent="0.3">
      <c r="A1590" s="58" t="str">
        <f>Schedule!E1588</f>
        <v>A114090</v>
      </c>
      <c r="B1590" s="58" t="s">
        <v>3555</v>
      </c>
      <c r="C1590" s="58" t="str">
        <f t="shared" si="72"/>
        <v>114090 KS</v>
      </c>
      <c r="D1590" s="58" t="s">
        <v>3671</v>
      </c>
      <c r="E1590" s="110" t="s">
        <v>3527</v>
      </c>
      <c r="F1590" s="110" t="str">
        <f>IFERROR(VLOOKUP(C1590,[1]evdl298!$B:$D,3,0),"")</f>
        <v>E</v>
      </c>
      <c r="G1590" s="110">
        <f>IFERROR(VLOOKUP(C1590,[1]evdl298!$B:$C,2,0),"")</f>
        <v>41492</v>
      </c>
      <c r="H1590" s="110" t="str">
        <f t="shared" si="73"/>
        <v>E</v>
      </c>
      <c r="I1590" s="110">
        <f t="shared" si="74"/>
        <v>41492</v>
      </c>
      <c r="J1590" s="110"/>
      <c r="K1590" s="110"/>
      <c r="M1590" s="110"/>
      <c r="O1590" s="110"/>
    </row>
    <row r="1591" spans="1:15" x14ac:dyDescent="0.3">
      <c r="A1591" s="58" t="str">
        <f>Schedule!E1589</f>
        <v>A114120</v>
      </c>
      <c r="B1591" s="58" t="s">
        <v>2950</v>
      </c>
      <c r="C1591" s="58" t="str">
        <f t="shared" si="72"/>
        <v>114120 KS</v>
      </c>
      <c r="D1591" s="58" t="s">
        <v>3671</v>
      </c>
      <c r="E1591" s="110" t="s">
        <v>3700</v>
      </c>
      <c r="F1591" s="110" t="str">
        <f>IFERROR(VLOOKUP(C1591,[1]evdl298!$B:$D,3,0),"")</f>
        <v>E</v>
      </c>
      <c r="G1591" s="110">
        <f>IFERROR(VLOOKUP(C1591,[1]evdl298!$B:$C,2,0),"")</f>
        <v>41500</v>
      </c>
      <c r="H1591" s="110" t="str">
        <f t="shared" si="73"/>
        <v>E</v>
      </c>
      <c r="I1591" s="110">
        <f t="shared" si="74"/>
        <v>41500</v>
      </c>
      <c r="J1591" s="110"/>
      <c r="K1591" s="110"/>
      <c r="M1591" s="110"/>
      <c r="O1591" s="110"/>
    </row>
    <row r="1592" spans="1:15" x14ac:dyDescent="0.3">
      <c r="A1592" s="58" t="str">
        <f>Schedule!E1590</f>
        <v>A114190</v>
      </c>
      <c r="B1592" s="58" t="s">
        <v>3419</v>
      </c>
      <c r="C1592" s="58" t="str">
        <f t="shared" si="72"/>
        <v>114190 KS</v>
      </c>
      <c r="D1592" s="58" t="s">
        <v>3671</v>
      </c>
      <c r="E1592" s="110" t="s">
        <v>3527</v>
      </c>
      <c r="F1592" s="110" t="str">
        <f>IFERROR(VLOOKUP(C1592,[1]evdl298!$B:$D,3,0),"")</f>
        <v>E</v>
      </c>
      <c r="G1592" s="110">
        <f>IFERROR(VLOOKUP(C1592,[1]evdl298!$B:$C,2,0),"")</f>
        <v>41500</v>
      </c>
      <c r="H1592" s="110" t="str">
        <f t="shared" si="73"/>
        <v>E</v>
      </c>
      <c r="I1592" s="110">
        <f t="shared" si="74"/>
        <v>41500</v>
      </c>
      <c r="J1592" s="110"/>
      <c r="K1592" s="110"/>
      <c r="M1592" s="110"/>
      <c r="O1592" s="110"/>
    </row>
    <row r="1593" spans="1:15" x14ac:dyDescent="0.3">
      <c r="A1593" s="58" t="str">
        <f>Schedule!E1591</f>
        <v>A114450</v>
      </c>
      <c r="B1593" s="58" t="s">
        <v>2951</v>
      </c>
      <c r="C1593" s="58" t="str">
        <f t="shared" si="72"/>
        <v>114450 KS</v>
      </c>
      <c r="D1593" s="58" t="s">
        <v>3671</v>
      </c>
      <c r="E1593" s="110" t="s">
        <v>3527</v>
      </c>
      <c r="F1593" s="110" t="str">
        <f>IFERROR(VLOOKUP(C1593,[1]evdl298!$B:$D,3,0),"")</f>
        <v>E</v>
      </c>
      <c r="G1593" s="110">
        <f>IFERROR(VLOOKUP(C1593,[1]evdl298!$B:$C,2,0),"")</f>
        <v>41500</v>
      </c>
      <c r="H1593" s="110" t="str">
        <f t="shared" si="73"/>
        <v>E</v>
      </c>
      <c r="I1593" s="110">
        <f t="shared" si="74"/>
        <v>41500</v>
      </c>
      <c r="J1593" s="110"/>
      <c r="K1593" s="110"/>
      <c r="M1593" s="110"/>
      <c r="O1593" s="110"/>
    </row>
    <row r="1594" spans="1:15" x14ac:dyDescent="0.3">
      <c r="A1594" s="58" t="str">
        <f>Schedule!E1592</f>
        <v>A114570</v>
      </c>
      <c r="B1594" s="58" t="s">
        <v>3420</v>
      </c>
      <c r="C1594" s="58" t="str">
        <f t="shared" si="72"/>
        <v>114570 KS</v>
      </c>
      <c r="D1594" s="58" t="s">
        <v>3671</v>
      </c>
      <c r="E1594" s="110" t="s">
        <v>3527</v>
      </c>
      <c r="F1594" s="110" t="str">
        <f>IFERROR(VLOOKUP(C1594,[1]evdl298!$B:$D,3,0),"")</f>
        <v>E</v>
      </c>
      <c r="G1594" s="110">
        <f>IFERROR(VLOOKUP(C1594,[1]evdl298!$B:$C,2,0),"")</f>
        <v>41500</v>
      </c>
      <c r="H1594" s="110" t="str">
        <f t="shared" si="73"/>
        <v>E</v>
      </c>
      <c r="I1594" s="110">
        <f t="shared" si="74"/>
        <v>41500</v>
      </c>
      <c r="J1594" s="110"/>
      <c r="K1594" s="110"/>
      <c r="M1594" s="110"/>
      <c r="O1594" s="110"/>
    </row>
    <row r="1595" spans="1:15" x14ac:dyDescent="0.3">
      <c r="A1595" s="58" t="str">
        <f>Schedule!E1593</f>
        <v>A114630</v>
      </c>
      <c r="B1595" s="58" t="s">
        <v>3421</v>
      </c>
      <c r="C1595" s="58" t="str">
        <f t="shared" si="72"/>
        <v>114630 KS</v>
      </c>
      <c r="D1595" s="58" t="s">
        <v>3671</v>
      </c>
      <c r="E1595" s="110" t="s">
        <v>3527</v>
      </c>
      <c r="F1595" s="110" t="str">
        <f>IFERROR(VLOOKUP(C1595,[1]evdl298!$B:$D,3,0),"")</f>
        <v>E</v>
      </c>
      <c r="G1595" s="110">
        <f>IFERROR(VLOOKUP(C1595,[1]evdl298!$B:$C,2,0),"")</f>
        <v>41500</v>
      </c>
      <c r="H1595" s="110" t="str">
        <f t="shared" si="73"/>
        <v>E</v>
      </c>
      <c r="I1595" s="110">
        <f t="shared" si="74"/>
        <v>41500</v>
      </c>
      <c r="J1595" s="110"/>
      <c r="K1595" s="110"/>
      <c r="M1595" s="110"/>
      <c r="O1595" s="110"/>
    </row>
    <row r="1596" spans="1:15" x14ac:dyDescent="0.3">
      <c r="A1596" s="58" t="str">
        <f>Schedule!E1594</f>
        <v>A114810</v>
      </c>
      <c r="B1596" s="58" t="s">
        <v>3422</v>
      </c>
      <c r="C1596" s="58" t="str">
        <f t="shared" si="72"/>
        <v>114810 KS</v>
      </c>
      <c r="D1596" s="58" t="s">
        <v>3671</v>
      </c>
      <c r="E1596" s="110" t="s">
        <v>3527</v>
      </c>
      <c r="F1596" s="110" t="str">
        <f>IFERROR(VLOOKUP(C1596,[1]evdl298!$B:$D,3,0),"")</f>
        <v/>
      </c>
      <c r="G1596" s="110" t="str">
        <f>IFERROR(VLOOKUP(C1596,[1]evdl298!$B:$C,2,0),"")</f>
        <v/>
      </c>
      <c r="H1596" s="110" t="str">
        <f t="shared" si="73"/>
        <v/>
      </c>
      <c r="I1596" s="110" t="str">
        <f t="shared" si="74"/>
        <v/>
      </c>
      <c r="J1596" s="110"/>
      <c r="K1596" s="110"/>
      <c r="M1596" s="110"/>
      <c r="O1596" s="110"/>
    </row>
    <row r="1597" spans="1:15" x14ac:dyDescent="0.3">
      <c r="A1597" s="58" t="str">
        <f>Schedule!E1595</f>
        <v>A115160</v>
      </c>
      <c r="B1597" s="58" t="s">
        <v>3613</v>
      </c>
      <c r="C1597" s="58" t="str">
        <f t="shared" si="72"/>
        <v>115160 KS</v>
      </c>
      <c r="D1597" s="58" t="s">
        <v>3671</v>
      </c>
      <c r="E1597" s="110" t="s">
        <v>3527</v>
      </c>
      <c r="F1597" s="110" t="str">
        <f>IFERROR(VLOOKUP(C1597,[1]evdl298!$B:$D,3,0),"")</f>
        <v>E</v>
      </c>
      <c r="G1597" s="110">
        <f>IFERROR(VLOOKUP(C1597,[1]evdl298!$B:$C,2,0),"")</f>
        <v>41487</v>
      </c>
      <c r="H1597" s="110" t="str">
        <f t="shared" si="73"/>
        <v>E</v>
      </c>
      <c r="I1597" s="110">
        <f t="shared" si="74"/>
        <v>41487</v>
      </c>
      <c r="J1597" s="110"/>
      <c r="K1597" s="110"/>
      <c r="M1597" s="110"/>
      <c r="O1597" s="110"/>
    </row>
    <row r="1598" spans="1:15" x14ac:dyDescent="0.3">
      <c r="A1598" s="58" t="str">
        <f>Schedule!E1596</f>
        <v>A115310</v>
      </c>
      <c r="B1598" s="58" t="s">
        <v>2952</v>
      </c>
      <c r="C1598" s="58" t="str">
        <f t="shared" si="72"/>
        <v>115310 KS</v>
      </c>
      <c r="D1598" s="58" t="s">
        <v>3671</v>
      </c>
      <c r="E1598" s="110" t="s">
        <v>3683</v>
      </c>
      <c r="F1598" s="110" t="str">
        <f>IFERROR(VLOOKUP(C1598,[1]evdl298!$B:$D,3,0),"")</f>
        <v>E</v>
      </c>
      <c r="G1598" s="110">
        <f>IFERROR(VLOOKUP(C1598,[1]evdl298!$B:$C,2,0),"")</f>
        <v>41499</v>
      </c>
      <c r="H1598" s="110" t="str">
        <f t="shared" si="73"/>
        <v>E</v>
      </c>
      <c r="I1598" s="110">
        <f t="shared" si="74"/>
        <v>41499</v>
      </c>
      <c r="J1598" s="110"/>
      <c r="K1598" s="110"/>
      <c r="M1598" s="110"/>
      <c r="O1598" s="110"/>
    </row>
    <row r="1599" spans="1:15" x14ac:dyDescent="0.3">
      <c r="A1599" s="58" t="str">
        <f>Schedule!E1597</f>
        <v>A115390</v>
      </c>
      <c r="B1599" s="58" t="s">
        <v>3423</v>
      </c>
      <c r="C1599" s="58" t="str">
        <f t="shared" si="72"/>
        <v>115390 KS</v>
      </c>
      <c r="D1599" s="58" t="s">
        <v>3671</v>
      </c>
      <c r="E1599" s="110" t="s">
        <v>3527</v>
      </c>
      <c r="F1599" s="110" t="str">
        <f>IFERROR(VLOOKUP(C1599,[1]evdl298!$B:$D,3,0),"")</f>
        <v>E</v>
      </c>
      <c r="G1599" s="110">
        <f>IFERROR(VLOOKUP(C1599,[1]evdl298!$B:$C,2,0),"")</f>
        <v>41485</v>
      </c>
      <c r="H1599" s="110" t="str">
        <f t="shared" si="73"/>
        <v>E</v>
      </c>
      <c r="I1599" s="110">
        <f t="shared" si="74"/>
        <v>41485</v>
      </c>
      <c r="J1599" s="110"/>
      <c r="K1599" s="110"/>
      <c r="M1599" s="110"/>
      <c r="O1599" s="110"/>
    </row>
    <row r="1600" spans="1:15" x14ac:dyDescent="0.3">
      <c r="A1600" s="58" t="str">
        <f>Schedule!E1598</f>
        <v>A115440</v>
      </c>
      <c r="B1600" s="58" t="s">
        <v>3424</v>
      </c>
      <c r="C1600" s="58" t="str">
        <f t="shared" si="72"/>
        <v>115440 KS</v>
      </c>
      <c r="D1600" s="58" t="s">
        <v>3671</v>
      </c>
      <c r="E1600" s="110" t="s">
        <v>3527</v>
      </c>
      <c r="F1600" s="110" t="str">
        <f>IFERROR(VLOOKUP(C1600,[1]evdl298!$B:$D,3,0),"")</f>
        <v>E</v>
      </c>
      <c r="G1600" s="110">
        <f>IFERROR(VLOOKUP(C1600,[1]evdl298!$B:$C,2,0),"")</f>
        <v>41500</v>
      </c>
      <c r="H1600" s="110" t="str">
        <f t="shared" si="73"/>
        <v>E</v>
      </c>
      <c r="I1600" s="110">
        <f t="shared" si="74"/>
        <v>41500</v>
      </c>
      <c r="J1600" s="110"/>
      <c r="K1600" s="110"/>
      <c r="M1600" s="110"/>
      <c r="O1600" s="110"/>
    </row>
    <row r="1601" spans="1:15" x14ac:dyDescent="0.3">
      <c r="A1601" s="58" t="str">
        <f>Schedule!E1599</f>
        <v>A115450</v>
      </c>
      <c r="B1601" s="58" t="s">
        <v>3425</v>
      </c>
      <c r="C1601" s="58" t="str">
        <f t="shared" si="72"/>
        <v>115450 KS</v>
      </c>
      <c r="D1601" s="58" t="s">
        <v>3671</v>
      </c>
      <c r="E1601" s="110" t="s">
        <v>3527</v>
      </c>
      <c r="F1601" s="110" t="str">
        <f>IFERROR(VLOOKUP(C1601,[1]evdl298!$B:$D,3,0),"")</f>
        <v>E</v>
      </c>
      <c r="G1601" s="110">
        <f>IFERROR(VLOOKUP(C1601,[1]evdl298!$B:$C,2,0),"")</f>
        <v>41500</v>
      </c>
      <c r="H1601" s="110" t="str">
        <f t="shared" si="73"/>
        <v>E</v>
      </c>
      <c r="I1601" s="110">
        <f t="shared" si="74"/>
        <v>41500</v>
      </c>
      <c r="J1601" s="110"/>
      <c r="K1601" s="110"/>
      <c r="M1601" s="110"/>
      <c r="O1601" s="110"/>
    </row>
    <row r="1602" spans="1:15" x14ac:dyDescent="0.3">
      <c r="A1602" s="58" t="str">
        <f>Schedule!E1600</f>
        <v>A115480</v>
      </c>
      <c r="B1602" s="58" t="s">
        <v>3426</v>
      </c>
      <c r="C1602" s="58" t="str">
        <f t="shared" si="72"/>
        <v>115480 KS</v>
      </c>
      <c r="D1602" s="58" t="s">
        <v>3671</v>
      </c>
      <c r="E1602" s="110" t="s">
        <v>3527</v>
      </c>
      <c r="F1602" s="110" t="str">
        <f>IFERROR(VLOOKUP(C1602,[1]evdl298!$B:$D,3,0),"")</f>
        <v/>
      </c>
      <c r="G1602" s="110" t="str">
        <f>IFERROR(VLOOKUP(C1602,[1]evdl298!$B:$C,2,0),"")</f>
        <v/>
      </c>
      <c r="H1602" s="110" t="str">
        <f t="shared" si="73"/>
        <v/>
      </c>
      <c r="I1602" s="110" t="str">
        <f t="shared" si="74"/>
        <v/>
      </c>
      <c r="J1602" s="110"/>
      <c r="K1602" s="110"/>
      <c r="M1602" s="110"/>
      <c r="O1602" s="110"/>
    </row>
    <row r="1603" spans="1:15" x14ac:dyDescent="0.3">
      <c r="A1603" s="58" t="str">
        <f>Schedule!E1601</f>
        <v>A115500</v>
      </c>
      <c r="B1603" s="58" t="s">
        <v>3536</v>
      </c>
      <c r="C1603" s="58" t="str">
        <f t="shared" si="72"/>
        <v>115500 KS</v>
      </c>
      <c r="D1603" s="58" t="s">
        <v>3671</v>
      </c>
      <c r="E1603" s="110" t="s">
        <v>3527</v>
      </c>
      <c r="F1603" s="110" t="str">
        <f>IFERROR(VLOOKUP(C1603,[1]evdl298!$B:$D,3,0),"")</f>
        <v>E</v>
      </c>
      <c r="G1603" s="110">
        <f>IFERROR(VLOOKUP(C1603,[1]evdl298!$B:$C,2,0),"")</f>
        <v>41500</v>
      </c>
      <c r="H1603" s="110" t="str">
        <f t="shared" si="73"/>
        <v>E</v>
      </c>
      <c r="I1603" s="110">
        <f t="shared" si="74"/>
        <v>41500</v>
      </c>
      <c r="J1603" s="110"/>
      <c r="K1603" s="110"/>
      <c r="M1603" s="110"/>
      <c r="O1603" s="110"/>
    </row>
    <row r="1604" spans="1:15" x14ac:dyDescent="0.3">
      <c r="A1604" s="58" t="str">
        <f>Schedule!E1602</f>
        <v>A115530</v>
      </c>
      <c r="B1604" s="58" t="s">
        <v>3427</v>
      </c>
      <c r="C1604" s="58" t="str">
        <f t="shared" si="72"/>
        <v>115530 KS</v>
      </c>
      <c r="D1604" s="58" t="s">
        <v>3671</v>
      </c>
      <c r="E1604" s="110" t="s">
        <v>3527</v>
      </c>
      <c r="F1604" s="110" t="str">
        <f>IFERROR(VLOOKUP(C1604,[1]evdl298!$B:$D,3,0),"")</f>
        <v>E</v>
      </c>
      <c r="G1604" s="110">
        <f>IFERROR(VLOOKUP(C1604,[1]evdl298!$B:$C,2,0),"")</f>
        <v>41500</v>
      </c>
      <c r="H1604" s="110" t="str">
        <f t="shared" si="73"/>
        <v>E</v>
      </c>
      <c r="I1604" s="110">
        <f t="shared" si="74"/>
        <v>41500</v>
      </c>
      <c r="J1604" s="110"/>
      <c r="K1604" s="110"/>
      <c r="M1604" s="110"/>
      <c r="O1604" s="110"/>
    </row>
    <row r="1605" spans="1:15" x14ac:dyDescent="0.3">
      <c r="A1605" s="58" t="str">
        <f>Schedule!E1603</f>
        <v>A115570</v>
      </c>
      <c r="B1605" s="58" t="s">
        <v>3428</v>
      </c>
      <c r="C1605" s="58" t="str">
        <f t="shared" si="72"/>
        <v>115570 KS</v>
      </c>
      <c r="D1605" s="58" t="s">
        <v>3671</v>
      </c>
      <c r="E1605" s="110" t="s">
        <v>3527</v>
      </c>
      <c r="F1605" s="110" t="str">
        <f>IFERROR(VLOOKUP(C1605,[1]evdl298!$B:$D,3,0),"")</f>
        <v/>
      </c>
      <c r="G1605" s="110" t="str">
        <f>IFERROR(VLOOKUP(C1605,[1]evdl298!$B:$C,2,0),"")</f>
        <v/>
      </c>
      <c r="H1605" s="110" t="str">
        <f t="shared" si="73"/>
        <v/>
      </c>
      <c r="I1605" s="110" t="str">
        <f t="shared" si="74"/>
        <v/>
      </c>
      <c r="J1605" s="110"/>
      <c r="K1605" s="110"/>
      <c r="M1605" s="110"/>
      <c r="O1605" s="110"/>
    </row>
    <row r="1606" spans="1:15" x14ac:dyDescent="0.3">
      <c r="A1606" s="58" t="str">
        <f>Schedule!E1604</f>
        <v>A115610</v>
      </c>
      <c r="B1606" s="58" t="s">
        <v>3429</v>
      </c>
      <c r="C1606" s="58" t="str">
        <f t="shared" si="72"/>
        <v>115610 KS</v>
      </c>
      <c r="D1606" s="58" t="s">
        <v>3671</v>
      </c>
      <c r="E1606" s="110" t="s">
        <v>3527</v>
      </c>
      <c r="F1606" s="110" t="str">
        <f>IFERROR(VLOOKUP(C1606,[1]evdl298!$B:$D,3,0),"")</f>
        <v>E</v>
      </c>
      <c r="G1606" s="110">
        <f>IFERROR(VLOOKUP(C1606,[1]evdl298!$B:$C,2,0),"")</f>
        <v>41500</v>
      </c>
      <c r="H1606" s="110" t="str">
        <f t="shared" si="73"/>
        <v>E</v>
      </c>
      <c r="I1606" s="110">
        <f t="shared" si="74"/>
        <v>41500</v>
      </c>
      <c r="J1606" s="110"/>
      <c r="K1606" s="110"/>
      <c r="M1606" s="110"/>
      <c r="O1606" s="110"/>
    </row>
    <row r="1607" spans="1:15" x14ac:dyDescent="0.3">
      <c r="A1607" s="58" t="str">
        <f>Schedule!E1605</f>
        <v>A117580</v>
      </c>
      <c r="B1607" s="58" t="s">
        <v>3537</v>
      </c>
      <c r="C1607" s="58" t="str">
        <f t="shared" si="72"/>
        <v>117580 KS</v>
      </c>
      <c r="D1607" s="58" t="s">
        <v>3671</v>
      </c>
      <c r="E1607" s="110" t="s">
        <v>3527</v>
      </c>
      <c r="F1607" s="110" t="str">
        <f>IFERROR(VLOOKUP(C1607,[1]evdl298!$B:$D,3,0),"")</f>
        <v>E</v>
      </c>
      <c r="G1607" s="110">
        <f>IFERROR(VLOOKUP(C1607,[1]evdl298!$B:$C,2,0),"")</f>
        <v>41500</v>
      </c>
      <c r="H1607" s="110" t="str">
        <f t="shared" si="73"/>
        <v>E</v>
      </c>
      <c r="I1607" s="110">
        <f t="shared" si="74"/>
        <v>41500</v>
      </c>
      <c r="J1607" s="110"/>
      <c r="K1607" s="110"/>
      <c r="M1607" s="110"/>
      <c r="O1607" s="110"/>
    </row>
    <row r="1608" spans="1:15" x14ac:dyDescent="0.3">
      <c r="A1608" s="58" t="str">
        <f>Schedule!E1606</f>
        <v>A117670</v>
      </c>
      <c r="B1608" s="58" t="s">
        <v>3430</v>
      </c>
      <c r="C1608" s="58" t="str">
        <f t="shared" si="72"/>
        <v>117670 KS</v>
      </c>
      <c r="D1608" s="58" t="s">
        <v>3671</v>
      </c>
      <c r="E1608" s="110" t="s">
        <v>3527</v>
      </c>
      <c r="F1608" s="110" t="str">
        <f>IFERROR(VLOOKUP(C1608,[1]evdl298!$B:$D,3,0),"")</f>
        <v>E</v>
      </c>
      <c r="G1608" s="110">
        <f>IFERROR(VLOOKUP(C1608,[1]evdl298!$B:$C,2,0),"")</f>
        <v>41500</v>
      </c>
      <c r="H1608" s="110" t="str">
        <f t="shared" si="73"/>
        <v>E</v>
      </c>
      <c r="I1608" s="110">
        <f t="shared" si="74"/>
        <v>41500</v>
      </c>
      <c r="J1608" s="110"/>
      <c r="K1608" s="110"/>
      <c r="M1608" s="110"/>
      <c r="O1608" s="110"/>
    </row>
    <row r="1609" spans="1:15" x14ac:dyDescent="0.3">
      <c r="A1609" s="58" t="str">
        <f>Schedule!E1607</f>
        <v>A117930</v>
      </c>
      <c r="B1609" s="58" t="s">
        <v>3431</v>
      </c>
      <c r="C1609" s="58" t="str">
        <f t="shared" si="72"/>
        <v>117930 KS</v>
      </c>
      <c r="D1609" s="58" t="s">
        <v>3671</v>
      </c>
      <c r="E1609" s="110" t="s">
        <v>3527</v>
      </c>
      <c r="F1609" s="110" t="str">
        <f>IFERROR(VLOOKUP(C1609,[1]evdl298!$B:$D,3,0),"")</f>
        <v>E</v>
      </c>
      <c r="G1609" s="110">
        <f>IFERROR(VLOOKUP(C1609,[1]evdl298!$B:$C,2,0),"")</f>
        <v>41487</v>
      </c>
      <c r="H1609" s="110" t="str">
        <f t="shared" si="73"/>
        <v>E</v>
      </c>
      <c r="I1609" s="110">
        <f t="shared" si="74"/>
        <v>41487</v>
      </c>
      <c r="J1609" s="110"/>
      <c r="K1609" s="110"/>
      <c r="M1609" s="110"/>
      <c r="O1609" s="110"/>
    </row>
    <row r="1610" spans="1:15" x14ac:dyDescent="0.3">
      <c r="A1610" s="58" t="str">
        <f>Schedule!E1608</f>
        <v>A118000</v>
      </c>
      <c r="B1610" s="58" t="s">
        <v>3432</v>
      </c>
      <c r="C1610" s="58" t="str">
        <f t="shared" si="72"/>
        <v>118000 KS</v>
      </c>
      <c r="D1610" s="58" t="s">
        <v>3671</v>
      </c>
      <c r="E1610" s="110" t="s">
        <v>3527</v>
      </c>
      <c r="F1610" s="110" t="str">
        <f>IFERROR(VLOOKUP(C1610,[1]evdl298!$B:$D,3,0),"")</f>
        <v>E</v>
      </c>
      <c r="G1610" s="110">
        <f>IFERROR(VLOOKUP(C1610,[1]evdl298!$B:$C,2,0),"")</f>
        <v>41500</v>
      </c>
      <c r="H1610" s="110" t="str">
        <f t="shared" si="73"/>
        <v>E</v>
      </c>
      <c r="I1610" s="110">
        <f t="shared" si="74"/>
        <v>41500</v>
      </c>
      <c r="J1610" s="110"/>
      <c r="K1610" s="110"/>
      <c r="M1610" s="110"/>
      <c r="O1610" s="110"/>
    </row>
    <row r="1611" spans="1:15" x14ac:dyDescent="0.3">
      <c r="A1611" s="58" t="str">
        <f>Schedule!E1609</f>
        <v>A119500</v>
      </c>
      <c r="B1611" s="58" t="s">
        <v>3433</v>
      </c>
      <c r="C1611" s="58" t="str">
        <f t="shared" si="72"/>
        <v>119500 KS</v>
      </c>
      <c r="D1611" s="58" t="s">
        <v>3671</v>
      </c>
      <c r="E1611" s="110" t="s">
        <v>3527</v>
      </c>
      <c r="F1611" s="110" t="str">
        <f>IFERROR(VLOOKUP(C1611,[1]evdl298!$B:$D,3,0),"")</f>
        <v>E</v>
      </c>
      <c r="G1611" s="110">
        <f>IFERROR(VLOOKUP(C1611,[1]evdl298!$B:$C,2,0),"")</f>
        <v>41460</v>
      </c>
      <c r="H1611" s="110" t="str">
        <f t="shared" si="73"/>
        <v>E</v>
      </c>
      <c r="I1611" s="110">
        <f t="shared" si="74"/>
        <v>41460</v>
      </c>
      <c r="J1611" s="110"/>
      <c r="K1611" s="110"/>
      <c r="M1611" s="110"/>
      <c r="O1611" s="110"/>
    </row>
    <row r="1612" spans="1:15" x14ac:dyDescent="0.3">
      <c r="A1612" s="58" t="str">
        <f>Schedule!E1610</f>
        <v>A119610</v>
      </c>
      <c r="B1612" s="58" t="s">
        <v>3434</v>
      </c>
      <c r="C1612" s="58" t="str">
        <f t="shared" si="72"/>
        <v>119610 KS</v>
      </c>
      <c r="D1612" s="58" t="s">
        <v>3671</v>
      </c>
      <c r="E1612" s="110" t="s">
        <v>3527</v>
      </c>
      <c r="F1612" s="110" t="str">
        <f>IFERROR(VLOOKUP(C1612,[1]evdl298!$B:$D,3,0),"")</f>
        <v>E</v>
      </c>
      <c r="G1612" s="110">
        <f>IFERROR(VLOOKUP(C1612,[1]evdl298!$B:$C,2,0),"")</f>
        <v>41486</v>
      </c>
      <c r="H1612" s="110" t="str">
        <f t="shared" si="73"/>
        <v>E</v>
      </c>
      <c r="I1612" s="110">
        <f t="shared" si="74"/>
        <v>41486</v>
      </c>
      <c r="J1612" s="110"/>
      <c r="K1612" s="110"/>
      <c r="M1612" s="110"/>
      <c r="O1612" s="110"/>
    </row>
    <row r="1613" spans="1:15" x14ac:dyDescent="0.3">
      <c r="A1613" s="58" t="str">
        <f>Schedule!E1611</f>
        <v>A119650</v>
      </c>
      <c r="B1613" s="58" t="s">
        <v>3435</v>
      </c>
      <c r="C1613" s="58" t="str">
        <f t="shared" si="72"/>
        <v>119650 KS</v>
      </c>
      <c r="D1613" s="58" t="s">
        <v>3671</v>
      </c>
      <c r="E1613" s="110" t="s">
        <v>3527</v>
      </c>
      <c r="F1613" s="110" t="str">
        <f>IFERROR(VLOOKUP(C1613,[1]evdl298!$B:$D,3,0),"")</f>
        <v>E</v>
      </c>
      <c r="G1613" s="110">
        <f>IFERROR(VLOOKUP(C1613,[1]evdl298!$B:$C,2,0),"")</f>
        <v>41499</v>
      </c>
      <c r="H1613" s="110" t="str">
        <f t="shared" si="73"/>
        <v>E</v>
      </c>
      <c r="I1613" s="110">
        <f t="shared" si="74"/>
        <v>41499</v>
      </c>
      <c r="J1613" s="110"/>
      <c r="K1613" s="110"/>
      <c r="M1613" s="110"/>
      <c r="O1613" s="110"/>
    </row>
    <row r="1614" spans="1:15" x14ac:dyDescent="0.3">
      <c r="A1614" s="58" t="str">
        <f>Schedule!E1612</f>
        <v>A119830</v>
      </c>
      <c r="B1614" s="58" t="s">
        <v>3436</v>
      </c>
      <c r="C1614" s="58" t="str">
        <f t="shared" si="72"/>
        <v>119830 KS</v>
      </c>
      <c r="D1614" s="58" t="s">
        <v>3671</v>
      </c>
      <c r="E1614" s="110" t="s">
        <v>3527</v>
      </c>
      <c r="F1614" s="110" t="str">
        <f>IFERROR(VLOOKUP(C1614,[1]evdl298!$B:$D,3,0),"")</f>
        <v>E</v>
      </c>
      <c r="G1614" s="110">
        <f>IFERROR(VLOOKUP(C1614,[1]evdl298!$B:$C,2,0),"")</f>
        <v>41500</v>
      </c>
      <c r="H1614" s="110" t="str">
        <f t="shared" si="73"/>
        <v>E</v>
      </c>
      <c r="I1614" s="110">
        <f t="shared" si="74"/>
        <v>41500</v>
      </c>
      <c r="J1614" s="110"/>
      <c r="K1614" s="110"/>
      <c r="M1614" s="110"/>
      <c r="O1614" s="110"/>
    </row>
    <row r="1615" spans="1:15" x14ac:dyDescent="0.3">
      <c r="A1615" s="58" t="str">
        <f>Schedule!E1613</f>
        <v>A119860</v>
      </c>
      <c r="B1615" s="58" t="s">
        <v>3437</v>
      </c>
      <c r="C1615" s="58" t="str">
        <f t="shared" si="72"/>
        <v>119860 KS</v>
      </c>
      <c r="D1615" s="58" t="s">
        <v>3671</v>
      </c>
      <c r="E1615" s="110" t="s">
        <v>3527</v>
      </c>
      <c r="F1615" s="110" t="str">
        <f>IFERROR(VLOOKUP(C1615,[1]evdl298!$B:$D,3,0),"")</f>
        <v>E</v>
      </c>
      <c r="G1615" s="110">
        <f>IFERROR(VLOOKUP(C1615,[1]evdl298!$B:$C,2,0),"")</f>
        <v>41515</v>
      </c>
      <c r="H1615" s="110" t="str">
        <f t="shared" si="73"/>
        <v>E</v>
      </c>
      <c r="I1615" s="110">
        <f t="shared" si="74"/>
        <v>41515</v>
      </c>
      <c r="J1615" s="110"/>
      <c r="K1615" s="110"/>
      <c r="M1615" s="110"/>
      <c r="O1615" s="110"/>
    </row>
    <row r="1616" spans="1:15" x14ac:dyDescent="0.3">
      <c r="A1616" s="58" t="str">
        <f>Schedule!E1614</f>
        <v>A120030</v>
      </c>
      <c r="B1616" s="58" t="s">
        <v>3438</v>
      </c>
      <c r="C1616" s="58" t="str">
        <f t="shared" si="72"/>
        <v>120030 KS</v>
      </c>
      <c r="D1616" s="58" t="s">
        <v>3671</v>
      </c>
      <c r="E1616" s="110" t="s">
        <v>3527</v>
      </c>
      <c r="F1616" s="110" t="str">
        <f>IFERROR(VLOOKUP(C1616,[1]evdl298!$B:$D,3,0),"")</f>
        <v>E</v>
      </c>
      <c r="G1616" s="110">
        <f>IFERROR(VLOOKUP(C1616,[1]evdl298!$B:$C,2,0),"")</f>
        <v>41500</v>
      </c>
      <c r="H1616" s="110" t="str">
        <f t="shared" si="73"/>
        <v>E</v>
      </c>
      <c r="I1616" s="110">
        <f t="shared" si="74"/>
        <v>41500</v>
      </c>
      <c r="J1616" s="110"/>
      <c r="K1616" s="110"/>
      <c r="M1616" s="110"/>
      <c r="O1616" s="110"/>
    </row>
    <row r="1617" spans="1:15" x14ac:dyDescent="0.3">
      <c r="A1617" s="58" t="str">
        <f>Schedule!E1615</f>
        <v>A120110</v>
      </c>
      <c r="B1617" s="58" t="s">
        <v>3439</v>
      </c>
      <c r="C1617" s="58" t="str">
        <f t="shared" ref="C1617:C1680" si="75">RIGHT(A1617,6)&amp;" KS"</f>
        <v>120110 KS</v>
      </c>
      <c r="D1617" s="58" t="s">
        <v>3671</v>
      </c>
      <c r="E1617" s="110" t="s">
        <v>3527</v>
      </c>
      <c r="F1617" s="110" t="str">
        <f>IFERROR(VLOOKUP(C1617,[1]evdl298!$B:$D,3,0),"")</f>
        <v>E</v>
      </c>
      <c r="G1617" s="110">
        <f>IFERROR(VLOOKUP(C1617,[1]evdl298!$B:$C,2,0),"")</f>
        <v>41500</v>
      </c>
      <c r="H1617" s="110" t="str">
        <f t="shared" ref="H1617:H1680" si="76">F1617</f>
        <v>E</v>
      </c>
      <c r="I1617" s="110">
        <f t="shared" ref="I1617:I1680" si="77">IF(ISNUMBER(G1617),G1617,E1617)</f>
        <v>41500</v>
      </c>
      <c r="J1617" s="110"/>
      <c r="K1617" s="110"/>
      <c r="M1617" s="110"/>
      <c r="O1617" s="110"/>
    </row>
    <row r="1618" spans="1:15" x14ac:dyDescent="0.3">
      <c r="A1618" s="58" t="str">
        <f>Schedule!E1616</f>
        <v>A120240</v>
      </c>
      <c r="B1618" s="58" t="s">
        <v>3440</v>
      </c>
      <c r="C1618" s="58" t="str">
        <f t="shared" si="75"/>
        <v>120240 KS</v>
      </c>
      <c r="D1618" s="58" t="s">
        <v>3671</v>
      </c>
      <c r="E1618" s="110" t="s">
        <v>3527</v>
      </c>
      <c r="F1618" s="110" t="str">
        <f>IFERROR(VLOOKUP(C1618,[1]evdl298!$B:$D,3,0),"")</f>
        <v>E</v>
      </c>
      <c r="G1618" s="110">
        <f>IFERROR(VLOOKUP(C1618,[1]evdl298!$B:$C,2,0),"")</f>
        <v>41460</v>
      </c>
      <c r="H1618" s="110" t="str">
        <f t="shared" si="76"/>
        <v>E</v>
      </c>
      <c r="I1618" s="110">
        <f t="shared" si="77"/>
        <v>41460</v>
      </c>
      <c r="J1618" s="110"/>
      <c r="K1618" s="110"/>
      <c r="M1618" s="110"/>
      <c r="O1618" s="110"/>
    </row>
    <row r="1619" spans="1:15" x14ac:dyDescent="0.3">
      <c r="A1619" s="58" t="str">
        <f>Schedule!E1617</f>
        <v>A121440</v>
      </c>
      <c r="B1619" s="58" t="s">
        <v>3441</v>
      </c>
      <c r="C1619" s="58" t="str">
        <f t="shared" si="75"/>
        <v>121440 KS</v>
      </c>
      <c r="D1619" s="58" t="s">
        <v>3671</v>
      </c>
      <c r="E1619" s="110" t="s">
        <v>3527</v>
      </c>
      <c r="F1619" s="110" t="str">
        <f>IFERROR(VLOOKUP(C1619,[1]evdl298!$B:$D,3,0),"")</f>
        <v>E</v>
      </c>
      <c r="G1619" s="110">
        <f>IFERROR(VLOOKUP(C1619,[1]evdl298!$B:$C,2,0),"")</f>
        <v>41485</v>
      </c>
      <c r="H1619" s="110" t="str">
        <f t="shared" si="76"/>
        <v>E</v>
      </c>
      <c r="I1619" s="110">
        <f t="shared" si="77"/>
        <v>41485</v>
      </c>
      <c r="J1619" s="110"/>
      <c r="K1619" s="110"/>
      <c r="M1619" s="110"/>
      <c r="O1619" s="110"/>
    </row>
    <row r="1620" spans="1:15" x14ac:dyDescent="0.3">
      <c r="A1620" s="58" t="str">
        <f>Schedule!E1618</f>
        <v>A121600</v>
      </c>
      <c r="B1620" s="58" t="s">
        <v>3442</v>
      </c>
      <c r="C1620" s="58" t="str">
        <f t="shared" si="75"/>
        <v>121600 KS</v>
      </c>
      <c r="D1620" s="58" t="s">
        <v>3671</v>
      </c>
      <c r="E1620" s="110" t="s">
        <v>3527</v>
      </c>
      <c r="F1620" s="110" t="str">
        <f>IFERROR(VLOOKUP(C1620,[1]evdl298!$B:$D,3,0),"")</f>
        <v/>
      </c>
      <c r="G1620" s="110" t="str">
        <f>IFERROR(VLOOKUP(C1620,[1]evdl298!$B:$C,2,0),"")</f>
        <v/>
      </c>
      <c r="H1620" s="110" t="str">
        <f t="shared" si="76"/>
        <v/>
      </c>
      <c r="I1620" s="110" t="str">
        <f t="shared" si="77"/>
        <v/>
      </c>
      <c r="J1620" s="110"/>
      <c r="K1620" s="110"/>
      <c r="M1620" s="110"/>
      <c r="O1620" s="110"/>
    </row>
    <row r="1621" spans="1:15" x14ac:dyDescent="0.3">
      <c r="A1621" s="58" t="str">
        <f>Schedule!E1619</f>
        <v>A121800</v>
      </c>
      <c r="B1621" s="58" t="s">
        <v>3443</v>
      </c>
      <c r="C1621" s="58" t="str">
        <f t="shared" si="75"/>
        <v>121800 KS</v>
      </c>
      <c r="D1621" s="58" t="s">
        <v>3671</v>
      </c>
      <c r="E1621" s="110" t="s">
        <v>3527</v>
      </c>
      <c r="F1621" s="110" t="str">
        <f>IFERROR(VLOOKUP(C1621,[1]evdl298!$B:$D,3,0),"")</f>
        <v/>
      </c>
      <c r="G1621" s="110" t="str">
        <f>IFERROR(VLOOKUP(C1621,[1]evdl298!$B:$C,2,0),"")</f>
        <v/>
      </c>
      <c r="H1621" s="110" t="str">
        <f t="shared" si="76"/>
        <v/>
      </c>
      <c r="I1621" s="110" t="str">
        <f t="shared" si="77"/>
        <v/>
      </c>
      <c r="J1621" s="110"/>
      <c r="K1621" s="110"/>
      <c r="M1621" s="110"/>
      <c r="O1621" s="110"/>
    </row>
    <row r="1622" spans="1:15" x14ac:dyDescent="0.3">
      <c r="A1622" s="58" t="str">
        <f>Schedule!E1620</f>
        <v>A121850</v>
      </c>
      <c r="B1622" s="58" t="s">
        <v>3444</v>
      </c>
      <c r="C1622" s="58" t="str">
        <f t="shared" si="75"/>
        <v>121850 KS</v>
      </c>
      <c r="D1622" s="58" t="s">
        <v>3671</v>
      </c>
      <c r="E1622" s="110" t="s">
        <v>3527</v>
      </c>
      <c r="F1622" s="110" t="str">
        <f>IFERROR(VLOOKUP(C1622,[1]evdl298!$B:$D,3,0),"")</f>
        <v/>
      </c>
      <c r="G1622" s="110" t="str">
        <f>IFERROR(VLOOKUP(C1622,[1]evdl298!$B:$C,2,0),"")</f>
        <v/>
      </c>
      <c r="H1622" s="110" t="str">
        <f t="shared" si="76"/>
        <v/>
      </c>
      <c r="I1622" s="110" t="str">
        <f t="shared" si="77"/>
        <v/>
      </c>
      <c r="J1622" s="110"/>
      <c r="K1622" s="110"/>
      <c r="M1622" s="110"/>
      <c r="O1622" s="110"/>
    </row>
    <row r="1623" spans="1:15" x14ac:dyDescent="0.3">
      <c r="A1623" s="58" t="str">
        <f>Schedule!E1621</f>
        <v>A121890</v>
      </c>
      <c r="B1623" s="58" t="s">
        <v>3445</v>
      </c>
      <c r="C1623" s="58" t="str">
        <f t="shared" si="75"/>
        <v>121890 KS</v>
      </c>
      <c r="D1623" s="58" t="s">
        <v>3671</v>
      </c>
      <c r="E1623" s="110" t="s">
        <v>3527</v>
      </c>
      <c r="F1623" s="110" t="str">
        <f>IFERROR(VLOOKUP(C1623,[1]evdl298!$B:$D,3,0),"")</f>
        <v>E</v>
      </c>
      <c r="G1623" s="110">
        <f>IFERROR(VLOOKUP(C1623,[1]evdl298!$B:$C,2,0),"")</f>
        <v>41500</v>
      </c>
      <c r="H1623" s="110" t="str">
        <f t="shared" si="76"/>
        <v>E</v>
      </c>
      <c r="I1623" s="110">
        <f t="shared" si="77"/>
        <v>41500</v>
      </c>
      <c r="J1623" s="110"/>
      <c r="K1623" s="110"/>
      <c r="M1623" s="110"/>
      <c r="O1623" s="110"/>
    </row>
    <row r="1624" spans="1:15" x14ac:dyDescent="0.3">
      <c r="A1624" s="58" t="str">
        <f>Schedule!E1622</f>
        <v>A122350</v>
      </c>
      <c r="B1624" s="58" t="s">
        <v>3446</v>
      </c>
      <c r="C1624" s="58" t="str">
        <f t="shared" si="75"/>
        <v>122350 KS</v>
      </c>
      <c r="D1624" s="58" t="s">
        <v>3671</v>
      </c>
      <c r="E1624" s="110" t="s">
        <v>3527</v>
      </c>
      <c r="F1624" s="110" t="str">
        <f>IFERROR(VLOOKUP(C1624,[1]evdl298!$B:$D,3,0),"")</f>
        <v/>
      </c>
      <c r="G1624" s="110" t="str">
        <f>IFERROR(VLOOKUP(C1624,[1]evdl298!$B:$C,2,0),"")</f>
        <v/>
      </c>
      <c r="H1624" s="110" t="str">
        <f t="shared" si="76"/>
        <v/>
      </c>
      <c r="I1624" s="110" t="str">
        <f t="shared" si="77"/>
        <v/>
      </c>
      <c r="J1624" s="110"/>
      <c r="K1624" s="110"/>
      <c r="M1624" s="110"/>
      <c r="O1624" s="110"/>
    </row>
    <row r="1625" spans="1:15" x14ac:dyDescent="0.3">
      <c r="A1625" s="58" t="str">
        <f>Schedule!E1623</f>
        <v>A122450</v>
      </c>
      <c r="B1625" s="58" t="s">
        <v>3447</v>
      </c>
      <c r="C1625" s="58" t="str">
        <f t="shared" si="75"/>
        <v>122450 KS</v>
      </c>
      <c r="D1625" s="58" t="s">
        <v>3671</v>
      </c>
      <c r="E1625" s="110" t="s">
        <v>3527</v>
      </c>
      <c r="F1625" s="110" t="str">
        <f>IFERROR(VLOOKUP(C1625,[1]evdl298!$B:$D,3,0),"")</f>
        <v>E</v>
      </c>
      <c r="G1625" s="110">
        <f>IFERROR(VLOOKUP(C1625,[1]evdl298!$B:$C,2,0),"")</f>
        <v>41500</v>
      </c>
      <c r="H1625" s="110" t="str">
        <f t="shared" si="76"/>
        <v>E</v>
      </c>
      <c r="I1625" s="110">
        <f t="shared" si="77"/>
        <v>41500</v>
      </c>
      <c r="J1625" s="110"/>
      <c r="K1625" s="110"/>
      <c r="M1625" s="110"/>
      <c r="O1625" s="110"/>
    </row>
    <row r="1626" spans="1:15" x14ac:dyDescent="0.3">
      <c r="A1626" s="58" t="str">
        <f>Schedule!E1624</f>
        <v>A122690</v>
      </c>
      <c r="B1626" s="58" t="s">
        <v>3448</v>
      </c>
      <c r="C1626" s="58" t="str">
        <f t="shared" si="75"/>
        <v>122690 KS</v>
      </c>
      <c r="D1626" s="58" t="s">
        <v>3671</v>
      </c>
      <c r="E1626" s="110" t="s">
        <v>3527</v>
      </c>
      <c r="F1626" s="110" t="str">
        <f>IFERROR(VLOOKUP(C1626,[1]evdl298!$B:$D,3,0),"")</f>
        <v/>
      </c>
      <c r="G1626" s="110" t="str">
        <f>IFERROR(VLOOKUP(C1626,[1]evdl298!$B:$C,2,0),"")</f>
        <v/>
      </c>
      <c r="H1626" s="110" t="str">
        <f t="shared" si="76"/>
        <v/>
      </c>
      <c r="I1626" s="110" t="str">
        <f t="shared" si="77"/>
        <v/>
      </c>
      <c r="J1626" s="110"/>
      <c r="K1626" s="110"/>
      <c r="M1626" s="110"/>
      <c r="O1626" s="110"/>
    </row>
    <row r="1627" spans="1:15" x14ac:dyDescent="0.3">
      <c r="A1627" s="58" t="str">
        <f>Schedule!E1625</f>
        <v>A122800</v>
      </c>
      <c r="B1627" s="58" t="s">
        <v>3449</v>
      </c>
      <c r="C1627" s="58" t="str">
        <f t="shared" si="75"/>
        <v>122800 KS</v>
      </c>
      <c r="D1627" s="58" t="s">
        <v>3671</v>
      </c>
      <c r="E1627" s="110" t="s">
        <v>3527</v>
      </c>
      <c r="F1627" s="110" t="str">
        <f>IFERROR(VLOOKUP(C1627,[1]evdl298!$B:$D,3,0),"")</f>
        <v>E</v>
      </c>
      <c r="G1627" s="110">
        <f>IFERROR(VLOOKUP(C1627,[1]evdl298!$B:$C,2,0),"")</f>
        <v>41495</v>
      </c>
      <c r="H1627" s="110" t="str">
        <f t="shared" si="76"/>
        <v>E</v>
      </c>
      <c r="I1627" s="110">
        <f t="shared" si="77"/>
        <v>41495</v>
      </c>
      <c r="J1627" s="110"/>
      <c r="K1627" s="110"/>
      <c r="M1627" s="110"/>
      <c r="O1627" s="110"/>
    </row>
    <row r="1628" spans="1:15" x14ac:dyDescent="0.3">
      <c r="A1628" s="58" t="str">
        <f>Schedule!E1626</f>
        <v>A122870</v>
      </c>
      <c r="B1628" s="58" t="s">
        <v>3450</v>
      </c>
      <c r="C1628" s="58" t="str">
        <f t="shared" si="75"/>
        <v>122870 KS</v>
      </c>
      <c r="D1628" s="58" t="s">
        <v>3671</v>
      </c>
      <c r="E1628" s="110" t="s">
        <v>3527</v>
      </c>
      <c r="F1628" s="110" t="str">
        <f>IFERROR(VLOOKUP(C1628,[1]evdl298!$B:$D,3,0),"")</f>
        <v>E</v>
      </c>
      <c r="G1628" s="110">
        <f>IFERROR(VLOOKUP(C1628,[1]evdl298!$B:$C,2,0),"")</f>
        <v>41500</v>
      </c>
      <c r="H1628" s="110" t="str">
        <f t="shared" si="76"/>
        <v>E</v>
      </c>
      <c r="I1628" s="110">
        <f t="shared" si="77"/>
        <v>41500</v>
      </c>
      <c r="J1628" s="110"/>
      <c r="K1628" s="110"/>
      <c r="M1628" s="110"/>
      <c r="O1628" s="110"/>
    </row>
    <row r="1629" spans="1:15" x14ac:dyDescent="0.3">
      <c r="A1629" s="58" t="str">
        <f>Schedule!E1627</f>
        <v>A122900</v>
      </c>
      <c r="B1629" s="58" t="s">
        <v>3451</v>
      </c>
      <c r="C1629" s="58" t="str">
        <f t="shared" si="75"/>
        <v>122900 KS</v>
      </c>
      <c r="D1629" s="58" t="s">
        <v>3671</v>
      </c>
      <c r="E1629" s="110" t="s">
        <v>3705</v>
      </c>
      <c r="F1629" s="110" t="str">
        <f>IFERROR(VLOOKUP(C1629,[1]evdl298!$B:$D,3,0),"")</f>
        <v>E</v>
      </c>
      <c r="G1629" s="110">
        <f>IFERROR(VLOOKUP(C1629,[1]evdl298!$B:$C,2,0),"")</f>
        <v>41515</v>
      </c>
      <c r="H1629" s="110" t="str">
        <f t="shared" si="76"/>
        <v>E</v>
      </c>
      <c r="I1629" s="110">
        <f t="shared" si="77"/>
        <v>41515</v>
      </c>
      <c r="J1629" s="110"/>
      <c r="K1629" s="110"/>
      <c r="M1629" s="110"/>
      <c r="O1629" s="110"/>
    </row>
    <row r="1630" spans="1:15" x14ac:dyDescent="0.3">
      <c r="A1630" s="58" t="str">
        <f>Schedule!E1628</f>
        <v>A122990</v>
      </c>
      <c r="B1630" s="58" t="s">
        <v>3452</v>
      </c>
      <c r="C1630" s="58" t="str">
        <f t="shared" si="75"/>
        <v>122990 KS</v>
      </c>
      <c r="D1630" s="58" t="s">
        <v>3671</v>
      </c>
      <c r="E1630" s="110" t="s">
        <v>3527</v>
      </c>
      <c r="F1630" s="110" t="str">
        <f>IFERROR(VLOOKUP(C1630,[1]evdl298!$B:$D,3,0),"")</f>
        <v>E</v>
      </c>
      <c r="G1630" s="110">
        <f>IFERROR(VLOOKUP(C1630,[1]evdl298!$B:$C,2,0),"")</f>
        <v>41481</v>
      </c>
      <c r="H1630" s="110" t="str">
        <f t="shared" si="76"/>
        <v>E</v>
      </c>
      <c r="I1630" s="110">
        <f t="shared" si="77"/>
        <v>41481</v>
      </c>
      <c r="J1630" s="110"/>
      <c r="K1630" s="110"/>
      <c r="M1630" s="110"/>
      <c r="O1630" s="110"/>
    </row>
    <row r="1631" spans="1:15" x14ac:dyDescent="0.3">
      <c r="A1631" s="58" t="str">
        <f>Schedule!E1629</f>
        <v>A123040</v>
      </c>
      <c r="B1631" s="58" t="s">
        <v>3453</v>
      </c>
      <c r="C1631" s="58" t="str">
        <f t="shared" si="75"/>
        <v>123040 KS</v>
      </c>
      <c r="D1631" s="58" t="s">
        <v>3671</v>
      </c>
      <c r="E1631" s="110" t="s">
        <v>3527</v>
      </c>
      <c r="F1631" s="110" t="str">
        <f>IFERROR(VLOOKUP(C1631,[1]evdl298!$B:$D,3,0),"")</f>
        <v/>
      </c>
      <c r="G1631" s="110" t="str">
        <f>IFERROR(VLOOKUP(C1631,[1]evdl298!$B:$C,2,0),"")</f>
        <v/>
      </c>
      <c r="H1631" s="110" t="str">
        <f t="shared" si="76"/>
        <v/>
      </c>
      <c r="I1631" s="110" t="str">
        <f t="shared" si="77"/>
        <v/>
      </c>
      <c r="J1631" s="110"/>
      <c r="K1631" s="110"/>
      <c r="M1631" s="110"/>
      <c r="O1631" s="110"/>
    </row>
    <row r="1632" spans="1:15" x14ac:dyDescent="0.3">
      <c r="A1632" s="58" t="str">
        <f>Schedule!E1630</f>
        <v>A123100</v>
      </c>
      <c r="B1632" s="58" t="s">
        <v>3454</v>
      </c>
      <c r="C1632" s="58" t="str">
        <f t="shared" si="75"/>
        <v>123100 KS</v>
      </c>
      <c r="D1632" s="58" t="s">
        <v>3671</v>
      </c>
      <c r="E1632" s="110" t="s">
        <v>3527</v>
      </c>
      <c r="F1632" s="110" t="str">
        <f>IFERROR(VLOOKUP(C1632,[1]evdl298!$B:$D,3,0),"")</f>
        <v>E</v>
      </c>
      <c r="G1632" s="110">
        <f>IFERROR(VLOOKUP(C1632,[1]evdl298!$B:$C,2,0),"")</f>
        <v>41460</v>
      </c>
      <c r="H1632" s="110" t="str">
        <f t="shared" si="76"/>
        <v>E</v>
      </c>
      <c r="I1632" s="110">
        <f t="shared" si="77"/>
        <v>41460</v>
      </c>
      <c r="J1632" s="110"/>
      <c r="K1632" s="110"/>
      <c r="M1632" s="110"/>
      <c r="O1632" s="110"/>
    </row>
    <row r="1633" spans="1:15" x14ac:dyDescent="0.3">
      <c r="A1633" s="58" t="str">
        <f>Schedule!E1631</f>
        <v>A123260</v>
      </c>
      <c r="B1633" s="58" t="s">
        <v>3455</v>
      </c>
      <c r="C1633" s="58" t="str">
        <f t="shared" si="75"/>
        <v>123260 KS</v>
      </c>
      <c r="D1633" s="58" t="s">
        <v>3671</v>
      </c>
      <c r="E1633" s="110" t="s">
        <v>3527</v>
      </c>
      <c r="F1633" s="110" t="str">
        <f>IFERROR(VLOOKUP(C1633,[1]evdl298!$B:$D,3,0),"")</f>
        <v>E</v>
      </c>
      <c r="G1633" s="110">
        <f>IFERROR(VLOOKUP(C1633,[1]evdl298!$B:$C,2,0),"")</f>
        <v>41500</v>
      </c>
      <c r="H1633" s="110" t="str">
        <f t="shared" si="76"/>
        <v>E</v>
      </c>
      <c r="I1633" s="110">
        <f t="shared" si="77"/>
        <v>41500</v>
      </c>
      <c r="J1633" s="110"/>
      <c r="K1633" s="110"/>
      <c r="M1633" s="110"/>
      <c r="O1633" s="110"/>
    </row>
    <row r="1634" spans="1:15" x14ac:dyDescent="0.3">
      <c r="A1634" s="58" t="str">
        <f>Schedule!E1632</f>
        <v>A123330</v>
      </c>
      <c r="B1634" s="58" t="s">
        <v>3456</v>
      </c>
      <c r="C1634" s="58" t="str">
        <f t="shared" si="75"/>
        <v>123330 KS</v>
      </c>
      <c r="D1634" s="58" t="s">
        <v>3671</v>
      </c>
      <c r="E1634" s="110" t="s">
        <v>3527</v>
      </c>
      <c r="F1634" s="110" t="str">
        <f>IFERROR(VLOOKUP(C1634,[1]evdl298!$B:$D,3,0),"")</f>
        <v>E</v>
      </c>
      <c r="G1634" s="110">
        <f>IFERROR(VLOOKUP(C1634,[1]evdl298!$B:$C,2,0),"")</f>
        <v>41515</v>
      </c>
      <c r="H1634" s="110" t="str">
        <f t="shared" si="76"/>
        <v>E</v>
      </c>
      <c r="I1634" s="110">
        <f t="shared" si="77"/>
        <v>41515</v>
      </c>
      <c r="J1634" s="110"/>
      <c r="K1634" s="110"/>
      <c r="M1634" s="110"/>
      <c r="O1634" s="110"/>
    </row>
    <row r="1635" spans="1:15" x14ac:dyDescent="0.3">
      <c r="A1635" s="58" t="str">
        <f>Schedule!E1633</f>
        <v>A123410</v>
      </c>
      <c r="B1635" s="58" t="s">
        <v>3457</v>
      </c>
      <c r="C1635" s="58" t="str">
        <f t="shared" si="75"/>
        <v>123410 KS</v>
      </c>
      <c r="D1635" s="58" t="s">
        <v>3671</v>
      </c>
      <c r="E1635" s="110" t="s">
        <v>3527</v>
      </c>
      <c r="F1635" s="110" t="str">
        <f>IFERROR(VLOOKUP(C1635,[1]evdl298!$B:$D,3,0),"")</f>
        <v>E</v>
      </c>
      <c r="G1635" s="110">
        <f>IFERROR(VLOOKUP(C1635,[1]evdl298!$B:$C,2,0),"")</f>
        <v>41500</v>
      </c>
      <c r="H1635" s="110" t="str">
        <f t="shared" si="76"/>
        <v>E</v>
      </c>
      <c r="I1635" s="110">
        <f t="shared" si="77"/>
        <v>41500</v>
      </c>
      <c r="J1635" s="110"/>
      <c r="K1635" s="110"/>
      <c r="M1635" s="110"/>
      <c r="O1635" s="110"/>
    </row>
    <row r="1636" spans="1:15" x14ac:dyDescent="0.3">
      <c r="A1636" s="58" t="str">
        <f>Schedule!E1634</f>
        <v>A123570</v>
      </c>
      <c r="B1636" s="58" t="s">
        <v>3458</v>
      </c>
      <c r="C1636" s="58" t="str">
        <f t="shared" si="75"/>
        <v>123570 KS</v>
      </c>
      <c r="D1636" s="58" t="s">
        <v>3671</v>
      </c>
      <c r="E1636" s="110" t="s">
        <v>3527</v>
      </c>
      <c r="F1636" s="110" t="str">
        <f>IFERROR(VLOOKUP(C1636,[1]evdl298!$B:$D,3,0),"")</f>
        <v>E</v>
      </c>
      <c r="G1636" s="110">
        <f>IFERROR(VLOOKUP(C1636,[1]evdl298!$B:$C,2,0),"")</f>
        <v>41500</v>
      </c>
      <c r="H1636" s="110" t="str">
        <f t="shared" si="76"/>
        <v>E</v>
      </c>
      <c r="I1636" s="110">
        <f t="shared" si="77"/>
        <v>41500</v>
      </c>
      <c r="J1636" s="110"/>
      <c r="K1636" s="110"/>
      <c r="M1636" s="110"/>
      <c r="O1636" s="110"/>
    </row>
    <row r="1637" spans="1:15" x14ac:dyDescent="0.3">
      <c r="A1637" s="58" t="str">
        <f>Schedule!E1635</f>
        <v>A123690</v>
      </c>
      <c r="B1637" s="58" t="s">
        <v>3459</v>
      </c>
      <c r="C1637" s="58" t="str">
        <f t="shared" si="75"/>
        <v>123690 KS</v>
      </c>
      <c r="D1637" s="58" t="s">
        <v>3671</v>
      </c>
      <c r="E1637" s="110" t="s">
        <v>3527</v>
      </c>
      <c r="F1637" s="110" t="str">
        <f>IFERROR(VLOOKUP(C1637,[1]evdl298!$B:$D,3,0),"")</f>
        <v/>
      </c>
      <c r="G1637" s="110" t="str">
        <f>IFERROR(VLOOKUP(C1637,[1]evdl298!$B:$C,2,0),"")</f>
        <v/>
      </c>
      <c r="H1637" s="110" t="str">
        <f t="shared" si="76"/>
        <v/>
      </c>
      <c r="I1637" s="110" t="str">
        <f t="shared" si="77"/>
        <v/>
      </c>
      <c r="J1637" s="110"/>
      <c r="K1637" s="110"/>
      <c r="M1637" s="110"/>
      <c r="O1637" s="110"/>
    </row>
    <row r="1638" spans="1:15" x14ac:dyDescent="0.3">
      <c r="A1638" s="58" t="str">
        <f>Schedule!E1636</f>
        <v>A123700</v>
      </c>
      <c r="B1638" s="58" t="s">
        <v>3460</v>
      </c>
      <c r="C1638" s="58" t="str">
        <f t="shared" si="75"/>
        <v>123700 KS</v>
      </c>
      <c r="D1638" s="58" t="s">
        <v>3671</v>
      </c>
      <c r="E1638" s="110" t="s">
        <v>3527</v>
      </c>
      <c r="F1638" s="110" t="str">
        <f>IFERROR(VLOOKUP(C1638,[1]evdl298!$B:$D,3,0),"")</f>
        <v>E</v>
      </c>
      <c r="G1638" s="110">
        <f>IFERROR(VLOOKUP(C1638,[1]evdl298!$B:$C,2,0),"")</f>
        <v>41515</v>
      </c>
      <c r="H1638" s="110" t="str">
        <f t="shared" si="76"/>
        <v>E</v>
      </c>
      <c r="I1638" s="110">
        <f t="shared" si="77"/>
        <v>41515</v>
      </c>
      <c r="J1638" s="110"/>
      <c r="K1638" s="110"/>
      <c r="M1638" s="110"/>
      <c r="O1638" s="110"/>
    </row>
    <row r="1639" spans="1:15" x14ac:dyDescent="0.3">
      <c r="A1639" s="58" t="str">
        <f>Schedule!E1637</f>
        <v>A123750</v>
      </c>
      <c r="B1639" s="58" t="s">
        <v>3461</v>
      </c>
      <c r="C1639" s="58" t="str">
        <f t="shared" si="75"/>
        <v>123750 KS</v>
      </c>
      <c r="D1639" s="58" t="s">
        <v>3671</v>
      </c>
      <c r="E1639" s="110" t="s">
        <v>3527</v>
      </c>
      <c r="F1639" s="110" t="str">
        <f>IFERROR(VLOOKUP(C1639,[1]evdl298!$B:$D,3,0),"")</f>
        <v/>
      </c>
      <c r="G1639" s="110" t="str">
        <f>IFERROR(VLOOKUP(C1639,[1]evdl298!$B:$C,2,0),"")</f>
        <v/>
      </c>
      <c r="H1639" s="110" t="str">
        <f t="shared" si="76"/>
        <v/>
      </c>
      <c r="I1639" s="110" t="str">
        <f t="shared" si="77"/>
        <v/>
      </c>
      <c r="J1639" s="110"/>
      <c r="K1639" s="110"/>
      <c r="M1639" s="110"/>
      <c r="O1639" s="110"/>
    </row>
    <row r="1640" spans="1:15" x14ac:dyDescent="0.3">
      <c r="A1640" s="58" t="str">
        <f>Schedule!E1638</f>
        <v>A123860</v>
      </c>
      <c r="B1640" s="58" t="s">
        <v>3462</v>
      </c>
      <c r="C1640" s="58" t="str">
        <f t="shared" si="75"/>
        <v>123860 KS</v>
      </c>
      <c r="D1640" s="58" t="s">
        <v>3671</v>
      </c>
      <c r="E1640" s="110" t="s">
        <v>3527</v>
      </c>
      <c r="F1640" s="110" t="str">
        <f>IFERROR(VLOOKUP(C1640,[1]evdl298!$B:$D,3,0),"")</f>
        <v>E</v>
      </c>
      <c r="G1640" s="110">
        <f>IFERROR(VLOOKUP(C1640,[1]evdl298!$B:$C,2,0),"")</f>
        <v>41499</v>
      </c>
      <c r="H1640" s="110" t="str">
        <f t="shared" si="76"/>
        <v>E</v>
      </c>
      <c r="I1640" s="110">
        <f t="shared" si="77"/>
        <v>41499</v>
      </c>
      <c r="J1640" s="110"/>
      <c r="K1640" s="110"/>
      <c r="M1640" s="110"/>
      <c r="O1640" s="110"/>
    </row>
    <row r="1641" spans="1:15" x14ac:dyDescent="0.3">
      <c r="A1641" s="58" t="str">
        <f>Schedule!E1639</f>
        <v>A126560</v>
      </c>
      <c r="B1641" s="58" t="s">
        <v>3463</v>
      </c>
      <c r="C1641" s="58" t="str">
        <f t="shared" si="75"/>
        <v>126560 KS</v>
      </c>
      <c r="D1641" s="58" t="s">
        <v>3671</v>
      </c>
      <c r="E1641" s="110" t="s">
        <v>3527</v>
      </c>
      <c r="F1641" s="110" t="str">
        <f>IFERROR(VLOOKUP(C1641,[1]evdl298!$B:$D,3,0),"")</f>
        <v>E</v>
      </c>
      <c r="G1641" s="110">
        <f>IFERROR(VLOOKUP(C1641,[1]evdl298!$B:$C,2,0),"")</f>
        <v>41486</v>
      </c>
      <c r="H1641" s="110" t="str">
        <f t="shared" si="76"/>
        <v>E</v>
      </c>
      <c r="I1641" s="110">
        <f t="shared" si="77"/>
        <v>41486</v>
      </c>
      <c r="J1641" s="110"/>
      <c r="K1641" s="110"/>
      <c r="M1641" s="110"/>
      <c r="O1641" s="110"/>
    </row>
    <row r="1642" spans="1:15" x14ac:dyDescent="0.3">
      <c r="A1642" s="58" t="str">
        <f>Schedule!E1640</f>
        <v>A126600</v>
      </c>
      <c r="B1642" s="58" t="s">
        <v>3464</v>
      </c>
      <c r="C1642" s="58" t="str">
        <f t="shared" si="75"/>
        <v>126600 KS</v>
      </c>
      <c r="D1642" s="58" t="s">
        <v>3671</v>
      </c>
      <c r="E1642" s="110" t="s">
        <v>3527</v>
      </c>
      <c r="F1642" s="110" t="str">
        <f>IFERROR(VLOOKUP(C1642,[1]evdl298!$B:$D,3,0),"")</f>
        <v>E</v>
      </c>
      <c r="G1642" s="110">
        <f>IFERROR(VLOOKUP(C1642,[1]evdl298!$B:$C,2,0),"")</f>
        <v>41460</v>
      </c>
      <c r="H1642" s="110" t="str">
        <f t="shared" si="76"/>
        <v>E</v>
      </c>
      <c r="I1642" s="110">
        <f t="shared" si="77"/>
        <v>41460</v>
      </c>
      <c r="J1642" s="110"/>
      <c r="K1642" s="110"/>
      <c r="M1642" s="110"/>
      <c r="O1642" s="110"/>
    </row>
    <row r="1643" spans="1:15" x14ac:dyDescent="0.3">
      <c r="A1643" s="58" t="str">
        <f>Schedule!E1641</f>
        <v>A126640</v>
      </c>
      <c r="B1643" s="58" t="s">
        <v>3465</v>
      </c>
      <c r="C1643" s="58" t="str">
        <f t="shared" si="75"/>
        <v>126640 KS</v>
      </c>
      <c r="D1643" s="58" t="s">
        <v>3671</v>
      </c>
      <c r="E1643" s="110" t="s">
        <v>3527</v>
      </c>
      <c r="F1643" s="110" t="str">
        <f>IFERROR(VLOOKUP(C1643,[1]evdl298!$B:$D,3,0),"")</f>
        <v>E</v>
      </c>
      <c r="G1643" s="110">
        <f>IFERROR(VLOOKUP(C1643,[1]evdl298!$B:$C,2,0),"")</f>
        <v>41500</v>
      </c>
      <c r="H1643" s="110" t="str">
        <f t="shared" si="76"/>
        <v>E</v>
      </c>
      <c r="I1643" s="110">
        <f t="shared" si="77"/>
        <v>41500</v>
      </c>
      <c r="J1643" s="110"/>
      <c r="K1643" s="110"/>
      <c r="M1643" s="110"/>
      <c r="O1643" s="110"/>
    </row>
    <row r="1644" spans="1:15" x14ac:dyDescent="0.3">
      <c r="A1644" s="58" t="str">
        <f>Schedule!E1642</f>
        <v>A126700</v>
      </c>
      <c r="B1644" s="58" t="s">
        <v>3466</v>
      </c>
      <c r="C1644" s="58" t="str">
        <f t="shared" si="75"/>
        <v>126700 KS</v>
      </c>
      <c r="D1644" s="58" t="s">
        <v>3671</v>
      </c>
      <c r="E1644" s="110" t="s">
        <v>3527</v>
      </c>
      <c r="F1644" s="110" t="str">
        <f>IFERROR(VLOOKUP(C1644,[1]evdl298!$B:$D,3,0),"")</f>
        <v>E</v>
      </c>
      <c r="G1644" s="110">
        <f>IFERROR(VLOOKUP(C1644,[1]evdl298!$B:$C,2,0),"")</f>
        <v>41485</v>
      </c>
      <c r="H1644" s="110" t="str">
        <f t="shared" si="76"/>
        <v>E</v>
      </c>
      <c r="I1644" s="110">
        <f t="shared" si="77"/>
        <v>41485</v>
      </c>
      <c r="J1644" s="110"/>
      <c r="K1644" s="110"/>
      <c r="M1644" s="110"/>
      <c r="O1644" s="110"/>
    </row>
    <row r="1645" spans="1:15" x14ac:dyDescent="0.3">
      <c r="A1645" s="58" t="str">
        <f>Schedule!E1643</f>
        <v>A126870</v>
      </c>
      <c r="B1645" s="58" t="s">
        <v>3467</v>
      </c>
      <c r="C1645" s="58" t="str">
        <f t="shared" si="75"/>
        <v>126870 KS</v>
      </c>
      <c r="D1645" s="58" t="s">
        <v>3671</v>
      </c>
      <c r="E1645" s="110" t="s">
        <v>3527</v>
      </c>
      <c r="F1645" s="110" t="str">
        <f>IFERROR(VLOOKUP(C1645,[1]evdl298!$B:$D,3,0),"")</f>
        <v/>
      </c>
      <c r="G1645" s="110" t="str">
        <f>IFERROR(VLOOKUP(C1645,[1]evdl298!$B:$C,2,0),"")</f>
        <v/>
      </c>
      <c r="H1645" s="110" t="str">
        <f t="shared" si="76"/>
        <v/>
      </c>
      <c r="I1645" s="110" t="str">
        <f t="shared" si="77"/>
        <v/>
      </c>
      <c r="J1645" s="110"/>
      <c r="K1645" s="110"/>
      <c r="M1645" s="110"/>
      <c r="O1645" s="110"/>
    </row>
    <row r="1646" spans="1:15" x14ac:dyDescent="0.3">
      <c r="A1646" s="58" t="str">
        <f>Schedule!E1644</f>
        <v>A126880</v>
      </c>
      <c r="B1646" s="58" t="s">
        <v>3468</v>
      </c>
      <c r="C1646" s="58" t="str">
        <f t="shared" si="75"/>
        <v>126880 KS</v>
      </c>
      <c r="D1646" s="58" t="s">
        <v>3671</v>
      </c>
      <c r="E1646" s="110" t="s">
        <v>3527</v>
      </c>
      <c r="F1646" s="110" t="str">
        <f>IFERROR(VLOOKUP(C1646,[1]evdl298!$B:$D,3,0),"")</f>
        <v>E</v>
      </c>
      <c r="G1646" s="110">
        <f>IFERROR(VLOOKUP(C1646,[1]evdl298!$B:$C,2,0),"")</f>
        <v>41515</v>
      </c>
      <c r="H1646" s="110" t="str">
        <f t="shared" si="76"/>
        <v>E</v>
      </c>
      <c r="I1646" s="110">
        <f t="shared" si="77"/>
        <v>41515</v>
      </c>
      <c r="J1646" s="110"/>
      <c r="K1646" s="110"/>
      <c r="M1646" s="110"/>
      <c r="O1646" s="110"/>
    </row>
    <row r="1647" spans="1:15" x14ac:dyDescent="0.3">
      <c r="A1647" s="58" t="str">
        <f>Schedule!E1645</f>
        <v>A127120</v>
      </c>
      <c r="B1647" s="58" t="s">
        <v>3469</v>
      </c>
      <c r="C1647" s="58" t="str">
        <f t="shared" si="75"/>
        <v>127120 KS</v>
      </c>
      <c r="D1647" s="58" t="s">
        <v>3671</v>
      </c>
      <c r="E1647" s="110" t="s">
        <v>3527</v>
      </c>
      <c r="F1647" s="110" t="str">
        <f>IFERROR(VLOOKUP(C1647,[1]evdl298!$B:$D,3,0),"")</f>
        <v>E</v>
      </c>
      <c r="G1647" s="110">
        <f>IFERROR(VLOOKUP(C1647,[1]evdl298!$B:$C,2,0),"")</f>
        <v>41460</v>
      </c>
      <c r="H1647" s="110" t="str">
        <f t="shared" si="76"/>
        <v>E</v>
      </c>
      <c r="I1647" s="110">
        <f t="shared" si="77"/>
        <v>41460</v>
      </c>
      <c r="J1647" s="110"/>
      <c r="K1647" s="110"/>
      <c r="M1647" s="110"/>
      <c r="O1647" s="110"/>
    </row>
    <row r="1648" spans="1:15" x14ac:dyDescent="0.3">
      <c r="A1648" s="58" t="str">
        <f>Schedule!E1646</f>
        <v>A128660</v>
      </c>
      <c r="B1648" s="58" t="s">
        <v>3470</v>
      </c>
      <c r="C1648" s="58" t="str">
        <f t="shared" si="75"/>
        <v>128660 KS</v>
      </c>
      <c r="D1648" s="58" t="s">
        <v>3671</v>
      </c>
      <c r="E1648" s="110" t="s">
        <v>3527</v>
      </c>
      <c r="F1648" s="110" t="str">
        <f>IFERROR(VLOOKUP(C1648,[1]evdl298!$B:$D,3,0),"")</f>
        <v>E</v>
      </c>
      <c r="G1648" s="110">
        <f>IFERROR(VLOOKUP(C1648,[1]evdl298!$B:$C,2,0),"")</f>
        <v>41500</v>
      </c>
      <c r="H1648" s="110" t="str">
        <f t="shared" si="76"/>
        <v>E</v>
      </c>
      <c r="I1648" s="110">
        <f t="shared" si="77"/>
        <v>41500</v>
      </c>
      <c r="J1648" s="110"/>
      <c r="K1648" s="110"/>
      <c r="M1648" s="110"/>
      <c r="O1648" s="110"/>
    </row>
    <row r="1649" spans="1:15" x14ac:dyDescent="0.3">
      <c r="A1649" s="58" t="str">
        <f>Schedule!E1647</f>
        <v>A128820</v>
      </c>
      <c r="B1649" s="58" t="s">
        <v>3471</v>
      </c>
      <c r="C1649" s="58" t="str">
        <f t="shared" si="75"/>
        <v>128820 KS</v>
      </c>
      <c r="D1649" s="58" t="s">
        <v>3671</v>
      </c>
      <c r="E1649" s="110" t="s">
        <v>3527</v>
      </c>
      <c r="F1649" s="110" t="str">
        <f>IFERROR(VLOOKUP(C1649,[1]evdl298!$B:$D,3,0),"")</f>
        <v>E</v>
      </c>
      <c r="G1649" s="110">
        <f>IFERROR(VLOOKUP(C1649,[1]evdl298!$B:$C,2,0),"")</f>
        <v>41500</v>
      </c>
      <c r="H1649" s="110" t="str">
        <f t="shared" si="76"/>
        <v>E</v>
      </c>
      <c r="I1649" s="110">
        <f t="shared" si="77"/>
        <v>41500</v>
      </c>
      <c r="J1649" s="110"/>
      <c r="K1649" s="110"/>
      <c r="M1649" s="110"/>
      <c r="O1649" s="110"/>
    </row>
    <row r="1650" spans="1:15" x14ac:dyDescent="0.3">
      <c r="A1650" s="58" t="str">
        <f>Schedule!E1648</f>
        <v>A128940</v>
      </c>
      <c r="B1650" s="58" t="s">
        <v>3472</v>
      </c>
      <c r="C1650" s="58" t="str">
        <f t="shared" si="75"/>
        <v>128940 KS</v>
      </c>
      <c r="D1650" s="58" t="s">
        <v>3671</v>
      </c>
      <c r="E1650" s="110" t="s">
        <v>3527</v>
      </c>
      <c r="F1650" s="110" t="str">
        <f>IFERROR(VLOOKUP(C1650,[1]evdl298!$B:$D,3,0),"")</f>
        <v>E</v>
      </c>
      <c r="G1650" s="110">
        <f>IFERROR(VLOOKUP(C1650,[1]evdl298!$B:$C,2,0),"")</f>
        <v>41493</v>
      </c>
      <c r="H1650" s="110" t="str">
        <f t="shared" si="76"/>
        <v>E</v>
      </c>
      <c r="I1650" s="110">
        <f t="shared" si="77"/>
        <v>41493</v>
      </c>
      <c r="J1650" s="110"/>
      <c r="K1650" s="110"/>
      <c r="M1650" s="110"/>
      <c r="O1650" s="110"/>
    </row>
    <row r="1651" spans="1:15" x14ac:dyDescent="0.3">
      <c r="A1651" s="58" t="str">
        <f>Schedule!E1649</f>
        <v>A129260</v>
      </c>
      <c r="B1651" s="58" t="s">
        <v>3473</v>
      </c>
      <c r="C1651" s="58" t="str">
        <f t="shared" si="75"/>
        <v>129260 KS</v>
      </c>
      <c r="D1651" s="58" t="s">
        <v>3671</v>
      </c>
      <c r="E1651" s="110">
        <v>41487</v>
      </c>
      <c r="F1651" s="110" t="str">
        <f>IFERROR(VLOOKUP(C1651,[1]evdl298!$B:$D,3,0),"")</f>
        <v>E</v>
      </c>
      <c r="G1651" s="110">
        <f>IFERROR(VLOOKUP(C1651,[1]evdl298!$B:$C,2,0),"")</f>
        <v>41515</v>
      </c>
      <c r="H1651" s="110" t="str">
        <f t="shared" si="76"/>
        <v>E</v>
      </c>
      <c r="I1651" s="110">
        <f t="shared" si="77"/>
        <v>41515</v>
      </c>
      <c r="J1651" s="110"/>
      <c r="K1651" s="110"/>
      <c r="M1651" s="110"/>
      <c r="O1651" s="110"/>
    </row>
    <row r="1652" spans="1:15" x14ac:dyDescent="0.3">
      <c r="A1652" s="58" t="str">
        <f>Schedule!E1650</f>
        <v>A130580</v>
      </c>
      <c r="B1652" s="58" t="s">
        <v>3474</v>
      </c>
      <c r="C1652" s="58" t="str">
        <f t="shared" si="75"/>
        <v>130580 KS</v>
      </c>
      <c r="D1652" s="58" t="s">
        <v>3671</v>
      </c>
      <c r="E1652" s="110" t="s">
        <v>3527</v>
      </c>
      <c r="F1652" s="110" t="str">
        <f>IFERROR(VLOOKUP(C1652,[1]evdl298!$B:$D,3,0),"")</f>
        <v>E</v>
      </c>
      <c r="G1652" s="110">
        <f>IFERROR(VLOOKUP(C1652,[1]evdl298!$B:$C,2,0),"")</f>
        <v>41460</v>
      </c>
      <c r="H1652" s="110" t="str">
        <f t="shared" si="76"/>
        <v>E</v>
      </c>
      <c r="I1652" s="110">
        <f t="shared" si="77"/>
        <v>41460</v>
      </c>
      <c r="J1652" s="110"/>
      <c r="K1652" s="110"/>
      <c r="M1652" s="110"/>
      <c r="O1652" s="110"/>
    </row>
    <row r="1653" spans="1:15" x14ac:dyDescent="0.3">
      <c r="A1653" s="58" t="str">
        <f>Schedule!E1651</f>
        <v>A130660</v>
      </c>
      <c r="B1653" s="58" t="s">
        <v>3475</v>
      </c>
      <c r="C1653" s="58" t="str">
        <f t="shared" si="75"/>
        <v>130660 KS</v>
      </c>
      <c r="D1653" s="58" t="s">
        <v>3671</v>
      </c>
      <c r="E1653" s="110" t="s">
        <v>3527</v>
      </c>
      <c r="F1653" s="110" t="str">
        <f>IFERROR(VLOOKUP(C1653,[1]evdl298!$B:$D,3,0),"")</f>
        <v/>
      </c>
      <c r="G1653" s="110" t="str">
        <f>IFERROR(VLOOKUP(C1653,[1]evdl298!$B:$C,2,0),"")</f>
        <v/>
      </c>
      <c r="H1653" s="110" t="str">
        <f t="shared" si="76"/>
        <v/>
      </c>
      <c r="I1653" s="110" t="str">
        <f t="shared" si="77"/>
        <v/>
      </c>
      <c r="J1653" s="110"/>
      <c r="K1653" s="110"/>
      <c r="M1653" s="110"/>
      <c r="O1653" s="110"/>
    </row>
    <row r="1654" spans="1:15" x14ac:dyDescent="0.3">
      <c r="A1654" s="58" t="str">
        <f>Schedule!E1652</f>
        <v>A130740</v>
      </c>
      <c r="B1654" s="58" t="s">
        <v>3476</v>
      </c>
      <c r="C1654" s="58" t="str">
        <f t="shared" si="75"/>
        <v>130740 KS</v>
      </c>
      <c r="D1654" s="58" t="s">
        <v>3671</v>
      </c>
      <c r="E1654" s="110" t="s">
        <v>3527</v>
      </c>
      <c r="F1654" s="110" t="str">
        <f>IFERROR(VLOOKUP(C1654,[1]evdl298!$B:$D,3,0),"")</f>
        <v>E</v>
      </c>
      <c r="G1654" s="110">
        <f>IFERROR(VLOOKUP(C1654,[1]evdl298!$B:$C,2,0),"")</f>
        <v>41460</v>
      </c>
      <c r="H1654" s="110" t="str">
        <f t="shared" si="76"/>
        <v>E</v>
      </c>
      <c r="I1654" s="110">
        <f t="shared" si="77"/>
        <v>41460</v>
      </c>
      <c r="J1654" s="110"/>
      <c r="K1654" s="110"/>
      <c r="M1654" s="110"/>
      <c r="O1654" s="110"/>
    </row>
    <row r="1655" spans="1:15" x14ac:dyDescent="0.3">
      <c r="A1655" s="58" t="str">
        <f>Schedule!E1653</f>
        <v>A130960</v>
      </c>
      <c r="B1655" s="58" t="s">
        <v>3477</v>
      </c>
      <c r="C1655" s="58" t="str">
        <f t="shared" si="75"/>
        <v>130960 KS</v>
      </c>
      <c r="D1655" s="58" t="s">
        <v>3671</v>
      </c>
      <c r="E1655" s="110" t="s">
        <v>3527</v>
      </c>
      <c r="F1655" s="110" t="str">
        <f>IFERROR(VLOOKUP(C1655,[1]evdl298!$B:$D,3,0),"")</f>
        <v>E</v>
      </c>
      <c r="G1655" s="110">
        <f>IFERROR(VLOOKUP(C1655,[1]evdl298!$B:$C,2,0),"")</f>
        <v>41495</v>
      </c>
      <c r="H1655" s="110" t="str">
        <f t="shared" si="76"/>
        <v>E</v>
      </c>
      <c r="I1655" s="110">
        <f t="shared" si="77"/>
        <v>41495</v>
      </c>
      <c r="J1655" s="110"/>
      <c r="K1655" s="110"/>
      <c r="M1655" s="110"/>
      <c r="O1655" s="110"/>
    </row>
    <row r="1656" spans="1:15" x14ac:dyDescent="0.3">
      <c r="A1656" s="58" t="str">
        <f>Schedule!E1654</f>
        <v>A131090</v>
      </c>
      <c r="B1656" s="58" t="s">
        <v>3478</v>
      </c>
      <c r="C1656" s="58" t="str">
        <f t="shared" si="75"/>
        <v>131090 KS</v>
      </c>
      <c r="D1656" s="58" t="s">
        <v>3671</v>
      </c>
      <c r="E1656" s="110" t="s">
        <v>3527</v>
      </c>
      <c r="F1656" s="110" t="str">
        <f>IFERROR(VLOOKUP(C1656,[1]evdl298!$B:$D,3,0),"")</f>
        <v>E</v>
      </c>
      <c r="G1656" s="110">
        <f>IFERROR(VLOOKUP(C1656,[1]evdl298!$B:$C,2,0),"")</f>
        <v>41500</v>
      </c>
      <c r="H1656" s="110" t="str">
        <f t="shared" si="76"/>
        <v>E</v>
      </c>
      <c r="I1656" s="110">
        <f t="shared" si="77"/>
        <v>41500</v>
      </c>
      <c r="J1656" s="110"/>
      <c r="K1656" s="110"/>
      <c r="M1656" s="110"/>
      <c r="O1656" s="110"/>
    </row>
    <row r="1657" spans="1:15" x14ac:dyDescent="0.3">
      <c r="A1657" s="58" t="str">
        <f>Schedule!E1655</f>
        <v>A131100</v>
      </c>
      <c r="B1657" s="58" t="s">
        <v>3479</v>
      </c>
      <c r="C1657" s="58" t="str">
        <f t="shared" si="75"/>
        <v>131100 KS</v>
      </c>
      <c r="D1657" s="58" t="s">
        <v>3671</v>
      </c>
      <c r="E1657" s="110" t="s">
        <v>3527</v>
      </c>
      <c r="F1657" s="110" t="str">
        <f>IFERROR(VLOOKUP(C1657,[1]evdl298!$B:$D,3,0),"")</f>
        <v>E</v>
      </c>
      <c r="G1657" s="110">
        <f>IFERROR(VLOOKUP(C1657,[1]evdl298!$B:$C,2,0),"")</f>
        <v>41488</v>
      </c>
      <c r="H1657" s="110" t="str">
        <f t="shared" si="76"/>
        <v>E</v>
      </c>
      <c r="I1657" s="110">
        <f t="shared" si="77"/>
        <v>41488</v>
      </c>
      <c r="J1657" s="110"/>
      <c r="K1657" s="110"/>
      <c r="M1657" s="110"/>
      <c r="O1657" s="110"/>
    </row>
    <row r="1658" spans="1:15" x14ac:dyDescent="0.3">
      <c r="A1658" s="58" t="str">
        <f>Schedule!E1656</f>
        <v>A131180</v>
      </c>
      <c r="B1658" s="58" t="s">
        <v>3480</v>
      </c>
      <c r="C1658" s="58" t="str">
        <f t="shared" si="75"/>
        <v>131180 KS</v>
      </c>
      <c r="D1658" s="58" t="s">
        <v>3671</v>
      </c>
      <c r="E1658" s="110" t="s">
        <v>3527</v>
      </c>
      <c r="F1658" s="110" t="str">
        <f>IFERROR(VLOOKUP(C1658,[1]evdl298!$B:$D,3,0),"")</f>
        <v/>
      </c>
      <c r="G1658" s="110" t="str">
        <f>IFERROR(VLOOKUP(C1658,[1]evdl298!$B:$C,2,0),"")</f>
        <v/>
      </c>
      <c r="H1658" s="110" t="str">
        <f t="shared" si="76"/>
        <v/>
      </c>
      <c r="I1658" s="110" t="str">
        <f t="shared" si="77"/>
        <v/>
      </c>
      <c r="J1658" s="110"/>
      <c r="K1658" s="110"/>
      <c r="M1658" s="110"/>
      <c r="O1658" s="110"/>
    </row>
    <row r="1659" spans="1:15" x14ac:dyDescent="0.3">
      <c r="A1659" s="58" t="str">
        <f>Schedule!E1657</f>
        <v>A131220</v>
      </c>
      <c r="B1659" s="58" t="s">
        <v>3481</v>
      </c>
      <c r="C1659" s="58" t="str">
        <f t="shared" si="75"/>
        <v>131220 KS</v>
      </c>
      <c r="D1659" s="58" t="s">
        <v>3671</v>
      </c>
      <c r="E1659" s="110" t="s">
        <v>3527</v>
      </c>
      <c r="F1659" s="110" t="str">
        <f>IFERROR(VLOOKUP(C1659,[1]evdl298!$B:$D,3,0),"")</f>
        <v>E</v>
      </c>
      <c r="G1659" s="110">
        <f>IFERROR(VLOOKUP(C1659,[1]evdl298!$B:$C,2,0),"")</f>
        <v>41500</v>
      </c>
      <c r="H1659" s="110" t="str">
        <f t="shared" si="76"/>
        <v>E</v>
      </c>
      <c r="I1659" s="110">
        <f t="shared" si="77"/>
        <v>41500</v>
      </c>
      <c r="J1659" s="110"/>
      <c r="K1659" s="110"/>
      <c r="M1659" s="110"/>
      <c r="O1659" s="110"/>
    </row>
    <row r="1660" spans="1:15" x14ac:dyDescent="0.3">
      <c r="A1660" s="58" t="str">
        <f>Schedule!E1658</f>
        <v>A131290</v>
      </c>
      <c r="B1660" s="58" t="s">
        <v>3482</v>
      </c>
      <c r="C1660" s="58" t="str">
        <f t="shared" si="75"/>
        <v>131290 KS</v>
      </c>
      <c r="D1660" s="58" t="s">
        <v>3671</v>
      </c>
      <c r="E1660" s="110" t="s">
        <v>3527</v>
      </c>
      <c r="F1660" s="110" t="str">
        <f>IFERROR(VLOOKUP(C1660,[1]evdl298!$B:$D,3,0),"")</f>
        <v>E</v>
      </c>
      <c r="G1660" s="110">
        <f>IFERROR(VLOOKUP(C1660,[1]evdl298!$B:$C,2,0),"")</f>
        <v>41499</v>
      </c>
      <c r="H1660" s="110" t="str">
        <f t="shared" si="76"/>
        <v>E</v>
      </c>
      <c r="I1660" s="110">
        <f t="shared" si="77"/>
        <v>41499</v>
      </c>
      <c r="J1660" s="110"/>
      <c r="K1660" s="110"/>
      <c r="M1660" s="110"/>
      <c r="O1660" s="110"/>
    </row>
    <row r="1661" spans="1:15" x14ac:dyDescent="0.3">
      <c r="A1661" s="58" t="str">
        <f>Schedule!E1659</f>
        <v>A131390</v>
      </c>
      <c r="B1661" s="58" t="s">
        <v>3483</v>
      </c>
      <c r="C1661" s="58" t="str">
        <f t="shared" si="75"/>
        <v>131390 KS</v>
      </c>
      <c r="D1661" s="58" t="s">
        <v>3671</v>
      </c>
      <c r="E1661" s="110" t="s">
        <v>3527</v>
      </c>
      <c r="F1661" s="110" t="str">
        <f>IFERROR(VLOOKUP(C1661,[1]evdl298!$B:$D,3,0),"")</f>
        <v>E</v>
      </c>
      <c r="G1661" s="110">
        <f>IFERROR(VLOOKUP(C1661,[1]evdl298!$B:$C,2,0),"")</f>
        <v>41487</v>
      </c>
      <c r="H1661" s="110" t="str">
        <f t="shared" si="76"/>
        <v>E</v>
      </c>
      <c r="I1661" s="110">
        <f t="shared" si="77"/>
        <v>41487</v>
      </c>
      <c r="J1661" s="110"/>
      <c r="K1661" s="110"/>
      <c r="M1661" s="110"/>
      <c r="O1661" s="110"/>
    </row>
    <row r="1662" spans="1:15" x14ac:dyDescent="0.3">
      <c r="A1662" s="58" t="str">
        <f>Schedule!E1660</f>
        <v>A131400</v>
      </c>
      <c r="B1662" s="58" t="s">
        <v>3484</v>
      </c>
      <c r="C1662" s="58" t="str">
        <f t="shared" si="75"/>
        <v>131400 KS</v>
      </c>
      <c r="D1662" s="58" t="s">
        <v>3671</v>
      </c>
      <c r="E1662" s="110" t="s">
        <v>3527</v>
      </c>
      <c r="F1662" s="110" t="str">
        <f>IFERROR(VLOOKUP(C1662,[1]evdl298!$B:$D,3,0),"")</f>
        <v>E</v>
      </c>
      <c r="G1662" s="110">
        <f>IFERROR(VLOOKUP(C1662,[1]evdl298!$B:$C,2,0),"")</f>
        <v>41515</v>
      </c>
      <c r="H1662" s="110" t="str">
        <f t="shared" si="76"/>
        <v>E</v>
      </c>
      <c r="I1662" s="110">
        <f t="shared" si="77"/>
        <v>41515</v>
      </c>
      <c r="J1662" s="110"/>
      <c r="K1662" s="110"/>
      <c r="M1662" s="110"/>
      <c r="O1662" s="110"/>
    </row>
    <row r="1663" spans="1:15" x14ac:dyDescent="0.3">
      <c r="A1663" s="58" t="str">
        <f>Schedule!E1661</f>
        <v>A134060</v>
      </c>
      <c r="B1663" s="58" t="s">
        <v>3485</v>
      </c>
      <c r="C1663" s="58" t="str">
        <f t="shared" si="75"/>
        <v>134060 KS</v>
      </c>
      <c r="D1663" s="58" t="s">
        <v>3671</v>
      </c>
      <c r="E1663" s="110" t="s">
        <v>3527</v>
      </c>
      <c r="F1663" s="110" t="str">
        <f>IFERROR(VLOOKUP(C1663,[1]evdl298!$B:$D,3,0),"")</f>
        <v>E</v>
      </c>
      <c r="G1663" s="110">
        <f>IFERROR(VLOOKUP(C1663,[1]evdl298!$B:$C,2,0),"")</f>
        <v>41500</v>
      </c>
      <c r="H1663" s="110" t="str">
        <f t="shared" si="76"/>
        <v>E</v>
      </c>
      <c r="I1663" s="110">
        <f t="shared" si="77"/>
        <v>41500</v>
      </c>
      <c r="J1663" s="110"/>
      <c r="K1663" s="110"/>
      <c r="M1663" s="110"/>
      <c r="O1663" s="110"/>
    </row>
    <row r="1664" spans="1:15" x14ac:dyDescent="0.3">
      <c r="A1664" s="58" t="str">
        <f>Schedule!E1662</f>
        <v>A134380</v>
      </c>
      <c r="B1664" s="58" t="s">
        <v>3486</v>
      </c>
      <c r="C1664" s="58" t="str">
        <f t="shared" si="75"/>
        <v>134380 KS</v>
      </c>
      <c r="D1664" s="58" t="s">
        <v>3671</v>
      </c>
      <c r="E1664" s="110" t="s">
        <v>3527</v>
      </c>
      <c r="F1664" s="110" t="str">
        <f>IFERROR(VLOOKUP(C1664,[1]evdl298!$B:$D,3,0),"")</f>
        <v>E</v>
      </c>
      <c r="G1664" s="110">
        <f>IFERROR(VLOOKUP(C1664,[1]evdl298!$B:$C,2,0),"")</f>
        <v>41460</v>
      </c>
      <c r="H1664" s="110" t="str">
        <f t="shared" si="76"/>
        <v>E</v>
      </c>
      <c r="I1664" s="110">
        <f t="shared" si="77"/>
        <v>41460</v>
      </c>
      <c r="J1664" s="110"/>
      <c r="K1664" s="110"/>
      <c r="M1664" s="110"/>
      <c r="O1664" s="110"/>
    </row>
    <row r="1665" spans="1:15" x14ac:dyDescent="0.3">
      <c r="A1665" s="58" t="str">
        <f>Schedule!E1663</f>
        <v>A134780</v>
      </c>
      <c r="B1665" s="58" t="s">
        <v>3487</v>
      </c>
      <c r="C1665" s="58" t="str">
        <f t="shared" si="75"/>
        <v>134780 KS</v>
      </c>
      <c r="D1665" s="58" t="s">
        <v>3671</v>
      </c>
      <c r="E1665" s="110" t="s">
        <v>3527</v>
      </c>
      <c r="F1665" s="110" t="str">
        <f>IFERROR(VLOOKUP(C1665,[1]evdl298!$B:$D,3,0),"")</f>
        <v/>
      </c>
      <c r="G1665" s="110" t="str">
        <f>IFERROR(VLOOKUP(C1665,[1]evdl298!$B:$C,2,0),"")</f>
        <v/>
      </c>
      <c r="H1665" s="110" t="str">
        <f t="shared" si="76"/>
        <v/>
      </c>
      <c r="I1665" s="110" t="str">
        <f t="shared" si="77"/>
        <v/>
      </c>
      <c r="J1665" s="110"/>
      <c r="K1665" s="110"/>
      <c r="M1665" s="110"/>
      <c r="O1665" s="110"/>
    </row>
    <row r="1666" spans="1:15" x14ac:dyDescent="0.3">
      <c r="A1666" s="58" t="str">
        <f>Schedule!E1664</f>
        <v>A134790</v>
      </c>
      <c r="B1666" s="58" t="s">
        <v>3488</v>
      </c>
      <c r="C1666" s="58" t="str">
        <f t="shared" si="75"/>
        <v>134790 KS</v>
      </c>
      <c r="D1666" s="58" t="s">
        <v>3671</v>
      </c>
      <c r="E1666" s="110" t="s">
        <v>3527</v>
      </c>
      <c r="F1666" s="110" t="str">
        <f>IFERROR(VLOOKUP(C1666,[1]evdl298!$B:$D,3,0),"")</f>
        <v>E</v>
      </c>
      <c r="G1666" s="110">
        <f>IFERROR(VLOOKUP(C1666,[1]evdl298!$B:$C,2,0),"")</f>
        <v>41500</v>
      </c>
      <c r="H1666" s="110" t="str">
        <f t="shared" si="76"/>
        <v>E</v>
      </c>
      <c r="I1666" s="110">
        <f t="shared" si="77"/>
        <v>41500</v>
      </c>
      <c r="J1666" s="110"/>
      <c r="K1666" s="110"/>
      <c r="M1666" s="110"/>
      <c r="O1666" s="110"/>
    </row>
    <row r="1667" spans="1:15" x14ac:dyDescent="0.3">
      <c r="A1667" s="58" t="str">
        <f>Schedule!E1665</f>
        <v>A136480</v>
      </c>
      <c r="B1667" s="58" t="s">
        <v>3489</v>
      </c>
      <c r="C1667" s="58" t="str">
        <f t="shared" si="75"/>
        <v>136480 KS</v>
      </c>
      <c r="D1667" s="58" t="s">
        <v>3671</v>
      </c>
      <c r="E1667" s="110" t="s">
        <v>3527</v>
      </c>
      <c r="F1667" s="110" t="str">
        <f>IFERROR(VLOOKUP(C1667,[1]evdl298!$B:$D,3,0),"")</f>
        <v>E</v>
      </c>
      <c r="G1667" s="110">
        <f>IFERROR(VLOOKUP(C1667,[1]evdl298!$B:$C,2,0),"")</f>
        <v>41488</v>
      </c>
      <c r="H1667" s="110" t="str">
        <f t="shared" si="76"/>
        <v>E</v>
      </c>
      <c r="I1667" s="110">
        <f t="shared" si="77"/>
        <v>41488</v>
      </c>
      <c r="J1667" s="110"/>
      <c r="K1667" s="110"/>
      <c r="M1667" s="110"/>
      <c r="O1667" s="110"/>
    </row>
    <row r="1668" spans="1:15" x14ac:dyDescent="0.3">
      <c r="A1668" s="58" t="str">
        <f>Schedule!E1666</f>
        <v>A136490</v>
      </c>
      <c r="B1668" s="58" t="s">
        <v>3490</v>
      </c>
      <c r="C1668" s="58" t="str">
        <f t="shared" si="75"/>
        <v>136490 KS</v>
      </c>
      <c r="D1668" s="58" t="s">
        <v>3671</v>
      </c>
      <c r="E1668" s="110" t="s">
        <v>3527</v>
      </c>
      <c r="F1668" s="110" t="str">
        <f>IFERROR(VLOOKUP(C1668,[1]evdl298!$B:$D,3,0),"")</f>
        <v>E</v>
      </c>
      <c r="G1668" s="110">
        <f>IFERROR(VLOOKUP(C1668,[1]evdl298!$B:$C,2,0),"")</f>
        <v>41515</v>
      </c>
      <c r="H1668" s="110" t="str">
        <f t="shared" si="76"/>
        <v>E</v>
      </c>
      <c r="I1668" s="110">
        <f t="shared" si="77"/>
        <v>41515</v>
      </c>
      <c r="J1668" s="110"/>
      <c r="K1668" s="110"/>
      <c r="M1668" s="110"/>
      <c r="O1668" s="110"/>
    </row>
    <row r="1669" spans="1:15" x14ac:dyDescent="0.3">
      <c r="A1669" s="58" t="str">
        <f>Schedule!E1667</f>
        <v>A136510</v>
      </c>
      <c r="B1669" s="58" t="s">
        <v>3491</v>
      </c>
      <c r="C1669" s="58" t="str">
        <f t="shared" si="75"/>
        <v>136510 KS</v>
      </c>
      <c r="D1669" s="58" t="s">
        <v>3671</v>
      </c>
      <c r="E1669" s="110" t="s">
        <v>3527</v>
      </c>
      <c r="F1669" s="110" t="str">
        <f>IFERROR(VLOOKUP(C1669,[1]evdl298!$B:$D,3,0),"")</f>
        <v>E</v>
      </c>
      <c r="G1669" s="110">
        <f>IFERROR(VLOOKUP(C1669,[1]evdl298!$B:$C,2,0),"")</f>
        <v>41495</v>
      </c>
      <c r="H1669" s="110" t="str">
        <f t="shared" si="76"/>
        <v>E</v>
      </c>
      <c r="I1669" s="110">
        <f t="shared" si="77"/>
        <v>41495</v>
      </c>
      <c r="J1669" s="110"/>
      <c r="K1669" s="110"/>
      <c r="M1669" s="110"/>
      <c r="O1669" s="110"/>
    </row>
    <row r="1670" spans="1:15" x14ac:dyDescent="0.3">
      <c r="A1670" s="58" t="str">
        <f>Schedule!E1668</f>
        <v>A136540</v>
      </c>
      <c r="B1670" s="58" t="s">
        <v>3492</v>
      </c>
      <c r="C1670" s="58" t="str">
        <f t="shared" si="75"/>
        <v>136540 KS</v>
      </c>
      <c r="D1670" s="58" t="s">
        <v>3671</v>
      </c>
      <c r="E1670" s="110" t="s">
        <v>3527</v>
      </c>
      <c r="F1670" s="110" t="str">
        <f>IFERROR(VLOOKUP(C1670,[1]evdl298!$B:$D,3,0),"")</f>
        <v>E</v>
      </c>
      <c r="G1670" s="110">
        <f>IFERROR(VLOOKUP(C1670,[1]evdl298!$B:$C,2,0),"")</f>
        <v>41481</v>
      </c>
      <c r="H1670" s="110" t="str">
        <f t="shared" si="76"/>
        <v>E</v>
      </c>
      <c r="I1670" s="110">
        <f t="shared" si="77"/>
        <v>41481</v>
      </c>
      <c r="J1670" s="110"/>
      <c r="K1670" s="110"/>
      <c r="M1670" s="110"/>
      <c r="O1670" s="110"/>
    </row>
    <row r="1671" spans="1:15" x14ac:dyDescent="0.3">
      <c r="A1671" s="58" t="str">
        <f>Schedule!E1669</f>
        <v>A137400</v>
      </c>
      <c r="B1671" s="58" t="s">
        <v>3493</v>
      </c>
      <c r="C1671" s="58" t="str">
        <f t="shared" si="75"/>
        <v>137400 KS</v>
      </c>
      <c r="D1671" s="58" t="s">
        <v>3671</v>
      </c>
      <c r="E1671" s="110" t="s">
        <v>3527</v>
      </c>
      <c r="F1671" s="110" t="str">
        <f>IFERROR(VLOOKUP(C1671,[1]evdl298!$B:$D,3,0),"")</f>
        <v>E</v>
      </c>
      <c r="G1671" s="110">
        <f>IFERROR(VLOOKUP(C1671,[1]evdl298!$B:$C,2,0),"")</f>
        <v>41515</v>
      </c>
      <c r="H1671" s="110" t="str">
        <f t="shared" si="76"/>
        <v>E</v>
      </c>
      <c r="I1671" s="110">
        <f t="shared" si="77"/>
        <v>41515</v>
      </c>
      <c r="J1671" s="110"/>
      <c r="K1671" s="110"/>
      <c r="M1671" s="110"/>
      <c r="O1671" s="110"/>
    </row>
    <row r="1672" spans="1:15" x14ac:dyDescent="0.3">
      <c r="A1672" s="58" t="str">
        <f>Schedule!E1670</f>
        <v>A137940</v>
      </c>
      <c r="B1672" s="58" t="s">
        <v>3494</v>
      </c>
      <c r="C1672" s="58" t="str">
        <f t="shared" si="75"/>
        <v>137940 KS</v>
      </c>
      <c r="D1672" s="58" t="s">
        <v>3671</v>
      </c>
      <c r="E1672" s="110" t="s">
        <v>3527</v>
      </c>
      <c r="F1672" s="110" t="str">
        <f>IFERROR(VLOOKUP(C1672,[1]evdl298!$B:$D,3,0),"")</f>
        <v>E</v>
      </c>
      <c r="G1672" s="110">
        <f>IFERROR(VLOOKUP(C1672,[1]evdl298!$B:$C,2,0),"")</f>
        <v>41486</v>
      </c>
      <c r="H1672" s="110" t="str">
        <f t="shared" si="76"/>
        <v>E</v>
      </c>
      <c r="I1672" s="110">
        <f t="shared" si="77"/>
        <v>41486</v>
      </c>
      <c r="J1672" s="110"/>
      <c r="K1672" s="110"/>
      <c r="M1672" s="110"/>
      <c r="O1672" s="110"/>
    </row>
    <row r="1673" spans="1:15" x14ac:dyDescent="0.3">
      <c r="A1673" s="58" t="str">
        <f>Schedule!E1671</f>
        <v>A137950</v>
      </c>
      <c r="B1673" s="58" t="s">
        <v>3495</v>
      </c>
      <c r="C1673" s="58" t="str">
        <f t="shared" si="75"/>
        <v>137950 KS</v>
      </c>
      <c r="D1673" s="58" t="s">
        <v>3671</v>
      </c>
      <c r="E1673" s="110" t="s">
        <v>3527</v>
      </c>
      <c r="F1673" s="110" t="str">
        <f>IFERROR(VLOOKUP(C1673,[1]evdl298!$B:$D,3,0),"")</f>
        <v>E</v>
      </c>
      <c r="G1673" s="110">
        <f>IFERROR(VLOOKUP(C1673,[1]evdl298!$B:$C,2,0),"")</f>
        <v>41515</v>
      </c>
      <c r="H1673" s="110" t="str">
        <f t="shared" si="76"/>
        <v>E</v>
      </c>
      <c r="I1673" s="110">
        <f t="shared" si="77"/>
        <v>41515</v>
      </c>
      <c r="J1673" s="110"/>
      <c r="K1673" s="110"/>
      <c r="M1673" s="110"/>
      <c r="O1673" s="110"/>
    </row>
    <row r="1674" spans="1:15" x14ac:dyDescent="0.3">
      <c r="A1674" s="58" t="str">
        <f>Schedule!E1672</f>
        <v>A138040</v>
      </c>
      <c r="B1674" s="58" t="s">
        <v>3496</v>
      </c>
      <c r="C1674" s="58" t="str">
        <f t="shared" si="75"/>
        <v>138040 KS</v>
      </c>
      <c r="D1674" s="58" t="s">
        <v>3671</v>
      </c>
      <c r="E1674" s="110" t="s">
        <v>3527</v>
      </c>
      <c r="F1674" s="110" t="str">
        <f>IFERROR(VLOOKUP(C1674,[1]evdl298!$B:$D,3,0),"")</f>
        <v>E</v>
      </c>
      <c r="G1674" s="110">
        <f>IFERROR(VLOOKUP(C1674,[1]evdl298!$B:$C,2,0),"")</f>
        <v>41500</v>
      </c>
      <c r="H1674" s="110" t="str">
        <f t="shared" si="76"/>
        <v>E</v>
      </c>
      <c r="I1674" s="110">
        <f t="shared" si="77"/>
        <v>41500</v>
      </c>
      <c r="J1674" s="110"/>
      <c r="K1674" s="110"/>
      <c r="M1674" s="110"/>
      <c r="O1674" s="110"/>
    </row>
    <row r="1675" spans="1:15" x14ac:dyDescent="0.3">
      <c r="A1675" s="58" t="str">
        <f>Schedule!E1673</f>
        <v>A138070</v>
      </c>
      <c r="B1675" s="58" t="s">
        <v>3497</v>
      </c>
      <c r="C1675" s="58" t="str">
        <f t="shared" si="75"/>
        <v>138070 KS</v>
      </c>
      <c r="D1675" s="58" t="s">
        <v>3671</v>
      </c>
      <c r="E1675" s="110" t="s">
        <v>3527</v>
      </c>
      <c r="F1675" s="110" t="str">
        <f>IFERROR(VLOOKUP(C1675,[1]evdl298!$B:$D,3,0),"")</f>
        <v>E</v>
      </c>
      <c r="G1675" s="110">
        <f>IFERROR(VLOOKUP(C1675,[1]evdl298!$B:$C,2,0),"")</f>
        <v>41515</v>
      </c>
      <c r="H1675" s="110" t="str">
        <f t="shared" si="76"/>
        <v>E</v>
      </c>
      <c r="I1675" s="110">
        <f t="shared" si="77"/>
        <v>41515</v>
      </c>
      <c r="J1675" s="110"/>
      <c r="K1675" s="110"/>
      <c r="M1675" s="110"/>
      <c r="O1675" s="110"/>
    </row>
    <row r="1676" spans="1:15" x14ac:dyDescent="0.3">
      <c r="A1676" s="58" t="str">
        <f>Schedule!E1674</f>
        <v>A138490</v>
      </c>
      <c r="B1676" s="58" t="s">
        <v>3498</v>
      </c>
      <c r="C1676" s="58" t="str">
        <f t="shared" si="75"/>
        <v>138490 KS</v>
      </c>
      <c r="D1676" s="58" t="s">
        <v>3671</v>
      </c>
      <c r="E1676" s="110" t="s">
        <v>3527</v>
      </c>
      <c r="F1676" s="110" t="str">
        <f>IFERROR(VLOOKUP(C1676,[1]evdl298!$B:$D,3,0),"")</f>
        <v>E</v>
      </c>
      <c r="G1676" s="110">
        <f>IFERROR(VLOOKUP(C1676,[1]evdl298!$B:$C,2,0),"")</f>
        <v>41494</v>
      </c>
      <c r="H1676" s="110" t="str">
        <f t="shared" si="76"/>
        <v>E</v>
      </c>
      <c r="I1676" s="110">
        <f t="shared" si="77"/>
        <v>41494</v>
      </c>
      <c r="J1676" s="110"/>
      <c r="K1676" s="110"/>
      <c r="M1676" s="110"/>
      <c r="O1676" s="110"/>
    </row>
    <row r="1677" spans="1:15" x14ac:dyDescent="0.3">
      <c r="A1677" s="58" t="str">
        <f>Schedule!E1675</f>
        <v>A138610</v>
      </c>
      <c r="B1677" s="58" t="s">
        <v>3499</v>
      </c>
      <c r="C1677" s="58" t="str">
        <f t="shared" si="75"/>
        <v>138610 KS</v>
      </c>
      <c r="D1677" s="58" t="s">
        <v>3671</v>
      </c>
      <c r="E1677" s="110" t="s">
        <v>3527</v>
      </c>
      <c r="F1677" s="110" t="str">
        <f>IFERROR(VLOOKUP(C1677,[1]evdl298!$B:$D,3,0),"")</f>
        <v>E</v>
      </c>
      <c r="G1677" s="110">
        <f>IFERROR(VLOOKUP(C1677,[1]evdl298!$B:$C,2,0),"")</f>
        <v>41460</v>
      </c>
      <c r="H1677" s="110" t="str">
        <f t="shared" si="76"/>
        <v>E</v>
      </c>
      <c r="I1677" s="110">
        <f t="shared" si="77"/>
        <v>41460</v>
      </c>
      <c r="J1677" s="110"/>
      <c r="K1677" s="110"/>
      <c r="M1677" s="110"/>
      <c r="O1677" s="110"/>
    </row>
    <row r="1678" spans="1:15" x14ac:dyDescent="0.3">
      <c r="A1678" s="58" t="str">
        <f>Schedule!E1676</f>
        <v>A138690</v>
      </c>
      <c r="B1678" s="58" t="s">
        <v>3500</v>
      </c>
      <c r="C1678" s="58" t="str">
        <f t="shared" si="75"/>
        <v>138690 KS</v>
      </c>
      <c r="D1678" s="58" t="s">
        <v>3671</v>
      </c>
      <c r="E1678" s="110" t="s">
        <v>3527</v>
      </c>
      <c r="F1678" s="110" t="str">
        <f>IFERROR(VLOOKUP(C1678,[1]evdl298!$B:$D,3,0),"")</f>
        <v>E</v>
      </c>
      <c r="G1678" s="110">
        <f>IFERROR(VLOOKUP(C1678,[1]evdl298!$B:$C,2,0),"")</f>
        <v>41515</v>
      </c>
      <c r="H1678" s="110" t="str">
        <f t="shared" si="76"/>
        <v>E</v>
      </c>
      <c r="I1678" s="110">
        <f t="shared" si="77"/>
        <v>41515</v>
      </c>
      <c r="J1678" s="110"/>
      <c r="K1678" s="110"/>
      <c r="M1678" s="110"/>
      <c r="O1678" s="110"/>
    </row>
    <row r="1679" spans="1:15" x14ac:dyDescent="0.3">
      <c r="A1679" s="58" t="str">
        <f>Schedule!E1677</f>
        <v>A138930</v>
      </c>
      <c r="B1679" s="58" t="s">
        <v>3501</v>
      </c>
      <c r="C1679" s="58" t="str">
        <f t="shared" si="75"/>
        <v>138930 KS</v>
      </c>
      <c r="D1679" s="58" t="s">
        <v>3671</v>
      </c>
      <c r="E1679" s="110" t="s">
        <v>3527</v>
      </c>
      <c r="F1679" s="110" t="str">
        <f>IFERROR(VLOOKUP(C1679,[1]evdl298!$B:$D,3,0),"")</f>
        <v>E</v>
      </c>
      <c r="G1679" s="110">
        <f>IFERROR(VLOOKUP(C1679,[1]evdl298!$B:$C,2,0),"")</f>
        <v>41500</v>
      </c>
      <c r="H1679" s="110" t="str">
        <f t="shared" si="76"/>
        <v>E</v>
      </c>
      <c r="I1679" s="110">
        <f t="shared" si="77"/>
        <v>41500</v>
      </c>
      <c r="J1679" s="110"/>
      <c r="K1679" s="110"/>
      <c r="M1679" s="110"/>
      <c r="O1679" s="110"/>
    </row>
    <row r="1680" spans="1:15" x14ac:dyDescent="0.3">
      <c r="A1680" s="58" t="str">
        <f>Schedule!E1678</f>
        <v>A139050</v>
      </c>
      <c r="B1680" s="58" t="s">
        <v>3502</v>
      </c>
      <c r="C1680" s="58" t="str">
        <f t="shared" si="75"/>
        <v>139050 KS</v>
      </c>
      <c r="D1680" s="58" t="s">
        <v>3671</v>
      </c>
      <c r="E1680" s="110" t="s">
        <v>3697</v>
      </c>
      <c r="F1680" s="110" t="str">
        <f>IFERROR(VLOOKUP(C1680,[1]evdl298!$B:$D,3,0),"")</f>
        <v>E</v>
      </c>
      <c r="G1680" s="110">
        <f>IFERROR(VLOOKUP(C1680,[1]evdl298!$B:$C,2,0),"")</f>
        <v>41515</v>
      </c>
      <c r="H1680" s="110" t="str">
        <f t="shared" si="76"/>
        <v>E</v>
      </c>
      <c r="I1680" s="110">
        <f t="shared" si="77"/>
        <v>41515</v>
      </c>
      <c r="J1680" s="110"/>
      <c r="K1680" s="110"/>
      <c r="M1680" s="110"/>
      <c r="O1680" s="110"/>
    </row>
    <row r="1681" spans="1:15" x14ac:dyDescent="0.3">
      <c r="A1681" s="58" t="str">
        <f>Schedule!E1679</f>
        <v>A139130</v>
      </c>
      <c r="B1681" s="58" t="s">
        <v>3503</v>
      </c>
      <c r="C1681" s="58" t="str">
        <f t="shared" ref="C1681:C1741" si="78">RIGHT(A1681,6)&amp;" KS"</f>
        <v>139130 KS</v>
      </c>
      <c r="D1681" s="58" t="s">
        <v>3671</v>
      </c>
      <c r="E1681" s="110" t="s">
        <v>3527</v>
      </c>
      <c r="F1681" s="110" t="str">
        <f>IFERROR(VLOOKUP(C1681,[1]evdl298!$B:$D,3,0),"")</f>
        <v>E</v>
      </c>
      <c r="G1681" s="110">
        <f>IFERROR(VLOOKUP(C1681,[1]evdl298!$B:$C,2,0),"")</f>
        <v>41487</v>
      </c>
      <c r="H1681" s="110" t="str">
        <f t="shared" ref="H1681:H1743" si="79">F1681</f>
        <v>E</v>
      </c>
      <c r="I1681" s="110">
        <f t="shared" ref="I1681:I1743" si="80">IF(ISNUMBER(G1681),G1681,E1681)</f>
        <v>41487</v>
      </c>
      <c r="J1681" s="110"/>
      <c r="K1681" s="110"/>
      <c r="M1681" s="110"/>
      <c r="O1681" s="110"/>
    </row>
    <row r="1682" spans="1:15" x14ac:dyDescent="0.3">
      <c r="A1682" s="58" t="str">
        <f>Schedule!E1680</f>
        <v>A139480</v>
      </c>
      <c r="B1682" s="58" t="s">
        <v>3504</v>
      </c>
      <c r="C1682" s="58" t="str">
        <f t="shared" si="78"/>
        <v>139480 KS</v>
      </c>
      <c r="D1682" s="58" t="s">
        <v>3671</v>
      </c>
      <c r="E1682" s="110" t="s">
        <v>3697</v>
      </c>
      <c r="F1682" s="110" t="str">
        <f>IFERROR(VLOOKUP(C1682,[1]evdl298!$B:$D,3,0),"")</f>
        <v>C</v>
      </c>
      <c r="G1682" s="110">
        <f>IFERROR(VLOOKUP(C1682,[1]evdl298!$B:$C,2,0),"")</f>
        <v>41467</v>
      </c>
      <c r="H1682" s="110" t="str">
        <f t="shared" si="79"/>
        <v>C</v>
      </c>
      <c r="I1682" s="110">
        <f t="shared" si="80"/>
        <v>41467</v>
      </c>
      <c r="J1682" s="110"/>
      <c r="K1682" s="110"/>
      <c r="M1682" s="110"/>
      <c r="O1682" s="110"/>
    </row>
    <row r="1683" spans="1:15" x14ac:dyDescent="0.3">
      <c r="A1683" s="58" t="str">
        <f>Schedule!E1681</f>
        <v>A139670</v>
      </c>
      <c r="B1683" s="58" t="s">
        <v>3505</v>
      </c>
      <c r="C1683" s="58" t="str">
        <f t="shared" si="78"/>
        <v>139670 KS</v>
      </c>
      <c r="D1683" s="58" t="s">
        <v>3671</v>
      </c>
      <c r="E1683" s="110" t="s">
        <v>3687</v>
      </c>
      <c r="F1683" s="110" t="str">
        <f>IFERROR(VLOOKUP(C1683,[1]evdl298!$B:$D,3,0),"")</f>
        <v>E</v>
      </c>
      <c r="G1683" s="110">
        <f>IFERROR(VLOOKUP(C1683,[1]evdl298!$B:$C,2,0),"")</f>
        <v>41495</v>
      </c>
      <c r="H1683" s="110" t="str">
        <f t="shared" si="79"/>
        <v>E</v>
      </c>
      <c r="I1683" s="110">
        <f t="shared" si="80"/>
        <v>41495</v>
      </c>
      <c r="J1683" s="110"/>
      <c r="K1683" s="110"/>
      <c r="M1683" s="110"/>
      <c r="O1683" s="110"/>
    </row>
    <row r="1684" spans="1:15" x14ac:dyDescent="0.3">
      <c r="A1684" s="58" t="str">
        <f>Schedule!E1682</f>
        <v>A140410</v>
      </c>
      <c r="B1684" s="58" t="s">
        <v>3506</v>
      </c>
      <c r="C1684" s="58" t="str">
        <f t="shared" si="78"/>
        <v>140410 KS</v>
      </c>
      <c r="D1684" s="58" t="s">
        <v>3671</v>
      </c>
      <c r="E1684" s="110" t="s">
        <v>3527</v>
      </c>
      <c r="F1684" s="110" t="str">
        <f>IFERROR(VLOOKUP(C1684,[1]evdl298!$B:$D,3,0),"")</f>
        <v>E</v>
      </c>
      <c r="G1684" s="110">
        <f>IFERROR(VLOOKUP(C1684,[1]evdl298!$B:$C,2,0),"")</f>
        <v>41460</v>
      </c>
      <c r="H1684" s="110" t="str">
        <f t="shared" si="79"/>
        <v>E</v>
      </c>
      <c r="I1684" s="110">
        <f t="shared" si="80"/>
        <v>41460</v>
      </c>
      <c r="J1684" s="110"/>
      <c r="K1684" s="110"/>
      <c r="M1684" s="110"/>
      <c r="O1684" s="110"/>
    </row>
    <row r="1685" spans="1:15" x14ac:dyDescent="0.3">
      <c r="A1685" s="58" t="str">
        <f>Schedule!E1683</f>
        <v>A141000</v>
      </c>
      <c r="B1685" s="58" t="s">
        <v>3657</v>
      </c>
      <c r="C1685" s="58" t="str">
        <f t="shared" si="78"/>
        <v>141000 KS</v>
      </c>
      <c r="D1685" s="58" t="s">
        <v>3671</v>
      </c>
      <c r="E1685" s="110" t="s">
        <v>3527</v>
      </c>
      <c r="F1685" s="110" t="str">
        <f>IFERROR(VLOOKUP(C1685,[1]evdl298!$B:$D,3,0),"")</f>
        <v>E</v>
      </c>
      <c r="G1685" s="110">
        <f>IFERROR(VLOOKUP(C1685,[1]evdl298!$B:$C,2,0),"")</f>
        <v>41500</v>
      </c>
      <c r="H1685" s="110" t="str">
        <f t="shared" si="79"/>
        <v>E</v>
      </c>
      <c r="I1685" s="110">
        <f t="shared" si="80"/>
        <v>41500</v>
      </c>
      <c r="J1685" s="110"/>
      <c r="K1685" s="110"/>
      <c r="M1685" s="110"/>
      <c r="O1685" s="110"/>
    </row>
    <row r="1686" spans="1:15" x14ac:dyDescent="0.3">
      <c r="A1686" s="58" t="str">
        <f>Schedule!E1684</f>
        <v>A141020</v>
      </c>
      <c r="B1686" s="58" t="s">
        <v>3507</v>
      </c>
      <c r="C1686" s="58" t="str">
        <f t="shared" si="78"/>
        <v>141020 KS</v>
      </c>
      <c r="D1686" s="58" t="s">
        <v>3671</v>
      </c>
      <c r="E1686" s="110" t="s">
        <v>3527</v>
      </c>
      <c r="F1686" s="110" t="str">
        <f>IFERROR(VLOOKUP(C1686,[1]evdl298!$B:$D,3,0),"")</f>
        <v>E</v>
      </c>
      <c r="G1686" s="110">
        <f>IFERROR(VLOOKUP(C1686,[1]evdl298!$B:$C,2,0),"")</f>
        <v>41460</v>
      </c>
      <c r="H1686" s="110" t="str">
        <f t="shared" si="79"/>
        <v>E</v>
      </c>
      <c r="I1686" s="110">
        <f t="shared" si="80"/>
        <v>41460</v>
      </c>
      <c r="J1686" s="110"/>
      <c r="K1686" s="110"/>
      <c r="M1686" s="110"/>
      <c r="O1686" s="110"/>
    </row>
    <row r="1687" spans="1:15" x14ac:dyDescent="0.3">
      <c r="A1687" s="58" t="str">
        <f>Schedule!E1685</f>
        <v>A141070</v>
      </c>
      <c r="B1687" s="58" t="s">
        <v>3614</v>
      </c>
      <c r="C1687" s="58" t="str">
        <f t="shared" si="78"/>
        <v>141070 KS</v>
      </c>
      <c r="D1687" s="58" t="s">
        <v>3671</v>
      </c>
      <c r="E1687" s="110" t="s">
        <v>3527</v>
      </c>
      <c r="F1687" s="110" t="str">
        <f>IFERROR(VLOOKUP(C1687,[1]evdl298!$B:$D,3,0),"")</f>
        <v>E</v>
      </c>
      <c r="G1687" s="110">
        <f>IFERROR(VLOOKUP(C1687,[1]evdl298!$B:$C,2,0),"")</f>
        <v>41500</v>
      </c>
      <c r="H1687" s="110" t="str">
        <f t="shared" si="79"/>
        <v>E</v>
      </c>
      <c r="I1687" s="110">
        <f t="shared" si="80"/>
        <v>41500</v>
      </c>
      <c r="J1687" s="110"/>
      <c r="K1687" s="110"/>
      <c r="M1687" s="110"/>
      <c r="O1687" s="110"/>
    </row>
    <row r="1688" spans="1:15" x14ac:dyDescent="0.3">
      <c r="A1688" s="58" t="str">
        <f>Schedule!E1686</f>
        <v>A141080</v>
      </c>
      <c r="B1688" s="58" t="s">
        <v>3556</v>
      </c>
      <c r="C1688" s="58" t="str">
        <f t="shared" si="78"/>
        <v>141080 KS</v>
      </c>
      <c r="D1688" s="58" t="s">
        <v>3671</v>
      </c>
      <c r="E1688" s="110" t="s">
        <v>3527</v>
      </c>
      <c r="F1688" s="110" t="str">
        <f>IFERROR(VLOOKUP(C1688,[1]evdl298!$B:$D,3,0),"")</f>
        <v>E</v>
      </c>
      <c r="G1688" s="110">
        <f>IFERROR(VLOOKUP(C1688,[1]evdl298!$B:$C,2,0),"")</f>
        <v>41500</v>
      </c>
      <c r="H1688" s="110" t="str">
        <f t="shared" si="79"/>
        <v>E</v>
      </c>
      <c r="I1688" s="110">
        <f t="shared" si="80"/>
        <v>41500</v>
      </c>
      <c r="J1688" s="110"/>
      <c r="K1688" s="110"/>
      <c r="M1688" s="110"/>
      <c r="O1688" s="110"/>
    </row>
    <row r="1689" spans="1:15" x14ac:dyDescent="0.3">
      <c r="A1689" s="58" t="str">
        <f>Schedule!E1687</f>
        <v>A143160</v>
      </c>
      <c r="B1689" s="58" t="s">
        <v>3668</v>
      </c>
      <c r="C1689" s="58" t="str">
        <f t="shared" si="78"/>
        <v>143160 KS</v>
      </c>
      <c r="D1689" s="58" t="s">
        <v>3671</v>
      </c>
      <c r="E1689" s="110" t="s">
        <v>3527</v>
      </c>
      <c r="F1689" s="110" t="str">
        <f>IFERROR(VLOOKUP(C1689,[1]evdl298!$B:$D,3,0),"")</f>
        <v>E</v>
      </c>
      <c r="G1689" s="110">
        <f>IFERROR(VLOOKUP(C1689,[1]evdl298!$B:$C,2,0),"")</f>
        <v>41515</v>
      </c>
      <c r="H1689" s="110" t="str">
        <f t="shared" si="79"/>
        <v>E</v>
      </c>
      <c r="I1689" s="110">
        <f t="shared" si="80"/>
        <v>41515</v>
      </c>
      <c r="J1689" s="110"/>
      <c r="K1689" s="110"/>
      <c r="M1689" s="110"/>
      <c r="O1689" s="110"/>
    </row>
    <row r="1690" spans="1:15" x14ac:dyDescent="0.3">
      <c r="A1690" s="58" t="str">
        <f>Schedule!E1688</f>
        <v>A143240</v>
      </c>
      <c r="B1690" s="58" t="s">
        <v>3508</v>
      </c>
      <c r="C1690" s="58" t="str">
        <f t="shared" si="78"/>
        <v>143240 KS</v>
      </c>
      <c r="D1690" s="58" t="s">
        <v>3671</v>
      </c>
      <c r="E1690" s="110" t="s">
        <v>3527</v>
      </c>
      <c r="F1690" s="110" t="str">
        <f>IFERROR(VLOOKUP(C1690,[1]evdl298!$B:$D,3,0),"")</f>
        <v>E</v>
      </c>
      <c r="G1690" s="110">
        <f>IFERROR(VLOOKUP(C1690,[1]evdl298!$B:$C,2,0),"")</f>
        <v>41460</v>
      </c>
      <c r="H1690" s="110" t="str">
        <f t="shared" si="79"/>
        <v>E</v>
      </c>
      <c r="I1690" s="110">
        <f t="shared" si="80"/>
        <v>41460</v>
      </c>
      <c r="J1690" s="110"/>
      <c r="K1690" s="110"/>
      <c r="M1690" s="110"/>
      <c r="O1690" s="110"/>
    </row>
    <row r="1691" spans="1:15" x14ac:dyDescent="0.3">
      <c r="A1691" s="58" t="str">
        <f>Schedule!E1689</f>
        <v>A144620</v>
      </c>
      <c r="B1691" s="58" t="s">
        <v>3509</v>
      </c>
      <c r="C1691" s="58" t="str">
        <f t="shared" si="78"/>
        <v>144620 KS</v>
      </c>
      <c r="D1691" s="58" t="s">
        <v>3671</v>
      </c>
      <c r="E1691" s="110" t="s">
        <v>3527</v>
      </c>
      <c r="F1691" s="110" t="str">
        <f>IFERROR(VLOOKUP(C1691,[1]evdl298!$B:$D,3,0),"")</f>
        <v/>
      </c>
      <c r="G1691" s="110" t="str">
        <f>IFERROR(VLOOKUP(C1691,[1]evdl298!$B:$C,2,0),"")</f>
        <v/>
      </c>
      <c r="H1691" s="110" t="str">
        <f t="shared" si="79"/>
        <v/>
      </c>
      <c r="I1691" s="110" t="str">
        <f t="shared" si="80"/>
        <v/>
      </c>
      <c r="J1691" s="110"/>
      <c r="K1691" s="110"/>
      <c r="M1691" s="110"/>
      <c r="O1691" s="110"/>
    </row>
    <row r="1692" spans="1:15" x14ac:dyDescent="0.3">
      <c r="A1692" s="58" t="str">
        <f>Schedule!E1690</f>
        <v>A145990</v>
      </c>
      <c r="B1692" s="58" t="s">
        <v>3510</v>
      </c>
      <c r="C1692" s="58" t="str">
        <f t="shared" si="78"/>
        <v>145990 KS</v>
      </c>
      <c r="D1692" s="58" t="s">
        <v>3671</v>
      </c>
      <c r="E1692" s="110" t="s">
        <v>3527</v>
      </c>
      <c r="F1692" s="110" t="str">
        <f>IFERROR(VLOOKUP(C1692,[1]evdl298!$B:$D,3,0),"")</f>
        <v>E</v>
      </c>
      <c r="G1692" s="110">
        <f>IFERROR(VLOOKUP(C1692,[1]evdl298!$B:$C,2,0),"")</f>
        <v>41500</v>
      </c>
      <c r="H1692" s="110" t="str">
        <f t="shared" si="79"/>
        <v>E</v>
      </c>
      <c r="I1692" s="110">
        <f t="shared" si="80"/>
        <v>41500</v>
      </c>
      <c r="J1692" s="110"/>
      <c r="K1692" s="110"/>
      <c r="M1692" s="110"/>
      <c r="O1692" s="110"/>
    </row>
    <row r="1693" spans="1:15" x14ac:dyDescent="0.3">
      <c r="A1693" s="58" t="str">
        <f>Schedule!E1691</f>
        <v>A147830</v>
      </c>
      <c r="B1693" s="58" t="s">
        <v>3511</v>
      </c>
      <c r="C1693" s="58" t="str">
        <f t="shared" si="78"/>
        <v>147830 KS</v>
      </c>
      <c r="D1693" s="58" t="s">
        <v>3671</v>
      </c>
      <c r="E1693" s="110" t="s">
        <v>3527</v>
      </c>
      <c r="F1693" s="110" t="str">
        <f>IFERROR(VLOOKUP(C1693,[1]evdl298!$B:$D,3,0),"")</f>
        <v/>
      </c>
      <c r="G1693" s="110" t="str">
        <f>IFERROR(VLOOKUP(C1693,[1]evdl298!$B:$C,2,0),"")</f>
        <v/>
      </c>
      <c r="H1693" s="110" t="str">
        <f t="shared" si="79"/>
        <v/>
      </c>
      <c r="I1693" s="110" t="str">
        <f t="shared" si="80"/>
        <v/>
      </c>
      <c r="J1693" s="110"/>
      <c r="K1693" s="110"/>
      <c r="M1693" s="110"/>
      <c r="O1693" s="110"/>
    </row>
    <row r="1694" spans="1:15" x14ac:dyDescent="0.3">
      <c r="A1694" s="58" t="str">
        <f>Schedule!E1692</f>
        <v>A149940</v>
      </c>
      <c r="B1694" s="58" t="s">
        <v>3512</v>
      </c>
      <c r="C1694" s="58" t="str">
        <f t="shared" si="78"/>
        <v>149940 KS</v>
      </c>
      <c r="D1694" s="58" t="s">
        <v>3671</v>
      </c>
      <c r="E1694" s="110" t="s">
        <v>3527</v>
      </c>
      <c r="F1694" s="110" t="str">
        <f>IFERROR(VLOOKUP(C1694,[1]evdl298!$B:$D,3,0),"")</f>
        <v/>
      </c>
      <c r="G1694" s="110" t="str">
        <f>IFERROR(VLOOKUP(C1694,[1]evdl298!$B:$C,2,0),"")</f>
        <v/>
      </c>
      <c r="H1694" s="110" t="str">
        <f t="shared" si="79"/>
        <v/>
      </c>
      <c r="I1694" s="110" t="str">
        <f t="shared" si="80"/>
        <v/>
      </c>
      <c r="J1694" s="110"/>
      <c r="K1694" s="110"/>
      <c r="M1694" s="110"/>
      <c r="O1694" s="110"/>
    </row>
    <row r="1695" spans="1:15" x14ac:dyDescent="0.3">
      <c r="A1695" s="58" t="str">
        <f>Schedule!E1693</f>
        <v>A149950</v>
      </c>
      <c r="B1695" s="58" t="s">
        <v>3513</v>
      </c>
      <c r="C1695" s="58" t="str">
        <f t="shared" si="78"/>
        <v>149950 KS</v>
      </c>
      <c r="D1695" s="58" t="s">
        <v>3671</v>
      </c>
      <c r="E1695" s="110" t="s">
        <v>3527</v>
      </c>
      <c r="F1695" s="110" t="str">
        <f>IFERROR(VLOOKUP(C1695,[1]evdl298!$B:$D,3,0),"")</f>
        <v/>
      </c>
      <c r="G1695" s="110" t="str">
        <f>IFERROR(VLOOKUP(C1695,[1]evdl298!$B:$C,2,0),"")</f>
        <v/>
      </c>
      <c r="H1695" s="110" t="str">
        <f t="shared" si="79"/>
        <v/>
      </c>
      <c r="I1695" s="110" t="str">
        <f t="shared" si="80"/>
        <v/>
      </c>
      <c r="J1695" s="110"/>
      <c r="K1695" s="110"/>
      <c r="M1695" s="110"/>
      <c r="O1695" s="110"/>
    </row>
    <row r="1696" spans="1:15" x14ac:dyDescent="0.3">
      <c r="A1696" s="58" t="str">
        <f>Schedule!E1694</f>
        <v>A151910</v>
      </c>
      <c r="B1696" s="58" t="s">
        <v>3557</v>
      </c>
      <c r="C1696" s="58" t="str">
        <f t="shared" si="78"/>
        <v>151910 KS</v>
      </c>
      <c r="D1696" s="58" t="s">
        <v>3671</v>
      </c>
      <c r="E1696" s="110" t="s">
        <v>3527</v>
      </c>
      <c r="F1696" s="110" t="str">
        <f>IFERROR(VLOOKUP(C1696,[1]evdl298!$B:$D,3,0),"")</f>
        <v/>
      </c>
      <c r="G1696" s="110" t="str">
        <f>IFERROR(VLOOKUP(C1696,[1]evdl298!$B:$C,2,0),"")</f>
        <v/>
      </c>
      <c r="H1696" s="110" t="str">
        <f t="shared" si="79"/>
        <v/>
      </c>
      <c r="I1696" s="110" t="str">
        <f t="shared" si="80"/>
        <v/>
      </c>
      <c r="J1696" s="110"/>
      <c r="K1696" s="110"/>
      <c r="M1696" s="110"/>
      <c r="O1696" s="110"/>
    </row>
    <row r="1697" spans="1:15" x14ac:dyDescent="0.3">
      <c r="A1697" s="58" t="str">
        <f>Schedule!E1695</f>
        <v>A153460</v>
      </c>
      <c r="B1697" s="58" t="s">
        <v>3514</v>
      </c>
      <c r="C1697" s="58" t="str">
        <f t="shared" si="78"/>
        <v>153460 KS</v>
      </c>
      <c r="D1697" s="58" t="s">
        <v>3671</v>
      </c>
      <c r="E1697" s="110" t="s">
        <v>3527</v>
      </c>
      <c r="F1697" s="110" t="str">
        <f>IFERROR(VLOOKUP(C1697,[1]evdl298!$B:$D,3,0),"")</f>
        <v/>
      </c>
      <c r="G1697" s="110" t="str">
        <f>IFERROR(VLOOKUP(C1697,[1]evdl298!$B:$C,2,0),"")</f>
        <v/>
      </c>
      <c r="H1697" s="110" t="str">
        <f t="shared" si="79"/>
        <v/>
      </c>
      <c r="I1697" s="110" t="str">
        <f t="shared" si="80"/>
        <v/>
      </c>
      <c r="J1697" s="110"/>
      <c r="K1697" s="110"/>
      <c r="M1697" s="110"/>
      <c r="O1697" s="110"/>
    </row>
    <row r="1698" spans="1:15" x14ac:dyDescent="0.3">
      <c r="A1698" s="58" t="str">
        <f>Schedule!E1696</f>
        <v>A153490</v>
      </c>
      <c r="B1698" s="58" t="s">
        <v>3515</v>
      </c>
      <c r="C1698" s="58" t="str">
        <f t="shared" si="78"/>
        <v>153490 KS</v>
      </c>
      <c r="D1698" s="58" t="s">
        <v>3671</v>
      </c>
      <c r="E1698" s="110" t="s">
        <v>3527</v>
      </c>
      <c r="F1698" s="110" t="str">
        <f>IFERROR(VLOOKUP(C1698,[1]evdl298!$B:$D,3,0),"")</f>
        <v/>
      </c>
      <c r="G1698" s="110" t="str">
        <f>IFERROR(VLOOKUP(C1698,[1]evdl298!$B:$C,2,0),"")</f>
        <v/>
      </c>
      <c r="H1698" s="110" t="str">
        <f t="shared" si="79"/>
        <v/>
      </c>
      <c r="I1698" s="110" t="str">
        <f t="shared" si="80"/>
        <v/>
      </c>
      <c r="J1698" s="110"/>
      <c r="K1698" s="110"/>
      <c r="M1698" s="110"/>
      <c r="O1698" s="110"/>
    </row>
    <row r="1699" spans="1:15" x14ac:dyDescent="0.3">
      <c r="A1699" s="58" t="str">
        <f>Schedule!E1697</f>
        <v>A155650</v>
      </c>
      <c r="B1699" s="58" t="s">
        <v>3615</v>
      </c>
      <c r="C1699" s="58" t="str">
        <f t="shared" si="78"/>
        <v>155650 KS</v>
      </c>
      <c r="D1699" s="58" t="s">
        <v>3671</v>
      </c>
      <c r="E1699" s="110" t="s">
        <v>3527</v>
      </c>
      <c r="F1699" s="110" t="str">
        <f>IFERROR(VLOOKUP(C1699,[1]evdl298!$B:$D,3,0),"")</f>
        <v/>
      </c>
      <c r="G1699" s="110" t="str">
        <f>IFERROR(VLOOKUP(C1699,[1]evdl298!$B:$C,2,0),"")</f>
        <v/>
      </c>
      <c r="H1699" s="110" t="str">
        <f t="shared" si="79"/>
        <v/>
      </c>
      <c r="I1699" s="110" t="str">
        <f t="shared" si="80"/>
        <v/>
      </c>
      <c r="J1699" s="110"/>
      <c r="K1699" s="110"/>
      <c r="M1699" s="110"/>
      <c r="O1699" s="110"/>
    </row>
    <row r="1700" spans="1:15" x14ac:dyDescent="0.3">
      <c r="A1700" s="58" t="str">
        <f>Schedule!E1698</f>
        <v>A155660</v>
      </c>
      <c r="B1700" s="58" t="s">
        <v>3558</v>
      </c>
      <c r="C1700" s="58" t="str">
        <f t="shared" si="78"/>
        <v>155660 KS</v>
      </c>
      <c r="D1700" s="58" t="s">
        <v>3671</v>
      </c>
      <c r="E1700" s="110" t="s">
        <v>3527</v>
      </c>
      <c r="F1700" s="110" t="str">
        <f>IFERROR(VLOOKUP(C1700,[1]evdl298!$B:$D,3,0),"")</f>
        <v>E</v>
      </c>
      <c r="G1700" s="110">
        <f>IFERROR(VLOOKUP(C1700,[1]evdl298!$B:$C,2,0),"")</f>
        <v>41500</v>
      </c>
      <c r="H1700" s="110" t="str">
        <f t="shared" si="79"/>
        <v>E</v>
      </c>
      <c r="I1700" s="110">
        <f t="shared" si="80"/>
        <v>41500</v>
      </c>
      <c r="J1700" s="110"/>
      <c r="K1700" s="110"/>
      <c r="M1700" s="110"/>
      <c r="O1700" s="110"/>
    </row>
    <row r="1701" spans="1:15" x14ac:dyDescent="0.3">
      <c r="A1701" s="58" t="str">
        <f>Schedule!E1699</f>
        <v>A155960</v>
      </c>
      <c r="B1701" s="58" t="s">
        <v>3669</v>
      </c>
      <c r="C1701" s="58" t="str">
        <f t="shared" si="78"/>
        <v>155960 KS</v>
      </c>
      <c r="D1701" s="58" t="s">
        <v>3671</v>
      </c>
      <c r="E1701" s="110" t="s">
        <v>3527</v>
      </c>
      <c r="F1701" s="110" t="str">
        <f>IFERROR(VLOOKUP(C1701,[1]evdl298!$B:$D,3,0),"")</f>
        <v>E</v>
      </c>
      <c r="G1701" s="110">
        <f>IFERROR(VLOOKUP(C1701,[1]evdl298!$B:$C,2,0),"")</f>
        <v>41501</v>
      </c>
      <c r="H1701" s="110" t="str">
        <f t="shared" si="79"/>
        <v>E</v>
      </c>
      <c r="I1701" s="110">
        <f t="shared" si="80"/>
        <v>41501</v>
      </c>
      <c r="J1701" s="110"/>
      <c r="K1701" s="110"/>
      <c r="M1701" s="110"/>
      <c r="O1701" s="110"/>
    </row>
    <row r="1702" spans="1:15" x14ac:dyDescent="0.3">
      <c r="A1702" s="58" t="str">
        <f>Schedule!E1700</f>
        <v>A158310</v>
      </c>
      <c r="B1702" s="58" t="s">
        <v>3616</v>
      </c>
      <c r="C1702" s="58" t="str">
        <f t="shared" si="78"/>
        <v>158310 KS</v>
      </c>
      <c r="D1702" s="58" t="s">
        <v>3671</v>
      </c>
      <c r="E1702" s="110" t="s">
        <v>3527</v>
      </c>
      <c r="F1702" s="110" t="str">
        <f>IFERROR(VLOOKUP(C1702,[1]evdl298!$B:$D,3,0),"")</f>
        <v/>
      </c>
      <c r="G1702" s="110" t="str">
        <f>IFERROR(VLOOKUP(C1702,[1]evdl298!$B:$C,2,0),"")</f>
        <v/>
      </c>
      <c r="H1702" s="110" t="str">
        <f t="shared" si="79"/>
        <v/>
      </c>
      <c r="I1702" s="110" t="str">
        <f t="shared" si="80"/>
        <v/>
      </c>
      <c r="J1702" s="110"/>
      <c r="K1702" s="110"/>
      <c r="M1702" s="110"/>
      <c r="O1702" s="110"/>
    </row>
    <row r="1703" spans="1:15" x14ac:dyDescent="0.3">
      <c r="A1703" s="58" t="str">
        <f>Schedule!E1701</f>
        <v>A158380</v>
      </c>
      <c r="B1703" s="58" t="s">
        <v>3658</v>
      </c>
      <c r="C1703" s="58" t="str">
        <f t="shared" si="78"/>
        <v>158380 KS</v>
      </c>
      <c r="D1703" s="58" t="s">
        <v>3671</v>
      </c>
      <c r="E1703" s="110" t="s">
        <v>3527</v>
      </c>
      <c r="F1703" s="110" t="str">
        <f>IFERROR(VLOOKUP(C1703,[1]evdl298!$B:$D,3,0),"")</f>
        <v/>
      </c>
      <c r="G1703" s="110" t="str">
        <f>IFERROR(VLOOKUP(C1703,[1]evdl298!$B:$C,2,0),"")</f>
        <v/>
      </c>
      <c r="H1703" s="110" t="str">
        <f t="shared" si="79"/>
        <v/>
      </c>
      <c r="I1703" s="110" t="str">
        <f t="shared" si="80"/>
        <v/>
      </c>
      <c r="J1703" s="110"/>
      <c r="K1703" s="110"/>
      <c r="M1703" s="110"/>
      <c r="O1703" s="110"/>
    </row>
    <row r="1704" spans="1:15" x14ac:dyDescent="0.3">
      <c r="A1704" s="58" t="str">
        <f>Schedule!E1702</f>
        <v>A159580</v>
      </c>
      <c r="B1704" s="58" t="s">
        <v>3670</v>
      </c>
      <c r="C1704" s="58" t="str">
        <f t="shared" si="78"/>
        <v>159580 KS</v>
      </c>
      <c r="D1704" s="58" t="s">
        <v>3671</v>
      </c>
      <c r="E1704" s="110" t="s">
        <v>3527</v>
      </c>
      <c r="F1704" s="110" t="str">
        <f>IFERROR(VLOOKUP(C1704,[1]evdl298!$B:$D,3,0),"")</f>
        <v/>
      </c>
      <c r="G1704" s="110" t="str">
        <f>IFERROR(VLOOKUP(C1704,[1]evdl298!$B:$C,2,0),"")</f>
        <v/>
      </c>
      <c r="H1704" s="110" t="str">
        <f t="shared" si="79"/>
        <v/>
      </c>
      <c r="I1704" s="110" t="str">
        <f t="shared" si="80"/>
        <v/>
      </c>
      <c r="J1704" s="110"/>
      <c r="K1704" s="110"/>
      <c r="M1704" s="110"/>
      <c r="O1704" s="110"/>
    </row>
    <row r="1705" spans="1:15" x14ac:dyDescent="0.3">
      <c r="A1705" s="58" t="str">
        <f>Schedule!E1703</f>
        <v>A159910</v>
      </c>
      <c r="B1705" s="58" t="s">
        <v>3617</v>
      </c>
      <c r="C1705" s="58" t="str">
        <f t="shared" si="78"/>
        <v>159910 KS</v>
      </c>
      <c r="D1705" s="58" t="s">
        <v>3671</v>
      </c>
      <c r="E1705" s="110" t="s">
        <v>3527</v>
      </c>
      <c r="F1705" s="110" t="str">
        <f>IFERROR(VLOOKUP(C1705,[1]evdl298!$B:$D,3,0),"")</f>
        <v/>
      </c>
      <c r="G1705" s="110" t="str">
        <f>IFERROR(VLOOKUP(C1705,[1]evdl298!$B:$C,2,0),"")</f>
        <v/>
      </c>
      <c r="H1705" s="110" t="str">
        <f t="shared" si="79"/>
        <v/>
      </c>
      <c r="I1705" s="110" t="str">
        <f t="shared" si="80"/>
        <v/>
      </c>
      <c r="J1705" s="110"/>
      <c r="K1705" s="110"/>
      <c r="M1705" s="110"/>
      <c r="O1705" s="110"/>
    </row>
    <row r="1706" spans="1:15" x14ac:dyDescent="0.3">
      <c r="A1706" s="58" t="str">
        <f>Schedule!E1704</f>
        <v>A161000</v>
      </c>
      <c r="B1706" s="58" t="s">
        <v>3600</v>
      </c>
      <c r="C1706" s="58" t="str">
        <f t="shared" si="78"/>
        <v>161000 KS</v>
      </c>
      <c r="D1706" s="58" t="s">
        <v>3671</v>
      </c>
      <c r="E1706" s="110" t="s">
        <v>3527</v>
      </c>
      <c r="F1706" s="110" t="str">
        <f>IFERROR(VLOOKUP(C1706,[1]evdl298!$B:$D,3,0),"")</f>
        <v/>
      </c>
      <c r="G1706" s="110" t="str">
        <f>IFERROR(VLOOKUP(C1706,[1]evdl298!$B:$C,2,0),"")</f>
        <v/>
      </c>
      <c r="H1706" s="110" t="str">
        <f t="shared" si="79"/>
        <v/>
      </c>
      <c r="I1706" s="110" t="str">
        <f t="shared" si="80"/>
        <v/>
      </c>
      <c r="J1706" s="110"/>
      <c r="K1706" s="110"/>
      <c r="M1706" s="110"/>
      <c r="O1706" s="110"/>
    </row>
    <row r="1707" spans="1:15" x14ac:dyDescent="0.3">
      <c r="A1707" s="58" t="str">
        <f>Schedule!E1705</f>
        <v>A161390</v>
      </c>
      <c r="B1707" s="58" t="s">
        <v>3516</v>
      </c>
      <c r="C1707" s="58" t="str">
        <f t="shared" si="78"/>
        <v>161390 KS</v>
      </c>
      <c r="D1707" s="58" t="s">
        <v>3671</v>
      </c>
      <c r="E1707" s="110" t="s">
        <v>3527</v>
      </c>
      <c r="F1707" s="110" t="str">
        <f>IFERROR(VLOOKUP(C1707,[1]evdl298!$B:$D,3,0),"")</f>
        <v>E</v>
      </c>
      <c r="G1707" s="110">
        <f>IFERROR(VLOOKUP(C1707,[1]evdl298!$B:$C,2,0),"")</f>
        <v>41500</v>
      </c>
      <c r="H1707" s="110" t="str">
        <f t="shared" si="79"/>
        <v>E</v>
      </c>
      <c r="I1707" s="110">
        <f t="shared" si="80"/>
        <v>41500</v>
      </c>
      <c r="J1707" s="110"/>
      <c r="K1707" s="110"/>
      <c r="M1707" s="110"/>
      <c r="O1707" s="110"/>
    </row>
    <row r="1708" spans="1:15" x14ac:dyDescent="0.3">
      <c r="A1708" s="58" t="str">
        <f>Schedule!E1706</f>
        <v>A161890</v>
      </c>
      <c r="B1708" s="58" t="s">
        <v>3559</v>
      </c>
      <c r="C1708" s="58" t="str">
        <f t="shared" si="78"/>
        <v>161890 KS</v>
      </c>
      <c r="D1708" s="58" t="s">
        <v>3671</v>
      </c>
      <c r="E1708" s="110" t="s">
        <v>3678</v>
      </c>
      <c r="F1708" s="110" t="str">
        <f>IFERROR(VLOOKUP(C1708,[1]evdl298!$B:$D,3,0),"")</f>
        <v/>
      </c>
      <c r="G1708" s="110" t="str">
        <f>IFERROR(VLOOKUP(C1708,[1]evdl298!$B:$C,2,0),"")</f>
        <v/>
      </c>
      <c r="H1708" s="110" t="str">
        <f t="shared" si="79"/>
        <v/>
      </c>
      <c r="I1708" s="110" t="str">
        <f t="shared" si="80"/>
        <v>2013-07-26</v>
      </c>
      <c r="J1708" s="110"/>
      <c r="K1708" s="110"/>
      <c r="M1708" s="110"/>
      <c r="O1708" s="110"/>
    </row>
    <row r="1709" spans="1:15" x14ac:dyDescent="0.3">
      <c r="A1709" s="58" t="str">
        <f>Schedule!E1707</f>
        <v>A163560</v>
      </c>
      <c r="B1709" s="58" t="s">
        <v>3560</v>
      </c>
      <c r="C1709" s="58" t="str">
        <f t="shared" si="78"/>
        <v>163560 KS</v>
      </c>
      <c r="D1709" s="58" t="s">
        <v>3671</v>
      </c>
      <c r="E1709" s="110" t="s">
        <v>3527</v>
      </c>
      <c r="F1709" s="110" t="str">
        <f>IFERROR(VLOOKUP(C1709,[1]evdl298!$B:$D,3,0),"")</f>
        <v/>
      </c>
      <c r="G1709" s="110" t="str">
        <f>IFERROR(VLOOKUP(C1709,[1]evdl298!$B:$C,2,0),"")</f>
        <v/>
      </c>
      <c r="H1709" s="110" t="str">
        <f t="shared" si="79"/>
        <v/>
      </c>
      <c r="I1709" s="110" t="str">
        <f t="shared" si="80"/>
        <v/>
      </c>
      <c r="J1709" s="110"/>
      <c r="K1709" s="110"/>
      <c r="M1709" s="110"/>
      <c r="O1709" s="110"/>
    </row>
    <row r="1710" spans="1:15" x14ac:dyDescent="0.3">
      <c r="A1710" s="58" t="str">
        <f>Schedule!E1708</f>
        <v>A170900</v>
      </c>
      <c r="B1710" s="58" t="s">
        <v>3561</v>
      </c>
      <c r="C1710" s="58" t="str">
        <f t="shared" si="78"/>
        <v>170900 KS</v>
      </c>
      <c r="D1710" s="58" t="s">
        <v>3671</v>
      </c>
      <c r="E1710" s="110" t="s">
        <v>3527</v>
      </c>
      <c r="F1710" s="110" t="str">
        <f>IFERROR(VLOOKUP(C1710,[1]evdl298!$B:$D,3,0),"")</f>
        <v>E</v>
      </c>
      <c r="G1710" s="110">
        <f>IFERROR(VLOOKUP(C1710,[1]evdl298!$B:$C,2,0),"")</f>
        <v>41481</v>
      </c>
      <c r="H1710" s="110" t="str">
        <f t="shared" si="79"/>
        <v>E</v>
      </c>
      <c r="I1710" s="110">
        <f t="shared" si="80"/>
        <v>41481</v>
      </c>
      <c r="J1710" s="110"/>
      <c r="K1710" s="110"/>
      <c r="M1710" s="110"/>
      <c r="O1710" s="110"/>
    </row>
    <row r="1711" spans="1:15" x14ac:dyDescent="0.3">
      <c r="A1711" s="58" t="str">
        <f>Schedule!E1709</f>
        <v>A900040</v>
      </c>
      <c r="B1711" s="58" t="s">
        <v>3659</v>
      </c>
      <c r="C1711" s="58" t="str">
        <f t="shared" si="78"/>
        <v>900040 KS</v>
      </c>
      <c r="D1711" s="58" t="s">
        <v>3671</v>
      </c>
      <c r="E1711" s="110">
        <v>41485</v>
      </c>
      <c r="F1711" s="110" t="str">
        <f>IFERROR(VLOOKUP(C1711,[1]evdl298!$B:$D,3,0),"")</f>
        <v/>
      </c>
      <c r="G1711" s="110" t="str">
        <f>IFERROR(VLOOKUP(C1711,[1]evdl298!$B:$C,2,0),"")</f>
        <v/>
      </c>
      <c r="H1711" s="110" t="str">
        <f t="shared" si="79"/>
        <v/>
      </c>
      <c r="I1711" s="110">
        <f t="shared" si="80"/>
        <v>41485</v>
      </c>
      <c r="J1711" s="110"/>
      <c r="K1711" s="110"/>
      <c r="M1711" s="110"/>
      <c r="O1711" s="110"/>
    </row>
    <row r="1712" spans="1:15" x14ac:dyDescent="0.3">
      <c r="A1712" s="58" t="str">
        <f>Schedule!E1710</f>
        <v>A900050</v>
      </c>
      <c r="B1712" s="58" t="s">
        <v>2953</v>
      </c>
      <c r="C1712" s="58" t="str">
        <f t="shared" si="78"/>
        <v>900050 KS</v>
      </c>
      <c r="D1712" s="58" t="s">
        <v>3671</v>
      </c>
      <c r="E1712" s="110" t="s">
        <v>3527</v>
      </c>
      <c r="F1712" s="110" t="str">
        <f>IFERROR(VLOOKUP(C1712,[1]evdl298!$B:$D,3,0),"")</f>
        <v/>
      </c>
      <c r="G1712" s="110" t="str">
        <f>IFERROR(VLOOKUP(C1712,[1]evdl298!$B:$C,2,0),"")</f>
        <v/>
      </c>
      <c r="H1712" s="110" t="str">
        <f t="shared" si="79"/>
        <v/>
      </c>
      <c r="I1712" s="110" t="str">
        <f t="shared" si="80"/>
        <v/>
      </c>
      <c r="J1712" s="110"/>
      <c r="K1712" s="110"/>
      <c r="M1712" s="110"/>
      <c r="O1712" s="110"/>
    </row>
    <row r="1713" spans="1:15" x14ac:dyDescent="0.3">
      <c r="A1713" s="58" t="str">
        <f>Schedule!E1711</f>
        <v>A900060</v>
      </c>
      <c r="B1713" s="58" t="s">
        <v>2954</v>
      </c>
      <c r="C1713" s="58" t="str">
        <f t="shared" si="78"/>
        <v>900060 KS</v>
      </c>
      <c r="D1713" s="58" t="s">
        <v>3671</v>
      </c>
      <c r="E1713" s="110" t="s">
        <v>3527</v>
      </c>
      <c r="F1713" s="110" t="str">
        <f>IFERROR(VLOOKUP(C1713,[1]evdl298!$B:$D,3,0),"")</f>
        <v/>
      </c>
      <c r="G1713" s="110" t="str">
        <f>IFERROR(VLOOKUP(C1713,[1]evdl298!$B:$C,2,0),"")</f>
        <v/>
      </c>
      <c r="H1713" s="110" t="str">
        <f t="shared" si="79"/>
        <v/>
      </c>
      <c r="I1713" s="110" t="str">
        <f t="shared" si="80"/>
        <v/>
      </c>
      <c r="J1713" s="110"/>
      <c r="K1713" s="110"/>
      <c r="M1713" s="110"/>
      <c r="O1713" s="110"/>
    </row>
    <row r="1714" spans="1:15" x14ac:dyDescent="0.3">
      <c r="A1714" s="58" t="str">
        <f>Schedule!E1712</f>
        <v>A900070</v>
      </c>
      <c r="B1714" s="58" t="s">
        <v>2955</v>
      </c>
      <c r="C1714" s="58" t="str">
        <f t="shared" si="78"/>
        <v>900070 KS</v>
      </c>
      <c r="D1714" s="58" t="s">
        <v>3671</v>
      </c>
      <c r="E1714" s="110" t="s">
        <v>3527</v>
      </c>
      <c r="F1714" s="110" t="str">
        <f>IFERROR(VLOOKUP(C1714,[1]evdl298!$B:$D,3,0),"")</f>
        <v/>
      </c>
      <c r="G1714" s="110" t="str">
        <f>IFERROR(VLOOKUP(C1714,[1]evdl298!$B:$C,2,0),"")</f>
        <v/>
      </c>
      <c r="H1714" s="110" t="str">
        <f t="shared" si="79"/>
        <v/>
      </c>
      <c r="I1714" s="110" t="str">
        <f t="shared" si="80"/>
        <v/>
      </c>
      <c r="J1714" s="110"/>
      <c r="K1714" s="110"/>
      <c r="M1714" s="110"/>
      <c r="O1714" s="110"/>
    </row>
    <row r="1715" spans="1:15" x14ac:dyDescent="0.3">
      <c r="A1715" s="58" t="str">
        <f>Schedule!E1713</f>
        <v>A900080</v>
      </c>
      <c r="B1715" s="58" t="s">
        <v>2956</v>
      </c>
      <c r="C1715" s="58" t="str">
        <f t="shared" si="78"/>
        <v>900080 KS</v>
      </c>
      <c r="D1715" s="58" t="s">
        <v>3671</v>
      </c>
      <c r="E1715" s="110" t="s">
        <v>3527</v>
      </c>
      <c r="F1715" s="110" t="str">
        <f>IFERROR(VLOOKUP(C1715,[1]evdl298!$B:$D,3,0),"")</f>
        <v/>
      </c>
      <c r="G1715" s="110" t="str">
        <f>IFERROR(VLOOKUP(C1715,[1]evdl298!$B:$C,2,0),"")</f>
        <v/>
      </c>
      <c r="H1715" s="110" t="str">
        <f t="shared" si="79"/>
        <v/>
      </c>
      <c r="I1715" s="110" t="str">
        <f t="shared" si="80"/>
        <v/>
      </c>
      <c r="J1715" s="110"/>
      <c r="K1715" s="110"/>
      <c r="M1715" s="110"/>
      <c r="O1715" s="110"/>
    </row>
    <row r="1716" spans="1:15" x14ac:dyDescent="0.3">
      <c r="A1716" s="58" t="str">
        <f>Schedule!E1714</f>
        <v>A900090</v>
      </c>
      <c r="B1716" s="58" t="s">
        <v>3517</v>
      </c>
      <c r="C1716" s="58" t="str">
        <f t="shared" si="78"/>
        <v>900090 KS</v>
      </c>
      <c r="D1716" s="58" t="s">
        <v>3671</v>
      </c>
      <c r="E1716" s="110" t="s">
        <v>3527</v>
      </c>
      <c r="F1716" s="110" t="str">
        <f>IFERROR(VLOOKUP(C1716,[1]evdl298!$B:$D,3,0),"")</f>
        <v/>
      </c>
      <c r="G1716" s="110" t="str">
        <f>IFERROR(VLOOKUP(C1716,[1]evdl298!$B:$C,2,0),"")</f>
        <v/>
      </c>
      <c r="H1716" s="110" t="str">
        <f t="shared" si="79"/>
        <v/>
      </c>
      <c r="I1716" s="110" t="str">
        <f t="shared" si="80"/>
        <v/>
      </c>
      <c r="J1716" s="110"/>
      <c r="K1716" s="110"/>
      <c r="M1716" s="110"/>
      <c r="O1716" s="110"/>
    </row>
    <row r="1717" spans="1:15" x14ac:dyDescent="0.3">
      <c r="A1717" s="58" t="str">
        <f>Schedule!E1715</f>
        <v>A900100</v>
      </c>
      <c r="B1717" s="58" t="s">
        <v>3518</v>
      </c>
      <c r="C1717" s="58" t="str">
        <f t="shared" si="78"/>
        <v>900100 KS</v>
      </c>
      <c r="D1717" s="58" t="s">
        <v>3671</v>
      </c>
      <c r="E1717" s="110" t="s">
        <v>3527</v>
      </c>
      <c r="F1717" s="110" t="str">
        <f>IFERROR(VLOOKUP(C1717,[1]evdl298!$B:$D,3,0),"")</f>
        <v/>
      </c>
      <c r="G1717" s="110" t="str">
        <f>IFERROR(VLOOKUP(C1717,[1]evdl298!$B:$C,2,0),"")</f>
        <v/>
      </c>
      <c r="H1717" s="110" t="str">
        <f t="shared" si="79"/>
        <v/>
      </c>
      <c r="I1717" s="110" t="str">
        <f t="shared" si="80"/>
        <v/>
      </c>
      <c r="J1717" s="110"/>
      <c r="K1717" s="110"/>
      <c r="M1717" s="110"/>
      <c r="O1717" s="110"/>
    </row>
    <row r="1718" spans="1:15" x14ac:dyDescent="0.3">
      <c r="A1718" s="58" t="str">
        <f>Schedule!E1716</f>
        <v>A900110</v>
      </c>
      <c r="B1718" s="58" t="s">
        <v>3519</v>
      </c>
      <c r="C1718" s="58" t="str">
        <f t="shared" si="78"/>
        <v>900110 KS</v>
      </c>
      <c r="D1718" s="58" t="s">
        <v>3671</v>
      </c>
      <c r="E1718" s="110" t="s">
        <v>3527</v>
      </c>
      <c r="F1718" s="110" t="str">
        <f>IFERROR(VLOOKUP(C1718,[1]evdl298!$B:$D,3,0),"")</f>
        <v/>
      </c>
      <c r="G1718" s="110" t="str">
        <f>IFERROR(VLOOKUP(C1718,[1]evdl298!$B:$C,2,0),"")</f>
        <v/>
      </c>
      <c r="H1718" s="110" t="str">
        <f t="shared" si="79"/>
        <v/>
      </c>
      <c r="I1718" s="110" t="str">
        <f t="shared" si="80"/>
        <v/>
      </c>
      <c r="J1718" s="110"/>
      <c r="K1718" s="110"/>
      <c r="M1718" s="110"/>
      <c r="O1718" s="110"/>
    </row>
    <row r="1719" spans="1:15" x14ac:dyDescent="0.3">
      <c r="A1719" s="58" t="str">
        <f>Schedule!E1717</f>
        <v>A900120</v>
      </c>
      <c r="B1719" s="58" t="s">
        <v>3520</v>
      </c>
      <c r="C1719" s="58" t="str">
        <f t="shared" si="78"/>
        <v>900120 KS</v>
      </c>
      <c r="D1719" s="58" t="s">
        <v>3671</v>
      </c>
      <c r="E1719" s="110" t="s">
        <v>3527</v>
      </c>
      <c r="F1719" s="110" t="str">
        <f>IFERROR(VLOOKUP(C1719,[1]evdl298!$B:$D,3,0),"")</f>
        <v/>
      </c>
      <c r="G1719" s="110" t="str">
        <f>IFERROR(VLOOKUP(C1719,[1]evdl298!$B:$C,2,0),"")</f>
        <v/>
      </c>
      <c r="H1719" s="110" t="str">
        <f t="shared" si="79"/>
        <v/>
      </c>
      <c r="I1719" s="110" t="str">
        <f t="shared" si="80"/>
        <v/>
      </c>
      <c r="J1719" s="110"/>
      <c r="K1719" s="110"/>
      <c r="M1719" s="110"/>
      <c r="O1719" s="110"/>
    </row>
    <row r="1720" spans="1:15" x14ac:dyDescent="0.3">
      <c r="A1720" s="58" t="str">
        <f>Schedule!E1718</f>
        <v>A900130</v>
      </c>
      <c r="B1720" s="58" t="s">
        <v>3521</v>
      </c>
      <c r="C1720" s="58" t="str">
        <f t="shared" si="78"/>
        <v>900130 KS</v>
      </c>
      <c r="D1720" s="58" t="s">
        <v>3671</v>
      </c>
      <c r="E1720" s="110" t="s">
        <v>3527</v>
      </c>
      <c r="F1720" s="110" t="str">
        <f>IFERROR(VLOOKUP(C1720,[1]evdl298!$B:$D,3,0),"")</f>
        <v/>
      </c>
      <c r="G1720" s="110" t="str">
        <f>IFERROR(VLOOKUP(C1720,[1]evdl298!$B:$C,2,0),"")</f>
        <v/>
      </c>
      <c r="H1720" s="110" t="str">
        <f t="shared" si="79"/>
        <v/>
      </c>
      <c r="I1720" s="110" t="str">
        <f t="shared" si="80"/>
        <v/>
      </c>
      <c r="J1720" s="110"/>
      <c r="K1720" s="110"/>
      <c r="M1720" s="110"/>
      <c r="O1720" s="110"/>
    </row>
    <row r="1721" spans="1:15" x14ac:dyDescent="0.3">
      <c r="A1721" s="58" t="str">
        <f>Schedule!E1719</f>
        <v>A900140</v>
      </c>
      <c r="B1721" s="58" t="s">
        <v>3522</v>
      </c>
      <c r="C1721" s="58" t="str">
        <f t="shared" si="78"/>
        <v>900140 KS</v>
      </c>
      <c r="D1721" s="58" t="s">
        <v>3671</v>
      </c>
      <c r="E1721" s="110" t="s">
        <v>3527</v>
      </c>
      <c r="F1721" s="110" t="str">
        <f>IFERROR(VLOOKUP(C1721,[1]evdl298!$B:$D,3,0),"")</f>
        <v>E</v>
      </c>
      <c r="G1721" s="110">
        <f>IFERROR(VLOOKUP(C1721,[1]evdl298!$B:$C,2,0),"")</f>
        <v>41500</v>
      </c>
      <c r="H1721" s="110" t="str">
        <f t="shared" si="79"/>
        <v>E</v>
      </c>
      <c r="I1721" s="110">
        <f t="shared" si="80"/>
        <v>41500</v>
      </c>
      <c r="J1721" s="110"/>
      <c r="K1721" s="110"/>
      <c r="M1721" s="110"/>
      <c r="O1721" s="110"/>
    </row>
    <row r="1722" spans="1:15" x14ac:dyDescent="0.3">
      <c r="A1722" s="58" t="str">
        <f>Schedule!E1720</f>
        <v>A900180</v>
      </c>
      <c r="B1722" s="58" t="s">
        <v>3538</v>
      </c>
      <c r="C1722" s="58" t="str">
        <f t="shared" si="78"/>
        <v>900180 KS</v>
      </c>
      <c r="D1722" s="58" t="s">
        <v>3671</v>
      </c>
      <c r="E1722" s="110" t="s">
        <v>3527</v>
      </c>
      <c r="F1722" s="110" t="str">
        <f>IFERROR(VLOOKUP(C1722,[1]evdl298!$B:$D,3,0),"")</f>
        <v/>
      </c>
      <c r="G1722" s="110" t="str">
        <f>IFERROR(VLOOKUP(C1722,[1]evdl298!$B:$C,2,0),"")</f>
        <v/>
      </c>
      <c r="H1722" s="110" t="str">
        <f t="shared" si="79"/>
        <v/>
      </c>
      <c r="I1722" s="110" t="str">
        <f t="shared" si="80"/>
        <v/>
      </c>
      <c r="J1722" s="110"/>
      <c r="K1722" s="110"/>
      <c r="M1722" s="110"/>
      <c r="O1722" s="110"/>
    </row>
    <row r="1723" spans="1:15" x14ac:dyDescent="0.3">
      <c r="A1723" s="58" t="str">
        <f>Schedule!E1721</f>
        <v>A950010</v>
      </c>
      <c r="B1723" s="58" t="s">
        <v>3523</v>
      </c>
      <c r="C1723" s="58" t="str">
        <f t="shared" si="78"/>
        <v>950010 KS</v>
      </c>
      <c r="D1723" s="58" t="s">
        <v>3671</v>
      </c>
      <c r="E1723" s="110" t="s">
        <v>3527</v>
      </c>
      <c r="F1723" s="110" t="str">
        <f>IFERROR(VLOOKUP(C1723,[1]evdl298!$B:$D,3,0),"")</f>
        <v/>
      </c>
      <c r="G1723" s="110" t="str">
        <f>IFERROR(VLOOKUP(C1723,[1]evdl298!$B:$C,2,0),"")</f>
        <v/>
      </c>
      <c r="H1723" s="110" t="str">
        <f t="shared" si="79"/>
        <v/>
      </c>
      <c r="I1723" s="110" t="str">
        <f t="shared" si="80"/>
        <v/>
      </c>
      <c r="J1723" s="110"/>
      <c r="K1723" s="110"/>
      <c r="M1723" s="110"/>
      <c r="O1723" s="110"/>
    </row>
    <row r="1724" spans="1:15" x14ac:dyDescent="0.3">
      <c r="A1724" s="58" t="str">
        <f>Schedule!E1722</f>
        <v>A950070</v>
      </c>
      <c r="B1724" s="58" t="s">
        <v>3524</v>
      </c>
      <c r="C1724" s="58" t="str">
        <f t="shared" si="78"/>
        <v>950070 KS</v>
      </c>
      <c r="D1724" s="58" t="s">
        <v>3671</v>
      </c>
      <c r="E1724" s="110" t="s">
        <v>3527</v>
      </c>
      <c r="F1724" s="110" t="str">
        <f>IFERROR(VLOOKUP(C1724,[1]evdl298!$B:$D,3,0),"")</f>
        <v/>
      </c>
      <c r="G1724" s="110" t="str">
        <f>IFERROR(VLOOKUP(C1724,[1]evdl298!$B:$C,2,0),"")</f>
        <v/>
      </c>
      <c r="H1724" s="110" t="str">
        <f t="shared" si="79"/>
        <v/>
      </c>
      <c r="I1724" s="110" t="str">
        <f t="shared" si="80"/>
        <v/>
      </c>
      <c r="J1724" s="110"/>
      <c r="K1724" s="110"/>
      <c r="M1724" s="110"/>
      <c r="O1724" s="110"/>
    </row>
    <row r="1725" spans="1:15" x14ac:dyDescent="0.3">
      <c r="A1725" s="58" t="str">
        <f>Schedule!E1723</f>
        <v>A950100</v>
      </c>
      <c r="B1725" s="58" t="s">
        <v>2957</v>
      </c>
      <c r="C1725" s="58" t="str">
        <f t="shared" si="78"/>
        <v>950100 KS</v>
      </c>
      <c r="D1725" s="58" t="s">
        <v>3671</v>
      </c>
      <c r="E1725" s="110" t="s">
        <v>3527</v>
      </c>
      <c r="F1725" s="110" t="str">
        <f>IFERROR(VLOOKUP(C1725,[1]evdl298!$B:$D,3,0),"")</f>
        <v/>
      </c>
      <c r="G1725" s="110" t="str">
        <f>IFERROR(VLOOKUP(C1725,[1]evdl298!$B:$C,2,0),"")</f>
        <v/>
      </c>
      <c r="H1725" s="110" t="str">
        <f t="shared" si="79"/>
        <v/>
      </c>
      <c r="I1725" s="110" t="str">
        <f t="shared" si="80"/>
        <v/>
      </c>
      <c r="J1725" s="110"/>
      <c r="K1725" s="110"/>
      <c r="M1725" s="110"/>
      <c r="O1725" s="110"/>
    </row>
    <row r="1726" spans="1:15" x14ac:dyDescent="0.3">
      <c r="A1726" s="58" t="str">
        <f>Schedule!E1724</f>
        <v>A950110</v>
      </c>
      <c r="B1726" s="58" t="s">
        <v>3525</v>
      </c>
      <c r="C1726" s="58" t="str">
        <f t="shared" si="78"/>
        <v>950110 KS</v>
      </c>
      <c r="D1726" s="58" t="s">
        <v>3671</v>
      </c>
      <c r="E1726" s="110" t="s">
        <v>3527</v>
      </c>
      <c r="F1726" s="110" t="str">
        <f>IFERROR(VLOOKUP(C1726,[1]evdl298!$B:$D,3,0),"")</f>
        <v/>
      </c>
      <c r="G1726" s="110" t="str">
        <f>IFERROR(VLOOKUP(C1726,[1]evdl298!$B:$C,2,0),"")</f>
        <v/>
      </c>
      <c r="H1726" s="110" t="str">
        <f t="shared" si="79"/>
        <v/>
      </c>
      <c r="I1726" s="110" t="str">
        <f t="shared" si="80"/>
        <v/>
      </c>
      <c r="J1726" s="110"/>
      <c r="K1726" s="110"/>
      <c r="M1726" s="110"/>
      <c r="O1726" s="110"/>
    </row>
    <row r="1727" spans="1:15" x14ac:dyDescent="0.3">
      <c r="A1727" s="58" t="str">
        <f>Schedule!E1725</f>
        <v>A950130</v>
      </c>
      <c r="B1727" s="58" t="s">
        <v>3539</v>
      </c>
      <c r="C1727" s="58" t="str">
        <f t="shared" si="78"/>
        <v>950130 KS</v>
      </c>
      <c r="D1727" s="58" t="s">
        <v>3671</v>
      </c>
      <c r="E1727" s="110" t="s">
        <v>3527</v>
      </c>
      <c r="F1727" s="110" t="str">
        <f>IFERROR(VLOOKUP(C1727,[1]evdl298!$B:$D,3,0),"")</f>
        <v/>
      </c>
      <c r="G1727" s="110" t="str">
        <f>IFERROR(VLOOKUP(C1727,[1]evdl298!$B:$C,2,0),"")</f>
        <v/>
      </c>
      <c r="H1727" s="110" t="str">
        <f t="shared" si="79"/>
        <v/>
      </c>
      <c r="I1727" s="110" t="str">
        <f t="shared" si="80"/>
        <v/>
      </c>
      <c r="J1727" s="110"/>
      <c r="K1727" s="110"/>
      <c r="M1727" s="110"/>
      <c r="O1727" s="110">
        <v>84</v>
      </c>
    </row>
    <row r="1728" spans="1:15" x14ac:dyDescent="0.3">
      <c r="A1728" s="58">
        <f>Schedule!E1726</f>
        <v>0</v>
      </c>
      <c r="B1728" s="58" t="s">
        <v>3598</v>
      </c>
      <c r="C1728" s="58" t="str">
        <f t="shared" si="78"/>
        <v>0 KS</v>
      </c>
      <c r="D1728" s="58" t="s">
        <v>3671</v>
      </c>
      <c r="E1728" s="110" t="s">
        <v>3527</v>
      </c>
      <c r="F1728" s="110" t="str">
        <f>IFERROR(VLOOKUP(C1728,[1]evdl298!$B:$D,3,0),"")</f>
        <v/>
      </c>
      <c r="G1728" s="110" t="str">
        <f>IFERROR(VLOOKUP(C1728,[1]evdl298!$B:$C,2,0),"")</f>
        <v/>
      </c>
      <c r="H1728" s="110" t="str">
        <f t="shared" si="79"/>
        <v/>
      </c>
      <c r="I1728" s="110" t="str">
        <f t="shared" si="80"/>
        <v/>
      </c>
      <c r="J1728" s="110"/>
      <c r="K1728" s="110"/>
      <c r="M1728" s="110"/>
      <c r="O1728" s="110"/>
    </row>
    <row r="1729" spans="1:15" x14ac:dyDescent="0.3">
      <c r="A1729" s="58">
        <f>Schedule!E1727</f>
        <v>0</v>
      </c>
      <c r="B1729" s="58">
        <v>0</v>
      </c>
      <c r="C1729" s="58" t="str">
        <f t="shared" si="78"/>
        <v>0 KS</v>
      </c>
      <c r="D1729" s="58" t="s">
        <v>3671</v>
      </c>
      <c r="E1729" s="110" t="s">
        <v>3527</v>
      </c>
      <c r="F1729" s="110" t="str">
        <f>IFERROR(VLOOKUP(C1729,[1]evdl298!$B:$D,3,0),"")</f>
        <v/>
      </c>
      <c r="G1729" s="110" t="str">
        <f>IFERROR(VLOOKUP(C1729,[1]evdl298!$B:$C,2,0),"")</f>
        <v/>
      </c>
      <c r="H1729" s="110" t="str">
        <f t="shared" si="79"/>
        <v/>
      </c>
      <c r="I1729" s="110" t="str">
        <f t="shared" si="80"/>
        <v/>
      </c>
      <c r="J1729" s="110"/>
      <c r="K1729" s="110"/>
      <c r="M1729" s="110"/>
      <c r="O1729" s="110"/>
    </row>
    <row r="1730" spans="1:15" x14ac:dyDescent="0.3">
      <c r="A1730" s="58">
        <f>Schedule!E1728</f>
        <v>0</v>
      </c>
      <c r="B1730" s="58">
        <v>0</v>
      </c>
      <c r="C1730" s="58" t="str">
        <f t="shared" si="78"/>
        <v>0 KS</v>
      </c>
      <c r="D1730" s="58" t="s">
        <v>3671</v>
      </c>
      <c r="E1730" s="110" t="s">
        <v>3527</v>
      </c>
      <c r="F1730" s="110" t="str">
        <f>IFERROR(VLOOKUP(C1730,[1]evdl298!$B:$D,3,0),"")</f>
        <v/>
      </c>
      <c r="G1730" s="110" t="str">
        <f>IFERROR(VLOOKUP(C1730,[1]evdl298!$B:$C,2,0),"")</f>
        <v/>
      </c>
      <c r="H1730" s="110" t="str">
        <f t="shared" si="79"/>
        <v/>
      </c>
      <c r="I1730" s="110" t="str">
        <f t="shared" si="80"/>
        <v/>
      </c>
      <c r="J1730" s="110"/>
      <c r="K1730" s="110"/>
      <c r="M1730" s="110"/>
      <c r="O1730" s="110"/>
    </row>
    <row r="1731" spans="1:15" x14ac:dyDescent="0.3">
      <c r="A1731" s="58">
        <f>Schedule!E1729</f>
        <v>0</v>
      </c>
      <c r="B1731" s="58">
        <v>0</v>
      </c>
      <c r="C1731" s="58" t="str">
        <f t="shared" si="78"/>
        <v>0 KS</v>
      </c>
      <c r="D1731" s="58" t="s">
        <v>3671</v>
      </c>
      <c r="E1731" s="110" t="s">
        <v>3527</v>
      </c>
      <c r="F1731" s="110" t="str">
        <f>IFERROR(VLOOKUP(C1731,[1]evdl298!$B:$D,3,0),"")</f>
        <v/>
      </c>
      <c r="G1731" s="110" t="str">
        <f>IFERROR(VLOOKUP(C1731,[1]evdl298!$B:$C,2,0),"")</f>
        <v/>
      </c>
      <c r="H1731" s="110" t="str">
        <f t="shared" si="79"/>
        <v/>
      </c>
      <c r="I1731" s="110" t="str">
        <f t="shared" si="80"/>
        <v/>
      </c>
      <c r="J1731" s="110"/>
      <c r="K1731" s="110"/>
      <c r="M1731" s="110"/>
      <c r="O1731" s="110"/>
    </row>
    <row r="1732" spans="1:15" x14ac:dyDescent="0.3">
      <c r="A1732" s="58">
        <f>Schedule!E1730</f>
        <v>0</v>
      </c>
      <c r="B1732" s="58">
        <v>0</v>
      </c>
      <c r="C1732" s="58" t="str">
        <f t="shared" si="78"/>
        <v>0 KS</v>
      </c>
      <c r="D1732" s="58" t="s">
        <v>3671</v>
      </c>
      <c r="E1732" s="110" t="s">
        <v>3527</v>
      </c>
      <c r="F1732" s="110" t="str">
        <f>IFERROR(VLOOKUP(C1732,[1]evdl298!$B:$D,3,0),"")</f>
        <v/>
      </c>
      <c r="G1732" s="110" t="str">
        <f>IFERROR(VLOOKUP(C1732,[1]evdl298!$B:$C,2,0),"")</f>
        <v/>
      </c>
      <c r="H1732" s="110" t="str">
        <f t="shared" si="79"/>
        <v/>
      </c>
      <c r="I1732" s="110" t="str">
        <f t="shared" si="80"/>
        <v/>
      </c>
      <c r="J1732" s="110"/>
      <c r="K1732" s="110"/>
      <c r="M1732" s="110"/>
      <c r="O1732" s="110"/>
    </row>
    <row r="1733" spans="1:15" x14ac:dyDescent="0.3">
      <c r="A1733" s="58">
        <f>Schedule!E1731</f>
        <v>0</v>
      </c>
      <c r="B1733" s="58">
        <v>0</v>
      </c>
      <c r="C1733" s="58" t="str">
        <f t="shared" si="78"/>
        <v>0 KS</v>
      </c>
      <c r="D1733" s="58" t="s">
        <v>3671</v>
      </c>
      <c r="E1733" s="110" t="s">
        <v>3527</v>
      </c>
      <c r="F1733" s="110" t="str">
        <f>IFERROR(VLOOKUP(C1733,[1]evdl298!$B:$D,3,0),"")</f>
        <v/>
      </c>
      <c r="G1733" s="110" t="str">
        <f>IFERROR(VLOOKUP(C1733,[1]evdl298!$B:$C,2,0),"")</f>
        <v/>
      </c>
      <c r="H1733" s="110" t="str">
        <f t="shared" si="79"/>
        <v/>
      </c>
      <c r="I1733" s="110" t="str">
        <f t="shared" si="80"/>
        <v/>
      </c>
      <c r="J1733" s="110"/>
      <c r="K1733" s="110"/>
      <c r="M1733" s="110"/>
      <c r="O1733" s="110"/>
    </row>
    <row r="1734" spans="1:15" x14ac:dyDescent="0.3">
      <c r="A1734" s="58">
        <f>Schedule!E1732</f>
        <v>0</v>
      </c>
      <c r="B1734" s="58">
        <v>0</v>
      </c>
      <c r="C1734" s="58" t="str">
        <f t="shared" si="78"/>
        <v>0 KS</v>
      </c>
      <c r="D1734" s="58" t="s">
        <v>3671</v>
      </c>
      <c r="E1734" s="110" t="s">
        <v>3527</v>
      </c>
      <c r="F1734" s="110" t="str">
        <f>IFERROR(VLOOKUP(C1734,[1]evdl298!$B:$D,3,0),"")</f>
        <v/>
      </c>
      <c r="G1734" s="110" t="str">
        <f>IFERROR(VLOOKUP(C1734,[1]evdl298!$B:$C,2,0),"")</f>
        <v/>
      </c>
      <c r="H1734" s="110" t="str">
        <f t="shared" si="79"/>
        <v/>
      </c>
      <c r="I1734" s="110" t="str">
        <f t="shared" si="80"/>
        <v/>
      </c>
      <c r="J1734" s="110"/>
      <c r="K1734" s="110"/>
      <c r="M1734" s="110"/>
      <c r="O1734" s="110"/>
    </row>
    <row r="1735" spans="1:15" x14ac:dyDescent="0.3">
      <c r="A1735" s="58">
        <f>Schedule!E1733</f>
        <v>0</v>
      </c>
      <c r="B1735" s="58">
        <v>0</v>
      </c>
      <c r="C1735" s="58" t="str">
        <f t="shared" si="78"/>
        <v>0 KS</v>
      </c>
      <c r="D1735" s="58" t="s">
        <v>3671</v>
      </c>
      <c r="E1735" s="110" t="s">
        <v>3527</v>
      </c>
      <c r="F1735" s="110" t="str">
        <f>IFERROR(VLOOKUP(C1735,[1]evdl298!$B:$D,3,0),"")</f>
        <v/>
      </c>
      <c r="G1735" s="110" t="str">
        <f>IFERROR(VLOOKUP(C1735,[1]evdl298!$B:$C,2,0),"")</f>
        <v/>
      </c>
      <c r="H1735" s="110" t="str">
        <f t="shared" si="79"/>
        <v/>
      </c>
      <c r="I1735" s="110" t="str">
        <f t="shared" si="80"/>
        <v/>
      </c>
      <c r="J1735" s="110"/>
      <c r="K1735" s="110"/>
      <c r="M1735" s="110"/>
      <c r="O1735" s="110"/>
    </row>
    <row r="1736" spans="1:15" x14ac:dyDescent="0.3">
      <c r="A1736" s="58">
        <f>Schedule!E1734</f>
        <v>0</v>
      </c>
      <c r="B1736" s="58">
        <v>0</v>
      </c>
      <c r="C1736" s="58" t="str">
        <f t="shared" si="78"/>
        <v>0 KS</v>
      </c>
      <c r="D1736" s="58" t="s">
        <v>3671</v>
      </c>
      <c r="E1736" s="110" t="s">
        <v>3527</v>
      </c>
      <c r="F1736" s="110" t="str">
        <f>IFERROR(VLOOKUP(C1736,[1]evdl298!$B:$D,3,0),"")</f>
        <v/>
      </c>
      <c r="G1736" s="110" t="str">
        <f>IFERROR(VLOOKUP(C1736,[1]evdl298!$B:$C,2,0),"")</f>
        <v/>
      </c>
      <c r="H1736" s="110" t="str">
        <f t="shared" si="79"/>
        <v/>
      </c>
      <c r="I1736" s="110" t="str">
        <f t="shared" si="80"/>
        <v/>
      </c>
      <c r="J1736" s="110"/>
      <c r="K1736" s="110"/>
      <c r="M1736" s="110"/>
      <c r="O1736" s="110"/>
    </row>
    <row r="1737" spans="1:15" x14ac:dyDescent="0.3">
      <c r="A1737" s="58">
        <f>Schedule!E1735</f>
        <v>0</v>
      </c>
      <c r="B1737" s="58">
        <v>0</v>
      </c>
      <c r="C1737" s="58" t="str">
        <f t="shared" si="78"/>
        <v>0 KS</v>
      </c>
      <c r="D1737" s="58" t="s">
        <v>3671</v>
      </c>
      <c r="E1737" s="110" t="s">
        <v>3527</v>
      </c>
      <c r="F1737" s="110" t="str">
        <f>IFERROR(VLOOKUP(C1737,[1]evdl298!$B:$D,3,0),"")</f>
        <v/>
      </c>
      <c r="G1737" s="110" t="str">
        <f>IFERROR(VLOOKUP(C1737,[1]evdl298!$B:$C,2,0),"")</f>
        <v/>
      </c>
      <c r="H1737" s="110" t="str">
        <f t="shared" si="79"/>
        <v/>
      </c>
      <c r="I1737" s="110" t="str">
        <f t="shared" si="80"/>
        <v/>
      </c>
      <c r="J1737" s="110"/>
      <c r="K1737" s="110"/>
      <c r="M1737" s="110"/>
      <c r="O1737" s="110"/>
    </row>
    <row r="1738" spans="1:15" x14ac:dyDescent="0.3">
      <c r="A1738" s="58">
        <f>Schedule!E1736</f>
        <v>0</v>
      </c>
      <c r="B1738" s="58">
        <v>0</v>
      </c>
      <c r="C1738" s="58" t="str">
        <f t="shared" si="78"/>
        <v>0 KS</v>
      </c>
      <c r="D1738" s="58" t="str">
        <f>IFERROR(VLOOKUP(C1738,[2]evdl335!$B:$D,3,0),"")</f>
        <v/>
      </c>
      <c r="E1738" s="110" t="s">
        <v>3527</v>
      </c>
      <c r="F1738" s="110" t="str">
        <f>IFERROR(VLOOKUP(C1738,[1]evdl298!$B:$D,3,0),"")</f>
        <v/>
      </c>
      <c r="G1738" s="110" t="str">
        <f>IFERROR(VLOOKUP(C1738,[1]evdl298!$B:$C,2,0),"")</f>
        <v/>
      </c>
      <c r="H1738" s="110" t="str">
        <f t="shared" si="79"/>
        <v/>
      </c>
      <c r="I1738" s="110" t="str">
        <f t="shared" si="80"/>
        <v/>
      </c>
      <c r="J1738" s="110"/>
      <c r="K1738" s="110"/>
      <c r="M1738" s="110"/>
      <c r="O1738" s="110"/>
    </row>
    <row r="1739" spans="1:15" x14ac:dyDescent="0.3">
      <c r="A1739" s="58">
        <f>Schedule!E1737</f>
        <v>0</v>
      </c>
      <c r="B1739" s="58">
        <v>0</v>
      </c>
      <c r="C1739" s="58" t="str">
        <f t="shared" si="78"/>
        <v>0 KS</v>
      </c>
      <c r="D1739" s="58" t="str">
        <f>IFERROR(VLOOKUP(C1739,[2]evdl335!$B:$D,3,0),"")</f>
        <v/>
      </c>
      <c r="E1739" s="110" t="s">
        <v>3527</v>
      </c>
      <c r="F1739" s="110" t="str">
        <f>IFERROR(VLOOKUP(C1739,[1]evdl298!$B:$D,3,0),"")</f>
        <v/>
      </c>
      <c r="G1739" s="110" t="str">
        <f>IFERROR(VLOOKUP(C1739,[1]evdl298!$B:$C,2,0),"")</f>
        <v/>
      </c>
      <c r="H1739" s="110" t="str">
        <f t="shared" si="79"/>
        <v/>
      </c>
      <c r="I1739" s="110" t="str">
        <f t="shared" si="80"/>
        <v/>
      </c>
      <c r="J1739" s="110"/>
      <c r="K1739" s="110"/>
      <c r="M1739" s="110"/>
      <c r="O1739" s="110"/>
    </row>
    <row r="1740" spans="1:15" x14ac:dyDescent="0.3">
      <c r="A1740" s="58">
        <f>Schedule!E1738</f>
        <v>0</v>
      </c>
      <c r="B1740" s="58">
        <v>0</v>
      </c>
      <c r="C1740" s="58" t="str">
        <f t="shared" si="78"/>
        <v>0 KS</v>
      </c>
      <c r="D1740" s="58" t="str">
        <f>IFERROR(VLOOKUP(C1740,[2]evdl335!$B:$D,3,0),"")</f>
        <v/>
      </c>
      <c r="E1740" s="110" t="s">
        <v>3527</v>
      </c>
      <c r="F1740" s="110" t="str">
        <f>IFERROR(VLOOKUP(C1740,[1]evdl298!$B:$D,3,0),"")</f>
        <v/>
      </c>
      <c r="G1740" s="110" t="str">
        <f>IFERROR(VLOOKUP(C1740,[1]evdl298!$B:$C,2,0),"")</f>
        <v/>
      </c>
      <c r="H1740" s="110" t="str">
        <f t="shared" si="79"/>
        <v/>
      </c>
      <c r="I1740" s="110" t="str">
        <f t="shared" si="80"/>
        <v/>
      </c>
      <c r="J1740" s="110"/>
      <c r="K1740" s="110"/>
      <c r="M1740" s="110"/>
      <c r="O1740" s="110"/>
    </row>
    <row r="1741" spans="1:15" x14ac:dyDescent="0.3">
      <c r="A1741" s="58">
        <f>Schedule!E1739</f>
        <v>0</v>
      </c>
      <c r="B1741" s="58">
        <v>0</v>
      </c>
      <c r="C1741" s="58" t="str">
        <f t="shared" si="78"/>
        <v>0 KS</v>
      </c>
      <c r="D1741" s="58" t="str">
        <f>IFERROR(VLOOKUP(C1741,[2]evdl335!$B:$D,3,0),"")</f>
        <v/>
      </c>
      <c r="E1741" s="110" t="s">
        <v>3527</v>
      </c>
      <c r="F1741" s="110" t="str">
        <f>IFERROR(VLOOKUP(C1741,[1]evdl298!$B:$D,3,0),"")</f>
        <v/>
      </c>
      <c r="G1741" s="110" t="str">
        <f>IFERROR(VLOOKUP(C1741,[1]evdl298!$B:$C,2,0),"")</f>
        <v/>
      </c>
      <c r="H1741" s="110" t="str">
        <f t="shared" si="79"/>
        <v/>
      </c>
      <c r="I1741" s="110" t="str">
        <f t="shared" si="80"/>
        <v/>
      </c>
      <c r="J1741" s="110"/>
      <c r="K1741" s="110"/>
      <c r="M1741" s="110"/>
      <c r="O1741" s="110"/>
    </row>
    <row r="1742" spans="1:15" x14ac:dyDescent="0.3">
      <c r="F1742" s="110"/>
      <c r="H1742" s="110">
        <f t="shared" si="79"/>
        <v>0</v>
      </c>
      <c r="I1742" s="110">
        <f t="shared" si="80"/>
        <v>0</v>
      </c>
    </row>
    <row r="1743" spans="1:15" x14ac:dyDescent="0.3">
      <c r="F1743" s="110"/>
      <c r="H1743" s="110">
        <f t="shared" si="79"/>
        <v>0</v>
      </c>
      <c r="I1743" s="110">
        <f t="shared" si="80"/>
        <v>0</v>
      </c>
    </row>
    <row r="1744" spans="1:15" x14ac:dyDescent="0.3">
      <c r="F1744" s="110"/>
    </row>
    <row r="1745" spans="6:6" x14ac:dyDescent="0.3">
      <c r="F1745" s="110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249"/>
  <sheetViews>
    <sheetView showGridLines="0" workbookViewId="0">
      <pane xSplit="3" ySplit="13" topLeftCell="D14" activePane="bottomRight" state="frozen"/>
      <selection pane="topRight"/>
      <selection pane="bottomLeft"/>
      <selection pane="bottomRight"/>
    </sheetView>
  </sheetViews>
  <sheetFormatPr defaultColWidth="9" defaultRowHeight="12" x14ac:dyDescent="0.3"/>
  <cols>
    <col min="1" max="7" width="14.625" style="95" customWidth="1"/>
    <col min="8" max="16384" width="9" style="95"/>
  </cols>
  <sheetData>
    <row r="1" spans="1:7" ht="15" customHeight="1" x14ac:dyDescent="0.3">
      <c r="A1" s="93" t="s">
        <v>34</v>
      </c>
      <c r="B1" s="94" t="s">
        <v>3720</v>
      </c>
    </row>
    <row r="3" spans="1:7" x14ac:dyDescent="0.3">
      <c r="A3" s="3" t="s">
        <v>3752</v>
      </c>
    </row>
    <row r="4" spans="1:7" x14ac:dyDescent="0.3">
      <c r="A4" s="96" t="s">
        <v>3753</v>
      </c>
      <c r="B4" s="96">
        <v>0</v>
      </c>
      <c r="C4" s="96" t="s">
        <v>2</v>
      </c>
    </row>
    <row r="5" spans="1:7" x14ac:dyDescent="0.3">
      <c r="A5" s="97"/>
      <c r="B5" s="97"/>
      <c r="C5" s="97"/>
    </row>
    <row r="6" spans="1:7" x14ac:dyDescent="0.3">
      <c r="A6" s="97"/>
      <c r="B6" s="97"/>
      <c r="C6" s="97"/>
    </row>
    <row r="7" spans="1:7" x14ac:dyDescent="0.3">
      <c r="A7" s="99"/>
      <c r="B7" s="99"/>
      <c r="C7" s="99"/>
    </row>
    <row r="9" spans="1:7" x14ac:dyDescent="0.3">
      <c r="A9" s="96"/>
      <c r="B9" s="96" t="s">
        <v>3754</v>
      </c>
      <c r="C9" s="96" t="s">
        <v>31</v>
      </c>
      <c r="D9" s="96" t="s">
        <v>32</v>
      </c>
      <c r="E9" s="96" t="s">
        <v>32</v>
      </c>
      <c r="F9" s="96" t="s">
        <v>32</v>
      </c>
      <c r="G9" s="96" t="s">
        <v>32</v>
      </c>
    </row>
    <row r="10" spans="1:7" x14ac:dyDescent="0.3">
      <c r="A10" s="98"/>
      <c r="B10" s="98" t="s">
        <v>3755</v>
      </c>
      <c r="C10" s="98"/>
      <c r="D10" s="98">
        <f>Main!F4</f>
        <v>201206</v>
      </c>
      <c r="E10" s="98">
        <f>Main!E4</f>
        <v>201209</v>
      </c>
      <c r="F10" s="98">
        <f>Main!D4</f>
        <v>201212</v>
      </c>
      <c r="G10" s="98">
        <f>Main!C4</f>
        <v>201303</v>
      </c>
    </row>
    <row r="11" spans="1:7" x14ac:dyDescent="0.3">
      <c r="A11" s="98"/>
      <c r="B11" s="98" t="s">
        <v>3756</v>
      </c>
      <c r="C11" s="98" t="s">
        <v>35</v>
      </c>
      <c r="D11" s="98" t="s">
        <v>33</v>
      </c>
      <c r="E11" s="98" t="s">
        <v>33</v>
      </c>
      <c r="F11" s="98" t="s">
        <v>33</v>
      </c>
      <c r="G11" s="98" t="s">
        <v>33</v>
      </c>
    </row>
    <row r="12" spans="1:7" x14ac:dyDescent="0.3">
      <c r="A12" s="102"/>
      <c r="B12" s="102" t="s">
        <v>3716</v>
      </c>
      <c r="C12" s="98"/>
      <c r="D12" s="98"/>
      <c r="E12" s="98"/>
      <c r="F12" s="98"/>
      <c r="G12" s="98"/>
    </row>
    <row r="13" spans="1:7" x14ac:dyDescent="0.3">
      <c r="A13" s="104" t="s">
        <v>3757</v>
      </c>
      <c r="B13" s="105" t="s">
        <v>3758</v>
      </c>
      <c r="C13" s="105" t="s">
        <v>3717</v>
      </c>
      <c r="D13" s="105" t="s">
        <v>3995</v>
      </c>
      <c r="E13" s="105" t="s">
        <v>3996</v>
      </c>
      <c r="F13" s="105" t="s">
        <v>3997</v>
      </c>
      <c r="G13" s="105" t="s">
        <v>3998</v>
      </c>
    </row>
    <row r="14" spans="1:7" x14ac:dyDescent="0.3">
      <c r="A14" s="106" t="s">
        <v>3759</v>
      </c>
      <c r="B14" s="97" t="s">
        <v>3999</v>
      </c>
      <c r="C14" s="106">
        <v>12</v>
      </c>
      <c r="D14" s="107">
        <v>-2.86</v>
      </c>
      <c r="E14" s="107">
        <v>6.57</v>
      </c>
      <c r="F14" s="107">
        <v>45.1</v>
      </c>
      <c r="G14" s="107">
        <v>-2.74</v>
      </c>
    </row>
    <row r="15" spans="1:7" x14ac:dyDescent="0.3">
      <c r="A15" s="106" t="s">
        <v>3760</v>
      </c>
      <c r="B15" s="97" t="s">
        <v>4000</v>
      </c>
      <c r="C15" s="106">
        <v>12</v>
      </c>
      <c r="D15" s="107">
        <v>5.28</v>
      </c>
      <c r="E15" s="107">
        <v>-7.42</v>
      </c>
      <c r="F15" s="107">
        <v>-45.18</v>
      </c>
      <c r="G15" s="107">
        <v>-43.49</v>
      </c>
    </row>
    <row r="16" spans="1:7" x14ac:dyDescent="0.3">
      <c r="A16" s="106" t="s">
        <v>3761</v>
      </c>
      <c r="B16" s="97" t="s">
        <v>4001</v>
      </c>
      <c r="C16" s="106">
        <v>12</v>
      </c>
      <c r="D16" s="107">
        <v>-11.89</v>
      </c>
      <c r="E16" s="107">
        <v>-63.57</v>
      </c>
      <c r="F16" s="107">
        <v>-160.22999999999999</v>
      </c>
      <c r="G16" s="107">
        <v>168.26</v>
      </c>
    </row>
    <row r="17" spans="1:7" x14ac:dyDescent="0.3">
      <c r="A17" s="106" t="s">
        <v>3762</v>
      </c>
      <c r="B17" s="97" t="s">
        <v>4002</v>
      </c>
      <c r="C17" s="106">
        <v>12</v>
      </c>
      <c r="D17" s="107">
        <v>-43.03</v>
      </c>
      <c r="E17" s="107">
        <v>-4</v>
      </c>
      <c r="F17" s="107">
        <v>-8.25</v>
      </c>
      <c r="G17" s="107">
        <v>13.82</v>
      </c>
    </row>
    <row r="18" spans="1:7" x14ac:dyDescent="0.3">
      <c r="A18" s="106" t="s">
        <v>3763</v>
      </c>
      <c r="B18" s="97" t="s">
        <v>4003</v>
      </c>
      <c r="C18" s="106">
        <v>12</v>
      </c>
      <c r="D18" s="107">
        <v>-14.67</v>
      </c>
      <c r="E18" s="107"/>
      <c r="F18" s="107"/>
      <c r="G18" s="107"/>
    </row>
    <row r="19" spans="1:7" x14ac:dyDescent="0.3">
      <c r="A19" s="106" t="s">
        <v>3764</v>
      </c>
      <c r="B19" s="97" t="s">
        <v>4004</v>
      </c>
      <c r="C19" s="106">
        <v>12</v>
      </c>
      <c r="D19" s="107">
        <v>-4.72</v>
      </c>
      <c r="E19" s="107">
        <v>-13.52</v>
      </c>
      <c r="F19" s="107">
        <v>-44.12</v>
      </c>
      <c r="G19" s="107">
        <v>-1.23</v>
      </c>
    </row>
    <row r="20" spans="1:7" x14ac:dyDescent="0.3">
      <c r="A20" s="106" t="s">
        <v>3765</v>
      </c>
      <c r="B20" s="97" t="s">
        <v>4005</v>
      </c>
      <c r="C20" s="106">
        <v>12</v>
      </c>
      <c r="D20" s="107">
        <v>7.17</v>
      </c>
      <c r="E20" s="107">
        <v>41.25</v>
      </c>
      <c r="F20" s="107">
        <v>18.899999999999999</v>
      </c>
      <c r="G20" s="107"/>
    </row>
    <row r="21" spans="1:7" x14ac:dyDescent="0.3">
      <c r="A21" s="106" t="s">
        <v>3766</v>
      </c>
      <c r="B21" s="97" t="s">
        <v>4006</v>
      </c>
      <c r="C21" s="106">
        <v>12</v>
      </c>
      <c r="D21" s="107">
        <v>-66.16</v>
      </c>
      <c r="E21" s="107">
        <v>74.150000000000006</v>
      </c>
      <c r="F21" s="107">
        <v>-32.89</v>
      </c>
      <c r="G21" s="107">
        <v>43.71</v>
      </c>
    </row>
    <row r="22" spans="1:7" x14ac:dyDescent="0.3">
      <c r="A22" s="106" t="s">
        <v>3767</v>
      </c>
      <c r="B22" s="97" t="s">
        <v>4007</v>
      </c>
      <c r="C22" s="106">
        <v>12</v>
      </c>
      <c r="D22" s="107">
        <v>-7.58</v>
      </c>
      <c r="E22" s="107">
        <v>8.4700000000000006</v>
      </c>
      <c r="F22" s="107">
        <v>6.53</v>
      </c>
      <c r="G22" s="107">
        <v>-1.21</v>
      </c>
    </row>
    <row r="23" spans="1:7" x14ac:dyDescent="0.3">
      <c r="A23" s="106" t="s">
        <v>3768</v>
      </c>
      <c r="B23" s="97" t="s">
        <v>4008</v>
      </c>
      <c r="C23" s="106">
        <v>12</v>
      </c>
      <c r="D23" s="107">
        <v>65.02</v>
      </c>
      <c r="E23" s="107">
        <v>-31.94</v>
      </c>
      <c r="F23" s="107">
        <v>80.11</v>
      </c>
      <c r="G23" s="107">
        <v>-50.45</v>
      </c>
    </row>
    <row r="24" spans="1:7" x14ac:dyDescent="0.3">
      <c r="A24" s="106" t="s">
        <v>3769</v>
      </c>
      <c r="B24" s="97" t="s">
        <v>4009</v>
      </c>
      <c r="C24" s="106">
        <v>12</v>
      </c>
      <c r="D24" s="107">
        <v>-2.25</v>
      </c>
      <c r="E24" s="107">
        <v>-18</v>
      </c>
      <c r="F24" s="107">
        <v>25.17</v>
      </c>
      <c r="G24" s="107">
        <v>55.88</v>
      </c>
    </row>
    <row r="25" spans="1:7" x14ac:dyDescent="0.3">
      <c r="A25" s="106" t="s">
        <v>3770</v>
      </c>
      <c r="B25" s="97" t="s">
        <v>4010</v>
      </c>
      <c r="C25" s="106">
        <v>12</v>
      </c>
      <c r="D25" s="107">
        <v>11.8</v>
      </c>
      <c r="E25" s="107">
        <v>-4.92</v>
      </c>
      <c r="F25" s="107">
        <v>-21.24</v>
      </c>
      <c r="G25" s="107">
        <v>-20.260000000000002</v>
      </c>
    </row>
    <row r="26" spans="1:7" x14ac:dyDescent="0.3">
      <c r="A26" s="106" t="s">
        <v>3771</v>
      </c>
      <c r="B26" s="97" t="s">
        <v>4011</v>
      </c>
      <c r="C26" s="106">
        <v>12</v>
      </c>
      <c r="D26" s="107">
        <v>-10.06</v>
      </c>
      <c r="E26" s="107">
        <v>-3.84</v>
      </c>
      <c r="F26" s="107">
        <v>-2.46</v>
      </c>
      <c r="G26" s="107">
        <v>-10.73</v>
      </c>
    </row>
    <row r="27" spans="1:7" x14ac:dyDescent="0.3">
      <c r="A27" s="106" t="s">
        <v>3772</v>
      </c>
      <c r="B27" s="97" t="s">
        <v>4012</v>
      </c>
      <c r="C27" s="106">
        <v>12</v>
      </c>
      <c r="D27" s="107">
        <v>173.79</v>
      </c>
      <c r="E27" s="107">
        <v>-406.36</v>
      </c>
      <c r="F27" s="107">
        <v>-1465.27</v>
      </c>
      <c r="G27" s="107">
        <v>164.83</v>
      </c>
    </row>
    <row r="28" spans="1:7" x14ac:dyDescent="0.3">
      <c r="A28" s="106" t="s">
        <v>3773</v>
      </c>
      <c r="B28" s="97" t="s">
        <v>4013</v>
      </c>
      <c r="C28" s="106">
        <v>12</v>
      </c>
      <c r="D28" s="107">
        <v>15.15</v>
      </c>
      <c r="E28" s="107">
        <v>-12.15</v>
      </c>
      <c r="F28" s="107">
        <v>-25.63</v>
      </c>
      <c r="G28" s="107">
        <v>-9.8800000000000008</v>
      </c>
    </row>
    <row r="29" spans="1:7" x14ac:dyDescent="0.3">
      <c r="A29" s="106" t="s">
        <v>3774</v>
      </c>
      <c r="B29" s="97" t="s">
        <v>4014</v>
      </c>
      <c r="C29" s="106">
        <v>12</v>
      </c>
      <c r="D29" s="107">
        <v>-2.73</v>
      </c>
      <c r="E29" s="107">
        <v>-30.06</v>
      </c>
      <c r="F29" s="107">
        <v>-36.270000000000003</v>
      </c>
      <c r="G29" s="107">
        <v>12.13</v>
      </c>
    </row>
    <row r="30" spans="1:7" x14ac:dyDescent="0.3">
      <c r="A30" s="106" t="s">
        <v>3775</v>
      </c>
      <c r="B30" s="97" t="s">
        <v>4015</v>
      </c>
      <c r="C30" s="106">
        <v>12</v>
      </c>
      <c r="D30" s="107">
        <v>32.89</v>
      </c>
      <c r="E30" s="107">
        <v>22.98</v>
      </c>
      <c r="F30" s="107">
        <v>0.7</v>
      </c>
      <c r="G30" s="107"/>
    </row>
    <row r="31" spans="1:7" x14ac:dyDescent="0.3">
      <c r="A31" s="106" t="s">
        <v>3776</v>
      </c>
      <c r="B31" s="97" t="s">
        <v>4016</v>
      </c>
      <c r="C31" s="106">
        <v>12</v>
      </c>
      <c r="D31" s="107">
        <v>27.17</v>
      </c>
      <c r="E31" s="107">
        <v>6.04</v>
      </c>
      <c r="F31" s="107"/>
      <c r="G31" s="107">
        <v>-8.94</v>
      </c>
    </row>
    <row r="32" spans="1:7" x14ac:dyDescent="0.3">
      <c r="A32" s="106" t="s">
        <v>3777</v>
      </c>
      <c r="B32" s="97" t="s">
        <v>4017</v>
      </c>
      <c r="C32" s="106">
        <v>12</v>
      </c>
      <c r="D32" s="107">
        <v>10.35</v>
      </c>
      <c r="E32" s="107">
        <v>-47.79</v>
      </c>
      <c r="F32" s="107">
        <v>-9.66</v>
      </c>
      <c r="G32" s="107">
        <v>-53.26</v>
      </c>
    </row>
    <row r="33" spans="1:7" x14ac:dyDescent="0.3">
      <c r="A33" s="106" t="s">
        <v>3778</v>
      </c>
      <c r="B33" s="97" t="s">
        <v>4018</v>
      </c>
      <c r="C33" s="106">
        <v>12</v>
      </c>
      <c r="D33" s="107">
        <v>25.32</v>
      </c>
      <c r="E33" s="107">
        <v>-2.21</v>
      </c>
      <c r="F33" s="107">
        <v>-20.84</v>
      </c>
      <c r="G33" s="107">
        <v>-8.66</v>
      </c>
    </row>
    <row r="34" spans="1:7" x14ac:dyDescent="0.3">
      <c r="A34" s="106" t="s">
        <v>3779</v>
      </c>
      <c r="B34" s="97" t="s">
        <v>4019</v>
      </c>
      <c r="C34" s="106">
        <v>12</v>
      </c>
      <c r="D34" s="107">
        <v>6.9</v>
      </c>
      <c r="E34" s="107">
        <v>-16.07</v>
      </c>
      <c r="F34" s="107">
        <v>-38.53</v>
      </c>
      <c r="G34" s="107">
        <v>3.3</v>
      </c>
    </row>
    <row r="35" spans="1:7" x14ac:dyDescent="0.3">
      <c r="A35" s="106" t="s">
        <v>3780</v>
      </c>
      <c r="B35" s="97" t="s">
        <v>4020</v>
      </c>
      <c r="C35" s="106">
        <v>12</v>
      </c>
      <c r="D35" s="107">
        <v>-10.82</v>
      </c>
      <c r="E35" s="107">
        <v>-5.57</v>
      </c>
      <c r="F35" s="107">
        <v>-46.12</v>
      </c>
      <c r="G35" s="107">
        <v>-18.34</v>
      </c>
    </row>
    <row r="36" spans="1:7" x14ac:dyDescent="0.3">
      <c r="A36" s="106" t="s">
        <v>3781</v>
      </c>
      <c r="B36" s="97" t="s">
        <v>4021</v>
      </c>
      <c r="C36" s="106">
        <v>3</v>
      </c>
      <c r="D36" s="107">
        <v>-262.68</v>
      </c>
      <c r="E36" s="107">
        <v>536.89</v>
      </c>
      <c r="F36" s="107">
        <v>-278.57</v>
      </c>
      <c r="G36" s="107">
        <v>-56.07</v>
      </c>
    </row>
    <row r="37" spans="1:7" x14ac:dyDescent="0.3">
      <c r="A37" s="106" t="s">
        <v>3782</v>
      </c>
      <c r="B37" s="97" t="s">
        <v>4022</v>
      </c>
      <c r="C37" s="106">
        <v>12</v>
      </c>
      <c r="D37" s="107">
        <v>118.26</v>
      </c>
      <c r="E37" s="107">
        <v>-8.9</v>
      </c>
      <c r="F37" s="107">
        <v>-133.71</v>
      </c>
      <c r="G37" s="107">
        <v>-64.62</v>
      </c>
    </row>
    <row r="38" spans="1:7" x14ac:dyDescent="0.3">
      <c r="A38" s="106" t="s">
        <v>3783</v>
      </c>
      <c r="B38" s="97" t="s">
        <v>4023</v>
      </c>
      <c r="C38" s="106">
        <v>12</v>
      </c>
      <c r="D38" s="107">
        <v>-18.18</v>
      </c>
      <c r="E38" s="107">
        <v>-10.95</v>
      </c>
      <c r="F38" s="107">
        <v>-37.06</v>
      </c>
      <c r="G38" s="107">
        <v>-41.21</v>
      </c>
    </row>
    <row r="39" spans="1:7" x14ac:dyDescent="0.3">
      <c r="A39" s="106" t="s">
        <v>3784</v>
      </c>
      <c r="B39" s="97" t="s">
        <v>4024</v>
      </c>
      <c r="C39" s="106">
        <v>12</v>
      </c>
      <c r="D39" s="107">
        <v>-50.87</v>
      </c>
      <c r="E39" s="107">
        <v>-17.190000000000001</v>
      </c>
      <c r="F39" s="107">
        <v>-39.659999999999997</v>
      </c>
      <c r="G39" s="107">
        <v>-26.65</v>
      </c>
    </row>
    <row r="40" spans="1:7" x14ac:dyDescent="0.3">
      <c r="A40" s="106" t="s">
        <v>3785</v>
      </c>
      <c r="B40" s="97" t="s">
        <v>4025</v>
      </c>
      <c r="C40" s="106">
        <v>12</v>
      </c>
      <c r="D40" s="107">
        <v>-13.58</v>
      </c>
      <c r="E40" s="107">
        <v>-12.19</v>
      </c>
      <c r="F40" s="107">
        <v>-1.94</v>
      </c>
      <c r="G40" s="107">
        <v>-18.3</v>
      </c>
    </row>
    <row r="41" spans="1:7" x14ac:dyDescent="0.3">
      <c r="A41" s="106" t="s">
        <v>3786</v>
      </c>
      <c r="B41" s="97" t="s">
        <v>4026</v>
      </c>
      <c r="C41" s="106">
        <v>12</v>
      </c>
      <c r="D41" s="107">
        <v>-5.39</v>
      </c>
      <c r="E41" s="107">
        <v>-18.239999999999998</v>
      </c>
      <c r="F41" s="107">
        <v>-80.53</v>
      </c>
      <c r="G41" s="107">
        <v>-2253.85</v>
      </c>
    </row>
    <row r="42" spans="1:7" x14ac:dyDescent="0.3">
      <c r="A42" s="106" t="s">
        <v>3787</v>
      </c>
      <c r="B42" s="97" t="s">
        <v>4027</v>
      </c>
      <c r="C42" s="106">
        <v>12</v>
      </c>
      <c r="D42" s="107">
        <v>3.26</v>
      </c>
      <c r="E42" s="107">
        <v>-5.73</v>
      </c>
      <c r="F42" s="107">
        <v>11.46</v>
      </c>
      <c r="G42" s="107">
        <v>9.35</v>
      </c>
    </row>
    <row r="43" spans="1:7" x14ac:dyDescent="0.3">
      <c r="A43" s="106" t="s">
        <v>3788</v>
      </c>
      <c r="B43" s="97" t="s">
        <v>4028</v>
      </c>
      <c r="C43" s="106">
        <v>12</v>
      </c>
      <c r="D43" s="107">
        <v>-0.37</v>
      </c>
      <c r="E43" s="107">
        <v>8.34</v>
      </c>
      <c r="F43" s="107">
        <v>14.75</v>
      </c>
      <c r="G43" s="107">
        <v>40.700000000000003</v>
      </c>
    </row>
    <row r="44" spans="1:7" x14ac:dyDescent="0.3">
      <c r="A44" s="106" t="s">
        <v>3789</v>
      </c>
      <c r="B44" s="97" t="s">
        <v>4029</v>
      </c>
      <c r="C44" s="106">
        <v>12</v>
      </c>
      <c r="D44" s="107">
        <v>30.29</v>
      </c>
      <c r="E44" s="107">
        <v>5.54</v>
      </c>
      <c r="F44" s="107">
        <v>-16.920000000000002</v>
      </c>
      <c r="G44" s="107"/>
    </row>
    <row r="45" spans="1:7" x14ac:dyDescent="0.3">
      <c r="A45" s="106" t="s">
        <v>3790</v>
      </c>
      <c r="B45" s="97" t="s">
        <v>4030</v>
      </c>
      <c r="C45" s="106">
        <v>12</v>
      </c>
      <c r="D45" s="107">
        <v>-10.68</v>
      </c>
      <c r="E45" s="107">
        <v>15.04</v>
      </c>
      <c r="F45" s="107">
        <v>-22.73</v>
      </c>
      <c r="G45" s="107">
        <v>3.96</v>
      </c>
    </row>
    <row r="46" spans="1:7" x14ac:dyDescent="0.3">
      <c r="A46" s="106" t="s">
        <v>3791</v>
      </c>
      <c r="B46" s="97" t="s">
        <v>4031</v>
      </c>
      <c r="C46" s="106">
        <v>12</v>
      </c>
      <c r="D46" s="107">
        <v>-21.24</v>
      </c>
      <c r="E46" s="107">
        <v>19.03</v>
      </c>
      <c r="F46" s="107">
        <v>-2.5</v>
      </c>
      <c r="G46" s="107">
        <v>19.420000000000002</v>
      </c>
    </row>
    <row r="47" spans="1:7" x14ac:dyDescent="0.3">
      <c r="A47" s="106" t="s">
        <v>3792</v>
      </c>
      <c r="B47" s="97" t="s">
        <v>4032</v>
      </c>
      <c r="C47" s="106">
        <v>12</v>
      </c>
      <c r="D47" s="107">
        <v>32.630000000000003</v>
      </c>
      <c r="E47" s="107">
        <v>14.7</v>
      </c>
      <c r="F47" s="107">
        <v>-90.08</v>
      </c>
      <c r="G47" s="107">
        <v>89.1</v>
      </c>
    </row>
    <row r="48" spans="1:7" x14ac:dyDescent="0.3">
      <c r="A48" s="106" t="s">
        <v>3793</v>
      </c>
      <c r="B48" s="97" t="s">
        <v>4033</v>
      </c>
      <c r="C48" s="106">
        <v>12</v>
      </c>
      <c r="D48" s="107">
        <v>1.98</v>
      </c>
      <c r="E48" s="107">
        <v>-32.99</v>
      </c>
      <c r="F48" s="107">
        <v>-14.82</v>
      </c>
      <c r="G48" s="107"/>
    </row>
    <row r="49" spans="1:7" x14ac:dyDescent="0.3">
      <c r="A49" s="106" t="s">
        <v>3794</v>
      </c>
      <c r="B49" s="97" t="s">
        <v>4034</v>
      </c>
      <c r="C49" s="106">
        <v>12</v>
      </c>
      <c r="D49" s="107"/>
      <c r="E49" s="107">
        <v>-2.85</v>
      </c>
      <c r="F49" s="107"/>
      <c r="G49" s="107"/>
    </row>
    <row r="50" spans="1:7" x14ac:dyDescent="0.3">
      <c r="A50" s="106" t="s">
        <v>3795</v>
      </c>
      <c r="B50" s="97" t="s">
        <v>4035</v>
      </c>
      <c r="C50" s="106">
        <v>12</v>
      </c>
      <c r="D50" s="107">
        <v>2.41</v>
      </c>
      <c r="E50" s="107">
        <v>3.38</v>
      </c>
      <c r="F50" s="107">
        <v>-341.78</v>
      </c>
      <c r="G50" s="107"/>
    </row>
    <row r="51" spans="1:7" x14ac:dyDescent="0.3">
      <c r="A51" s="106" t="s">
        <v>3796</v>
      </c>
      <c r="B51" s="97" t="s">
        <v>4036</v>
      </c>
      <c r="C51" s="106">
        <v>12</v>
      </c>
      <c r="D51" s="107">
        <v>-27.64</v>
      </c>
      <c r="E51" s="107">
        <v>-16.11</v>
      </c>
      <c r="F51" s="107">
        <v>24.41</v>
      </c>
      <c r="G51" s="107">
        <v>-21.81</v>
      </c>
    </row>
    <row r="52" spans="1:7" x14ac:dyDescent="0.3">
      <c r="A52" s="106" t="s">
        <v>3797</v>
      </c>
      <c r="B52" s="97" t="s">
        <v>4037</v>
      </c>
      <c r="C52" s="106">
        <v>12</v>
      </c>
      <c r="D52" s="107">
        <v>1.34</v>
      </c>
      <c r="E52" s="107">
        <v>-2.6</v>
      </c>
      <c r="F52" s="107">
        <v>-11.24</v>
      </c>
      <c r="G52" s="107">
        <v>-0.5</v>
      </c>
    </row>
    <row r="53" spans="1:7" x14ac:dyDescent="0.3">
      <c r="A53" s="106" t="s">
        <v>3798</v>
      </c>
      <c r="B53" s="97" t="s">
        <v>4038</v>
      </c>
      <c r="C53" s="106">
        <v>12</v>
      </c>
      <c r="D53" s="107">
        <v>-19.260000000000002</v>
      </c>
      <c r="E53" s="107">
        <v>-19.690000000000001</v>
      </c>
      <c r="F53" s="107">
        <v>-7.77</v>
      </c>
      <c r="G53" s="107"/>
    </row>
    <row r="54" spans="1:7" x14ac:dyDescent="0.3">
      <c r="A54" s="106" t="s">
        <v>3799</v>
      </c>
      <c r="B54" s="97" t="s">
        <v>4039</v>
      </c>
      <c r="C54" s="106">
        <v>12</v>
      </c>
      <c r="D54" s="107">
        <v>-19.96</v>
      </c>
      <c r="E54" s="107">
        <v>-0.11</v>
      </c>
      <c r="F54" s="107">
        <v>-7.54</v>
      </c>
      <c r="G54" s="107">
        <v>-14.56</v>
      </c>
    </row>
    <row r="55" spans="1:7" x14ac:dyDescent="0.3">
      <c r="A55" s="106" t="s">
        <v>3800</v>
      </c>
      <c r="B55" s="97" t="s">
        <v>4040</v>
      </c>
      <c r="C55" s="106">
        <v>12</v>
      </c>
      <c r="D55" s="107">
        <v>-129.63</v>
      </c>
      <c r="E55" s="107">
        <v>-61.13</v>
      </c>
      <c r="F55" s="107">
        <v>-124.4</v>
      </c>
      <c r="G55" s="107">
        <v>-8.0399999999999991</v>
      </c>
    </row>
    <row r="56" spans="1:7" x14ac:dyDescent="0.3">
      <c r="A56" s="106" t="s">
        <v>3801</v>
      </c>
      <c r="B56" s="97" t="s">
        <v>4041</v>
      </c>
      <c r="C56" s="106">
        <v>12</v>
      </c>
      <c r="D56" s="107">
        <v>0.83</v>
      </c>
      <c r="E56" s="107">
        <v>6.89</v>
      </c>
      <c r="F56" s="107">
        <v>4.04</v>
      </c>
      <c r="G56" s="107">
        <v>3.02</v>
      </c>
    </row>
    <row r="57" spans="1:7" x14ac:dyDescent="0.3">
      <c r="A57" s="106" t="s">
        <v>3802</v>
      </c>
      <c r="B57" s="97" t="s">
        <v>4042</v>
      </c>
      <c r="C57" s="106">
        <v>3</v>
      </c>
      <c r="D57" s="107">
        <v>-26.04</v>
      </c>
      <c r="E57" s="107">
        <v>8.86</v>
      </c>
      <c r="F57" s="107">
        <v>-86.74</v>
      </c>
      <c r="G57" s="107">
        <v>-0.47</v>
      </c>
    </row>
    <row r="58" spans="1:7" x14ac:dyDescent="0.3">
      <c r="A58" s="106" t="s">
        <v>3803</v>
      </c>
      <c r="B58" s="97" t="s">
        <v>4043</v>
      </c>
      <c r="C58" s="106">
        <v>12</v>
      </c>
      <c r="D58" s="107">
        <v>-0.38</v>
      </c>
      <c r="E58" s="107">
        <v>-35.020000000000003</v>
      </c>
      <c r="F58" s="107">
        <v>-49.43</v>
      </c>
      <c r="G58" s="107">
        <v>-24.41</v>
      </c>
    </row>
    <row r="59" spans="1:7" x14ac:dyDescent="0.3">
      <c r="A59" s="106" t="s">
        <v>3804</v>
      </c>
      <c r="B59" s="97" t="s">
        <v>4044</v>
      </c>
      <c r="C59" s="106">
        <v>12</v>
      </c>
      <c r="D59" s="107">
        <v>56.41</v>
      </c>
      <c r="E59" s="107">
        <v>1.93</v>
      </c>
      <c r="F59" s="107">
        <v>-10.26</v>
      </c>
      <c r="G59" s="107">
        <v>-19.75</v>
      </c>
    </row>
    <row r="60" spans="1:7" x14ac:dyDescent="0.3">
      <c r="A60" s="106" t="s">
        <v>3805</v>
      </c>
      <c r="B60" s="97" t="s">
        <v>4045</v>
      </c>
      <c r="C60" s="106">
        <v>12</v>
      </c>
      <c r="D60" s="107">
        <v>-6.9</v>
      </c>
      <c r="E60" s="107">
        <v>-33.86</v>
      </c>
      <c r="F60" s="107">
        <v>-6.61</v>
      </c>
      <c r="G60" s="107">
        <v>-21.09</v>
      </c>
    </row>
    <row r="61" spans="1:7" x14ac:dyDescent="0.3">
      <c r="A61" s="106" t="s">
        <v>3806</v>
      </c>
      <c r="B61" s="97" t="s">
        <v>4046</v>
      </c>
      <c r="C61" s="106">
        <v>12</v>
      </c>
      <c r="D61" s="107">
        <v>-7.68</v>
      </c>
      <c r="E61" s="107">
        <v>-10.16</v>
      </c>
      <c r="F61" s="107">
        <v>-261.60000000000002</v>
      </c>
      <c r="G61" s="107">
        <v>-31.48</v>
      </c>
    </row>
    <row r="62" spans="1:7" x14ac:dyDescent="0.3">
      <c r="A62" s="106" t="s">
        <v>3807</v>
      </c>
      <c r="B62" s="97" t="s">
        <v>4047</v>
      </c>
      <c r="C62" s="106">
        <v>12</v>
      </c>
      <c r="D62" s="107">
        <v>18.2</v>
      </c>
      <c r="E62" s="107">
        <v>36.06</v>
      </c>
      <c r="F62" s="107">
        <v>7.5</v>
      </c>
      <c r="G62" s="107">
        <v>-1.53</v>
      </c>
    </row>
    <row r="63" spans="1:7" x14ac:dyDescent="0.3">
      <c r="A63" s="106" t="s">
        <v>3808</v>
      </c>
      <c r="B63" s="97" t="s">
        <v>4048</v>
      </c>
      <c r="C63" s="106">
        <v>12</v>
      </c>
      <c r="D63" s="107">
        <v>10.28</v>
      </c>
      <c r="E63" s="107">
        <v>-60.42</v>
      </c>
      <c r="F63" s="107">
        <v>-172.93</v>
      </c>
      <c r="G63" s="107">
        <v>-1125.17</v>
      </c>
    </row>
    <row r="64" spans="1:7" x14ac:dyDescent="0.3">
      <c r="A64" s="106" t="s">
        <v>3809</v>
      </c>
      <c r="B64" s="97" t="s">
        <v>4049</v>
      </c>
      <c r="C64" s="106">
        <v>12</v>
      </c>
      <c r="D64" s="107">
        <v>9.84</v>
      </c>
      <c r="E64" s="107">
        <v>368.8</v>
      </c>
      <c r="F64" s="107">
        <v>-98.2</v>
      </c>
      <c r="G64" s="107">
        <v>-288.22000000000003</v>
      </c>
    </row>
    <row r="65" spans="1:7" x14ac:dyDescent="0.3">
      <c r="A65" s="106" t="s">
        <v>3810</v>
      </c>
      <c r="B65" s="97" t="s">
        <v>4050</v>
      </c>
      <c r="C65" s="106">
        <v>12</v>
      </c>
      <c r="D65" s="107">
        <v>-3324.14</v>
      </c>
      <c r="E65" s="107">
        <v>12.74</v>
      </c>
      <c r="F65" s="107">
        <v>-27.63</v>
      </c>
      <c r="G65" s="107">
        <v>374.75</v>
      </c>
    </row>
    <row r="66" spans="1:7" x14ac:dyDescent="0.3">
      <c r="A66" s="106" t="s">
        <v>3811</v>
      </c>
      <c r="B66" s="97" t="s">
        <v>4051</v>
      </c>
      <c r="C66" s="106">
        <v>3</v>
      </c>
      <c r="D66" s="107">
        <v>-30.02</v>
      </c>
      <c r="E66" s="107">
        <v>-15.53</v>
      </c>
      <c r="F66" s="107">
        <v>-51.38</v>
      </c>
      <c r="G66" s="107">
        <v>-8.91</v>
      </c>
    </row>
    <row r="67" spans="1:7" x14ac:dyDescent="0.3">
      <c r="A67" s="106" t="s">
        <v>3812</v>
      </c>
      <c r="B67" s="97" t="s">
        <v>4052</v>
      </c>
      <c r="C67" s="106">
        <v>12</v>
      </c>
      <c r="D67" s="107">
        <v>14.26</v>
      </c>
      <c r="E67" s="107">
        <v>5.31</v>
      </c>
      <c r="F67" s="107">
        <v>-16.59</v>
      </c>
      <c r="G67" s="107">
        <v>1.52</v>
      </c>
    </row>
    <row r="68" spans="1:7" x14ac:dyDescent="0.3">
      <c r="A68" s="106" t="s">
        <v>3813</v>
      </c>
      <c r="B68" s="97" t="s">
        <v>4053</v>
      </c>
      <c r="C68" s="106">
        <v>12</v>
      </c>
      <c r="D68" s="107">
        <v>-2.86</v>
      </c>
      <c r="E68" s="107">
        <v>-22.38</v>
      </c>
      <c r="F68" s="107">
        <v>-26.74</v>
      </c>
      <c r="G68" s="107">
        <v>8.94</v>
      </c>
    </row>
    <row r="69" spans="1:7" x14ac:dyDescent="0.3">
      <c r="A69" s="106" t="s">
        <v>3814</v>
      </c>
      <c r="B69" s="97" t="s">
        <v>4054</v>
      </c>
      <c r="C69" s="106">
        <v>12</v>
      </c>
      <c r="D69" s="107"/>
      <c r="E69" s="107">
        <v>-5.53</v>
      </c>
      <c r="F69" s="107">
        <v>-4.68</v>
      </c>
      <c r="G69" s="107">
        <v>6.3</v>
      </c>
    </row>
    <row r="70" spans="1:7" x14ac:dyDescent="0.3">
      <c r="A70" s="106" t="s">
        <v>3815</v>
      </c>
      <c r="B70" s="97" t="s">
        <v>4055</v>
      </c>
      <c r="C70" s="106">
        <v>12</v>
      </c>
      <c r="D70" s="107">
        <v>8.23</v>
      </c>
      <c r="E70" s="107">
        <v>-58.02</v>
      </c>
      <c r="F70" s="107">
        <v>38.44</v>
      </c>
      <c r="G70" s="107">
        <v>-42.48</v>
      </c>
    </row>
    <row r="71" spans="1:7" x14ac:dyDescent="0.3">
      <c r="A71" s="106" t="s">
        <v>3816</v>
      </c>
      <c r="B71" s="97" t="s">
        <v>4056</v>
      </c>
      <c r="C71" s="106">
        <v>12</v>
      </c>
      <c r="D71" s="107">
        <v>9.36</v>
      </c>
      <c r="E71" s="107">
        <v>-24.11</v>
      </c>
      <c r="F71" s="107">
        <v>-29.39</v>
      </c>
      <c r="G71" s="107"/>
    </row>
    <row r="72" spans="1:7" x14ac:dyDescent="0.3">
      <c r="A72" s="106" t="s">
        <v>3817</v>
      </c>
      <c r="B72" s="97" t="s">
        <v>4057</v>
      </c>
      <c r="C72" s="106">
        <v>12</v>
      </c>
      <c r="D72" s="107">
        <v>16.37</v>
      </c>
      <c r="E72" s="107">
        <v>11.05</v>
      </c>
      <c r="F72" s="107">
        <v>-11.59</v>
      </c>
      <c r="G72" s="107">
        <v>-3.9</v>
      </c>
    </row>
    <row r="73" spans="1:7" x14ac:dyDescent="0.3">
      <c r="A73" s="106" t="s">
        <v>3818</v>
      </c>
      <c r="B73" s="97" t="s">
        <v>4058</v>
      </c>
      <c r="C73" s="106">
        <v>12</v>
      </c>
      <c r="D73" s="107">
        <v>-2.58</v>
      </c>
      <c r="E73" s="107">
        <v>-4.8499999999999996</v>
      </c>
      <c r="F73" s="107">
        <v>-21.61</v>
      </c>
      <c r="G73" s="107">
        <v>-36.61</v>
      </c>
    </row>
    <row r="74" spans="1:7" x14ac:dyDescent="0.3">
      <c r="A74" s="106" t="s">
        <v>3819</v>
      </c>
      <c r="B74" s="97" t="s">
        <v>4059</v>
      </c>
      <c r="C74" s="106">
        <v>12</v>
      </c>
      <c r="D74" s="107">
        <v>-43.68</v>
      </c>
      <c r="E74" s="107">
        <v>0.68</v>
      </c>
      <c r="F74" s="107">
        <v>-85.25</v>
      </c>
      <c r="G74" s="107">
        <v>-9.2100000000000009</v>
      </c>
    </row>
    <row r="75" spans="1:7" x14ac:dyDescent="0.3">
      <c r="A75" s="106" t="s">
        <v>3820</v>
      </c>
      <c r="B75" s="97" t="s">
        <v>4060</v>
      </c>
      <c r="C75" s="106">
        <v>12</v>
      </c>
      <c r="D75" s="107">
        <v>-6.74</v>
      </c>
      <c r="E75" s="107">
        <v>-42.8</v>
      </c>
      <c r="F75" s="107">
        <v>-548.94000000000005</v>
      </c>
      <c r="G75" s="107">
        <v>-147.13</v>
      </c>
    </row>
    <row r="76" spans="1:7" x14ac:dyDescent="0.3">
      <c r="A76" s="106" t="s">
        <v>3821</v>
      </c>
      <c r="B76" s="97" t="s">
        <v>4061</v>
      </c>
      <c r="C76" s="106">
        <v>12</v>
      </c>
      <c r="D76" s="107">
        <v>5.73</v>
      </c>
      <c r="E76" s="107">
        <v>-55</v>
      </c>
      <c r="F76" s="107">
        <v>-8400.56</v>
      </c>
      <c r="G76" s="107">
        <v>-815.45</v>
      </c>
    </row>
    <row r="77" spans="1:7" x14ac:dyDescent="0.3">
      <c r="A77" s="106" t="s">
        <v>3822</v>
      </c>
      <c r="B77" s="97" t="s">
        <v>4062</v>
      </c>
      <c r="C77" s="106">
        <v>12</v>
      </c>
      <c r="D77" s="107">
        <v>2.5299999999999998</v>
      </c>
      <c r="E77" s="107">
        <v>4.1100000000000003</v>
      </c>
      <c r="F77" s="107">
        <v>-51.16</v>
      </c>
      <c r="G77" s="107">
        <v>0.91</v>
      </c>
    </row>
    <row r="78" spans="1:7" x14ac:dyDescent="0.3">
      <c r="A78" s="106" t="s">
        <v>3823</v>
      </c>
      <c r="B78" s="97" t="s">
        <v>4063</v>
      </c>
      <c r="C78" s="106">
        <v>12</v>
      </c>
      <c r="D78" s="107">
        <v>-7.19</v>
      </c>
      <c r="E78" s="107">
        <v>-32.39</v>
      </c>
      <c r="F78" s="107">
        <v>-17.04</v>
      </c>
      <c r="G78" s="107">
        <v>-4.49</v>
      </c>
    </row>
    <row r="79" spans="1:7" x14ac:dyDescent="0.3">
      <c r="A79" s="106" t="s">
        <v>3824</v>
      </c>
      <c r="B79" s="97" t="s">
        <v>4064</v>
      </c>
      <c r="C79" s="106">
        <v>12</v>
      </c>
      <c r="D79" s="107">
        <v>2.83</v>
      </c>
      <c r="E79" s="107">
        <v>31.43</v>
      </c>
      <c r="F79" s="107">
        <v>3.1</v>
      </c>
      <c r="G79" s="107">
        <v>62.42</v>
      </c>
    </row>
    <row r="80" spans="1:7" x14ac:dyDescent="0.3">
      <c r="A80" s="106" t="s">
        <v>3825</v>
      </c>
      <c r="B80" s="97" t="s">
        <v>4065</v>
      </c>
      <c r="C80" s="106">
        <v>12</v>
      </c>
      <c r="D80" s="107">
        <v>-4.04</v>
      </c>
      <c r="E80" s="107">
        <v>-16.89</v>
      </c>
      <c r="F80" s="107">
        <v>5.0199999999999996</v>
      </c>
      <c r="G80" s="107">
        <v>12.62</v>
      </c>
    </row>
    <row r="81" spans="1:7" x14ac:dyDescent="0.3">
      <c r="A81" s="106" t="s">
        <v>3826</v>
      </c>
      <c r="B81" s="97" t="s">
        <v>4066</v>
      </c>
      <c r="C81" s="106">
        <v>12</v>
      </c>
      <c r="D81" s="107">
        <v>-44.01</v>
      </c>
      <c r="E81" s="107">
        <v>-20.170000000000002</v>
      </c>
      <c r="F81" s="107">
        <v>-107.83</v>
      </c>
      <c r="G81" s="107">
        <v>-1614.04</v>
      </c>
    </row>
    <row r="82" spans="1:7" x14ac:dyDescent="0.3">
      <c r="A82" s="106" t="s">
        <v>3827</v>
      </c>
      <c r="B82" s="97" t="s">
        <v>4067</v>
      </c>
      <c r="C82" s="106">
        <v>12</v>
      </c>
      <c r="D82" s="107">
        <v>-212.17</v>
      </c>
      <c r="E82" s="107">
        <v>16.690000000000001</v>
      </c>
      <c r="F82" s="107">
        <v>-78.650000000000006</v>
      </c>
      <c r="G82" s="107">
        <v>-11.04</v>
      </c>
    </row>
    <row r="83" spans="1:7" x14ac:dyDescent="0.3">
      <c r="A83" s="106" t="s">
        <v>3828</v>
      </c>
      <c r="B83" s="97" t="s">
        <v>4068</v>
      </c>
      <c r="C83" s="106">
        <v>12</v>
      </c>
      <c r="D83" s="107">
        <v>-41.22</v>
      </c>
      <c r="E83" s="107">
        <v>-20.23</v>
      </c>
      <c r="F83" s="107">
        <v>-20.61</v>
      </c>
      <c r="G83" s="107">
        <v>80.48</v>
      </c>
    </row>
    <row r="84" spans="1:7" x14ac:dyDescent="0.3">
      <c r="A84" s="106" t="s">
        <v>3829</v>
      </c>
      <c r="B84" s="97" t="s">
        <v>4069</v>
      </c>
      <c r="C84" s="106">
        <v>12</v>
      </c>
      <c r="D84" s="107">
        <v>-125</v>
      </c>
      <c r="E84" s="107">
        <v>-4.0999999999999996</v>
      </c>
      <c r="F84" s="107">
        <v>-87.4</v>
      </c>
      <c r="G84" s="107">
        <v>-0.46</v>
      </c>
    </row>
    <row r="85" spans="1:7" x14ac:dyDescent="0.3">
      <c r="A85" s="106" t="s">
        <v>3830</v>
      </c>
      <c r="B85" s="97" t="s">
        <v>4070</v>
      </c>
      <c r="C85" s="106">
        <v>12</v>
      </c>
      <c r="D85" s="107">
        <v>-113.89</v>
      </c>
      <c r="E85" s="107">
        <v>-72.819999999999993</v>
      </c>
      <c r="F85" s="107">
        <v>-74.77</v>
      </c>
      <c r="G85" s="107">
        <v>-48.45</v>
      </c>
    </row>
    <row r="86" spans="1:7" x14ac:dyDescent="0.3">
      <c r="A86" s="106" t="s">
        <v>3831</v>
      </c>
      <c r="B86" s="97" t="s">
        <v>4071</v>
      </c>
      <c r="C86" s="106">
        <v>12</v>
      </c>
      <c r="D86" s="107">
        <v>-2.4700000000000002</v>
      </c>
      <c r="E86" s="107">
        <v>7.76</v>
      </c>
      <c r="F86" s="107">
        <v>4.33</v>
      </c>
      <c r="G86" s="107">
        <v>-17.82</v>
      </c>
    </row>
    <row r="87" spans="1:7" x14ac:dyDescent="0.3">
      <c r="A87" s="106" t="s">
        <v>3832</v>
      </c>
      <c r="B87" s="97" t="s">
        <v>4072</v>
      </c>
      <c r="C87" s="106">
        <v>12</v>
      </c>
      <c r="D87" s="107">
        <v>41.26</v>
      </c>
      <c r="E87" s="107">
        <v>-36.06</v>
      </c>
      <c r="F87" s="107">
        <v>57.9</v>
      </c>
      <c r="G87" s="107">
        <v>-34.909999999999997</v>
      </c>
    </row>
    <row r="88" spans="1:7" x14ac:dyDescent="0.3">
      <c r="A88" s="106" t="s">
        <v>3833</v>
      </c>
      <c r="B88" s="97" t="s">
        <v>4073</v>
      </c>
      <c r="C88" s="106">
        <v>12</v>
      </c>
      <c r="D88" s="107">
        <v>-51.71</v>
      </c>
      <c r="E88" s="107">
        <v>-47.94</v>
      </c>
      <c r="F88" s="107">
        <v>-21.77</v>
      </c>
      <c r="G88" s="107">
        <v>15.6</v>
      </c>
    </row>
    <row r="89" spans="1:7" x14ac:dyDescent="0.3">
      <c r="A89" s="106" t="s">
        <v>3834</v>
      </c>
      <c r="B89" s="97" t="s">
        <v>4074</v>
      </c>
      <c r="C89" s="106">
        <v>12</v>
      </c>
      <c r="D89" s="107">
        <v>-6.64</v>
      </c>
      <c r="E89" s="107">
        <v>-24.38</v>
      </c>
      <c r="F89" s="107">
        <v>-34.58</v>
      </c>
      <c r="G89" s="107">
        <v>36.24</v>
      </c>
    </row>
    <row r="90" spans="1:7" x14ac:dyDescent="0.3">
      <c r="A90" s="106" t="s">
        <v>3835</v>
      </c>
      <c r="B90" s="97" t="s">
        <v>4075</v>
      </c>
      <c r="C90" s="106">
        <v>12</v>
      </c>
      <c r="D90" s="107">
        <v>-8.58</v>
      </c>
      <c r="E90" s="107">
        <v>-7.58</v>
      </c>
      <c r="F90" s="107">
        <v>14.62</v>
      </c>
      <c r="G90" s="107">
        <v>-17.690000000000001</v>
      </c>
    </row>
    <row r="91" spans="1:7" x14ac:dyDescent="0.3">
      <c r="A91" s="106" t="s">
        <v>3836</v>
      </c>
      <c r="B91" s="97" t="s">
        <v>4076</v>
      </c>
      <c r="C91" s="106">
        <v>12</v>
      </c>
      <c r="D91" s="107">
        <v>8.32</v>
      </c>
      <c r="E91" s="107">
        <v>-31.64</v>
      </c>
      <c r="F91" s="107">
        <v>12.21</v>
      </c>
      <c r="G91" s="107">
        <v>38.75</v>
      </c>
    </row>
    <row r="92" spans="1:7" x14ac:dyDescent="0.3">
      <c r="A92" s="106" t="s">
        <v>3837</v>
      </c>
      <c r="B92" s="97" t="s">
        <v>4077</v>
      </c>
      <c r="C92" s="106">
        <v>12</v>
      </c>
      <c r="D92" s="107">
        <v>-46.49</v>
      </c>
      <c r="E92" s="107">
        <v>-46.99</v>
      </c>
      <c r="F92" s="107">
        <v>47.51</v>
      </c>
      <c r="G92" s="107">
        <v>-31.15</v>
      </c>
    </row>
    <row r="93" spans="1:7" x14ac:dyDescent="0.3">
      <c r="A93" s="106" t="s">
        <v>3838</v>
      </c>
      <c r="B93" s="97" t="s">
        <v>4078</v>
      </c>
      <c r="C93" s="106">
        <v>12</v>
      </c>
      <c r="D93" s="107">
        <v>-19.23</v>
      </c>
      <c r="E93" s="107">
        <v>-11.8</v>
      </c>
      <c r="F93" s="107">
        <v>-14.98</v>
      </c>
      <c r="G93" s="107">
        <v>-17.72</v>
      </c>
    </row>
    <row r="94" spans="1:7" x14ac:dyDescent="0.3">
      <c r="A94" s="106" t="s">
        <v>3839</v>
      </c>
      <c r="B94" s="97" t="s">
        <v>4079</v>
      </c>
      <c r="C94" s="106">
        <v>12</v>
      </c>
      <c r="D94" s="107">
        <v>-6.43</v>
      </c>
      <c r="E94" s="107">
        <v>-6.66</v>
      </c>
      <c r="F94" s="107">
        <v>15.58</v>
      </c>
      <c r="G94" s="107">
        <v>5.82</v>
      </c>
    </row>
    <row r="95" spans="1:7" x14ac:dyDescent="0.3">
      <c r="A95" s="106" t="s">
        <v>3840</v>
      </c>
      <c r="B95" s="97" t="s">
        <v>4080</v>
      </c>
      <c r="C95" s="106">
        <v>12</v>
      </c>
      <c r="D95" s="107">
        <v>39.11</v>
      </c>
      <c r="E95" s="107">
        <v>-27.9</v>
      </c>
      <c r="F95" s="107">
        <v>-5.25</v>
      </c>
      <c r="G95" s="107">
        <v>-7.4</v>
      </c>
    </row>
    <row r="96" spans="1:7" x14ac:dyDescent="0.3">
      <c r="A96" s="106" t="s">
        <v>3841</v>
      </c>
      <c r="B96" s="97" t="s">
        <v>4081</v>
      </c>
      <c r="C96" s="106">
        <v>12</v>
      </c>
      <c r="D96" s="107">
        <v>48.97</v>
      </c>
      <c r="E96" s="107">
        <v>15.32</v>
      </c>
      <c r="F96" s="107">
        <v>-4.3</v>
      </c>
      <c r="G96" s="107">
        <v>1.57</v>
      </c>
    </row>
    <row r="97" spans="1:7" x14ac:dyDescent="0.3">
      <c r="A97" s="106" t="s">
        <v>3842</v>
      </c>
      <c r="B97" s="97" t="s">
        <v>4082</v>
      </c>
      <c r="C97" s="106">
        <v>12</v>
      </c>
      <c r="D97" s="107">
        <v>-3.79</v>
      </c>
      <c r="E97" s="107">
        <v>-25.5</v>
      </c>
      <c r="F97" s="107">
        <v>-14.56</v>
      </c>
      <c r="G97" s="107">
        <v>-9.27</v>
      </c>
    </row>
    <row r="98" spans="1:7" x14ac:dyDescent="0.3">
      <c r="A98" s="106" t="s">
        <v>3843</v>
      </c>
      <c r="B98" s="97" t="s">
        <v>4083</v>
      </c>
      <c r="C98" s="106">
        <v>12</v>
      </c>
      <c r="D98" s="107">
        <v>-44.92</v>
      </c>
      <c r="E98" s="107">
        <v>190.12</v>
      </c>
      <c r="F98" s="107">
        <v>-184.95</v>
      </c>
      <c r="G98" s="107">
        <v>-338.17</v>
      </c>
    </row>
    <row r="99" spans="1:7" x14ac:dyDescent="0.3">
      <c r="A99" s="106" t="s">
        <v>3844</v>
      </c>
      <c r="B99" s="97" t="s">
        <v>4084</v>
      </c>
      <c r="C99" s="106">
        <v>12</v>
      </c>
      <c r="D99" s="107">
        <v>34.67</v>
      </c>
      <c r="E99" s="107">
        <v>-66.97</v>
      </c>
      <c r="F99" s="107">
        <v>-32.200000000000003</v>
      </c>
      <c r="G99" s="107">
        <v>-18.52</v>
      </c>
    </row>
    <row r="100" spans="1:7" x14ac:dyDescent="0.3">
      <c r="A100" s="106" t="s">
        <v>3845</v>
      </c>
      <c r="B100" s="97" t="s">
        <v>4085</v>
      </c>
      <c r="C100" s="106">
        <v>12</v>
      </c>
      <c r="D100" s="107">
        <v>-197.15</v>
      </c>
      <c r="E100" s="107">
        <v>53.72</v>
      </c>
      <c r="F100" s="107">
        <v>47.53</v>
      </c>
      <c r="G100" s="107">
        <v>-44.94</v>
      </c>
    </row>
    <row r="101" spans="1:7" x14ac:dyDescent="0.3">
      <c r="A101" s="106" t="s">
        <v>3846</v>
      </c>
      <c r="B101" s="97" t="s">
        <v>4086</v>
      </c>
      <c r="C101" s="106">
        <v>3</v>
      </c>
      <c r="D101" s="107">
        <v>-12.1</v>
      </c>
      <c r="E101" s="107">
        <v>2.09</v>
      </c>
      <c r="F101" s="107">
        <v>-48.4</v>
      </c>
      <c r="G101" s="107">
        <v>5.0599999999999996</v>
      </c>
    </row>
    <row r="102" spans="1:7" x14ac:dyDescent="0.3">
      <c r="A102" s="106" t="s">
        <v>3847</v>
      </c>
      <c r="B102" s="97" t="s">
        <v>4087</v>
      </c>
      <c r="C102" s="106">
        <v>12</v>
      </c>
      <c r="D102" s="107">
        <v>-42.37</v>
      </c>
      <c r="E102" s="107">
        <v>34.049999999999997</v>
      </c>
      <c r="F102" s="107">
        <v>-56</v>
      </c>
      <c r="G102" s="107">
        <v>8.61</v>
      </c>
    </row>
    <row r="103" spans="1:7" x14ac:dyDescent="0.3">
      <c r="A103" s="106" t="s">
        <v>3848</v>
      </c>
      <c r="B103" s="97" t="s">
        <v>4088</v>
      </c>
      <c r="C103" s="106">
        <v>12</v>
      </c>
      <c r="D103" s="107">
        <v>9.0399999999999991</v>
      </c>
      <c r="E103" s="107">
        <v>16.53</v>
      </c>
      <c r="F103" s="107">
        <v>13.12</v>
      </c>
      <c r="G103" s="107">
        <v>-9.4700000000000006</v>
      </c>
    </row>
    <row r="104" spans="1:7" x14ac:dyDescent="0.3">
      <c r="A104" s="106" t="s">
        <v>3849</v>
      </c>
      <c r="B104" s="97" t="s">
        <v>4089</v>
      </c>
      <c r="C104" s="106">
        <v>12</v>
      </c>
      <c r="D104" s="107">
        <v>36.340000000000003</v>
      </c>
      <c r="E104" s="107">
        <v>-91.63</v>
      </c>
      <c r="F104" s="107">
        <v>26.67</v>
      </c>
      <c r="G104" s="107">
        <v>26.44</v>
      </c>
    </row>
    <row r="105" spans="1:7" x14ac:dyDescent="0.3">
      <c r="A105" s="106" t="s">
        <v>3850</v>
      </c>
      <c r="B105" s="97" t="s">
        <v>4090</v>
      </c>
      <c r="C105" s="106">
        <v>12</v>
      </c>
      <c r="D105" s="107">
        <v>-32.39</v>
      </c>
      <c r="E105" s="107">
        <v>-26.06</v>
      </c>
      <c r="F105" s="107">
        <v>-24.84</v>
      </c>
      <c r="G105" s="107"/>
    </row>
    <row r="106" spans="1:7" x14ac:dyDescent="0.3">
      <c r="A106" s="106" t="s">
        <v>3851</v>
      </c>
      <c r="B106" s="97" t="s">
        <v>4091</v>
      </c>
      <c r="C106" s="106">
        <v>12</v>
      </c>
      <c r="D106" s="107">
        <v>-13.99</v>
      </c>
      <c r="E106" s="107">
        <v>-27.02</v>
      </c>
      <c r="F106" s="107">
        <v>-36.29</v>
      </c>
      <c r="G106" s="107"/>
    </row>
    <row r="107" spans="1:7" x14ac:dyDescent="0.3">
      <c r="A107" s="106" t="s">
        <v>3852</v>
      </c>
      <c r="B107" s="97" t="s">
        <v>4092</v>
      </c>
      <c r="C107" s="106">
        <v>12</v>
      </c>
      <c r="D107" s="107">
        <v>21.25</v>
      </c>
      <c r="E107" s="107">
        <v>-16.11</v>
      </c>
      <c r="F107" s="107">
        <v>-177.11</v>
      </c>
      <c r="G107" s="107">
        <v>-38.619999999999997</v>
      </c>
    </row>
    <row r="108" spans="1:7" x14ac:dyDescent="0.3">
      <c r="A108" s="106" t="s">
        <v>3853</v>
      </c>
      <c r="B108" s="97" t="s">
        <v>4093</v>
      </c>
      <c r="C108" s="106">
        <v>12</v>
      </c>
      <c r="D108" s="107">
        <v>10.73</v>
      </c>
      <c r="E108" s="107">
        <v>-6.36</v>
      </c>
      <c r="F108" s="107">
        <v>-7.99</v>
      </c>
      <c r="G108" s="107">
        <v>-7.28</v>
      </c>
    </row>
    <row r="109" spans="1:7" x14ac:dyDescent="0.3">
      <c r="A109" s="106" t="s">
        <v>3854</v>
      </c>
      <c r="B109" s="97" t="s">
        <v>4094</v>
      </c>
      <c r="C109" s="106">
        <v>12</v>
      </c>
      <c r="D109" s="107">
        <v>-5.81</v>
      </c>
      <c r="E109" s="107">
        <v>-5.48</v>
      </c>
      <c r="F109" s="107">
        <v>-127.66</v>
      </c>
      <c r="G109" s="107">
        <v>0.32</v>
      </c>
    </row>
    <row r="110" spans="1:7" x14ac:dyDescent="0.3">
      <c r="A110" s="106" t="s">
        <v>3855</v>
      </c>
      <c r="B110" s="97" t="s">
        <v>4095</v>
      </c>
      <c r="C110" s="106">
        <v>12</v>
      </c>
      <c r="D110" s="107">
        <v>2.81</v>
      </c>
      <c r="E110" s="107">
        <v>-33.49</v>
      </c>
      <c r="F110" s="107">
        <v>-20.27</v>
      </c>
      <c r="G110" s="107">
        <v>-8.86</v>
      </c>
    </row>
    <row r="111" spans="1:7" x14ac:dyDescent="0.3">
      <c r="A111" s="106" t="s">
        <v>3856</v>
      </c>
      <c r="B111" s="97" t="s">
        <v>4096</v>
      </c>
      <c r="C111" s="106">
        <v>12</v>
      </c>
      <c r="D111" s="107">
        <v>-7.16</v>
      </c>
      <c r="E111" s="107">
        <v>-13.32</v>
      </c>
      <c r="F111" s="107">
        <v>-13.02</v>
      </c>
      <c r="G111" s="107">
        <v>-11.85</v>
      </c>
    </row>
    <row r="112" spans="1:7" x14ac:dyDescent="0.3">
      <c r="A112" s="106" t="s">
        <v>3857</v>
      </c>
      <c r="B112" s="97" t="s">
        <v>4097</v>
      </c>
      <c r="C112" s="106">
        <v>12</v>
      </c>
      <c r="D112" s="107">
        <v>-0.1</v>
      </c>
      <c r="E112" s="107">
        <v>-15.91</v>
      </c>
      <c r="F112" s="107">
        <v>-3.05</v>
      </c>
      <c r="G112" s="107">
        <v>-14.59</v>
      </c>
    </row>
    <row r="113" spans="1:7" x14ac:dyDescent="0.3">
      <c r="A113" s="106" t="s">
        <v>3858</v>
      </c>
      <c r="B113" s="97" t="s">
        <v>4098</v>
      </c>
      <c r="C113" s="106">
        <v>12</v>
      </c>
      <c r="D113" s="107">
        <v>-18.96</v>
      </c>
      <c r="E113" s="107">
        <v>-19.809999999999999</v>
      </c>
      <c r="F113" s="107"/>
      <c r="G113" s="107"/>
    </row>
    <row r="114" spans="1:7" x14ac:dyDescent="0.3">
      <c r="A114" s="106" t="s">
        <v>3859</v>
      </c>
      <c r="B114" s="97" t="s">
        <v>4099</v>
      </c>
      <c r="C114" s="106">
        <v>12</v>
      </c>
      <c r="D114" s="107">
        <v>4.8499999999999996</v>
      </c>
      <c r="E114" s="107">
        <v>-8.15</v>
      </c>
      <c r="F114" s="107">
        <v>10.87</v>
      </c>
      <c r="G114" s="107">
        <v>-249.76</v>
      </c>
    </row>
    <row r="115" spans="1:7" x14ac:dyDescent="0.3">
      <c r="A115" s="106" t="s">
        <v>3860</v>
      </c>
      <c r="B115" s="97" t="s">
        <v>4100</v>
      </c>
      <c r="C115" s="106">
        <v>12</v>
      </c>
      <c r="D115" s="107">
        <v>-10.63</v>
      </c>
      <c r="E115" s="107">
        <v>26.53</v>
      </c>
      <c r="F115" s="107">
        <v>38.08</v>
      </c>
      <c r="G115" s="107"/>
    </row>
    <row r="116" spans="1:7" x14ac:dyDescent="0.3">
      <c r="A116" s="106" t="s">
        <v>3861</v>
      </c>
      <c r="B116" s="97" t="s">
        <v>4101</v>
      </c>
      <c r="C116" s="106">
        <v>12</v>
      </c>
      <c r="D116" s="107">
        <v>-25.95</v>
      </c>
      <c r="E116" s="107">
        <v>-0.21</v>
      </c>
      <c r="F116" s="107">
        <v>173.59</v>
      </c>
      <c r="G116" s="107">
        <v>-192.38</v>
      </c>
    </row>
    <row r="117" spans="1:7" x14ac:dyDescent="0.3">
      <c r="A117" s="106" t="s">
        <v>3862</v>
      </c>
      <c r="B117" s="97" t="s">
        <v>4102</v>
      </c>
      <c r="C117" s="106">
        <v>12</v>
      </c>
      <c r="D117" s="107">
        <v>13.12</v>
      </c>
      <c r="E117" s="107">
        <v>17.079999999999998</v>
      </c>
      <c r="F117" s="107">
        <v>10.11</v>
      </c>
      <c r="G117" s="107">
        <v>21.2</v>
      </c>
    </row>
    <row r="118" spans="1:7" x14ac:dyDescent="0.3">
      <c r="A118" s="106" t="s">
        <v>3863</v>
      </c>
      <c r="B118" s="97" t="s">
        <v>4103</v>
      </c>
      <c r="C118" s="106">
        <v>12</v>
      </c>
      <c r="D118" s="107">
        <v>28.89</v>
      </c>
      <c r="E118" s="107">
        <v>-22.84</v>
      </c>
      <c r="F118" s="107">
        <v>-103.08</v>
      </c>
      <c r="G118" s="107">
        <v>-5.12</v>
      </c>
    </row>
    <row r="119" spans="1:7" x14ac:dyDescent="0.3">
      <c r="A119" s="106" t="s">
        <v>3864</v>
      </c>
      <c r="B119" s="97" t="s">
        <v>4104</v>
      </c>
      <c r="C119" s="106">
        <v>12</v>
      </c>
      <c r="D119" s="107">
        <v>23.63</v>
      </c>
      <c r="E119" s="107">
        <v>-20.98</v>
      </c>
      <c r="F119" s="107">
        <v>5.79</v>
      </c>
      <c r="G119" s="107">
        <v>19.309999999999999</v>
      </c>
    </row>
    <row r="120" spans="1:7" x14ac:dyDescent="0.3">
      <c r="A120" s="106" t="s">
        <v>3865</v>
      </c>
      <c r="B120" s="97" t="s">
        <v>4105</v>
      </c>
      <c r="C120" s="106">
        <v>12</v>
      </c>
      <c r="D120" s="107">
        <v>2.81</v>
      </c>
      <c r="E120" s="107">
        <v>53.27</v>
      </c>
      <c r="F120" s="107">
        <v>-216.35</v>
      </c>
      <c r="G120" s="107">
        <v>4.62</v>
      </c>
    </row>
    <row r="121" spans="1:7" x14ac:dyDescent="0.3">
      <c r="A121" s="106" t="s">
        <v>3866</v>
      </c>
      <c r="B121" s="97" t="s">
        <v>4106</v>
      </c>
      <c r="C121" s="106">
        <v>12</v>
      </c>
      <c r="D121" s="107">
        <v>-1.52</v>
      </c>
      <c r="E121" s="107">
        <v>-2.12</v>
      </c>
      <c r="F121" s="107">
        <v>-5.24</v>
      </c>
      <c r="G121" s="107"/>
    </row>
    <row r="122" spans="1:7" x14ac:dyDescent="0.3">
      <c r="A122" s="106" t="s">
        <v>3867</v>
      </c>
      <c r="B122" s="97" t="s">
        <v>4107</v>
      </c>
      <c r="C122" s="106">
        <v>12</v>
      </c>
      <c r="D122" s="107">
        <v>-68.5</v>
      </c>
      <c r="E122" s="107">
        <v>-37.65</v>
      </c>
      <c r="F122" s="107">
        <v>-12.28</v>
      </c>
      <c r="G122" s="107"/>
    </row>
    <row r="123" spans="1:7" x14ac:dyDescent="0.3">
      <c r="A123" s="106" t="s">
        <v>3868</v>
      </c>
      <c r="B123" s="97" t="s">
        <v>4108</v>
      </c>
      <c r="C123" s="106">
        <v>12</v>
      </c>
      <c r="D123" s="107">
        <v>-5.79</v>
      </c>
      <c r="E123" s="107">
        <v>9.5299999999999994</v>
      </c>
      <c r="F123" s="107">
        <v>-26.26</v>
      </c>
      <c r="G123" s="107">
        <v>-65.95</v>
      </c>
    </row>
    <row r="124" spans="1:7" x14ac:dyDescent="0.3">
      <c r="A124" s="106" t="s">
        <v>3869</v>
      </c>
      <c r="B124" s="97" t="s">
        <v>4109</v>
      </c>
      <c r="C124" s="106">
        <v>12</v>
      </c>
      <c r="D124" s="107">
        <v>-3.8</v>
      </c>
      <c r="E124" s="107">
        <v>-13.66</v>
      </c>
      <c r="F124" s="107">
        <v>-23.31</v>
      </c>
      <c r="G124" s="107">
        <v>-61.93</v>
      </c>
    </row>
    <row r="125" spans="1:7" x14ac:dyDescent="0.3">
      <c r="A125" s="106" t="s">
        <v>3870</v>
      </c>
      <c r="B125" s="97" t="s">
        <v>4110</v>
      </c>
      <c r="C125" s="106">
        <v>12</v>
      </c>
      <c r="D125" s="107">
        <v>-72.239999999999995</v>
      </c>
      <c r="E125" s="107">
        <v>-165.43</v>
      </c>
      <c r="F125" s="107">
        <v>99.23</v>
      </c>
      <c r="G125" s="107">
        <v>13.84</v>
      </c>
    </row>
    <row r="126" spans="1:7" x14ac:dyDescent="0.3">
      <c r="A126" s="106" t="s">
        <v>3871</v>
      </c>
      <c r="B126" s="97" t="s">
        <v>4111</v>
      </c>
      <c r="C126" s="106">
        <v>3</v>
      </c>
      <c r="D126" s="107">
        <v>30.51</v>
      </c>
      <c r="E126" s="107">
        <v>98.18</v>
      </c>
      <c r="F126" s="107">
        <v>96.98</v>
      </c>
      <c r="G126" s="107">
        <v>44.46</v>
      </c>
    </row>
    <row r="127" spans="1:7" x14ac:dyDescent="0.3">
      <c r="A127" s="106" t="s">
        <v>3872</v>
      </c>
      <c r="B127" s="97" t="s">
        <v>4112</v>
      </c>
      <c r="C127" s="106">
        <v>12</v>
      </c>
      <c r="D127" s="107">
        <v>-13.69</v>
      </c>
      <c r="E127" s="107">
        <v>-12.2</v>
      </c>
      <c r="F127" s="107">
        <v>26.95</v>
      </c>
      <c r="G127" s="107"/>
    </row>
    <row r="128" spans="1:7" x14ac:dyDescent="0.3">
      <c r="A128" s="106" t="s">
        <v>3873</v>
      </c>
      <c r="B128" s="97" t="s">
        <v>4113</v>
      </c>
      <c r="C128" s="106">
        <v>12</v>
      </c>
      <c r="D128" s="107">
        <v>-20.85</v>
      </c>
      <c r="E128" s="107">
        <v>-21.2</v>
      </c>
      <c r="F128" s="107">
        <v>-14.24</v>
      </c>
      <c r="G128" s="107">
        <v>-116.13</v>
      </c>
    </row>
    <row r="129" spans="1:7" x14ac:dyDescent="0.3">
      <c r="A129" s="106" t="s">
        <v>3874</v>
      </c>
      <c r="B129" s="97" t="s">
        <v>4114</v>
      </c>
      <c r="C129" s="106">
        <v>12</v>
      </c>
      <c r="D129" s="107">
        <v>-6.22</v>
      </c>
      <c r="E129" s="107">
        <v>-10.89</v>
      </c>
      <c r="F129" s="107">
        <v>-19.93</v>
      </c>
      <c r="G129" s="107">
        <v>-4.6399999999999997</v>
      </c>
    </row>
    <row r="130" spans="1:7" x14ac:dyDescent="0.3">
      <c r="A130" s="106" t="s">
        <v>3875</v>
      </c>
      <c r="B130" s="97" t="s">
        <v>4115</v>
      </c>
      <c r="C130" s="106">
        <v>12</v>
      </c>
      <c r="D130" s="107">
        <v>7.8</v>
      </c>
      <c r="E130" s="107">
        <v>-10.69</v>
      </c>
      <c r="F130" s="107">
        <v>-5.43</v>
      </c>
      <c r="G130" s="107">
        <v>73.87</v>
      </c>
    </row>
    <row r="131" spans="1:7" x14ac:dyDescent="0.3">
      <c r="A131" s="106" t="s">
        <v>3876</v>
      </c>
      <c r="B131" s="97" t="s">
        <v>4116</v>
      </c>
      <c r="C131" s="106">
        <v>12</v>
      </c>
      <c r="D131" s="107">
        <v>14.06</v>
      </c>
      <c r="E131" s="107">
        <v>-52.93</v>
      </c>
      <c r="F131" s="107">
        <v>-52.24</v>
      </c>
      <c r="G131" s="107"/>
    </row>
    <row r="132" spans="1:7" x14ac:dyDescent="0.3">
      <c r="A132" s="106" t="s">
        <v>3877</v>
      </c>
      <c r="B132" s="97" t="s">
        <v>4117</v>
      </c>
      <c r="C132" s="106">
        <v>12</v>
      </c>
      <c r="D132" s="107">
        <v>49</v>
      </c>
      <c r="E132" s="107">
        <v>-1.93</v>
      </c>
      <c r="F132" s="107">
        <v>31.39</v>
      </c>
      <c r="G132" s="107">
        <v>5.01</v>
      </c>
    </row>
    <row r="133" spans="1:7" x14ac:dyDescent="0.3">
      <c r="A133" s="106" t="s">
        <v>3878</v>
      </c>
      <c r="B133" s="97" t="s">
        <v>4118</v>
      </c>
      <c r="C133" s="106">
        <v>12</v>
      </c>
      <c r="D133" s="107">
        <v>-5.25</v>
      </c>
      <c r="E133" s="107">
        <v>5.12</v>
      </c>
      <c r="F133" s="107">
        <v>-245.59</v>
      </c>
      <c r="G133" s="107"/>
    </row>
    <row r="134" spans="1:7" x14ac:dyDescent="0.3">
      <c r="A134" s="106" t="s">
        <v>3879</v>
      </c>
      <c r="B134" s="97" t="s">
        <v>4119</v>
      </c>
      <c r="C134" s="106">
        <v>12</v>
      </c>
      <c r="D134" s="107">
        <v>-3.75</v>
      </c>
      <c r="E134" s="107">
        <v>-2.86</v>
      </c>
      <c r="F134" s="107">
        <v>-4.7699999999999996</v>
      </c>
      <c r="G134" s="107">
        <v>-3.27</v>
      </c>
    </row>
    <row r="135" spans="1:7" x14ac:dyDescent="0.3">
      <c r="A135" s="106" t="s">
        <v>3880</v>
      </c>
      <c r="B135" s="97" t="s">
        <v>4120</v>
      </c>
      <c r="C135" s="106">
        <v>12</v>
      </c>
      <c r="D135" s="107">
        <v>-2.5</v>
      </c>
      <c r="E135" s="107">
        <v>-7.72</v>
      </c>
      <c r="F135" s="107">
        <v>-13.08</v>
      </c>
      <c r="G135" s="107">
        <v>1.1200000000000001</v>
      </c>
    </row>
    <row r="136" spans="1:7" x14ac:dyDescent="0.3">
      <c r="A136" s="106" t="s">
        <v>3881</v>
      </c>
      <c r="B136" s="97" t="s">
        <v>4121</v>
      </c>
      <c r="C136" s="106">
        <v>12</v>
      </c>
      <c r="D136" s="107">
        <v>-9.3699999999999992</v>
      </c>
      <c r="E136" s="107">
        <v>3.91</v>
      </c>
      <c r="F136" s="107">
        <v>17.23</v>
      </c>
      <c r="G136" s="107">
        <v>-3.17</v>
      </c>
    </row>
    <row r="137" spans="1:7" x14ac:dyDescent="0.3">
      <c r="A137" s="106" t="s">
        <v>3882</v>
      </c>
      <c r="B137" s="97" t="s">
        <v>4122</v>
      </c>
      <c r="C137" s="106">
        <v>12</v>
      </c>
      <c r="D137" s="107">
        <v>-4.29</v>
      </c>
      <c r="E137" s="107">
        <v>-16.22</v>
      </c>
      <c r="F137" s="107">
        <v>-26.1</v>
      </c>
      <c r="G137" s="107"/>
    </row>
    <row r="138" spans="1:7" x14ac:dyDescent="0.3">
      <c r="A138" s="106" t="s">
        <v>3883</v>
      </c>
      <c r="B138" s="97" t="s">
        <v>4123</v>
      </c>
      <c r="C138" s="106">
        <v>12</v>
      </c>
      <c r="D138" s="107">
        <v>3</v>
      </c>
      <c r="E138" s="107">
        <v>-11.42</v>
      </c>
      <c r="F138" s="107">
        <v>-10.38</v>
      </c>
      <c r="G138" s="107">
        <v>-12.05</v>
      </c>
    </row>
    <row r="139" spans="1:7" x14ac:dyDescent="0.3">
      <c r="A139" s="106" t="s">
        <v>3884</v>
      </c>
      <c r="B139" s="97" t="s">
        <v>4124</v>
      </c>
      <c r="C139" s="106">
        <v>12</v>
      </c>
      <c r="D139" s="107">
        <v>-0.71</v>
      </c>
      <c r="E139" s="107">
        <v>-6.09</v>
      </c>
      <c r="F139" s="107">
        <v>81.44</v>
      </c>
      <c r="G139" s="107">
        <v>-1.51</v>
      </c>
    </row>
    <row r="140" spans="1:7" x14ac:dyDescent="0.3">
      <c r="A140" s="106" t="s">
        <v>3885</v>
      </c>
      <c r="B140" s="97" t="s">
        <v>4125</v>
      </c>
      <c r="C140" s="106">
        <v>12</v>
      </c>
      <c r="D140" s="107">
        <v>-11.24</v>
      </c>
      <c r="E140" s="107">
        <v>-54.19</v>
      </c>
      <c r="F140" s="107">
        <v>-15.21</v>
      </c>
      <c r="G140" s="107"/>
    </row>
    <row r="141" spans="1:7" x14ac:dyDescent="0.3">
      <c r="A141" s="106" t="s">
        <v>3886</v>
      </c>
      <c r="B141" s="97" t="s">
        <v>4126</v>
      </c>
      <c r="C141" s="106">
        <v>12</v>
      </c>
      <c r="D141" s="107">
        <v>67.05</v>
      </c>
      <c r="E141" s="107">
        <v>92.34</v>
      </c>
      <c r="F141" s="107">
        <v>-0.98</v>
      </c>
      <c r="G141" s="107">
        <v>14.1</v>
      </c>
    </row>
    <row r="142" spans="1:7" x14ac:dyDescent="0.3">
      <c r="A142" s="106" t="s">
        <v>3887</v>
      </c>
      <c r="B142" s="97" t="s">
        <v>4127</v>
      </c>
      <c r="C142" s="106">
        <v>12</v>
      </c>
      <c r="D142" s="107">
        <v>-0.23</v>
      </c>
      <c r="E142" s="107">
        <v>-39.130000000000003</v>
      </c>
      <c r="F142" s="107">
        <v>-23.18</v>
      </c>
      <c r="G142" s="107">
        <v>-37.130000000000003</v>
      </c>
    </row>
    <row r="143" spans="1:7" x14ac:dyDescent="0.3">
      <c r="A143" s="106" t="s">
        <v>3888</v>
      </c>
      <c r="B143" s="97" t="s">
        <v>4128</v>
      </c>
      <c r="C143" s="106">
        <v>12</v>
      </c>
      <c r="D143" s="107">
        <v>-13.33</v>
      </c>
      <c r="E143" s="107">
        <v>-13.75</v>
      </c>
      <c r="F143" s="107">
        <v>-75.41</v>
      </c>
      <c r="G143" s="107">
        <v>-286.79000000000002</v>
      </c>
    </row>
    <row r="144" spans="1:7" x14ac:dyDescent="0.3">
      <c r="A144" s="106" t="s">
        <v>3889</v>
      </c>
      <c r="B144" s="97" t="s">
        <v>4129</v>
      </c>
      <c r="C144" s="106">
        <v>12</v>
      </c>
      <c r="D144" s="107">
        <v>20.74</v>
      </c>
      <c r="E144" s="107">
        <v>12.99</v>
      </c>
      <c r="F144" s="107">
        <v>-4.3499999999999996</v>
      </c>
      <c r="G144" s="107">
        <v>-5.55</v>
      </c>
    </row>
    <row r="145" spans="1:7" x14ac:dyDescent="0.3">
      <c r="A145" s="106" t="s">
        <v>3890</v>
      </c>
      <c r="B145" s="97" t="s">
        <v>4130</v>
      </c>
      <c r="C145" s="106">
        <v>3</v>
      </c>
      <c r="D145" s="107">
        <v>9.67</v>
      </c>
      <c r="E145" s="107">
        <v>6.34</v>
      </c>
      <c r="F145" s="107">
        <v>20.399999999999999</v>
      </c>
      <c r="G145" s="107">
        <v>70.709999999999994</v>
      </c>
    </row>
    <row r="146" spans="1:7" x14ac:dyDescent="0.3">
      <c r="A146" s="106" t="s">
        <v>3891</v>
      </c>
      <c r="B146" s="97" t="s">
        <v>4131</v>
      </c>
      <c r="C146" s="106">
        <v>12</v>
      </c>
      <c r="D146" s="107">
        <v>7.89</v>
      </c>
      <c r="E146" s="107">
        <v>-6.61</v>
      </c>
      <c r="F146" s="107">
        <v>15.63</v>
      </c>
      <c r="G146" s="107">
        <v>-6.46</v>
      </c>
    </row>
    <row r="147" spans="1:7" x14ac:dyDescent="0.3">
      <c r="A147" s="106" t="s">
        <v>3892</v>
      </c>
      <c r="B147" s="97" t="s">
        <v>4132</v>
      </c>
      <c r="C147" s="106">
        <v>12</v>
      </c>
      <c r="D147" s="107"/>
      <c r="E147" s="107">
        <v>-73.69</v>
      </c>
      <c r="F147" s="107"/>
      <c r="G147" s="107"/>
    </row>
    <row r="148" spans="1:7" x14ac:dyDescent="0.3">
      <c r="A148" s="106" t="s">
        <v>3893</v>
      </c>
      <c r="B148" s="97" t="s">
        <v>4133</v>
      </c>
      <c r="C148" s="106">
        <v>3</v>
      </c>
      <c r="D148" s="107">
        <v>-33.729999999999997</v>
      </c>
      <c r="E148" s="107">
        <v>-4.38</v>
      </c>
      <c r="F148" s="107">
        <v>-73.39</v>
      </c>
      <c r="G148" s="107">
        <v>-38.08</v>
      </c>
    </row>
    <row r="149" spans="1:7" x14ac:dyDescent="0.3">
      <c r="A149" s="106" t="s">
        <v>3894</v>
      </c>
      <c r="B149" s="97" t="s">
        <v>4134</v>
      </c>
      <c r="C149" s="106">
        <v>12</v>
      </c>
      <c r="D149" s="107">
        <v>-28.19</v>
      </c>
      <c r="E149" s="107">
        <v>-42.41</v>
      </c>
      <c r="F149" s="107">
        <v>-2.54</v>
      </c>
      <c r="G149" s="107"/>
    </row>
    <row r="150" spans="1:7" x14ac:dyDescent="0.3">
      <c r="A150" s="106" t="s">
        <v>3895</v>
      </c>
      <c r="B150" s="97" t="s">
        <v>4135</v>
      </c>
      <c r="C150" s="106">
        <v>12</v>
      </c>
      <c r="D150" s="107">
        <v>-33.18</v>
      </c>
      <c r="E150" s="107">
        <v>18.8</v>
      </c>
      <c r="F150" s="107">
        <v>-87.29</v>
      </c>
      <c r="G150" s="107">
        <v>-39.85</v>
      </c>
    </row>
    <row r="151" spans="1:7" x14ac:dyDescent="0.3">
      <c r="A151" s="106" t="s">
        <v>3896</v>
      </c>
      <c r="B151" s="97" t="s">
        <v>4136</v>
      </c>
      <c r="C151" s="106">
        <v>12</v>
      </c>
      <c r="D151" s="107">
        <v>-1.68</v>
      </c>
      <c r="E151" s="107">
        <v>-70.55</v>
      </c>
      <c r="F151" s="107">
        <v>-152.94999999999999</v>
      </c>
      <c r="G151" s="107">
        <v>-10.8</v>
      </c>
    </row>
    <row r="152" spans="1:7" x14ac:dyDescent="0.3">
      <c r="A152" s="106" t="s">
        <v>3897</v>
      </c>
      <c r="B152" s="97" t="s">
        <v>4137</v>
      </c>
      <c r="C152" s="106">
        <v>12</v>
      </c>
      <c r="D152" s="107">
        <v>6.89</v>
      </c>
      <c r="E152" s="107">
        <v>-0.77</v>
      </c>
      <c r="F152" s="107">
        <v>-50.56</v>
      </c>
      <c r="G152" s="107">
        <v>-22.58</v>
      </c>
    </row>
    <row r="153" spans="1:7" x14ac:dyDescent="0.3">
      <c r="A153" s="106" t="s">
        <v>3898</v>
      </c>
      <c r="B153" s="97" t="s">
        <v>4138</v>
      </c>
      <c r="C153" s="106">
        <v>12</v>
      </c>
      <c r="D153" s="107">
        <v>-39.590000000000003</v>
      </c>
      <c r="E153" s="107">
        <v>-55.43</v>
      </c>
      <c r="F153" s="107">
        <v>-57.58</v>
      </c>
      <c r="G153" s="107">
        <v>57.87</v>
      </c>
    </row>
    <row r="154" spans="1:7" x14ac:dyDescent="0.3">
      <c r="A154" s="106" t="s">
        <v>3899</v>
      </c>
      <c r="B154" s="97" t="s">
        <v>4139</v>
      </c>
      <c r="C154" s="106">
        <v>12</v>
      </c>
      <c r="D154" s="107">
        <v>1.1499999999999999</v>
      </c>
      <c r="E154" s="107">
        <v>-74.709999999999994</v>
      </c>
      <c r="F154" s="107">
        <v>56.92</v>
      </c>
      <c r="G154" s="107"/>
    </row>
    <row r="155" spans="1:7" x14ac:dyDescent="0.3">
      <c r="A155" s="106" t="s">
        <v>3900</v>
      </c>
      <c r="B155" s="97" t="s">
        <v>4140</v>
      </c>
      <c r="C155" s="106">
        <v>12</v>
      </c>
      <c r="D155" s="107">
        <v>19.36</v>
      </c>
      <c r="E155" s="107">
        <v>11.92</v>
      </c>
      <c r="F155" s="107">
        <v>-25.15</v>
      </c>
      <c r="G155" s="107">
        <v>-11.36</v>
      </c>
    </row>
    <row r="156" spans="1:7" x14ac:dyDescent="0.3">
      <c r="A156" s="106" t="s">
        <v>3901</v>
      </c>
      <c r="B156" s="97" t="s">
        <v>4141</v>
      </c>
      <c r="C156" s="106">
        <v>12</v>
      </c>
      <c r="D156" s="107">
        <v>8.39</v>
      </c>
      <c r="E156" s="107">
        <v>-35.64</v>
      </c>
      <c r="F156" s="107">
        <v>-48.57</v>
      </c>
      <c r="G156" s="107"/>
    </row>
    <row r="157" spans="1:7" x14ac:dyDescent="0.3">
      <c r="A157" s="106" t="s">
        <v>3902</v>
      </c>
      <c r="B157" s="97" t="s">
        <v>4142</v>
      </c>
      <c r="C157" s="106">
        <v>12</v>
      </c>
      <c r="D157" s="107">
        <v>-36.020000000000003</v>
      </c>
      <c r="E157" s="107">
        <v>-46.69</v>
      </c>
      <c r="F157" s="107">
        <v>9.67</v>
      </c>
      <c r="G157" s="107">
        <v>3.08</v>
      </c>
    </row>
    <row r="158" spans="1:7" x14ac:dyDescent="0.3">
      <c r="A158" s="106" t="s">
        <v>3903</v>
      </c>
      <c r="B158" s="97" t="s">
        <v>4143</v>
      </c>
      <c r="C158" s="106">
        <v>12</v>
      </c>
      <c r="D158" s="107">
        <v>-2.2400000000000002</v>
      </c>
      <c r="E158" s="107">
        <v>-14.54</v>
      </c>
      <c r="F158" s="107">
        <v>29.4</v>
      </c>
      <c r="G158" s="107">
        <v>14.47</v>
      </c>
    </row>
    <row r="159" spans="1:7" x14ac:dyDescent="0.3">
      <c r="A159" s="106" t="s">
        <v>3904</v>
      </c>
      <c r="B159" s="97" t="s">
        <v>4144</v>
      </c>
      <c r="C159" s="106">
        <v>12</v>
      </c>
      <c r="D159" s="107">
        <v>29.45</v>
      </c>
      <c r="E159" s="107">
        <v>-5.7</v>
      </c>
      <c r="F159" s="107">
        <v>-97.17</v>
      </c>
      <c r="G159" s="107">
        <v>-0.26</v>
      </c>
    </row>
    <row r="160" spans="1:7" x14ac:dyDescent="0.3">
      <c r="A160" s="106" t="s">
        <v>3905</v>
      </c>
      <c r="B160" s="97" t="s">
        <v>4145</v>
      </c>
      <c r="C160" s="106">
        <v>12</v>
      </c>
      <c r="D160" s="107">
        <v>22.94</v>
      </c>
      <c r="E160" s="107">
        <v>0.31</v>
      </c>
      <c r="F160" s="107">
        <v>18.920000000000002</v>
      </c>
      <c r="G160" s="107">
        <v>-72.510000000000005</v>
      </c>
    </row>
    <row r="161" spans="1:7" x14ac:dyDescent="0.3">
      <c r="A161" s="106" t="s">
        <v>3906</v>
      </c>
      <c r="B161" s="97" t="s">
        <v>4146</v>
      </c>
      <c r="C161" s="106">
        <v>12</v>
      </c>
      <c r="D161" s="107"/>
      <c r="E161" s="107"/>
      <c r="F161" s="107"/>
      <c r="G161" s="107"/>
    </row>
    <row r="162" spans="1:7" x14ac:dyDescent="0.3">
      <c r="A162" s="106" t="s">
        <v>3907</v>
      </c>
      <c r="B162" s="97" t="s">
        <v>4147</v>
      </c>
      <c r="C162" s="106">
        <v>12</v>
      </c>
      <c r="D162" s="107">
        <v>-9.4499999999999993</v>
      </c>
      <c r="E162" s="107">
        <v>-23.93</v>
      </c>
      <c r="F162" s="107">
        <v>-41.2</v>
      </c>
      <c r="G162" s="107">
        <v>-833.69</v>
      </c>
    </row>
    <row r="163" spans="1:7" x14ac:dyDescent="0.3">
      <c r="A163" s="106" t="s">
        <v>3908</v>
      </c>
      <c r="B163" s="97" t="s">
        <v>4148</v>
      </c>
      <c r="C163" s="106">
        <v>12</v>
      </c>
      <c r="D163" s="107">
        <v>11.51</v>
      </c>
      <c r="E163" s="107">
        <v>-37.090000000000003</v>
      </c>
      <c r="F163" s="107">
        <v>-12.78</v>
      </c>
      <c r="G163" s="107"/>
    </row>
    <row r="164" spans="1:7" x14ac:dyDescent="0.3">
      <c r="A164" s="106" t="s">
        <v>3909</v>
      </c>
      <c r="B164" s="97" t="s">
        <v>4149</v>
      </c>
      <c r="C164" s="106">
        <v>12</v>
      </c>
      <c r="D164" s="107">
        <v>24.35</v>
      </c>
      <c r="E164" s="107">
        <v>-13.29</v>
      </c>
      <c r="F164" s="107">
        <v>4.5599999999999996</v>
      </c>
      <c r="G164" s="107">
        <v>-36.51</v>
      </c>
    </row>
    <row r="165" spans="1:7" x14ac:dyDescent="0.3">
      <c r="A165" s="106" t="s">
        <v>3910</v>
      </c>
      <c r="B165" s="97" t="s">
        <v>4150</v>
      </c>
      <c r="C165" s="106">
        <v>12</v>
      </c>
      <c r="D165" s="107">
        <v>-2.56</v>
      </c>
      <c r="E165" s="107">
        <v>0.1</v>
      </c>
      <c r="F165" s="107">
        <v>-3.84</v>
      </c>
      <c r="G165" s="107">
        <v>2.36</v>
      </c>
    </row>
    <row r="166" spans="1:7" x14ac:dyDescent="0.3">
      <c r="A166" s="106" t="s">
        <v>3911</v>
      </c>
      <c r="B166" s="97" t="s">
        <v>4151</v>
      </c>
      <c r="C166" s="106">
        <v>12</v>
      </c>
      <c r="D166" s="107">
        <v>0.87</v>
      </c>
      <c r="E166" s="107">
        <v>-2.25</v>
      </c>
      <c r="F166" s="107">
        <v>-19.079999999999998</v>
      </c>
      <c r="G166" s="107">
        <v>-2.54</v>
      </c>
    </row>
    <row r="167" spans="1:7" x14ac:dyDescent="0.3">
      <c r="A167" s="106" t="s">
        <v>3912</v>
      </c>
      <c r="B167" s="97" t="s">
        <v>4152</v>
      </c>
      <c r="C167" s="106">
        <v>12</v>
      </c>
      <c r="D167" s="107">
        <v>-1.3</v>
      </c>
      <c r="E167" s="107">
        <v>2.82</v>
      </c>
      <c r="F167" s="107"/>
      <c r="G167" s="107"/>
    </row>
    <row r="168" spans="1:7" x14ac:dyDescent="0.3">
      <c r="A168" s="106" t="s">
        <v>3913</v>
      </c>
      <c r="B168" s="97" t="s">
        <v>4153</v>
      </c>
      <c r="C168" s="106">
        <v>12</v>
      </c>
      <c r="D168" s="107">
        <v>-33.92</v>
      </c>
      <c r="E168" s="107">
        <v>-29.66</v>
      </c>
      <c r="F168" s="107">
        <v>13.75</v>
      </c>
      <c r="G168" s="107">
        <v>-45.94</v>
      </c>
    </row>
    <row r="169" spans="1:7" x14ac:dyDescent="0.3">
      <c r="A169" s="106" t="s">
        <v>3914</v>
      </c>
      <c r="B169" s="97" t="s">
        <v>4154</v>
      </c>
      <c r="C169" s="106">
        <v>12</v>
      </c>
      <c r="D169" s="107">
        <v>-13.19</v>
      </c>
      <c r="E169" s="107">
        <v>0.43</v>
      </c>
      <c r="F169" s="107">
        <v>49.32</v>
      </c>
      <c r="G169" s="107"/>
    </row>
    <row r="170" spans="1:7" x14ac:dyDescent="0.3">
      <c r="A170" s="106" t="s">
        <v>3915</v>
      </c>
      <c r="B170" s="97" t="s">
        <v>4155</v>
      </c>
      <c r="C170" s="106">
        <v>12</v>
      </c>
      <c r="D170" s="107">
        <v>-37.229999999999997</v>
      </c>
      <c r="E170" s="107">
        <v>22.73</v>
      </c>
      <c r="F170" s="107">
        <v>-18.05</v>
      </c>
      <c r="G170" s="107">
        <v>-27.43</v>
      </c>
    </row>
    <row r="171" spans="1:7" x14ac:dyDescent="0.3">
      <c r="A171" s="106" t="s">
        <v>3916</v>
      </c>
      <c r="B171" s="97" t="s">
        <v>4156</v>
      </c>
      <c r="C171" s="106">
        <v>12</v>
      </c>
      <c r="D171" s="107">
        <v>-16.57</v>
      </c>
      <c r="E171" s="107">
        <v>-5.64</v>
      </c>
      <c r="F171" s="107">
        <v>-16.16</v>
      </c>
      <c r="G171" s="107"/>
    </row>
    <row r="172" spans="1:7" x14ac:dyDescent="0.3">
      <c r="A172" s="106" t="s">
        <v>3917</v>
      </c>
      <c r="B172" s="97" t="s">
        <v>4157</v>
      </c>
      <c r="C172" s="106">
        <v>12</v>
      </c>
      <c r="D172" s="107">
        <v>-8.1999999999999993</v>
      </c>
      <c r="E172" s="107">
        <v>-20.56</v>
      </c>
      <c r="F172" s="107">
        <v>8.5500000000000007</v>
      </c>
      <c r="G172" s="107">
        <v>-9.69</v>
      </c>
    </row>
    <row r="173" spans="1:7" x14ac:dyDescent="0.3">
      <c r="A173" s="106" t="s">
        <v>3918</v>
      </c>
      <c r="B173" s="97" t="s">
        <v>4158</v>
      </c>
      <c r="C173" s="106">
        <v>12</v>
      </c>
      <c r="D173" s="107">
        <v>-18.690000000000001</v>
      </c>
      <c r="E173" s="107">
        <v>-20.149999999999999</v>
      </c>
      <c r="F173" s="107">
        <v>26.6</v>
      </c>
      <c r="G173" s="107">
        <v>19.57</v>
      </c>
    </row>
    <row r="174" spans="1:7" x14ac:dyDescent="0.3">
      <c r="A174" s="106" t="s">
        <v>3919</v>
      </c>
      <c r="B174" s="97" t="s">
        <v>4159</v>
      </c>
      <c r="C174" s="106">
        <v>12</v>
      </c>
      <c r="D174" s="107">
        <v>-3.96</v>
      </c>
      <c r="E174" s="107">
        <v>-1.71</v>
      </c>
      <c r="F174" s="107">
        <v>-1.44</v>
      </c>
      <c r="G174" s="107">
        <v>-18.239999999999998</v>
      </c>
    </row>
    <row r="175" spans="1:7" x14ac:dyDescent="0.3">
      <c r="A175" s="106" t="s">
        <v>3920</v>
      </c>
      <c r="B175" s="97" t="s">
        <v>4160</v>
      </c>
      <c r="C175" s="106">
        <v>12</v>
      </c>
      <c r="D175" s="107">
        <v>1.17</v>
      </c>
      <c r="E175" s="107">
        <v>-5.74</v>
      </c>
      <c r="F175" s="107">
        <v>6.16</v>
      </c>
      <c r="G175" s="107">
        <v>-1.69</v>
      </c>
    </row>
    <row r="176" spans="1:7" x14ac:dyDescent="0.3">
      <c r="A176" s="106" t="s">
        <v>3921</v>
      </c>
      <c r="B176" s="97" t="s">
        <v>4161</v>
      </c>
      <c r="C176" s="106">
        <v>12</v>
      </c>
      <c r="D176" s="107">
        <v>-8.83</v>
      </c>
      <c r="E176" s="107">
        <v>-10.37</v>
      </c>
      <c r="F176" s="107">
        <v>-66.87</v>
      </c>
      <c r="G176" s="107">
        <v>6.22</v>
      </c>
    </row>
    <row r="177" spans="1:7" x14ac:dyDescent="0.3">
      <c r="A177" s="106" t="s">
        <v>3922</v>
      </c>
      <c r="B177" s="97" t="s">
        <v>4162</v>
      </c>
      <c r="C177" s="106">
        <v>12</v>
      </c>
      <c r="D177" s="107">
        <v>-13.2</v>
      </c>
      <c r="E177" s="107">
        <v>-27.82</v>
      </c>
      <c r="F177" s="107">
        <v>-4.8600000000000003</v>
      </c>
      <c r="G177" s="107">
        <v>6.3</v>
      </c>
    </row>
    <row r="178" spans="1:7" x14ac:dyDescent="0.3">
      <c r="A178" s="106" t="s">
        <v>3923</v>
      </c>
      <c r="B178" s="97" t="s">
        <v>4163</v>
      </c>
      <c r="C178" s="106">
        <v>12</v>
      </c>
      <c r="D178" s="107">
        <v>23.66</v>
      </c>
      <c r="E178" s="107">
        <v>-3.93</v>
      </c>
      <c r="F178" s="107">
        <v>36.43</v>
      </c>
      <c r="G178" s="107">
        <v>-37.4</v>
      </c>
    </row>
    <row r="179" spans="1:7" x14ac:dyDescent="0.3">
      <c r="A179" s="106" t="s">
        <v>3924</v>
      </c>
      <c r="B179" s="97" t="s">
        <v>4164</v>
      </c>
      <c r="C179" s="106">
        <v>12</v>
      </c>
      <c r="D179" s="107">
        <v>27.32</v>
      </c>
      <c r="E179" s="107">
        <v>5.81</v>
      </c>
      <c r="F179" s="107">
        <v>-23.81</v>
      </c>
      <c r="G179" s="107">
        <v>-51.32</v>
      </c>
    </row>
    <row r="180" spans="1:7" x14ac:dyDescent="0.3">
      <c r="A180" s="106" t="s">
        <v>3925</v>
      </c>
      <c r="B180" s="97" t="s">
        <v>4165</v>
      </c>
      <c r="C180" s="106">
        <v>12</v>
      </c>
      <c r="D180" s="107">
        <v>4.2</v>
      </c>
      <c r="E180" s="107">
        <v>-6.49</v>
      </c>
      <c r="F180" s="107">
        <v>-4.68</v>
      </c>
      <c r="G180" s="107">
        <v>-25.09</v>
      </c>
    </row>
    <row r="181" spans="1:7" x14ac:dyDescent="0.3">
      <c r="A181" s="106" t="s">
        <v>3926</v>
      </c>
      <c r="B181" s="97" t="s">
        <v>4166</v>
      </c>
      <c r="C181" s="106">
        <v>12</v>
      </c>
      <c r="D181" s="107">
        <v>-22.22</v>
      </c>
      <c r="E181" s="107">
        <v>-2.25</v>
      </c>
      <c r="F181" s="107">
        <v>-8.69</v>
      </c>
      <c r="G181" s="107">
        <v>18.64</v>
      </c>
    </row>
    <row r="182" spans="1:7" x14ac:dyDescent="0.3">
      <c r="A182" s="106" t="s">
        <v>3927</v>
      </c>
      <c r="B182" s="97" t="s">
        <v>4167</v>
      </c>
      <c r="C182" s="106">
        <v>12</v>
      </c>
      <c r="D182" s="107">
        <v>4.12</v>
      </c>
      <c r="E182" s="107"/>
      <c r="F182" s="107">
        <v>-17.25</v>
      </c>
      <c r="G182" s="107"/>
    </row>
    <row r="183" spans="1:7" x14ac:dyDescent="0.3">
      <c r="A183" s="106" t="s">
        <v>3928</v>
      </c>
      <c r="B183" s="97" t="s">
        <v>4168</v>
      </c>
      <c r="C183" s="106">
        <v>12</v>
      </c>
      <c r="D183" s="107">
        <v>-3.54</v>
      </c>
      <c r="E183" s="107">
        <v>4.67</v>
      </c>
      <c r="F183" s="107">
        <v>-6.83</v>
      </c>
      <c r="G183" s="107">
        <v>21.08</v>
      </c>
    </row>
    <row r="184" spans="1:7" x14ac:dyDescent="0.3">
      <c r="A184" s="106" t="s">
        <v>3929</v>
      </c>
      <c r="B184" s="97" t="s">
        <v>4169</v>
      </c>
      <c r="C184" s="106">
        <v>12</v>
      </c>
      <c r="D184" s="107">
        <v>-40.24</v>
      </c>
      <c r="E184" s="107">
        <v>-95.57</v>
      </c>
      <c r="F184" s="107">
        <v>-226.42</v>
      </c>
      <c r="G184" s="107">
        <v>35.770000000000003</v>
      </c>
    </row>
    <row r="185" spans="1:7" x14ac:dyDescent="0.3">
      <c r="A185" s="106" t="s">
        <v>3930</v>
      </c>
      <c r="B185" s="97" t="s">
        <v>4170</v>
      </c>
      <c r="C185" s="106">
        <v>12</v>
      </c>
      <c r="D185" s="107">
        <v>5.7</v>
      </c>
      <c r="E185" s="107">
        <v>5.6</v>
      </c>
      <c r="F185" s="107">
        <v>18.600000000000001</v>
      </c>
      <c r="G185" s="107"/>
    </row>
    <row r="186" spans="1:7" x14ac:dyDescent="0.3">
      <c r="A186" s="106" t="s">
        <v>3931</v>
      </c>
      <c r="B186" s="97" t="s">
        <v>4171</v>
      </c>
      <c r="C186" s="106">
        <v>12</v>
      </c>
      <c r="D186" s="107">
        <v>315.68</v>
      </c>
      <c r="E186" s="107">
        <v>-38.950000000000003</v>
      </c>
      <c r="F186" s="107">
        <v>132.19999999999999</v>
      </c>
      <c r="G186" s="107">
        <v>-352.19</v>
      </c>
    </row>
    <row r="187" spans="1:7" x14ac:dyDescent="0.3">
      <c r="A187" s="106" t="s">
        <v>3932</v>
      </c>
      <c r="B187" s="97" t="s">
        <v>4172</v>
      </c>
      <c r="C187" s="106">
        <v>12</v>
      </c>
      <c r="D187" s="107">
        <v>15.07</v>
      </c>
      <c r="E187" s="107">
        <v>-10.74</v>
      </c>
      <c r="F187" s="107">
        <v>-31.48</v>
      </c>
      <c r="G187" s="107"/>
    </row>
    <row r="188" spans="1:7" x14ac:dyDescent="0.3">
      <c r="A188" s="106" t="s">
        <v>3933</v>
      </c>
      <c r="B188" s="97" t="s">
        <v>4173</v>
      </c>
      <c r="C188" s="106">
        <v>12</v>
      </c>
      <c r="D188" s="107">
        <v>3.49</v>
      </c>
      <c r="E188" s="107">
        <v>-20.010000000000002</v>
      </c>
      <c r="F188" s="107">
        <v>96.5</v>
      </c>
      <c r="G188" s="107">
        <v>30.65</v>
      </c>
    </row>
    <row r="189" spans="1:7" x14ac:dyDescent="0.3">
      <c r="A189" s="106" t="s">
        <v>3934</v>
      </c>
      <c r="B189" s="97" t="s">
        <v>4174</v>
      </c>
      <c r="C189" s="106">
        <v>12</v>
      </c>
      <c r="D189" s="107">
        <v>-71.66</v>
      </c>
      <c r="E189" s="107">
        <v>30.89</v>
      </c>
      <c r="F189" s="107">
        <v>-5.91</v>
      </c>
      <c r="G189" s="107"/>
    </row>
    <row r="190" spans="1:7" x14ac:dyDescent="0.3">
      <c r="A190" s="106" t="s">
        <v>3935</v>
      </c>
      <c r="B190" s="97" t="s">
        <v>4175</v>
      </c>
      <c r="C190" s="106">
        <v>12</v>
      </c>
      <c r="D190" s="107">
        <v>-11.49</v>
      </c>
      <c r="E190" s="107">
        <v>-4.5999999999999996</v>
      </c>
      <c r="F190" s="107">
        <v>-2.4500000000000002</v>
      </c>
      <c r="G190" s="107">
        <v>-13.16</v>
      </c>
    </row>
    <row r="191" spans="1:7" x14ac:dyDescent="0.3">
      <c r="A191" s="106" t="s">
        <v>3936</v>
      </c>
      <c r="B191" s="97" t="s">
        <v>4176</v>
      </c>
      <c r="C191" s="106">
        <v>3</v>
      </c>
      <c r="D191" s="107">
        <v>-48.26</v>
      </c>
      <c r="E191" s="107">
        <v>-29.86</v>
      </c>
      <c r="F191" s="107">
        <v>21.56</v>
      </c>
      <c r="G191" s="107">
        <v>-2.11</v>
      </c>
    </row>
    <row r="192" spans="1:7" x14ac:dyDescent="0.3">
      <c r="A192" s="106" t="s">
        <v>3937</v>
      </c>
      <c r="B192" s="97" t="s">
        <v>4177</v>
      </c>
      <c r="C192" s="106">
        <v>12</v>
      </c>
      <c r="D192" s="107">
        <v>-16.88</v>
      </c>
      <c r="E192" s="107">
        <v>0.26</v>
      </c>
      <c r="F192" s="107">
        <v>-12.6</v>
      </c>
      <c r="G192" s="107">
        <v>-3.78</v>
      </c>
    </row>
    <row r="193" spans="1:7" x14ac:dyDescent="0.3">
      <c r="A193" s="106" t="s">
        <v>3938</v>
      </c>
      <c r="B193" s="97" t="s">
        <v>4178</v>
      </c>
      <c r="C193" s="106">
        <v>12</v>
      </c>
      <c r="D193" s="107"/>
      <c r="E193" s="107">
        <v>-43.61</v>
      </c>
      <c r="F193" s="107">
        <v>-201.53</v>
      </c>
      <c r="G193" s="107"/>
    </row>
    <row r="194" spans="1:7" x14ac:dyDescent="0.3">
      <c r="A194" s="106" t="s">
        <v>3939</v>
      </c>
      <c r="B194" s="97" t="s">
        <v>4179</v>
      </c>
      <c r="C194" s="106">
        <v>12</v>
      </c>
      <c r="D194" s="107">
        <v>-3.23</v>
      </c>
      <c r="E194" s="107">
        <v>-2.2599999999999998</v>
      </c>
      <c r="F194" s="107">
        <v>-217.39</v>
      </c>
      <c r="G194" s="107"/>
    </row>
    <row r="195" spans="1:7" x14ac:dyDescent="0.3">
      <c r="A195" s="106" t="s">
        <v>3940</v>
      </c>
      <c r="B195" s="97" t="s">
        <v>4180</v>
      </c>
      <c r="C195" s="106">
        <v>12</v>
      </c>
      <c r="D195" s="107">
        <v>-1.93</v>
      </c>
      <c r="E195" s="107">
        <v>-33.590000000000003</v>
      </c>
      <c r="F195" s="107">
        <v>-41.25</v>
      </c>
      <c r="G195" s="107">
        <v>-138.99</v>
      </c>
    </row>
    <row r="196" spans="1:7" x14ac:dyDescent="0.3">
      <c r="A196" s="106" t="s">
        <v>3941</v>
      </c>
      <c r="B196" s="97" t="s">
        <v>4181</v>
      </c>
      <c r="C196" s="106">
        <v>12</v>
      </c>
      <c r="D196" s="107">
        <v>3.41</v>
      </c>
      <c r="E196" s="107">
        <v>-1.46</v>
      </c>
      <c r="F196" s="107">
        <v>-2.69</v>
      </c>
      <c r="G196" s="107">
        <v>-6.1</v>
      </c>
    </row>
    <row r="197" spans="1:7" x14ac:dyDescent="0.3">
      <c r="A197" s="106" t="s">
        <v>3942</v>
      </c>
      <c r="B197" s="97" t="s">
        <v>4182</v>
      </c>
      <c r="C197" s="106">
        <v>12</v>
      </c>
      <c r="D197" s="107">
        <v>49.27</v>
      </c>
      <c r="E197" s="107">
        <v>-23.06</v>
      </c>
      <c r="F197" s="107">
        <v>-21.21</v>
      </c>
      <c r="G197" s="107">
        <v>-2.44</v>
      </c>
    </row>
    <row r="198" spans="1:7" x14ac:dyDescent="0.3">
      <c r="A198" s="106" t="s">
        <v>3943</v>
      </c>
      <c r="B198" s="97" t="s">
        <v>4183</v>
      </c>
      <c r="C198" s="106">
        <v>12</v>
      </c>
      <c r="D198" s="107">
        <v>3.77</v>
      </c>
      <c r="E198" s="107">
        <v>-3.61</v>
      </c>
      <c r="F198" s="107">
        <v>-9.67</v>
      </c>
      <c r="G198" s="107">
        <v>-32.79</v>
      </c>
    </row>
    <row r="199" spans="1:7" x14ac:dyDescent="0.3">
      <c r="A199" s="106" t="s">
        <v>3944</v>
      </c>
      <c r="B199" s="97" t="s">
        <v>4184</v>
      </c>
      <c r="C199" s="106">
        <v>12</v>
      </c>
      <c r="D199" s="107">
        <v>-44.23</v>
      </c>
      <c r="E199" s="107">
        <v>-3.66</v>
      </c>
      <c r="F199" s="107">
        <v>-31.38</v>
      </c>
      <c r="G199" s="107">
        <v>-14.42</v>
      </c>
    </row>
    <row r="200" spans="1:7" x14ac:dyDescent="0.3">
      <c r="A200" s="106" t="s">
        <v>3945</v>
      </c>
      <c r="B200" s="97" t="s">
        <v>4185</v>
      </c>
      <c r="C200" s="106">
        <v>12</v>
      </c>
      <c r="D200" s="107">
        <v>16.899999999999999</v>
      </c>
      <c r="E200" s="107">
        <v>39.32</v>
      </c>
      <c r="F200" s="107">
        <v>-49.97</v>
      </c>
      <c r="G200" s="107">
        <v>-33.61</v>
      </c>
    </row>
    <row r="201" spans="1:7" x14ac:dyDescent="0.3">
      <c r="A201" s="106" t="s">
        <v>3946</v>
      </c>
      <c r="B201" s="97" t="s">
        <v>4186</v>
      </c>
      <c r="C201" s="106">
        <v>12</v>
      </c>
      <c r="D201" s="107">
        <v>-14.92</v>
      </c>
      <c r="E201" s="107">
        <v>-8.93</v>
      </c>
      <c r="F201" s="107">
        <v>24.67</v>
      </c>
      <c r="G201" s="107">
        <v>-5.37</v>
      </c>
    </row>
    <row r="202" spans="1:7" x14ac:dyDescent="0.3">
      <c r="A202" s="106" t="s">
        <v>3947</v>
      </c>
      <c r="B202" s="97" t="s">
        <v>4187</v>
      </c>
      <c r="C202" s="106">
        <v>12</v>
      </c>
      <c r="D202" s="107">
        <v>-13.16</v>
      </c>
      <c r="E202" s="107">
        <v>-19.920000000000002</v>
      </c>
      <c r="F202" s="107">
        <v>-11.58</v>
      </c>
      <c r="G202" s="107">
        <v>1.43</v>
      </c>
    </row>
    <row r="203" spans="1:7" x14ac:dyDescent="0.3">
      <c r="A203" s="106" t="s">
        <v>3948</v>
      </c>
      <c r="B203" s="97" t="s">
        <v>4188</v>
      </c>
      <c r="C203" s="106">
        <v>12</v>
      </c>
      <c r="D203" s="107">
        <v>-4.33</v>
      </c>
      <c r="E203" s="107">
        <v>-32.24</v>
      </c>
      <c r="F203" s="107">
        <v>-24.59</v>
      </c>
      <c r="G203" s="107">
        <v>-11.69</v>
      </c>
    </row>
    <row r="204" spans="1:7" x14ac:dyDescent="0.3">
      <c r="A204" s="106" t="s">
        <v>3949</v>
      </c>
      <c r="B204" s="97" t="s">
        <v>4189</v>
      </c>
      <c r="C204" s="106">
        <v>12</v>
      </c>
      <c r="D204" s="107">
        <v>48</v>
      </c>
      <c r="E204" s="107">
        <v>-10.67</v>
      </c>
      <c r="F204" s="107">
        <v>48.36</v>
      </c>
      <c r="G204" s="107">
        <v>23.86</v>
      </c>
    </row>
    <row r="205" spans="1:7" x14ac:dyDescent="0.3">
      <c r="A205" s="106" t="s">
        <v>3950</v>
      </c>
      <c r="B205" s="97" t="s">
        <v>4190</v>
      </c>
      <c r="C205" s="106">
        <v>12</v>
      </c>
      <c r="D205" s="107">
        <v>1.07</v>
      </c>
      <c r="E205" s="107">
        <v>-245.58</v>
      </c>
      <c r="F205" s="107">
        <v>-7.12</v>
      </c>
      <c r="G205" s="107">
        <v>19.68</v>
      </c>
    </row>
    <row r="206" spans="1:7" x14ac:dyDescent="0.3">
      <c r="A206" s="106" t="s">
        <v>3951</v>
      </c>
      <c r="B206" s="97" t="s">
        <v>4191</v>
      </c>
      <c r="C206" s="106">
        <v>12</v>
      </c>
      <c r="D206" s="107">
        <v>-0.86</v>
      </c>
      <c r="E206" s="107">
        <v>-2.82</v>
      </c>
      <c r="F206" s="107">
        <v>-20.84</v>
      </c>
      <c r="G206" s="107">
        <v>-6.28</v>
      </c>
    </row>
    <row r="207" spans="1:7" x14ac:dyDescent="0.3">
      <c r="A207" s="106" t="s">
        <v>3952</v>
      </c>
      <c r="B207" s="97" t="s">
        <v>4192</v>
      </c>
      <c r="C207" s="106">
        <v>12</v>
      </c>
      <c r="D207" s="107">
        <v>-18.28</v>
      </c>
      <c r="E207" s="107">
        <v>-29.18</v>
      </c>
      <c r="F207" s="107">
        <v>-120.69</v>
      </c>
      <c r="G207" s="107">
        <v>-22.13</v>
      </c>
    </row>
    <row r="208" spans="1:7" x14ac:dyDescent="0.3">
      <c r="A208" s="106" t="s">
        <v>3953</v>
      </c>
      <c r="B208" s="97" t="s">
        <v>4193</v>
      </c>
      <c r="C208" s="106">
        <v>12</v>
      </c>
      <c r="D208" s="107">
        <v>3.09</v>
      </c>
      <c r="E208" s="107">
        <v>-12.69</v>
      </c>
      <c r="F208" s="107">
        <v>-40.770000000000003</v>
      </c>
      <c r="G208" s="107"/>
    </row>
    <row r="209" spans="1:7" x14ac:dyDescent="0.3">
      <c r="A209" s="106" t="s">
        <v>3954</v>
      </c>
      <c r="B209" s="97" t="s">
        <v>4194</v>
      </c>
      <c r="C209" s="106">
        <v>12</v>
      </c>
      <c r="D209" s="107">
        <v>-27.49</v>
      </c>
      <c r="E209" s="107">
        <v>-0.68</v>
      </c>
      <c r="F209" s="107">
        <v>-23.1</v>
      </c>
      <c r="G209" s="107">
        <v>1.33</v>
      </c>
    </row>
    <row r="210" spans="1:7" x14ac:dyDescent="0.3">
      <c r="A210" s="106" t="s">
        <v>3955</v>
      </c>
      <c r="B210" s="97" t="s">
        <v>4195</v>
      </c>
      <c r="C210" s="106">
        <v>12</v>
      </c>
      <c r="D210" s="107"/>
      <c r="E210" s="107">
        <v>-32.5</v>
      </c>
      <c r="F210" s="107">
        <v>-41.99</v>
      </c>
      <c r="G210" s="107">
        <v>3.55</v>
      </c>
    </row>
    <row r="211" spans="1:7" x14ac:dyDescent="0.3">
      <c r="A211" s="106" t="s">
        <v>3956</v>
      </c>
      <c r="B211" s="97" t="s">
        <v>4196</v>
      </c>
      <c r="C211" s="106">
        <v>12</v>
      </c>
      <c r="D211" s="107">
        <v>-20.84</v>
      </c>
      <c r="E211" s="107"/>
      <c r="F211" s="107"/>
      <c r="G211" s="107">
        <v>-42.94</v>
      </c>
    </row>
    <row r="212" spans="1:7" x14ac:dyDescent="0.3">
      <c r="A212" s="106" t="s">
        <v>3957</v>
      </c>
      <c r="B212" s="97" t="s">
        <v>4197</v>
      </c>
      <c r="C212" s="106">
        <v>12</v>
      </c>
      <c r="D212" s="107">
        <v>-1.62</v>
      </c>
      <c r="E212" s="107">
        <v>3.54</v>
      </c>
      <c r="F212" s="107">
        <v>-55.58</v>
      </c>
      <c r="G212" s="107">
        <v>-6.58</v>
      </c>
    </row>
    <row r="213" spans="1:7" x14ac:dyDescent="0.3">
      <c r="A213" s="106" t="s">
        <v>3958</v>
      </c>
      <c r="B213" s="97" t="s">
        <v>4198</v>
      </c>
      <c r="C213" s="106">
        <v>12</v>
      </c>
      <c r="D213" s="107">
        <v>-9.01</v>
      </c>
      <c r="E213" s="107"/>
      <c r="F213" s="107">
        <v>-14.73</v>
      </c>
      <c r="G213" s="107">
        <v>24.13</v>
      </c>
    </row>
    <row r="214" spans="1:7" x14ac:dyDescent="0.3">
      <c r="A214" s="106" t="s">
        <v>3959</v>
      </c>
      <c r="B214" s="97" t="s">
        <v>4199</v>
      </c>
      <c r="C214" s="106">
        <v>12</v>
      </c>
      <c r="D214" s="107">
        <v>12.55</v>
      </c>
      <c r="E214" s="107">
        <v>6.79</v>
      </c>
      <c r="F214" s="107">
        <v>1.74</v>
      </c>
      <c r="G214" s="107">
        <v>8.5299999999999994</v>
      </c>
    </row>
    <row r="215" spans="1:7" x14ac:dyDescent="0.3">
      <c r="A215" s="106" t="s">
        <v>3960</v>
      </c>
      <c r="B215" s="97" t="s">
        <v>4200</v>
      </c>
      <c r="C215" s="106">
        <v>12</v>
      </c>
      <c r="D215" s="107">
        <v>-14.83</v>
      </c>
      <c r="E215" s="107">
        <v>-183.06</v>
      </c>
      <c r="F215" s="107">
        <v>-9.8699999999999992</v>
      </c>
      <c r="G215" s="107">
        <v>-22.72</v>
      </c>
    </row>
    <row r="216" spans="1:7" x14ac:dyDescent="0.3">
      <c r="A216" s="106" t="s">
        <v>3961</v>
      </c>
      <c r="B216" s="97" t="s">
        <v>4201</v>
      </c>
      <c r="C216" s="106">
        <v>12</v>
      </c>
      <c r="D216" s="107">
        <v>115.9</v>
      </c>
      <c r="E216" s="107">
        <v>-607.29</v>
      </c>
      <c r="F216" s="107">
        <v>-122.59</v>
      </c>
      <c r="G216" s="107"/>
    </row>
    <row r="217" spans="1:7" x14ac:dyDescent="0.3">
      <c r="A217" s="106" t="s">
        <v>3962</v>
      </c>
      <c r="B217" s="97" t="s">
        <v>4202</v>
      </c>
      <c r="C217" s="106">
        <v>12</v>
      </c>
      <c r="D217" s="107">
        <v>-284.52</v>
      </c>
      <c r="E217" s="107">
        <v>-15.45</v>
      </c>
      <c r="F217" s="107">
        <v>12.07</v>
      </c>
      <c r="G217" s="107">
        <v>-148.77000000000001</v>
      </c>
    </row>
    <row r="218" spans="1:7" x14ac:dyDescent="0.3">
      <c r="A218" s="106" t="s">
        <v>3963</v>
      </c>
      <c r="B218" s="97" t="s">
        <v>4203</v>
      </c>
      <c r="C218" s="106">
        <v>12</v>
      </c>
      <c r="D218" s="107">
        <v>-20.54</v>
      </c>
      <c r="E218" s="107">
        <v>9.4499999999999993</v>
      </c>
      <c r="F218" s="107">
        <v>-23.86</v>
      </c>
      <c r="G218" s="107">
        <v>31.94</v>
      </c>
    </row>
    <row r="219" spans="1:7" x14ac:dyDescent="0.3">
      <c r="A219" s="106" t="s">
        <v>3964</v>
      </c>
      <c r="B219" s="97" t="s">
        <v>4204</v>
      </c>
      <c r="C219" s="106">
        <v>12</v>
      </c>
      <c r="D219" s="107">
        <v>-249.37</v>
      </c>
      <c r="E219" s="107">
        <v>-168.23</v>
      </c>
      <c r="F219" s="107">
        <v>188.42</v>
      </c>
      <c r="G219" s="107"/>
    </row>
    <row r="220" spans="1:7" x14ac:dyDescent="0.3">
      <c r="A220" s="106" t="s">
        <v>3965</v>
      </c>
      <c r="B220" s="97" t="s">
        <v>4205</v>
      </c>
      <c r="C220" s="106">
        <v>12</v>
      </c>
      <c r="D220" s="107">
        <v>-5.61</v>
      </c>
      <c r="E220" s="107">
        <v>-55.58</v>
      </c>
      <c r="F220" s="107">
        <v>-35.47</v>
      </c>
      <c r="G220" s="107">
        <v>-12.95</v>
      </c>
    </row>
    <row r="221" spans="1:7" x14ac:dyDescent="0.3">
      <c r="A221" s="106" t="s">
        <v>3966</v>
      </c>
      <c r="B221" s="97" t="s">
        <v>4206</v>
      </c>
      <c r="C221" s="106">
        <v>12</v>
      </c>
      <c r="D221" s="107">
        <v>113.63</v>
      </c>
      <c r="E221" s="107">
        <v>9.43</v>
      </c>
      <c r="F221" s="107">
        <v>-37.36</v>
      </c>
      <c r="G221" s="107"/>
    </row>
    <row r="222" spans="1:7" x14ac:dyDescent="0.3">
      <c r="A222" s="106" t="s">
        <v>3967</v>
      </c>
      <c r="B222" s="97" t="s">
        <v>4207</v>
      </c>
      <c r="C222" s="106">
        <v>12</v>
      </c>
      <c r="D222" s="107">
        <v>-142.51</v>
      </c>
      <c r="E222" s="107">
        <v>-7.99</v>
      </c>
      <c r="F222" s="107">
        <v>-47.45</v>
      </c>
      <c r="G222" s="107">
        <v>17.45</v>
      </c>
    </row>
    <row r="223" spans="1:7" x14ac:dyDescent="0.3">
      <c r="A223" s="106" t="s">
        <v>3968</v>
      </c>
      <c r="B223" s="97" t="s">
        <v>4208</v>
      </c>
      <c r="C223" s="106">
        <v>12</v>
      </c>
      <c r="D223" s="107">
        <v>-131.03</v>
      </c>
      <c r="E223" s="107">
        <v>-250.04</v>
      </c>
      <c r="F223" s="107">
        <v>-67.849999999999994</v>
      </c>
      <c r="G223" s="107">
        <v>-201.48</v>
      </c>
    </row>
    <row r="224" spans="1:7" x14ac:dyDescent="0.3">
      <c r="A224" s="106" t="s">
        <v>3969</v>
      </c>
      <c r="B224" s="97" t="s">
        <v>4209</v>
      </c>
      <c r="C224" s="106">
        <v>12</v>
      </c>
      <c r="D224" s="107">
        <v>-8.68</v>
      </c>
      <c r="E224" s="107">
        <v>-7.56</v>
      </c>
      <c r="F224" s="107">
        <v>-8.7200000000000006</v>
      </c>
      <c r="G224" s="107">
        <v>-21.74</v>
      </c>
    </row>
    <row r="225" spans="1:7" x14ac:dyDescent="0.3">
      <c r="A225" s="106" t="s">
        <v>3970</v>
      </c>
      <c r="B225" s="97" t="s">
        <v>4210</v>
      </c>
      <c r="C225" s="106">
        <v>12</v>
      </c>
      <c r="D225" s="107">
        <v>0.52</v>
      </c>
      <c r="E225" s="107">
        <v>-18.53</v>
      </c>
      <c r="F225" s="107">
        <v>-66.13</v>
      </c>
      <c r="G225" s="107">
        <v>-18.170000000000002</v>
      </c>
    </row>
    <row r="226" spans="1:7" x14ac:dyDescent="0.3">
      <c r="A226" s="106" t="s">
        <v>3971</v>
      </c>
      <c r="B226" s="97" t="s">
        <v>4211</v>
      </c>
      <c r="C226" s="106">
        <v>12</v>
      </c>
      <c r="D226" s="107">
        <v>17.48</v>
      </c>
      <c r="E226" s="107">
        <v>-1.96</v>
      </c>
      <c r="F226" s="107">
        <v>-22.77</v>
      </c>
      <c r="G226" s="107">
        <v>-78.510000000000005</v>
      </c>
    </row>
    <row r="227" spans="1:7" x14ac:dyDescent="0.3">
      <c r="A227" s="106" t="s">
        <v>3972</v>
      </c>
      <c r="B227" s="97" t="s">
        <v>4212</v>
      </c>
      <c r="C227" s="106">
        <v>12</v>
      </c>
      <c r="D227" s="107">
        <v>12.5</v>
      </c>
      <c r="E227" s="107">
        <v>-4.8600000000000003</v>
      </c>
      <c r="F227" s="107">
        <v>-60.66</v>
      </c>
      <c r="G227" s="107">
        <v>-0.66</v>
      </c>
    </row>
    <row r="228" spans="1:7" x14ac:dyDescent="0.3">
      <c r="A228" s="106" t="s">
        <v>3973</v>
      </c>
      <c r="B228" s="97" t="s">
        <v>4213</v>
      </c>
      <c r="C228" s="106">
        <v>12</v>
      </c>
      <c r="D228" s="107">
        <v>5.32</v>
      </c>
      <c r="E228" s="107">
        <v>5.99</v>
      </c>
      <c r="F228" s="107">
        <v>-54.22</v>
      </c>
      <c r="G228" s="107">
        <v>-8.5</v>
      </c>
    </row>
    <row r="229" spans="1:7" x14ac:dyDescent="0.3">
      <c r="A229" s="106" t="s">
        <v>3974</v>
      </c>
      <c r="B229" s="97" t="s">
        <v>4214</v>
      </c>
      <c r="C229" s="106">
        <v>12</v>
      </c>
      <c r="D229" s="107">
        <v>-16.57</v>
      </c>
      <c r="E229" s="107">
        <v>9.2200000000000006</v>
      </c>
      <c r="F229" s="107">
        <v>10.28</v>
      </c>
      <c r="G229" s="107"/>
    </row>
    <row r="230" spans="1:7" x14ac:dyDescent="0.3">
      <c r="A230" s="106" t="s">
        <v>3975</v>
      </c>
      <c r="B230" s="97" t="s">
        <v>4215</v>
      </c>
      <c r="C230" s="106">
        <v>12</v>
      </c>
      <c r="D230" s="107">
        <v>2.4</v>
      </c>
      <c r="E230" s="107">
        <v>-17.09</v>
      </c>
      <c r="F230" s="107">
        <v>5.18</v>
      </c>
      <c r="G230" s="107">
        <v>-1.51</v>
      </c>
    </row>
    <row r="231" spans="1:7" x14ac:dyDescent="0.3">
      <c r="A231" s="106" t="s">
        <v>3976</v>
      </c>
      <c r="B231" s="97" t="s">
        <v>4216</v>
      </c>
      <c r="C231" s="106">
        <v>12</v>
      </c>
      <c r="D231" s="107">
        <v>2.2799999999999998</v>
      </c>
      <c r="E231" s="107">
        <v>4.1100000000000003</v>
      </c>
      <c r="F231" s="107">
        <v>-79.290000000000006</v>
      </c>
      <c r="G231" s="107"/>
    </row>
    <row r="232" spans="1:7" x14ac:dyDescent="0.3">
      <c r="A232" s="106" t="s">
        <v>3977</v>
      </c>
      <c r="B232" s="97" t="s">
        <v>4217</v>
      </c>
      <c r="C232" s="106">
        <v>12</v>
      </c>
      <c r="D232" s="107">
        <v>7.96</v>
      </c>
      <c r="E232" s="107">
        <v>-7.97</v>
      </c>
      <c r="F232" s="107">
        <v>-14.77</v>
      </c>
      <c r="G232" s="107">
        <v>-6.18</v>
      </c>
    </row>
    <row r="233" spans="1:7" x14ac:dyDescent="0.3">
      <c r="A233" s="106" t="s">
        <v>3978</v>
      </c>
      <c r="B233" s="97" t="s">
        <v>4218</v>
      </c>
      <c r="C233" s="106">
        <v>12</v>
      </c>
      <c r="D233" s="107">
        <v>10.53</v>
      </c>
      <c r="E233" s="107">
        <v>-4.0599999999999996</v>
      </c>
      <c r="F233" s="107"/>
      <c r="G233" s="107"/>
    </row>
    <row r="234" spans="1:7" x14ac:dyDescent="0.3">
      <c r="A234" s="106" t="s">
        <v>3979</v>
      </c>
      <c r="B234" s="97" t="s">
        <v>4219</v>
      </c>
      <c r="C234" s="106">
        <v>12</v>
      </c>
      <c r="D234" s="107">
        <v>1.94</v>
      </c>
      <c r="E234" s="107">
        <v>-1.39</v>
      </c>
      <c r="F234" s="107">
        <v>-36.520000000000003</v>
      </c>
      <c r="G234" s="107">
        <v>4.3</v>
      </c>
    </row>
    <row r="235" spans="1:7" x14ac:dyDescent="0.3">
      <c r="A235" s="106" t="s">
        <v>3980</v>
      </c>
      <c r="B235" s="97" t="s">
        <v>4220</v>
      </c>
      <c r="C235" s="106">
        <v>12</v>
      </c>
      <c r="D235" s="107">
        <v>-221.03</v>
      </c>
      <c r="E235" s="107">
        <v>-515.16</v>
      </c>
      <c r="F235" s="107">
        <v>-1073.6300000000001</v>
      </c>
      <c r="G235" s="107">
        <v>-0.95</v>
      </c>
    </row>
    <row r="236" spans="1:7" x14ac:dyDescent="0.3">
      <c r="A236" s="106" t="s">
        <v>3981</v>
      </c>
      <c r="B236" s="97" t="s">
        <v>4221</v>
      </c>
      <c r="C236" s="106">
        <v>12</v>
      </c>
      <c r="D236" s="107">
        <v>-8.7100000000000009</v>
      </c>
      <c r="E236" s="107">
        <v>-14.58</v>
      </c>
      <c r="F236" s="107">
        <v>-12.99</v>
      </c>
      <c r="G236" s="107">
        <v>2.4700000000000002</v>
      </c>
    </row>
    <row r="237" spans="1:7" x14ac:dyDescent="0.3">
      <c r="A237" s="106" t="s">
        <v>3982</v>
      </c>
      <c r="B237" s="97" t="s">
        <v>4222</v>
      </c>
      <c r="C237" s="106">
        <v>12</v>
      </c>
      <c r="D237" s="107">
        <v>-21.31</v>
      </c>
      <c r="E237" s="107">
        <v>-0.88</v>
      </c>
      <c r="F237" s="107">
        <v>-45.8</v>
      </c>
      <c r="G237" s="107">
        <v>-8.89</v>
      </c>
    </row>
    <row r="238" spans="1:7" x14ac:dyDescent="0.3">
      <c r="A238" s="106" t="s">
        <v>3983</v>
      </c>
      <c r="B238" s="97" t="s">
        <v>4223</v>
      </c>
      <c r="C238" s="106">
        <v>12</v>
      </c>
      <c r="D238" s="107">
        <v>-16.95</v>
      </c>
      <c r="E238" s="107">
        <v>-41.29</v>
      </c>
      <c r="F238" s="107">
        <v>-540.37</v>
      </c>
      <c r="G238" s="107">
        <v>2.5099999999999998</v>
      </c>
    </row>
    <row r="239" spans="1:7" x14ac:dyDescent="0.3">
      <c r="A239" s="106" t="s">
        <v>3984</v>
      </c>
      <c r="B239" s="97" t="s">
        <v>4224</v>
      </c>
      <c r="C239" s="106">
        <v>12</v>
      </c>
      <c r="D239" s="107">
        <v>-2.77</v>
      </c>
      <c r="E239" s="107">
        <v>-49.42</v>
      </c>
      <c r="F239" s="107">
        <v>-37.71</v>
      </c>
      <c r="G239" s="107">
        <v>-19.329999999999998</v>
      </c>
    </row>
    <row r="240" spans="1:7" x14ac:dyDescent="0.3">
      <c r="A240" s="106" t="s">
        <v>3985</v>
      </c>
      <c r="B240" s="97" t="s">
        <v>4225</v>
      </c>
      <c r="C240" s="106">
        <v>12</v>
      </c>
      <c r="D240" s="107">
        <v>-17.420000000000002</v>
      </c>
      <c r="E240" s="107">
        <v>-34.5</v>
      </c>
      <c r="F240" s="107">
        <v>-28.78</v>
      </c>
      <c r="G240" s="107">
        <v>-13.7</v>
      </c>
    </row>
    <row r="241" spans="1:7" x14ac:dyDescent="0.3">
      <c r="A241" s="106" t="s">
        <v>3986</v>
      </c>
      <c r="B241" s="97" t="s">
        <v>4226</v>
      </c>
      <c r="C241" s="106">
        <v>12</v>
      </c>
      <c r="D241" s="107">
        <v>8.17</v>
      </c>
      <c r="E241" s="107">
        <v>-3.74</v>
      </c>
      <c r="F241" s="107">
        <v>4.38</v>
      </c>
      <c r="G241" s="107"/>
    </row>
    <row r="242" spans="1:7" x14ac:dyDescent="0.3">
      <c r="A242" s="106" t="s">
        <v>3987</v>
      </c>
      <c r="B242" s="97" t="s">
        <v>4227</v>
      </c>
      <c r="C242" s="106">
        <v>12</v>
      </c>
      <c r="D242" s="107">
        <v>-29.18</v>
      </c>
      <c r="E242" s="107">
        <v>-13.57</v>
      </c>
      <c r="F242" s="107">
        <v>-7.01</v>
      </c>
      <c r="G242" s="107">
        <v>4.34</v>
      </c>
    </row>
    <row r="243" spans="1:7" x14ac:dyDescent="0.3">
      <c r="A243" s="106" t="s">
        <v>3988</v>
      </c>
      <c r="B243" s="97" t="s">
        <v>4228</v>
      </c>
      <c r="C243" s="106">
        <v>12</v>
      </c>
      <c r="D243" s="107">
        <v>-2.69</v>
      </c>
      <c r="E243" s="107">
        <v>-72.55</v>
      </c>
      <c r="F243" s="107">
        <v>-159.80000000000001</v>
      </c>
      <c r="G243" s="107">
        <v>-6230.66</v>
      </c>
    </row>
    <row r="244" spans="1:7" x14ac:dyDescent="0.3">
      <c r="A244" s="106" t="s">
        <v>3989</v>
      </c>
      <c r="B244" s="97" t="s">
        <v>4229</v>
      </c>
      <c r="C244" s="106">
        <v>12</v>
      </c>
      <c r="D244" s="107">
        <v>-20.76</v>
      </c>
      <c r="E244" s="107">
        <v>-54.78</v>
      </c>
      <c r="F244" s="107">
        <v>-72.040000000000006</v>
      </c>
      <c r="G244" s="107">
        <v>-79.040000000000006</v>
      </c>
    </row>
    <row r="245" spans="1:7" x14ac:dyDescent="0.3">
      <c r="A245" s="106" t="s">
        <v>3990</v>
      </c>
      <c r="B245" s="97" t="s">
        <v>4230</v>
      </c>
      <c r="C245" s="106">
        <v>12</v>
      </c>
      <c r="D245" s="107">
        <v>-24.28</v>
      </c>
      <c r="E245" s="107">
        <v>-4.9000000000000004</v>
      </c>
      <c r="F245" s="107">
        <v>-16.239999999999998</v>
      </c>
      <c r="G245" s="107">
        <v>4.3099999999999996</v>
      </c>
    </row>
    <row r="246" spans="1:7" x14ac:dyDescent="0.3">
      <c r="A246" s="106" t="s">
        <v>3991</v>
      </c>
      <c r="B246" s="97" t="s">
        <v>4231</v>
      </c>
      <c r="C246" s="106">
        <v>12</v>
      </c>
      <c r="D246" s="107">
        <v>-7.69</v>
      </c>
      <c r="E246" s="107">
        <v>4.51</v>
      </c>
      <c r="F246" s="107">
        <v>0.85</v>
      </c>
      <c r="G246" s="107">
        <v>0.33</v>
      </c>
    </row>
    <row r="247" spans="1:7" x14ac:dyDescent="0.3">
      <c r="A247" s="106" t="s">
        <v>3992</v>
      </c>
      <c r="B247" s="97" t="s">
        <v>4232</v>
      </c>
      <c r="C247" s="106">
        <v>12</v>
      </c>
      <c r="D247" s="107">
        <v>-5.64</v>
      </c>
      <c r="E247" s="107">
        <v>0.52</v>
      </c>
      <c r="F247" s="107">
        <v>-18.07</v>
      </c>
      <c r="G247" s="107">
        <v>-1.01</v>
      </c>
    </row>
    <row r="248" spans="1:7" x14ac:dyDescent="0.3">
      <c r="A248" s="106" t="s">
        <v>3993</v>
      </c>
      <c r="B248" s="97" t="s">
        <v>4233</v>
      </c>
      <c r="C248" s="106">
        <v>12</v>
      </c>
      <c r="D248" s="107">
        <v>-1.25</v>
      </c>
      <c r="E248" s="107">
        <v>10.23</v>
      </c>
      <c r="F248" s="107">
        <v>-6.65</v>
      </c>
      <c r="G248" s="107">
        <v>1.41</v>
      </c>
    </row>
    <row r="249" spans="1:7" x14ac:dyDescent="0.3">
      <c r="A249" s="106" t="s">
        <v>3994</v>
      </c>
      <c r="B249" s="97" t="s">
        <v>4234</v>
      </c>
      <c r="C249" s="106">
        <v>12</v>
      </c>
      <c r="D249" s="107"/>
      <c r="E249" s="107">
        <v>-33.24</v>
      </c>
      <c r="F249" s="107">
        <v>-88.97</v>
      </c>
      <c r="G249" s="107">
        <v>-66.87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RefreshBtn1">
          <controlPr defaultSize="0" autoLine="0" autoPict="0" r:id="rId5">
            <anchor mov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647700</xdr:colOff>
                <xdr:row>1</xdr:row>
                <xdr:rowOff>9525</xdr:rowOff>
              </to>
            </anchor>
          </controlPr>
        </control>
      </mc:Choice>
      <mc:Fallback>
        <control shapeId="7169" r:id="rId4" name="RefreshBt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F1934"/>
  <sheetViews>
    <sheetView showGridLines="0" workbookViewId="0">
      <pane xSplit="3" ySplit="13" topLeftCell="D14" activePane="bottomRight" state="frozen"/>
      <selection pane="topRight"/>
      <selection pane="bottomLeft"/>
      <selection pane="bottomRight"/>
    </sheetView>
  </sheetViews>
  <sheetFormatPr defaultColWidth="9" defaultRowHeight="12" x14ac:dyDescent="0.3"/>
  <cols>
    <col min="1" max="6" width="14.625" style="95" customWidth="1"/>
    <col min="7" max="16384" width="9" style="95"/>
  </cols>
  <sheetData>
    <row r="1" spans="1:6" ht="15" customHeight="1" x14ac:dyDescent="0.3">
      <c r="A1" s="93" t="s">
        <v>34</v>
      </c>
      <c r="B1" s="94" t="s">
        <v>3720</v>
      </c>
    </row>
    <row r="3" spans="1:6" x14ac:dyDescent="0.3">
      <c r="A3" s="3" t="s">
        <v>3752</v>
      </c>
    </row>
    <row r="4" spans="1:6" x14ac:dyDescent="0.3">
      <c r="A4" s="96" t="s">
        <v>3753</v>
      </c>
      <c r="B4" s="96">
        <v>0</v>
      </c>
      <c r="C4" s="96" t="s">
        <v>2</v>
      </c>
    </row>
    <row r="5" spans="1:6" x14ac:dyDescent="0.3">
      <c r="A5" s="97"/>
      <c r="B5" s="97"/>
      <c r="C5" s="97"/>
    </row>
    <row r="6" spans="1:6" x14ac:dyDescent="0.3">
      <c r="A6" s="97"/>
      <c r="B6" s="97"/>
      <c r="C6" s="97"/>
    </row>
    <row r="7" spans="1:6" x14ac:dyDescent="0.3">
      <c r="A7" s="99"/>
      <c r="B7" s="99"/>
      <c r="C7" s="99"/>
    </row>
    <row r="9" spans="1:6" x14ac:dyDescent="0.3">
      <c r="A9" s="96"/>
      <c r="B9" s="96" t="s">
        <v>3754</v>
      </c>
      <c r="C9" s="96" t="s">
        <v>31</v>
      </c>
      <c r="D9" s="96" t="s">
        <v>3040</v>
      </c>
      <c r="E9" s="96" t="s">
        <v>3085</v>
      </c>
      <c r="F9" s="96" t="s">
        <v>3085</v>
      </c>
    </row>
    <row r="10" spans="1:6" x14ac:dyDescent="0.3">
      <c r="A10" s="98"/>
      <c r="B10" s="98" t="s">
        <v>3755</v>
      </c>
      <c r="C10" s="98"/>
      <c r="D10" s="98">
        <f>Main!C4</f>
        <v>201303</v>
      </c>
      <c r="E10" s="98">
        <f>D10</f>
        <v>201303</v>
      </c>
      <c r="F10" s="98">
        <f>Main!F4</f>
        <v>201206</v>
      </c>
    </row>
    <row r="11" spans="1:6" x14ac:dyDescent="0.3">
      <c r="A11" s="98"/>
      <c r="B11" s="98" t="s">
        <v>3756</v>
      </c>
      <c r="C11" s="98" t="s">
        <v>35</v>
      </c>
      <c r="D11" s="98" t="s">
        <v>3579</v>
      </c>
      <c r="E11" s="98" t="s">
        <v>3579</v>
      </c>
      <c r="F11" s="98" t="s">
        <v>3579</v>
      </c>
    </row>
    <row r="12" spans="1:6" x14ac:dyDescent="0.3">
      <c r="A12" s="102"/>
      <c r="B12" s="102" t="s">
        <v>3716</v>
      </c>
      <c r="C12" s="98"/>
      <c r="D12" s="98"/>
      <c r="E12" s="98"/>
      <c r="F12" s="98"/>
    </row>
    <row r="13" spans="1:6" x14ac:dyDescent="0.3">
      <c r="A13" s="104" t="s">
        <v>3757</v>
      </c>
      <c r="B13" s="105" t="s">
        <v>3758</v>
      </c>
      <c r="C13" s="105" t="s">
        <v>3717</v>
      </c>
      <c r="D13" s="105" t="s">
        <v>5921</v>
      </c>
      <c r="E13" s="105" t="s">
        <v>5922</v>
      </c>
      <c r="F13" s="105" t="s">
        <v>5922</v>
      </c>
    </row>
    <row r="14" spans="1:6" x14ac:dyDescent="0.3">
      <c r="A14" s="106" t="s">
        <v>4235</v>
      </c>
      <c r="B14" s="97" t="s">
        <v>5923</v>
      </c>
      <c r="C14" s="106">
        <v>12</v>
      </c>
      <c r="D14" s="107">
        <v>228.88</v>
      </c>
      <c r="E14" s="107">
        <v>4.87</v>
      </c>
      <c r="F14" s="107">
        <v>3.16</v>
      </c>
    </row>
    <row r="15" spans="1:6" x14ac:dyDescent="0.3">
      <c r="A15" s="106" t="s">
        <v>4236</v>
      </c>
      <c r="B15" s="97" t="s">
        <v>5924</v>
      </c>
      <c r="C15" s="106">
        <v>12</v>
      </c>
      <c r="D15" s="107">
        <v>60.45</v>
      </c>
      <c r="E15" s="107">
        <v>-0.72</v>
      </c>
      <c r="F15" s="107">
        <v>-2.16</v>
      </c>
    </row>
    <row r="16" spans="1:6" x14ac:dyDescent="0.3">
      <c r="A16" s="106" t="s">
        <v>4237</v>
      </c>
      <c r="B16" s="97" t="s">
        <v>5925</v>
      </c>
      <c r="C16" s="106">
        <v>12</v>
      </c>
      <c r="D16" s="107">
        <v>624.98</v>
      </c>
      <c r="E16" s="107">
        <v>8.7200000000000006</v>
      </c>
      <c r="F16" s="107">
        <v>0.59</v>
      </c>
    </row>
    <row r="17" spans="1:6" x14ac:dyDescent="0.3">
      <c r="A17" s="106" t="s">
        <v>4238</v>
      </c>
      <c r="B17" s="97" t="s">
        <v>5926</v>
      </c>
      <c r="C17" s="106">
        <v>3</v>
      </c>
      <c r="D17" s="107">
        <v>1088.8900000000001</v>
      </c>
      <c r="E17" s="107">
        <v>44.45</v>
      </c>
      <c r="F17" s="107">
        <v>54.79</v>
      </c>
    </row>
    <row r="18" spans="1:6" x14ac:dyDescent="0.3">
      <c r="A18" s="106" t="s">
        <v>4239</v>
      </c>
      <c r="B18" s="97" t="s">
        <v>5927</v>
      </c>
      <c r="C18" s="106">
        <v>12</v>
      </c>
      <c r="D18" s="107">
        <v>1663.78</v>
      </c>
      <c r="E18" s="107">
        <v>10.76</v>
      </c>
      <c r="F18" s="107">
        <v>3.66</v>
      </c>
    </row>
    <row r="19" spans="1:6" x14ac:dyDescent="0.3">
      <c r="A19" s="106" t="s">
        <v>4240</v>
      </c>
      <c r="B19" s="97" t="s">
        <v>5928</v>
      </c>
      <c r="C19" s="106">
        <v>12</v>
      </c>
      <c r="D19" s="107">
        <v>1338.37</v>
      </c>
      <c r="E19" s="107">
        <v>47.51</v>
      </c>
      <c r="F19" s="107">
        <v>37.21</v>
      </c>
    </row>
    <row r="20" spans="1:6" x14ac:dyDescent="0.3">
      <c r="A20" s="106" t="s">
        <v>4241</v>
      </c>
      <c r="B20" s="97" t="s">
        <v>3999</v>
      </c>
      <c r="C20" s="106">
        <v>12</v>
      </c>
      <c r="D20" s="107">
        <v>1201.8900000000001</v>
      </c>
      <c r="E20" s="107">
        <v>13.7</v>
      </c>
      <c r="F20" s="107">
        <v>9.2799999999999994</v>
      </c>
    </row>
    <row r="21" spans="1:6" x14ac:dyDescent="0.3">
      <c r="A21" s="106" t="s">
        <v>3760</v>
      </c>
      <c r="B21" s="97" t="s">
        <v>5929</v>
      </c>
      <c r="C21" s="106">
        <v>12</v>
      </c>
      <c r="D21" s="107">
        <v>2325.56</v>
      </c>
      <c r="E21" s="107">
        <v>14.29</v>
      </c>
      <c r="F21" s="107">
        <v>42.19</v>
      </c>
    </row>
    <row r="22" spans="1:6" x14ac:dyDescent="0.3">
      <c r="A22" s="106" t="s">
        <v>4242</v>
      </c>
      <c r="B22" s="97" t="s">
        <v>5930</v>
      </c>
      <c r="C22" s="106">
        <v>12</v>
      </c>
      <c r="D22" s="107">
        <v>1309.5</v>
      </c>
      <c r="E22" s="107">
        <v>49.1</v>
      </c>
      <c r="F22" s="107">
        <v>40.04</v>
      </c>
    </row>
    <row r="23" spans="1:6" x14ac:dyDescent="0.3">
      <c r="A23" s="106" t="s">
        <v>3761</v>
      </c>
      <c r="B23" s="97" t="s">
        <v>5931</v>
      </c>
      <c r="C23" s="106">
        <v>12</v>
      </c>
      <c r="D23" s="107">
        <v>7064.26</v>
      </c>
      <c r="E23" s="107">
        <v>246.71</v>
      </c>
      <c r="F23" s="107">
        <v>130.1</v>
      </c>
    </row>
    <row r="24" spans="1:6" x14ac:dyDescent="0.3">
      <c r="A24" s="106" t="s">
        <v>4243</v>
      </c>
      <c r="B24" s="97" t="s">
        <v>5932</v>
      </c>
      <c r="C24" s="106">
        <v>12</v>
      </c>
      <c r="D24" s="107">
        <v>255.57</v>
      </c>
      <c r="E24" s="107">
        <v>-1.37</v>
      </c>
      <c r="F24" s="107">
        <v>0.81</v>
      </c>
    </row>
    <row r="25" spans="1:6" x14ac:dyDescent="0.3">
      <c r="A25" s="106" t="s">
        <v>3762</v>
      </c>
      <c r="B25" s="97" t="s">
        <v>5933</v>
      </c>
      <c r="C25" s="106">
        <v>12</v>
      </c>
      <c r="D25" s="107">
        <v>5014.68</v>
      </c>
      <c r="E25" s="107">
        <v>123.95</v>
      </c>
      <c r="F25" s="107">
        <v>125.04</v>
      </c>
    </row>
    <row r="26" spans="1:6" x14ac:dyDescent="0.3">
      <c r="A26" s="106" t="s">
        <v>4244</v>
      </c>
      <c r="B26" s="97" t="s">
        <v>5934</v>
      </c>
      <c r="C26" s="106">
        <v>3</v>
      </c>
      <c r="D26" s="107">
        <v>69.069999999999993</v>
      </c>
      <c r="E26" s="107">
        <v>2.5099999999999998</v>
      </c>
      <c r="F26" s="107">
        <v>0.21</v>
      </c>
    </row>
    <row r="27" spans="1:6" x14ac:dyDescent="0.3">
      <c r="A27" s="106" t="s">
        <v>4245</v>
      </c>
      <c r="B27" s="97" t="s">
        <v>5935</v>
      </c>
      <c r="C27" s="106">
        <v>12</v>
      </c>
      <c r="D27" s="107">
        <v>325.58</v>
      </c>
      <c r="E27" s="107">
        <v>5.2</v>
      </c>
      <c r="F27" s="107">
        <v>6.93</v>
      </c>
    </row>
    <row r="28" spans="1:6" x14ac:dyDescent="0.3">
      <c r="A28" s="106" t="s">
        <v>3763</v>
      </c>
      <c r="B28" s="97" t="s">
        <v>5936</v>
      </c>
      <c r="C28" s="106">
        <v>12</v>
      </c>
      <c r="D28" s="107">
        <v>834.4</v>
      </c>
      <c r="E28" s="107">
        <v>13.71</v>
      </c>
      <c r="F28" s="107">
        <v>243.83</v>
      </c>
    </row>
    <row r="29" spans="1:6" x14ac:dyDescent="0.3">
      <c r="A29" s="106" t="s">
        <v>4246</v>
      </c>
      <c r="B29" s="97" t="s">
        <v>5937</v>
      </c>
      <c r="C29" s="106">
        <v>12</v>
      </c>
      <c r="D29" s="107">
        <v>84.91</v>
      </c>
      <c r="E29" s="107">
        <v>3.37</v>
      </c>
      <c r="F29" s="107">
        <v>0.44</v>
      </c>
    </row>
    <row r="30" spans="1:6" x14ac:dyDescent="0.3">
      <c r="A30" s="106" t="s">
        <v>3764</v>
      </c>
      <c r="B30" s="97" t="s">
        <v>5938</v>
      </c>
      <c r="C30" s="106">
        <v>12</v>
      </c>
      <c r="D30" s="107">
        <v>17282.32</v>
      </c>
      <c r="E30" s="107">
        <v>704.16</v>
      </c>
      <c r="F30" s="107">
        <v>1231.45</v>
      </c>
    </row>
    <row r="31" spans="1:6" x14ac:dyDescent="0.3">
      <c r="A31" s="106" t="s">
        <v>4247</v>
      </c>
      <c r="B31" s="97" t="s">
        <v>5939</v>
      </c>
      <c r="C31" s="106">
        <v>12</v>
      </c>
      <c r="D31" s="107">
        <v>99.13</v>
      </c>
      <c r="E31" s="107">
        <v>-1.9</v>
      </c>
      <c r="F31" s="107">
        <v>-2.02</v>
      </c>
    </row>
    <row r="32" spans="1:6" x14ac:dyDescent="0.3">
      <c r="A32" s="106" t="s">
        <v>4248</v>
      </c>
      <c r="B32" s="97" t="s">
        <v>5940</v>
      </c>
      <c r="C32" s="106">
        <v>12</v>
      </c>
      <c r="D32" s="107">
        <v>372.82</v>
      </c>
      <c r="E32" s="107">
        <v>1.97</v>
      </c>
      <c r="F32" s="107">
        <v>-1.4</v>
      </c>
    </row>
    <row r="33" spans="1:6" x14ac:dyDescent="0.3">
      <c r="A33" s="106" t="s">
        <v>4249</v>
      </c>
      <c r="B33" s="97" t="s">
        <v>5941</v>
      </c>
      <c r="C33" s="106">
        <v>12</v>
      </c>
      <c r="D33" s="107">
        <v>294.18</v>
      </c>
      <c r="E33" s="107">
        <v>-12.05</v>
      </c>
      <c r="F33" s="107">
        <v>-60.81</v>
      </c>
    </row>
    <row r="34" spans="1:6" x14ac:dyDescent="0.3">
      <c r="A34" s="106" t="s">
        <v>4250</v>
      </c>
      <c r="B34" s="97" t="s">
        <v>5942</v>
      </c>
      <c r="C34" s="106">
        <v>3</v>
      </c>
      <c r="D34" s="107">
        <v>479.46</v>
      </c>
      <c r="E34" s="107">
        <v>-14.46</v>
      </c>
      <c r="F34" s="107">
        <v>27</v>
      </c>
    </row>
    <row r="35" spans="1:6" x14ac:dyDescent="0.3">
      <c r="A35" s="106" t="s">
        <v>4251</v>
      </c>
      <c r="B35" s="97" t="s">
        <v>5943</v>
      </c>
      <c r="C35" s="106">
        <v>12</v>
      </c>
      <c r="D35" s="107">
        <v>219.26</v>
      </c>
      <c r="E35" s="107">
        <v>2.4900000000000002</v>
      </c>
      <c r="F35" s="107">
        <v>9.32</v>
      </c>
    </row>
    <row r="36" spans="1:6" x14ac:dyDescent="0.3">
      <c r="A36" s="106" t="s">
        <v>4252</v>
      </c>
      <c r="B36" s="97" t="s">
        <v>5944</v>
      </c>
      <c r="C36" s="106">
        <v>3</v>
      </c>
      <c r="D36" s="107">
        <v>286.45999999999998</v>
      </c>
      <c r="E36" s="107">
        <v>-3.67</v>
      </c>
      <c r="F36" s="107">
        <v>-0.71</v>
      </c>
    </row>
    <row r="37" spans="1:6" x14ac:dyDescent="0.3">
      <c r="A37" s="106" t="s">
        <v>4253</v>
      </c>
      <c r="B37" s="97" t="s">
        <v>5945</v>
      </c>
      <c r="C37" s="106">
        <v>12</v>
      </c>
      <c r="D37" s="107">
        <v>2.4900000000000002</v>
      </c>
      <c r="E37" s="107">
        <v>2.34</v>
      </c>
      <c r="F37" s="107">
        <v>-0.25</v>
      </c>
    </row>
    <row r="38" spans="1:6" x14ac:dyDescent="0.3">
      <c r="A38" s="106" t="s">
        <v>4254</v>
      </c>
      <c r="B38" s="97" t="s">
        <v>5946</v>
      </c>
      <c r="C38" s="106">
        <v>12</v>
      </c>
      <c r="D38" s="107">
        <v>461.82</v>
      </c>
      <c r="E38" s="107">
        <v>17.18</v>
      </c>
      <c r="F38" s="107">
        <v>10</v>
      </c>
    </row>
    <row r="39" spans="1:6" x14ac:dyDescent="0.3">
      <c r="A39" s="106" t="s">
        <v>4255</v>
      </c>
      <c r="B39" s="97" t="s">
        <v>5947</v>
      </c>
      <c r="C39" s="106">
        <v>9</v>
      </c>
      <c r="D39" s="107">
        <v>44.3</v>
      </c>
      <c r="E39" s="107">
        <v>0.73</v>
      </c>
      <c r="F39" s="107">
        <v>0.69</v>
      </c>
    </row>
    <row r="40" spans="1:6" x14ac:dyDescent="0.3">
      <c r="A40" s="106" t="s">
        <v>4256</v>
      </c>
      <c r="B40" s="97" t="s">
        <v>5948</v>
      </c>
      <c r="C40" s="106">
        <v>12</v>
      </c>
      <c r="D40" s="107">
        <v>632.46</v>
      </c>
      <c r="E40" s="107">
        <v>11.54</v>
      </c>
      <c r="F40" s="107">
        <v>6.14</v>
      </c>
    </row>
    <row r="41" spans="1:6" x14ac:dyDescent="0.3">
      <c r="A41" s="106" t="s">
        <v>4257</v>
      </c>
      <c r="B41" s="97" t="s">
        <v>5949</v>
      </c>
      <c r="C41" s="106">
        <v>12</v>
      </c>
      <c r="D41" s="107">
        <v>237.55</v>
      </c>
      <c r="E41" s="107">
        <v>9.33</v>
      </c>
      <c r="F41" s="107">
        <v>6.25</v>
      </c>
    </row>
    <row r="42" spans="1:6" x14ac:dyDescent="0.3">
      <c r="A42" s="106" t="s">
        <v>4258</v>
      </c>
      <c r="B42" s="97" t="s">
        <v>5950</v>
      </c>
      <c r="C42" s="106">
        <v>12</v>
      </c>
      <c r="D42" s="107">
        <v>263.16000000000003</v>
      </c>
      <c r="E42" s="107">
        <v>3.06</v>
      </c>
      <c r="F42" s="107">
        <v>7.19</v>
      </c>
    </row>
    <row r="43" spans="1:6" x14ac:dyDescent="0.3">
      <c r="A43" s="106" t="s">
        <v>4259</v>
      </c>
      <c r="B43" s="97" t="s">
        <v>5951</v>
      </c>
      <c r="C43" s="106">
        <v>12</v>
      </c>
      <c r="D43" s="107">
        <v>62.41</v>
      </c>
      <c r="E43" s="107">
        <v>0.12</v>
      </c>
      <c r="F43" s="107">
        <v>0.39</v>
      </c>
    </row>
    <row r="44" spans="1:6" x14ac:dyDescent="0.3">
      <c r="A44" s="106" t="s">
        <v>4260</v>
      </c>
      <c r="B44" s="97" t="s">
        <v>5952</v>
      </c>
      <c r="C44" s="106">
        <v>3</v>
      </c>
      <c r="D44" s="107">
        <v>369.69</v>
      </c>
      <c r="E44" s="107">
        <v>6.75</v>
      </c>
      <c r="F44" s="107">
        <v>15.43</v>
      </c>
    </row>
    <row r="45" spans="1:6" x14ac:dyDescent="0.3">
      <c r="A45" s="106" t="s">
        <v>4261</v>
      </c>
      <c r="B45" s="97" t="s">
        <v>5953</v>
      </c>
      <c r="C45" s="106">
        <v>12</v>
      </c>
      <c r="D45" s="107">
        <v>193.98</v>
      </c>
      <c r="E45" s="107">
        <v>2.19</v>
      </c>
      <c r="F45" s="107">
        <v>0.23</v>
      </c>
    </row>
    <row r="46" spans="1:6" x14ac:dyDescent="0.3">
      <c r="A46" s="106" t="s">
        <v>3765</v>
      </c>
      <c r="B46" s="97" t="s">
        <v>5954</v>
      </c>
      <c r="C46" s="106">
        <v>12</v>
      </c>
      <c r="D46" s="107">
        <v>431.58</v>
      </c>
      <c r="E46" s="107">
        <v>0.75</v>
      </c>
      <c r="F46" s="107">
        <v>18.7</v>
      </c>
    </row>
    <row r="47" spans="1:6" x14ac:dyDescent="0.3">
      <c r="A47" s="106" t="s">
        <v>4262</v>
      </c>
      <c r="B47" s="97" t="s">
        <v>5955</v>
      </c>
      <c r="C47" s="106">
        <v>12</v>
      </c>
      <c r="D47" s="107">
        <v>41.69</v>
      </c>
      <c r="E47" s="107">
        <v>0.24</v>
      </c>
      <c r="F47" s="107">
        <v>0.52</v>
      </c>
    </row>
    <row r="48" spans="1:6" x14ac:dyDescent="0.3">
      <c r="A48" s="106" t="s">
        <v>3766</v>
      </c>
      <c r="B48" s="97" t="s">
        <v>5956</v>
      </c>
      <c r="C48" s="106">
        <v>12</v>
      </c>
      <c r="D48" s="107">
        <v>10043.549999999999</v>
      </c>
      <c r="E48" s="107">
        <v>316.95</v>
      </c>
      <c r="F48" s="107">
        <v>1.1499999999999999</v>
      </c>
    </row>
    <row r="49" spans="1:6" x14ac:dyDescent="0.3">
      <c r="A49" s="106" t="s">
        <v>4263</v>
      </c>
      <c r="B49" s="97" t="s">
        <v>5957</v>
      </c>
      <c r="C49" s="106">
        <v>12</v>
      </c>
      <c r="D49" s="107">
        <v>2558.2600000000002</v>
      </c>
      <c r="E49" s="107">
        <v>29.17</v>
      </c>
      <c r="F49" s="107">
        <v>33.799999999999997</v>
      </c>
    </row>
    <row r="50" spans="1:6" x14ac:dyDescent="0.3">
      <c r="A50" s="106" t="s">
        <v>4264</v>
      </c>
      <c r="B50" s="97" t="s">
        <v>5958</v>
      </c>
      <c r="C50" s="106">
        <v>12</v>
      </c>
      <c r="D50" s="107">
        <v>805.44</v>
      </c>
      <c r="E50" s="107">
        <v>-2.82</v>
      </c>
      <c r="F50" s="107">
        <v>8.57</v>
      </c>
    </row>
    <row r="51" spans="1:6" x14ac:dyDescent="0.3">
      <c r="A51" s="106" t="s">
        <v>4265</v>
      </c>
      <c r="B51" s="97" t="s">
        <v>5959</v>
      </c>
      <c r="C51" s="106">
        <v>12</v>
      </c>
      <c r="D51" s="107">
        <v>1315.55</v>
      </c>
      <c r="E51" s="107">
        <v>-52.3</v>
      </c>
      <c r="F51" s="107">
        <v>5.77</v>
      </c>
    </row>
    <row r="52" spans="1:6" x14ac:dyDescent="0.3">
      <c r="A52" s="106" t="s">
        <v>3767</v>
      </c>
      <c r="B52" s="97" t="s">
        <v>5960</v>
      </c>
      <c r="C52" s="106">
        <v>12</v>
      </c>
      <c r="D52" s="107">
        <v>4822.9799999999996</v>
      </c>
      <c r="E52" s="107">
        <v>178.64</v>
      </c>
      <c r="F52" s="107">
        <v>157.47</v>
      </c>
    </row>
    <row r="53" spans="1:6" x14ac:dyDescent="0.3">
      <c r="A53" s="106" t="s">
        <v>4266</v>
      </c>
      <c r="B53" s="97" t="s">
        <v>5961</v>
      </c>
      <c r="C53" s="106">
        <v>3</v>
      </c>
      <c r="D53" s="107">
        <v>46.55</v>
      </c>
      <c r="E53" s="107">
        <v>-1.1299999999999999</v>
      </c>
      <c r="F53" s="107">
        <v>0.36</v>
      </c>
    </row>
    <row r="54" spans="1:6" x14ac:dyDescent="0.3">
      <c r="A54" s="106" t="s">
        <v>4267</v>
      </c>
      <c r="B54" s="97" t="s">
        <v>5962</v>
      </c>
      <c r="C54" s="106">
        <v>12</v>
      </c>
      <c r="D54" s="107">
        <v>433.35</v>
      </c>
      <c r="E54" s="107">
        <v>18.43</v>
      </c>
      <c r="F54" s="107">
        <v>8.42</v>
      </c>
    </row>
    <row r="55" spans="1:6" x14ac:dyDescent="0.3">
      <c r="A55" s="106" t="s">
        <v>4268</v>
      </c>
      <c r="B55" s="97" t="s">
        <v>5963</v>
      </c>
      <c r="C55" s="106">
        <v>3</v>
      </c>
      <c r="D55" s="107">
        <v>8969.0300000000007</v>
      </c>
      <c r="E55" s="107">
        <v>264.14</v>
      </c>
      <c r="F55" s="107">
        <v>340.22</v>
      </c>
    </row>
    <row r="56" spans="1:6" x14ac:dyDescent="0.3">
      <c r="A56" s="106" t="s">
        <v>3768</v>
      </c>
      <c r="B56" s="97" t="s">
        <v>5964</v>
      </c>
      <c r="C56" s="106">
        <v>12</v>
      </c>
      <c r="D56" s="107">
        <v>12100.38</v>
      </c>
      <c r="E56" s="107">
        <v>67.510000000000005</v>
      </c>
      <c r="F56" s="107">
        <v>139.44999999999999</v>
      </c>
    </row>
    <row r="57" spans="1:6" x14ac:dyDescent="0.3">
      <c r="A57" s="106" t="s">
        <v>4269</v>
      </c>
      <c r="B57" s="97" t="s">
        <v>5965</v>
      </c>
      <c r="C57" s="106">
        <v>12</v>
      </c>
      <c r="D57" s="107">
        <v>224.46</v>
      </c>
      <c r="E57" s="107">
        <v>3.11</v>
      </c>
      <c r="F57" s="107">
        <v>2.48</v>
      </c>
    </row>
    <row r="58" spans="1:6" x14ac:dyDescent="0.3">
      <c r="A58" s="106" t="s">
        <v>4270</v>
      </c>
      <c r="B58" s="97" t="s">
        <v>5966</v>
      </c>
      <c r="C58" s="106">
        <v>12</v>
      </c>
      <c r="D58" s="107">
        <v>338.4</v>
      </c>
      <c r="E58" s="107">
        <v>6.7</v>
      </c>
      <c r="F58" s="107">
        <v>8.4499999999999993</v>
      </c>
    </row>
    <row r="59" spans="1:6" x14ac:dyDescent="0.3">
      <c r="A59" s="106" t="s">
        <v>3769</v>
      </c>
      <c r="B59" s="97" t="s">
        <v>5967</v>
      </c>
      <c r="C59" s="106">
        <v>12</v>
      </c>
      <c r="D59" s="107">
        <v>10876.89</v>
      </c>
      <c r="E59" s="107">
        <v>142</v>
      </c>
      <c r="F59" s="107">
        <v>87.87</v>
      </c>
    </row>
    <row r="60" spans="1:6" x14ac:dyDescent="0.3">
      <c r="A60" s="106" t="s">
        <v>4271</v>
      </c>
      <c r="B60" s="97" t="s">
        <v>5968</v>
      </c>
      <c r="C60" s="106">
        <v>12</v>
      </c>
      <c r="D60" s="107">
        <v>49.09</v>
      </c>
      <c r="E60" s="107">
        <v>4.18</v>
      </c>
      <c r="F60" s="107">
        <v>0.59</v>
      </c>
    </row>
    <row r="61" spans="1:6" x14ac:dyDescent="0.3">
      <c r="A61" s="106" t="s">
        <v>4272</v>
      </c>
      <c r="B61" s="97" t="s">
        <v>5969</v>
      </c>
      <c r="C61" s="106">
        <v>12</v>
      </c>
      <c r="D61" s="107">
        <v>189.18</v>
      </c>
      <c r="E61" s="107">
        <v>-7.0000000000000007E-2</v>
      </c>
      <c r="F61" s="107">
        <v>1.69</v>
      </c>
    </row>
    <row r="62" spans="1:6" x14ac:dyDescent="0.3">
      <c r="A62" s="106" t="s">
        <v>4273</v>
      </c>
      <c r="B62" s="97" t="s">
        <v>5970</v>
      </c>
      <c r="C62" s="106">
        <v>12</v>
      </c>
      <c r="D62" s="107">
        <v>198.88</v>
      </c>
      <c r="E62" s="107">
        <v>1.23</v>
      </c>
      <c r="F62" s="107">
        <v>-7.61</v>
      </c>
    </row>
    <row r="63" spans="1:6" x14ac:dyDescent="0.3">
      <c r="A63" s="106" t="s">
        <v>4274</v>
      </c>
      <c r="B63" s="97" t="s">
        <v>5971</v>
      </c>
      <c r="C63" s="106">
        <v>3</v>
      </c>
      <c r="D63" s="107">
        <v>216.7</v>
      </c>
      <c r="E63" s="107">
        <v>1.4</v>
      </c>
      <c r="F63" s="107">
        <v>2.95</v>
      </c>
    </row>
    <row r="64" spans="1:6" x14ac:dyDescent="0.3">
      <c r="A64" s="106" t="s">
        <v>4275</v>
      </c>
      <c r="B64" s="97" t="s">
        <v>5972</v>
      </c>
      <c r="C64" s="106">
        <v>12</v>
      </c>
      <c r="D64" s="107">
        <v>262.5</v>
      </c>
      <c r="E64" s="107">
        <v>-7.4</v>
      </c>
      <c r="F64" s="107">
        <v>4.58</v>
      </c>
    </row>
    <row r="65" spans="1:6" x14ac:dyDescent="0.3">
      <c r="A65" s="106" t="s">
        <v>4276</v>
      </c>
      <c r="B65" s="97" t="s">
        <v>5973</v>
      </c>
      <c r="C65" s="106">
        <v>12</v>
      </c>
      <c r="D65" s="107">
        <v>15.28</v>
      </c>
      <c r="E65" s="107">
        <v>0.22</v>
      </c>
      <c r="F65" s="107">
        <v>0.3</v>
      </c>
    </row>
    <row r="66" spans="1:6" x14ac:dyDescent="0.3">
      <c r="A66" s="106" t="s">
        <v>4277</v>
      </c>
      <c r="B66" s="97" t="s">
        <v>5974</v>
      </c>
      <c r="C66" s="106">
        <v>12</v>
      </c>
      <c r="D66" s="107">
        <v>124.09</v>
      </c>
      <c r="E66" s="107">
        <v>4.84</v>
      </c>
      <c r="F66" s="107">
        <v>5.62</v>
      </c>
    </row>
    <row r="67" spans="1:6" x14ac:dyDescent="0.3">
      <c r="A67" s="106" t="s">
        <v>3770</v>
      </c>
      <c r="B67" s="97" t="s">
        <v>5975</v>
      </c>
      <c r="C67" s="106">
        <v>12</v>
      </c>
      <c r="D67" s="107">
        <v>8522.81</v>
      </c>
      <c r="E67" s="107">
        <v>234.34</v>
      </c>
      <c r="F67" s="107">
        <v>280.91000000000003</v>
      </c>
    </row>
    <row r="68" spans="1:6" x14ac:dyDescent="0.3">
      <c r="A68" s="106" t="s">
        <v>4278</v>
      </c>
      <c r="B68" s="97" t="s">
        <v>5976</v>
      </c>
      <c r="C68" s="106">
        <v>12</v>
      </c>
      <c r="D68" s="107">
        <v>173.04</v>
      </c>
      <c r="E68" s="107">
        <v>5.64</v>
      </c>
      <c r="F68" s="107">
        <v>-2.13</v>
      </c>
    </row>
    <row r="69" spans="1:6" x14ac:dyDescent="0.3">
      <c r="A69" s="106" t="s">
        <v>4279</v>
      </c>
      <c r="B69" s="97" t="s">
        <v>5977</v>
      </c>
      <c r="C69" s="106">
        <v>12</v>
      </c>
      <c r="D69" s="107">
        <v>68.290000000000006</v>
      </c>
      <c r="E69" s="107">
        <v>0.17</v>
      </c>
      <c r="F69" s="107">
        <v>-0.34</v>
      </c>
    </row>
    <row r="70" spans="1:6" x14ac:dyDescent="0.3">
      <c r="A70" s="106" t="s">
        <v>4280</v>
      </c>
      <c r="B70" s="97" t="s">
        <v>5978</v>
      </c>
      <c r="C70" s="106">
        <v>6</v>
      </c>
      <c r="D70" s="107">
        <v>207.09</v>
      </c>
      <c r="E70" s="107">
        <v>2.31</v>
      </c>
      <c r="F70" s="107">
        <v>2.41</v>
      </c>
    </row>
    <row r="71" spans="1:6" x14ac:dyDescent="0.3">
      <c r="A71" s="106" t="s">
        <v>3771</v>
      </c>
      <c r="B71" s="97" t="s">
        <v>5979</v>
      </c>
      <c r="C71" s="106">
        <v>12</v>
      </c>
      <c r="D71" s="107">
        <v>1681.06</v>
      </c>
      <c r="E71" s="107">
        <v>60.26</v>
      </c>
      <c r="F71" s="107">
        <v>44.32</v>
      </c>
    </row>
    <row r="72" spans="1:6" x14ac:dyDescent="0.3">
      <c r="A72" s="106" t="s">
        <v>4281</v>
      </c>
      <c r="B72" s="97" t="s">
        <v>5980</v>
      </c>
      <c r="C72" s="106">
        <v>12</v>
      </c>
      <c r="D72" s="107">
        <v>594.29</v>
      </c>
      <c r="E72" s="107">
        <v>4.68</v>
      </c>
      <c r="F72" s="107">
        <v>6</v>
      </c>
    </row>
    <row r="73" spans="1:6" x14ac:dyDescent="0.3">
      <c r="A73" s="106" t="s">
        <v>4282</v>
      </c>
      <c r="B73" s="97" t="s">
        <v>5981</v>
      </c>
      <c r="C73" s="106">
        <v>12</v>
      </c>
      <c r="D73" s="107">
        <v>33.43</v>
      </c>
      <c r="E73" s="107">
        <v>-7.0000000000000007E-2</v>
      </c>
      <c r="F73" s="107">
        <v>0.71</v>
      </c>
    </row>
    <row r="74" spans="1:6" x14ac:dyDescent="0.3">
      <c r="A74" s="106" t="s">
        <v>4283</v>
      </c>
      <c r="B74" s="97" t="s">
        <v>5982</v>
      </c>
      <c r="C74" s="106">
        <v>3</v>
      </c>
      <c r="D74" s="107">
        <v>495.1</v>
      </c>
      <c r="E74" s="107">
        <v>5.7</v>
      </c>
      <c r="F74" s="107">
        <v>-82.57</v>
      </c>
    </row>
    <row r="75" spans="1:6" x14ac:dyDescent="0.3">
      <c r="A75" s="106" t="s">
        <v>4284</v>
      </c>
      <c r="B75" s="97" t="s">
        <v>5983</v>
      </c>
      <c r="C75" s="106">
        <v>12</v>
      </c>
      <c r="D75" s="107">
        <v>209.93</v>
      </c>
      <c r="E75" s="107">
        <v>-2.62</v>
      </c>
      <c r="F75" s="107">
        <v>0.72</v>
      </c>
    </row>
    <row r="76" spans="1:6" x14ac:dyDescent="0.3">
      <c r="A76" s="106" t="s">
        <v>3772</v>
      </c>
      <c r="B76" s="97" t="s">
        <v>5984</v>
      </c>
      <c r="C76" s="106">
        <v>12</v>
      </c>
      <c r="D76" s="107">
        <v>2780.93</v>
      </c>
      <c r="E76" s="107">
        <v>47.94</v>
      </c>
      <c r="F76" s="107">
        <v>43.58</v>
      </c>
    </row>
    <row r="77" spans="1:6" x14ac:dyDescent="0.3">
      <c r="A77" s="106" t="s">
        <v>4285</v>
      </c>
      <c r="B77" s="97" t="s">
        <v>5985</v>
      </c>
      <c r="C77" s="106">
        <v>12</v>
      </c>
      <c r="D77" s="107">
        <v>257.98</v>
      </c>
      <c r="E77" s="107">
        <v>6.6</v>
      </c>
      <c r="F77" s="107">
        <v>14.09</v>
      </c>
    </row>
    <row r="78" spans="1:6" x14ac:dyDescent="0.3">
      <c r="A78" s="106" t="s">
        <v>4286</v>
      </c>
      <c r="B78" s="97" t="s">
        <v>5986</v>
      </c>
      <c r="C78" s="106">
        <v>12</v>
      </c>
      <c r="D78" s="107">
        <v>35.369999999999997</v>
      </c>
      <c r="E78" s="107">
        <v>-6.18</v>
      </c>
      <c r="F78" s="107">
        <v>-26.13</v>
      </c>
    </row>
    <row r="79" spans="1:6" x14ac:dyDescent="0.3">
      <c r="A79" s="106" t="s">
        <v>4287</v>
      </c>
      <c r="B79" s="97" t="s">
        <v>5987</v>
      </c>
      <c r="C79" s="106">
        <v>3</v>
      </c>
      <c r="D79" s="107">
        <v>380.98</v>
      </c>
      <c r="E79" s="107">
        <v>0.84</v>
      </c>
      <c r="F79" s="107">
        <v>4.22</v>
      </c>
    </row>
    <row r="80" spans="1:6" x14ac:dyDescent="0.3">
      <c r="A80" s="106" t="s">
        <v>4288</v>
      </c>
      <c r="B80" s="97" t="s">
        <v>5988</v>
      </c>
      <c r="C80" s="106">
        <v>3</v>
      </c>
      <c r="D80" s="107">
        <v>184.94</v>
      </c>
      <c r="E80" s="107">
        <v>-0.7</v>
      </c>
      <c r="F80" s="107">
        <v>-0.25</v>
      </c>
    </row>
    <row r="81" spans="1:6" x14ac:dyDescent="0.3">
      <c r="A81" s="106" t="s">
        <v>3773</v>
      </c>
      <c r="B81" s="97" t="s">
        <v>5989</v>
      </c>
      <c r="C81" s="106">
        <v>12</v>
      </c>
      <c r="D81" s="107">
        <v>3144.63</v>
      </c>
      <c r="E81" s="107">
        <v>72.11</v>
      </c>
      <c r="F81" s="107">
        <v>110</v>
      </c>
    </row>
    <row r="82" spans="1:6" x14ac:dyDescent="0.3">
      <c r="A82" s="106" t="s">
        <v>4289</v>
      </c>
      <c r="B82" s="97" t="s">
        <v>5990</v>
      </c>
      <c r="C82" s="106">
        <v>12</v>
      </c>
      <c r="D82" s="107">
        <v>196.67</v>
      </c>
      <c r="E82" s="107">
        <v>-2.04</v>
      </c>
      <c r="F82" s="107">
        <v>10.25</v>
      </c>
    </row>
    <row r="83" spans="1:6" x14ac:dyDescent="0.3">
      <c r="A83" s="106" t="s">
        <v>4290</v>
      </c>
      <c r="B83" s="97" t="s">
        <v>5991</v>
      </c>
      <c r="C83" s="106">
        <v>12</v>
      </c>
      <c r="D83" s="107">
        <v>37.159999999999997</v>
      </c>
      <c r="E83" s="107">
        <v>1.21</v>
      </c>
      <c r="F83" s="107">
        <v>1.06</v>
      </c>
    </row>
    <row r="84" spans="1:6" x14ac:dyDescent="0.3">
      <c r="A84" s="106" t="s">
        <v>4291</v>
      </c>
      <c r="B84" s="97" t="s">
        <v>5992</v>
      </c>
      <c r="C84" s="106">
        <v>12</v>
      </c>
      <c r="D84" s="107">
        <v>122.78</v>
      </c>
      <c r="E84" s="107">
        <v>2.14</v>
      </c>
      <c r="F84" s="107">
        <v>-1.29</v>
      </c>
    </row>
    <row r="85" spans="1:6" x14ac:dyDescent="0.3">
      <c r="A85" s="106" t="s">
        <v>4292</v>
      </c>
      <c r="B85" s="97" t="s">
        <v>5993</v>
      </c>
      <c r="C85" s="106">
        <v>12</v>
      </c>
      <c r="D85" s="107">
        <v>367.79</v>
      </c>
      <c r="E85" s="107">
        <v>15.88</v>
      </c>
      <c r="F85" s="107">
        <v>-0.1</v>
      </c>
    </row>
    <row r="86" spans="1:6" x14ac:dyDescent="0.3">
      <c r="A86" s="106" t="s">
        <v>4293</v>
      </c>
      <c r="B86" s="97" t="s">
        <v>5994</v>
      </c>
      <c r="C86" s="106">
        <v>12</v>
      </c>
      <c r="D86" s="107">
        <v>29.13</v>
      </c>
      <c r="E86" s="107">
        <v>0.08</v>
      </c>
      <c r="F86" s="107">
        <v>0.16</v>
      </c>
    </row>
    <row r="87" spans="1:6" x14ac:dyDescent="0.3">
      <c r="A87" s="106" t="s">
        <v>3774</v>
      </c>
      <c r="B87" s="97" t="s">
        <v>5995</v>
      </c>
      <c r="C87" s="106">
        <v>12</v>
      </c>
      <c r="D87" s="107">
        <v>1336.14</v>
      </c>
      <c r="E87" s="107">
        <v>31.33</v>
      </c>
      <c r="F87" s="107">
        <v>62.44</v>
      </c>
    </row>
    <row r="88" spans="1:6" x14ac:dyDescent="0.3">
      <c r="A88" s="106" t="s">
        <v>4294</v>
      </c>
      <c r="B88" s="97" t="s">
        <v>5996</v>
      </c>
      <c r="C88" s="106">
        <v>12</v>
      </c>
      <c r="D88" s="107">
        <v>124.66</v>
      </c>
      <c r="E88" s="107">
        <v>-0.52</v>
      </c>
      <c r="F88" s="107">
        <v>-25.9</v>
      </c>
    </row>
    <row r="89" spans="1:6" x14ac:dyDescent="0.3">
      <c r="A89" s="106" t="s">
        <v>4295</v>
      </c>
      <c r="B89" s="97" t="s">
        <v>5997</v>
      </c>
      <c r="C89" s="106">
        <v>3</v>
      </c>
      <c r="D89" s="107">
        <v>2150.67</v>
      </c>
      <c r="E89" s="107">
        <v>68.459999999999994</v>
      </c>
      <c r="F89" s="107">
        <v>167.52</v>
      </c>
    </row>
    <row r="90" spans="1:6" x14ac:dyDescent="0.3">
      <c r="A90" s="106" t="s">
        <v>4296</v>
      </c>
      <c r="B90" s="97" t="s">
        <v>5998</v>
      </c>
      <c r="C90" s="106">
        <v>12</v>
      </c>
      <c r="D90" s="107">
        <v>335.3</v>
      </c>
      <c r="E90" s="107">
        <v>4.79</v>
      </c>
      <c r="F90" s="107">
        <v>9.25</v>
      </c>
    </row>
    <row r="91" spans="1:6" x14ac:dyDescent="0.3">
      <c r="A91" s="106" t="s">
        <v>4297</v>
      </c>
      <c r="B91" s="97" t="s">
        <v>5999</v>
      </c>
      <c r="C91" s="106">
        <v>12</v>
      </c>
      <c r="D91" s="107">
        <v>57.84</v>
      </c>
      <c r="E91" s="107">
        <v>-4.66</v>
      </c>
      <c r="F91" s="107">
        <v>-28.67</v>
      </c>
    </row>
    <row r="92" spans="1:6" x14ac:dyDescent="0.3">
      <c r="A92" s="106" t="s">
        <v>4298</v>
      </c>
      <c r="B92" s="97" t="s">
        <v>6000</v>
      </c>
      <c r="C92" s="106">
        <v>3</v>
      </c>
      <c r="D92" s="107">
        <v>679.63</v>
      </c>
      <c r="E92" s="107">
        <v>11.32</v>
      </c>
      <c r="F92" s="107">
        <v>5.56</v>
      </c>
    </row>
    <row r="93" spans="1:6" x14ac:dyDescent="0.3">
      <c r="A93" s="106" t="s">
        <v>4299</v>
      </c>
      <c r="B93" s="97" t="s">
        <v>6001</v>
      </c>
      <c r="C93" s="106">
        <v>3</v>
      </c>
      <c r="D93" s="107">
        <v>429.8</v>
      </c>
      <c r="E93" s="107">
        <v>-1.84</v>
      </c>
      <c r="F93" s="107">
        <v>-7.02</v>
      </c>
    </row>
    <row r="94" spans="1:6" x14ac:dyDescent="0.3">
      <c r="A94" s="106" t="s">
        <v>4300</v>
      </c>
      <c r="B94" s="97" t="s">
        <v>6002</v>
      </c>
      <c r="C94" s="106">
        <v>12</v>
      </c>
      <c r="D94" s="107">
        <v>226.48</v>
      </c>
      <c r="E94" s="107">
        <v>-6.45</v>
      </c>
      <c r="F94" s="107">
        <v>30.4</v>
      </c>
    </row>
    <row r="95" spans="1:6" x14ac:dyDescent="0.3">
      <c r="A95" s="106" t="s">
        <v>4301</v>
      </c>
      <c r="B95" s="97" t="s">
        <v>6003</v>
      </c>
      <c r="C95" s="106">
        <v>12</v>
      </c>
      <c r="D95" s="107">
        <v>554.67999999999995</v>
      </c>
      <c r="E95" s="107">
        <v>4.0999999999999996</v>
      </c>
      <c r="F95" s="107">
        <v>-5.63</v>
      </c>
    </row>
    <row r="96" spans="1:6" x14ac:dyDescent="0.3">
      <c r="A96" s="106" t="s">
        <v>4302</v>
      </c>
      <c r="B96" s="97" t="s">
        <v>6004</v>
      </c>
      <c r="C96" s="106">
        <v>12</v>
      </c>
      <c r="D96" s="107">
        <v>115.73</v>
      </c>
      <c r="E96" s="107">
        <v>3.09</v>
      </c>
      <c r="F96" s="107">
        <v>2.82</v>
      </c>
    </row>
    <row r="97" spans="1:6" x14ac:dyDescent="0.3">
      <c r="A97" s="106" t="s">
        <v>4303</v>
      </c>
      <c r="B97" s="97" t="s">
        <v>6005</v>
      </c>
      <c r="C97" s="106">
        <v>12</v>
      </c>
      <c r="D97" s="107">
        <v>15.03</v>
      </c>
      <c r="E97" s="107">
        <v>1.61</v>
      </c>
      <c r="F97" s="107">
        <v>0.84</v>
      </c>
    </row>
    <row r="98" spans="1:6" x14ac:dyDescent="0.3">
      <c r="A98" s="106" t="s">
        <v>4304</v>
      </c>
      <c r="B98" s="97" t="s">
        <v>6006</v>
      </c>
      <c r="C98" s="106">
        <v>12</v>
      </c>
      <c r="D98" s="107">
        <v>75.739999999999995</v>
      </c>
      <c r="E98" s="107">
        <v>0.93</v>
      </c>
      <c r="F98" s="107">
        <v>1.45</v>
      </c>
    </row>
    <row r="99" spans="1:6" x14ac:dyDescent="0.3">
      <c r="A99" s="106" t="s">
        <v>4305</v>
      </c>
      <c r="B99" s="97" t="s">
        <v>6007</v>
      </c>
      <c r="C99" s="106">
        <v>12</v>
      </c>
      <c r="D99" s="107">
        <v>45.96</v>
      </c>
      <c r="E99" s="107">
        <v>1.3</v>
      </c>
      <c r="F99" s="107">
        <v>1.93</v>
      </c>
    </row>
    <row r="100" spans="1:6" x14ac:dyDescent="0.3">
      <c r="A100" s="106" t="s">
        <v>4306</v>
      </c>
      <c r="B100" s="97" t="s">
        <v>6008</v>
      </c>
      <c r="C100" s="106">
        <v>12</v>
      </c>
      <c r="D100" s="107">
        <v>164.15</v>
      </c>
      <c r="E100" s="107">
        <v>4.12</v>
      </c>
      <c r="F100" s="107">
        <v>2.74</v>
      </c>
    </row>
    <row r="101" spans="1:6" x14ac:dyDescent="0.3">
      <c r="A101" s="106" t="s">
        <v>3775</v>
      </c>
      <c r="B101" s="97" t="s">
        <v>6009</v>
      </c>
      <c r="C101" s="106">
        <v>12</v>
      </c>
      <c r="D101" s="107">
        <v>383.95</v>
      </c>
      <c r="E101" s="107">
        <v>20.14</v>
      </c>
      <c r="F101" s="107">
        <v>15.69</v>
      </c>
    </row>
    <row r="102" spans="1:6" x14ac:dyDescent="0.3">
      <c r="A102" s="106" t="s">
        <v>3776</v>
      </c>
      <c r="B102" s="97" t="s">
        <v>6010</v>
      </c>
      <c r="C102" s="106">
        <v>12</v>
      </c>
      <c r="D102" s="107">
        <v>640.1</v>
      </c>
      <c r="E102" s="107">
        <v>34.51</v>
      </c>
      <c r="F102" s="107">
        <v>38.909999999999997</v>
      </c>
    </row>
    <row r="103" spans="1:6" x14ac:dyDescent="0.3">
      <c r="A103" s="106" t="s">
        <v>4307</v>
      </c>
      <c r="B103" s="97" t="s">
        <v>6011</v>
      </c>
      <c r="C103" s="106">
        <v>3</v>
      </c>
      <c r="D103" s="107">
        <v>941.09</v>
      </c>
      <c r="E103" s="107">
        <v>14.61</v>
      </c>
      <c r="F103" s="107">
        <v>16.48</v>
      </c>
    </row>
    <row r="104" spans="1:6" x14ac:dyDescent="0.3">
      <c r="A104" s="106" t="s">
        <v>3777</v>
      </c>
      <c r="B104" s="97" t="s">
        <v>6012</v>
      </c>
      <c r="C104" s="106">
        <v>12</v>
      </c>
      <c r="D104" s="107">
        <v>2947.66</v>
      </c>
      <c r="E104" s="107">
        <v>24.22</v>
      </c>
      <c r="F104" s="107">
        <v>66.38</v>
      </c>
    </row>
    <row r="105" spans="1:6" x14ac:dyDescent="0.3">
      <c r="A105" s="106" t="s">
        <v>4308</v>
      </c>
      <c r="B105" s="97" t="s">
        <v>6013</v>
      </c>
      <c r="C105" s="106">
        <v>3</v>
      </c>
      <c r="D105" s="107">
        <v>262.95999999999998</v>
      </c>
      <c r="E105" s="107">
        <v>2.0699999999999998</v>
      </c>
      <c r="F105" s="107">
        <v>2.13</v>
      </c>
    </row>
    <row r="106" spans="1:6" x14ac:dyDescent="0.3">
      <c r="A106" s="106" t="s">
        <v>4309</v>
      </c>
      <c r="B106" s="97" t="s">
        <v>6014</v>
      </c>
      <c r="C106" s="106">
        <v>12</v>
      </c>
      <c r="D106" s="107">
        <v>39.33</v>
      </c>
      <c r="E106" s="107">
        <v>-0.21</v>
      </c>
      <c r="F106" s="107">
        <v>1</v>
      </c>
    </row>
    <row r="107" spans="1:6" x14ac:dyDescent="0.3">
      <c r="A107" s="106" t="s">
        <v>4310</v>
      </c>
      <c r="B107" s="97" t="s">
        <v>6015</v>
      </c>
      <c r="C107" s="106">
        <v>12</v>
      </c>
      <c r="D107" s="107">
        <v>137.93</v>
      </c>
      <c r="E107" s="107">
        <v>4.08</v>
      </c>
      <c r="F107" s="107">
        <v>-0.32</v>
      </c>
    </row>
    <row r="108" spans="1:6" x14ac:dyDescent="0.3">
      <c r="A108" s="106" t="s">
        <v>4311</v>
      </c>
      <c r="B108" s="97" t="s">
        <v>6016</v>
      </c>
      <c r="C108" s="106">
        <v>12</v>
      </c>
      <c r="D108" s="107">
        <v>431.98</v>
      </c>
      <c r="E108" s="107">
        <v>8.0399999999999991</v>
      </c>
      <c r="F108" s="107">
        <v>14.78</v>
      </c>
    </row>
    <row r="109" spans="1:6" x14ac:dyDescent="0.3">
      <c r="A109" s="106" t="s">
        <v>3778</v>
      </c>
      <c r="B109" s="97" t="s">
        <v>6017</v>
      </c>
      <c r="C109" s="106">
        <v>12</v>
      </c>
      <c r="D109" s="107">
        <v>1190.8900000000001</v>
      </c>
      <c r="E109" s="107">
        <v>93.03</v>
      </c>
      <c r="F109" s="107">
        <v>69.06</v>
      </c>
    </row>
    <row r="110" spans="1:6" x14ac:dyDescent="0.3">
      <c r="A110" s="106" t="s">
        <v>4312</v>
      </c>
      <c r="B110" s="97" t="s">
        <v>6018</v>
      </c>
      <c r="C110" s="106">
        <v>12</v>
      </c>
      <c r="D110" s="107">
        <v>163.91</v>
      </c>
      <c r="E110" s="107">
        <v>3.11</v>
      </c>
      <c r="F110" s="107">
        <v>2.0499999999999998</v>
      </c>
    </row>
    <row r="111" spans="1:6" x14ac:dyDescent="0.3">
      <c r="A111" s="106" t="s">
        <v>4313</v>
      </c>
      <c r="B111" s="97" t="s">
        <v>6019</v>
      </c>
      <c r="C111" s="106">
        <v>12</v>
      </c>
      <c r="D111" s="107">
        <v>55.62</v>
      </c>
      <c r="E111" s="107">
        <v>0.9</v>
      </c>
      <c r="F111" s="107">
        <v>1.49</v>
      </c>
    </row>
    <row r="112" spans="1:6" x14ac:dyDescent="0.3">
      <c r="A112" s="106" t="s">
        <v>4314</v>
      </c>
      <c r="B112" s="97" t="s">
        <v>6020</v>
      </c>
      <c r="C112" s="106">
        <v>12</v>
      </c>
      <c r="D112" s="107">
        <v>32.729999999999997</v>
      </c>
      <c r="E112" s="107">
        <v>0.28000000000000003</v>
      </c>
      <c r="F112" s="107">
        <v>0.13</v>
      </c>
    </row>
    <row r="113" spans="1:6" x14ac:dyDescent="0.3">
      <c r="A113" s="106" t="s">
        <v>4315</v>
      </c>
      <c r="B113" s="97" t="s">
        <v>6021</v>
      </c>
      <c r="C113" s="106">
        <v>12</v>
      </c>
      <c r="D113" s="107">
        <v>41.94</v>
      </c>
      <c r="E113" s="107">
        <v>4.4400000000000004</v>
      </c>
      <c r="F113" s="107">
        <v>5.88</v>
      </c>
    </row>
    <row r="114" spans="1:6" x14ac:dyDescent="0.3">
      <c r="A114" s="106" t="s">
        <v>4316</v>
      </c>
      <c r="B114" s="97" t="s">
        <v>6022</v>
      </c>
      <c r="C114" s="106">
        <v>12</v>
      </c>
      <c r="D114" s="107">
        <v>1093.9000000000001</v>
      </c>
      <c r="E114" s="107">
        <v>-18.71</v>
      </c>
      <c r="F114" s="107">
        <v>-0.85</v>
      </c>
    </row>
    <row r="115" spans="1:6" x14ac:dyDescent="0.3">
      <c r="A115" s="106" t="s">
        <v>4317</v>
      </c>
      <c r="B115" s="97" t="s">
        <v>6023</v>
      </c>
      <c r="C115" s="106">
        <v>12</v>
      </c>
      <c r="D115" s="107">
        <v>526.27</v>
      </c>
      <c r="E115" s="107">
        <v>-3.52</v>
      </c>
      <c r="F115" s="107">
        <v>-8.8800000000000008</v>
      </c>
    </row>
    <row r="116" spans="1:6" x14ac:dyDescent="0.3">
      <c r="A116" s="106" t="s">
        <v>4318</v>
      </c>
      <c r="B116" s="97" t="s">
        <v>6024</v>
      </c>
      <c r="C116" s="106">
        <v>12</v>
      </c>
      <c r="D116" s="107">
        <v>955.83</v>
      </c>
      <c r="E116" s="107">
        <v>3.98</v>
      </c>
      <c r="F116" s="107">
        <v>36.4</v>
      </c>
    </row>
    <row r="117" spans="1:6" x14ac:dyDescent="0.3">
      <c r="A117" s="106" t="s">
        <v>4319</v>
      </c>
      <c r="B117" s="97" t="s">
        <v>6025</v>
      </c>
      <c r="C117" s="106">
        <v>12</v>
      </c>
      <c r="D117" s="107">
        <v>1079.55</v>
      </c>
      <c r="E117" s="107">
        <v>1.1000000000000001</v>
      </c>
      <c r="F117" s="107">
        <v>15.2</v>
      </c>
    </row>
    <row r="118" spans="1:6" x14ac:dyDescent="0.3">
      <c r="A118" s="106" t="s">
        <v>4320</v>
      </c>
      <c r="B118" s="97" t="s">
        <v>6026</v>
      </c>
      <c r="C118" s="106">
        <v>12</v>
      </c>
      <c r="D118" s="107">
        <v>143.38999999999999</v>
      </c>
      <c r="E118" s="107">
        <v>-3.4</v>
      </c>
      <c r="F118" s="107">
        <v>0.56000000000000005</v>
      </c>
    </row>
    <row r="119" spans="1:6" x14ac:dyDescent="0.3">
      <c r="A119" s="106" t="s">
        <v>4321</v>
      </c>
      <c r="B119" s="97" t="s">
        <v>6027</v>
      </c>
      <c r="C119" s="106">
        <v>12</v>
      </c>
      <c r="D119" s="107">
        <v>167.96</v>
      </c>
      <c r="E119" s="107">
        <v>23.64</v>
      </c>
      <c r="F119" s="107">
        <v>7.09</v>
      </c>
    </row>
    <row r="120" spans="1:6" x14ac:dyDescent="0.3">
      <c r="A120" s="106" t="s">
        <v>4322</v>
      </c>
      <c r="B120" s="97" t="s">
        <v>6028</v>
      </c>
      <c r="C120" s="106">
        <v>12</v>
      </c>
      <c r="D120" s="107">
        <v>61.88</v>
      </c>
      <c r="E120" s="107">
        <v>0.81</v>
      </c>
      <c r="F120" s="107">
        <v>2.31</v>
      </c>
    </row>
    <row r="121" spans="1:6" x14ac:dyDescent="0.3">
      <c r="A121" s="106" t="s">
        <v>4323</v>
      </c>
      <c r="B121" s="97" t="s">
        <v>6029</v>
      </c>
      <c r="C121" s="106">
        <v>12</v>
      </c>
      <c r="D121" s="107">
        <v>216.3</v>
      </c>
      <c r="E121" s="107">
        <v>3.94</v>
      </c>
      <c r="F121" s="107">
        <v>-2.67</v>
      </c>
    </row>
    <row r="122" spans="1:6" x14ac:dyDescent="0.3">
      <c r="A122" s="106" t="s">
        <v>4324</v>
      </c>
      <c r="B122" s="97" t="s">
        <v>6030</v>
      </c>
      <c r="C122" s="106">
        <v>12</v>
      </c>
      <c r="D122" s="107">
        <v>213.13</v>
      </c>
      <c r="E122" s="107">
        <v>2.86</v>
      </c>
      <c r="F122" s="107">
        <v>2.33</v>
      </c>
    </row>
    <row r="123" spans="1:6" x14ac:dyDescent="0.3">
      <c r="A123" s="106" t="s">
        <v>4325</v>
      </c>
      <c r="B123" s="97" t="s">
        <v>6031</v>
      </c>
      <c r="C123" s="106">
        <v>12</v>
      </c>
      <c r="D123" s="107">
        <v>214.14</v>
      </c>
      <c r="E123" s="107">
        <v>7.64</v>
      </c>
      <c r="F123" s="107">
        <v>9.5</v>
      </c>
    </row>
    <row r="124" spans="1:6" x14ac:dyDescent="0.3">
      <c r="A124" s="106" t="s">
        <v>4326</v>
      </c>
      <c r="B124" s="97" t="s">
        <v>6032</v>
      </c>
      <c r="C124" s="106">
        <v>12</v>
      </c>
      <c r="D124" s="107">
        <v>63.99</v>
      </c>
      <c r="E124" s="107">
        <v>0.61</v>
      </c>
      <c r="F124" s="107">
        <v>1.76</v>
      </c>
    </row>
    <row r="125" spans="1:6" x14ac:dyDescent="0.3">
      <c r="A125" s="106" t="s">
        <v>4327</v>
      </c>
      <c r="B125" s="97" t="s">
        <v>6033</v>
      </c>
      <c r="C125" s="106">
        <v>12</v>
      </c>
      <c r="D125" s="107">
        <v>277.75</v>
      </c>
      <c r="E125" s="107">
        <v>2.0299999999999998</v>
      </c>
      <c r="F125" s="107">
        <v>1.1399999999999999</v>
      </c>
    </row>
    <row r="126" spans="1:6" x14ac:dyDescent="0.3">
      <c r="A126" s="106" t="s">
        <v>4328</v>
      </c>
      <c r="B126" s="97" t="s">
        <v>6034</v>
      </c>
      <c r="C126" s="106">
        <v>12</v>
      </c>
      <c r="D126" s="107">
        <v>78.63</v>
      </c>
      <c r="E126" s="107">
        <v>-0.2</v>
      </c>
      <c r="F126" s="107">
        <v>0.35</v>
      </c>
    </row>
    <row r="127" spans="1:6" x14ac:dyDescent="0.3">
      <c r="A127" s="106" t="s">
        <v>4329</v>
      </c>
      <c r="B127" s="97" t="s">
        <v>6035</v>
      </c>
      <c r="C127" s="106">
        <v>12</v>
      </c>
      <c r="D127" s="107">
        <v>1272.43</v>
      </c>
      <c r="E127" s="107">
        <v>8.81</v>
      </c>
      <c r="F127" s="107">
        <v>7.05</v>
      </c>
    </row>
    <row r="128" spans="1:6" x14ac:dyDescent="0.3">
      <c r="A128" s="106" t="s">
        <v>4330</v>
      </c>
      <c r="B128" s="97" t="s">
        <v>6036</v>
      </c>
      <c r="C128" s="106">
        <v>12</v>
      </c>
      <c r="D128" s="107">
        <v>93.96</v>
      </c>
      <c r="E128" s="107">
        <v>1.17</v>
      </c>
      <c r="F128" s="107">
        <v>0.4</v>
      </c>
    </row>
    <row r="129" spans="1:6" x14ac:dyDescent="0.3">
      <c r="A129" s="106" t="s">
        <v>4331</v>
      </c>
      <c r="B129" s="97" t="s">
        <v>6037</v>
      </c>
      <c r="C129" s="106">
        <v>12</v>
      </c>
      <c r="D129" s="107">
        <v>710.09</v>
      </c>
      <c r="E129" s="107">
        <v>12.92</v>
      </c>
      <c r="F129" s="107">
        <v>19.87</v>
      </c>
    </row>
    <row r="130" spans="1:6" x14ac:dyDescent="0.3">
      <c r="A130" s="106" t="s">
        <v>4332</v>
      </c>
      <c r="B130" s="97" t="s">
        <v>6038</v>
      </c>
      <c r="C130" s="106">
        <v>12</v>
      </c>
      <c r="D130" s="107">
        <v>47.07</v>
      </c>
      <c r="E130" s="107">
        <v>0.17</v>
      </c>
      <c r="F130" s="107">
        <v>0.87</v>
      </c>
    </row>
    <row r="131" spans="1:6" x14ac:dyDescent="0.3">
      <c r="A131" s="106" t="s">
        <v>4333</v>
      </c>
      <c r="B131" s="97" t="s">
        <v>6039</v>
      </c>
      <c r="C131" s="106">
        <v>12</v>
      </c>
      <c r="D131" s="107">
        <v>497.55</v>
      </c>
      <c r="E131" s="107">
        <v>3.97</v>
      </c>
      <c r="F131" s="107">
        <v>2.41</v>
      </c>
    </row>
    <row r="132" spans="1:6" x14ac:dyDescent="0.3">
      <c r="A132" s="106" t="s">
        <v>4334</v>
      </c>
      <c r="B132" s="97" t="s">
        <v>6040</v>
      </c>
      <c r="C132" s="106">
        <v>12</v>
      </c>
      <c r="D132" s="107">
        <v>451.78</v>
      </c>
      <c r="E132" s="107">
        <v>3.84</v>
      </c>
      <c r="F132" s="107">
        <v>8.4700000000000006</v>
      </c>
    </row>
    <row r="133" spans="1:6" x14ac:dyDescent="0.3">
      <c r="A133" s="106" t="s">
        <v>4335</v>
      </c>
      <c r="B133" s="97" t="s">
        <v>6041</v>
      </c>
      <c r="C133" s="106">
        <v>12</v>
      </c>
      <c r="D133" s="107">
        <v>741.59</v>
      </c>
      <c r="E133" s="107">
        <v>10.17</v>
      </c>
      <c r="F133" s="107">
        <v>8.17</v>
      </c>
    </row>
    <row r="134" spans="1:6" x14ac:dyDescent="0.3">
      <c r="A134" s="106" t="s">
        <v>3779</v>
      </c>
      <c r="B134" s="97" t="s">
        <v>6042</v>
      </c>
      <c r="C134" s="106">
        <v>12</v>
      </c>
      <c r="D134" s="107">
        <v>710.96</v>
      </c>
      <c r="E134" s="107">
        <v>47.7</v>
      </c>
      <c r="F134" s="107">
        <v>52.41</v>
      </c>
    </row>
    <row r="135" spans="1:6" x14ac:dyDescent="0.3">
      <c r="A135" s="106" t="s">
        <v>4336</v>
      </c>
      <c r="B135" s="97" t="s">
        <v>6043</v>
      </c>
      <c r="C135" s="106">
        <v>12</v>
      </c>
      <c r="D135" s="107">
        <v>65.64</v>
      </c>
      <c r="E135" s="107">
        <v>1</v>
      </c>
      <c r="F135" s="107">
        <v>1.07</v>
      </c>
    </row>
    <row r="136" spans="1:6" x14ac:dyDescent="0.3">
      <c r="A136" s="106" t="s">
        <v>3780</v>
      </c>
      <c r="B136" s="97" t="s">
        <v>6044</v>
      </c>
      <c r="C136" s="106">
        <v>12</v>
      </c>
      <c r="D136" s="107">
        <v>4922.82</v>
      </c>
      <c r="E136" s="107">
        <v>45.28</v>
      </c>
      <c r="F136" s="107">
        <v>74.84</v>
      </c>
    </row>
    <row r="137" spans="1:6" x14ac:dyDescent="0.3">
      <c r="A137" s="106" t="s">
        <v>4337</v>
      </c>
      <c r="B137" s="97" t="s">
        <v>6045</v>
      </c>
      <c r="C137" s="106">
        <v>12</v>
      </c>
      <c r="D137" s="107">
        <v>285.45999999999998</v>
      </c>
      <c r="E137" s="107">
        <v>0.9</v>
      </c>
      <c r="F137" s="107">
        <v>4.8899999999999997</v>
      </c>
    </row>
    <row r="138" spans="1:6" x14ac:dyDescent="0.3">
      <c r="A138" s="106" t="s">
        <v>4338</v>
      </c>
      <c r="B138" s="97" t="s">
        <v>6046</v>
      </c>
      <c r="C138" s="106">
        <v>12</v>
      </c>
      <c r="D138" s="107">
        <v>7.54</v>
      </c>
      <c r="E138" s="107">
        <v>-1.44</v>
      </c>
      <c r="F138" s="107">
        <v>-7.43</v>
      </c>
    </row>
    <row r="139" spans="1:6" x14ac:dyDescent="0.3">
      <c r="A139" s="106" t="s">
        <v>4339</v>
      </c>
      <c r="B139" s="97" t="s">
        <v>6047</v>
      </c>
      <c r="C139" s="106">
        <v>12</v>
      </c>
      <c r="D139" s="107">
        <v>30.12</v>
      </c>
      <c r="E139" s="107">
        <v>-0.25</v>
      </c>
      <c r="F139" s="107">
        <v>0.01</v>
      </c>
    </row>
    <row r="140" spans="1:6" x14ac:dyDescent="0.3">
      <c r="A140" s="106" t="s">
        <v>4340</v>
      </c>
      <c r="B140" s="97" t="s">
        <v>6048</v>
      </c>
      <c r="C140" s="106">
        <v>12</v>
      </c>
      <c r="D140" s="107">
        <v>147.72999999999999</v>
      </c>
      <c r="E140" s="107">
        <v>4.67</v>
      </c>
      <c r="F140" s="107">
        <v>0.21</v>
      </c>
    </row>
    <row r="141" spans="1:6" x14ac:dyDescent="0.3">
      <c r="A141" s="106" t="s">
        <v>4341</v>
      </c>
      <c r="B141" s="97" t="s">
        <v>6049</v>
      </c>
      <c r="C141" s="106">
        <v>12</v>
      </c>
      <c r="D141" s="107">
        <v>222.03</v>
      </c>
      <c r="E141" s="107">
        <v>1.32</v>
      </c>
      <c r="F141" s="107">
        <v>3.06</v>
      </c>
    </row>
    <row r="142" spans="1:6" x14ac:dyDescent="0.3">
      <c r="A142" s="106" t="s">
        <v>4342</v>
      </c>
      <c r="B142" s="97" t="s">
        <v>6050</v>
      </c>
      <c r="C142" s="106">
        <v>12</v>
      </c>
      <c r="D142" s="107">
        <v>1.1499999999999999</v>
      </c>
      <c r="E142" s="107">
        <v>-48.6</v>
      </c>
      <c r="F142" s="107">
        <v>12.48</v>
      </c>
    </row>
    <row r="143" spans="1:6" x14ac:dyDescent="0.3">
      <c r="A143" s="106" t="s">
        <v>4343</v>
      </c>
      <c r="B143" s="97" t="s">
        <v>6051</v>
      </c>
      <c r="C143" s="106">
        <v>3</v>
      </c>
      <c r="D143" s="107">
        <v>1594.61</v>
      </c>
      <c r="E143" s="107">
        <v>-11.07</v>
      </c>
      <c r="F143" s="107">
        <v>98.97</v>
      </c>
    </row>
    <row r="144" spans="1:6" x14ac:dyDescent="0.3">
      <c r="A144" s="106" t="s">
        <v>4344</v>
      </c>
      <c r="B144" s="97" t="s">
        <v>6052</v>
      </c>
      <c r="C144" s="106">
        <v>12</v>
      </c>
      <c r="D144" s="107">
        <v>94.04</v>
      </c>
      <c r="E144" s="107">
        <v>1.75</v>
      </c>
      <c r="F144" s="107">
        <v>1.52</v>
      </c>
    </row>
    <row r="145" spans="1:6" x14ac:dyDescent="0.3">
      <c r="A145" s="106" t="s">
        <v>4345</v>
      </c>
      <c r="B145" s="97" t="s">
        <v>6053</v>
      </c>
      <c r="C145" s="106">
        <v>12</v>
      </c>
      <c r="D145" s="107">
        <v>242.82</v>
      </c>
      <c r="E145" s="107">
        <v>1.52</v>
      </c>
      <c r="F145" s="107">
        <v>3.65</v>
      </c>
    </row>
    <row r="146" spans="1:6" x14ac:dyDescent="0.3">
      <c r="A146" s="106" t="s">
        <v>4346</v>
      </c>
      <c r="B146" s="97" t="s">
        <v>6054</v>
      </c>
      <c r="C146" s="106">
        <v>3</v>
      </c>
      <c r="D146" s="107">
        <v>50.01</v>
      </c>
      <c r="E146" s="107">
        <v>0.76</v>
      </c>
      <c r="F146" s="107">
        <v>0.13</v>
      </c>
    </row>
    <row r="147" spans="1:6" x14ac:dyDescent="0.3">
      <c r="A147" s="106" t="s">
        <v>4347</v>
      </c>
      <c r="B147" s="97" t="s">
        <v>6055</v>
      </c>
      <c r="C147" s="106">
        <v>12</v>
      </c>
      <c r="D147" s="107">
        <v>48.63</v>
      </c>
      <c r="E147" s="107">
        <v>0.5</v>
      </c>
      <c r="F147" s="107">
        <v>3.06</v>
      </c>
    </row>
    <row r="148" spans="1:6" x14ac:dyDescent="0.3">
      <c r="A148" s="106" t="s">
        <v>4348</v>
      </c>
      <c r="B148" s="97" t="s">
        <v>6056</v>
      </c>
      <c r="C148" s="106">
        <v>12</v>
      </c>
      <c r="D148" s="107">
        <v>27.39</v>
      </c>
      <c r="E148" s="107">
        <v>0.4</v>
      </c>
      <c r="F148" s="107">
        <v>2.65</v>
      </c>
    </row>
    <row r="149" spans="1:6" x14ac:dyDescent="0.3">
      <c r="A149" s="106" t="s">
        <v>4349</v>
      </c>
      <c r="B149" s="97" t="s">
        <v>6057</v>
      </c>
      <c r="C149" s="106">
        <v>12</v>
      </c>
      <c r="D149" s="107">
        <v>214.58</v>
      </c>
      <c r="E149" s="107">
        <v>-6.63</v>
      </c>
      <c r="F149" s="107">
        <v>3.09</v>
      </c>
    </row>
    <row r="150" spans="1:6" x14ac:dyDescent="0.3">
      <c r="A150" s="106" t="s">
        <v>4350</v>
      </c>
      <c r="B150" s="97" t="s">
        <v>6058</v>
      </c>
      <c r="C150" s="106">
        <v>12</v>
      </c>
      <c r="D150" s="107">
        <v>55.52</v>
      </c>
      <c r="E150" s="107">
        <v>0.37</v>
      </c>
      <c r="F150" s="107">
        <v>-5.01</v>
      </c>
    </row>
    <row r="151" spans="1:6" x14ac:dyDescent="0.3">
      <c r="A151" s="106" t="s">
        <v>4351</v>
      </c>
      <c r="B151" s="97" t="s">
        <v>6059</v>
      </c>
      <c r="C151" s="106">
        <v>12</v>
      </c>
      <c r="D151" s="107">
        <v>38.07</v>
      </c>
      <c r="E151" s="107">
        <v>0.05</v>
      </c>
      <c r="F151" s="107">
        <v>1.1200000000000001</v>
      </c>
    </row>
    <row r="152" spans="1:6" x14ac:dyDescent="0.3">
      <c r="A152" s="106" t="s">
        <v>4352</v>
      </c>
      <c r="B152" s="97" t="s">
        <v>6060</v>
      </c>
      <c r="C152" s="106">
        <v>12</v>
      </c>
      <c r="D152" s="107">
        <v>97.13</v>
      </c>
      <c r="E152" s="107">
        <v>-3.67</v>
      </c>
      <c r="F152" s="107">
        <v>-3.45</v>
      </c>
    </row>
    <row r="153" spans="1:6" x14ac:dyDescent="0.3">
      <c r="A153" s="106" t="s">
        <v>4353</v>
      </c>
      <c r="B153" s="97" t="s">
        <v>6061</v>
      </c>
      <c r="C153" s="106">
        <v>12</v>
      </c>
      <c r="D153" s="107">
        <v>3687.79</v>
      </c>
      <c r="E153" s="107">
        <v>173.72</v>
      </c>
      <c r="F153" s="107">
        <v>120.86</v>
      </c>
    </row>
    <row r="154" spans="1:6" x14ac:dyDescent="0.3">
      <c r="A154" s="106" t="s">
        <v>4354</v>
      </c>
      <c r="B154" s="97" t="s">
        <v>6062</v>
      </c>
      <c r="C154" s="106">
        <v>12</v>
      </c>
      <c r="D154" s="107">
        <v>212.34</v>
      </c>
      <c r="E154" s="107">
        <v>1.04</v>
      </c>
      <c r="F154" s="107">
        <v>1.39</v>
      </c>
    </row>
    <row r="155" spans="1:6" x14ac:dyDescent="0.3">
      <c r="A155" s="106" t="s">
        <v>4355</v>
      </c>
      <c r="B155" s="97" t="s">
        <v>6063</v>
      </c>
      <c r="C155" s="106">
        <v>12</v>
      </c>
      <c r="D155" s="107">
        <v>261.25</v>
      </c>
      <c r="E155" s="107">
        <v>-2.46</v>
      </c>
      <c r="F155" s="107">
        <v>2.44</v>
      </c>
    </row>
    <row r="156" spans="1:6" x14ac:dyDescent="0.3">
      <c r="A156" s="106" t="s">
        <v>4356</v>
      </c>
      <c r="B156" s="97" t="s">
        <v>6064</v>
      </c>
      <c r="C156" s="106">
        <v>12</v>
      </c>
      <c r="D156" s="107">
        <v>121.48</v>
      </c>
      <c r="E156" s="107">
        <v>5.5</v>
      </c>
      <c r="F156" s="107">
        <v>6.24</v>
      </c>
    </row>
    <row r="157" spans="1:6" x14ac:dyDescent="0.3">
      <c r="A157" s="106" t="s">
        <v>4357</v>
      </c>
      <c r="B157" s="97" t="s">
        <v>6065</v>
      </c>
      <c r="C157" s="106">
        <v>12</v>
      </c>
      <c r="D157" s="107">
        <v>86.16</v>
      </c>
      <c r="E157" s="107">
        <v>-2.74</v>
      </c>
      <c r="F157" s="107">
        <v>-1.99</v>
      </c>
    </row>
    <row r="158" spans="1:6" x14ac:dyDescent="0.3">
      <c r="A158" s="106" t="s">
        <v>4358</v>
      </c>
      <c r="B158" s="97" t="s">
        <v>6066</v>
      </c>
      <c r="C158" s="106">
        <v>12</v>
      </c>
      <c r="D158" s="107">
        <v>93.77</v>
      </c>
      <c r="E158" s="107">
        <v>0.4</v>
      </c>
      <c r="F158" s="107">
        <v>4.88</v>
      </c>
    </row>
    <row r="159" spans="1:6" x14ac:dyDescent="0.3">
      <c r="A159" s="106" t="s">
        <v>4359</v>
      </c>
      <c r="B159" s="97" t="s">
        <v>6067</v>
      </c>
      <c r="C159" s="106">
        <v>12</v>
      </c>
      <c r="D159" s="107">
        <v>148.34</v>
      </c>
      <c r="E159" s="107">
        <v>7.62</v>
      </c>
      <c r="F159" s="107">
        <v>5.56</v>
      </c>
    </row>
    <row r="160" spans="1:6" x14ac:dyDescent="0.3">
      <c r="A160" s="106" t="s">
        <v>4360</v>
      </c>
      <c r="B160" s="97" t="s">
        <v>6068</v>
      </c>
      <c r="C160" s="106">
        <v>12</v>
      </c>
      <c r="D160" s="107">
        <v>230.89</v>
      </c>
      <c r="E160" s="107">
        <v>11.64</v>
      </c>
      <c r="F160" s="107">
        <v>0.86</v>
      </c>
    </row>
    <row r="161" spans="1:6" x14ac:dyDescent="0.3">
      <c r="A161" s="106" t="s">
        <v>4361</v>
      </c>
      <c r="B161" s="97" t="s">
        <v>6069</v>
      </c>
      <c r="C161" s="106">
        <v>12</v>
      </c>
      <c r="D161" s="107">
        <v>68.84</v>
      </c>
      <c r="E161" s="107">
        <v>6.55</v>
      </c>
      <c r="F161" s="107">
        <v>8.42</v>
      </c>
    </row>
    <row r="162" spans="1:6" x14ac:dyDescent="0.3">
      <c r="A162" s="106" t="s">
        <v>4362</v>
      </c>
      <c r="B162" s="97" t="s">
        <v>6070</v>
      </c>
      <c r="C162" s="106">
        <v>12</v>
      </c>
      <c r="D162" s="107">
        <v>62.85</v>
      </c>
      <c r="E162" s="107">
        <v>14.36</v>
      </c>
      <c r="F162" s="107">
        <v>8.9600000000000009</v>
      </c>
    </row>
    <row r="163" spans="1:6" x14ac:dyDescent="0.3">
      <c r="A163" s="106" t="s">
        <v>4363</v>
      </c>
      <c r="B163" s="97" t="s">
        <v>6071</v>
      </c>
      <c r="C163" s="106">
        <v>12</v>
      </c>
      <c r="D163" s="107">
        <v>186.94</v>
      </c>
      <c r="E163" s="107">
        <v>3.33</v>
      </c>
      <c r="F163" s="107">
        <v>4.68</v>
      </c>
    </row>
    <row r="164" spans="1:6" x14ac:dyDescent="0.3">
      <c r="A164" s="106" t="s">
        <v>4364</v>
      </c>
      <c r="B164" s="97" t="s">
        <v>6072</v>
      </c>
      <c r="C164" s="106">
        <v>12</v>
      </c>
      <c r="D164" s="107">
        <v>102.21</v>
      </c>
      <c r="E164" s="107">
        <v>0.5</v>
      </c>
      <c r="F164" s="107">
        <v>-1.62</v>
      </c>
    </row>
    <row r="165" spans="1:6" x14ac:dyDescent="0.3">
      <c r="A165" s="106" t="s">
        <v>4365</v>
      </c>
      <c r="B165" s="97" t="s">
        <v>6073</v>
      </c>
      <c r="C165" s="106">
        <v>12</v>
      </c>
      <c r="D165" s="107">
        <v>1051.33</v>
      </c>
      <c r="E165" s="107">
        <v>55.88</v>
      </c>
      <c r="F165" s="107">
        <v>28.6</v>
      </c>
    </row>
    <row r="166" spans="1:6" x14ac:dyDescent="0.3">
      <c r="A166" s="106" t="s">
        <v>4366</v>
      </c>
      <c r="B166" s="97" t="s">
        <v>6074</v>
      </c>
      <c r="C166" s="106">
        <v>12</v>
      </c>
      <c r="D166" s="107">
        <v>63.03</v>
      </c>
      <c r="E166" s="107">
        <v>-3.17</v>
      </c>
      <c r="F166" s="107">
        <v>-7.94</v>
      </c>
    </row>
    <row r="167" spans="1:6" x14ac:dyDescent="0.3">
      <c r="A167" s="106" t="s">
        <v>4367</v>
      </c>
      <c r="B167" s="97" t="s">
        <v>6075</v>
      </c>
      <c r="C167" s="106">
        <v>12</v>
      </c>
      <c r="D167" s="107">
        <v>448.19</v>
      </c>
      <c r="E167" s="107">
        <v>2.27</v>
      </c>
      <c r="F167" s="107">
        <v>12.8</v>
      </c>
    </row>
    <row r="168" spans="1:6" x14ac:dyDescent="0.3">
      <c r="A168" s="106" t="s">
        <v>4368</v>
      </c>
      <c r="B168" s="97" t="s">
        <v>6076</v>
      </c>
      <c r="C168" s="106">
        <v>12</v>
      </c>
      <c r="D168" s="107">
        <v>93.58</v>
      </c>
      <c r="E168" s="107">
        <v>10.199999999999999</v>
      </c>
      <c r="F168" s="107">
        <v>-0.57999999999999996</v>
      </c>
    </row>
    <row r="169" spans="1:6" x14ac:dyDescent="0.3">
      <c r="A169" s="106" t="s">
        <v>4369</v>
      </c>
      <c r="B169" s="97" t="s">
        <v>6077</v>
      </c>
      <c r="C169" s="106">
        <v>12</v>
      </c>
      <c r="D169" s="107">
        <v>632.11</v>
      </c>
      <c r="E169" s="107">
        <v>22.38</v>
      </c>
      <c r="F169" s="107">
        <v>2.34</v>
      </c>
    </row>
    <row r="170" spans="1:6" x14ac:dyDescent="0.3">
      <c r="A170" s="106" t="s">
        <v>4370</v>
      </c>
      <c r="B170" s="97" t="s">
        <v>6078</v>
      </c>
      <c r="C170" s="106">
        <v>12</v>
      </c>
      <c r="D170" s="107">
        <v>319.91000000000003</v>
      </c>
      <c r="E170" s="107">
        <v>2.58</v>
      </c>
      <c r="F170" s="107">
        <v>6.46</v>
      </c>
    </row>
    <row r="171" spans="1:6" x14ac:dyDescent="0.3">
      <c r="A171" s="106" t="s">
        <v>4371</v>
      </c>
      <c r="B171" s="97" t="s">
        <v>6079</v>
      </c>
      <c r="C171" s="106">
        <v>12</v>
      </c>
      <c r="D171" s="107">
        <v>343.08</v>
      </c>
      <c r="E171" s="107">
        <v>0.48</v>
      </c>
      <c r="F171" s="107">
        <v>-0.94</v>
      </c>
    </row>
    <row r="172" spans="1:6" x14ac:dyDescent="0.3">
      <c r="A172" s="106" t="s">
        <v>4372</v>
      </c>
      <c r="B172" s="97" t="s">
        <v>6080</v>
      </c>
      <c r="C172" s="106">
        <v>12</v>
      </c>
      <c r="D172" s="107">
        <v>110.05</v>
      </c>
      <c r="E172" s="107">
        <v>-1.48</v>
      </c>
      <c r="F172" s="107">
        <v>-0.32</v>
      </c>
    </row>
    <row r="173" spans="1:6" x14ac:dyDescent="0.3">
      <c r="A173" s="106" t="s">
        <v>4373</v>
      </c>
      <c r="B173" s="97" t="s">
        <v>6081</v>
      </c>
      <c r="C173" s="106">
        <v>12</v>
      </c>
      <c r="D173" s="107"/>
      <c r="E173" s="107"/>
      <c r="F173" s="107">
        <v>-2.25</v>
      </c>
    </row>
    <row r="174" spans="1:6" x14ac:dyDescent="0.3">
      <c r="A174" s="106" t="s">
        <v>4374</v>
      </c>
      <c r="B174" s="97" t="s">
        <v>6082</v>
      </c>
      <c r="C174" s="106">
        <v>12</v>
      </c>
      <c r="D174" s="107">
        <v>617.82000000000005</v>
      </c>
      <c r="E174" s="107">
        <v>6.42</v>
      </c>
      <c r="F174" s="107">
        <v>-3.5</v>
      </c>
    </row>
    <row r="175" spans="1:6" x14ac:dyDescent="0.3">
      <c r="A175" s="106" t="s">
        <v>4375</v>
      </c>
      <c r="B175" s="97" t="s">
        <v>6083</v>
      </c>
      <c r="C175" s="106">
        <v>12</v>
      </c>
      <c r="D175" s="107">
        <v>114.18</v>
      </c>
      <c r="E175" s="107">
        <v>2.2599999999999998</v>
      </c>
      <c r="F175" s="107">
        <v>3.32</v>
      </c>
    </row>
    <row r="176" spans="1:6" x14ac:dyDescent="0.3">
      <c r="A176" s="106" t="s">
        <v>4376</v>
      </c>
      <c r="B176" s="97" t="s">
        <v>6084</v>
      </c>
      <c r="C176" s="106">
        <v>12</v>
      </c>
      <c r="D176" s="107">
        <v>162.25</v>
      </c>
      <c r="E176" s="107">
        <v>3.05</v>
      </c>
      <c r="F176" s="107">
        <v>0.28999999999999998</v>
      </c>
    </row>
    <row r="177" spans="1:6" x14ac:dyDescent="0.3">
      <c r="A177" s="106" t="s">
        <v>4377</v>
      </c>
      <c r="B177" s="97" t="s">
        <v>6085</v>
      </c>
      <c r="C177" s="106">
        <v>12</v>
      </c>
      <c r="D177" s="107">
        <v>2601.79</v>
      </c>
      <c r="E177" s="107">
        <v>32.619999999999997</v>
      </c>
      <c r="F177" s="107">
        <v>-7.44</v>
      </c>
    </row>
    <row r="178" spans="1:6" x14ac:dyDescent="0.3">
      <c r="A178" s="106" t="s">
        <v>4378</v>
      </c>
      <c r="B178" s="97" t="s">
        <v>6086</v>
      </c>
      <c r="C178" s="106">
        <v>12</v>
      </c>
      <c r="D178" s="107">
        <v>128.74</v>
      </c>
      <c r="E178" s="107">
        <v>2</v>
      </c>
      <c r="F178" s="107">
        <v>14.13</v>
      </c>
    </row>
    <row r="179" spans="1:6" x14ac:dyDescent="0.3">
      <c r="A179" s="106" t="s">
        <v>4379</v>
      </c>
      <c r="B179" s="97" t="s">
        <v>6087</v>
      </c>
      <c r="C179" s="106">
        <v>12</v>
      </c>
      <c r="D179" s="107">
        <v>1260.01</v>
      </c>
      <c r="E179" s="107">
        <v>15.63</v>
      </c>
      <c r="F179" s="107">
        <v>39.869999999999997</v>
      </c>
    </row>
    <row r="180" spans="1:6" x14ac:dyDescent="0.3">
      <c r="A180" s="106" t="s">
        <v>4380</v>
      </c>
      <c r="B180" s="97" t="s">
        <v>6088</v>
      </c>
      <c r="C180" s="106">
        <v>12</v>
      </c>
      <c r="D180" s="107">
        <v>43.57</v>
      </c>
      <c r="E180" s="107">
        <v>-0.12</v>
      </c>
      <c r="F180" s="107">
        <v>0.31</v>
      </c>
    </row>
    <row r="181" spans="1:6" x14ac:dyDescent="0.3">
      <c r="A181" s="106" t="s">
        <v>4381</v>
      </c>
      <c r="B181" s="97" t="s">
        <v>6089</v>
      </c>
      <c r="C181" s="106">
        <v>12</v>
      </c>
      <c r="D181" s="107">
        <v>27.16</v>
      </c>
      <c r="E181" s="107">
        <v>0.14000000000000001</v>
      </c>
      <c r="F181" s="107">
        <v>-1.1000000000000001</v>
      </c>
    </row>
    <row r="182" spans="1:6" x14ac:dyDescent="0.3">
      <c r="A182" s="106" t="s">
        <v>4382</v>
      </c>
      <c r="B182" s="97" t="s">
        <v>6090</v>
      </c>
      <c r="C182" s="106">
        <v>12</v>
      </c>
      <c r="D182" s="107">
        <v>1108.06</v>
      </c>
      <c r="E182" s="107">
        <v>-9.08</v>
      </c>
      <c r="F182" s="107">
        <v>54.14</v>
      </c>
    </row>
    <row r="183" spans="1:6" x14ac:dyDescent="0.3">
      <c r="A183" s="106" t="s">
        <v>3781</v>
      </c>
      <c r="B183" s="97" t="s">
        <v>6091</v>
      </c>
      <c r="C183" s="106">
        <v>3</v>
      </c>
      <c r="D183" s="107">
        <v>3004.24</v>
      </c>
      <c r="E183" s="107">
        <v>-11.41</v>
      </c>
      <c r="F183" s="107">
        <v>-11.4</v>
      </c>
    </row>
    <row r="184" spans="1:6" x14ac:dyDescent="0.3">
      <c r="A184" s="106" t="s">
        <v>4383</v>
      </c>
      <c r="B184" s="97" t="s">
        <v>6092</v>
      </c>
      <c r="C184" s="106">
        <v>3</v>
      </c>
      <c r="D184" s="107">
        <v>468.87</v>
      </c>
      <c r="E184" s="107">
        <v>3.41</v>
      </c>
      <c r="F184" s="107">
        <v>1.03</v>
      </c>
    </row>
    <row r="185" spans="1:6" x14ac:dyDescent="0.3">
      <c r="A185" s="106" t="s">
        <v>4384</v>
      </c>
      <c r="B185" s="97" t="s">
        <v>6093</v>
      </c>
      <c r="C185" s="106">
        <v>3</v>
      </c>
      <c r="D185" s="107">
        <v>1310.44</v>
      </c>
      <c r="E185" s="107">
        <v>-29.32</v>
      </c>
      <c r="F185" s="107">
        <v>-11.57</v>
      </c>
    </row>
    <row r="186" spans="1:6" x14ac:dyDescent="0.3">
      <c r="A186" s="106" t="s">
        <v>4385</v>
      </c>
      <c r="B186" s="97" t="s">
        <v>6094</v>
      </c>
      <c r="C186" s="106">
        <v>12</v>
      </c>
      <c r="D186" s="107">
        <v>1253.6600000000001</v>
      </c>
      <c r="E186" s="107">
        <v>-12.71</v>
      </c>
      <c r="F186" s="107">
        <v>12.44</v>
      </c>
    </row>
    <row r="187" spans="1:6" x14ac:dyDescent="0.3">
      <c r="A187" s="106" t="s">
        <v>3782</v>
      </c>
      <c r="B187" s="97" t="s">
        <v>6095</v>
      </c>
      <c r="C187" s="106">
        <v>12</v>
      </c>
      <c r="D187" s="107">
        <v>2645.04</v>
      </c>
      <c r="E187" s="107">
        <v>-123.44</v>
      </c>
      <c r="F187" s="107">
        <v>125.66</v>
      </c>
    </row>
    <row r="188" spans="1:6" x14ac:dyDescent="0.3">
      <c r="A188" s="106" t="s">
        <v>4386</v>
      </c>
      <c r="B188" s="97" t="s">
        <v>6096</v>
      </c>
      <c r="C188" s="106">
        <v>12</v>
      </c>
      <c r="D188" s="107">
        <v>92.91</v>
      </c>
      <c r="E188" s="107">
        <v>1.87</v>
      </c>
      <c r="F188" s="107">
        <v>1.29</v>
      </c>
    </row>
    <row r="189" spans="1:6" x14ac:dyDescent="0.3">
      <c r="A189" s="106" t="s">
        <v>4387</v>
      </c>
      <c r="B189" s="97" t="s">
        <v>6097</v>
      </c>
      <c r="C189" s="106">
        <v>3</v>
      </c>
      <c r="D189" s="107">
        <v>825.2</v>
      </c>
      <c r="E189" s="107">
        <v>0.35</v>
      </c>
      <c r="F189" s="107">
        <v>-13.47</v>
      </c>
    </row>
    <row r="190" spans="1:6" x14ac:dyDescent="0.3">
      <c r="A190" s="106" t="s">
        <v>4388</v>
      </c>
      <c r="B190" s="97" t="s">
        <v>6098</v>
      </c>
      <c r="C190" s="106">
        <v>3</v>
      </c>
      <c r="D190" s="107">
        <v>1658.28</v>
      </c>
      <c r="E190" s="107">
        <v>1.04</v>
      </c>
      <c r="F190" s="107">
        <v>-5.93</v>
      </c>
    </row>
    <row r="191" spans="1:6" x14ac:dyDescent="0.3">
      <c r="A191" s="106" t="s">
        <v>3783</v>
      </c>
      <c r="B191" s="97" t="s">
        <v>6099</v>
      </c>
      <c r="C191" s="106">
        <v>12</v>
      </c>
      <c r="D191" s="107">
        <v>11589.72</v>
      </c>
      <c r="E191" s="107">
        <v>204.71</v>
      </c>
      <c r="F191" s="107">
        <v>344.36</v>
      </c>
    </row>
    <row r="192" spans="1:6" x14ac:dyDescent="0.3">
      <c r="A192" s="106" t="s">
        <v>4389</v>
      </c>
      <c r="B192" s="97" t="s">
        <v>6100</v>
      </c>
      <c r="C192" s="106">
        <v>12</v>
      </c>
      <c r="D192" s="107">
        <v>36.5</v>
      </c>
      <c r="E192" s="107">
        <v>0.2</v>
      </c>
      <c r="F192" s="107">
        <v>1.44</v>
      </c>
    </row>
    <row r="193" spans="1:6" x14ac:dyDescent="0.3">
      <c r="A193" s="106" t="s">
        <v>4390</v>
      </c>
      <c r="B193" s="97" t="s">
        <v>6101</v>
      </c>
      <c r="C193" s="106">
        <v>12</v>
      </c>
      <c r="D193" s="107">
        <v>798.91</v>
      </c>
      <c r="E193" s="107">
        <v>15.35</v>
      </c>
      <c r="F193" s="107">
        <v>10.15</v>
      </c>
    </row>
    <row r="194" spans="1:6" x14ac:dyDescent="0.3">
      <c r="A194" s="106" t="s">
        <v>4391</v>
      </c>
      <c r="B194" s="97" t="s">
        <v>6102</v>
      </c>
      <c r="C194" s="106">
        <v>12</v>
      </c>
      <c r="D194" s="107">
        <v>35.770000000000003</v>
      </c>
      <c r="E194" s="107">
        <v>-0.62</v>
      </c>
      <c r="F194" s="107">
        <v>-0.11</v>
      </c>
    </row>
    <row r="195" spans="1:6" x14ac:dyDescent="0.3">
      <c r="A195" s="106" t="s">
        <v>3784</v>
      </c>
      <c r="B195" s="97" t="s">
        <v>6103</v>
      </c>
      <c r="C195" s="106">
        <v>12</v>
      </c>
      <c r="D195" s="107">
        <v>35221.339999999997</v>
      </c>
      <c r="E195" s="107">
        <v>1066.43</v>
      </c>
      <c r="F195" s="107">
        <v>701.01</v>
      </c>
    </row>
    <row r="196" spans="1:6" x14ac:dyDescent="0.3">
      <c r="A196" s="106" t="s">
        <v>4392</v>
      </c>
      <c r="B196" s="97" t="s">
        <v>6104</v>
      </c>
      <c r="C196" s="106">
        <v>9</v>
      </c>
      <c r="D196" s="107">
        <v>189.11</v>
      </c>
      <c r="E196" s="107">
        <v>1.02</v>
      </c>
      <c r="F196" s="107">
        <v>2.16</v>
      </c>
    </row>
    <row r="197" spans="1:6" x14ac:dyDescent="0.3">
      <c r="A197" s="106" t="s">
        <v>4393</v>
      </c>
      <c r="B197" s="97" t="s">
        <v>6105</v>
      </c>
      <c r="C197" s="106">
        <v>12</v>
      </c>
      <c r="D197" s="107">
        <v>772.11</v>
      </c>
      <c r="E197" s="107">
        <v>-18.03</v>
      </c>
      <c r="F197" s="107">
        <v>-18.53</v>
      </c>
    </row>
    <row r="198" spans="1:6" x14ac:dyDescent="0.3">
      <c r="A198" s="106" t="s">
        <v>4394</v>
      </c>
      <c r="B198" s="97" t="s">
        <v>6106</v>
      </c>
      <c r="C198" s="106">
        <v>12</v>
      </c>
      <c r="D198" s="107">
        <v>676.71</v>
      </c>
      <c r="E198" s="107">
        <v>16.23</v>
      </c>
      <c r="F198" s="107">
        <v>20.98</v>
      </c>
    </row>
    <row r="199" spans="1:6" x14ac:dyDescent="0.3">
      <c r="A199" s="106" t="s">
        <v>4395</v>
      </c>
      <c r="B199" s="97" t="s">
        <v>6107</v>
      </c>
      <c r="C199" s="106">
        <v>12</v>
      </c>
      <c r="D199" s="107">
        <v>168.33</v>
      </c>
      <c r="E199" s="107">
        <v>5.21</v>
      </c>
      <c r="F199" s="107">
        <v>6.65</v>
      </c>
    </row>
    <row r="200" spans="1:6" x14ac:dyDescent="0.3">
      <c r="A200" s="106" t="s">
        <v>3785</v>
      </c>
      <c r="B200" s="97" t="s">
        <v>6108</v>
      </c>
      <c r="C200" s="106">
        <v>12</v>
      </c>
      <c r="D200" s="107">
        <v>403.26</v>
      </c>
      <c r="E200" s="107">
        <v>13.19</v>
      </c>
      <c r="F200" s="107">
        <v>26.82</v>
      </c>
    </row>
    <row r="201" spans="1:6" x14ac:dyDescent="0.3">
      <c r="A201" s="106" t="s">
        <v>4396</v>
      </c>
      <c r="B201" s="97" t="s">
        <v>6109</v>
      </c>
      <c r="C201" s="106">
        <v>12</v>
      </c>
      <c r="D201" s="107">
        <v>67</v>
      </c>
      <c r="E201" s="107">
        <v>1.46</v>
      </c>
      <c r="F201" s="107">
        <v>2.82</v>
      </c>
    </row>
    <row r="202" spans="1:6" x14ac:dyDescent="0.3">
      <c r="A202" s="106" t="s">
        <v>4397</v>
      </c>
      <c r="B202" s="97" t="s">
        <v>6110</v>
      </c>
      <c r="C202" s="106">
        <v>3</v>
      </c>
      <c r="D202" s="107">
        <v>1412.77</v>
      </c>
      <c r="E202" s="107">
        <v>54.42</v>
      </c>
      <c r="F202" s="107">
        <v>27.92</v>
      </c>
    </row>
    <row r="203" spans="1:6" x14ac:dyDescent="0.3">
      <c r="A203" s="106" t="s">
        <v>4398</v>
      </c>
      <c r="B203" s="97" t="s">
        <v>6111</v>
      </c>
      <c r="C203" s="106">
        <v>12</v>
      </c>
      <c r="D203" s="107">
        <v>134.63999999999999</v>
      </c>
      <c r="E203" s="107">
        <v>-1.51</v>
      </c>
      <c r="F203" s="107">
        <v>3.46</v>
      </c>
    </row>
    <row r="204" spans="1:6" x14ac:dyDescent="0.3">
      <c r="A204" s="106" t="s">
        <v>4399</v>
      </c>
      <c r="B204" s="97" t="s">
        <v>6112</v>
      </c>
      <c r="C204" s="106">
        <v>12</v>
      </c>
      <c r="D204" s="107">
        <v>24.09</v>
      </c>
      <c r="E204" s="107">
        <v>0.81</v>
      </c>
      <c r="F204" s="107">
        <v>0.78</v>
      </c>
    </row>
    <row r="205" spans="1:6" x14ac:dyDescent="0.3">
      <c r="A205" s="106" t="s">
        <v>4400</v>
      </c>
      <c r="B205" s="97" t="s">
        <v>6113</v>
      </c>
      <c r="C205" s="106">
        <v>12</v>
      </c>
      <c r="D205" s="107">
        <v>285.08999999999997</v>
      </c>
      <c r="E205" s="107">
        <v>8.32</v>
      </c>
      <c r="F205" s="107">
        <v>8.83</v>
      </c>
    </row>
    <row r="206" spans="1:6" x14ac:dyDescent="0.3">
      <c r="A206" s="106" t="s">
        <v>4401</v>
      </c>
      <c r="B206" s="97" t="s">
        <v>6114</v>
      </c>
      <c r="C206" s="106">
        <v>12</v>
      </c>
      <c r="D206" s="107">
        <v>360.25</v>
      </c>
      <c r="E206" s="107">
        <v>-2.61</v>
      </c>
      <c r="F206" s="107">
        <v>-0.69</v>
      </c>
    </row>
    <row r="207" spans="1:6" x14ac:dyDescent="0.3">
      <c r="A207" s="106" t="s">
        <v>4402</v>
      </c>
      <c r="B207" s="97" t="s">
        <v>6115</v>
      </c>
      <c r="C207" s="106">
        <v>12</v>
      </c>
      <c r="D207" s="107">
        <v>145.79</v>
      </c>
      <c r="E207" s="107">
        <v>0.53</v>
      </c>
      <c r="F207" s="107">
        <v>0.72</v>
      </c>
    </row>
    <row r="208" spans="1:6" x14ac:dyDescent="0.3">
      <c r="A208" s="106" t="s">
        <v>4403</v>
      </c>
      <c r="B208" s="97" t="s">
        <v>6116</v>
      </c>
      <c r="C208" s="106">
        <v>12</v>
      </c>
      <c r="D208" s="107">
        <v>873.89</v>
      </c>
      <c r="E208" s="107">
        <v>2.65</v>
      </c>
      <c r="F208" s="107">
        <v>13.56</v>
      </c>
    </row>
    <row r="209" spans="1:6" x14ac:dyDescent="0.3">
      <c r="A209" s="106" t="s">
        <v>4404</v>
      </c>
      <c r="B209" s="97" t="s">
        <v>6117</v>
      </c>
      <c r="C209" s="106">
        <v>12</v>
      </c>
      <c r="D209" s="107">
        <v>314.54000000000002</v>
      </c>
      <c r="E209" s="107">
        <v>5.36</v>
      </c>
      <c r="F209" s="107">
        <v>5.72</v>
      </c>
    </row>
    <row r="210" spans="1:6" x14ac:dyDescent="0.3">
      <c r="A210" s="106" t="s">
        <v>4405</v>
      </c>
      <c r="B210" s="97" t="s">
        <v>6118</v>
      </c>
      <c r="C210" s="106">
        <v>12</v>
      </c>
      <c r="D210" s="107">
        <v>143.65</v>
      </c>
      <c r="E210" s="107">
        <v>4.09</v>
      </c>
      <c r="F210" s="107">
        <v>2.3199999999999998</v>
      </c>
    </row>
    <row r="211" spans="1:6" x14ac:dyDescent="0.3">
      <c r="A211" s="106" t="s">
        <v>3786</v>
      </c>
      <c r="B211" s="97" t="s">
        <v>6119</v>
      </c>
      <c r="C211" s="106">
        <v>12</v>
      </c>
      <c r="D211" s="107">
        <v>1130.5999999999999</v>
      </c>
      <c r="E211" s="107">
        <v>-12.62</v>
      </c>
      <c r="F211" s="107">
        <v>19.55</v>
      </c>
    </row>
    <row r="212" spans="1:6" x14ac:dyDescent="0.3">
      <c r="A212" s="106" t="s">
        <v>4406</v>
      </c>
      <c r="B212" s="97" t="s">
        <v>6120</v>
      </c>
      <c r="C212" s="106">
        <v>12</v>
      </c>
      <c r="D212" s="107"/>
      <c r="E212" s="107"/>
      <c r="F212" s="107">
        <v>11.55</v>
      </c>
    </row>
    <row r="213" spans="1:6" x14ac:dyDescent="0.3">
      <c r="A213" s="106" t="s">
        <v>3787</v>
      </c>
      <c r="B213" s="97" t="s">
        <v>6121</v>
      </c>
      <c r="C213" s="106">
        <v>12</v>
      </c>
      <c r="D213" s="107">
        <v>10053.68</v>
      </c>
      <c r="E213" s="107">
        <v>140.18</v>
      </c>
      <c r="F213" s="107">
        <v>324.02</v>
      </c>
    </row>
    <row r="214" spans="1:6" x14ac:dyDescent="0.3">
      <c r="A214" s="106" t="s">
        <v>4407</v>
      </c>
      <c r="B214" s="97" t="s">
        <v>6122</v>
      </c>
      <c r="C214" s="106">
        <v>12</v>
      </c>
      <c r="D214" s="107">
        <v>210.03</v>
      </c>
      <c r="E214" s="107">
        <v>1.0900000000000001</v>
      </c>
      <c r="F214" s="107">
        <v>-2.23</v>
      </c>
    </row>
    <row r="215" spans="1:6" x14ac:dyDescent="0.3">
      <c r="A215" s="106" t="s">
        <v>4408</v>
      </c>
      <c r="B215" s="97" t="s">
        <v>6123</v>
      </c>
      <c r="C215" s="106">
        <v>12</v>
      </c>
      <c r="D215" s="107">
        <v>77.02</v>
      </c>
      <c r="E215" s="107">
        <v>0.42</v>
      </c>
      <c r="F215" s="107">
        <v>0.27</v>
      </c>
    </row>
    <row r="216" spans="1:6" x14ac:dyDescent="0.3">
      <c r="A216" s="106" t="s">
        <v>4409</v>
      </c>
      <c r="B216" s="97" t="s">
        <v>6124</v>
      </c>
      <c r="C216" s="106">
        <v>12</v>
      </c>
      <c r="D216" s="107">
        <v>103.78</v>
      </c>
      <c r="E216" s="107">
        <v>0.7</v>
      </c>
      <c r="F216" s="107">
        <v>1.93</v>
      </c>
    </row>
    <row r="217" spans="1:6" x14ac:dyDescent="0.3">
      <c r="A217" s="106" t="s">
        <v>4410</v>
      </c>
      <c r="B217" s="97" t="s">
        <v>6125</v>
      </c>
      <c r="C217" s="106">
        <v>12</v>
      </c>
      <c r="D217" s="107">
        <v>95.76</v>
      </c>
      <c r="E217" s="107">
        <v>2.27</v>
      </c>
      <c r="F217" s="107">
        <v>4.25</v>
      </c>
    </row>
    <row r="218" spans="1:6" x14ac:dyDescent="0.3">
      <c r="A218" s="106" t="s">
        <v>3788</v>
      </c>
      <c r="B218" s="97" t="s">
        <v>6126</v>
      </c>
      <c r="C218" s="106">
        <v>12</v>
      </c>
      <c r="D218" s="107">
        <v>378.42</v>
      </c>
      <c r="E218" s="107">
        <v>18.989999999999998</v>
      </c>
      <c r="F218" s="107">
        <v>9.31</v>
      </c>
    </row>
    <row r="219" spans="1:6" x14ac:dyDescent="0.3">
      <c r="A219" s="106" t="s">
        <v>4411</v>
      </c>
      <c r="B219" s="97" t="s">
        <v>6127</v>
      </c>
      <c r="C219" s="106">
        <v>12</v>
      </c>
      <c r="D219" s="107">
        <v>151.12</v>
      </c>
      <c r="E219" s="107">
        <v>3.26</v>
      </c>
      <c r="F219" s="107">
        <v>4.93</v>
      </c>
    </row>
    <row r="220" spans="1:6" x14ac:dyDescent="0.3">
      <c r="A220" s="106" t="s">
        <v>3789</v>
      </c>
      <c r="B220" s="97" t="s">
        <v>6128</v>
      </c>
      <c r="C220" s="106">
        <v>12</v>
      </c>
      <c r="D220" s="107">
        <v>798.18</v>
      </c>
      <c r="E220" s="107">
        <v>32.590000000000003</v>
      </c>
      <c r="F220" s="107">
        <v>38.49</v>
      </c>
    </row>
    <row r="221" spans="1:6" x14ac:dyDescent="0.3">
      <c r="A221" s="106" t="s">
        <v>3790</v>
      </c>
      <c r="B221" s="97" t="s">
        <v>6129</v>
      </c>
      <c r="C221" s="106">
        <v>12</v>
      </c>
      <c r="D221" s="107">
        <v>3184.08</v>
      </c>
      <c r="E221" s="107">
        <v>66.59</v>
      </c>
      <c r="F221" s="107">
        <v>58.45</v>
      </c>
    </row>
    <row r="222" spans="1:6" x14ac:dyDescent="0.3">
      <c r="A222" s="106" t="s">
        <v>4412</v>
      </c>
      <c r="B222" s="97" t="s">
        <v>6130</v>
      </c>
      <c r="C222" s="106">
        <v>12</v>
      </c>
      <c r="D222" s="107">
        <v>102.99</v>
      </c>
      <c r="E222" s="107">
        <v>2.61</v>
      </c>
      <c r="F222" s="107">
        <v>10.93</v>
      </c>
    </row>
    <row r="223" spans="1:6" x14ac:dyDescent="0.3">
      <c r="A223" s="106" t="s">
        <v>4413</v>
      </c>
      <c r="B223" s="97" t="s">
        <v>6131</v>
      </c>
      <c r="C223" s="106">
        <v>12</v>
      </c>
      <c r="D223" s="107">
        <v>136.94</v>
      </c>
      <c r="E223" s="107">
        <v>5.53</v>
      </c>
      <c r="F223" s="107">
        <v>5.66</v>
      </c>
    </row>
    <row r="224" spans="1:6" x14ac:dyDescent="0.3">
      <c r="A224" s="106" t="s">
        <v>4414</v>
      </c>
      <c r="B224" s="97" t="s">
        <v>6132</v>
      </c>
      <c r="C224" s="106">
        <v>12</v>
      </c>
      <c r="D224" s="107">
        <v>79.5</v>
      </c>
      <c r="E224" s="107">
        <v>1.55</v>
      </c>
      <c r="F224" s="107">
        <v>1.1100000000000001</v>
      </c>
    </row>
    <row r="225" spans="1:6" x14ac:dyDescent="0.3">
      <c r="A225" s="106" t="s">
        <v>4415</v>
      </c>
      <c r="B225" s="97" t="s">
        <v>6133</v>
      </c>
      <c r="C225" s="106">
        <v>11</v>
      </c>
      <c r="D225" s="107">
        <v>100.43</v>
      </c>
      <c r="E225" s="107">
        <v>0.37</v>
      </c>
      <c r="F225" s="107">
        <v>-3.34</v>
      </c>
    </row>
    <row r="226" spans="1:6" x14ac:dyDescent="0.3">
      <c r="A226" s="106" t="s">
        <v>4416</v>
      </c>
      <c r="B226" s="97" t="s">
        <v>6134</v>
      </c>
      <c r="C226" s="106">
        <v>12</v>
      </c>
      <c r="D226" s="107">
        <v>68.84</v>
      </c>
      <c r="E226" s="107">
        <v>5.48</v>
      </c>
      <c r="F226" s="107">
        <v>6.06</v>
      </c>
    </row>
    <row r="227" spans="1:6" x14ac:dyDescent="0.3">
      <c r="A227" s="106" t="s">
        <v>4417</v>
      </c>
      <c r="B227" s="97" t="s">
        <v>6135</v>
      </c>
      <c r="C227" s="106">
        <v>12</v>
      </c>
      <c r="D227" s="107">
        <v>618.97</v>
      </c>
      <c r="E227" s="107">
        <v>9.36</v>
      </c>
      <c r="F227" s="107">
        <v>9.59</v>
      </c>
    </row>
    <row r="228" spans="1:6" x14ac:dyDescent="0.3">
      <c r="A228" s="106" t="s">
        <v>3791</v>
      </c>
      <c r="B228" s="97" t="s">
        <v>6136</v>
      </c>
      <c r="C228" s="106">
        <v>12</v>
      </c>
      <c r="D228" s="107">
        <v>1466.87</v>
      </c>
      <c r="E228" s="107">
        <v>30.39</v>
      </c>
      <c r="F228" s="107">
        <v>14.49</v>
      </c>
    </row>
    <row r="229" spans="1:6" x14ac:dyDescent="0.3">
      <c r="A229" s="106" t="s">
        <v>4418</v>
      </c>
      <c r="B229" s="97" t="s">
        <v>6137</v>
      </c>
      <c r="C229" s="106">
        <v>12</v>
      </c>
      <c r="D229" s="107">
        <v>116.92</v>
      </c>
      <c r="E229" s="107">
        <v>4.16</v>
      </c>
      <c r="F229" s="107">
        <v>3.4</v>
      </c>
    </row>
    <row r="230" spans="1:6" x14ac:dyDescent="0.3">
      <c r="A230" s="106" t="s">
        <v>4419</v>
      </c>
      <c r="B230" s="97" t="s">
        <v>6138</v>
      </c>
      <c r="C230" s="106">
        <v>12</v>
      </c>
      <c r="D230" s="107">
        <v>24.12</v>
      </c>
      <c r="E230" s="107">
        <v>0.31</v>
      </c>
      <c r="F230" s="107">
        <v>0.6</v>
      </c>
    </row>
    <row r="231" spans="1:6" x14ac:dyDescent="0.3">
      <c r="A231" s="106" t="s">
        <v>4420</v>
      </c>
      <c r="B231" s="97" t="s">
        <v>6139</v>
      </c>
      <c r="C231" s="106">
        <v>12</v>
      </c>
      <c r="D231" s="107">
        <v>294.25</v>
      </c>
      <c r="E231" s="107">
        <v>12.64</v>
      </c>
      <c r="F231" s="107">
        <v>18.32</v>
      </c>
    </row>
    <row r="232" spans="1:6" x14ac:dyDescent="0.3">
      <c r="A232" s="106" t="s">
        <v>4421</v>
      </c>
      <c r="B232" s="97" t="s">
        <v>6140</v>
      </c>
      <c r="C232" s="106">
        <v>12</v>
      </c>
      <c r="D232" s="107">
        <v>102.68</v>
      </c>
      <c r="E232" s="107">
        <v>2.04</v>
      </c>
      <c r="F232" s="107">
        <v>2.93</v>
      </c>
    </row>
    <row r="233" spans="1:6" x14ac:dyDescent="0.3">
      <c r="A233" s="106" t="s">
        <v>4422</v>
      </c>
      <c r="B233" s="97" t="s">
        <v>6141</v>
      </c>
      <c r="C233" s="106">
        <v>12</v>
      </c>
      <c r="D233" s="107">
        <v>596.34</v>
      </c>
      <c r="E233" s="107">
        <v>19.91</v>
      </c>
      <c r="F233" s="107">
        <v>32.28</v>
      </c>
    </row>
    <row r="234" spans="1:6" x14ac:dyDescent="0.3">
      <c r="A234" s="106" t="s">
        <v>4423</v>
      </c>
      <c r="B234" s="97" t="s">
        <v>6142</v>
      </c>
      <c r="C234" s="106">
        <v>12</v>
      </c>
      <c r="D234" s="107">
        <v>157.93</v>
      </c>
      <c r="E234" s="107">
        <v>4.2699999999999996</v>
      </c>
      <c r="F234" s="107">
        <v>6.94</v>
      </c>
    </row>
    <row r="235" spans="1:6" x14ac:dyDescent="0.3">
      <c r="A235" s="106" t="s">
        <v>4424</v>
      </c>
      <c r="B235" s="97" t="s">
        <v>6143</v>
      </c>
      <c r="C235" s="106">
        <v>12</v>
      </c>
      <c r="D235" s="107">
        <v>272.83</v>
      </c>
      <c r="E235" s="107">
        <v>16.190000000000001</v>
      </c>
      <c r="F235" s="107">
        <v>3.97</v>
      </c>
    </row>
    <row r="236" spans="1:6" x14ac:dyDescent="0.3">
      <c r="A236" s="106" t="s">
        <v>4425</v>
      </c>
      <c r="B236" s="97" t="s">
        <v>6144</v>
      </c>
      <c r="C236" s="106">
        <v>12</v>
      </c>
      <c r="D236" s="107">
        <v>65.08</v>
      </c>
      <c r="E236" s="107">
        <v>0.74</v>
      </c>
      <c r="F236" s="107">
        <v>0.88</v>
      </c>
    </row>
    <row r="237" spans="1:6" x14ac:dyDescent="0.3">
      <c r="A237" s="106" t="s">
        <v>4426</v>
      </c>
      <c r="B237" s="97" t="s">
        <v>6145</v>
      </c>
      <c r="C237" s="106">
        <v>12</v>
      </c>
      <c r="D237" s="107">
        <v>1200.82</v>
      </c>
      <c r="E237" s="107">
        <v>51.95</v>
      </c>
      <c r="F237" s="107">
        <v>6.27</v>
      </c>
    </row>
    <row r="238" spans="1:6" x14ac:dyDescent="0.3">
      <c r="A238" s="106" t="s">
        <v>4427</v>
      </c>
      <c r="B238" s="97" t="s">
        <v>6146</v>
      </c>
      <c r="C238" s="106">
        <v>12</v>
      </c>
      <c r="D238" s="107">
        <v>141.41</v>
      </c>
      <c r="E238" s="107">
        <v>1.02</v>
      </c>
      <c r="F238" s="107">
        <v>1.64</v>
      </c>
    </row>
    <row r="239" spans="1:6" x14ac:dyDescent="0.3">
      <c r="A239" s="106" t="s">
        <v>4428</v>
      </c>
      <c r="B239" s="97" t="s">
        <v>6147</v>
      </c>
      <c r="C239" s="106">
        <v>12</v>
      </c>
      <c r="D239" s="107">
        <v>192.69</v>
      </c>
      <c r="E239" s="107">
        <v>-6.14</v>
      </c>
      <c r="F239" s="107">
        <v>-7.82</v>
      </c>
    </row>
    <row r="240" spans="1:6" x14ac:dyDescent="0.3">
      <c r="A240" s="106" t="s">
        <v>4429</v>
      </c>
      <c r="B240" s="97" t="s">
        <v>6148</v>
      </c>
      <c r="C240" s="106">
        <v>12</v>
      </c>
      <c r="D240" s="107">
        <v>26.77</v>
      </c>
      <c r="E240" s="107">
        <v>-0.43</v>
      </c>
      <c r="F240" s="107">
        <v>-1.02</v>
      </c>
    </row>
    <row r="241" spans="1:6" x14ac:dyDescent="0.3">
      <c r="A241" s="106" t="s">
        <v>4430</v>
      </c>
      <c r="B241" s="97" t="s">
        <v>6149</v>
      </c>
      <c r="C241" s="106">
        <v>12</v>
      </c>
      <c r="D241" s="107">
        <v>43.11</v>
      </c>
      <c r="E241" s="107">
        <v>-2.82</v>
      </c>
      <c r="F241" s="107">
        <v>-0.44</v>
      </c>
    </row>
    <row r="242" spans="1:6" x14ac:dyDescent="0.3">
      <c r="A242" s="106" t="s">
        <v>4431</v>
      </c>
      <c r="B242" s="97" t="s">
        <v>6150</v>
      </c>
      <c r="C242" s="106">
        <v>12</v>
      </c>
      <c r="D242" s="107">
        <v>17.68</v>
      </c>
      <c r="E242" s="107">
        <v>-1.07</v>
      </c>
      <c r="F242" s="107">
        <v>-0.05</v>
      </c>
    </row>
    <row r="243" spans="1:6" x14ac:dyDescent="0.3">
      <c r="A243" s="106" t="s">
        <v>4432</v>
      </c>
      <c r="B243" s="97" t="s">
        <v>6151</v>
      </c>
      <c r="C243" s="106">
        <v>12</v>
      </c>
      <c r="D243" s="107">
        <v>60.19</v>
      </c>
      <c r="E243" s="107">
        <v>1.18</v>
      </c>
      <c r="F243" s="107">
        <v>3.01</v>
      </c>
    </row>
    <row r="244" spans="1:6" x14ac:dyDescent="0.3">
      <c r="A244" s="106" t="s">
        <v>4433</v>
      </c>
      <c r="B244" s="97" t="s">
        <v>6152</v>
      </c>
      <c r="C244" s="106">
        <v>12</v>
      </c>
      <c r="D244" s="107">
        <v>1.03</v>
      </c>
      <c r="E244" s="107">
        <v>-0.42</v>
      </c>
      <c r="F244" s="107">
        <v>-1.01</v>
      </c>
    </row>
    <row r="245" spans="1:6" x14ac:dyDescent="0.3">
      <c r="A245" s="106" t="s">
        <v>3792</v>
      </c>
      <c r="B245" s="97" t="s">
        <v>6153</v>
      </c>
      <c r="C245" s="106">
        <v>12</v>
      </c>
      <c r="D245" s="107">
        <v>2930.38</v>
      </c>
      <c r="E245" s="107">
        <v>96.02</v>
      </c>
      <c r="F245" s="107">
        <v>79.59</v>
      </c>
    </row>
    <row r="246" spans="1:6" x14ac:dyDescent="0.3">
      <c r="A246" s="106" t="s">
        <v>4434</v>
      </c>
      <c r="B246" s="97" t="s">
        <v>6154</v>
      </c>
      <c r="C246" s="106">
        <v>12</v>
      </c>
      <c r="D246" s="107">
        <v>59.22</v>
      </c>
      <c r="E246" s="107">
        <v>0.95</v>
      </c>
      <c r="F246" s="107">
        <v>0.11</v>
      </c>
    </row>
    <row r="247" spans="1:6" x14ac:dyDescent="0.3">
      <c r="A247" s="106" t="s">
        <v>4435</v>
      </c>
      <c r="B247" s="97" t="s">
        <v>6155</v>
      </c>
      <c r="C247" s="106">
        <v>12</v>
      </c>
      <c r="D247" s="107">
        <v>155.13</v>
      </c>
      <c r="E247" s="107">
        <v>6.17</v>
      </c>
      <c r="F247" s="107">
        <v>8.81</v>
      </c>
    </row>
    <row r="248" spans="1:6" x14ac:dyDescent="0.3">
      <c r="A248" s="106" t="s">
        <v>4436</v>
      </c>
      <c r="B248" s="97" t="s">
        <v>6156</v>
      </c>
      <c r="C248" s="106">
        <v>12</v>
      </c>
      <c r="D248" s="107">
        <v>7.18</v>
      </c>
      <c r="E248" s="107">
        <v>-0.27</v>
      </c>
      <c r="F248" s="107">
        <v>-0.28000000000000003</v>
      </c>
    </row>
    <row r="249" spans="1:6" x14ac:dyDescent="0.3">
      <c r="A249" s="106" t="s">
        <v>4437</v>
      </c>
      <c r="B249" s="97" t="s">
        <v>6157</v>
      </c>
      <c r="C249" s="106">
        <v>12</v>
      </c>
      <c r="D249" s="107">
        <v>306.98</v>
      </c>
      <c r="E249" s="107">
        <v>2.39</v>
      </c>
      <c r="F249" s="107">
        <v>9.9</v>
      </c>
    </row>
    <row r="250" spans="1:6" x14ac:dyDescent="0.3">
      <c r="A250" s="106" t="s">
        <v>4438</v>
      </c>
      <c r="B250" s="97" t="s">
        <v>6158</v>
      </c>
      <c r="C250" s="106">
        <v>12</v>
      </c>
      <c r="D250" s="107">
        <v>127.33</v>
      </c>
      <c r="E250" s="107">
        <v>0.82</v>
      </c>
      <c r="F250" s="107">
        <v>2.16</v>
      </c>
    </row>
    <row r="251" spans="1:6" x14ac:dyDescent="0.3">
      <c r="A251" s="106" t="s">
        <v>4439</v>
      </c>
      <c r="B251" s="97" t="s">
        <v>6159</v>
      </c>
      <c r="C251" s="106">
        <v>12</v>
      </c>
      <c r="D251" s="107">
        <v>17.2</v>
      </c>
      <c r="E251" s="107">
        <v>-0.28999999999999998</v>
      </c>
      <c r="F251" s="107">
        <v>-1.6</v>
      </c>
    </row>
    <row r="252" spans="1:6" x14ac:dyDescent="0.3">
      <c r="A252" s="106" t="s">
        <v>3793</v>
      </c>
      <c r="B252" s="97" t="s">
        <v>6160</v>
      </c>
      <c r="C252" s="106">
        <v>12</v>
      </c>
      <c r="D252" s="107">
        <v>8730.48</v>
      </c>
      <c r="E252" s="107">
        <v>113.5</v>
      </c>
      <c r="F252" s="107">
        <v>252.39</v>
      </c>
    </row>
    <row r="253" spans="1:6" x14ac:dyDescent="0.3">
      <c r="A253" s="106" t="s">
        <v>4440</v>
      </c>
      <c r="B253" s="97" t="s">
        <v>6161</v>
      </c>
      <c r="C253" s="106">
        <v>12</v>
      </c>
      <c r="D253" s="107">
        <v>402.99</v>
      </c>
      <c r="E253" s="107">
        <v>12.13</v>
      </c>
      <c r="F253" s="107">
        <v>5.95</v>
      </c>
    </row>
    <row r="254" spans="1:6" x14ac:dyDescent="0.3">
      <c r="A254" s="106" t="s">
        <v>4441</v>
      </c>
      <c r="B254" s="97" t="s">
        <v>6162</v>
      </c>
      <c r="C254" s="106">
        <v>12</v>
      </c>
      <c r="D254" s="107">
        <v>405.65</v>
      </c>
      <c r="E254" s="107">
        <v>7.07</v>
      </c>
      <c r="F254" s="107">
        <v>11.61</v>
      </c>
    </row>
    <row r="255" spans="1:6" x14ac:dyDescent="0.3">
      <c r="A255" s="106" t="s">
        <v>4442</v>
      </c>
      <c r="B255" s="97" t="s">
        <v>6163</v>
      </c>
      <c r="C255" s="106">
        <v>12</v>
      </c>
      <c r="D255" s="107">
        <v>310.5</v>
      </c>
      <c r="E255" s="107">
        <v>-14.6</v>
      </c>
      <c r="F255" s="107">
        <v>15.08</v>
      </c>
    </row>
    <row r="256" spans="1:6" x14ac:dyDescent="0.3">
      <c r="A256" s="106" t="s">
        <v>4443</v>
      </c>
      <c r="B256" s="97" t="s">
        <v>6164</v>
      </c>
      <c r="C256" s="106">
        <v>12</v>
      </c>
      <c r="D256" s="107">
        <v>2910.34</v>
      </c>
      <c r="E256" s="107">
        <v>21.83</v>
      </c>
      <c r="F256" s="107">
        <v>31.68</v>
      </c>
    </row>
    <row r="257" spans="1:6" x14ac:dyDescent="0.3">
      <c r="A257" s="106" t="s">
        <v>3794</v>
      </c>
      <c r="B257" s="97" t="s">
        <v>6165</v>
      </c>
      <c r="C257" s="106">
        <v>12</v>
      </c>
      <c r="D257" s="107">
        <v>388.31</v>
      </c>
      <c r="E257" s="107">
        <v>7.6</v>
      </c>
      <c r="F257" s="107">
        <v>9.7200000000000006</v>
      </c>
    </row>
    <row r="258" spans="1:6" x14ac:dyDescent="0.3">
      <c r="A258" s="106" t="s">
        <v>4444</v>
      </c>
      <c r="B258" s="97" t="s">
        <v>6166</v>
      </c>
      <c r="C258" s="106">
        <v>12</v>
      </c>
      <c r="D258" s="107">
        <v>48.31</v>
      </c>
      <c r="E258" s="107">
        <v>-0.5</v>
      </c>
      <c r="F258" s="107">
        <v>1.61</v>
      </c>
    </row>
    <row r="259" spans="1:6" x14ac:dyDescent="0.3">
      <c r="A259" s="106" t="s">
        <v>4445</v>
      </c>
      <c r="B259" s="97" t="s">
        <v>6167</v>
      </c>
      <c r="C259" s="106">
        <v>12</v>
      </c>
      <c r="D259" s="107">
        <v>85.53</v>
      </c>
      <c r="E259" s="107">
        <v>-1.58</v>
      </c>
      <c r="F259" s="107">
        <v>-1.35</v>
      </c>
    </row>
    <row r="260" spans="1:6" x14ac:dyDescent="0.3">
      <c r="A260" s="106" t="s">
        <v>4446</v>
      </c>
      <c r="B260" s="97" t="s">
        <v>6168</v>
      </c>
      <c r="C260" s="106">
        <v>12</v>
      </c>
      <c r="D260" s="107">
        <v>260.12</v>
      </c>
      <c r="E260" s="107">
        <v>3.16</v>
      </c>
      <c r="F260" s="107">
        <v>3.82</v>
      </c>
    </row>
    <row r="261" spans="1:6" x14ac:dyDescent="0.3">
      <c r="A261" s="106" t="s">
        <v>4447</v>
      </c>
      <c r="B261" s="97" t="s">
        <v>6169</v>
      </c>
      <c r="C261" s="106">
        <v>12</v>
      </c>
      <c r="D261" s="107">
        <v>22.62</v>
      </c>
      <c r="E261" s="107">
        <v>0.34</v>
      </c>
      <c r="F261" s="107">
        <v>0.09</v>
      </c>
    </row>
    <row r="262" spans="1:6" x14ac:dyDescent="0.3">
      <c r="A262" s="106" t="s">
        <v>4448</v>
      </c>
      <c r="B262" s="97" t="s">
        <v>6170</v>
      </c>
      <c r="C262" s="106">
        <v>12</v>
      </c>
      <c r="D262" s="107">
        <v>402.18</v>
      </c>
      <c r="E262" s="107">
        <v>-0.41</v>
      </c>
      <c r="F262" s="107">
        <v>4</v>
      </c>
    </row>
    <row r="263" spans="1:6" x14ac:dyDescent="0.3">
      <c r="A263" s="106" t="s">
        <v>3795</v>
      </c>
      <c r="B263" s="97" t="s">
        <v>6171</v>
      </c>
      <c r="C263" s="106">
        <v>12</v>
      </c>
      <c r="D263" s="107">
        <v>431.67</v>
      </c>
      <c r="E263" s="107">
        <v>3.29</v>
      </c>
      <c r="F263" s="107">
        <v>29.78</v>
      </c>
    </row>
    <row r="264" spans="1:6" x14ac:dyDescent="0.3">
      <c r="A264" s="106" t="s">
        <v>4449</v>
      </c>
      <c r="B264" s="97" t="s">
        <v>6172</v>
      </c>
      <c r="C264" s="106">
        <v>12</v>
      </c>
      <c r="D264" s="107">
        <v>59.39</v>
      </c>
      <c r="E264" s="107">
        <v>0.28000000000000003</v>
      </c>
      <c r="F264" s="107">
        <v>1.98</v>
      </c>
    </row>
    <row r="265" spans="1:6" x14ac:dyDescent="0.3">
      <c r="A265" s="106" t="s">
        <v>4450</v>
      </c>
      <c r="B265" s="97" t="s">
        <v>6173</v>
      </c>
      <c r="C265" s="106">
        <v>12</v>
      </c>
      <c r="D265" s="107">
        <v>974.05</v>
      </c>
      <c r="E265" s="107">
        <v>15.68</v>
      </c>
      <c r="F265" s="107">
        <v>19.09</v>
      </c>
    </row>
    <row r="266" spans="1:6" x14ac:dyDescent="0.3">
      <c r="A266" s="106" t="s">
        <v>4451</v>
      </c>
      <c r="B266" s="97" t="s">
        <v>6174</v>
      </c>
      <c r="C266" s="106">
        <v>12</v>
      </c>
      <c r="D266" s="107">
        <v>135.88</v>
      </c>
      <c r="E266" s="107">
        <v>6.78</v>
      </c>
      <c r="F266" s="107">
        <v>9.6300000000000008</v>
      </c>
    </row>
    <row r="267" spans="1:6" x14ac:dyDescent="0.3">
      <c r="A267" s="106" t="s">
        <v>3796</v>
      </c>
      <c r="B267" s="97" t="s">
        <v>6175</v>
      </c>
      <c r="C267" s="106">
        <v>12</v>
      </c>
      <c r="D267" s="107">
        <v>2348.4699999999998</v>
      </c>
      <c r="E267" s="107">
        <v>29.63</v>
      </c>
      <c r="F267" s="107">
        <v>47.67</v>
      </c>
    </row>
    <row r="268" spans="1:6" x14ac:dyDescent="0.3">
      <c r="A268" s="106" t="s">
        <v>4452</v>
      </c>
      <c r="B268" s="97" t="s">
        <v>6176</v>
      </c>
      <c r="C268" s="106">
        <v>12</v>
      </c>
      <c r="D268" s="107">
        <v>8.77</v>
      </c>
      <c r="E268" s="107">
        <v>-1.99</v>
      </c>
      <c r="F268" s="107">
        <v>1.1299999999999999</v>
      </c>
    </row>
    <row r="269" spans="1:6" x14ac:dyDescent="0.3">
      <c r="A269" s="106" t="s">
        <v>4453</v>
      </c>
      <c r="B269" s="97" t="s">
        <v>6177</v>
      </c>
      <c r="C269" s="106">
        <v>12</v>
      </c>
      <c r="D269" s="107">
        <v>60.92</v>
      </c>
      <c r="E269" s="107">
        <v>2.41</v>
      </c>
      <c r="F269" s="107">
        <v>0.78</v>
      </c>
    </row>
    <row r="270" spans="1:6" x14ac:dyDescent="0.3">
      <c r="A270" s="106" t="s">
        <v>3797</v>
      </c>
      <c r="B270" s="97" t="s">
        <v>6178</v>
      </c>
      <c r="C270" s="106">
        <v>12</v>
      </c>
      <c r="D270" s="107">
        <v>49706.44</v>
      </c>
      <c r="E270" s="107">
        <v>1868.54</v>
      </c>
      <c r="F270" s="107">
        <v>2536.48</v>
      </c>
    </row>
    <row r="271" spans="1:6" x14ac:dyDescent="0.3">
      <c r="A271" s="106" t="s">
        <v>4454</v>
      </c>
      <c r="B271" s="97" t="s">
        <v>6179</v>
      </c>
      <c r="C271" s="106">
        <v>6</v>
      </c>
      <c r="D271" s="107">
        <v>222.71</v>
      </c>
      <c r="E271" s="107">
        <v>4.7699999999999996</v>
      </c>
      <c r="F271" s="107">
        <v>4.6500000000000004</v>
      </c>
    </row>
    <row r="272" spans="1:6" x14ac:dyDescent="0.3">
      <c r="A272" s="106" t="s">
        <v>4455</v>
      </c>
      <c r="B272" s="97" t="s">
        <v>6180</v>
      </c>
      <c r="C272" s="106">
        <v>12</v>
      </c>
      <c r="D272" s="107">
        <v>274.81</v>
      </c>
      <c r="E272" s="107">
        <v>-6.24</v>
      </c>
      <c r="F272" s="107">
        <v>2.62</v>
      </c>
    </row>
    <row r="273" spans="1:6" x14ac:dyDescent="0.3">
      <c r="A273" s="106" t="s">
        <v>4456</v>
      </c>
      <c r="B273" s="97" t="s">
        <v>6181</v>
      </c>
      <c r="C273" s="106">
        <v>12</v>
      </c>
      <c r="D273" s="107">
        <v>231.81</v>
      </c>
      <c r="E273" s="107">
        <v>-2.02</v>
      </c>
      <c r="F273" s="107">
        <v>4.95</v>
      </c>
    </row>
    <row r="274" spans="1:6" x14ac:dyDescent="0.3">
      <c r="A274" s="106" t="s">
        <v>3798</v>
      </c>
      <c r="B274" s="97" t="s">
        <v>6182</v>
      </c>
      <c r="C274" s="106">
        <v>12</v>
      </c>
      <c r="D274" s="107">
        <v>1366.57</v>
      </c>
      <c r="E274" s="107">
        <v>16.23</v>
      </c>
      <c r="F274" s="107">
        <v>15.09</v>
      </c>
    </row>
    <row r="275" spans="1:6" x14ac:dyDescent="0.3">
      <c r="A275" s="106" t="s">
        <v>4457</v>
      </c>
      <c r="B275" s="97" t="s">
        <v>6183</v>
      </c>
      <c r="C275" s="106">
        <v>12</v>
      </c>
      <c r="D275" s="107">
        <v>86.34</v>
      </c>
      <c r="E275" s="107">
        <v>-2.37</v>
      </c>
      <c r="F275" s="107">
        <v>-1.88</v>
      </c>
    </row>
    <row r="276" spans="1:6" x14ac:dyDescent="0.3">
      <c r="A276" s="106" t="s">
        <v>3799</v>
      </c>
      <c r="B276" s="97" t="s">
        <v>6184</v>
      </c>
      <c r="C276" s="106">
        <v>12</v>
      </c>
      <c r="D276" s="107">
        <v>42615.02</v>
      </c>
      <c r="E276" s="107">
        <v>716.92</v>
      </c>
      <c r="F276" s="107">
        <v>1278.3800000000001</v>
      </c>
    </row>
    <row r="277" spans="1:6" x14ac:dyDescent="0.3">
      <c r="A277" s="106" t="s">
        <v>4458</v>
      </c>
      <c r="B277" s="97" t="s">
        <v>6185</v>
      </c>
      <c r="C277" s="106">
        <v>12</v>
      </c>
      <c r="D277" s="107">
        <v>114.78</v>
      </c>
      <c r="E277" s="107">
        <v>9.18</v>
      </c>
      <c r="F277" s="107">
        <v>3.76</v>
      </c>
    </row>
    <row r="278" spans="1:6" x14ac:dyDescent="0.3">
      <c r="A278" s="106" t="s">
        <v>4459</v>
      </c>
      <c r="B278" s="97" t="s">
        <v>6186</v>
      </c>
      <c r="C278" s="106">
        <v>12</v>
      </c>
      <c r="D278" s="107">
        <v>126.39</v>
      </c>
      <c r="E278" s="107">
        <v>2.71</v>
      </c>
      <c r="F278" s="107">
        <v>3.91</v>
      </c>
    </row>
    <row r="279" spans="1:6" x14ac:dyDescent="0.3">
      <c r="A279" s="106" t="s">
        <v>4460</v>
      </c>
      <c r="B279" s="97" t="s">
        <v>6187</v>
      </c>
      <c r="C279" s="106">
        <v>12</v>
      </c>
      <c r="D279" s="107">
        <v>177.42</v>
      </c>
      <c r="E279" s="107">
        <v>5.42</v>
      </c>
      <c r="F279" s="107">
        <v>3.47</v>
      </c>
    </row>
    <row r="280" spans="1:6" x14ac:dyDescent="0.3">
      <c r="A280" s="106" t="s">
        <v>4461</v>
      </c>
      <c r="B280" s="97" t="s">
        <v>6188</v>
      </c>
      <c r="C280" s="106">
        <v>12</v>
      </c>
      <c r="D280" s="107">
        <v>911.4</v>
      </c>
      <c r="E280" s="107">
        <v>-5.42</v>
      </c>
      <c r="F280" s="107">
        <v>4.5599999999999996</v>
      </c>
    </row>
    <row r="281" spans="1:6" x14ac:dyDescent="0.3">
      <c r="A281" s="106" t="s">
        <v>4462</v>
      </c>
      <c r="B281" s="97" t="s">
        <v>6189</v>
      </c>
      <c r="C281" s="106">
        <v>12</v>
      </c>
      <c r="D281" s="107">
        <v>43.82</v>
      </c>
      <c r="E281" s="107">
        <v>0.85</v>
      </c>
      <c r="F281" s="107">
        <v>1.04</v>
      </c>
    </row>
    <row r="282" spans="1:6" x14ac:dyDescent="0.3">
      <c r="A282" s="106" t="s">
        <v>4463</v>
      </c>
      <c r="B282" s="97" t="s">
        <v>6190</v>
      </c>
      <c r="C282" s="106">
        <v>12</v>
      </c>
      <c r="D282" s="107">
        <v>429.6</v>
      </c>
      <c r="E282" s="107">
        <v>2.38</v>
      </c>
      <c r="F282" s="107">
        <v>5.36</v>
      </c>
    </row>
    <row r="283" spans="1:6" x14ac:dyDescent="0.3">
      <c r="A283" s="106" t="s">
        <v>4464</v>
      </c>
      <c r="B283" s="97" t="s">
        <v>6191</v>
      </c>
      <c r="C283" s="106">
        <v>12</v>
      </c>
      <c r="D283" s="107">
        <v>99.4</v>
      </c>
      <c r="E283" s="107">
        <v>-1.1299999999999999</v>
      </c>
      <c r="F283" s="107">
        <v>-3.16</v>
      </c>
    </row>
    <row r="284" spans="1:6" x14ac:dyDescent="0.3">
      <c r="A284" s="106" t="s">
        <v>4465</v>
      </c>
      <c r="B284" s="97" t="s">
        <v>6192</v>
      </c>
      <c r="C284" s="106">
        <v>12</v>
      </c>
      <c r="D284" s="107">
        <v>147.47999999999999</v>
      </c>
      <c r="E284" s="107">
        <v>6.89</v>
      </c>
      <c r="F284" s="107">
        <v>2.92</v>
      </c>
    </row>
    <row r="285" spans="1:6" x14ac:dyDescent="0.3">
      <c r="A285" s="106" t="s">
        <v>4466</v>
      </c>
      <c r="B285" s="97" t="s">
        <v>6193</v>
      </c>
      <c r="C285" s="106">
        <v>12</v>
      </c>
      <c r="D285" s="107">
        <v>548.75</v>
      </c>
      <c r="E285" s="107">
        <v>25.53</v>
      </c>
      <c r="F285" s="107">
        <v>5.46</v>
      </c>
    </row>
    <row r="286" spans="1:6" x14ac:dyDescent="0.3">
      <c r="A286" s="106" t="s">
        <v>4467</v>
      </c>
      <c r="B286" s="97" t="s">
        <v>6194</v>
      </c>
      <c r="C286" s="106">
        <v>12</v>
      </c>
      <c r="D286" s="107">
        <v>254.43</v>
      </c>
      <c r="E286" s="107">
        <v>14.59</v>
      </c>
      <c r="F286" s="107">
        <v>7.31</v>
      </c>
    </row>
    <row r="287" spans="1:6" x14ac:dyDescent="0.3">
      <c r="A287" s="106" t="s">
        <v>4468</v>
      </c>
      <c r="B287" s="97" t="s">
        <v>6195</v>
      </c>
      <c r="C287" s="106">
        <v>12</v>
      </c>
      <c r="D287" s="107">
        <v>140.6</v>
      </c>
      <c r="E287" s="107">
        <v>-0.66</v>
      </c>
      <c r="F287" s="107">
        <v>-1.1000000000000001</v>
      </c>
    </row>
    <row r="288" spans="1:6" x14ac:dyDescent="0.3">
      <c r="A288" s="106" t="s">
        <v>4469</v>
      </c>
      <c r="B288" s="97" t="s">
        <v>6196</v>
      </c>
      <c r="C288" s="106">
        <v>9</v>
      </c>
      <c r="D288" s="107">
        <v>260.74</v>
      </c>
      <c r="E288" s="107">
        <v>0.51</v>
      </c>
      <c r="F288" s="107">
        <v>3.14</v>
      </c>
    </row>
    <row r="289" spans="1:6" x14ac:dyDescent="0.3">
      <c r="A289" s="106" t="s">
        <v>4470</v>
      </c>
      <c r="B289" s="97" t="s">
        <v>6197</v>
      </c>
      <c r="C289" s="106">
        <v>12</v>
      </c>
      <c r="D289" s="107">
        <v>505.7</v>
      </c>
      <c r="E289" s="107">
        <v>10.1</v>
      </c>
      <c r="F289" s="107">
        <v>10.199999999999999</v>
      </c>
    </row>
    <row r="290" spans="1:6" x14ac:dyDescent="0.3">
      <c r="A290" s="106" t="s">
        <v>4471</v>
      </c>
      <c r="B290" s="97" t="s">
        <v>6198</v>
      </c>
      <c r="C290" s="106">
        <v>12</v>
      </c>
      <c r="D290" s="107">
        <v>83.93</v>
      </c>
      <c r="E290" s="107">
        <v>1.1200000000000001</v>
      </c>
      <c r="F290" s="107">
        <v>0.69</v>
      </c>
    </row>
    <row r="291" spans="1:6" x14ac:dyDescent="0.3">
      <c r="A291" s="106" t="s">
        <v>4472</v>
      </c>
      <c r="B291" s="97" t="s">
        <v>6199</v>
      </c>
      <c r="C291" s="106">
        <v>3</v>
      </c>
      <c r="D291" s="107">
        <v>3028.19</v>
      </c>
      <c r="E291" s="107">
        <v>90.88</v>
      </c>
      <c r="F291" s="107">
        <v>150.62</v>
      </c>
    </row>
    <row r="292" spans="1:6" x14ac:dyDescent="0.3">
      <c r="A292" s="106" t="s">
        <v>3800</v>
      </c>
      <c r="B292" s="97" t="s">
        <v>6200</v>
      </c>
      <c r="C292" s="106">
        <v>12</v>
      </c>
      <c r="D292" s="107">
        <v>622.21</v>
      </c>
      <c r="E292" s="107">
        <v>11.04</v>
      </c>
      <c r="F292" s="107">
        <v>-3.48</v>
      </c>
    </row>
    <row r="293" spans="1:6" x14ac:dyDescent="0.3">
      <c r="A293" s="106" t="s">
        <v>4473</v>
      </c>
      <c r="B293" s="97" t="s">
        <v>6201</v>
      </c>
      <c r="C293" s="106">
        <v>12</v>
      </c>
      <c r="D293" s="107">
        <v>52.47</v>
      </c>
      <c r="E293" s="107">
        <v>0.16</v>
      </c>
      <c r="F293" s="107">
        <v>0.45</v>
      </c>
    </row>
    <row r="294" spans="1:6" x14ac:dyDescent="0.3">
      <c r="A294" s="106" t="s">
        <v>4474</v>
      </c>
      <c r="B294" s="97" t="s">
        <v>6202</v>
      </c>
      <c r="C294" s="106">
        <v>12</v>
      </c>
      <c r="D294" s="107">
        <v>59.55</v>
      </c>
      <c r="E294" s="107">
        <v>-1.2</v>
      </c>
      <c r="F294" s="107">
        <v>-0.96</v>
      </c>
    </row>
    <row r="295" spans="1:6" x14ac:dyDescent="0.3">
      <c r="A295" s="106" t="s">
        <v>4475</v>
      </c>
      <c r="B295" s="97" t="s">
        <v>6203</v>
      </c>
      <c r="C295" s="106">
        <v>12</v>
      </c>
      <c r="D295" s="107">
        <v>281.48</v>
      </c>
      <c r="E295" s="107">
        <v>27.74</v>
      </c>
      <c r="F295" s="107">
        <v>-29.23</v>
      </c>
    </row>
    <row r="296" spans="1:6" x14ac:dyDescent="0.3">
      <c r="A296" s="106" t="s">
        <v>4476</v>
      </c>
      <c r="B296" s="97" t="s">
        <v>6204</v>
      </c>
      <c r="C296" s="106">
        <v>12</v>
      </c>
      <c r="D296" s="107">
        <v>37.700000000000003</v>
      </c>
      <c r="E296" s="107">
        <v>-6.7</v>
      </c>
      <c r="F296" s="107">
        <v>-3.19</v>
      </c>
    </row>
    <row r="297" spans="1:6" x14ac:dyDescent="0.3">
      <c r="A297" s="106" t="s">
        <v>3801</v>
      </c>
      <c r="B297" s="97" t="s">
        <v>4041</v>
      </c>
      <c r="C297" s="106">
        <v>12</v>
      </c>
      <c r="D297" s="107">
        <v>128805.64</v>
      </c>
      <c r="E297" s="107">
        <v>8779.4599999999991</v>
      </c>
      <c r="F297" s="107">
        <v>6393.46</v>
      </c>
    </row>
    <row r="298" spans="1:6" x14ac:dyDescent="0.3">
      <c r="A298" s="106" t="s">
        <v>3802</v>
      </c>
      <c r="B298" s="97" t="s">
        <v>4042</v>
      </c>
      <c r="C298" s="106">
        <v>3</v>
      </c>
      <c r="D298" s="107">
        <v>3483.89</v>
      </c>
      <c r="E298" s="107">
        <v>38.42</v>
      </c>
      <c r="F298" s="107">
        <v>23.21</v>
      </c>
    </row>
    <row r="299" spans="1:6" x14ac:dyDescent="0.3">
      <c r="A299" s="106" t="s">
        <v>3803</v>
      </c>
      <c r="B299" s="97" t="s">
        <v>6205</v>
      </c>
      <c r="C299" s="106">
        <v>12</v>
      </c>
      <c r="D299" s="107">
        <v>468.13</v>
      </c>
      <c r="E299" s="107">
        <v>10.28</v>
      </c>
      <c r="F299" s="107">
        <v>17.36</v>
      </c>
    </row>
    <row r="300" spans="1:6" x14ac:dyDescent="0.3">
      <c r="A300" s="106" t="s">
        <v>4477</v>
      </c>
      <c r="B300" s="97" t="s">
        <v>6206</v>
      </c>
      <c r="C300" s="106">
        <v>12</v>
      </c>
      <c r="D300" s="107">
        <v>504.15</v>
      </c>
      <c r="E300" s="107">
        <v>-10.69</v>
      </c>
      <c r="F300" s="107">
        <v>19.309999999999999</v>
      </c>
    </row>
    <row r="301" spans="1:6" x14ac:dyDescent="0.3">
      <c r="A301" s="106" t="s">
        <v>4478</v>
      </c>
      <c r="B301" s="97" t="s">
        <v>6207</v>
      </c>
      <c r="C301" s="106">
        <v>12</v>
      </c>
      <c r="D301" s="107">
        <v>61.69</v>
      </c>
      <c r="E301" s="107">
        <v>0.13</v>
      </c>
      <c r="F301" s="107">
        <v>0.28000000000000003</v>
      </c>
    </row>
    <row r="302" spans="1:6" x14ac:dyDescent="0.3">
      <c r="A302" s="106" t="s">
        <v>3804</v>
      </c>
      <c r="B302" s="97" t="s">
        <v>6208</v>
      </c>
      <c r="C302" s="106">
        <v>12</v>
      </c>
      <c r="D302" s="107">
        <v>353</v>
      </c>
      <c r="E302" s="107">
        <v>8.0500000000000007</v>
      </c>
      <c r="F302" s="107">
        <v>5.13</v>
      </c>
    </row>
    <row r="303" spans="1:6" x14ac:dyDescent="0.3">
      <c r="A303" s="106" t="s">
        <v>4479</v>
      </c>
      <c r="B303" s="97" t="s">
        <v>6209</v>
      </c>
      <c r="C303" s="106">
        <v>12</v>
      </c>
      <c r="D303" s="107">
        <v>610.04</v>
      </c>
      <c r="E303" s="107">
        <v>33.76</v>
      </c>
      <c r="F303" s="107">
        <v>53.3</v>
      </c>
    </row>
    <row r="304" spans="1:6" x14ac:dyDescent="0.3">
      <c r="A304" s="106" t="s">
        <v>4480</v>
      </c>
      <c r="B304" s="97" t="s">
        <v>6210</v>
      </c>
      <c r="C304" s="106">
        <v>12</v>
      </c>
      <c r="D304" s="107">
        <v>44.47</v>
      </c>
      <c r="E304" s="107">
        <v>-1.18</v>
      </c>
      <c r="F304" s="107">
        <v>-0.15</v>
      </c>
    </row>
    <row r="305" spans="1:6" x14ac:dyDescent="0.3">
      <c r="A305" s="106" t="s">
        <v>4481</v>
      </c>
      <c r="B305" s="97" t="s">
        <v>6211</v>
      </c>
      <c r="C305" s="106">
        <v>12</v>
      </c>
      <c r="D305" s="107">
        <v>135.37</v>
      </c>
      <c r="E305" s="107">
        <v>-1.1599999999999999</v>
      </c>
      <c r="F305" s="107">
        <v>2.04</v>
      </c>
    </row>
    <row r="306" spans="1:6" x14ac:dyDescent="0.3">
      <c r="A306" s="106" t="s">
        <v>4482</v>
      </c>
      <c r="B306" s="97" t="s">
        <v>6212</v>
      </c>
      <c r="C306" s="106">
        <v>12</v>
      </c>
      <c r="D306" s="107">
        <v>69.849999999999994</v>
      </c>
      <c r="E306" s="107">
        <v>-0.52</v>
      </c>
      <c r="F306" s="107">
        <v>6.85</v>
      </c>
    </row>
    <row r="307" spans="1:6" x14ac:dyDescent="0.3">
      <c r="A307" s="106" t="s">
        <v>4483</v>
      </c>
      <c r="B307" s="97" t="s">
        <v>6213</v>
      </c>
      <c r="C307" s="106">
        <v>12</v>
      </c>
      <c r="D307" s="107">
        <v>108.74</v>
      </c>
      <c r="E307" s="107">
        <v>0.15</v>
      </c>
      <c r="F307" s="107">
        <v>2.16</v>
      </c>
    </row>
    <row r="308" spans="1:6" x14ac:dyDescent="0.3">
      <c r="A308" s="106" t="s">
        <v>4484</v>
      </c>
      <c r="B308" s="97" t="s">
        <v>6214</v>
      </c>
      <c r="C308" s="106">
        <v>12</v>
      </c>
      <c r="D308" s="107">
        <v>1734.71</v>
      </c>
      <c r="E308" s="107">
        <v>35.67</v>
      </c>
      <c r="F308" s="107">
        <v>66.959999999999994</v>
      </c>
    </row>
    <row r="309" spans="1:6" x14ac:dyDescent="0.3">
      <c r="A309" s="106" t="s">
        <v>4485</v>
      </c>
      <c r="B309" s="97" t="s">
        <v>6215</v>
      </c>
      <c r="C309" s="106">
        <v>12</v>
      </c>
      <c r="D309" s="107">
        <v>76.14</v>
      </c>
      <c r="E309" s="107">
        <v>3.48</v>
      </c>
      <c r="F309" s="107">
        <v>2.35</v>
      </c>
    </row>
    <row r="310" spans="1:6" x14ac:dyDescent="0.3">
      <c r="A310" s="106" t="s">
        <v>4486</v>
      </c>
      <c r="B310" s="97" t="s">
        <v>6216</v>
      </c>
      <c r="C310" s="106">
        <v>12</v>
      </c>
      <c r="D310" s="107">
        <v>128.02000000000001</v>
      </c>
      <c r="E310" s="107">
        <v>-3.17</v>
      </c>
      <c r="F310" s="107">
        <v>0.06</v>
      </c>
    </row>
    <row r="311" spans="1:6" x14ac:dyDescent="0.3">
      <c r="A311" s="106" t="s">
        <v>4487</v>
      </c>
      <c r="B311" s="97" t="s">
        <v>6217</v>
      </c>
      <c r="C311" s="106">
        <v>12</v>
      </c>
      <c r="D311" s="107">
        <v>282.94</v>
      </c>
      <c r="E311" s="107">
        <v>5.87</v>
      </c>
      <c r="F311" s="107">
        <v>6.46</v>
      </c>
    </row>
    <row r="312" spans="1:6" x14ac:dyDescent="0.3">
      <c r="A312" s="106" t="s">
        <v>3805</v>
      </c>
      <c r="B312" s="97" t="s">
        <v>6218</v>
      </c>
      <c r="C312" s="106">
        <v>12</v>
      </c>
      <c r="D312" s="107">
        <v>2841.86</v>
      </c>
      <c r="E312" s="107">
        <v>85.3</v>
      </c>
      <c r="F312" s="107">
        <v>126.57</v>
      </c>
    </row>
    <row r="313" spans="1:6" x14ac:dyDescent="0.3">
      <c r="A313" s="106" t="s">
        <v>3806</v>
      </c>
      <c r="B313" s="97" t="s">
        <v>6219</v>
      </c>
      <c r="C313" s="106">
        <v>12</v>
      </c>
      <c r="D313" s="107">
        <v>692.29</v>
      </c>
      <c r="E313" s="107">
        <v>11.84</v>
      </c>
      <c r="F313" s="107">
        <v>15.71</v>
      </c>
    </row>
    <row r="314" spans="1:6" x14ac:dyDescent="0.3">
      <c r="A314" s="106" t="s">
        <v>4488</v>
      </c>
      <c r="B314" s="97" t="s">
        <v>6220</v>
      </c>
      <c r="C314" s="106">
        <v>12</v>
      </c>
      <c r="D314" s="107">
        <v>72.239999999999995</v>
      </c>
      <c r="E314" s="107">
        <v>1.79</v>
      </c>
      <c r="F314" s="107">
        <v>3.16</v>
      </c>
    </row>
    <row r="315" spans="1:6" x14ac:dyDescent="0.3">
      <c r="A315" s="106" t="s">
        <v>3807</v>
      </c>
      <c r="B315" s="97" t="s">
        <v>6221</v>
      </c>
      <c r="C315" s="106">
        <v>12</v>
      </c>
      <c r="D315" s="107">
        <v>894.17</v>
      </c>
      <c r="E315" s="107">
        <v>24.47</v>
      </c>
      <c r="F315" s="107">
        <v>29.15</v>
      </c>
    </row>
    <row r="316" spans="1:6" x14ac:dyDescent="0.3">
      <c r="A316" s="106" t="s">
        <v>3808</v>
      </c>
      <c r="B316" s="97" t="s">
        <v>6222</v>
      </c>
      <c r="C316" s="106">
        <v>12</v>
      </c>
      <c r="D316" s="107">
        <v>3566.17</v>
      </c>
      <c r="E316" s="107">
        <v>-544.32000000000005</v>
      </c>
      <c r="F316" s="107">
        <v>70.81</v>
      </c>
    </row>
    <row r="317" spans="1:6" x14ac:dyDescent="0.3">
      <c r="A317" s="106" t="s">
        <v>4489</v>
      </c>
      <c r="B317" s="97" t="s">
        <v>6223</v>
      </c>
      <c r="C317" s="106">
        <v>3</v>
      </c>
      <c r="D317" s="107">
        <v>399.38</v>
      </c>
      <c r="E317" s="107">
        <v>1.52</v>
      </c>
      <c r="F317" s="107">
        <v>2.59</v>
      </c>
    </row>
    <row r="318" spans="1:6" x14ac:dyDescent="0.3">
      <c r="A318" s="106" t="s">
        <v>4490</v>
      </c>
      <c r="B318" s="97" t="s">
        <v>6224</v>
      </c>
      <c r="C318" s="106">
        <v>12</v>
      </c>
      <c r="D318" s="107">
        <v>423.39</v>
      </c>
      <c r="E318" s="107">
        <v>-30.31</v>
      </c>
      <c r="F318" s="107">
        <v>20.96</v>
      </c>
    </row>
    <row r="319" spans="1:6" x14ac:dyDescent="0.3">
      <c r="A319" s="106" t="s">
        <v>4491</v>
      </c>
      <c r="B319" s="97" t="s">
        <v>6225</v>
      </c>
      <c r="C319" s="106">
        <v>12</v>
      </c>
      <c r="D319" s="107">
        <v>26.13</v>
      </c>
      <c r="E319" s="107">
        <v>-10.36</v>
      </c>
      <c r="F319" s="107">
        <v>17.649999999999999</v>
      </c>
    </row>
    <row r="320" spans="1:6" x14ac:dyDescent="0.3">
      <c r="A320" s="106" t="s">
        <v>3809</v>
      </c>
      <c r="B320" s="97" t="s">
        <v>6226</v>
      </c>
      <c r="C320" s="106">
        <v>12</v>
      </c>
      <c r="D320" s="107">
        <v>7580.96</v>
      </c>
      <c r="E320" s="107">
        <v>-33.28</v>
      </c>
      <c r="F320" s="107">
        <v>82.63</v>
      </c>
    </row>
    <row r="321" spans="1:6" x14ac:dyDescent="0.3">
      <c r="A321" s="106" t="s">
        <v>4492</v>
      </c>
      <c r="B321" s="97" t="s">
        <v>6227</v>
      </c>
      <c r="C321" s="106">
        <v>12</v>
      </c>
      <c r="D321" s="107"/>
      <c r="E321" s="107"/>
      <c r="F321" s="107">
        <v>-23.46</v>
      </c>
    </row>
    <row r="322" spans="1:6" x14ac:dyDescent="0.3">
      <c r="A322" s="106" t="s">
        <v>4493</v>
      </c>
      <c r="B322" s="97" t="s">
        <v>6228</v>
      </c>
      <c r="C322" s="106">
        <v>12</v>
      </c>
      <c r="D322" s="107">
        <v>15.34</v>
      </c>
      <c r="E322" s="107">
        <v>-1.78</v>
      </c>
      <c r="F322" s="107">
        <v>-1.07</v>
      </c>
    </row>
    <row r="323" spans="1:6" x14ac:dyDescent="0.3">
      <c r="A323" s="106" t="s">
        <v>4494</v>
      </c>
      <c r="B323" s="97" t="s">
        <v>6229</v>
      </c>
      <c r="C323" s="106">
        <v>12</v>
      </c>
      <c r="D323" s="107">
        <v>135.41999999999999</v>
      </c>
      <c r="E323" s="107">
        <v>-2.09</v>
      </c>
      <c r="F323" s="107">
        <v>-0.55000000000000004</v>
      </c>
    </row>
    <row r="324" spans="1:6" x14ac:dyDescent="0.3">
      <c r="A324" s="106" t="s">
        <v>4495</v>
      </c>
      <c r="B324" s="97" t="s">
        <v>6230</v>
      </c>
      <c r="C324" s="106">
        <v>12</v>
      </c>
      <c r="D324" s="107">
        <v>105.6</v>
      </c>
      <c r="E324" s="107">
        <v>-0.16</v>
      </c>
      <c r="F324" s="107">
        <v>4.7699999999999996</v>
      </c>
    </row>
    <row r="325" spans="1:6" x14ac:dyDescent="0.3">
      <c r="A325" s="106" t="s">
        <v>3810</v>
      </c>
      <c r="B325" s="97" t="s">
        <v>6231</v>
      </c>
      <c r="C325" s="106">
        <v>12</v>
      </c>
      <c r="D325" s="107">
        <v>750.52</v>
      </c>
      <c r="E325" s="107">
        <v>9.49</v>
      </c>
      <c r="F325" s="107">
        <v>-3.95</v>
      </c>
    </row>
    <row r="326" spans="1:6" x14ac:dyDescent="0.3">
      <c r="A326" s="106" t="s">
        <v>4496</v>
      </c>
      <c r="B326" s="97" t="s">
        <v>6232</v>
      </c>
      <c r="C326" s="106">
        <v>12</v>
      </c>
      <c r="D326" s="107">
        <v>172.83</v>
      </c>
      <c r="E326" s="107">
        <v>1.78</v>
      </c>
      <c r="F326" s="107">
        <v>1.96</v>
      </c>
    </row>
    <row r="327" spans="1:6" x14ac:dyDescent="0.3">
      <c r="A327" s="106" t="s">
        <v>4497</v>
      </c>
      <c r="B327" s="97" t="s">
        <v>6233</v>
      </c>
      <c r="C327" s="106">
        <v>12</v>
      </c>
      <c r="D327" s="107">
        <v>433.05</v>
      </c>
      <c r="E327" s="107">
        <v>2.38</v>
      </c>
      <c r="F327" s="107">
        <v>0.82</v>
      </c>
    </row>
    <row r="328" spans="1:6" x14ac:dyDescent="0.3">
      <c r="A328" s="106" t="s">
        <v>4498</v>
      </c>
      <c r="B328" s="97" t="s">
        <v>6234</v>
      </c>
      <c r="C328" s="106">
        <v>12</v>
      </c>
      <c r="D328" s="107">
        <v>99.34</v>
      </c>
      <c r="E328" s="107">
        <v>1.46</v>
      </c>
      <c r="F328" s="107">
        <v>4.95</v>
      </c>
    </row>
    <row r="329" spans="1:6" x14ac:dyDescent="0.3">
      <c r="A329" s="106" t="s">
        <v>3811</v>
      </c>
      <c r="B329" s="97" t="s">
        <v>6235</v>
      </c>
      <c r="C329" s="106">
        <v>3</v>
      </c>
      <c r="D329" s="107">
        <v>4051.66</v>
      </c>
      <c r="E329" s="107">
        <v>41.22</v>
      </c>
      <c r="F329" s="107">
        <v>19.97</v>
      </c>
    </row>
    <row r="330" spans="1:6" x14ac:dyDescent="0.3">
      <c r="A330" s="106" t="s">
        <v>4499</v>
      </c>
      <c r="B330" s="97" t="s">
        <v>6236</v>
      </c>
      <c r="C330" s="106">
        <v>12</v>
      </c>
      <c r="D330" s="107">
        <v>578.66999999999996</v>
      </c>
      <c r="E330" s="107">
        <v>18.489999999999998</v>
      </c>
      <c r="F330" s="107">
        <v>18.48</v>
      </c>
    </row>
    <row r="331" spans="1:6" x14ac:dyDescent="0.3">
      <c r="A331" s="106" t="s">
        <v>4500</v>
      </c>
      <c r="B331" s="97" t="s">
        <v>6237</v>
      </c>
      <c r="C331" s="106">
        <v>12</v>
      </c>
      <c r="D331" s="107">
        <v>80.73</v>
      </c>
      <c r="E331" s="107">
        <v>1.37</v>
      </c>
      <c r="F331" s="107">
        <v>1.34</v>
      </c>
    </row>
    <row r="332" spans="1:6" x14ac:dyDescent="0.3">
      <c r="A332" s="106" t="s">
        <v>4501</v>
      </c>
      <c r="B332" s="97" t="s">
        <v>6238</v>
      </c>
      <c r="C332" s="106">
        <v>12</v>
      </c>
      <c r="D332" s="107">
        <v>37.299999999999997</v>
      </c>
      <c r="E332" s="107">
        <v>-0.56000000000000005</v>
      </c>
      <c r="F332" s="107">
        <v>0.56000000000000005</v>
      </c>
    </row>
    <row r="333" spans="1:6" x14ac:dyDescent="0.3">
      <c r="A333" s="106" t="s">
        <v>4502</v>
      </c>
      <c r="B333" s="97" t="s">
        <v>6239</v>
      </c>
      <c r="C333" s="106">
        <v>12</v>
      </c>
      <c r="D333" s="107">
        <v>16.5</v>
      </c>
      <c r="E333" s="107">
        <v>-0.79</v>
      </c>
      <c r="F333" s="107">
        <v>0.64</v>
      </c>
    </row>
    <row r="334" spans="1:6" x14ac:dyDescent="0.3">
      <c r="A334" s="106" t="s">
        <v>4503</v>
      </c>
      <c r="B334" s="97" t="s">
        <v>6240</v>
      </c>
      <c r="C334" s="106">
        <v>12</v>
      </c>
      <c r="D334" s="107">
        <v>165.64</v>
      </c>
      <c r="E334" s="107">
        <v>-0.71</v>
      </c>
      <c r="F334" s="107">
        <v>2.16</v>
      </c>
    </row>
    <row r="335" spans="1:6" x14ac:dyDescent="0.3">
      <c r="A335" s="106" t="s">
        <v>3812</v>
      </c>
      <c r="B335" s="97" t="s">
        <v>6241</v>
      </c>
      <c r="C335" s="106">
        <v>12</v>
      </c>
      <c r="D335" s="107">
        <v>1505.42</v>
      </c>
      <c r="E335" s="107">
        <v>14.43</v>
      </c>
      <c r="F335" s="107">
        <v>40.89</v>
      </c>
    </row>
    <row r="336" spans="1:6" x14ac:dyDescent="0.3">
      <c r="A336" s="106" t="s">
        <v>4504</v>
      </c>
      <c r="B336" s="97" t="s">
        <v>6242</v>
      </c>
      <c r="C336" s="106">
        <v>12</v>
      </c>
      <c r="D336" s="107">
        <v>55.52</v>
      </c>
      <c r="E336" s="107">
        <v>0.03</v>
      </c>
      <c r="F336" s="107">
        <v>0.18</v>
      </c>
    </row>
    <row r="337" spans="1:6" x14ac:dyDescent="0.3">
      <c r="A337" s="106" t="s">
        <v>4505</v>
      </c>
      <c r="B337" s="97" t="s">
        <v>6243</v>
      </c>
      <c r="C337" s="106">
        <v>12</v>
      </c>
      <c r="D337" s="107">
        <v>27.28</v>
      </c>
      <c r="E337" s="107">
        <v>0.28000000000000003</v>
      </c>
      <c r="F337" s="107">
        <v>0.16</v>
      </c>
    </row>
    <row r="338" spans="1:6" x14ac:dyDescent="0.3">
      <c r="A338" s="106" t="s">
        <v>4506</v>
      </c>
      <c r="B338" s="97" t="s">
        <v>6244</v>
      </c>
      <c r="C338" s="106">
        <v>12</v>
      </c>
      <c r="D338" s="107">
        <v>450.17</v>
      </c>
      <c r="E338" s="107">
        <v>3.56</v>
      </c>
      <c r="F338" s="107">
        <v>2.99</v>
      </c>
    </row>
    <row r="339" spans="1:6" x14ac:dyDescent="0.3">
      <c r="A339" s="106" t="s">
        <v>4507</v>
      </c>
      <c r="B339" s="97" t="s">
        <v>6245</v>
      </c>
      <c r="C339" s="106">
        <v>12</v>
      </c>
      <c r="D339" s="107">
        <v>102.55</v>
      </c>
      <c r="E339" s="107">
        <v>3.98</v>
      </c>
      <c r="F339" s="107">
        <v>4.16</v>
      </c>
    </row>
    <row r="340" spans="1:6" x14ac:dyDescent="0.3">
      <c r="A340" s="106" t="s">
        <v>4508</v>
      </c>
      <c r="B340" s="97" t="s">
        <v>6246</v>
      </c>
      <c r="C340" s="106">
        <v>12</v>
      </c>
      <c r="D340" s="107">
        <v>219.87</v>
      </c>
      <c r="E340" s="107">
        <v>3.17</v>
      </c>
      <c r="F340" s="107">
        <v>5.62</v>
      </c>
    </row>
    <row r="341" spans="1:6" x14ac:dyDescent="0.3">
      <c r="A341" s="106" t="s">
        <v>4509</v>
      </c>
      <c r="B341" s="97" t="s">
        <v>6247</v>
      </c>
      <c r="C341" s="106">
        <v>12</v>
      </c>
      <c r="D341" s="107">
        <v>114.38</v>
      </c>
      <c r="E341" s="107">
        <v>-1.1399999999999999</v>
      </c>
      <c r="F341" s="107">
        <v>7.22</v>
      </c>
    </row>
    <row r="342" spans="1:6" x14ac:dyDescent="0.3">
      <c r="A342" s="106" t="s">
        <v>4510</v>
      </c>
      <c r="B342" s="97" t="s">
        <v>6248</v>
      </c>
      <c r="C342" s="106">
        <v>12</v>
      </c>
      <c r="D342" s="107">
        <v>672.29</v>
      </c>
      <c r="E342" s="107">
        <v>31.19</v>
      </c>
      <c r="F342" s="107">
        <v>23.19</v>
      </c>
    </row>
    <row r="343" spans="1:6" x14ac:dyDescent="0.3">
      <c r="A343" s="106" t="s">
        <v>4511</v>
      </c>
      <c r="B343" s="97" t="s">
        <v>6249</v>
      </c>
      <c r="C343" s="106">
        <v>6</v>
      </c>
      <c r="D343" s="107">
        <v>156.72</v>
      </c>
      <c r="E343" s="107">
        <v>6.82</v>
      </c>
      <c r="F343" s="107">
        <v>1.63</v>
      </c>
    </row>
    <row r="344" spans="1:6" x14ac:dyDescent="0.3">
      <c r="A344" s="106" t="s">
        <v>4512</v>
      </c>
      <c r="B344" s="97" t="s">
        <v>6250</v>
      </c>
      <c r="C344" s="106">
        <v>12</v>
      </c>
      <c r="D344" s="107">
        <v>567.21</v>
      </c>
      <c r="E344" s="107">
        <v>8.8800000000000008</v>
      </c>
      <c r="F344" s="107">
        <v>7.38</v>
      </c>
    </row>
    <row r="345" spans="1:6" x14ac:dyDescent="0.3">
      <c r="A345" s="106" t="s">
        <v>4513</v>
      </c>
      <c r="B345" s="97" t="s">
        <v>6251</v>
      </c>
      <c r="C345" s="106">
        <v>12</v>
      </c>
      <c r="D345" s="107">
        <v>55.79</v>
      </c>
      <c r="E345" s="107">
        <v>0.66</v>
      </c>
      <c r="F345" s="107">
        <v>1.81</v>
      </c>
    </row>
    <row r="346" spans="1:6" x14ac:dyDescent="0.3">
      <c r="A346" s="106" t="s">
        <v>4514</v>
      </c>
      <c r="B346" s="97" t="s">
        <v>6252</v>
      </c>
      <c r="C346" s="106">
        <v>12</v>
      </c>
      <c r="D346" s="107">
        <v>8.41</v>
      </c>
      <c r="E346" s="107">
        <v>-0.13</v>
      </c>
      <c r="F346" s="107">
        <v>0.14000000000000001</v>
      </c>
    </row>
    <row r="347" spans="1:6" x14ac:dyDescent="0.3">
      <c r="A347" s="106" t="s">
        <v>4515</v>
      </c>
      <c r="B347" s="97" t="s">
        <v>6253</v>
      </c>
      <c r="C347" s="106">
        <v>12</v>
      </c>
      <c r="D347" s="107">
        <v>40.4</v>
      </c>
      <c r="E347" s="107">
        <v>6.05</v>
      </c>
      <c r="F347" s="107">
        <v>1.99</v>
      </c>
    </row>
    <row r="348" spans="1:6" x14ac:dyDescent="0.3">
      <c r="A348" s="106" t="s">
        <v>4516</v>
      </c>
      <c r="B348" s="97" t="s">
        <v>6254</v>
      </c>
      <c r="C348" s="106">
        <v>9</v>
      </c>
      <c r="D348" s="107"/>
      <c r="E348" s="107"/>
      <c r="F348" s="107">
        <v>-4.05</v>
      </c>
    </row>
    <row r="349" spans="1:6" x14ac:dyDescent="0.3">
      <c r="A349" s="106" t="s">
        <v>4517</v>
      </c>
      <c r="B349" s="97" t="s">
        <v>6255</v>
      </c>
      <c r="C349" s="106">
        <v>12</v>
      </c>
      <c r="D349" s="107">
        <v>29.03</v>
      </c>
      <c r="E349" s="107">
        <v>0.34</v>
      </c>
      <c r="F349" s="107">
        <v>-0.61</v>
      </c>
    </row>
    <row r="350" spans="1:6" x14ac:dyDescent="0.3">
      <c r="A350" s="106" t="s">
        <v>4518</v>
      </c>
      <c r="B350" s="97" t="s">
        <v>6256</v>
      </c>
      <c r="C350" s="106">
        <v>12</v>
      </c>
      <c r="D350" s="107">
        <v>139.38</v>
      </c>
      <c r="E350" s="107">
        <v>2.87</v>
      </c>
      <c r="F350" s="107">
        <v>1.94</v>
      </c>
    </row>
    <row r="351" spans="1:6" x14ac:dyDescent="0.3">
      <c r="A351" s="106" t="s">
        <v>4519</v>
      </c>
      <c r="B351" s="97" t="s">
        <v>6257</v>
      </c>
      <c r="C351" s="106">
        <v>3</v>
      </c>
      <c r="D351" s="107">
        <v>181.88</v>
      </c>
      <c r="E351" s="107">
        <v>-0.47</v>
      </c>
      <c r="F351" s="107">
        <v>1.39</v>
      </c>
    </row>
    <row r="352" spans="1:6" x14ac:dyDescent="0.3">
      <c r="A352" s="106" t="s">
        <v>4520</v>
      </c>
      <c r="B352" s="97" t="s">
        <v>6258</v>
      </c>
      <c r="C352" s="106">
        <v>12</v>
      </c>
      <c r="D352" s="107">
        <v>122.9</v>
      </c>
      <c r="E352" s="107">
        <v>14.87</v>
      </c>
      <c r="F352" s="107">
        <v>2.86</v>
      </c>
    </row>
    <row r="353" spans="1:6" x14ac:dyDescent="0.3">
      <c r="A353" s="106" t="s">
        <v>4521</v>
      </c>
      <c r="B353" s="97" t="s">
        <v>6259</v>
      </c>
      <c r="C353" s="106">
        <v>12</v>
      </c>
      <c r="D353" s="107">
        <v>74.760000000000005</v>
      </c>
      <c r="E353" s="107">
        <v>0.53</v>
      </c>
      <c r="F353" s="107">
        <v>0.08</v>
      </c>
    </row>
    <row r="354" spans="1:6" x14ac:dyDescent="0.3">
      <c r="A354" s="106" t="s">
        <v>4522</v>
      </c>
      <c r="B354" s="97" t="s">
        <v>6260</v>
      </c>
      <c r="C354" s="106">
        <v>12</v>
      </c>
      <c r="D354" s="107">
        <v>24.93</v>
      </c>
      <c r="E354" s="107">
        <v>0.24</v>
      </c>
      <c r="F354" s="107">
        <v>1.22</v>
      </c>
    </row>
    <row r="355" spans="1:6" x14ac:dyDescent="0.3">
      <c r="A355" s="106" t="s">
        <v>3813</v>
      </c>
      <c r="B355" s="97" t="s">
        <v>6261</v>
      </c>
      <c r="C355" s="106">
        <v>12</v>
      </c>
      <c r="D355" s="107">
        <v>169.75</v>
      </c>
      <c r="E355" s="107">
        <v>6.24</v>
      </c>
      <c r="F355" s="107">
        <v>6.54</v>
      </c>
    </row>
    <row r="356" spans="1:6" x14ac:dyDescent="0.3">
      <c r="A356" s="106" t="s">
        <v>4523</v>
      </c>
      <c r="B356" s="97" t="s">
        <v>6262</v>
      </c>
      <c r="C356" s="106">
        <v>12</v>
      </c>
      <c r="D356" s="107">
        <v>341.36</v>
      </c>
      <c r="E356" s="107">
        <v>10.63</v>
      </c>
      <c r="F356" s="107">
        <v>11.85</v>
      </c>
    </row>
    <row r="357" spans="1:6" x14ac:dyDescent="0.3">
      <c r="A357" s="106" t="s">
        <v>4524</v>
      </c>
      <c r="B357" s="97" t="s">
        <v>6263</v>
      </c>
      <c r="C357" s="106">
        <v>12</v>
      </c>
      <c r="D357" s="107">
        <v>170.79</v>
      </c>
      <c r="E357" s="107">
        <v>0.45</v>
      </c>
      <c r="F357" s="107">
        <v>1.8</v>
      </c>
    </row>
    <row r="358" spans="1:6" x14ac:dyDescent="0.3">
      <c r="A358" s="106" t="s">
        <v>4525</v>
      </c>
      <c r="B358" s="97" t="s">
        <v>6264</v>
      </c>
      <c r="C358" s="106">
        <v>12</v>
      </c>
      <c r="D358" s="107">
        <v>72.33</v>
      </c>
      <c r="E358" s="107">
        <v>0.57999999999999996</v>
      </c>
      <c r="F358" s="107">
        <v>-1.25</v>
      </c>
    </row>
    <row r="359" spans="1:6" x14ac:dyDescent="0.3">
      <c r="A359" s="106" t="s">
        <v>4526</v>
      </c>
      <c r="B359" s="97" t="s">
        <v>6265</v>
      </c>
      <c r="C359" s="106">
        <v>12</v>
      </c>
      <c r="D359" s="107">
        <v>82.82</v>
      </c>
      <c r="E359" s="107">
        <v>0.49</v>
      </c>
      <c r="F359" s="107">
        <v>0.91</v>
      </c>
    </row>
    <row r="360" spans="1:6" x14ac:dyDescent="0.3">
      <c r="A360" s="106" t="s">
        <v>3814</v>
      </c>
      <c r="B360" s="97" t="s">
        <v>6266</v>
      </c>
      <c r="C360" s="106">
        <v>12</v>
      </c>
      <c r="D360" s="107">
        <v>294.7</v>
      </c>
      <c r="E360" s="107">
        <v>8.26</v>
      </c>
      <c r="F360" s="107">
        <v>9.6300000000000008</v>
      </c>
    </row>
    <row r="361" spans="1:6" x14ac:dyDescent="0.3">
      <c r="A361" s="106" t="s">
        <v>4527</v>
      </c>
      <c r="B361" s="97" t="s">
        <v>6267</v>
      </c>
      <c r="C361" s="106">
        <v>12</v>
      </c>
      <c r="D361" s="107">
        <v>44.28</v>
      </c>
      <c r="E361" s="107">
        <v>2</v>
      </c>
      <c r="F361" s="107">
        <v>2.54</v>
      </c>
    </row>
    <row r="362" spans="1:6" x14ac:dyDescent="0.3">
      <c r="A362" s="106" t="s">
        <v>4528</v>
      </c>
      <c r="B362" s="97" t="s">
        <v>6268</v>
      </c>
      <c r="C362" s="106">
        <v>12</v>
      </c>
      <c r="D362" s="107">
        <v>661.69</v>
      </c>
      <c r="E362" s="107">
        <v>30.64</v>
      </c>
      <c r="F362" s="107">
        <v>7.01</v>
      </c>
    </row>
    <row r="363" spans="1:6" x14ac:dyDescent="0.3">
      <c r="A363" s="106" t="s">
        <v>4529</v>
      </c>
      <c r="B363" s="97" t="s">
        <v>6269</v>
      </c>
      <c r="C363" s="106">
        <v>12</v>
      </c>
      <c r="D363" s="107">
        <v>95.87</v>
      </c>
      <c r="E363" s="107">
        <v>-2.08</v>
      </c>
      <c r="F363" s="107">
        <v>5.34</v>
      </c>
    </row>
    <row r="364" spans="1:6" x14ac:dyDescent="0.3">
      <c r="A364" s="106" t="s">
        <v>4530</v>
      </c>
      <c r="B364" s="97" t="s">
        <v>6270</v>
      </c>
      <c r="C364" s="106">
        <v>12</v>
      </c>
      <c r="D364" s="107">
        <v>313.77999999999997</v>
      </c>
      <c r="E364" s="107">
        <v>7.22</v>
      </c>
      <c r="F364" s="107">
        <v>10.38</v>
      </c>
    </row>
    <row r="365" spans="1:6" x14ac:dyDescent="0.3">
      <c r="A365" s="106" t="s">
        <v>4531</v>
      </c>
      <c r="B365" s="97" t="s">
        <v>6271</v>
      </c>
      <c r="C365" s="106">
        <v>12</v>
      </c>
      <c r="D365" s="107">
        <v>278.70999999999998</v>
      </c>
      <c r="E365" s="107">
        <v>5.83</v>
      </c>
      <c r="F365" s="107">
        <v>5.01</v>
      </c>
    </row>
    <row r="366" spans="1:6" x14ac:dyDescent="0.3">
      <c r="A366" s="106" t="s">
        <v>4532</v>
      </c>
      <c r="B366" s="97" t="s">
        <v>6272</v>
      </c>
      <c r="C366" s="106">
        <v>12</v>
      </c>
      <c r="D366" s="107">
        <v>168.95</v>
      </c>
      <c r="E366" s="107">
        <v>-1.3</v>
      </c>
      <c r="F366" s="107">
        <v>7.19</v>
      </c>
    </row>
    <row r="367" spans="1:6" x14ac:dyDescent="0.3">
      <c r="A367" s="106" t="s">
        <v>3815</v>
      </c>
      <c r="B367" s="97" t="s">
        <v>6273</v>
      </c>
      <c r="C367" s="106">
        <v>12</v>
      </c>
      <c r="D367" s="107">
        <v>429.05</v>
      </c>
      <c r="E367" s="107">
        <v>6.4</v>
      </c>
      <c r="F367" s="107">
        <v>15.1</v>
      </c>
    </row>
    <row r="368" spans="1:6" x14ac:dyDescent="0.3">
      <c r="A368" s="106" t="s">
        <v>4533</v>
      </c>
      <c r="B368" s="97" t="s">
        <v>6274</v>
      </c>
      <c r="C368" s="106">
        <v>12</v>
      </c>
      <c r="D368" s="107">
        <v>35.229999999999997</v>
      </c>
      <c r="E368" s="107">
        <v>2.23</v>
      </c>
      <c r="F368" s="107">
        <v>3.57</v>
      </c>
    </row>
    <row r="369" spans="1:6" x14ac:dyDescent="0.3">
      <c r="A369" s="106" t="s">
        <v>4534</v>
      </c>
      <c r="B369" s="97" t="s">
        <v>6275</v>
      </c>
      <c r="C369" s="106">
        <v>3</v>
      </c>
      <c r="D369" s="107">
        <v>94.63</v>
      </c>
      <c r="E369" s="107">
        <v>-1.04</v>
      </c>
      <c r="F369" s="107">
        <v>-1.46</v>
      </c>
    </row>
    <row r="370" spans="1:6" x14ac:dyDescent="0.3">
      <c r="A370" s="106" t="s">
        <v>4535</v>
      </c>
      <c r="B370" s="97" t="s">
        <v>6276</v>
      </c>
      <c r="C370" s="106">
        <v>12</v>
      </c>
      <c r="D370" s="107">
        <v>131.80000000000001</v>
      </c>
      <c r="E370" s="107">
        <v>4.8600000000000003</v>
      </c>
      <c r="F370" s="107">
        <v>6.86</v>
      </c>
    </row>
    <row r="371" spans="1:6" x14ac:dyDescent="0.3">
      <c r="A371" s="106" t="s">
        <v>4536</v>
      </c>
      <c r="B371" s="97" t="s">
        <v>6277</v>
      </c>
      <c r="C371" s="106">
        <v>12</v>
      </c>
      <c r="D371" s="107">
        <v>63.51</v>
      </c>
      <c r="E371" s="107">
        <v>3.53</v>
      </c>
      <c r="F371" s="107">
        <v>2.85</v>
      </c>
    </row>
    <row r="372" spans="1:6" x14ac:dyDescent="0.3">
      <c r="A372" s="106" t="s">
        <v>4537</v>
      </c>
      <c r="B372" s="97" t="s">
        <v>6278</v>
      </c>
      <c r="C372" s="106">
        <v>12</v>
      </c>
      <c r="D372" s="107">
        <v>22.47</v>
      </c>
      <c r="E372" s="107">
        <v>0.45</v>
      </c>
      <c r="F372" s="107">
        <v>0.44</v>
      </c>
    </row>
    <row r="373" spans="1:6" x14ac:dyDescent="0.3">
      <c r="A373" s="106" t="s">
        <v>4538</v>
      </c>
      <c r="B373" s="97" t="s">
        <v>6279</v>
      </c>
      <c r="C373" s="106">
        <v>12</v>
      </c>
      <c r="D373" s="107">
        <v>57.24</v>
      </c>
      <c r="E373" s="107">
        <v>-2.1</v>
      </c>
      <c r="F373" s="107">
        <v>-3.02</v>
      </c>
    </row>
    <row r="374" spans="1:6" x14ac:dyDescent="0.3">
      <c r="A374" s="106" t="s">
        <v>4539</v>
      </c>
      <c r="B374" s="97" t="s">
        <v>6280</v>
      </c>
      <c r="C374" s="106">
        <v>12</v>
      </c>
      <c r="D374" s="107">
        <v>61.04</v>
      </c>
      <c r="E374" s="107">
        <v>0.48</v>
      </c>
      <c r="F374" s="107">
        <v>2.6</v>
      </c>
    </row>
    <row r="375" spans="1:6" x14ac:dyDescent="0.3">
      <c r="A375" s="106" t="s">
        <v>4540</v>
      </c>
      <c r="B375" s="97" t="s">
        <v>6281</v>
      </c>
      <c r="C375" s="106">
        <v>12</v>
      </c>
      <c r="D375" s="107">
        <v>80.400000000000006</v>
      </c>
      <c r="E375" s="107">
        <v>0.75</v>
      </c>
      <c r="F375" s="107">
        <v>0.43</v>
      </c>
    </row>
    <row r="376" spans="1:6" x14ac:dyDescent="0.3">
      <c r="A376" s="106" t="s">
        <v>4541</v>
      </c>
      <c r="B376" s="97" t="s">
        <v>6282</v>
      </c>
      <c r="C376" s="106">
        <v>12</v>
      </c>
      <c r="D376" s="107">
        <v>48.4</v>
      </c>
      <c r="E376" s="107">
        <v>1.05</v>
      </c>
      <c r="F376" s="107">
        <v>2.44</v>
      </c>
    </row>
    <row r="377" spans="1:6" x14ac:dyDescent="0.3">
      <c r="A377" s="106" t="s">
        <v>4542</v>
      </c>
      <c r="B377" s="97" t="s">
        <v>6283</v>
      </c>
      <c r="C377" s="106">
        <v>12</v>
      </c>
      <c r="D377" s="107">
        <v>202.52</v>
      </c>
      <c r="E377" s="107">
        <v>5.19</v>
      </c>
      <c r="F377" s="107">
        <v>2.31</v>
      </c>
    </row>
    <row r="378" spans="1:6" x14ac:dyDescent="0.3">
      <c r="A378" s="106" t="s">
        <v>4543</v>
      </c>
      <c r="B378" s="97" t="s">
        <v>6284</v>
      </c>
      <c r="C378" s="106">
        <v>12</v>
      </c>
      <c r="D378" s="107">
        <v>50.88</v>
      </c>
      <c r="E378" s="107">
        <v>1.04</v>
      </c>
      <c r="F378" s="107">
        <v>-0.6</v>
      </c>
    </row>
    <row r="379" spans="1:6" x14ac:dyDescent="0.3">
      <c r="A379" s="106" t="s">
        <v>4544</v>
      </c>
      <c r="B379" s="97" t="s">
        <v>6285</v>
      </c>
      <c r="C379" s="106">
        <v>3</v>
      </c>
      <c r="D379" s="107">
        <v>711.66</v>
      </c>
      <c r="E379" s="107">
        <v>15.25</v>
      </c>
      <c r="F379" s="107">
        <v>14.71</v>
      </c>
    </row>
    <row r="380" spans="1:6" x14ac:dyDescent="0.3">
      <c r="A380" s="106" t="s">
        <v>4545</v>
      </c>
      <c r="B380" s="97" t="s">
        <v>6286</v>
      </c>
      <c r="C380" s="106">
        <v>12</v>
      </c>
      <c r="D380" s="107">
        <v>124.7</v>
      </c>
      <c r="E380" s="107">
        <v>2.17</v>
      </c>
      <c r="F380" s="107">
        <v>-0.71</v>
      </c>
    </row>
    <row r="381" spans="1:6" x14ac:dyDescent="0.3">
      <c r="A381" s="106" t="s">
        <v>4546</v>
      </c>
      <c r="B381" s="97" t="s">
        <v>6287</v>
      </c>
      <c r="C381" s="106">
        <v>12</v>
      </c>
      <c r="D381" s="107">
        <v>71.88</v>
      </c>
      <c r="E381" s="107">
        <v>-1.47</v>
      </c>
      <c r="F381" s="107">
        <v>-0.45</v>
      </c>
    </row>
    <row r="382" spans="1:6" x14ac:dyDescent="0.3">
      <c r="A382" s="106" t="s">
        <v>4547</v>
      </c>
      <c r="B382" s="97" t="s">
        <v>6288</v>
      </c>
      <c r="C382" s="106">
        <v>12</v>
      </c>
      <c r="D382" s="107">
        <v>52.19</v>
      </c>
      <c r="E382" s="107">
        <v>-0.23</v>
      </c>
      <c r="F382" s="107">
        <v>0.39</v>
      </c>
    </row>
    <row r="383" spans="1:6" x14ac:dyDescent="0.3">
      <c r="A383" s="106" t="s">
        <v>4548</v>
      </c>
      <c r="B383" s="97" t="s">
        <v>6289</v>
      </c>
      <c r="C383" s="106">
        <v>12</v>
      </c>
      <c r="D383" s="107">
        <v>300.7</v>
      </c>
      <c r="E383" s="107">
        <v>11.04</v>
      </c>
      <c r="F383" s="107">
        <v>5.93</v>
      </c>
    </row>
    <row r="384" spans="1:6" x14ac:dyDescent="0.3">
      <c r="A384" s="106" t="s">
        <v>3816</v>
      </c>
      <c r="B384" s="97" t="s">
        <v>6290</v>
      </c>
      <c r="C384" s="106">
        <v>12</v>
      </c>
      <c r="D384" s="107">
        <v>655.71</v>
      </c>
      <c r="E384" s="107">
        <v>7.37</v>
      </c>
      <c r="F384" s="107">
        <v>41.02</v>
      </c>
    </row>
    <row r="385" spans="1:6" x14ac:dyDescent="0.3">
      <c r="A385" s="106" t="s">
        <v>4549</v>
      </c>
      <c r="B385" s="97" t="s">
        <v>6291</v>
      </c>
      <c r="C385" s="106">
        <v>12</v>
      </c>
      <c r="D385" s="107">
        <v>31.5</v>
      </c>
      <c r="E385" s="107">
        <v>0.1</v>
      </c>
      <c r="F385" s="107">
        <v>-0.36</v>
      </c>
    </row>
    <row r="386" spans="1:6" x14ac:dyDescent="0.3">
      <c r="A386" s="106" t="s">
        <v>4550</v>
      </c>
      <c r="B386" s="97" t="s">
        <v>6292</v>
      </c>
      <c r="C386" s="106">
        <v>12</v>
      </c>
      <c r="D386" s="107">
        <v>50.99</v>
      </c>
      <c r="E386" s="107">
        <v>0.17</v>
      </c>
      <c r="F386" s="107">
        <v>0.14000000000000001</v>
      </c>
    </row>
    <row r="387" spans="1:6" x14ac:dyDescent="0.3">
      <c r="A387" s="106" t="s">
        <v>4551</v>
      </c>
      <c r="B387" s="97" t="s">
        <v>6293</v>
      </c>
      <c r="C387" s="106">
        <v>9</v>
      </c>
      <c r="D387" s="107">
        <v>76.38</v>
      </c>
      <c r="E387" s="107">
        <v>0.02</v>
      </c>
      <c r="F387" s="107">
        <v>-0.41</v>
      </c>
    </row>
    <row r="388" spans="1:6" x14ac:dyDescent="0.3">
      <c r="A388" s="106" t="s">
        <v>4552</v>
      </c>
      <c r="B388" s="97" t="s">
        <v>6294</v>
      </c>
      <c r="C388" s="106">
        <v>12</v>
      </c>
      <c r="D388" s="107">
        <v>-22.84</v>
      </c>
      <c r="E388" s="107">
        <v>-0.71</v>
      </c>
      <c r="F388" s="107">
        <v>-1.29</v>
      </c>
    </row>
    <row r="389" spans="1:6" x14ac:dyDescent="0.3">
      <c r="A389" s="106" t="s">
        <v>4553</v>
      </c>
      <c r="B389" s="97" t="s">
        <v>6295</v>
      </c>
      <c r="C389" s="106">
        <v>12</v>
      </c>
      <c r="D389" s="107">
        <v>409.45</v>
      </c>
      <c r="E389" s="107">
        <v>0.78</v>
      </c>
      <c r="F389" s="107">
        <v>0.67</v>
      </c>
    </row>
    <row r="390" spans="1:6" x14ac:dyDescent="0.3">
      <c r="A390" s="106" t="s">
        <v>4554</v>
      </c>
      <c r="B390" s="97" t="s">
        <v>6296</v>
      </c>
      <c r="C390" s="106">
        <v>12</v>
      </c>
      <c r="D390" s="107">
        <v>106.2</v>
      </c>
      <c r="E390" s="107">
        <v>-1.04</v>
      </c>
      <c r="F390" s="107">
        <v>2.13</v>
      </c>
    </row>
    <row r="391" spans="1:6" x14ac:dyDescent="0.3">
      <c r="A391" s="106" t="s">
        <v>4555</v>
      </c>
      <c r="B391" s="97" t="s">
        <v>6297</v>
      </c>
      <c r="C391" s="106">
        <v>12</v>
      </c>
      <c r="D391" s="107"/>
      <c r="E391" s="107"/>
      <c r="F391" s="107">
        <v>-0.18</v>
      </c>
    </row>
    <row r="392" spans="1:6" x14ac:dyDescent="0.3">
      <c r="A392" s="106" t="s">
        <v>4556</v>
      </c>
      <c r="B392" s="97" t="s">
        <v>6298</v>
      </c>
      <c r="C392" s="106">
        <v>12</v>
      </c>
      <c r="D392" s="107">
        <v>149.07</v>
      </c>
      <c r="E392" s="107">
        <v>4.4000000000000004</v>
      </c>
      <c r="F392" s="107">
        <v>2.35</v>
      </c>
    </row>
    <row r="393" spans="1:6" x14ac:dyDescent="0.3">
      <c r="A393" s="106" t="s">
        <v>4557</v>
      </c>
      <c r="B393" s="97" t="s">
        <v>6299</v>
      </c>
      <c r="C393" s="106">
        <v>12</v>
      </c>
      <c r="D393" s="107">
        <v>57.69</v>
      </c>
      <c r="E393" s="107">
        <v>0.2</v>
      </c>
      <c r="F393" s="107">
        <v>0.13</v>
      </c>
    </row>
    <row r="394" spans="1:6" x14ac:dyDescent="0.3">
      <c r="A394" s="106" t="s">
        <v>3817</v>
      </c>
      <c r="B394" s="97" t="s">
        <v>6300</v>
      </c>
      <c r="C394" s="106">
        <v>12</v>
      </c>
      <c r="D394" s="107">
        <v>4019.15</v>
      </c>
      <c r="E394" s="107">
        <v>113.15</v>
      </c>
      <c r="F394" s="107">
        <v>156.66</v>
      </c>
    </row>
    <row r="395" spans="1:6" x14ac:dyDescent="0.3">
      <c r="A395" s="106" t="s">
        <v>4558</v>
      </c>
      <c r="B395" s="97" t="s">
        <v>6301</v>
      </c>
      <c r="C395" s="106">
        <v>12</v>
      </c>
      <c r="D395" s="107">
        <v>191.12</v>
      </c>
      <c r="E395" s="107">
        <v>5.48</v>
      </c>
      <c r="F395" s="107">
        <v>7.54</v>
      </c>
    </row>
    <row r="396" spans="1:6" x14ac:dyDescent="0.3">
      <c r="A396" s="106" t="s">
        <v>4559</v>
      </c>
      <c r="B396" s="97" t="s">
        <v>6302</v>
      </c>
      <c r="C396" s="106">
        <v>12</v>
      </c>
      <c r="D396" s="107">
        <v>115.25</v>
      </c>
      <c r="E396" s="107">
        <v>3.49</v>
      </c>
      <c r="F396" s="107">
        <v>3.26</v>
      </c>
    </row>
    <row r="397" spans="1:6" x14ac:dyDescent="0.3">
      <c r="A397" s="106" t="s">
        <v>4560</v>
      </c>
      <c r="B397" s="97" t="s">
        <v>6303</v>
      </c>
      <c r="C397" s="106">
        <v>12</v>
      </c>
      <c r="D397" s="107">
        <v>14.98</v>
      </c>
      <c r="E397" s="107">
        <v>-0.91</v>
      </c>
      <c r="F397" s="107">
        <v>-7.31</v>
      </c>
    </row>
    <row r="398" spans="1:6" x14ac:dyDescent="0.3">
      <c r="A398" s="106" t="s">
        <v>4561</v>
      </c>
      <c r="B398" s="97" t="s">
        <v>6304</v>
      </c>
      <c r="C398" s="106">
        <v>12</v>
      </c>
      <c r="D398" s="107">
        <v>630.11</v>
      </c>
      <c r="E398" s="107">
        <v>21.02</v>
      </c>
      <c r="F398" s="107">
        <v>16.59</v>
      </c>
    </row>
    <row r="399" spans="1:6" x14ac:dyDescent="0.3">
      <c r="A399" s="106" t="s">
        <v>4562</v>
      </c>
      <c r="B399" s="97" t="s">
        <v>6305</v>
      </c>
      <c r="C399" s="106">
        <v>12</v>
      </c>
      <c r="D399" s="107">
        <v>218.28</v>
      </c>
      <c r="E399" s="107">
        <v>16.809999999999999</v>
      </c>
      <c r="F399" s="107">
        <v>10.210000000000001</v>
      </c>
    </row>
    <row r="400" spans="1:6" x14ac:dyDescent="0.3">
      <c r="A400" s="106" t="s">
        <v>4563</v>
      </c>
      <c r="B400" s="97" t="s">
        <v>6306</v>
      </c>
      <c r="C400" s="106">
        <v>12</v>
      </c>
      <c r="D400" s="107">
        <v>178.26</v>
      </c>
      <c r="E400" s="107">
        <v>-2.11</v>
      </c>
      <c r="F400" s="107">
        <v>0.32</v>
      </c>
    </row>
    <row r="401" spans="1:6" x14ac:dyDescent="0.3">
      <c r="A401" s="106" t="s">
        <v>4564</v>
      </c>
      <c r="B401" s="97" t="s">
        <v>6307</v>
      </c>
      <c r="C401" s="106">
        <v>12</v>
      </c>
      <c r="D401" s="107"/>
      <c r="E401" s="107"/>
      <c r="F401" s="107">
        <v>-0.25</v>
      </c>
    </row>
    <row r="402" spans="1:6" x14ac:dyDescent="0.3">
      <c r="A402" s="106" t="s">
        <v>4565</v>
      </c>
      <c r="B402" s="97" t="s">
        <v>6308</v>
      </c>
      <c r="C402" s="106">
        <v>12</v>
      </c>
      <c r="D402" s="107">
        <v>272.41000000000003</v>
      </c>
      <c r="E402" s="107">
        <v>7.9</v>
      </c>
      <c r="F402" s="107">
        <v>8.9499999999999993</v>
      </c>
    </row>
    <row r="403" spans="1:6" x14ac:dyDescent="0.3">
      <c r="A403" s="106" t="s">
        <v>4566</v>
      </c>
      <c r="B403" s="97" t="s">
        <v>6309</v>
      </c>
      <c r="C403" s="106">
        <v>12</v>
      </c>
      <c r="D403" s="107">
        <v>122.74</v>
      </c>
      <c r="E403" s="107">
        <v>1.9</v>
      </c>
      <c r="F403" s="107">
        <v>3.64</v>
      </c>
    </row>
    <row r="404" spans="1:6" x14ac:dyDescent="0.3">
      <c r="A404" s="106" t="s">
        <v>4567</v>
      </c>
      <c r="B404" s="97" t="s">
        <v>6310</v>
      </c>
      <c r="C404" s="106">
        <v>12</v>
      </c>
      <c r="D404" s="107">
        <v>88.57</v>
      </c>
      <c r="E404" s="107">
        <v>2.27</v>
      </c>
      <c r="F404" s="107">
        <v>-3.31</v>
      </c>
    </row>
    <row r="405" spans="1:6" x14ac:dyDescent="0.3">
      <c r="A405" s="106" t="s">
        <v>4568</v>
      </c>
      <c r="B405" s="97" t="s">
        <v>6311</v>
      </c>
      <c r="C405" s="106">
        <v>12</v>
      </c>
      <c r="D405" s="107">
        <v>16.66</v>
      </c>
      <c r="E405" s="107">
        <v>-0.04</v>
      </c>
      <c r="F405" s="107">
        <v>-0.83</v>
      </c>
    </row>
    <row r="406" spans="1:6" x14ac:dyDescent="0.3">
      <c r="A406" s="106" t="s">
        <v>4569</v>
      </c>
      <c r="B406" s="97" t="s">
        <v>6312</v>
      </c>
      <c r="C406" s="106">
        <v>12</v>
      </c>
      <c r="D406" s="107"/>
      <c r="E406" s="107"/>
      <c r="F406" s="107">
        <v>4.25</v>
      </c>
    </row>
    <row r="407" spans="1:6" x14ac:dyDescent="0.3">
      <c r="A407" s="106" t="s">
        <v>4570</v>
      </c>
      <c r="B407" s="97" t="s">
        <v>6313</v>
      </c>
      <c r="C407" s="106">
        <v>12</v>
      </c>
      <c r="D407" s="107">
        <v>1219.44</v>
      </c>
      <c r="E407" s="107">
        <v>8.1</v>
      </c>
      <c r="F407" s="107">
        <v>12.93</v>
      </c>
    </row>
    <row r="408" spans="1:6" x14ac:dyDescent="0.3">
      <c r="A408" s="106" t="s">
        <v>4571</v>
      </c>
      <c r="B408" s="97" t="s">
        <v>6314</v>
      </c>
      <c r="C408" s="106">
        <v>12</v>
      </c>
      <c r="D408" s="107">
        <v>80.72</v>
      </c>
      <c r="E408" s="107">
        <v>-1.78</v>
      </c>
      <c r="F408" s="107">
        <v>-1.42</v>
      </c>
    </row>
    <row r="409" spans="1:6" x14ac:dyDescent="0.3">
      <c r="A409" s="106" t="s">
        <v>4572</v>
      </c>
      <c r="B409" s="97" t="s">
        <v>6315</v>
      </c>
      <c r="C409" s="106">
        <v>12</v>
      </c>
      <c r="D409" s="107">
        <v>193.68</v>
      </c>
      <c r="E409" s="107">
        <v>8.35</v>
      </c>
      <c r="F409" s="107">
        <v>8.9</v>
      </c>
    </row>
    <row r="410" spans="1:6" x14ac:dyDescent="0.3">
      <c r="A410" s="106" t="s">
        <v>4573</v>
      </c>
      <c r="B410" s="97" t="s">
        <v>6316</v>
      </c>
      <c r="C410" s="106">
        <v>12</v>
      </c>
      <c r="D410" s="107">
        <v>182.07</v>
      </c>
      <c r="E410" s="107">
        <v>7.75</v>
      </c>
      <c r="F410" s="107">
        <v>1.44</v>
      </c>
    </row>
    <row r="411" spans="1:6" x14ac:dyDescent="0.3">
      <c r="A411" s="106" t="s">
        <v>4574</v>
      </c>
      <c r="B411" s="97" t="s">
        <v>6317</v>
      </c>
      <c r="C411" s="106">
        <v>12</v>
      </c>
      <c r="D411" s="107">
        <v>47.73</v>
      </c>
      <c r="E411" s="107">
        <v>0.23</v>
      </c>
      <c r="F411" s="107">
        <v>2.61</v>
      </c>
    </row>
    <row r="412" spans="1:6" x14ac:dyDescent="0.3">
      <c r="A412" s="106" t="s">
        <v>4575</v>
      </c>
      <c r="B412" s="97" t="s">
        <v>6318</v>
      </c>
      <c r="C412" s="106">
        <v>12</v>
      </c>
      <c r="D412" s="107">
        <v>39.950000000000003</v>
      </c>
      <c r="E412" s="107">
        <v>1.47</v>
      </c>
      <c r="F412" s="107">
        <v>0.66</v>
      </c>
    </row>
    <row r="413" spans="1:6" x14ac:dyDescent="0.3">
      <c r="A413" s="106" t="s">
        <v>3818</v>
      </c>
      <c r="B413" s="97" t="s">
        <v>6319</v>
      </c>
      <c r="C413" s="106">
        <v>12</v>
      </c>
      <c r="D413" s="107">
        <v>170.95</v>
      </c>
      <c r="E413" s="107">
        <v>3.12</v>
      </c>
      <c r="F413" s="107">
        <v>4.9800000000000004</v>
      </c>
    </row>
    <row r="414" spans="1:6" x14ac:dyDescent="0.3">
      <c r="A414" s="106" t="s">
        <v>3819</v>
      </c>
      <c r="B414" s="97" t="s">
        <v>6320</v>
      </c>
      <c r="C414" s="106">
        <v>12</v>
      </c>
      <c r="D414" s="107">
        <v>18999.91</v>
      </c>
      <c r="E414" s="107">
        <v>377.71</v>
      </c>
      <c r="F414" s="107">
        <v>358.58</v>
      </c>
    </row>
    <row r="415" spans="1:6" x14ac:dyDescent="0.3">
      <c r="A415" s="106" t="s">
        <v>4576</v>
      </c>
      <c r="B415" s="97" t="s">
        <v>6321</v>
      </c>
      <c r="C415" s="106">
        <v>12</v>
      </c>
      <c r="D415" s="107">
        <v>546.67999999999995</v>
      </c>
      <c r="E415" s="107">
        <v>15.49</v>
      </c>
      <c r="F415" s="107">
        <v>8.5</v>
      </c>
    </row>
    <row r="416" spans="1:6" x14ac:dyDescent="0.3">
      <c r="A416" s="106" t="s">
        <v>4577</v>
      </c>
      <c r="B416" s="97" t="s">
        <v>6322</v>
      </c>
      <c r="C416" s="106">
        <v>12</v>
      </c>
      <c r="D416" s="107">
        <v>44.82</v>
      </c>
      <c r="E416" s="107">
        <v>1.32</v>
      </c>
      <c r="F416" s="107">
        <v>3.42</v>
      </c>
    </row>
    <row r="417" spans="1:6" x14ac:dyDescent="0.3">
      <c r="A417" s="106" t="s">
        <v>4578</v>
      </c>
      <c r="B417" s="97" t="s">
        <v>6323</v>
      </c>
      <c r="C417" s="106">
        <v>12</v>
      </c>
      <c r="D417" s="107">
        <v>376.52</v>
      </c>
      <c r="E417" s="107">
        <v>6.18</v>
      </c>
      <c r="F417" s="107">
        <v>5.58</v>
      </c>
    </row>
    <row r="418" spans="1:6" x14ac:dyDescent="0.3">
      <c r="A418" s="106" t="s">
        <v>4579</v>
      </c>
      <c r="B418" s="97" t="s">
        <v>6324</v>
      </c>
      <c r="C418" s="106">
        <v>12</v>
      </c>
      <c r="D418" s="107">
        <v>17.100000000000001</v>
      </c>
      <c r="E418" s="107">
        <v>-0.89</v>
      </c>
      <c r="F418" s="107">
        <v>-1.22</v>
      </c>
    </row>
    <row r="419" spans="1:6" x14ac:dyDescent="0.3">
      <c r="A419" s="106" t="s">
        <v>4580</v>
      </c>
      <c r="B419" s="97" t="s">
        <v>6325</v>
      </c>
      <c r="C419" s="106">
        <v>12</v>
      </c>
      <c r="D419" s="107">
        <v>142.58000000000001</v>
      </c>
      <c r="E419" s="107">
        <v>2.6</v>
      </c>
      <c r="F419" s="107">
        <v>5.77</v>
      </c>
    </row>
    <row r="420" spans="1:6" x14ac:dyDescent="0.3">
      <c r="A420" s="106" t="s">
        <v>4581</v>
      </c>
      <c r="B420" s="97" t="s">
        <v>6326</v>
      </c>
      <c r="C420" s="106">
        <v>12</v>
      </c>
      <c r="D420" s="107">
        <v>37.549999999999997</v>
      </c>
      <c r="E420" s="107">
        <v>0.88</v>
      </c>
      <c r="F420" s="107">
        <v>1.58</v>
      </c>
    </row>
    <row r="421" spans="1:6" x14ac:dyDescent="0.3">
      <c r="A421" s="106" t="s">
        <v>4582</v>
      </c>
      <c r="B421" s="97" t="s">
        <v>6327</v>
      </c>
      <c r="C421" s="106">
        <v>12</v>
      </c>
      <c r="D421" s="107">
        <v>35.200000000000003</v>
      </c>
      <c r="E421" s="107">
        <v>-0.5</v>
      </c>
      <c r="F421" s="107">
        <v>-0.25</v>
      </c>
    </row>
    <row r="422" spans="1:6" x14ac:dyDescent="0.3">
      <c r="A422" s="106" t="s">
        <v>3820</v>
      </c>
      <c r="B422" s="97" t="s">
        <v>6328</v>
      </c>
      <c r="C422" s="106">
        <v>12</v>
      </c>
      <c r="D422" s="107">
        <v>4538.58</v>
      </c>
      <c r="E422" s="107">
        <v>-8.52</v>
      </c>
      <c r="F422" s="107">
        <v>45.12</v>
      </c>
    </row>
    <row r="423" spans="1:6" x14ac:dyDescent="0.3">
      <c r="A423" s="106" t="s">
        <v>4583</v>
      </c>
      <c r="B423" s="97" t="s">
        <v>6329</v>
      </c>
      <c r="C423" s="106">
        <v>12</v>
      </c>
      <c r="D423" s="107">
        <v>1113.31</v>
      </c>
      <c r="E423" s="107">
        <v>32.76</v>
      </c>
      <c r="F423" s="107">
        <v>65.28</v>
      </c>
    </row>
    <row r="424" spans="1:6" x14ac:dyDescent="0.3">
      <c r="A424" s="106" t="s">
        <v>4584</v>
      </c>
      <c r="B424" s="97" t="s">
        <v>6330</v>
      </c>
      <c r="C424" s="106">
        <v>12</v>
      </c>
      <c r="D424" s="107">
        <v>94.3</v>
      </c>
      <c r="E424" s="107">
        <v>4.0199999999999996</v>
      </c>
      <c r="F424" s="107">
        <v>2.92</v>
      </c>
    </row>
    <row r="425" spans="1:6" x14ac:dyDescent="0.3">
      <c r="A425" s="106" t="s">
        <v>4585</v>
      </c>
      <c r="B425" s="97" t="s">
        <v>6331</v>
      </c>
      <c r="C425" s="106">
        <v>3</v>
      </c>
      <c r="D425" s="107">
        <v>11.35</v>
      </c>
      <c r="E425" s="107">
        <v>-14.78</v>
      </c>
      <c r="F425" s="107">
        <v>-9.64</v>
      </c>
    </row>
    <row r="426" spans="1:6" x14ac:dyDescent="0.3">
      <c r="A426" s="106" t="s">
        <v>3821</v>
      </c>
      <c r="B426" s="97" t="s">
        <v>6332</v>
      </c>
      <c r="C426" s="106">
        <v>12</v>
      </c>
      <c r="D426" s="107">
        <v>3555.43</v>
      </c>
      <c r="E426" s="107">
        <v>-23.65</v>
      </c>
      <c r="F426" s="107">
        <v>90.89</v>
      </c>
    </row>
    <row r="427" spans="1:6" x14ac:dyDescent="0.3">
      <c r="A427" s="106" t="s">
        <v>4586</v>
      </c>
      <c r="B427" s="97" t="s">
        <v>6333</v>
      </c>
      <c r="C427" s="106">
        <v>12</v>
      </c>
      <c r="D427" s="107">
        <v>263.33</v>
      </c>
      <c r="E427" s="107">
        <v>6.01</v>
      </c>
      <c r="F427" s="107">
        <v>6.46</v>
      </c>
    </row>
    <row r="428" spans="1:6" x14ac:dyDescent="0.3">
      <c r="A428" s="106" t="s">
        <v>3822</v>
      </c>
      <c r="B428" s="97" t="s">
        <v>6334</v>
      </c>
      <c r="C428" s="106">
        <v>12</v>
      </c>
      <c r="D428" s="107">
        <v>824.43</v>
      </c>
      <c r="E428" s="107">
        <v>32.65</v>
      </c>
      <c r="F428" s="107">
        <v>56.11</v>
      </c>
    </row>
    <row r="429" spans="1:6" x14ac:dyDescent="0.3">
      <c r="A429" s="106" t="s">
        <v>3823</v>
      </c>
      <c r="B429" s="97" t="s">
        <v>6335</v>
      </c>
      <c r="C429" s="106">
        <v>12</v>
      </c>
      <c r="D429" s="107">
        <v>4060.71</v>
      </c>
      <c r="E429" s="107">
        <v>172.59</v>
      </c>
      <c r="F429" s="107">
        <v>243.93</v>
      </c>
    </row>
    <row r="430" spans="1:6" x14ac:dyDescent="0.3">
      <c r="A430" s="106" t="s">
        <v>3824</v>
      </c>
      <c r="B430" s="97" t="s">
        <v>6336</v>
      </c>
      <c r="C430" s="106">
        <v>12</v>
      </c>
      <c r="D430" s="107">
        <v>5510.89</v>
      </c>
      <c r="E430" s="107">
        <v>440.17</v>
      </c>
      <c r="F430" s="107">
        <v>288.24</v>
      </c>
    </row>
    <row r="431" spans="1:6" x14ac:dyDescent="0.3">
      <c r="A431" s="106" t="s">
        <v>4587</v>
      </c>
      <c r="B431" s="97" t="s">
        <v>6337</v>
      </c>
      <c r="C431" s="106">
        <v>12</v>
      </c>
      <c r="D431" s="107">
        <v>118.4</v>
      </c>
      <c r="E431" s="107">
        <v>-1.36</v>
      </c>
      <c r="F431" s="107">
        <v>3.46</v>
      </c>
    </row>
    <row r="432" spans="1:6" x14ac:dyDescent="0.3">
      <c r="A432" s="106" t="s">
        <v>4588</v>
      </c>
      <c r="B432" s="97" t="s">
        <v>6338</v>
      </c>
      <c r="C432" s="106">
        <v>12</v>
      </c>
      <c r="D432" s="107">
        <v>42.87</v>
      </c>
      <c r="E432" s="107">
        <v>1.82</v>
      </c>
      <c r="F432" s="107">
        <v>1.88</v>
      </c>
    </row>
    <row r="433" spans="1:6" x14ac:dyDescent="0.3">
      <c r="A433" s="106" t="s">
        <v>4589</v>
      </c>
      <c r="B433" s="97" t="s">
        <v>6339</v>
      </c>
      <c r="C433" s="106">
        <v>12</v>
      </c>
      <c r="D433" s="107">
        <v>42.59</v>
      </c>
      <c r="E433" s="107">
        <v>-3.47</v>
      </c>
      <c r="F433" s="107">
        <v>-0.92</v>
      </c>
    </row>
    <row r="434" spans="1:6" x14ac:dyDescent="0.3">
      <c r="A434" s="106" t="s">
        <v>4590</v>
      </c>
      <c r="B434" s="97" t="s">
        <v>6340</v>
      </c>
      <c r="C434" s="106">
        <v>12</v>
      </c>
      <c r="D434" s="107">
        <v>34.770000000000003</v>
      </c>
      <c r="E434" s="107">
        <v>0.56999999999999995</v>
      </c>
      <c r="F434" s="107">
        <v>-0.05</v>
      </c>
    </row>
    <row r="435" spans="1:6" x14ac:dyDescent="0.3">
      <c r="A435" s="106" t="s">
        <v>4591</v>
      </c>
      <c r="B435" s="97" t="s">
        <v>6341</v>
      </c>
      <c r="C435" s="106">
        <v>12</v>
      </c>
      <c r="D435" s="107">
        <v>577.62</v>
      </c>
      <c r="E435" s="107">
        <v>3.94</v>
      </c>
      <c r="F435" s="107">
        <v>13</v>
      </c>
    </row>
    <row r="436" spans="1:6" x14ac:dyDescent="0.3">
      <c r="A436" s="106" t="s">
        <v>4592</v>
      </c>
      <c r="B436" s="97" t="s">
        <v>6342</v>
      </c>
      <c r="C436" s="106">
        <v>12</v>
      </c>
      <c r="D436" s="107">
        <v>47.07</v>
      </c>
      <c r="E436" s="107">
        <v>-1.2</v>
      </c>
      <c r="F436" s="107">
        <v>3.11</v>
      </c>
    </row>
    <row r="437" spans="1:6" x14ac:dyDescent="0.3">
      <c r="A437" s="106" t="s">
        <v>3825</v>
      </c>
      <c r="B437" s="97" t="s">
        <v>6343</v>
      </c>
      <c r="C437" s="106">
        <v>12</v>
      </c>
      <c r="D437" s="107">
        <v>1917.56</v>
      </c>
      <c r="E437" s="107">
        <v>93.1</v>
      </c>
      <c r="F437" s="107">
        <v>118.33</v>
      </c>
    </row>
    <row r="438" spans="1:6" x14ac:dyDescent="0.3">
      <c r="A438" s="106" t="s">
        <v>4593</v>
      </c>
      <c r="B438" s="97" t="s">
        <v>6344</v>
      </c>
      <c r="C438" s="106">
        <v>12</v>
      </c>
      <c r="D438" s="107">
        <v>17.649999999999999</v>
      </c>
      <c r="E438" s="107">
        <v>-0.79</v>
      </c>
      <c r="F438" s="107">
        <v>-2.36</v>
      </c>
    </row>
    <row r="439" spans="1:6" x14ac:dyDescent="0.3">
      <c r="A439" s="106" t="s">
        <v>4594</v>
      </c>
      <c r="B439" s="97" t="s">
        <v>6345</v>
      </c>
      <c r="C439" s="106">
        <v>12</v>
      </c>
      <c r="D439" s="107">
        <v>37.31</v>
      </c>
      <c r="E439" s="107">
        <v>0.5</v>
      </c>
      <c r="F439" s="107">
        <v>0.9</v>
      </c>
    </row>
    <row r="440" spans="1:6" x14ac:dyDescent="0.3">
      <c r="A440" s="106" t="s">
        <v>3826</v>
      </c>
      <c r="B440" s="97" t="s">
        <v>6346</v>
      </c>
      <c r="C440" s="106">
        <v>12</v>
      </c>
      <c r="D440" s="107">
        <v>3199.75</v>
      </c>
      <c r="E440" s="107">
        <v>-10</v>
      </c>
      <c r="F440" s="107">
        <v>27.06</v>
      </c>
    </row>
    <row r="441" spans="1:6" x14ac:dyDescent="0.3">
      <c r="A441" s="106" t="s">
        <v>4595</v>
      </c>
      <c r="B441" s="97" t="s">
        <v>6347</v>
      </c>
      <c r="C441" s="106">
        <v>12</v>
      </c>
      <c r="D441" s="107">
        <v>15.68</v>
      </c>
      <c r="E441" s="107">
        <v>0.28999999999999998</v>
      </c>
      <c r="F441" s="107">
        <v>0.5</v>
      </c>
    </row>
    <row r="442" spans="1:6" x14ac:dyDescent="0.3">
      <c r="A442" s="106" t="s">
        <v>4596</v>
      </c>
      <c r="B442" s="97" t="s">
        <v>6348</v>
      </c>
      <c r="C442" s="106">
        <v>12</v>
      </c>
      <c r="D442" s="107">
        <v>116.32</v>
      </c>
      <c r="E442" s="107">
        <v>3.39</v>
      </c>
      <c r="F442" s="107">
        <v>3.81</v>
      </c>
    </row>
    <row r="443" spans="1:6" x14ac:dyDescent="0.3">
      <c r="A443" s="106" t="s">
        <v>4597</v>
      </c>
      <c r="B443" s="97" t="s">
        <v>6349</v>
      </c>
      <c r="C443" s="106">
        <v>12</v>
      </c>
      <c r="D443" s="107">
        <v>24.87</v>
      </c>
      <c r="E443" s="107">
        <v>0.82</v>
      </c>
      <c r="F443" s="107">
        <v>0.27</v>
      </c>
    </row>
    <row r="444" spans="1:6" x14ac:dyDescent="0.3">
      <c r="A444" s="106" t="s">
        <v>4598</v>
      </c>
      <c r="B444" s="97" t="s">
        <v>6350</v>
      </c>
      <c r="C444" s="106">
        <v>12</v>
      </c>
      <c r="D444" s="107">
        <v>388.48</v>
      </c>
      <c r="E444" s="107">
        <v>24.22</v>
      </c>
      <c r="F444" s="107">
        <v>6.33</v>
      </c>
    </row>
    <row r="445" spans="1:6" x14ac:dyDescent="0.3">
      <c r="A445" s="106" t="s">
        <v>4599</v>
      </c>
      <c r="B445" s="97" t="s">
        <v>6351</v>
      </c>
      <c r="C445" s="106">
        <v>12</v>
      </c>
      <c r="D445" s="107">
        <v>173.57</v>
      </c>
      <c r="E445" s="107">
        <v>1.4</v>
      </c>
      <c r="F445" s="107">
        <v>7.65</v>
      </c>
    </row>
    <row r="446" spans="1:6" x14ac:dyDescent="0.3">
      <c r="A446" s="106" t="s">
        <v>4600</v>
      </c>
      <c r="B446" s="97" t="s">
        <v>6352</v>
      </c>
      <c r="C446" s="106">
        <v>12</v>
      </c>
      <c r="D446" s="107">
        <v>405.09</v>
      </c>
      <c r="E446" s="107">
        <v>13.4</v>
      </c>
      <c r="F446" s="107">
        <v>8.5500000000000007</v>
      </c>
    </row>
    <row r="447" spans="1:6" x14ac:dyDescent="0.3">
      <c r="A447" s="106" t="s">
        <v>4601</v>
      </c>
      <c r="B447" s="97" t="s">
        <v>6353</v>
      </c>
      <c r="C447" s="106">
        <v>12</v>
      </c>
      <c r="D447" s="107">
        <v>67.209999999999994</v>
      </c>
      <c r="E447" s="107">
        <v>-0.08</v>
      </c>
      <c r="F447" s="107">
        <v>0.39</v>
      </c>
    </row>
    <row r="448" spans="1:6" x14ac:dyDescent="0.3">
      <c r="A448" s="106" t="s">
        <v>3827</v>
      </c>
      <c r="B448" s="97" t="s">
        <v>6354</v>
      </c>
      <c r="C448" s="106">
        <v>12</v>
      </c>
      <c r="D448" s="107">
        <v>5269.13</v>
      </c>
      <c r="E448" s="107">
        <v>326.83999999999997</v>
      </c>
      <c r="F448" s="107">
        <v>-150.03</v>
      </c>
    </row>
    <row r="449" spans="1:6" x14ac:dyDescent="0.3">
      <c r="A449" s="106" t="s">
        <v>4602</v>
      </c>
      <c r="B449" s="97" t="s">
        <v>6355</v>
      </c>
      <c r="C449" s="106">
        <v>12</v>
      </c>
      <c r="D449" s="107">
        <v>120.14</v>
      </c>
      <c r="E449" s="107">
        <v>2.17</v>
      </c>
      <c r="F449" s="107">
        <v>0.48</v>
      </c>
    </row>
    <row r="450" spans="1:6" x14ac:dyDescent="0.3">
      <c r="A450" s="106" t="s">
        <v>4603</v>
      </c>
      <c r="B450" s="97" t="s">
        <v>6356</v>
      </c>
      <c r="C450" s="106">
        <v>12</v>
      </c>
      <c r="D450" s="107">
        <v>25.16</v>
      </c>
      <c r="E450" s="107">
        <v>-1.87</v>
      </c>
      <c r="F450" s="107">
        <v>-1.06</v>
      </c>
    </row>
    <row r="451" spans="1:6" x14ac:dyDescent="0.3">
      <c r="A451" s="106" t="s">
        <v>4604</v>
      </c>
      <c r="B451" s="97" t="s">
        <v>6357</v>
      </c>
      <c r="C451" s="106">
        <v>12</v>
      </c>
      <c r="D451" s="107">
        <v>150.65</v>
      </c>
      <c r="E451" s="107">
        <v>8.6199999999999992</v>
      </c>
      <c r="F451" s="107">
        <v>8.1</v>
      </c>
    </row>
    <row r="452" spans="1:6" x14ac:dyDescent="0.3">
      <c r="A452" s="106" t="s">
        <v>3828</v>
      </c>
      <c r="B452" s="97" t="s">
        <v>6358</v>
      </c>
      <c r="C452" s="106">
        <v>12</v>
      </c>
      <c r="D452" s="107">
        <v>1265.1600000000001</v>
      </c>
      <c r="E452" s="107">
        <v>15.83</v>
      </c>
      <c r="F452" s="107">
        <v>15.24</v>
      </c>
    </row>
    <row r="453" spans="1:6" x14ac:dyDescent="0.3">
      <c r="A453" s="106" t="s">
        <v>4605</v>
      </c>
      <c r="B453" s="97" t="s">
        <v>6359</v>
      </c>
      <c r="C453" s="106">
        <v>12</v>
      </c>
      <c r="D453" s="107">
        <v>14.76</v>
      </c>
      <c r="E453" s="107">
        <v>0.12</v>
      </c>
      <c r="F453" s="107">
        <v>-7.32</v>
      </c>
    </row>
    <row r="454" spans="1:6" x14ac:dyDescent="0.3">
      <c r="A454" s="106" t="s">
        <v>4606</v>
      </c>
      <c r="B454" s="97" t="s">
        <v>6360</v>
      </c>
      <c r="C454" s="106">
        <v>12</v>
      </c>
      <c r="D454" s="107">
        <v>42.42</v>
      </c>
      <c r="E454" s="107">
        <v>1.08</v>
      </c>
      <c r="F454" s="107">
        <v>-1.4</v>
      </c>
    </row>
    <row r="455" spans="1:6" x14ac:dyDescent="0.3">
      <c r="A455" s="106" t="s">
        <v>4607</v>
      </c>
      <c r="B455" s="97" t="s">
        <v>6361</v>
      </c>
      <c r="C455" s="106">
        <v>12</v>
      </c>
      <c r="D455" s="107">
        <v>41.38</v>
      </c>
      <c r="E455" s="107">
        <v>2.33</v>
      </c>
      <c r="F455" s="107">
        <v>1.06</v>
      </c>
    </row>
    <row r="456" spans="1:6" x14ac:dyDescent="0.3">
      <c r="A456" s="106" t="s">
        <v>4608</v>
      </c>
      <c r="B456" s="97" t="s">
        <v>6362</v>
      </c>
      <c r="C456" s="106">
        <v>12</v>
      </c>
      <c r="D456" s="107">
        <v>616</v>
      </c>
      <c r="E456" s="107">
        <v>12.68</v>
      </c>
      <c r="F456" s="107">
        <v>14.49</v>
      </c>
    </row>
    <row r="457" spans="1:6" x14ac:dyDescent="0.3">
      <c r="A457" s="106" t="s">
        <v>3829</v>
      </c>
      <c r="B457" s="97" t="s">
        <v>6363</v>
      </c>
      <c r="C457" s="106">
        <v>12</v>
      </c>
      <c r="D457" s="107">
        <v>6238.14</v>
      </c>
      <c r="E457" s="107">
        <v>117.43</v>
      </c>
      <c r="F457" s="107">
        <v>-47.69</v>
      </c>
    </row>
    <row r="458" spans="1:6" x14ac:dyDescent="0.3">
      <c r="A458" s="106" t="s">
        <v>3830</v>
      </c>
      <c r="B458" s="97" t="s">
        <v>6364</v>
      </c>
      <c r="C458" s="106">
        <v>12</v>
      </c>
      <c r="D458" s="107">
        <v>942.27</v>
      </c>
      <c r="E458" s="107">
        <v>-127.98</v>
      </c>
      <c r="F458" s="107">
        <v>-86.39</v>
      </c>
    </row>
    <row r="459" spans="1:6" x14ac:dyDescent="0.3">
      <c r="A459" s="106" t="s">
        <v>3831</v>
      </c>
      <c r="B459" s="97" t="s">
        <v>6365</v>
      </c>
      <c r="C459" s="106">
        <v>12</v>
      </c>
      <c r="D459" s="107">
        <v>1973</v>
      </c>
      <c r="E459" s="107">
        <v>113.01</v>
      </c>
      <c r="F459" s="107">
        <v>127.12</v>
      </c>
    </row>
    <row r="460" spans="1:6" x14ac:dyDescent="0.3">
      <c r="A460" s="106" t="s">
        <v>4609</v>
      </c>
      <c r="B460" s="97" t="s">
        <v>6366</v>
      </c>
      <c r="C460" s="106">
        <v>12</v>
      </c>
      <c r="D460" s="107">
        <v>8.6199999999999992</v>
      </c>
      <c r="E460" s="107">
        <v>0.1</v>
      </c>
      <c r="F460" s="107">
        <v>-0.22</v>
      </c>
    </row>
    <row r="461" spans="1:6" x14ac:dyDescent="0.3">
      <c r="A461" s="106" t="s">
        <v>4610</v>
      </c>
      <c r="B461" s="97" t="s">
        <v>6367</v>
      </c>
      <c r="C461" s="106">
        <v>12</v>
      </c>
      <c r="D461" s="107">
        <v>350.13</v>
      </c>
      <c r="E461" s="107">
        <v>4.2</v>
      </c>
      <c r="F461" s="107">
        <v>8.0500000000000007</v>
      </c>
    </row>
    <row r="462" spans="1:6" x14ac:dyDescent="0.3">
      <c r="A462" s="106" t="s">
        <v>4611</v>
      </c>
      <c r="B462" s="97" t="s">
        <v>6368</v>
      </c>
      <c r="C462" s="106">
        <v>12</v>
      </c>
      <c r="D462" s="107">
        <v>105.8</v>
      </c>
      <c r="E462" s="107">
        <v>1.79</v>
      </c>
      <c r="F462" s="107">
        <v>1.23</v>
      </c>
    </row>
    <row r="463" spans="1:6" x14ac:dyDescent="0.3">
      <c r="A463" s="106" t="s">
        <v>4612</v>
      </c>
      <c r="B463" s="97" t="s">
        <v>6369</v>
      </c>
      <c r="C463" s="106">
        <v>12</v>
      </c>
      <c r="D463" s="107">
        <v>54.51</v>
      </c>
      <c r="E463" s="107">
        <v>3.23</v>
      </c>
      <c r="F463" s="107">
        <v>0.57999999999999996</v>
      </c>
    </row>
    <row r="464" spans="1:6" x14ac:dyDescent="0.3">
      <c r="A464" s="106" t="s">
        <v>4613</v>
      </c>
      <c r="B464" s="97" t="s">
        <v>6370</v>
      </c>
      <c r="C464" s="106">
        <v>12</v>
      </c>
      <c r="D464" s="107">
        <v>18.52</v>
      </c>
      <c r="E464" s="107">
        <v>-2.44</v>
      </c>
      <c r="F464" s="107">
        <v>-2.79</v>
      </c>
    </row>
    <row r="465" spans="1:6" x14ac:dyDescent="0.3">
      <c r="A465" s="106" t="s">
        <v>4614</v>
      </c>
      <c r="B465" s="97" t="s">
        <v>6371</v>
      </c>
      <c r="C465" s="106">
        <v>12</v>
      </c>
      <c r="D465" s="107">
        <v>81.63</v>
      </c>
      <c r="E465" s="107">
        <v>2.86</v>
      </c>
      <c r="F465" s="107">
        <v>0.26</v>
      </c>
    </row>
    <row r="466" spans="1:6" x14ac:dyDescent="0.3">
      <c r="A466" s="106" t="s">
        <v>4615</v>
      </c>
      <c r="B466" s="97" t="s">
        <v>6372</v>
      </c>
      <c r="C466" s="106">
        <v>12</v>
      </c>
      <c r="D466" s="107">
        <v>38.32</v>
      </c>
      <c r="E466" s="107">
        <v>-0.09</v>
      </c>
      <c r="F466" s="107">
        <v>0.37</v>
      </c>
    </row>
    <row r="467" spans="1:6" x14ac:dyDescent="0.3">
      <c r="A467" s="106" t="s">
        <v>4616</v>
      </c>
      <c r="B467" s="97" t="s">
        <v>6373</v>
      </c>
      <c r="C467" s="106">
        <v>12</v>
      </c>
      <c r="D467" s="107">
        <v>24.95</v>
      </c>
      <c r="E467" s="107">
        <v>-0.12</v>
      </c>
      <c r="F467" s="107">
        <v>0.4</v>
      </c>
    </row>
    <row r="468" spans="1:6" x14ac:dyDescent="0.3">
      <c r="A468" s="106" t="s">
        <v>4617</v>
      </c>
      <c r="B468" s="97" t="s">
        <v>6374</v>
      </c>
      <c r="C468" s="106">
        <v>12</v>
      </c>
      <c r="D468" s="107">
        <v>75.599999999999994</v>
      </c>
      <c r="E468" s="107">
        <v>3.31</v>
      </c>
      <c r="F468" s="107">
        <v>1.86</v>
      </c>
    </row>
    <row r="469" spans="1:6" x14ac:dyDescent="0.3">
      <c r="A469" s="106" t="s">
        <v>4618</v>
      </c>
      <c r="B469" s="97" t="s">
        <v>6375</v>
      </c>
      <c r="C469" s="106">
        <v>12</v>
      </c>
      <c r="D469" s="107">
        <v>81.209999999999994</v>
      </c>
      <c r="E469" s="107">
        <v>1.72</v>
      </c>
      <c r="F469" s="107">
        <v>0.84</v>
      </c>
    </row>
    <row r="470" spans="1:6" x14ac:dyDescent="0.3">
      <c r="A470" s="106" t="s">
        <v>4619</v>
      </c>
      <c r="B470" s="97" t="s">
        <v>6376</v>
      </c>
      <c r="C470" s="106">
        <v>12</v>
      </c>
      <c r="D470" s="107">
        <v>37.39</v>
      </c>
      <c r="E470" s="107">
        <v>0.19</v>
      </c>
      <c r="F470" s="107">
        <v>1.23</v>
      </c>
    </row>
    <row r="471" spans="1:6" x14ac:dyDescent="0.3">
      <c r="A471" s="106" t="s">
        <v>4620</v>
      </c>
      <c r="B471" s="97" t="s">
        <v>6377</v>
      </c>
      <c r="C471" s="106">
        <v>12</v>
      </c>
      <c r="D471" s="107">
        <v>51.05</v>
      </c>
      <c r="E471" s="107">
        <v>0.15</v>
      </c>
      <c r="F471" s="107">
        <v>1.22</v>
      </c>
    </row>
    <row r="472" spans="1:6" x14ac:dyDescent="0.3">
      <c r="A472" s="106" t="s">
        <v>4621</v>
      </c>
      <c r="B472" s="97" t="s">
        <v>6378</v>
      </c>
      <c r="C472" s="106">
        <v>12</v>
      </c>
      <c r="D472" s="107">
        <v>3.43</v>
      </c>
      <c r="E472" s="107">
        <v>-1.37</v>
      </c>
      <c r="F472" s="107">
        <v>-3.85</v>
      </c>
    </row>
    <row r="473" spans="1:6" x14ac:dyDescent="0.3">
      <c r="A473" s="106" t="s">
        <v>3832</v>
      </c>
      <c r="B473" s="97" t="s">
        <v>6379</v>
      </c>
      <c r="C473" s="106">
        <v>12</v>
      </c>
      <c r="D473" s="107">
        <v>413.52</v>
      </c>
      <c r="E473" s="107">
        <v>6.46</v>
      </c>
      <c r="F473" s="107">
        <v>19.059999999999999</v>
      </c>
    </row>
    <row r="474" spans="1:6" x14ac:dyDescent="0.3">
      <c r="A474" s="106" t="s">
        <v>3833</v>
      </c>
      <c r="B474" s="97" t="s">
        <v>6380</v>
      </c>
      <c r="C474" s="106">
        <v>12</v>
      </c>
      <c r="D474" s="107">
        <v>1636.16</v>
      </c>
      <c r="E474" s="107">
        <v>77.87</v>
      </c>
      <c r="F474" s="107">
        <v>26.15</v>
      </c>
    </row>
    <row r="475" spans="1:6" x14ac:dyDescent="0.3">
      <c r="A475" s="106" t="s">
        <v>3834</v>
      </c>
      <c r="B475" s="97" t="s">
        <v>6381</v>
      </c>
      <c r="C475" s="106">
        <v>12</v>
      </c>
      <c r="D475" s="107">
        <v>1187.81</v>
      </c>
      <c r="E475" s="107">
        <v>23.77</v>
      </c>
      <c r="F475" s="107">
        <v>44.58</v>
      </c>
    </row>
    <row r="476" spans="1:6" x14ac:dyDescent="0.3">
      <c r="A476" s="106" t="s">
        <v>4622</v>
      </c>
      <c r="B476" s="97" t="s">
        <v>6382</v>
      </c>
      <c r="C476" s="106">
        <v>12</v>
      </c>
      <c r="D476" s="107">
        <v>700.79</v>
      </c>
      <c r="E476" s="107">
        <v>-352.66</v>
      </c>
      <c r="F476" s="107">
        <v>-85.18</v>
      </c>
    </row>
    <row r="477" spans="1:6" x14ac:dyDescent="0.3">
      <c r="A477" s="106" t="s">
        <v>4623</v>
      </c>
      <c r="B477" s="97" t="s">
        <v>6383</v>
      </c>
      <c r="C477" s="106">
        <v>12</v>
      </c>
      <c r="D477" s="107">
        <v>59.3</v>
      </c>
      <c r="E477" s="107">
        <v>-6.22</v>
      </c>
      <c r="F477" s="107">
        <v>-10.86</v>
      </c>
    </row>
    <row r="478" spans="1:6" x14ac:dyDescent="0.3">
      <c r="A478" s="106" t="s">
        <v>4624</v>
      </c>
      <c r="B478" s="97" t="s">
        <v>6384</v>
      </c>
      <c r="C478" s="106">
        <v>12</v>
      </c>
      <c r="D478" s="107">
        <v>288.83999999999997</v>
      </c>
      <c r="E478" s="107">
        <v>2.44</v>
      </c>
      <c r="F478" s="107">
        <v>1.32</v>
      </c>
    </row>
    <row r="479" spans="1:6" x14ac:dyDescent="0.3">
      <c r="A479" s="106" t="s">
        <v>4625</v>
      </c>
      <c r="B479" s="97" t="s">
        <v>6385</v>
      </c>
      <c r="C479" s="106">
        <v>12</v>
      </c>
      <c r="D479" s="107">
        <v>178.42</v>
      </c>
      <c r="E479" s="107">
        <v>1.81</v>
      </c>
      <c r="F479" s="107">
        <v>0.75</v>
      </c>
    </row>
    <row r="480" spans="1:6" x14ac:dyDescent="0.3">
      <c r="A480" s="106" t="s">
        <v>4626</v>
      </c>
      <c r="B480" s="97" t="s">
        <v>6386</v>
      </c>
      <c r="C480" s="106">
        <v>12</v>
      </c>
      <c r="D480" s="107">
        <v>36.58</v>
      </c>
      <c r="E480" s="107">
        <v>-2.4700000000000002</v>
      </c>
      <c r="F480" s="107">
        <v>2.1800000000000002</v>
      </c>
    </row>
    <row r="481" spans="1:6" x14ac:dyDescent="0.3">
      <c r="A481" s="106" t="s">
        <v>4627</v>
      </c>
      <c r="B481" s="97" t="s">
        <v>6387</v>
      </c>
      <c r="C481" s="106">
        <v>12</v>
      </c>
      <c r="D481" s="107">
        <v>145.43</v>
      </c>
      <c r="E481" s="107">
        <v>2.4300000000000002</v>
      </c>
      <c r="F481" s="107">
        <v>4.16</v>
      </c>
    </row>
    <row r="482" spans="1:6" x14ac:dyDescent="0.3">
      <c r="A482" s="106" t="s">
        <v>4628</v>
      </c>
      <c r="B482" s="97" t="s">
        <v>6388</v>
      </c>
      <c r="C482" s="106">
        <v>12</v>
      </c>
      <c r="D482" s="107">
        <v>45.01</v>
      </c>
      <c r="E482" s="107">
        <v>1.02</v>
      </c>
      <c r="F482" s="107">
        <v>3.2</v>
      </c>
    </row>
    <row r="483" spans="1:6" x14ac:dyDescent="0.3">
      <c r="A483" s="106" t="s">
        <v>4629</v>
      </c>
      <c r="B483" s="97" t="s">
        <v>6389</v>
      </c>
      <c r="C483" s="106">
        <v>12</v>
      </c>
      <c r="D483" s="107">
        <v>461.11</v>
      </c>
      <c r="E483" s="107">
        <v>18.3</v>
      </c>
      <c r="F483" s="107">
        <v>8.0500000000000007</v>
      </c>
    </row>
    <row r="484" spans="1:6" x14ac:dyDescent="0.3">
      <c r="A484" s="106" t="s">
        <v>3835</v>
      </c>
      <c r="B484" s="97" t="s">
        <v>6390</v>
      </c>
      <c r="C484" s="106">
        <v>12</v>
      </c>
      <c r="D484" s="107">
        <v>17703.82</v>
      </c>
      <c r="E484" s="107">
        <v>634.49</v>
      </c>
      <c r="F484" s="107">
        <v>716.37</v>
      </c>
    </row>
    <row r="485" spans="1:6" x14ac:dyDescent="0.3">
      <c r="A485" s="106" t="s">
        <v>4630</v>
      </c>
      <c r="B485" s="97" t="s">
        <v>6391</v>
      </c>
      <c r="C485" s="106">
        <v>12</v>
      </c>
      <c r="D485" s="107">
        <v>20.64</v>
      </c>
      <c r="E485" s="107">
        <v>-0.36</v>
      </c>
      <c r="F485" s="107">
        <v>0.85</v>
      </c>
    </row>
    <row r="486" spans="1:6" x14ac:dyDescent="0.3">
      <c r="A486" s="106" t="s">
        <v>4631</v>
      </c>
      <c r="B486" s="97" t="s">
        <v>6392</v>
      </c>
      <c r="C486" s="106">
        <v>12</v>
      </c>
      <c r="D486" s="107"/>
      <c r="E486" s="107"/>
      <c r="F486" s="107">
        <v>-1.6</v>
      </c>
    </row>
    <row r="487" spans="1:6" x14ac:dyDescent="0.3">
      <c r="A487" s="106" t="s">
        <v>3836</v>
      </c>
      <c r="B487" s="97" t="s">
        <v>6393</v>
      </c>
      <c r="C487" s="106">
        <v>12</v>
      </c>
      <c r="D487" s="107">
        <v>1587.17</v>
      </c>
      <c r="E487" s="107">
        <v>25.18</v>
      </c>
      <c r="F487" s="107">
        <v>48.09</v>
      </c>
    </row>
    <row r="488" spans="1:6" x14ac:dyDescent="0.3">
      <c r="A488" s="106" t="s">
        <v>4632</v>
      </c>
      <c r="B488" s="97" t="s">
        <v>6394</v>
      </c>
      <c r="C488" s="106">
        <v>12</v>
      </c>
      <c r="D488" s="107">
        <v>83.11</v>
      </c>
      <c r="E488" s="107">
        <v>5.0999999999999996</v>
      </c>
      <c r="F488" s="107">
        <v>6.21</v>
      </c>
    </row>
    <row r="489" spans="1:6" x14ac:dyDescent="0.3">
      <c r="A489" s="106" t="s">
        <v>4633</v>
      </c>
      <c r="B489" s="97" t="s">
        <v>6395</v>
      </c>
      <c r="C489" s="106">
        <v>12</v>
      </c>
      <c r="D489" s="107">
        <v>80.61</v>
      </c>
      <c r="E489" s="107">
        <v>-5.38</v>
      </c>
      <c r="F489" s="107">
        <v>-3.58</v>
      </c>
    </row>
    <row r="490" spans="1:6" x14ac:dyDescent="0.3">
      <c r="A490" s="106" t="s">
        <v>4634</v>
      </c>
      <c r="B490" s="97" t="s">
        <v>6396</v>
      </c>
      <c r="C490" s="106">
        <v>12</v>
      </c>
      <c r="D490" s="107">
        <v>181.01</v>
      </c>
      <c r="E490" s="107">
        <v>1.1100000000000001</v>
      </c>
      <c r="F490" s="107">
        <v>1.49</v>
      </c>
    </row>
    <row r="491" spans="1:6" x14ac:dyDescent="0.3">
      <c r="A491" s="106" t="s">
        <v>4635</v>
      </c>
      <c r="B491" s="97" t="s">
        <v>6397</v>
      </c>
      <c r="C491" s="106">
        <v>12</v>
      </c>
      <c r="D491" s="107">
        <v>75.17</v>
      </c>
      <c r="E491" s="107">
        <v>2.64</v>
      </c>
      <c r="F491" s="107">
        <v>3.03</v>
      </c>
    </row>
    <row r="492" spans="1:6" x14ac:dyDescent="0.3">
      <c r="A492" s="106" t="s">
        <v>3837</v>
      </c>
      <c r="B492" s="97" t="s">
        <v>6398</v>
      </c>
      <c r="C492" s="106">
        <v>12</v>
      </c>
      <c r="D492" s="107">
        <v>2407.8200000000002</v>
      </c>
      <c r="E492" s="107">
        <v>29.19</v>
      </c>
      <c r="F492" s="107">
        <v>-32.65</v>
      </c>
    </row>
    <row r="493" spans="1:6" x14ac:dyDescent="0.3">
      <c r="A493" s="106" t="s">
        <v>4636</v>
      </c>
      <c r="B493" s="97" t="s">
        <v>6399</v>
      </c>
      <c r="C493" s="106">
        <v>12</v>
      </c>
      <c r="D493" s="107">
        <v>25.7</v>
      </c>
      <c r="E493" s="107">
        <v>1.54</v>
      </c>
      <c r="F493" s="107">
        <v>-38.75</v>
      </c>
    </row>
    <row r="494" spans="1:6" x14ac:dyDescent="0.3">
      <c r="A494" s="106" t="s">
        <v>4637</v>
      </c>
      <c r="B494" s="97" t="s">
        <v>6400</v>
      </c>
      <c r="C494" s="106">
        <v>12</v>
      </c>
      <c r="D494" s="107">
        <v>49.48</v>
      </c>
      <c r="E494" s="107">
        <v>1.63</v>
      </c>
      <c r="F494" s="107">
        <v>3.49</v>
      </c>
    </row>
    <row r="495" spans="1:6" x14ac:dyDescent="0.3">
      <c r="A495" s="106" t="s">
        <v>4638</v>
      </c>
      <c r="B495" s="97" t="s">
        <v>6401</v>
      </c>
      <c r="C495" s="106">
        <v>12</v>
      </c>
      <c r="D495" s="107">
        <v>154</v>
      </c>
      <c r="E495" s="107">
        <v>9.58</v>
      </c>
      <c r="F495" s="107">
        <v>13.95</v>
      </c>
    </row>
    <row r="496" spans="1:6" x14ac:dyDescent="0.3">
      <c r="A496" s="106" t="s">
        <v>3838</v>
      </c>
      <c r="B496" s="97" t="s">
        <v>6402</v>
      </c>
      <c r="C496" s="106">
        <v>12</v>
      </c>
      <c r="D496" s="107">
        <v>787.33</v>
      </c>
      <c r="E496" s="107">
        <v>29.65</v>
      </c>
      <c r="F496" s="107">
        <v>33.340000000000003</v>
      </c>
    </row>
    <row r="497" spans="1:6" x14ac:dyDescent="0.3">
      <c r="A497" s="106" t="s">
        <v>4639</v>
      </c>
      <c r="B497" s="97" t="s">
        <v>6403</v>
      </c>
      <c r="C497" s="106">
        <v>12</v>
      </c>
      <c r="D497" s="107">
        <v>56.02</v>
      </c>
      <c r="E497" s="107">
        <v>2.0099999999999998</v>
      </c>
      <c r="F497" s="107">
        <v>1.67</v>
      </c>
    </row>
    <row r="498" spans="1:6" x14ac:dyDescent="0.3">
      <c r="A498" s="106" t="s">
        <v>4640</v>
      </c>
      <c r="B498" s="97" t="s">
        <v>6404</v>
      </c>
      <c r="C498" s="106">
        <v>12</v>
      </c>
      <c r="D498" s="107">
        <v>178.07</v>
      </c>
      <c r="E498" s="107">
        <v>0.56000000000000005</v>
      </c>
      <c r="F498" s="107">
        <v>4.67</v>
      </c>
    </row>
    <row r="499" spans="1:6" x14ac:dyDescent="0.3">
      <c r="A499" s="106" t="s">
        <v>4641</v>
      </c>
      <c r="B499" s="97" t="s">
        <v>6405</v>
      </c>
      <c r="C499" s="106">
        <v>12</v>
      </c>
      <c r="D499" s="107">
        <v>125.64</v>
      </c>
      <c r="E499" s="107">
        <v>6.88</v>
      </c>
      <c r="F499" s="107">
        <v>-8.01</v>
      </c>
    </row>
    <row r="500" spans="1:6" x14ac:dyDescent="0.3">
      <c r="A500" s="106" t="s">
        <v>4642</v>
      </c>
      <c r="B500" s="97" t="s">
        <v>6406</v>
      </c>
      <c r="C500" s="106">
        <v>12</v>
      </c>
      <c r="D500" s="107">
        <v>29.81</v>
      </c>
      <c r="E500" s="107">
        <v>0.41</v>
      </c>
      <c r="F500" s="107">
        <v>0.63</v>
      </c>
    </row>
    <row r="501" spans="1:6" x14ac:dyDescent="0.3">
      <c r="A501" s="106" t="s">
        <v>3839</v>
      </c>
      <c r="B501" s="97" t="s">
        <v>6407</v>
      </c>
      <c r="C501" s="106">
        <v>12</v>
      </c>
      <c r="D501" s="107">
        <v>191.06</v>
      </c>
      <c r="E501" s="107">
        <v>8.99</v>
      </c>
      <c r="F501" s="107">
        <v>9.75</v>
      </c>
    </row>
    <row r="502" spans="1:6" x14ac:dyDescent="0.3">
      <c r="A502" s="106" t="s">
        <v>4643</v>
      </c>
      <c r="B502" s="97" t="s">
        <v>6408</v>
      </c>
      <c r="C502" s="106">
        <v>12</v>
      </c>
      <c r="D502" s="107">
        <v>246.27</v>
      </c>
      <c r="E502" s="107">
        <v>8.6199999999999992</v>
      </c>
      <c r="F502" s="107">
        <v>13.93</v>
      </c>
    </row>
    <row r="503" spans="1:6" x14ac:dyDescent="0.3">
      <c r="A503" s="106" t="s">
        <v>4644</v>
      </c>
      <c r="B503" s="97" t="s">
        <v>6409</v>
      </c>
      <c r="C503" s="106">
        <v>12</v>
      </c>
      <c r="D503" s="107">
        <v>47.57</v>
      </c>
      <c r="E503" s="107">
        <v>0.48</v>
      </c>
      <c r="F503" s="107">
        <v>1.88</v>
      </c>
    </row>
    <row r="504" spans="1:6" x14ac:dyDescent="0.3">
      <c r="A504" s="106" t="s">
        <v>4645</v>
      </c>
      <c r="B504" s="97" t="s">
        <v>6410</v>
      </c>
      <c r="C504" s="106">
        <v>12</v>
      </c>
      <c r="D504" s="107">
        <v>132.82</v>
      </c>
      <c r="E504" s="107">
        <v>2.04</v>
      </c>
      <c r="F504" s="107">
        <v>2.67</v>
      </c>
    </row>
    <row r="505" spans="1:6" x14ac:dyDescent="0.3">
      <c r="A505" s="106" t="s">
        <v>4646</v>
      </c>
      <c r="B505" s="97" t="s">
        <v>6411</v>
      </c>
      <c r="C505" s="106">
        <v>12</v>
      </c>
      <c r="D505" s="107">
        <v>65.8</v>
      </c>
      <c r="E505" s="107">
        <v>3.7</v>
      </c>
      <c r="F505" s="107">
        <v>3.1</v>
      </c>
    </row>
    <row r="506" spans="1:6" x14ac:dyDescent="0.3">
      <c r="A506" s="106" t="s">
        <v>4647</v>
      </c>
      <c r="B506" s="97" t="s">
        <v>6412</v>
      </c>
      <c r="C506" s="106">
        <v>12</v>
      </c>
      <c r="D506" s="107">
        <v>249.82</v>
      </c>
      <c r="E506" s="107">
        <v>10.37</v>
      </c>
      <c r="F506" s="107">
        <v>13.31</v>
      </c>
    </row>
    <row r="507" spans="1:6" x14ac:dyDescent="0.3">
      <c r="A507" s="106" t="s">
        <v>3840</v>
      </c>
      <c r="B507" s="97" t="s">
        <v>6413</v>
      </c>
      <c r="C507" s="106">
        <v>12</v>
      </c>
      <c r="D507" s="107">
        <v>320.47000000000003</v>
      </c>
      <c r="E507" s="107">
        <v>10.19</v>
      </c>
      <c r="F507" s="107">
        <v>15.89</v>
      </c>
    </row>
    <row r="508" spans="1:6" x14ac:dyDescent="0.3">
      <c r="A508" s="106" t="s">
        <v>4648</v>
      </c>
      <c r="B508" s="97" t="s">
        <v>6414</v>
      </c>
      <c r="C508" s="106">
        <v>12</v>
      </c>
      <c r="D508" s="107">
        <v>518.5</v>
      </c>
      <c r="E508" s="107">
        <v>7.11</v>
      </c>
      <c r="F508" s="107">
        <v>5.23</v>
      </c>
    </row>
    <row r="509" spans="1:6" x14ac:dyDescent="0.3">
      <c r="A509" s="106" t="s">
        <v>4649</v>
      </c>
      <c r="B509" s="97" t="s">
        <v>6415</v>
      </c>
      <c r="C509" s="106">
        <v>12</v>
      </c>
      <c r="D509" s="107">
        <v>45.96</v>
      </c>
      <c r="E509" s="107">
        <v>0.44</v>
      </c>
      <c r="F509" s="107">
        <v>1.63</v>
      </c>
    </row>
    <row r="510" spans="1:6" x14ac:dyDescent="0.3">
      <c r="A510" s="106" t="s">
        <v>4650</v>
      </c>
      <c r="B510" s="97" t="s">
        <v>6416</v>
      </c>
      <c r="C510" s="106">
        <v>12</v>
      </c>
      <c r="D510" s="107">
        <v>15.52</v>
      </c>
      <c r="E510" s="107">
        <v>0.24</v>
      </c>
      <c r="F510" s="107">
        <v>0.51</v>
      </c>
    </row>
    <row r="511" spans="1:6" x14ac:dyDescent="0.3">
      <c r="A511" s="106" t="s">
        <v>4651</v>
      </c>
      <c r="B511" s="97" t="s">
        <v>6417</v>
      </c>
      <c r="C511" s="106">
        <v>12</v>
      </c>
      <c r="D511" s="107"/>
      <c r="E511" s="107"/>
      <c r="F511" s="107">
        <v>-1.93</v>
      </c>
    </row>
    <row r="512" spans="1:6" x14ac:dyDescent="0.3">
      <c r="A512" s="106" t="s">
        <v>4652</v>
      </c>
      <c r="B512" s="97" t="s">
        <v>6418</v>
      </c>
      <c r="C512" s="106">
        <v>12</v>
      </c>
      <c r="D512" s="107">
        <v>26.77</v>
      </c>
      <c r="E512" s="107">
        <v>0.62</v>
      </c>
      <c r="F512" s="107">
        <v>1.6</v>
      </c>
    </row>
    <row r="513" spans="1:6" x14ac:dyDescent="0.3">
      <c r="A513" s="106" t="s">
        <v>4653</v>
      </c>
      <c r="B513" s="97" t="s">
        <v>6419</v>
      </c>
      <c r="C513" s="106">
        <v>12</v>
      </c>
      <c r="D513" s="107">
        <v>149.16999999999999</v>
      </c>
      <c r="E513" s="107">
        <v>2.04</v>
      </c>
      <c r="F513" s="107">
        <v>-4</v>
      </c>
    </row>
    <row r="514" spans="1:6" x14ac:dyDescent="0.3">
      <c r="A514" s="106" t="s">
        <v>4654</v>
      </c>
      <c r="B514" s="97" t="s">
        <v>6420</v>
      </c>
      <c r="C514" s="106">
        <v>12</v>
      </c>
      <c r="D514" s="107">
        <v>34.04</v>
      </c>
      <c r="E514" s="107">
        <v>-0.95</v>
      </c>
      <c r="F514" s="107">
        <v>0.81</v>
      </c>
    </row>
    <row r="515" spans="1:6" x14ac:dyDescent="0.3">
      <c r="A515" s="106" t="s">
        <v>4655</v>
      </c>
      <c r="B515" s="97" t="s">
        <v>6421</v>
      </c>
      <c r="C515" s="106">
        <v>12</v>
      </c>
      <c r="D515" s="107">
        <v>22.26</v>
      </c>
      <c r="E515" s="107">
        <v>0.38</v>
      </c>
      <c r="F515" s="107">
        <v>2.0699999999999998</v>
      </c>
    </row>
    <row r="516" spans="1:6" x14ac:dyDescent="0.3">
      <c r="A516" s="106" t="s">
        <v>4656</v>
      </c>
      <c r="B516" s="97" t="s">
        <v>6422</v>
      </c>
      <c r="C516" s="106">
        <v>12</v>
      </c>
      <c r="D516" s="107">
        <v>115.4</v>
      </c>
      <c r="E516" s="107">
        <v>3.97</v>
      </c>
      <c r="F516" s="107">
        <v>4.3</v>
      </c>
    </row>
    <row r="517" spans="1:6" x14ac:dyDescent="0.3">
      <c r="A517" s="106" t="s">
        <v>4657</v>
      </c>
      <c r="B517" s="97" t="s">
        <v>6423</v>
      </c>
      <c r="C517" s="106">
        <v>12</v>
      </c>
      <c r="D517" s="107">
        <v>54.03</v>
      </c>
      <c r="E517" s="107">
        <v>0.97</v>
      </c>
      <c r="F517" s="107">
        <v>2.42</v>
      </c>
    </row>
    <row r="518" spans="1:6" x14ac:dyDescent="0.3">
      <c r="A518" s="106" t="s">
        <v>4658</v>
      </c>
      <c r="B518" s="97" t="s">
        <v>6424</v>
      </c>
      <c r="C518" s="106">
        <v>12</v>
      </c>
      <c r="D518" s="107">
        <v>64.13</v>
      </c>
      <c r="E518" s="107">
        <v>0.5</v>
      </c>
      <c r="F518" s="107">
        <v>1.26</v>
      </c>
    </row>
    <row r="519" spans="1:6" x14ac:dyDescent="0.3">
      <c r="A519" s="106" t="s">
        <v>4659</v>
      </c>
      <c r="B519" s="97" t="s">
        <v>6425</v>
      </c>
      <c r="C519" s="106">
        <v>12</v>
      </c>
      <c r="D519" s="107">
        <v>205.35</v>
      </c>
      <c r="E519" s="107">
        <v>4.8099999999999996</v>
      </c>
      <c r="F519" s="107">
        <v>4.2</v>
      </c>
    </row>
    <row r="520" spans="1:6" x14ac:dyDescent="0.3">
      <c r="A520" s="106" t="s">
        <v>4660</v>
      </c>
      <c r="B520" s="97" t="s">
        <v>6426</v>
      </c>
      <c r="C520" s="106">
        <v>12</v>
      </c>
      <c r="D520" s="107"/>
      <c r="E520" s="107"/>
      <c r="F520" s="107">
        <v>0.31</v>
      </c>
    </row>
    <row r="521" spans="1:6" x14ac:dyDescent="0.3">
      <c r="A521" s="106" t="s">
        <v>4661</v>
      </c>
      <c r="B521" s="97" t="s">
        <v>6427</v>
      </c>
      <c r="C521" s="106">
        <v>12</v>
      </c>
      <c r="D521" s="107">
        <v>31.21</v>
      </c>
      <c r="E521" s="107">
        <v>-6.76</v>
      </c>
      <c r="F521" s="107">
        <v>-8.2200000000000006</v>
      </c>
    </row>
    <row r="522" spans="1:6" x14ac:dyDescent="0.3">
      <c r="A522" s="106" t="s">
        <v>4662</v>
      </c>
      <c r="B522" s="97" t="s">
        <v>6428</v>
      </c>
      <c r="C522" s="106">
        <v>12</v>
      </c>
      <c r="D522" s="107">
        <v>90.88</v>
      </c>
      <c r="E522" s="107">
        <v>2.4700000000000002</v>
      </c>
      <c r="F522" s="107">
        <v>2.5</v>
      </c>
    </row>
    <row r="523" spans="1:6" x14ac:dyDescent="0.3">
      <c r="A523" s="106" t="s">
        <v>4663</v>
      </c>
      <c r="B523" s="97" t="s">
        <v>6429</v>
      </c>
      <c r="C523" s="106">
        <v>12</v>
      </c>
      <c r="D523" s="107">
        <v>146.57</v>
      </c>
      <c r="E523" s="107">
        <v>6.18</v>
      </c>
      <c r="F523" s="107">
        <v>1.95</v>
      </c>
    </row>
    <row r="524" spans="1:6" x14ac:dyDescent="0.3">
      <c r="A524" s="106" t="s">
        <v>4664</v>
      </c>
      <c r="B524" s="97" t="s">
        <v>6430</v>
      </c>
      <c r="C524" s="106">
        <v>12</v>
      </c>
      <c r="D524" s="107">
        <v>105.13</v>
      </c>
      <c r="E524" s="107">
        <v>4.75</v>
      </c>
      <c r="F524" s="107">
        <v>5.43</v>
      </c>
    </row>
    <row r="525" spans="1:6" x14ac:dyDescent="0.3">
      <c r="A525" s="106" t="s">
        <v>4665</v>
      </c>
      <c r="B525" s="97" t="s">
        <v>6431</v>
      </c>
      <c r="C525" s="106">
        <v>12</v>
      </c>
      <c r="D525" s="107">
        <v>47.26</v>
      </c>
      <c r="E525" s="107">
        <v>0.38</v>
      </c>
      <c r="F525" s="107">
        <v>0.23</v>
      </c>
    </row>
    <row r="526" spans="1:6" x14ac:dyDescent="0.3">
      <c r="A526" s="106" t="s">
        <v>4666</v>
      </c>
      <c r="B526" s="97" t="s">
        <v>6432</v>
      </c>
      <c r="C526" s="106">
        <v>12</v>
      </c>
      <c r="D526" s="107">
        <v>103.68</v>
      </c>
      <c r="E526" s="107">
        <v>1.56</v>
      </c>
      <c r="F526" s="107">
        <v>2.06</v>
      </c>
    </row>
    <row r="527" spans="1:6" x14ac:dyDescent="0.3">
      <c r="A527" s="106" t="s">
        <v>3841</v>
      </c>
      <c r="B527" s="97" t="s">
        <v>6433</v>
      </c>
      <c r="C527" s="106">
        <v>12</v>
      </c>
      <c r="D527" s="107">
        <v>384.48</v>
      </c>
      <c r="E527" s="107">
        <v>20.71</v>
      </c>
      <c r="F527" s="107">
        <v>18.98</v>
      </c>
    </row>
    <row r="528" spans="1:6" x14ac:dyDescent="0.3">
      <c r="A528" s="106" t="s">
        <v>3842</v>
      </c>
      <c r="B528" s="97" t="s">
        <v>6434</v>
      </c>
      <c r="C528" s="106">
        <v>12</v>
      </c>
      <c r="D528" s="107">
        <v>184.13</v>
      </c>
      <c r="E528" s="107">
        <v>7.12</v>
      </c>
      <c r="F528" s="107">
        <v>7.25</v>
      </c>
    </row>
    <row r="529" spans="1:6" x14ac:dyDescent="0.3">
      <c r="A529" s="106" t="s">
        <v>4667</v>
      </c>
      <c r="B529" s="97" t="s">
        <v>6435</v>
      </c>
      <c r="C529" s="106">
        <v>12</v>
      </c>
      <c r="D529" s="107">
        <v>153.44999999999999</v>
      </c>
      <c r="E529" s="107">
        <v>2.04</v>
      </c>
      <c r="F529" s="107">
        <v>3.88</v>
      </c>
    </row>
    <row r="530" spans="1:6" x14ac:dyDescent="0.3">
      <c r="A530" s="106" t="s">
        <v>3843</v>
      </c>
      <c r="B530" s="97" t="s">
        <v>6436</v>
      </c>
      <c r="C530" s="106">
        <v>12</v>
      </c>
      <c r="D530" s="107">
        <v>670.98</v>
      </c>
      <c r="E530" s="107">
        <v>-16.86</v>
      </c>
      <c r="F530" s="107">
        <v>10.220000000000001</v>
      </c>
    </row>
    <row r="531" spans="1:6" x14ac:dyDescent="0.3">
      <c r="A531" s="106" t="s">
        <v>4668</v>
      </c>
      <c r="B531" s="97" t="s">
        <v>6437</v>
      </c>
      <c r="C531" s="106">
        <v>12</v>
      </c>
      <c r="D531" s="107">
        <v>195.22</v>
      </c>
      <c r="E531" s="107">
        <v>0.48</v>
      </c>
      <c r="F531" s="107">
        <v>4.97</v>
      </c>
    </row>
    <row r="532" spans="1:6" x14ac:dyDescent="0.3">
      <c r="A532" s="106" t="s">
        <v>4669</v>
      </c>
      <c r="B532" s="97" t="s">
        <v>6438</v>
      </c>
      <c r="C532" s="106">
        <v>12</v>
      </c>
      <c r="D532" s="107">
        <v>470.93</v>
      </c>
      <c r="E532" s="107">
        <v>8.1</v>
      </c>
      <c r="F532" s="107">
        <v>11.97</v>
      </c>
    </row>
    <row r="533" spans="1:6" x14ac:dyDescent="0.3">
      <c r="A533" s="106" t="s">
        <v>4670</v>
      </c>
      <c r="B533" s="97" t="s">
        <v>6439</v>
      </c>
      <c r="C533" s="106">
        <v>12</v>
      </c>
      <c r="D533" s="107">
        <v>33.71</v>
      </c>
      <c r="E533" s="107">
        <v>-7.0000000000000007E-2</v>
      </c>
      <c r="F533" s="107">
        <v>0.23</v>
      </c>
    </row>
    <row r="534" spans="1:6" x14ac:dyDescent="0.3">
      <c r="A534" s="106" t="s">
        <v>4671</v>
      </c>
      <c r="B534" s="97" t="s">
        <v>6440</v>
      </c>
      <c r="C534" s="106">
        <v>12</v>
      </c>
      <c r="D534" s="107">
        <v>64.12</v>
      </c>
      <c r="E534" s="107">
        <v>1.74</v>
      </c>
      <c r="F534" s="107">
        <v>-21.34</v>
      </c>
    </row>
    <row r="535" spans="1:6" x14ac:dyDescent="0.3">
      <c r="A535" s="106" t="s">
        <v>4672</v>
      </c>
      <c r="B535" s="97" t="s">
        <v>6441</v>
      </c>
      <c r="C535" s="106">
        <v>12</v>
      </c>
      <c r="D535" s="107">
        <v>49.57</v>
      </c>
      <c r="E535" s="107">
        <v>1.78</v>
      </c>
      <c r="F535" s="107">
        <v>1.2</v>
      </c>
    </row>
    <row r="536" spans="1:6" x14ac:dyDescent="0.3">
      <c r="A536" s="106" t="s">
        <v>4673</v>
      </c>
      <c r="B536" s="97" t="s">
        <v>6442</v>
      </c>
      <c r="C536" s="106">
        <v>12</v>
      </c>
      <c r="D536" s="107">
        <v>96.96</v>
      </c>
      <c r="E536" s="107">
        <v>1.95</v>
      </c>
      <c r="F536" s="107">
        <v>-1.69</v>
      </c>
    </row>
    <row r="537" spans="1:6" x14ac:dyDescent="0.3">
      <c r="A537" s="106" t="s">
        <v>4674</v>
      </c>
      <c r="B537" s="97" t="s">
        <v>6443</v>
      </c>
      <c r="C537" s="106">
        <v>12</v>
      </c>
      <c r="D537" s="107">
        <v>32.549999999999997</v>
      </c>
      <c r="E537" s="107">
        <v>-0.33</v>
      </c>
      <c r="F537" s="107">
        <v>-0.1</v>
      </c>
    </row>
    <row r="538" spans="1:6" x14ac:dyDescent="0.3">
      <c r="A538" s="106" t="s">
        <v>4675</v>
      </c>
      <c r="B538" s="97" t="s">
        <v>6444</v>
      </c>
      <c r="C538" s="106">
        <v>12</v>
      </c>
      <c r="D538" s="107"/>
      <c r="E538" s="107"/>
      <c r="F538" s="107">
        <v>-3.84</v>
      </c>
    </row>
    <row r="539" spans="1:6" x14ac:dyDescent="0.3">
      <c r="A539" s="106" t="s">
        <v>4676</v>
      </c>
      <c r="B539" s="97" t="s">
        <v>6445</v>
      </c>
      <c r="C539" s="106">
        <v>12</v>
      </c>
      <c r="D539" s="107">
        <v>108.5</v>
      </c>
      <c r="E539" s="107">
        <v>7.47</v>
      </c>
      <c r="F539" s="107">
        <v>9.85</v>
      </c>
    </row>
    <row r="540" spans="1:6" x14ac:dyDescent="0.3">
      <c r="A540" s="106" t="s">
        <v>4677</v>
      </c>
      <c r="B540" s="97" t="s">
        <v>6446</v>
      </c>
      <c r="C540" s="106">
        <v>12</v>
      </c>
      <c r="D540" s="107">
        <v>78.489999999999995</v>
      </c>
      <c r="E540" s="107">
        <v>6.93</v>
      </c>
      <c r="F540" s="107">
        <v>3.57</v>
      </c>
    </row>
    <row r="541" spans="1:6" x14ac:dyDescent="0.3">
      <c r="A541" s="106" t="s">
        <v>4678</v>
      </c>
      <c r="B541" s="97" t="s">
        <v>6447</v>
      </c>
      <c r="C541" s="106">
        <v>12</v>
      </c>
      <c r="D541" s="107">
        <v>419.07</v>
      </c>
      <c r="E541" s="107">
        <v>23</v>
      </c>
      <c r="F541" s="107">
        <v>12.29</v>
      </c>
    </row>
    <row r="542" spans="1:6" x14ac:dyDescent="0.3">
      <c r="A542" s="106" t="s">
        <v>4679</v>
      </c>
      <c r="B542" s="97" t="s">
        <v>6448</v>
      </c>
      <c r="C542" s="106">
        <v>12</v>
      </c>
      <c r="D542" s="107">
        <v>625.20000000000005</v>
      </c>
      <c r="E542" s="107">
        <v>5.21</v>
      </c>
      <c r="F542" s="107">
        <v>8.49</v>
      </c>
    </row>
    <row r="543" spans="1:6" x14ac:dyDescent="0.3">
      <c r="A543" s="106" t="s">
        <v>4680</v>
      </c>
      <c r="B543" s="97" t="s">
        <v>6449</v>
      </c>
      <c r="C543" s="106">
        <v>12</v>
      </c>
      <c r="D543" s="107">
        <v>13.77</v>
      </c>
      <c r="E543" s="107">
        <v>-0.85</v>
      </c>
      <c r="F543" s="107">
        <v>-0.64</v>
      </c>
    </row>
    <row r="544" spans="1:6" x14ac:dyDescent="0.3">
      <c r="A544" s="106" t="s">
        <v>4681</v>
      </c>
      <c r="B544" s="97" t="s">
        <v>6450</v>
      </c>
      <c r="C544" s="106">
        <v>12</v>
      </c>
      <c r="D544" s="107">
        <v>70.7</v>
      </c>
      <c r="E544" s="107">
        <v>3.48</v>
      </c>
      <c r="F544" s="107">
        <v>5.22</v>
      </c>
    </row>
    <row r="545" spans="1:6" x14ac:dyDescent="0.3">
      <c r="A545" s="106" t="s">
        <v>4682</v>
      </c>
      <c r="B545" s="97" t="s">
        <v>6451</v>
      </c>
      <c r="C545" s="106">
        <v>12</v>
      </c>
      <c r="D545" s="107">
        <v>67.8</v>
      </c>
      <c r="E545" s="107">
        <v>0.46</v>
      </c>
      <c r="F545" s="107">
        <v>1.26</v>
      </c>
    </row>
    <row r="546" spans="1:6" x14ac:dyDescent="0.3">
      <c r="A546" s="106" t="s">
        <v>3844</v>
      </c>
      <c r="B546" s="97" t="s">
        <v>6452</v>
      </c>
      <c r="C546" s="106">
        <v>12</v>
      </c>
      <c r="D546" s="107">
        <v>959.89</v>
      </c>
      <c r="E546" s="107">
        <v>39.61</v>
      </c>
      <c r="F546" s="107">
        <v>10.63</v>
      </c>
    </row>
    <row r="547" spans="1:6" x14ac:dyDescent="0.3">
      <c r="A547" s="106" t="s">
        <v>3845</v>
      </c>
      <c r="B547" s="97" t="s">
        <v>6453</v>
      </c>
      <c r="C547" s="106">
        <v>12</v>
      </c>
      <c r="D547" s="107">
        <v>51234.55</v>
      </c>
      <c r="E547" s="107">
        <v>657.77</v>
      </c>
      <c r="F547" s="107">
        <v>-2133.75</v>
      </c>
    </row>
    <row r="548" spans="1:6" x14ac:dyDescent="0.3">
      <c r="A548" s="106" t="s">
        <v>4683</v>
      </c>
      <c r="B548" s="97" t="s">
        <v>6454</v>
      </c>
      <c r="C548" s="106">
        <v>12</v>
      </c>
      <c r="D548" s="107">
        <v>400.84</v>
      </c>
      <c r="E548" s="107">
        <v>-7.59</v>
      </c>
      <c r="F548" s="107">
        <v>2.85</v>
      </c>
    </row>
    <row r="549" spans="1:6" x14ac:dyDescent="0.3">
      <c r="A549" s="106" t="s">
        <v>4684</v>
      </c>
      <c r="B549" s="97" t="s">
        <v>6455</v>
      </c>
      <c r="C549" s="106">
        <v>12</v>
      </c>
      <c r="D549" s="107">
        <v>268.5</v>
      </c>
      <c r="E549" s="107">
        <v>1.64</v>
      </c>
      <c r="F549" s="107">
        <v>2.4500000000000002</v>
      </c>
    </row>
    <row r="550" spans="1:6" x14ac:dyDescent="0.3">
      <c r="A550" s="106" t="s">
        <v>4685</v>
      </c>
      <c r="B550" s="97" t="s">
        <v>6456</v>
      </c>
      <c r="C550" s="106">
        <v>12</v>
      </c>
      <c r="D550" s="107">
        <v>103.03</v>
      </c>
      <c r="E550" s="107">
        <v>5.63</v>
      </c>
      <c r="F550" s="107">
        <v>0.93</v>
      </c>
    </row>
    <row r="551" spans="1:6" x14ac:dyDescent="0.3">
      <c r="A551" s="106" t="s">
        <v>4686</v>
      </c>
      <c r="B551" s="97" t="s">
        <v>6457</v>
      </c>
      <c r="C551" s="106">
        <v>12</v>
      </c>
      <c r="D551" s="107">
        <v>45.01</v>
      </c>
      <c r="E551" s="107">
        <v>0.76</v>
      </c>
      <c r="F551" s="107">
        <v>0.09</v>
      </c>
    </row>
    <row r="552" spans="1:6" x14ac:dyDescent="0.3">
      <c r="A552" s="106" t="s">
        <v>4687</v>
      </c>
      <c r="B552" s="97" t="s">
        <v>6458</v>
      </c>
      <c r="C552" s="106">
        <v>12</v>
      </c>
      <c r="D552" s="107">
        <v>129.38</v>
      </c>
      <c r="E552" s="107">
        <v>6.1</v>
      </c>
      <c r="F552" s="107">
        <v>7.34</v>
      </c>
    </row>
    <row r="553" spans="1:6" x14ac:dyDescent="0.3">
      <c r="A553" s="106" t="s">
        <v>4688</v>
      </c>
      <c r="B553" s="97" t="s">
        <v>6459</v>
      </c>
      <c r="C553" s="106">
        <v>12</v>
      </c>
      <c r="D553" s="107">
        <v>263.44</v>
      </c>
      <c r="E553" s="107">
        <v>-4.04</v>
      </c>
      <c r="F553" s="107">
        <v>10.09</v>
      </c>
    </row>
    <row r="554" spans="1:6" x14ac:dyDescent="0.3">
      <c r="A554" s="106" t="s">
        <v>3846</v>
      </c>
      <c r="B554" s="97" t="s">
        <v>6460</v>
      </c>
      <c r="C554" s="106">
        <v>3</v>
      </c>
      <c r="D554" s="107">
        <v>3482.48</v>
      </c>
      <c r="E554" s="107">
        <v>74.12</v>
      </c>
      <c r="F554" s="107">
        <v>41.49</v>
      </c>
    </row>
    <row r="555" spans="1:6" x14ac:dyDescent="0.3">
      <c r="A555" s="106" t="s">
        <v>4689</v>
      </c>
      <c r="B555" s="97" t="s">
        <v>6461</v>
      </c>
      <c r="C555" s="106">
        <v>12</v>
      </c>
      <c r="D555" s="107">
        <v>1405.18</v>
      </c>
      <c r="E555" s="107">
        <v>7.06</v>
      </c>
      <c r="F555" s="107">
        <v>26.91</v>
      </c>
    </row>
    <row r="556" spans="1:6" x14ac:dyDescent="0.3">
      <c r="A556" s="106" t="s">
        <v>4690</v>
      </c>
      <c r="B556" s="97" t="s">
        <v>6462</v>
      </c>
      <c r="C556" s="106">
        <v>3</v>
      </c>
      <c r="D556" s="107">
        <v>742.48</v>
      </c>
      <c r="E556" s="107">
        <v>16.52</v>
      </c>
      <c r="F556" s="107">
        <v>17.54</v>
      </c>
    </row>
    <row r="557" spans="1:6" x14ac:dyDescent="0.3">
      <c r="A557" s="106" t="s">
        <v>4691</v>
      </c>
      <c r="B557" s="97" t="s">
        <v>6463</v>
      </c>
      <c r="C557" s="106">
        <v>12</v>
      </c>
      <c r="D557" s="107">
        <v>335.96</v>
      </c>
      <c r="E557" s="107">
        <v>14.56</v>
      </c>
      <c r="F557" s="107">
        <v>16.73</v>
      </c>
    </row>
    <row r="558" spans="1:6" x14ac:dyDescent="0.3">
      <c r="A558" s="106" t="s">
        <v>4692</v>
      </c>
      <c r="B558" s="97" t="s">
        <v>6464</v>
      </c>
      <c r="C558" s="106">
        <v>12</v>
      </c>
      <c r="D558" s="107"/>
      <c r="E558" s="107"/>
      <c r="F558" s="107">
        <v>1.74</v>
      </c>
    </row>
    <row r="559" spans="1:6" x14ac:dyDescent="0.3">
      <c r="A559" s="106" t="s">
        <v>4693</v>
      </c>
      <c r="B559" s="97" t="s">
        <v>6465</v>
      </c>
      <c r="C559" s="106">
        <v>12</v>
      </c>
      <c r="D559" s="107">
        <v>160.47999999999999</v>
      </c>
      <c r="E559" s="107">
        <v>4.32</v>
      </c>
      <c r="F559" s="107">
        <v>5.0599999999999996</v>
      </c>
    </row>
    <row r="560" spans="1:6" x14ac:dyDescent="0.3">
      <c r="A560" s="106" t="s">
        <v>4694</v>
      </c>
      <c r="B560" s="97" t="s">
        <v>6466</v>
      </c>
      <c r="C560" s="106">
        <v>12</v>
      </c>
      <c r="D560" s="107">
        <v>259.06</v>
      </c>
      <c r="E560" s="107">
        <v>3.88</v>
      </c>
      <c r="F560" s="107">
        <v>11.27</v>
      </c>
    </row>
    <row r="561" spans="1:6" x14ac:dyDescent="0.3">
      <c r="A561" s="106" t="s">
        <v>4695</v>
      </c>
      <c r="B561" s="97" t="s">
        <v>6467</v>
      </c>
      <c r="C561" s="106">
        <v>12</v>
      </c>
      <c r="D561" s="107">
        <v>53.84</v>
      </c>
      <c r="E561" s="107">
        <v>0.61</v>
      </c>
      <c r="F561" s="107">
        <v>2.23</v>
      </c>
    </row>
    <row r="562" spans="1:6" x14ac:dyDescent="0.3">
      <c r="A562" s="106" t="s">
        <v>4696</v>
      </c>
      <c r="B562" s="97" t="s">
        <v>6468</v>
      </c>
      <c r="C562" s="106">
        <v>3</v>
      </c>
      <c r="D562" s="107">
        <v>630.04999999999995</v>
      </c>
      <c r="E562" s="107">
        <v>73.180000000000007</v>
      </c>
      <c r="F562" s="107">
        <v>1.4</v>
      </c>
    </row>
    <row r="563" spans="1:6" x14ac:dyDescent="0.3">
      <c r="A563" s="106" t="s">
        <v>4697</v>
      </c>
      <c r="B563" s="97" t="s">
        <v>6469</v>
      </c>
      <c r="C563" s="106">
        <v>12</v>
      </c>
      <c r="D563" s="107">
        <v>29.18</v>
      </c>
      <c r="E563" s="107">
        <v>2.3199999999999998</v>
      </c>
      <c r="F563" s="107">
        <v>2.8</v>
      </c>
    </row>
    <row r="564" spans="1:6" x14ac:dyDescent="0.3">
      <c r="A564" s="106" t="s">
        <v>4698</v>
      </c>
      <c r="B564" s="97" t="s">
        <v>6470</v>
      </c>
      <c r="C564" s="106">
        <v>12</v>
      </c>
      <c r="D564" s="107">
        <v>490.36</v>
      </c>
      <c r="E564" s="107">
        <v>18.53</v>
      </c>
      <c r="F564" s="107">
        <v>0.12</v>
      </c>
    </row>
    <row r="565" spans="1:6" x14ac:dyDescent="0.3">
      <c r="A565" s="106" t="s">
        <v>4699</v>
      </c>
      <c r="B565" s="97" t="s">
        <v>6471</v>
      </c>
      <c r="C565" s="106">
        <v>12</v>
      </c>
      <c r="D565" s="107">
        <v>303.07</v>
      </c>
      <c r="E565" s="107">
        <v>3.77</v>
      </c>
      <c r="F565" s="107">
        <v>6.03</v>
      </c>
    </row>
    <row r="566" spans="1:6" x14ac:dyDescent="0.3">
      <c r="A566" s="106" t="s">
        <v>4700</v>
      </c>
      <c r="B566" s="97" t="s">
        <v>6472</v>
      </c>
      <c r="C566" s="106">
        <v>12</v>
      </c>
      <c r="D566" s="107">
        <v>291.67</v>
      </c>
      <c r="E566" s="107">
        <v>-7.53</v>
      </c>
      <c r="F566" s="107">
        <v>-26.97</v>
      </c>
    </row>
    <row r="567" spans="1:6" x14ac:dyDescent="0.3">
      <c r="A567" s="106" t="s">
        <v>4701</v>
      </c>
      <c r="B567" s="97" t="s">
        <v>6473</v>
      </c>
      <c r="C567" s="106">
        <v>12</v>
      </c>
      <c r="D567" s="107">
        <v>44.93</v>
      </c>
      <c r="E567" s="107">
        <v>1.26</v>
      </c>
      <c r="F567" s="107">
        <v>1.39</v>
      </c>
    </row>
    <row r="568" spans="1:6" x14ac:dyDescent="0.3">
      <c r="A568" s="106" t="s">
        <v>4702</v>
      </c>
      <c r="B568" s="97" t="s">
        <v>6474</v>
      </c>
      <c r="C568" s="106">
        <v>12</v>
      </c>
      <c r="D568" s="107">
        <v>45.18</v>
      </c>
      <c r="E568" s="107">
        <v>0.1</v>
      </c>
      <c r="F568" s="107">
        <v>0.22</v>
      </c>
    </row>
    <row r="569" spans="1:6" x14ac:dyDescent="0.3">
      <c r="A569" s="106" t="s">
        <v>4703</v>
      </c>
      <c r="B569" s="97" t="s">
        <v>6475</v>
      </c>
      <c r="C569" s="106">
        <v>12</v>
      </c>
      <c r="D569" s="107">
        <v>63.08</v>
      </c>
      <c r="E569" s="107">
        <v>0.66</v>
      </c>
      <c r="F569" s="107">
        <v>1.56</v>
      </c>
    </row>
    <row r="570" spans="1:6" x14ac:dyDescent="0.3">
      <c r="A570" s="106" t="s">
        <v>4704</v>
      </c>
      <c r="B570" s="97" t="s">
        <v>6476</v>
      </c>
      <c r="C570" s="106">
        <v>12</v>
      </c>
      <c r="D570" s="107">
        <v>73.22</v>
      </c>
      <c r="E570" s="107">
        <v>1.02</v>
      </c>
      <c r="F570" s="107">
        <v>-4.83</v>
      </c>
    </row>
    <row r="571" spans="1:6" x14ac:dyDescent="0.3">
      <c r="A571" s="106" t="s">
        <v>4705</v>
      </c>
      <c r="B571" s="97" t="s">
        <v>6477</v>
      </c>
      <c r="C571" s="106">
        <v>9</v>
      </c>
      <c r="D571" s="107">
        <v>70.599999999999994</v>
      </c>
      <c r="E571" s="107">
        <v>0.48</v>
      </c>
      <c r="F571" s="107">
        <v>-0.37</v>
      </c>
    </row>
    <row r="572" spans="1:6" x14ac:dyDescent="0.3">
      <c r="A572" s="106" t="s">
        <v>4706</v>
      </c>
      <c r="B572" s="97" t="s">
        <v>6478</v>
      </c>
      <c r="C572" s="106">
        <v>12</v>
      </c>
      <c r="D572" s="107">
        <v>75.59</v>
      </c>
      <c r="E572" s="107">
        <v>0.38</v>
      </c>
      <c r="F572" s="107">
        <v>2.13</v>
      </c>
    </row>
    <row r="573" spans="1:6" x14ac:dyDescent="0.3">
      <c r="A573" s="106" t="s">
        <v>4707</v>
      </c>
      <c r="B573" s="97" t="s">
        <v>6479</v>
      </c>
      <c r="C573" s="106">
        <v>12</v>
      </c>
      <c r="D573" s="107">
        <v>748.34</v>
      </c>
      <c r="E573" s="107">
        <v>13.34</v>
      </c>
      <c r="F573" s="107">
        <v>3.91</v>
      </c>
    </row>
    <row r="574" spans="1:6" x14ac:dyDescent="0.3">
      <c r="A574" s="106" t="s">
        <v>4708</v>
      </c>
      <c r="B574" s="97" t="s">
        <v>6480</v>
      </c>
      <c r="C574" s="106">
        <v>12</v>
      </c>
      <c r="D574" s="107">
        <v>116.61</v>
      </c>
      <c r="E574" s="107">
        <v>2.11</v>
      </c>
      <c r="F574" s="107">
        <v>1.43</v>
      </c>
    </row>
    <row r="575" spans="1:6" x14ac:dyDescent="0.3">
      <c r="A575" s="106" t="s">
        <v>4709</v>
      </c>
      <c r="B575" s="97" t="s">
        <v>6481</v>
      </c>
      <c r="C575" s="106">
        <v>12</v>
      </c>
      <c r="D575" s="107">
        <v>51.68</v>
      </c>
      <c r="E575" s="107">
        <v>-0.13</v>
      </c>
      <c r="F575" s="107">
        <v>1.57</v>
      </c>
    </row>
    <row r="576" spans="1:6" x14ac:dyDescent="0.3">
      <c r="A576" s="106" t="s">
        <v>3847</v>
      </c>
      <c r="B576" s="97" t="s">
        <v>6482</v>
      </c>
      <c r="C576" s="106">
        <v>12</v>
      </c>
      <c r="D576" s="107">
        <v>81.64</v>
      </c>
      <c r="E576" s="107">
        <v>3.04</v>
      </c>
      <c r="F576" s="107">
        <v>3.95</v>
      </c>
    </row>
    <row r="577" spans="1:6" x14ac:dyDescent="0.3">
      <c r="A577" s="106" t="s">
        <v>4710</v>
      </c>
      <c r="B577" s="97" t="s">
        <v>6483</v>
      </c>
      <c r="C577" s="106">
        <v>12</v>
      </c>
      <c r="D577" s="107">
        <v>81.78</v>
      </c>
      <c r="E577" s="107">
        <v>0.99</v>
      </c>
      <c r="F577" s="107">
        <v>3.75</v>
      </c>
    </row>
    <row r="578" spans="1:6" x14ac:dyDescent="0.3">
      <c r="A578" s="106" t="s">
        <v>3848</v>
      </c>
      <c r="B578" s="97" t="s">
        <v>6484</v>
      </c>
      <c r="C578" s="106">
        <v>12</v>
      </c>
      <c r="D578" s="107">
        <v>12367.7</v>
      </c>
      <c r="E578" s="107">
        <v>410.63</v>
      </c>
      <c r="F578" s="107">
        <v>428.9</v>
      </c>
    </row>
    <row r="579" spans="1:6" x14ac:dyDescent="0.3">
      <c r="A579" s="106" t="s">
        <v>4711</v>
      </c>
      <c r="B579" s="97" t="s">
        <v>6485</v>
      </c>
      <c r="C579" s="106">
        <v>12</v>
      </c>
      <c r="D579" s="107">
        <v>16.04</v>
      </c>
      <c r="E579" s="107">
        <v>-0.9</v>
      </c>
      <c r="F579" s="107">
        <v>-1.1100000000000001</v>
      </c>
    </row>
    <row r="580" spans="1:6" x14ac:dyDescent="0.3">
      <c r="A580" s="106" t="s">
        <v>4712</v>
      </c>
      <c r="B580" s="97" t="s">
        <v>6486</v>
      </c>
      <c r="C580" s="106">
        <v>12</v>
      </c>
      <c r="D580" s="107">
        <v>219.48</v>
      </c>
      <c r="E580" s="107">
        <v>13.44</v>
      </c>
      <c r="F580" s="107">
        <v>10.57</v>
      </c>
    </row>
    <row r="581" spans="1:6" x14ac:dyDescent="0.3">
      <c r="A581" s="106" t="s">
        <v>4713</v>
      </c>
      <c r="B581" s="97" t="s">
        <v>6487</v>
      </c>
      <c r="C581" s="106">
        <v>12</v>
      </c>
      <c r="D581" s="107">
        <v>282.69</v>
      </c>
      <c r="E581" s="107">
        <v>1.47</v>
      </c>
      <c r="F581" s="107">
        <v>10.01</v>
      </c>
    </row>
    <row r="582" spans="1:6" x14ac:dyDescent="0.3">
      <c r="A582" s="106" t="s">
        <v>4714</v>
      </c>
      <c r="B582" s="97" t="s">
        <v>6488</v>
      </c>
      <c r="C582" s="106">
        <v>12</v>
      </c>
      <c r="D582" s="107">
        <v>174.09</v>
      </c>
      <c r="E582" s="107">
        <v>2.33</v>
      </c>
      <c r="F582" s="107">
        <v>0.77</v>
      </c>
    </row>
    <row r="583" spans="1:6" x14ac:dyDescent="0.3">
      <c r="A583" s="106" t="s">
        <v>4715</v>
      </c>
      <c r="B583" s="97" t="s">
        <v>6489</v>
      </c>
      <c r="C583" s="106">
        <v>12</v>
      </c>
      <c r="D583" s="107">
        <v>213.81</v>
      </c>
      <c r="E583" s="107">
        <v>-0.99</v>
      </c>
      <c r="F583" s="107">
        <v>0.63</v>
      </c>
    </row>
    <row r="584" spans="1:6" x14ac:dyDescent="0.3">
      <c r="A584" s="106" t="s">
        <v>4716</v>
      </c>
      <c r="B584" s="97" t="s">
        <v>6490</v>
      </c>
      <c r="C584" s="106">
        <v>12</v>
      </c>
      <c r="D584" s="107">
        <v>1207.3399999999999</v>
      </c>
      <c r="E584" s="107">
        <v>22.81</v>
      </c>
      <c r="F584" s="107">
        <v>-0.39</v>
      </c>
    </row>
    <row r="585" spans="1:6" x14ac:dyDescent="0.3">
      <c r="A585" s="106" t="s">
        <v>3849</v>
      </c>
      <c r="B585" s="97" t="s">
        <v>6491</v>
      </c>
      <c r="C585" s="106">
        <v>12</v>
      </c>
      <c r="D585" s="107">
        <v>228.48</v>
      </c>
      <c r="E585" s="107">
        <v>6.45</v>
      </c>
      <c r="F585" s="107">
        <v>4.12</v>
      </c>
    </row>
    <row r="586" spans="1:6" x14ac:dyDescent="0.3">
      <c r="A586" s="106" t="s">
        <v>4717</v>
      </c>
      <c r="B586" s="97" t="s">
        <v>6492</v>
      </c>
      <c r="C586" s="106">
        <v>12</v>
      </c>
      <c r="D586" s="107">
        <v>128.9</v>
      </c>
      <c r="E586" s="107">
        <v>-3.61</v>
      </c>
      <c r="F586" s="107">
        <v>2.0299999999999998</v>
      </c>
    </row>
    <row r="587" spans="1:6" x14ac:dyDescent="0.3">
      <c r="A587" s="106" t="s">
        <v>4718</v>
      </c>
      <c r="B587" s="97" t="s">
        <v>6493</v>
      </c>
      <c r="C587" s="106">
        <v>12</v>
      </c>
      <c r="D587" s="107">
        <v>44.18</v>
      </c>
      <c r="E587" s="107">
        <v>2.79</v>
      </c>
      <c r="F587" s="107">
        <v>1.99</v>
      </c>
    </row>
    <row r="588" spans="1:6" x14ac:dyDescent="0.3">
      <c r="A588" s="106" t="s">
        <v>4719</v>
      </c>
      <c r="B588" s="97" t="s">
        <v>6494</v>
      </c>
      <c r="C588" s="106">
        <v>12</v>
      </c>
      <c r="D588" s="107">
        <v>23.19</v>
      </c>
      <c r="E588" s="107">
        <v>0.5</v>
      </c>
      <c r="F588" s="107">
        <v>-0.28999999999999998</v>
      </c>
    </row>
    <row r="589" spans="1:6" x14ac:dyDescent="0.3">
      <c r="A589" s="106" t="s">
        <v>4720</v>
      </c>
      <c r="B589" s="97" t="s">
        <v>6495</v>
      </c>
      <c r="C589" s="106">
        <v>12</v>
      </c>
      <c r="D589" s="107">
        <v>97.55</v>
      </c>
      <c r="E589" s="107">
        <v>2.42</v>
      </c>
      <c r="F589" s="107">
        <v>0.72</v>
      </c>
    </row>
    <row r="590" spans="1:6" x14ac:dyDescent="0.3">
      <c r="A590" s="106" t="s">
        <v>4721</v>
      </c>
      <c r="B590" s="97" t="s">
        <v>6496</v>
      </c>
      <c r="C590" s="106">
        <v>12</v>
      </c>
      <c r="D590" s="107">
        <v>171.71</v>
      </c>
      <c r="E590" s="107">
        <v>2.2799999999999998</v>
      </c>
      <c r="F590" s="107">
        <v>2.06</v>
      </c>
    </row>
    <row r="591" spans="1:6" x14ac:dyDescent="0.3">
      <c r="A591" s="106" t="s">
        <v>4722</v>
      </c>
      <c r="B591" s="97" t="s">
        <v>6497</v>
      </c>
      <c r="C591" s="106">
        <v>3</v>
      </c>
      <c r="D591" s="107">
        <v>48.25</v>
      </c>
      <c r="E591" s="107">
        <v>2.67</v>
      </c>
      <c r="F591" s="107">
        <v>7.99</v>
      </c>
    </row>
    <row r="592" spans="1:6" x14ac:dyDescent="0.3">
      <c r="A592" s="106" t="s">
        <v>4723</v>
      </c>
      <c r="B592" s="97" t="s">
        <v>6498</v>
      </c>
      <c r="C592" s="106">
        <v>12</v>
      </c>
      <c r="D592" s="107">
        <v>18.239999999999998</v>
      </c>
      <c r="E592" s="107">
        <v>0.13</v>
      </c>
      <c r="F592" s="107">
        <v>0.16</v>
      </c>
    </row>
    <row r="593" spans="1:6" x14ac:dyDescent="0.3">
      <c r="A593" s="106" t="s">
        <v>4724</v>
      </c>
      <c r="B593" s="97" t="s">
        <v>6499</v>
      </c>
      <c r="C593" s="106">
        <v>12</v>
      </c>
      <c r="D593" s="107">
        <v>1010.35</v>
      </c>
      <c r="E593" s="107">
        <v>31.86</v>
      </c>
      <c r="F593" s="107">
        <v>39.75</v>
      </c>
    </row>
    <row r="594" spans="1:6" x14ac:dyDescent="0.3">
      <c r="A594" s="106" t="s">
        <v>4725</v>
      </c>
      <c r="B594" s="97" t="s">
        <v>6500</v>
      </c>
      <c r="C594" s="106">
        <v>12</v>
      </c>
      <c r="D594" s="107">
        <v>25.11</v>
      </c>
      <c r="E594" s="107">
        <v>0.5</v>
      </c>
      <c r="F594" s="107">
        <v>0.53</v>
      </c>
    </row>
    <row r="595" spans="1:6" x14ac:dyDescent="0.3">
      <c r="A595" s="106" t="s">
        <v>4726</v>
      </c>
      <c r="B595" s="97" t="s">
        <v>6501</v>
      </c>
      <c r="C595" s="106">
        <v>3</v>
      </c>
      <c r="D595" s="107">
        <v>31.69</v>
      </c>
      <c r="E595" s="107">
        <v>-4.05</v>
      </c>
      <c r="F595" s="107">
        <v>-1.62</v>
      </c>
    </row>
    <row r="596" spans="1:6" x14ac:dyDescent="0.3">
      <c r="A596" s="106" t="s">
        <v>4727</v>
      </c>
      <c r="B596" s="97" t="s">
        <v>6502</v>
      </c>
      <c r="C596" s="106">
        <v>12</v>
      </c>
      <c r="D596" s="107">
        <v>1361.2</v>
      </c>
      <c r="E596" s="107">
        <v>78.06</v>
      </c>
      <c r="F596" s="107">
        <v>68.73</v>
      </c>
    </row>
    <row r="597" spans="1:6" x14ac:dyDescent="0.3">
      <c r="A597" s="106" t="s">
        <v>4728</v>
      </c>
      <c r="B597" s="97" t="s">
        <v>6503</v>
      </c>
      <c r="C597" s="106">
        <v>12</v>
      </c>
      <c r="D597" s="107">
        <v>192.62</v>
      </c>
      <c r="E597" s="107">
        <v>0.43</v>
      </c>
      <c r="F597" s="107">
        <v>2.09</v>
      </c>
    </row>
    <row r="598" spans="1:6" x14ac:dyDescent="0.3">
      <c r="A598" s="106" t="s">
        <v>4729</v>
      </c>
      <c r="B598" s="97" t="s">
        <v>6504</v>
      </c>
      <c r="C598" s="106">
        <v>12</v>
      </c>
      <c r="D598" s="107">
        <v>193.56</v>
      </c>
      <c r="E598" s="107">
        <v>9.01</v>
      </c>
      <c r="F598" s="107">
        <v>5.03</v>
      </c>
    </row>
    <row r="599" spans="1:6" x14ac:dyDescent="0.3">
      <c r="A599" s="106" t="s">
        <v>4730</v>
      </c>
      <c r="B599" s="97" t="s">
        <v>6505</v>
      </c>
      <c r="C599" s="106">
        <v>12</v>
      </c>
      <c r="D599" s="107">
        <v>37.25</v>
      </c>
      <c r="E599" s="107">
        <v>-7.65</v>
      </c>
      <c r="F599" s="107">
        <v>0.83</v>
      </c>
    </row>
    <row r="600" spans="1:6" x14ac:dyDescent="0.3">
      <c r="A600" s="106" t="s">
        <v>4731</v>
      </c>
      <c r="B600" s="97" t="s">
        <v>6506</v>
      </c>
      <c r="C600" s="106">
        <v>12</v>
      </c>
      <c r="D600" s="107">
        <v>193.8</v>
      </c>
      <c r="E600" s="107">
        <v>9.1199999999999992</v>
      </c>
      <c r="F600" s="107">
        <v>7.93</v>
      </c>
    </row>
    <row r="601" spans="1:6" x14ac:dyDescent="0.3">
      <c r="A601" s="106" t="s">
        <v>4732</v>
      </c>
      <c r="B601" s="97" t="s">
        <v>6507</v>
      </c>
      <c r="C601" s="106">
        <v>12</v>
      </c>
      <c r="D601" s="107">
        <v>263.74</v>
      </c>
      <c r="E601" s="107">
        <v>4.72</v>
      </c>
      <c r="F601" s="107">
        <v>9.06</v>
      </c>
    </row>
    <row r="602" spans="1:6" x14ac:dyDescent="0.3">
      <c r="A602" s="106" t="s">
        <v>4733</v>
      </c>
      <c r="B602" s="97" t="s">
        <v>6508</v>
      </c>
      <c r="C602" s="106">
        <v>12</v>
      </c>
      <c r="D602" s="107">
        <v>218.99</v>
      </c>
      <c r="E602" s="107">
        <v>11.55</v>
      </c>
      <c r="F602" s="107">
        <v>8.44</v>
      </c>
    </row>
    <row r="603" spans="1:6" x14ac:dyDescent="0.3">
      <c r="A603" s="106" t="s">
        <v>4734</v>
      </c>
      <c r="B603" s="97" t="s">
        <v>6509</v>
      </c>
      <c r="C603" s="106">
        <v>12</v>
      </c>
      <c r="D603" s="107">
        <v>56.93</v>
      </c>
      <c r="E603" s="107">
        <v>-0.57999999999999996</v>
      </c>
      <c r="F603" s="107">
        <v>-0.94</v>
      </c>
    </row>
    <row r="604" spans="1:6" x14ac:dyDescent="0.3">
      <c r="A604" s="106" t="s">
        <v>4735</v>
      </c>
      <c r="B604" s="97" t="s">
        <v>6510</v>
      </c>
      <c r="C604" s="106">
        <v>12</v>
      </c>
      <c r="D604" s="107">
        <v>63.64</v>
      </c>
      <c r="E604" s="107">
        <v>2.1</v>
      </c>
      <c r="F604" s="107">
        <v>10.51</v>
      </c>
    </row>
    <row r="605" spans="1:6" x14ac:dyDescent="0.3">
      <c r="A605" s="106" t="s">
        <v>4736</v>
      </c>
      <c r="B605" s="97" t="s">
        <v>6511</v>
      </c>
      <c r="C605" s="106">
        <v>12</v>
      </c>
      <c r="D605" s="107">
        <v>76.87</v>
      </c>
      <c r="E605" s="107">
        <v>0.87</v>
      </c>
      <c r="F605" s="107">
        <v>-2.75</v>
      </c>
    </row>
    <row r="606" spans="1:6" x14ac:dyDescent="0.3">
      <c r="A606" s="106" t="s">
        <v>4737</v>
      </c>
      <c r="B606" s="97" t="s">
        <v>6512</v>
      </c>
      <c r="C606" s="106">
        <v>3</v>
      </c>
      <c r="D606" s="107">
        <v>9.98</v>
      </c>
      <c r="E606" s="107">
        <v>-0.4</v>
      </c>
      <c r="F606" s="107">
        <v>0.02</v>
      </c>
    </row>
    <row r="607" spans="1:6" x14ac:dyDescent="0.3">
      <c r="A607" s="106" t="s">
        <v>4738</v>
      </c>
      <c r="B607" s="97" t="s">
        <v>6513</v>
      </c>
      <c r="C607" s="106">
        <v>12</v>
      </c>
      <c r="D607" s="107">
        <v>26.74</v>
      </c>
      <c r="E607" s="107">
        <v>-0.08</v>
      </c>
      <c r="F607" s="107">
        <v>-0.04</v>
      </c>
    </row>
    <row r="608" spans="1:6" x14ac:dyDescent="0.3">
      <c r="A608" s="106" t="s">
        <v>4739</v>
      </c>
      <c r="B608" s="97" t="s">
        <v>6514</v>
      </c>
      <c r="C608" s="106">
        <v>3</v>
      </c>
      <c r="D608" s="107">
        <v>6.87</v>
      </c>
      <c r="E608" s="107">
        <v>-3.5</v>
      </c>
      <c r="F608" s="107">
        <v>-6.09</v>
      </c>
    </row>
    <row r="609" spans="1:6" x14ac:dyDescent="0.3">
      <c r="A609" s="106" t="s">
        <v>3850</v>
      </c>
      <c r="B609" s="97" t="s">
        <v>6515</v>
      </c>
      <c r="C609" s="106">
        <v>12</v>
      </c>
      <c r="D609" s="107">
        <v>630.74</v>
      </c>
      <c r="E609" s="107">
        <v>10.32</v>
      </c>
      <c r="F609" s="107">
        <v>11.26</v>
      </c>
    </row>
    <row r="610" spans="1:6" x14ac:dyDescent="0.3">
      <c r="A610" s="106" t="s">
        <v>4740</v>
      </c>
      <c r="B610" s="97" t="s">
        <v>6516</v>
      </c>
      <c r="C610" s="106">
        <v>12</v>
      </c>
      <c r="D610" s="107">
        <v>66.91</v>
      </c>
      <c r="E610" s="107">
        <v>3.28</v>
      </c>
      <c r="F610" s="107">
        <v>3.99</v>
      </c>
    </row>
    <row r="611" spans="1:6" x14ac:dyDescent="0.3">
      <c r="A611" s="106" t="s">
        <v>4741</v>
      </c>
      <c r="B611" s="97" t="s">
        <v>6517</v>
      </c>
      <c r="C611" s="106">
        <v>12</v>
      </c>
      <c r="D611" s="107">
        <v>27.4</v>
      </c>
      <c r="E611" s="107">
        <v>0.4</v>
      </c>
      <c r="F611" s="107">
        <v>1.45</v>
      </c>
    </row>
    <row r="612" spans="1:6" x14ac:dyDescent="0.3">
      <c r="A612" s="106" t="s">
        <v>3851</v>
      </c>
      <c r="B612" s="97" t="s">
        <v>6518</v>
      </c>
      <c r="C612" s="106">
        <v>12</v>
      </c>
      <c r="D612" s="107">
        <v>769.65</v>
      </c>
      <c r="E612" s="107">
        <v>18.489999999999998</v>
      </c>
      <c r="F612" s="107">
        <v>17.170000000000002</v>
      </c>
    </row>
    <row r="613" spans="1:6" x14ac:dyDescent="0.3">
      <c r="A613" s="106" t="s">
        <v>4742</v>
      </c>
      <c r="B613" s="97" t="s">
        <v>6519</v>
      </c>
      <c r="C613" s="106">
        <v>12</v>
      </c>
      <c r="D613" s="107">
        <v>14.21</v>
      </c>
      <c r="E613" s="107">
        <v>-0.81</v>
      </c>
      <c r="F613" s="107">
        <v>-0.93</v>
      </c>
    </row>
    <row r="614" spans="1:6" x14ac:dyDescent="0.3">
      <c r="A614" s="106" t="s">
        <v>4743</v>
      </c>
      <c r="B614" s="97" t="s">
        <v>6520</v>
      </c>
      <c r="C614" s="106">
        <v>12</v>
      </c>
      <c r="D614" s="107">
        <v>270.10000000000002</v>
      </c>
      <c r="E614" s="107">
        <v>-3.99</v>
      </c>
      <c r="F614" s="107">
        <v>2.88</v>
      </c>
    </row>
    <row r="615" spans="1:6" x14ac:dyDescent="0.3">
      <c r="A615" s="106" t="s">
        <v>4744</v>
      </c>
      <c r="B615" s="97" t="s">
        <v>6521</v>
      </c>
      <c r="C615" s="106">
        <v>3</v>
      </c>
      <c r="D615" s="107">
        <v>21.01</v>
      </c>
      <c r="E615" s="107">
        <v>-0.4</v>
      </c>
      <c r="F615" s="107">
        <v>0.1</v>
      </c>
    </row>
    <row r="616" spans="1:6" x14ac:dyDescent="0.3">
      <c r="A616" s="106" t="s">
        <v>4745</v>
      </c>
      <c r="B616" s="97" t="s">
        <v>6522</v>
      </c>
      <c r="C616" s="106">
        <v>12</v>
      </c>
      <c r="D616" s="107">
        <v>17.350000000000001</v>
      </c>
      <c r="E616" s="107">
        <v>0.24</v>
      </c>
      <c r="F616" s="107">
        <v>0.17</v>
      </c>
    </row>
    <row r="617" spans="1:6" x14ac:dyDescent="0.3">
      <c r="A617" s="106" t="s">
        <v>3852</v>
      </c>
      <c r="B617" s="97" t="s">
        <v>6523</v>
      </c>
      <c r="C617" s="106">
        <v>12</v>
      </c>
      <c r="D617" s="107">
        <v>947.9</v>
      </c>
      <c r="E617" s="107">
        <v>-21.1</v>
      </c>
      <c r="F617" s="107">
        <v>38.93</v>
      </c>
    </row>
    <row r="618" spans="1:6" x14ac:dyDescent="0.3">
      <c r="A618" s="106" t="s">
        <v>4746</v>
      </c>
      <c r="B618" s="97" t="s">
        <v>6524</v>
      </c>
      <c r="C618" s="106">
        <v>12</v>
      </c>
      <c r="D618" s="107">
        <v>78.48</v>
      </c>
      <c r="E618" s="107">
        <v>-1.17</v>
      </c>
      <c r="F618" s="107">
        <v>0.61</v>
      </c>
    </row>
    <row r="619" spans="1:6" x14ac:dyDescent="0.3">
      <c r="A619" s="106" t="s">
        <v>3853</v>
      </c>
      <c r="B619" s="97" t="s">
        <v>6525</v>
      </c>
      <c r="C619" s="106">
        <v>12</v>
      </c>
      <c r="D619" s="107">
        <v>118.76</v>
      </c>
      <c r="E619" s="107">
        <v>14.69</v>
      </c>
      <c r="F619" s="107">
        <v>19.82</v>
      </c>
    </row>
    <row r="620" spans="1:6" x14ac:dyDescent="0.3">
      <c r="A620" s="106" t="s">
        <v>4747</v>
      </c>
      <c r="B620" s="97" t="s">
        <v>6526</v>
      </c>
      <c r="C620" s="106">
        <v>12</v>
      </c>
      <c r="D620" s="107">
        <v>44.22</v>
      </c>
      <c r="E620" s="107">
        <v>1.31</v>
      </c>
      <c r="F620" s="107">
        <v>-0.78</v>
      </c>
    </row>
    <row r="621" spans="1:6" x14ac:dyDescent="0.3">
      <c r="A621" s="106" t="s">
        <v>4748</v>
      </c>
      <c r="B621" s="97" t="s">
        <v>6527</v>
      </c>
      <c r="C621" s="106">
        <v>12</v>
      </c>
      <c r="D621" s="107">
        <v>132.79</v>
      </c>
      <c r="E621" s="107">
        <v>1.01</v>
      </c>
      <c r="F621" s="107">
        <v>2.9</v>
      </c>
    </row>
    <row r="622" spans="1:6" x14ac:dyDescent="0.3">
      <c r="A622" s="106" t="s">
        <v>4749</v>
      </c>
      <c r="B622" s="97" t="s">
        <v>6528</v>
      </c>
      <c r="C622" s="106">
        <v>12</v>
      </c>
      <c r="D622" s="107">
        <v>40.99</v>
      </c>
      <c r="E622" s="107">
        <v>0.32</v>
      </c>
      <c r="F622" s="107">
        <v>-0.16</v>
      </c>
    </row>
    <row r="623" spans="1:6" x14ac:dyDescent="0.3">
      <c r="A623" s="106" t="s">
        <v>3854</v>
      </c>
      <c r="B623" s="97" t="s">
        <v>6529</v>
      </c>
      <c r="C623" s="106">
        <v>12</v>
      </c>
      <c r="D623" s="107">
        <v>852.78</v>
      </c>
      <c r="E623" s="107">
        <v>69.709999999999994</v>
      </c>
      <c r="F623" s="107">
        <v>75.14</v>
      </c>
    </row>
    <row r="624" spans="1:6" x14ac:dyDescent="0.3">
      <c r="A624" s="106" t="s">
        <v>4750</v>
      </c>
      <c r="B624" s="97" t="s">
        <v>6530</v>
      </c>
      <c r="C624" s="106">
        <v>12</v>
      </c>
      <c r="D624" s="107">
        <v>422.88</v>
      </c>
      <c r="E624" s="107">
        <v>5.34</v>
      </c>
      <c r="F624" s="107">
        <v>-7.38</v>
      </c>
    </row>
    <row r="625" spans="1:6" x14ac:dyDescent="0.3">
      <c r="A625" s="106" t="s">
        <v>4751</v>
      </c>
      <c r="B625" s="97" t="s">
        <v>6531</v>
      </c>
      <c r="C625" s="106">
        <v>12</v>
      </c>
      <c r="D625" s="107">
        <v>35.5</v>
      </c>
      <c r="E625" s="107">
        <v>0.38</v>
      </c>
      <c r="F625" s="107">
        <v>1.31</v>
      </c>
    </row>
    <row r="626" spans="1:6" x14ac:dyDescent="0.3">
      <c r="A626" s="106" t="s">
        <v>4752</v>
      </c>
      <c r="B626" s="97" t="s">
        <v>6532</v>
      </c>
      <c r="C626" s="106">
        <v>6</v>
      </c>
      <c r="D626" s="107">
        <v>184.48</v>
      </c>
      <c r="E626" s="107">
        <v>0.47</v>
      </c>
      <c r="F626" s="107">
        <v>-0.49</v>
      </c>
    </row>
    <row r="627" spans="1:6" x14ac:dyDescent="0.3">
      <c r="A627" s="106" t="s">
        <v>4753</v>
      </c>
      <c r="B627" s="97" t="s">
        <v>6533</v>
      </c>
      <c r="C627" s="106">
        <v>3</v>
      </c>
      <c r="D627" s="107">
        <v>33.72</v>
      </c>
      <c r="E627" s="107">
        <v>-2.06</v>
      </c>
      <c r="F627" s="107">
        <v>-13.8</v>
      </c>
    </row>
    <row r="628" spans="1:6" x14ac:dyDescent="0.3">
      <c r="A628" s="106" t="s">
        <v>4754</v>
      </c>
      <c r="B628" s="97" t="s">
        <v>6534</v>
      </c>
      <c r="C628" s="106">
        <v>12</v>
      </c>
      <c r="D628" s="107">
        <v>371.14</v>
      </c>
      <c r="E628" s="107">
        <v>16.25</v>
      </c>
      <c r="F628" s="107">
        <v>19.5</v>
      </c>
    </row>
    <row r="629" spans="1:6" x14ac:dyDescent="0.3">
      <c r="A629" s="106" t="s">
        <v>4755</v>
      </c>
      <c r="B629" s="97" t="s">
        <v>6535</v>
      </c>
      <c r="C629" s="106">
        <v>12</v>
      </c>
      <c r="D629" s="107">
        <v>246.85</v>
      </c>
      <c r="E629" s="107">
        <v>4.16</v>
      </c>
      <c r="F629" s="107">
        <v>6.02</v>
      </c>
    </row>
    <row r="630" spans="1:6" x14ac:dyDescent="0.3">
      <c r="A630" s="106" t="s">
        <v>4756</v>
      </c>
      <c r="B630" s="97" t="s">
        <v>6536</v>
      </c>
      <c r="C630" s="106">
        <v>12</v>
      </c>
      <c r="D630" s="107">
        <v>46.69</v>
      </c>
      <c r="E630" s="107">
        <v>0.28000000000000003</v>
      </c>
      <c r="F630" s="107">
        <v>-0.45</v>
      </c>
    </row>
    <row r="631" spans="1:6" x14ac:dyDescent="0.3">
      <c r="A631" s="106" t="s">
        <v>4757</v>
      </c>
      <c r="B631" s="97" t="s">
        <v>6537</v>
      </c>
      <c r="C631" s="106">
        <v>12</v>
      </c>
      <c r="D631" s="107">
        <v>149.85</v>
      </c>
      <c r="E631" s="107">
        <v>4.24</v>
      </c>
      <c r="F631" s="107">
        <v>7.8</v>
      </c>
    </row>
    <row r="632" spans="1:6" x14ac:dyDescent="0.3">
      <c r="A632" s="106" t="s">
        <v>4758</v>
      </c>
      <c r="B632" s="97" t="s">
        <v>6538</v>
      </c>
      <c r="C632" s="106">
        <v>12</v>
      </c>
      <c r="D632" s="107">
        <v>40.64</v>
      </c>
      <c r="E632" s="107">
        <v>0.06</v>
      </c>
      <c r="F632" s="107">
        <v>1.4</v>
      </c>
    </row>
    <row r="633" spans="1:6" x14ac:dyDescent="0.3">
      <c r="A633" s="106" t="s">
        <v>3855</v>
      </c>
      <c r="B633" s="97" t="s">
        <v>6539</v>
      </c>
      <c r="C633" s="106">
        <v>12</v>
      </c>
      <c r="D633" s="107">
        <v>396.92</v>
      </c>
      <c r="E633" s="107">
        <v>10.84</v>
      </c>
      <c r="F633" s="107">
        <v>13.39</v>
      </c>
    </row>
    <row r="634" spans="1:6" x14ac:dyDescent="0.3">
      <c r="A634" s="106" t="s">
        <v>4759</v>
      </c>
      <c r="B634" s="97" t="s">
        <v>6540</v>
      </c>
      <c r="C634" s="106">
        <v>12</v>
      </c>
      <c r="D634" s="107">
        <v>119.56</v>
      </c>
      <c r="E634" s="107">
        <v>0.63</v>
      </c>
      <c r="F634" s="107">
        <v>4.3</v>
      </c>
    </row>
    <row r="635" spans="1:6" x14ac:dyDescent="0.3">
      <c r="A635" s="106" t="s">
        <v>4760</v>
      </c>
      <c r="B635" s="97" t="s">
        <v>6541</v>
      </c>
      <c r="C635" s="106">
        <v>12</v>
      </c>
      <c r="D635" s="107">
        <v>533.72</v>
      </c>
      <c r="E635" s="107">
        <v>6.04</v>
      </c>
      <c r="F635" s="107">
        <v>17.87</v>
      </c>
    </row>
    <row r="636" spans="1:6" x14ac:dyDescent="0.3">
      <c r="A636" s="106" t="s">
        <v>4761</v>
      </c>
      <c r="B636" s="97" t="s">
        <v>6542</v>
      </c>
      <c r="C636" s="106">
        <v>12</v>
      </c>
      <c r="D636" s="107">
        <v>25.09</v>
      </c>
      <c r="E636" s="107">
        <v>1.6</v>
      </c>
      <c r="F636" s="107">
        <v>-0.87</v>
      </c>
    </row>
    <row r="637" spans="1:6" x14ac:dyDescent="0.3">
      <c r="A637" s="106" t="s">
        <v>4762</v>
      </c>
      <c r="B637" s="97" t="s">
        <v>6543</v>
      </c>
      <c r="C637" s="106">
        <v>12</v>
      </c>
      <c r="D637" s="107">
        <v>43.85</v>
      </c>
      <c r="E637" s="107">
        <v>-1.28</v>
      </c>
      <c r="F637" s="107">
        <v>-7.0000000000000007E-2</v>
      </c>
    </row>
    <row r="638" spans="1:6" x14ac:dyDescent="0.3">
      <c r="A638" s="106" t="s">
        <v>4763</v>
      </c>
      <c r="B638" s="97" t="s">
        <v>6544</v>
      </c>
      <c r="C638" s="106">
        <v>12</v>
      </c>
      <c r="D638" s="107">
        <v>48.03</v>
      </c>
      <c r="E638" s="107">
        <v>0.6</v>
      </c>
      <c r="F638" s="107">
        <v>0.08</v>
      </c>
    </row>
    <row r="639" spans="1:6" x14ac:dyDescent="0.3">
      <c r="A639" s="106" t="s">
        <v>4764</v>
      </c>
      <c r="B639" s="97" t="s">
        <v>6545</v>
      </c>
      <c r="C639" s="106">
        <v>12</v>
      </c>
      <c r="D639" s="107">
        <v>81.53</v>
      </c>
      <c r="E639" s="107">
        <v>-1.1200000000000001</v>
      </c>
      <c r="F639" s="107">
        <v>0.61</v>
      </c>
    </row>
    <row r="640" spans="1:6" x14ac:dyDescent="0.3">
      <c r="A640" s="106" t="s">
        <v>3856</v>
      </c>
      <c r="B640" s="97" t="s">
        <v>6546</v>
      </c>
      <c r="C640" s="106">
        <v>12</v>
      </c>
      <c r="D640" s="107">
        <v>15926.02</v>
      </c>
      <c r="E640" s="107">
        <v>345.06</v>
      </c>
      <c r="F640" s="107">
        <v>385.58</v>
      </c>
    </row>
    <row r="641" spans="1:6" x14ac:dyDescent="0.3">
      <c r="A641" s="106" t="s">
        <v>4765</v>
      </c>
      <c r="B641" s="97" t="s">
        <v>6547</v>
      </c>
      <c r="C641" s="106">
        <v>12</v>
      </c>
      <c r="D641" s="107">
        <v>1172.79</v>
      </c>
      <c r="E641" s="107">
        <v>19.350000000000001</v>
      </c>
      <c r="F641" s="107">
        <v>6.48</v>
      </c>
    </row>
    <row r="642" spans="1:6" x14ac:dyDescent="0.3">
      <c r="A642" s="106" t="s">
        <v>4766</v>
      </c>
      <c r="B642" s="97" t="s">
        <v>6548</v>
      </c>
      <c r="C642" s="106">
        <v>12</v>
      </c>
      <c r="D642" s="107">
        <v>302.10000000000002</v>
      </c>
      <c r="E642" s="107">
        <v>5.43</v>
      </c>
      <c r="F642" s="107">
        <v>2.5</v>
      </c>
    </row>
    <row r="643" spans="1:6" x14ac:dyDescent="0.3">
      <c r="A643" s="106" t="s">
        <v>4767</v>
      </c>
      <c r="B643" s="97" t="s">
        <v>6549</v>
      </c>
      <c r="C643" s="106">
        <v>3</v>
      </c>
      <c r="D643" s="107">
        <v>146.02000000000001</v>
      </c>
      <c r="E643" s="107">
        <v>5.43</v>
      </c>
      <c r="F643" s="107">
        <v>3.62</v>
      </c>
    </row>
    <row r="644" spans="1:6" x14ac:dyDescent="0.3">
      <c r="A644" s="106" t="s">
        <v>4768</v>
      </c>
      <c r="B644" s="97" t="s">
        <v>6550</v>
      </c>
      <c r="C644" s="106">
        <v>12</v>
      </c>
      <c r="D644" s="107">
        <v>10.029999999999999</v>
      </c>
      <c r="E644" s="107">
        <v>-0.81</v>
      </c>
      <c r="F644" s="107">
        <v>-0.82</v>
      </c>
    </row>
    <row r="645" spans="1:6" x14ac:dyDescent="0.3">
      <c r="A645" s="106" t="s">
        <v>4769</v>
      </c>
      <c r="B645" s="97" t="s">
        <v>6551</v>
      </c>
      <c r="C645" s="106">
        <v>12</v>
      </c>
      <c r="D645" s="107">
        <v>38.049999999999997</v>
      </c>
      <c r="E645" s="107">
        <v>-0.95</v>
      </c>
      <c r="F645" s="107">
        <v>-0.32</v>
      </c>
    </row>
    <row r="646" spans="1:6" x14ac:dyDescent="0.3">
      <c r="A646" s="106" t="s">
        <v>4770</v>
      </c>
      <c r="B646" s="97" t="s">
        <v>6552</v>
      </c>
      <c r="C646" s="106">
        <v>12</v>
      </c>
      <c r="D646" s="107">
        <v>198.51</v>
      </c>
      <c r="E646" s="107">
        <v>2.59</v>
      </c>
      <c r="F646" s="107">
        <v>17.78</v>
      </c>
    </row>
    <row r="647" spans="1:6" x14ac:dyDescent="0.3">
      <c r="A647" s="106" t="s">
        <v>4771</v>
      </c>
      <c r="B647" s="97" t="s">
        <v>6553</v>
      </c>
      <c r="C647" s="106">
        <v>12</v>
      </c>
      <c r="D647" s="107">
        <v>70.36</v>
      </c>
      <c r="E647" s="107">
        <v>3.38</v>
      </c>
      <c r="F647" s="107">
        <v>1.18</v>
      </c>
    </row>
    <row r="648" spans="1:6" x14ac:dyDescent="0.3">
      <c r="A648" s="106" t="s">
        <v>4772</v>
      </c>
      <c r="B648" s="97" t="s">
        <v>6554</v>
      </c>
      <c r="C648" s="106">
        <v>12</v>
      </c>
      <c r="D648" s="107">
        <v>308.82</v>
      </c>
      <c r="E648" s="107">
        <v>14.84</v>
      </c>
      <c r="F648" s="107">
        <v>21.16</v>
      </c>
    </row>
    <row r="649" spans="1:6" x14ac:dyDescent="0.3">
      <c r="A649" s="106" t="s">
        <v>4773</v>
      </c>
      <c r="B649" s="97" t="s">
        <v>6555</v>
      </c>
      <c r="C649" s="106">
        <v>12</v>
      </c>
      <c r="D649" s="107">
        <v>94.59</v>
      </c>
      <c r="E649" s="107">
        <v>2.33</v>
      </c>
      <c r="F649" s="107">
        <v>1.32</v>
      </c>
    </row>
    <row r="650" spans="1:6" x14ac:dyDescent="0.3">
      <c r="A650" s="106" t="s">
        <v>4774</v>
      </c>
      <c r="B650" s="97" t="s">
        <v>6556</v>
      </c>
      <c r="C650" s="106">
        <v>12</v>
      </c>
      <c r="D650" s="107">
        <v>51.12</v>
      </c>
      <c r="E650" s="107">
        <v>3.58</v>
      </c>
      <c r="F650" s="107">
        <v>2.5</v>
      </c>
    </row>
    <row r="651" spans="1:6" x14ac:dyDescent="0.3">
      <c r="A651" s="106" t="s">
        <v>4775</v>
      </c>
      <c r="B651" s="97" t="s">
        <v>6557</v>
      </c>
      <c r="C651" s="106">
        <v>12</v>
      </c>
      <c r="D651" s="107">
        <v>120.16</v>
      </c>
      <c r="E651" s="107">
        <v>0.21</v>
      </c>
      <c r="F651" s="107">
        <v>-1.96</v>
      </c>
    </row>
    <row r="652" spans="1:6" x14ac:dyDescent="0.3">
      <c r="A652" s="106" t="s">
        <v>4776</v>
      </c>
      <c r="B652" s="97" t="s">
        <v>6558</v>
      </c>
      <c r="C652" s="106">
        <v>12</v>
      </c>
      <c r="D652" s="107">
        <v>64.150000000000006</v>
      </c>
      <c r="E652" s="107">
        <v>0.25</v>
      </c>
      <c r="F652" s="107">
        <v>0.25</v>
      </c>
    </row>
    <row r="653" spans="1:6" x14ac:dyDescent="0.3">
      <c r="A653" s="106" t="s">
        <v>4777</v>
      </c>
      <c r="B653" s="97" t="s">
        <v>6559</v>
      </c>
      <c r="C653" s="106">
        <v>12</v>
      </c>
      <c r="D653" s="107">
        <v>115.4</v>
      </c>
      <c r="E653" s="107">
        <v>1.39</v>
      </c>
      <c r="F653" s="107">
        <v>2.15</v>
      </c>
    </row>
    <row r="654" spans="1:6" x14ac:dyDescent="0.3">
      <c r="A654" s="106" t="s">
        <v>4778</v>
      </c>
      <c r="B654" s="97" t="s">
        <v>6560</v>
      </c>
      <c r="C654" s="106">
        <v>12</v>
      </c>
      <c r="D654" s="107">
        <v>139.27000000000001</v>
      </c>
      <c r="E654" s="107">
        <v>0.77</v>
      </c>
      <c r="F654" s="107">
        <v>4.8600000000000003</v>
      </c>
    </row>
    <row r="655" spans="1:6" x14ac:dyDescent="0.3">
      <c r="A655" s="106" t="s">
        <v>3857</v>
      </c>
      <c r="B655" s="97" t="s">
        <v>6561</v>
      </c>
      <c r="C655" s="106">
        <v>12</v>
      </c>
      <c r="D655" s="107">
        <v>13938.29</v>
      </c>
      <c r="E655" s="107">
        <v>337.54</v>
      </c>
      <c r="F655" s="107">
        <v>467.94</v>
      </c>
    </row>
    <row r="656" spans="1:6" x14ac:dyDescent="0.3">
      <c r="A656" s="106" t="s">
        <v>4779</v>
      </c>
      <c r="B656" s="97" t="s">
        <v>6562</v>
      </c>
      <c r="C656" s="106">
        <v>12</v>
      </c>
      <c r="D656" s="107">
        <v>57.21</v>
      </c>
      <c r="E656" s="107">
        <v>1.77</v>
      </c>
      <c r="F656" s="107">
        <v>1.99</v>
      </c>
    </row>
    <row r="657" spans="1:6" x14ac:dyDescent="0.3">
      <c r="A657" s="106" t="s">
        <v>4780</v>
      </c>
      <c r="B657" s="97" t="s">
        <v>6563</v>
      </c>
      <c r="C657" s="106">
        <v>12</v>
      </c>
      <c r="D657" s="107">
        <v>405.96</v>
      </c>
      <c r="E657" s="107">
        <v>18.11</v>
      </c>
      <c r="F657" s="107">
        <v>-0.02</v>
      </c>
    </row>
    <row r="658" spans="1:6" x14ac:dyDescent="0.3">
      <c r="A658" s="106" t="s">
        <v>4781</v>
      </c>
      <c r="B658" s="97" t="s">
        <v>6564</v>
      </c>
      <c r="C658" s="106">
        <v>3</v>
      </c>
      <c r="D658" s="107">
        <v>153.66</v>
      </c>
      <c r="E658" s="107">
        <v>0.99</v>
      </c>
      <c r="F658" s="107">
        <v>4.6399999999999997</v>
      </c>
    </row>
    <row r="659" spans="1:6" x14ac:dyDescent="0.3">
      <c r="A659" s="106" t="s">
        <v>4782</v>
      </c>
      <c r="B659" s="97" t="s">
        <v>6565</v>
      </c>
      <c r="C659" s="106">
        <v>12</v>
      </c>
      <c r="D659" s="107">
        <v>85.09</v>
      </c>
      <c r="E659" s="107">
        <v>0.17</v>
      </c>
      <c r="F659" s="107">
        <v>1.78</v>
      </c>
    </row>
    <row r="660" spans="1:6" x14ac:dyDescent="0.3">
      <c r="A660" s="106" t="s">
        <v>4783</v>
      </c>
      <c r="B660" s="97" t="s">
        <v>6566</v>
      </c>
      <c r="C660" s="106">
        <v>12</v>
      </c>
      <c r="D660" s="107">
        <v>126.8</v>
      </c>
      <c r="E660" s="107">
        <v>2.4900000000000002</v>
      </c>
      <c r="F660" s="107">
        <v>1.91</v>
      </c>
    </row>
    <row r="661" spans="1:6" x14ac:dyDescent="0.3">
      <c r="A661" s="106" t="s">
        <v>4784</v>
      </c>
      <c r="B661" s="97" t="s">
        <v>6567</v>
      </c>
      <c r="C661" s="106">
        <v>12</v>
      </c>
      <c r="D661" s="107">
        <v>85.46</v>
      </c>
      <c r="E661" s="107">
        <v>-2.1</v>
      </c>
      <c r="F661" s="107">
        <v>-0.98</v>
      </c>
    </row>
    <row r="662" spans="1:6" x14ac:dyDescent="0.3">
      <c r="A662" s="106" t="s">
        <v>4785</v>
      </c>
      <c r="B662" s="97" t="s">
        <v>6568</v>
      </c>
      <c r="C662" s="106">
        <v>12</v>
      </c>
      <c r="D662" s="107">
        <v>161.76</v>
      </c>
      <c r="E662" s="107">
        <v>-1.7</v>
      </c>
      <c r="F662" s="107">
        <v>1.25</v>
      </c>
    </row>
    <row r="663" spans="1:6" x14ac:dyDescent="0.3">
      <c r="A663" s="106" t="s">
        <v>4786</v>
      </c>
      <c r="B663" s="97" t="s">
        <v>6569</v>
      </c>
      <c r="C663" s="106">
        <v>12</v>
      </c>
      <c r="D663" s="107">
        <v>65.81</v>
      </c>
      <c r="E663" s="107">
        <v>2.09</v>
      </c>
      <c r="F663" s="107">
        <v>-1.63</v>
      </c>
    </row>
    <row r="664" spans="1:6" x14ac:dyDescent="0.3">
      <c r="A664" s="106" t="s">
        <v>4787</v>
      </c>
      <c r="B664" s="97" t="s">
        <v>6570</v>
      </c>
      <c r="C664" s="106">
        <v>12</v>
      </c>
      <c r="D664" s="107">
        <v>43.12</v>
      </c>
      <c r="E664" s="107">
        <v>0.91</v>
      </c>
      <c r="F664" s="107">
        <v>0.16</v>
      </c>
    </row>
    <row r="665" spans="1:6" x14ac:dyDescent="0.3">
      <c r="A665" s="106" t="s">
        <v>4788</v>
      </c>
      <c r="B665" s="97" t="s">
        <v>6571</v>
      </c>
      <c r="C665" s="106">
        <v>12</v>
      </c>
      <c r="D665" s="107">
        <v>141.44999999999999</v>
      </c>
      <c r="E665" s="107">
        <v>-1.95</v>
      </c>
      <c r="F665" s="107">
        <v>7.46</v>
      </c>
    </row>
    <row r="666" spans="1:6" x14ac:dyDescent="0.3">
      <c r="A666" s="106" t="s">
        <v>4789</v>
      </c>
      <c r="B666" s="97" t="s">
        <v>6572</v>
      </c>
      <c r="C666" s="106">
        <v>12</v>
      </c>
      <c r="D666" s="107">
        <v>34.9</v>
      </c>
      <c r="E666" s="107">
        <v>0.56999999999999995</v>
      </c>
      <c r="F666" s="107">
        <v>1.66</v>
      </c>
    </row>
    <row r="667" spans="1:6" x14ac:dyDescent="0.3">
      <c r="A667" s="106" t="s">
        <v>4790</v>
      </c>
      <c r="B667" s="97" t="s">
        <v>6573</v>
      </c>
      <c r="C667" s="106">
        <v>12</v>
      </c>
      <c r="D667" s="107">
        <v>52.37</v>
      </c>
      <c r="E667" s="107">
        <v>-1.63</v>
      </c>
      <c r="F667" s="107">
        <v>-0.17</v>
      </c>
    </row>
    <row r="668" spans="1:6" x14ac:dyDescent="0.3">
      <c r="A668" s="106" t="s">
        <v>4791</v>
      </c>
      <c r="B668" s="97" t="s">
        <v>6574</v>
      </c>
      <c r="C668" s="106">
        <v>12</v>
      </c>
      <c r="D668" s="107">
        <v>82.82</v>
      </c>
      <c r="E668" s="107">
        <v>6.81</v>
      </c>
      <c r="F668" s="107">
        <v>5.1100000000000003</v>
      </c>
    </row>
    <row r="669" spans="1:6" x14ac:dyDescent="0.3">
      <c r="A669" s="106" t="s">
        <v>4792</v>
      </c>
      <c r="B669" s="97" t="s">
        <v>6575</v>
      </c>
      <c r="C669" s="106">
        <v>12</v>
      </c>
      <c r="D669" s="107">
        <v>26.92</v>
      </c>
      <c r="E669" s="107">
        <v>0.28999999999999998</v>
      </c>
      <c r="F669" s="107">
        <v>0.51</v>
      </c>
    </row>
    <row r="670" spans="1:6" x14ac:dyDescent="0.3">
      <c r="A670" s="106" t="s">
        <v>4793</v>
      </c>
      <c r="B670" s="97" t="s">
        <v>6576</v>
      </c>
      <c r="C670" s="106">
        <v>12</v>
      </c>
      <c r="D670" s="107">
        <v>76.36</v>
      </c>
      <c r="E670" s="107">
        <v>1.86</v>
      </c>
      <c r="F670" s="107">
        <v>4.18</v>
      </c>
    </row>
    <row r="671" spans="1:6" x14ac:dyDescent="0.3">
      <c r="A671" s="106" t="s">
        <v>4794</v>
      </c>
      <c r="B671" s="97" t="s">
        <v>6577</v>
      </c>
      <c r="C671" s="106">
        <v>12</v>
      </c>
      <c r="D671" s="107">
        <v>335.33</v>
      </c>
      <c r="E671" s="107">
        <v>7.97</v>
      </c>
      <c r="F671" s="107">
        <v>12.85</v>
      </c>
    </row>
    <row r="672" spans="1:6" x14ac:dyDescent="0.3">
      <c r="A672" s="106" t="s">
        <v>4795</v>
      </c>
      <c r="B672" s="97" t="s">
        <v>6578</v>
      </c>
      <c r="C672" s="106">
        <v>12</v>
      </c>
      <c r="D672" s="107">
        <v>36.06</v>
      </c>
      <c r="E672" s="107">
        <v>-1.2</v>
      </c>
      <c r="F672" s="107">
        <v>0.21</v>
      </c>
    </row>
    <row r="673" spans="1:6" x14ac:dyDescent="0.3">
      <c r="A673" s="106" t="s">
        <v>4796</v>
      </c>
      <c r="B673" s="97" t="s">
        <v>6579</v>
      </c>
      <c r="C673" s="106">
        <v>12</v>
      </c>
      <c r="D673" s="107">
        <v>83.06</v>
      </c>
      <c r="E673" s="107">
        <v>2.4</v>
      </c>
      <c r="F673" s="107">
        <v>1.6</v>
      </c>
    </row>
    <row r="674" spans="1:6" x14ac:dyDescent="0.3">
      <c r="A674" s="106" t="s">
        <v>4797</v>
      </c>
      <c r="B674" s="97" t="s">
        <v>6580</v>
      </c>
      <c r="C674" s="106">
        <v>12</v>
      </c>
      <c r="D674" s="107">
        <v>25.65</v>
      </c>
      <c r="E674" s="107">
        <v>0.56000000000000005</v>
      </c>
      <c r="F674" s="107">
        <v>1.77</v>
      </c>
    </row>
    <row r="675" spans="1:6" x14ac:dyDescent="0.3">
      <c r="A675" s="106" t="s">
        <v>4798</v>
      </c>
      <c r="B675" s="97" t="s">
        <v>6581</v>
      </c>
      <c r="C675" s="106">
        <v>12</v>
      </c>
      <c r="D675" s="107">
        <v>197.49</v>
      </c>
      <c r="E675" s="107">
        <v>8.0299999999999994</v>
      </c>
      <c r="F675" s="107">
        <v>-0.14000000000000001</v>
      </c>
    </row>
    <row r="676" spans="1:6" x14ac:dyDescent="0.3">
      <c r="A676" s="106" t="s">
        <v>4799</v>
      </c>
      <c r="B676" s="97" t="s">
        <v>6582</v>
      </c>
      <c r="C676" s="106">
        <v>12</v>
      </c>
      <c r="D676" s="107">
        <v>408.54</v>
      </c>
      <c r="E676" s="107">
        <v>13.92</v>
      </c>
      <c r="F676" s="107">
        <v>8.75</v>
      </c>
    </row>
    <row r="677" spans="1:6" x14ac:dyDescent="0.3">
      <c r="A677" s="106" t="s">
        <v>4800</v>
      </c>
      <c r="B677" s="97" t="s">
        <v>6583</v>
      </c>
      <c r="C677" s="106">
        <v>12</v>
      </c>
      <c r="D677" s="107">
        <v>71.349999999999994</v>
      </c>
      <c r="E677" s="107">
        <v>2.64</v>
      </c>
      <c r="F677" s="107">
        <v>2.66</v>
      </c>
    </row>
    <row r="678" spans="1:6" x14ac:dyDescent="0.3">
      <c r="A678" s="106" t="s">
        <v>4801</v>
      </c>
      <c r="B678" s="97" t="s">
        <v>6584</v>
      </c>
      <c r="C678" s="106">
        <v>12</v>
      </c>
      <c r="D678" s="107">
        <v>38.44</v>
      </c>
      <c r="E678" s="107">
        <v>0.93</v>
      </c>
      <c r="F678" s="107">
        <v>-2.78</v>
      </c>
    </row>
    <row r="679" spans="1:6" x14ac:dyDescent="0.3">
      <c r="A679" s="106" t="s">
        <v>4802</v>
      </c>
      <c r="B679" s="97" t="s">
        <v>6585</v>
      </c>
      <c r="C679" s="106">
        <v>12</v>
      </c>
      <c r="D679" s="107">
        <v>11.14</v>
      </c>
      <c r="E679" s="107">
        <v>-0.99</v>
      </c>
      <c r="F679" s="107">
        <v>1.29</v>
      </c>
    </row>
    <row r="680" spans="1:6" x14ac:dyDescent="0.3">
      <c r="A680" s="106" t="s">
        <v>4803</v>
      </c>
      <c r="B680" s="97" t="s">
        <v>6586</v>
      </c>
      <c r="C680" s="106">
        <v>12</v>
      </c>
      <c r="D680" s="107">
        <v>113.25</v>
      </c>
      <c r="E680" s="107">
        <v>0.11</v>
      </c>
      <c r="F680" s="107">
        <v>1.5</v>
      </c>
    </row>
    <row r="681" spans="1:6" x14ac:dyDescent="0.3">
      <c r="A681" s="106" t="s">
        <v>4804</v>
      </c>
      <c r="B681" s="97" t="s">
        <v>6587</v>
      </c>
      <c r="C681" s="106">
        <v>12</v>
      </c>
      <c r="D681" s="107">
        <v>70.930000000000007</v>
      </c>
      <c r="E681" s="107">
        <v>6</v>
      </c>
      <c r="F681" s="107">
        <v>5.55</v>
      </c>
    </row>
    <row r="682" spans="1:6" x14ac:dyDescent="0.3">
      <c r="A682" s="106" t="s">
        <v>4805</v>
      </c>
      <c r="B682" s="97" t="s">
        <v>6588</v>
      </c>
      <c r="C682" s="106">
        <v>12</v>
      </c>
      <c r="D682" s="107">
        <v>116.37</v>
      </c>
      <c r="E682" s="107">
        <v>-0.54</v>
      </c>
      <c r="F682" s="107">
        <v>-0.86</v>
      </c>
    </row>
    <row r="683" spans="1:6" x14ac:dyDescent="0.3">
      <c r="A683" s="106" t="s">
        <v>4806</v>
      </c>
      <c r="B683" s="97" t="s">
        <v>6589</v>
      </c>
      <c r="C683" s="106">
        <v>12</v>
      </c>
      <c r="D683" s="107">
        <v>122.61</v>
      </c>
      <c r="E683" s="107">
        <v>-7.13</v>
      </c>
      <c r="F683" s="107">
        <v>5.63</v>
      </c>
    </row>
    <row r="684" spans="1:6" x14ac:dyDescent="0.3">
      <c r="A684" s="106" t="s">
        <v>4807</v>
      </c>
      <c r="B684" s="97" t="s">
        <v>6590</v>
      </c>
      <c r="C684" s="106">
        <v>12</v>
      </c>
      <c r="D684" s="107">
        <v>343.77</v>
      </c>
      <c r="E684" s="107">
        <v>10</v>
      </c>
      <c r="F684" s="107">
        <v>7.02</v>
      </c>
    </row>
    <row r="685" spans="1:6" x14ac:dyDescent="0.3">
      <c r="A685" s="106" t="s">
        <v>4808</v>
      </c>
      <c r="B685" s="97" t="s">
        <v>6591</v>
      </c>
      <c r="C685" s="106">
        <v>12</v>
      </c>
      <c r="D685" s="107">
        <v>18.440000000000001</v>
      </c>
      <c r="E685" s="107">
        <v>-0.06</v>
      </c>
      <c r="F685" s="107">
        <v>0.28999999999999998</v>
      </c>
    </row>
    <row r="686" spans="1:6" x14ac:dyDescent="0.3">
      <c r="A686" s="106" t="s">
        <v>4809</v>
      </c>
      <c r="B686" s="97" t="s">
        <v>6592</v>
      </c>
      <c r="C686" s="106">
        <v>12</v>
      </c>
      <c r="D686" s="107">
        <v>46.95</v>
      </c>
      <c r="E686" s="107">
        <v>0.11</v>
      </c>
      <c r="F686" s="107">
        <v>0.68</v>
      </c>
    </row>
    <row r="687" spans="1:6" x14ac:dyDescent="0.3">
      <c r="A687" s="106" t="s">
        <v>4810</v>
      </c>
      <c r="B687" s="97" t="s">
        <v>6593</v>
      </c>
      <c r="C687" s="106">
        <v>12</v>
      </c>
      <c r="D687" s="107">
        <v>71.53</v>
      </c>
      <c r="E687" s="107">
        <v>-0.61</v>
      </c>
      <c r="F687" s="107">
        <v>0.32</v>
      </c>
    </row>
    <row r="688" spans="1:6" x14ac:dyDescent="0.3">
      <c r="A688" s="106" t="s">
        <v>4811</v>
      </c>
      <c r="B688" s="97" t="s">
        <v>6594</v>
      </c>
      <c r="C688" s="106">
        <v>12</v>
      </c>
      <c r="D688" s="107">
        <v>645.39</v>
      </c>
      <c r="E688" s="107">
        <v>-2.75</v>
      </c>
      <c r="F688" s="107">
        <v>5.94</v>
      </c>
    </row>
    <row r="689" spans="1:6" x14ac:dyDescent="0.3">
      <c r="A689" s="106" t="s">
        <v>4812</v>
      </c>
      <c r="B689" s="97" t="s">
        <v>6595</v>
      </c>
      <c r="C689" s="106">
        <v>12</v>
      </c>
      <c r="D689" s="107">
        <v>6.38</v>
      </c>
      <c r="E689" s="107">
        <v>-0.17</v>
      </c>
      <c r="F689" s="107">
        <v>-1.08</v>
      </c>
    </row>
    <row r="690" spans="1:6" x14ac:dyDescent="0.3">
      <c r="A690" s="106" t="s">
        <v>4813</v>
      </c>
      <c r="B690" s="97" t="s">
        <v>6596</v>
      </c>
      <c r="C690" s="106">
        <v>12</v>
      </c>
      <c r="D690" s="107">
        <v>61.58</v>
      </c>
      <c r="E690" s="107">
        <v>0.14000000000000001</v>
      </c>
      <c r="F690" s="107">
        <v>0.24</v>
      </c>
    </row>
    <row r="691" spans="1:6" x14ac:dyDescent="0.3">
      <c r="A691" s="106" t="s">
        <v>4814</v>
      </c>
      <c r="B691" s="97" t="s">
        <v>6597</v>
      </c>
      <c r="C691" s="106">
        <v>12</v>
      </c>
      <c r="D691" s="107">
        <v>28.68</v>
      </c>
      <c r="E691" s="107">
        <v>-2.0699999999999998</v>
      </c>
      <c r="F691" s="107">
        <v>0.79</v>
      </c>
    </row>
    <row r="692" spans="1:6" x14ac:dyDescent="0.3">
      <c r="A692" s="106" t="s">
        <v>3858</v>
      </c>
      <c r="B692" s="97" t="s">
        <v>6598</v>
      </c>
      <c r="C692" s="106">
        <v>12</v>
      </c>
      <c r="D692" s="107">
        <v>57.12</v>
      </c>
      <c r="E692" s="107">
        <v>3.04</v>
      </c>
      <c r="F692" s="107">
        <v>2.44</v>
      </c>
    </row>
    <row r="693" spans="1:6" x14ac:dyDescent="0.3">
      <c r="A693" s="106" t="s">
        <v>4815</v>
      </c>
      <c r="B693" s="97" t="s">
        <v>6599</v>
      </c>
      <c r="C693" s="106">
        <v>12</v>
      </c>
      <c r="D693" s="107">
        <v>78.930000000000007</v>
      </c>
      <c r="E693" s="107">
        <v>0.81</v>
      </c>
      <c r="F693" s="107">
        <v>-4.76</v>
      </c>
    </row>
    <row r="694" spans="1:6" x14ac:dyDescent="0.3">
      <c r="A694" s="106" t="s">
        <v>4816</v>
      </c>
      <c r="B694" s="97" t="s">
        <v>6600</v>
      </c>
      <c r="C694" s="106">
        <v>12</v>
      </c>
      <c r="D694" s="107">
        <v>47.35</v>
      </c>
      <c r="E694" s="107">
        <v>-3.25</v>
      </c>
      <c r="F694" s="107">
        <v>0.01</v>
      </c>
    </row>
    <row r="695" spans="1:6" x14ac:dyDescent="0.3">
      <c r="A695" s="106" t="s">
        <v>4817</v>
      </c>
      <c r="B695" s="97" t="s">
        <v>6601</v>
      </c>
      <c r="C695" s="106">
        <v>12</v>
      </c>
      <c r="D695" s="107"/>
      <c r="E695" s="107"/>
      <c r="F695" s="107">
        <v>0.93</v>
      </c>
    </row>
    <row r="696" spans="1:6" x14ac:dyDescent="0.3">
      <c r="A696" s="106" t="s">
        <v>4818</v>
      </c>
      <c r="B696" s="97" t="s">
        <v>6602</v>
      </c>
      <c r="C696" s="106">
        <v>12</v>
      </c>
      <c r="D696" s="107">
        <v>2.89</v>
      </c>
      <c r="E696" s="107">
        <v>-0.23</v>
      </c>
      <c r="F696" s="107">
        <v>-0.51</v>
      </c>
    </row>
    <row r="697" spans="1:6" x14ac:dyDescent="0.3">
      <c r="A697" s="106" t="s">
        <v>4819</v>
      </c>
      <c r="B697" s="97" t="s">
        <v>6603</v>
      </c>
      <c r="C697" s="106">
        <v>12</v>
      </c>
      <c r="D697" s="107"/>
      <c r="E697" s="107"/>
      <c r="F697" s="107">
        <v>-0.19</v>
      </c>
    </row>
    <row r="698" spans="1:6" x14ac:dyDescent="0.3">
      <c r="A698" s="106" t="s">
        <v>4820</v>
      </c>
      <c r="B698" s="97" t="s">
        <v>6604</v>
      </c>
      <c r="C698" s="106">
        <v>12</v>
      </c>
      <c r="D698" s="107">
        <v>111.87</v>
      </c>
      <c r="E698" s="107">
        <v>5.29</v>
      </c>
      <c r="F698" s="107">
        <v>13.48</v>
      </c>
    </row>
    <row r="699" spans="1:6" x14ac:dyDescent="0.3">
      <c r="A699" s="106" t="s">
        <v>4821</v>
      </c>
      <c r="B699" s="97" t="s">
        <v>6605</v>
      </c>
      <c r="C699" s="106">
        <v>12</v>
      </c>
      <c r="D699" s="107">
        <v>28.95</v>
      </c>
      <c r="E699" s="107">
        <v>0.6</v>
      </c>
      <c r="F699" s="107">
        <v>0.93</v>
      </c>
    </row>
    <row r="700" spans="1:6" x14ac:dyDescent="0.3">
      <c r="A700" s="106" t="s">
        <v>4822</v>
      </c>
      <c r="B700" s="97" t="s">
        <v>6606</v>
      </c>
      <c r="C700" s="106">
        <v>12</v>
      </c>
      <c r="D700" s="107">
        <v>104.14</v>
      </c>
      <c r="E700" s="107">
        <v>1.29</v>
      </c>
      <c r="F700" s="107">
        <v>2.34</v>
      </c>
    </row>
    <row r="701" spans="1:6" x14ac:dyDescent="0.3">
      <c r="A701" s="106" t="s">
        <v>4823</v>
      </c>
      <c r="B701" s="97" t="s">
        <v>6607</v>
      </c>
      <c r="C701" s="106">
        <v>12</v>
      </c>
      <c r="D701" s="107">
        <v>915.29</v>
      </c>
      <c r="E701" s="107">
        <v>14.69</v>
      </c>
      <c r="F701" s="107">
        <v>11.12</v>
      </c>
    </row>
    <row r="702" spans="1:6" x14ac:dyDescent="0.3">
      <c r="A702" s="106" t="s">
        <v>4824</v>
      </c>
      <c r="B702" s="97" t="s">
        <v>6608</v>
      </c>
      <c r="C702" s="106">
        <v>12</v>
      </c>
      <c r="D702" s="107">
        <v>56.24</v>
      </c>
      <c r="E702" s="107">
        <v>1.7</v>
      </c>
      <c r="F702" s="107">
        <v>-7.0000000000000007E-2</v>
      </c>
    </row>
    <row r="703" spans="1:6" x14ac:dyDescent="0.3">
      <c r="A703" s="106" t="s">
        <v>4825</v>
      </c>
      <c r="B703" s="97" t="s">
        <v>6609</v>
      </c>
      <c r="C703" s="106">
        <v>12</v>
      </c>
      <c r="D703" s="107">
        <v>73.7</v>
      </c>
      <c r="E703" s="107">
        <v>0.67</v>
      </c>
      <c r="F703" s="107">
        <v>0.36</v>
      </c>
    </row>
    <row r="704" spans="1:6" x14ac:dyDescent="0.3">
      <c r="A704" s="106" t="s">
        <v>4826</v>
      </c>
      <c r="B704" s="97" t="s">
        <v>6610</v>
      </c>
      <c r="C704" s="106">
        <v>12</v>
      </c>
      <c r="D704" s="107">
        <v>247.27</v>
      </c>
      <c r="E704" s="107">
        <v>8.99</v>
      </c>
      <c r="F704" s="107">
        <v>8.1199999999999992</v>
      </c>
    </row>
    <row r="705" spans="1:6" x14ac:dyDescent="0.3">
      <c r="A705" s="106" t="s">
        <v>4827</v>
      </c>
      <c r="B705" s="97" t="s">
        <v>6611</v>
      </c>
      <c r="C705" s="106">
        <v>12</v>
      </c>
      <c r="D705" s="107">
        <v>65.260000000000005</v>
      </c>
      <c r="E705" s="107">
        <v>1.79</v>
      </c>
      <c r="F705" s="107">
        <v>5.72</v>
      </c>
    </row>
    <row r="706" spans="1:6" x14ac:dyDescent="0.3">
      <c r="A706" s="106" t="s">
        <v>4828</v>
      </c>
      <c r="B706" s="97" t="s">
        <v>6612</v>
      </c>
      <c r="C706" s="106">
        <v>12</v>
      </c>
      <c r="D706" s="107">
        <v>135.66999999999999</v>
      </c>
      <c r="E706" s="107">
        <v>2.92</v>
      </c>
      <c r="F706" s="107">
        <v>5.08</v>
      </c>
    </row>
    <row r="707" spans="1:6" x14ac:dyDescent="0.3">
      <c r="A707" s="106" t="s">
        <v>4829</v>
      </c>
      <c r="B707" s="97" t="s">
        <v>6613</v>
      </c>
      <c r="C707" s="106">
        <v>12</v>
      </c>
      <c r="D707" s="107">
        <v>77.33</v>
      </c>
      <c r="E707" s="107">
        <v>-3.66</v>
      </c>
      <c r="F707" s="107">
        <v>-2.4900000000000002</v>
      </c>
    </row>
    <row r="708" spans="1:6" x14ac:dyDescent="0.3">
      <c r="A708" s="106" t="s">
        <v>4830</v>
      </c>
      <c r="B708" s="97" t="s">
        <v>6614</v>
      </c>
      <c r="C708" s="106">
        <v>12</v>
      </c>
      <c r="D708" s="107">
        <v>41.89</v>
      </c>
      <c r="E708" s="107">
        <v>0.35</v>
      </c>
      <c r="F708" s="107">
        <v>-0.52</v>
      </c>
    </row>
    <row r="709" spans="1:6" x14ac:dyDescent="0.3">
      <c r="A709" s="106" t="s">
        <v>4831</v>
      </c>
      <c r="B709" s="97" t="s">
        <v>6615</v>
      </c>
      <c r="C709" s="106">
        <v>12</v>
      </c>
      <c r="D709" s="107">
        <v>83.13</v>
      </c>
      <c r="E709" s="107">
        <v>-1.85</v>
      </c>
      <c r="F709" s="107">
        <v>-4.42</v>
      </c>
    </row>
    <row r="710" spans="1:6" x14ac:dyDescent="0.3">
      <c r="A710" s="106" t="s">
        <v>4832</v>
      </c>
      <c r="B710" s="97" t="s">
        <v>6616</v>
      </c>
      <c r="C710" s="106">
        <v>12</v>
      </c>
      <c r="D710" s="107">
        <v>6.01</v>
      </c>
      <c r="E710" s="107">
        <v>-0.85</v>
      </c>
      <c r="F710" s="107">
        <v>-1.4</v>
      </c>
    </row>
    <row r="711" spans="1:6" x14ac:dyDescent="0.3">
      <c r="A711" s="106" t="s">
        <v>3859</v>
      </c>
      <c r="B711" s="97" t="s">
        <v>4099</v>
      </c>
      <c r="C711" s="106">
        <v>12</v>
      </c>
      <c r="D711" s="107">
        <v>1387.29</v>
      </c>
      <c r="E711" s="107">
        <v>-219.76</v>
      </c>
      <c r="F711" s="107">
        <v>202.16</v>
      </c>
    </row>
    <row r="712" spans="1:6" x14ac:dyDescent="0.3">
      <c r="A712" s="106" t="s">
        <v>4833</v>
      </c>
      <c r="B712" s="97" t="s">
        <v>6617</v>
      </c>
      <c r="C712" s="106">
        <v>12</v>
      </c>
      <c r="D712" s="107">
        <v>225.16</v>
      </c>
      <c r="E712" s="107">
        <v>2.06</v>
      </c>
      <c r="F712" s="107">
        <v>0.25</v>
      </c>
    </row>
    <row r="713" spans="1:6" x14ac:dyDescent="0.3">
      <c r="A713" s="106" t="s">
        <v>4834</v>
      </c>
      <c r="B713" s="97" t="s">
        <v>6618</v>
      </c>
      <c r="C713" s="106">
        <v>12</v>
      </c>
      <c r="D713" s="107"/>
      <c r="E713" s="107"/>
      <c r="F713" s="107">
        <v>-0.56999999999999995</v>
      </c>
    </row>
    <row r="714" spans="1:6" x14ac:dyDescent="0.3">
      <c r="A714" s="106" t="s">
        <v>4835</v>
      </c>
      <c r="B714" s="97" t="s">
        <v>6619</v>
      </c>
      <c r="C714" s="106">
        <v>12</v>
      </c>
      <c r="D714" s="107">
        <v>134.69999999999999</v>
      </c>
      <c r="E714" s="107">
        <v>2.6</v>
      </c>
      <c r="F714" s="107">
        <v>2.36</v>
      </c>
    </row>
    <row r="715" spans="1:6" x14ac:dyDescent="0.3">
      <c r="A715" s="106" t="s">
        <v>3860</v>
      </c>
      <c r="B715" s="97" t="s">
        <v>6620</v>
      </c>
      <c r="C715" s="106">
        <v>12</v>
      </c>
      <c r="D715" s="107">
        <v>695.9</v>
      </c>
      <c r="E715" s="107">
        <v>37.29</v>
      </c>
      <c r="F715" s="107">
        <v>23.1</v>
      </c>
    </row>
    <row r="716" spans="1:6" x14ac:dyDescent="0.3">
      <c r="A716" s="106" t="s">
        <v>4836</v>
      </c>
      <c r="B716" s="97" t="s">
        <v>6621</v>
      </c>
      <c r="C716" s="106">
        <v>12</v>
      </c>
      <c r="D716" s="107">
        <v>25.09</v>
      </c>
      <c r="E716" s="107">
        <v>-1.22</v>
      </c>
      <c r="F716" s="107">
        <v>-0.06</v>
      </c>
    </row>
    <row r="717" spans="1:6" x14ac:dyDescent="0.3">
      <c r="A717" s="106" t="s">
        <v>3861</v>
      </c>
      <c r="B717" s="97" t="s">
        <v>6622</v>
      </c>
      <c r="C717" s="106">
        <v>12</v>
      </c>
      <c r="D717" s="107">
        <v>1774.15</v>
      </c>
      <c r="E717" s="107">
        <v>-82.99</v>
      </c>
      <c r="F717" s="107">
        <v>-25.04</v>
      </c>
    </row>
    <row r="718" spans="1:6" x14ac:dyDescent="0.3">
      <c r="A718" s="106" t="s">
        <v>3862</v>
      </c>
      <c r="B718" s="97" t="s">
        <v>6623</v>
      </c>
      <c r="C718" s="106">
        <v>12</v>
      </c>
      <c r="D718" s="107">
        <v>209.16</v>
      </c>
      <c r="E718" s="107">
        <v>2.06</v>
      </c>
      <c r="F718" s="107">
        <v>4.5999999999999996</v>
      </c>
    </row>
    <row r="719" spans="1:6" x14ac:dyDescent="0.3">
      <c r="A719" s="106" t="s">
        <v>4837</v>
      </c>
      <c r="B719" s="97" t="s">
        <v>6624</v>
      </c>
      <c r="C719" s="106">
        <v>12</v>
      </c>
      <c r="D719" s="107">
        <v>27.58</v>
      </c>
      <c r="E719" s="107">
        <v>-1.87</v>
      </c>
      <c r="F719" s="107">
        <v>-5.1100000000000003</v>
      </c>
    </row>
    <row r="720" spans="1:6" x14ac:dyDescent="0.3">
      <c r="A720" s="106" t="s">
        <v>4838</v>
      </c>
      <c r="B720" s="97" t="s">
        <v>6625</v>
      </c>
      <c r="C720" s="106">
        <v>12</v>
      </c>
      <c r="D720" s="107">
        <v>841.25</v>
      </c>
      <c r="E720" s="107">
        <v>15.91</v>
      </c>
      <c r="F720" s="107">
        <v>16.98</v>
      </c>
    </row>
    <row r="721" spans="1:6" x14ac:dyDescent="0.3">
      <c r="A721" s="106" t="s">
        <v>3863</v>
      </c>
      <c r="B721" s="97" t="s">
        <v>6626</v>
      </c>
      <c r="C721" s="106">
        <v>12</v>
      </c>
      <c r="D721" s="107">
        <v>5914.45</v>
      </c>
      <c r="E721" s="107">
        <v>89.82</v>
      </c>
      <c r="F721" s="107">
        <v>239.33</v>
      </c>
    </row>
    <row r="722" spans="1:6" x14ac:dyDescent="0.3">
      <c r="A722" s="106" t="s">
        <v>4839</v>
      </c>
      <c r="B722" s="97" t="s">
        <v>6627</v>
      </c>
      <c r="C722" s="106">
        <v>12</v>
      </c>
      <c r="D722" s="107">
        <v>74.67</v>
      </c>
      <c r="E722" s="107">
        <v>1.64</v>
      </c>
      <c r="F722" s="107">
        <v>2.42</v>
      </c>
    </row>
    <row r="723" spans="1:6" x14ac:dyDescent="0.3">
      <c r="A723" s="106" t="s">
        <v>3864</v>
      </c>
      <c r="B723" s="97" t="s">
        <v>6628</v>
      </c>
      <c r="C723" s="106">
        <v>12</v>
      </c>
      <c r="D723" s="107">
        <v>631.82000000000005</v>
      </c>
      <c r="E723" s="107">
        <v>18.14</v>
      </c>
      <c r="F723" s="107">
        <v>39.369999999999997</v>
      </c>
    </row>
    <row r="724" spans="1:6" x14ac:dyDescent="0.3">
      <c r="A724" s="106" t="s">
        <v>4840</v>
      </c>
      <c r="B724" s="97" t="s">
        <v>6629</v>
      </c>
      <c r="C724" s="106">
        <v>12</v>
      </c>
      <c r="D724" s="107">
        <v>96.47</v>
      </c>
      <c r="E724" s="107">
        <v>5.94</v>
      </c>
      <c r="F724" s="107">
        <v>6.39</v>
      </c>
    </row>
    <row r="725" spans="1:6" x14ac:dyDescent="0.3">
      <c r="A725" s="106" t="s">
        <v>3865</v>
      </c>
      <c r="B725" s="97" t="s">
        <v>6630</v>
      </c>
      <c r="C725" s="106">
        <v>12</v>
      </c>
      <c r="D725" s="107">
        <v>12939.5</v>
      </c>
      <c r="E725" s="107">
        <v>367.29</v>
      </c>
      <c r="F725" s="107">
        <v>371.74</v>
      </c>
    </row>
    <row r="726" spans="1:6" x14ac:dyDescent="0.3">
      <c r="A726" s="106" t="s">
        <v>4841</v>
      </c>
      <c r="B726" s="97" t="s">
        <v>6631</v>
      </c>
      <c r="C726" s="106">
        <v>3</v>
      </c>
      <c r="D726" s="107">
        <v>479.22</v>
      </c>
      <c r="E726" s="107">
        <v>10.94</v>
      </c>
      <c r="F726" s="107">
        <v>5.14</v>
      </c>
    </row>
    <row r="727" spans="1:6" x14ac:dyDescent="0.3">
      <c r="A727" s="106" t="s">
        <v>4842</v>
      </c>
      <c r="B727" s="97" t="s">
        <v>6632</v>
      </c>
      <c r="C727" s="106">
        <v>12</v>
      </c>
      <c r="D727" s="107">
        <v>21.96</v>
      </c>
      <c r="E727" s="107">
        <v>1.61</v>
      </c>
      <c r="F727" s="107">
        <v>-1.32</v>
      </c>
    </row>
    <row r="728" spans="1:6" x14ac:dyDescent="0.3">
      <c r="A728" s="106" t="s">
        <v>4843</v>
      </c>
      <c r="B728" s="97" t="s">
        <v>6633</v>
      </c>
      <c r="C728" s="106">
        <v>12</v>
      </c>
      <c r="D728" s="107">
        <v>65.89</v>
      </c>
      <c r="E728" s="107">
        <v>0.81</v>
      </c>
      <c r="F728" s="107">
        <v>1.05</v>
      </c>
    </row>
    <row r="729" spans="1:6" x14ac:dyDescent="0.3">
      <c r="A729" s="106" t="s">
        <v>3866</v>
      </c>
      <c r="B729" s="97" t="s">
        <v>6634</v>
      </c>
      <c r="C729" s="106">
        <v>12</v>
      </c>
      <c r="D729" s="107">
        <v>126.6</v>
      </c>
      <c r="E729" s="107">
        <v>7.22</v>
      </c>
      <c r="F729" s="107">
        <v>7.09</v>
      </c>
    </row>
    <row r="730" spans="1:6" x14ac:dyDescent="0.3">
      <c r="A730" s="106" t="s">
        <v>3867</v>
      </c>
      <c r="B730" s="97" t="s">
        <v>6635</v>
      </c>
      <c r="C730" s="106">
        <v>12</v>
      </c>
      <c r="D730" s="107">
        <v>336.24</v>
      </c>
      <c r="E730" s="107">
        <v>-2.19</v>
      </c>
      <c r="F730" s="107">
        <v>-1.02</v>
      </c>
    </row>
    <row r="731" spans="1:6" x14ac:dyDescent="0.3">
      <c r="A731" s="106" t="s">
        <v>4844</v>
      </c>
      <c r="B731" s="97" t="s">
        <v>6636</v>
      </c>
      <c r="C731" s="106">
        <v>3</v>
      </c>
      <c r="D731" s="107">
        <v>586.16</v>
      </c>
      <c r="E731" s="107">
        <v>4.1500000000000004</v>
      </c>
      <c r="F731" s="107">
        <v>-8.6300000000000008</v>
      </c>
    </row>
    <row r="732" spans="1:6" x14ac:dyDescent="0.3">
      <c r="A732" s="106" t="s">
        <v>4845</v>
      </c>
      <c r="B732" s="97" t="s">
        <v>6637</v>
      </c>
      <c r="C732" s="106">
        <v>12</v>
      </c>
      <c r="D732" s="107">
        <v>45.23</v>
      </c>
      <c r="E732" s="107">
        <v>-0.17</v>
      </c>
      <c r="F732" s="107">
        <v>1.34</v>
      </c>
    </row>
    <row r="733" spans="1:6" x14ac:dyDescent="0.3">
      <c r="A733" s="106" t="s">
        <v>4846</v>
      </c>
      <c r="B733" s="97" t="s">
        <v>6638</v>
      </c>
      <c r="C733" s="106">
        <v>12</v>
      </c>
      <c r="D733" s="107">
        <v>32.61</v>
      </c>
      <c r="E733" s="107">
        <v>-3.66</v>
      </c>
      <c r="F733" s="107">
        <v>-0.25</v>
      </c>
    </row>
    <row r="734" spans="1:6" x14ac:dyDescent="0.3">
      <c r="A734" s="106" t="s">
        <v>4847</v>
      </c>
      <c r="B734" s="97" t="s">
        <v>6639</v>
      </c>
      <c r="C734" s="106">
        <v>6</v>
      </c>
      <c r="D734" s="107">
        <v>62.06</v>
      </c>
      <c r="E734" s="107">
        <v>-2.46</v>
      </c>
      <c r="F734" s="107">
        <v>-0.77</v>
      </c>
    </row>
    <row r="735" spans="1:6" x14ac:dyDescent="0.3">
      <c r="A735" s="106" t="s">
        <v>4848</v>
      </c>
      <c r="B735" s="97" t="s">
        <v>6640</v>
      </c>
      <c r="C735" s="106">
        <v>12</v>
      </c>
      <c r="D735" s="107">
        <v>59.54</v>
      </c>
      <c r="E735" s="107">
        <v>0.53</v>
      </c>
      <c r="F735" s="107">
        <v>-0.72</v>
      </c>
    </row>
    <row r="736" spans="1:6" x14ac:dyDescent="0.3">
      <c r="A736" s="106" t="s">
        <v>4849</v>
      </c>
      <c r="B736" s="97" t="s">
        <v>6641</v>
      </c>
      <c r="C736" s="106">
        <v>12</v>
      </c>
      <c r="D736" s="107">
        <v>60.21</v>
      </c>
      <c r="E736" s="107">
        <v>7.87</v>
      </c>
      <c r="F736" s="107">
        <v>7.06</v>
      </c>
    </row>
    <row r="737" spans="1:6" x14ac:dyDescent="0.3">
      <c r="A737" s="106" t="s">
        <v>4850</v>
      </c>
      <c r="B737" s="97" t="s">
        <v>6642</v>
      </c>
      <c r="C737" s="106">
        <v>12</v>
      </c>
      <c r="D737" s="107">
        <v>47.49</v>
      </c>
      <c r="E737" s="107">
        <v>-1.34</v>
      </c>
      <c r="F737" s="107">
        <v>-1.36</v>
      </c>
    </row>
    <row r="738" spans="1:6" x14ac:dyDescent="0.3">
      <c r="A738" s="106" t="s">
        <v>3868</v>
      </c>
      <c r="B738" s="97" t="s">
        <v>6643</v>
      </c>
      <c r="C738" s="106">
        <v>12</v>
      </c>
      <c r="D738" s="107">
        <v>407.24</v>
      </c>
      <c r="E738" s="107">
        <v>3.12</v>
      </c>
      <c r="F738" s="107">
        <v>11</v>
      </c>
    </row>
    <row r="739" spans="1:6" x14ac:dyDescent="0.3">
      <c r="A739" s="106" t="s">
        <v>3869</v>
      </c>
      <c r="B739" s="97" t="s">
        <v>6644</v>
      </c>
      <c r="C739" s="106">
        <v>12</v>
      </c>
      <c r="D739" s="107">
        <v>203.05</v>
      </c>
      <c r="E739" s="107">
        <v>3.12</v>
      </c>
      <c r="F739" s="107">
        <v>9.77</v>
      </c>
    </row>
    <row r="740" spans="1:6" x14ac:dyDescent="0.3">
      <c r="A740" s="106" t="s">
        <v>4851</v>
      </c>
      <c r="B740" s="97" t="s">
        <v>6645</v>
      </c>
      <c r="C740" s="106">
        <v>12</v>
      </c>
      <c r="D740" s="107">
        <v>94.29</v>
      </c>
      <c r="E740" s="107">
        <v>3.48</v>
      </c>
      <c r="F740" s="107">
        <v>3.64</v>
      </c>
    </row>
    <row r="741" spans="1:6" x14ac:dyDescent="0.3">
      <c r="A741" s="106" t="s">
        <v>4852</v>
      </c>
      <c r="B741" s="97" t="s">
        <v>6646</v>
      </c>
      <c r="C741" s="106">
        <v>12</v>
      </c>
      <c r="D741" s="107">
        <v>52.63</v>
      </c>
      <c r="E741" s="107">
        <v>-1.89</v>
      </c>
      <c r="F741" s="107">
        <v>-1.3</v>
      </c>
    </row>
    <row r="742" spans="1:6" x14ac:dyDescent="0.3">
      <c r="A742" s="106" t="s">
        <v>4853</v>
      </c>
      <c r="B742" s="97" t="s">
        <v>6647</v>
      </c>
      <c r="C742" s="106">
        <v>12</v>
      </c>
      <c r="D742" s="107">
        <v>25.02</v>
      </c>
      <c r="E742" s="107">
        <v>-0.62</v>
      </c>
      <c r="F742" s="107">
        <v>-0.37</v>
      </c>
    </row>
    <row r="743" spans="1:6" x14ac:dyDescent="0.3">
      <c r="A743" s="106" t="s">
        <v>4854</v>
      </c>
      <c r="B743" s="97" t="s">
        <v>6648</v>
      </c>
      <c r="C743" s="106">
        <v>6</v>
      </c>
      <c r="D743" s="107"/>
      <c r="E743" s="107"/>
      <c r="F743" s="107">
        <v>-0.87</v>
      </c>
    </row>
    <row r="744" spans="1:6" x14ac:dyDescent="0.3">
      <c r="A744" s="106" t="s">
        <v>4855</v>
      </c>
      <c r="B744" s="97" t="s">
        <v>6649</v>
      </c>
      <c r="C744" s="106">
        <v>12</v>
      </c>
      <c r="D744" s="107">
        <v>140.55000000000001</v>
      </c>
      <c r="E744" s="107">
        <v>4.66</v>
      </c>
      <c r="F744" s="107">
        <v>1.61</v>
      </c>
    </row>
    <row r="745" spans="1:6" x14ac:dyDescent="0.3">
      <c r="A745" s="106" t="s">
        <v>4856</v>
      </c>
      <c r="B745" s="97" t="s">
        <v>6650</v>
      </c>
      <c r="C745" s="106">
        <v>12</v>
      </c>
      <c r="D745" s="107">
        <v>58.23</v>
      </c>
      <c r="E745" s="107">
        <v>2.74</v>
      </c>
      <c r="F745" s="107">
        <v>1.84</v>
      </c>
    </row>
    <row r="746" spans="1:6" x14ac:dyDescent="0.3">
      <c r="A746" s="106" t="s">
        <v>4857</v>
      </c>
      <c r="B746" s="97" t="s">
        <v>6651</v>
      </c>
      <c r="C746" s="106">
        <v>12</v>
      </c>
      <c r="D746" s="107">
        <v>74.36</v>
      </c>
      <c r="E746" s="107">
        <v>0.93</v>
      </c>
      <c r="F746" s="107">
        <v>1.53</v>
      </c>
    </row>
    <row r="747" spans="1:6" x14ac:dyDescent="0.3">
      <c r="A747" s="106" t="s">
        <v>4858</v>
      </c>
      <c r="B747" s="97" t="s">
        <v>6652</v>
      </c>
      <c r="C747" s="106">
        <v>12</v>
      </c>
      <c r="D747" s="107">
        <v>1183.02</v>
      </c>
      <c r="E747" s="107">
        <v>22.05</v>
      </c>
      <c r="F747" s="107">
        <v>1.1200000000000001</v>
      </c>
    </row>
    <row r="748" spans="1:6" x14ac:dyDescent="0.3">
      <c r="A748" s="106" t="s">
        <v>4859</v>
      </c>
      <c r="B748" s="97" t="s">
        <v>6653</v>
      </c>
      <c r="C748" s="106">
        <v>12</v>
      </c>
      <c r="D748" s="107">
        <v>28.05</v>
      </c>
      <c r="E748" s="107">
        <v>1.08</v>
      </c>
      <c r="F748" s="107">
        <v>0.66</v>
      </c>
    </row>
    <row r="749" spans="1:6" x14ac:dyDescent="0.3">
      <c r="A749" s="106" t="s">
        <v>4860</v>
      </c>
      <c r="B749" s="97" t="s">
        <v>6654</v>
      </c>
      <c r="C749" s="106">
        <v>12</v>
      </c>
      <c r="D749" s="107">
        <v>51.1</v>
      </c>
      <c r="E749" s="107">
        <v>0</v>
      </c>
      <c r="F749" s="107">
        <v>-0.85</v>
      </c>
    </row>
    <row r="750" spans="1:6" x14ac:dyDescent="0.3">
      <c r="A750" s="106" t="s">
        <v>4861</v>
      </c>
      <c r="B750" s="97" t="s">
        <v>6655</v>
      </c>
      <c r="C750" s="106">
        <v>12</v>
      </c>
      <c r="D750" s="107">
        <v>29.82</v>
      </c>
      <c r="E750" s="107">
        <v>-0.49</v>
      </c>
      <c r="F750" s="107">
        <v>-0.94</v>
      </c>
    </row>
    <row r="751" spans="1:6" x14ac:dyDescent="0.3">
      <c r="A751" s="106" t="s">
        <v>4862</v>
      </c>
      <c r="B751" s="97" t="s">
        <v>6656</v>
      </c>
      <c r="C751" s="106">
        <v>12</v>
      </c>
      <c r="D751" s="107">
        <v>64.89</v>
      </c>
      <c r="E751" s="107">
        <v>16.36</v>
      </c>
      <c r="F751" s="107">
        <v>9.01</v>
      </c>
    </row>
    <row r="752" spans="1:6" x14ac:dyDescent="0.3">
      <c r="A752" s="106" t="s">
        <v>4863</v>
      </c>
      <c r="B752" s="97" t="s">
        <v>6657</v>
      </c>
      <c r="C752" s="106">
        <v>12</v>
      </c>
      <c r="D752" s="107">
        <v>79.150000000000006</v>
      </c>
      <c r="E752" s="107">
        <v>0.22</v>
      </c>
      <c r="F752" s="107">
        <v>0.82</v>
      </c>
    </row>
    <row r="753" spans="1:6" x14ac:dyDescent="0.3">
      <c r="A753" s="106" t="s">
        <v>4864</v>
      </c>
      <c r="B753" s="97" t="s">
        <v>6658</v>
      </c>
      <c r="C753" s="106">
        <v>12</v>
      </c>
      <c r="D753" s="107">
        <v>165.02</v>
      </c>
      <c r="E753" s="107">
        <v>1.89</v>
      </c>
      <c r="F753" s="107">
        <v>0.02</v>
      </c>
    </row>
    <row r="754" spans="1:6" x14ac:dyDescent="0.3">
      <c r="A754" s="106" t="s">
        <v>4865</v>
      </c>
      <c r="B754" s="97" t="s">
        <v>6659</v>
      </c>
      <c r="C754" s="106">
        <v>12</v>
      </c>
      <c r="D754" s="107">
        <v>30.31</v>
      </c>
      <c r="E754" s="107">
        <v>1.26</v>
      </c>
      <c r="F754" s="107">
        <v>1.1299999999999999</v>
      </c>
    </row>
    <row r="755" spans="1:6" x14ac:dyDescent="0.3">
      <c r="A755" s="106" t="s">
        <v>4866</v>
      </c>
      <c r="B755" s="97" t="s">
        <v>6660</v>
      </c>
      <c r="C755" s="106">
        <v>12</v>
      </c>
      <c r="D755" s="107">
        <v>46.24</v>
      </c>
      <c r="E755" s="107">
        <v>0.1</v>
      </c>
      <c r="F755" s="107">
        <v>0.08</v>
      </c>
    </row>
    <row r="756" spans="1:6" x14ac:dyDescent="0.3">
      <c r="A756" s="106" t="s">
        <v>3870</v>
      </c>
      <c r="B756" s="97" t="s">
        <v>6661</v>
      </c>
      <c r="C756" s="106">
        <v>12</v>
      </c>
      <c r="D756" s="107">
        <v>3820.19</v>
      </c>
      <c r="E756" s="107">
        <v>123.15</v>
      </c>
      <c r="F756" s="107">
        <v>-9.66</v>
      </c>
    </row>
    <row r="757" spans="1:6" x14ac:dyDescent="0.3">
      <c r="A757" s="106" t="s">
        <v>4867</v>
      </c>
      <c r="B757" s="97" t="s">
        <v>6662</v>
      </c>
      <c r="C757" s="106">
        <v>12</v>
      </c>
      <c r="D757" s="107">
        <v>9.4</v>
      </c>
      <c r="E757" s="107">
        <v>0.15</v>
      </c>
      <c r="F757" s="107">
        <v>-0.05</v>
      </c>
    </row>
    <row r="758" spans="1:6" x14ac:dyDescent="0.3">
      <c r="A758" s="106" t="s">
        <v>4868</v>
      </c>
      <c r="B758" s="97" t="s">
        <v>6663</v>
      </c>
      <c r="C758" s="106">
        <v>12</v>
      </c>
      <c r="D758" s="107">
        <v>44.8</v>
      </c>
      <c r="E758" s="107">
        <v>2.15</v>
      </c>
      <c r="F758" s="107">
        <v>5.52</v>
      </c>
    </row>
    <row r="759" spans="1:6" x14ac:dyDescent="0.3">
      <c r="A759" s="106" t="s">
        <v>4869</v>
      </c>
      <c r="B759" s="97" t="s">
        <v>6664</v>
      </c>
      <c r="C759" s="106">
        <v>12</v>
      </c>
      <c r="D759" s="107">
        <v>19.399999999999999</v>
      </c>
      <c r="E759" s="107">
        <v>0.56999999999999995</v>
      </c>
      <c r="F759" s="107">
        <v>-1.02</v>
      </c>
    </row>
    <row r="760" spans="1:6" x14ac:dyDescent="0.3">
      <c r="A760" s="106" t="s">
        <v>4870</v>
      </c>
      <c r="B760" s="97" t="s">
        <v>6665</v>
      </c>
      <c r="C760" s="106">
        <v>12</v>
      </c>
      <c r="D760" s="107">
        <v>16.78</v>
      </c>
      <c r="E760" s="107">
        <v>-0.47</v>
      </c>
      <c r="F760" s="107">
        <v>-0.06</v>
      </c>
    </row>
    <row r="761" spans="1:6" x14ac:dyDescent="0.3">
      <c r="A761" s="106" t="s">
        <v>4871</v>
      </c>
      <c r="B761" s="97" t="s">
        <v>6666</v>
      </c>
      <c r="C761" s="106">
        <v>12</v>
      </c>
      <c r="D761" s="107">
        <v>43.16</v>
      </c>
      <c r="E761" s="107">
        <v>-2.35</v>
      </c>
      <c r="F761" s="107">
        <v>0.41</v>
      </c>
    </row>
    <row r="762" spans="1:6" x14ac:dyDescent="0.3">
      <c r="A762" s="106" t="s">
        <v>3871</v>
      </c>
      <c r="B762" s="97" t="s">
        <v>6667</v>
      </c>
      <c r="C762" s="106">
        <v>3</v>
      </c>
      <c r="D762" s="107">
        <v>21730.31</v>
      </c>
      <c r="E762" s="107">
        <v>393.21</v>
      </c>
      <c r="F762" s="107">
        <v>251.62</v>
      </c>
    </row>
    <row r="763" spans="1:6" x14ac:dyDescent="0.3">
      <c r="A763" s="106" t="s">
        <v>4872</v>
      </c>
      <c r="B763" s="97" t="s">
        <v>6668</v>
      </c>
      <c r="C763" s="106">
        <v>12</v>
      </c>
      <c r="D763" s="107">
        <v>30.56</v>
      </c>
      <c r="E763" s="107">
        <v>0.09</v>
      </c>
      <c r="F763" s="107">
        <v>0.11</v>
      </c>
    </row>
    <row r="764" spans="1:6" x14ac:dyDescent="0.3">
      <c r="A764" s="106" t="s">
        <v>4873</v>
      </c>
      <c r="B764" s="97" t="s">
        <v>6669</v>
      </c>
      <c r="C764" s="106">
        <v>12</v>
      </c>
      <c r="D764" s="107">
        <v>21.28</v>
      </c>
      <c r="E764" s="107">
        <v>1.59</v>
      </c>
      <c r="F764" s="107">
        <v>0.6</v>
      </c>
    </row>
    <row r="765" spans="1:6" x14ac:dyDescent="0.3">
      <c r="A765" s="106" t="s">
        <v>4874</v>
      </c>
      <c r="B765" s="97" t="s">
        <v>6670</v>
      </c>
      <c r="C765" s="106">
        <v>12</v>
      </c>
      <c r="D765" s="107">
        <v>27.88</v>
      </c>
      <c r="E765" s="107">
        <v>-0.22</v>
      </c>
      <c r="F765" s="107">
        <v>0.68</v>
      </c>
    </row>
    <row r="766" spans="1:6" x14ac:dyDescent="0.3">
      <c r="A766" s="106" t="s">
        <v>4875</v>
      </c>
      <c r="B766" s="97" t="s">
        <v>6671</v>
      </c>
      <c r="C766" s="106">
        <v>12</v>
      </c>
      <c r="D766" s="107">
        <v>53.86</v>
      </c>
      <c r="E766" s="107">
        <v>0.91</v>
      </c>
      <c r="F766" s="107">
        <v>2.0299999999999998</v>
      </c>
    </row>
    <row r="767" spans="1:6" x14ac:dyDescent="0.3">
      <c r="A767" s="106" t="s">
        <v>4876</v>
      </c>
      <c r="B767" s="97" t="s">
        <v>6672</v>
      </c>
      <c r="C767" s="106">
        <v>6</v>
      </c>
      <c r="D767" s="107">
        <v>15.62</v>
      </c>
      <c r="E767" s="107">
        <v>-0.77</v>
      </c>
      <c r="F767" s="107">
        <v>-0.12</v>
      </c>
    </row>
    <row r="768" spans="1:6" x14ac:dyDescent="0.3">
      <c r="A768" s="106" t="s">
        <v>4877</v>
      </c>
      <c r="B768" s="97" t="s">
        <v>6673</v>
      </c>
      <c r="C768" s="106">
        <v>12</v>
      </c>
      <c r="D768" s="107">
        <v>75.81</v>
      </c>
      <c r="E768" s="107">
        <v>-2.16</v>
      </c>
      <c r="F768" s="107">
        <v>-1.33</v>
      </c>
    </row>
    <row r="769" spans="1:6" x14ac:dyDescent="0.3">
      <c r="A769" s="106" t="s">
        <v>4878</v>
      </c>
      <c r="B769" s="97" t="s">
        <v>6674</v>
      </c>
      <c r="C769" s="106">
        <v>12</v>
      </c>
      <c r="D769" s="107">
        <v>33.04</v>
      </c>
      <c r="E769" s="107">
        <v>0.33</v>
      </c>
      <c r="F769" s="107">
        <v>0.27</v>
      </c>
    </row>
    <row r="770" spans="1:6" x14ac:dyDescent="0.3">
      <c r="A770" s="106" t="s">
        <v>4879</v>
      </c>
      <c r="B770" s="97" t="s">
        <v>6675</v>
      </c>
      <c r="C770" s="106">
        <v>12</v>
      </c>
      <c r="D770" s="107">
        <v>24.02</v>
      </c>
      <c r="E770" s="107">
        <v>-1.29</v>
      </c>
      <c r="F770" s="107">
        <v>0.19</v>
      </c>
    </row>
    <row r="771" spans="1:6" x14ac:dyDescent="0.3">
      <c r="A771" s="106" t="s">
        <v>4880</v>
      </c>
      <c r="B771" s="97" t="s">
        <v>6676</v>
      </c>
      <c r="C771" s="106">
        <v>12</v>
      </c>
      <c r="D771" s="107">
        <v>53.79</v>
      </c>
      <c r="E771" s="107">
        <v>0.65</v>
      </c>
      <c r="F771" s="107">
        <v>1.46</v>
      </c>
    </row>
    <row r="772" spans="1:6" x14ac:dyDescent="0.3">
      <c r="A772" s="106" t="s">
        <v>4881</v>
      </c>
      <c r="B772" s="97" t="s">
        <v>6677</v>
      </c>
      <c r="C772" s="106">
        <v>12</v>
      </c>
      <c r="D772" s="107">
        <v>103.01</v>
      </c>
      <c r="E772" s="107">
        <v>3.15</v>
      </c>
      <c r="F772" s="107">
        <v>5.46</v>
      </c>
    </row>
    <row r="773" spans="1:6" x14ac:dyDescent="0.3">
      <c r="A773" s="106" t="s">
        <v>4882</v>
      </c>
      <c r="B773" s="97" t="s">
        <v>6678</v>
      </c>
      <c r="C773" s="106">
        <v>12</v>
      </c>
      <c r="D773" s="107">
        <v>190.47</v>
      </c>
      <c r="E773" s="107">
        <v>3.1</v>
      </c>
      <c r="F773" s="107">
        <v>6.41</v>
      </c>
    </row>
    <row r="774" spans="1:6" x14ac:dyDescent="0.3">
      <c r="A774" s="106" t="s">
        <v>4883</v>
      </c>
      <c r="B774" s="97" t="s">
        <v>6679</v>
      </c>
      <c r="C774" s="106">
        <v>12</v>
      </c>
      <c r="D774" s="107">
        <v>58.36</v>
      </c>
      <c r="E774" s="107">
        <v>1.55</v>
      </c>
      <c r="F774" s="107">
        <v>0.13</v>
      </c>
    </row>
    <row r="775" spans="1:6" x14ac:dyDescent="0.3">
      <c r="A775" s="106" t="s">
        <v>4884</v>
      </c>
      <c r="B775" s="97" t="s">
        <v>6680</v>
      </c>
      <c r="C775" s="106">
        <v>12</v>
      </c>
      <c r="D775" s="107">
        <v>140.91999999999999</v>
      </c>
      <c r="E775" s="107">
        <v>-2.83</v>
      </c>
      <c r="F775" s="107">
        <v>-1.18</v>
      </c>
    </row>
    <row r="776" spans="1:6" x14ac:dyDescent="0.3">
      <c r="A776" s="106" t="s">
        <v>4885</v>
      </c>
      <c r="B776" s="97" t="s">
        <v>6681</v>
      </c>
      <c r="C776" s="106">
        <v>12</v>
      </c>
      <c r="D776" s="107">
        <v>42.47</v>
      </c>
      <c r="E776" s="107">
        <v>0.54</v>
      </c>
      <c r="F776" s="107">
        <v>0.81</v>
      </c>
    </row>
    <row r="777" spans="1:6" x14ac:dyDescent="0.3">
      <c r="A777" s="106" t="s">
        <v>4886</v>
      </c>
      <c r="B777" s="97" t="s">
        <v>6682</v>
      </c>
      <c r="C777" s="106">
        <v>12</v>
      </c>
      <c r="D777" s="107">
        <v>208.78</v>
      </c>
      <c r="E777" s="107">
        <v>10.23</v>
      </c>
      <c r="F777" s="107">
        <v>7.38</v>
      </c>
    </row>
    <row r="778" spans="1:6" x14ac:dyDescent="0.3">
      <c r="A778" s="106" t="s">
        <v>4887</v>
      </c>
      <c r="B778" s="97" t="s">
        <v>6683</v>
      </c>
      <c r="C778" s="106">
        <v>6</v>
      </c>
      <c r="D778" s="107">
        <v>38.36</v>
      </c>
      <c r="E778" s="107">
        <v>1.06</v>
      </c>
      <c r="F778" s="107">
        <v>2.0099999999999998</v>
      </c>
    </row>
    <row r="779" spans="1:6" x14ac:dyDescent="0.3">
      <c r="A779" s="106" t="s">
        <v>4888</v>
      </c>
      <c r="B779" s="97" t="s">
        <v>6684</v>
      </c>
      <c r="C779" s="106">
        <v>12</v>
      </c>
      <c r="D779" s="107">
        <v>135.75</v>
      </c>
      <c r="E779" s="107">
        <v>5.27</v>
      </c>
      <c r="F779" s="107">
        <v>5.61</v>
      </c>
    </row>
    <row r="780" spans="1:6" x14ac:dyDescent="0.3">
      <c r="A780" s="106" t="s">
        <v>4889</v>
      </c>
      <c r="B780" s="97" t="s">
        <v>6685</v>
      </c>
      <c r="C780" s="106">
        <v>12</v>
      </c>
      <c r="D780" s="107">
        <v>136.16999999999999</v>
      </c>
      <c r="E780" s="107">
        <v>2.9</v>
      </c>
      <c r="F780" s="107">
        <v>-0.19</v>
      </c>
    </row>
    <row r="781" spans="1:6" x14ac:dyDescent="0.3">
      <c r="A781" s="106" t="s">
        <v>4890</v>
      </c>
      <c r="B781" s="97" t="s">
        <v>6686</v>
      </c>
      <c r="C781" s="106">
        <v>12</v>
      </c>
      <c r="D781" s="107">
        <v>24.51</v>
      </c>
      <c r="E781" s="107">
        <v>1.73</v>
      </c>
      <c r="F781" s="107">
        <v>0.59</v>
      </c>
    </row>
    <row r="782" spans="1:6" x14ac:dyDescent="0.3">
      <c r="A782" s="106" t="s">
        <v>4891</v>
      </c>
      <c r="B782" s="97" t="s">
        <v>6687</v>
      </c>
      <c r="C782" s="106">
        <v>12</v>
      </c>
      <c r="D782" s="107">
        <v>56.96</v>
      </c>
      <c r="E782" s="107">
        <v>0.27</v>
      </c>
      <c r="F782" s="107">
        <v>-0.61</v>
      </c>
    </row>
    <row r="783" spans="1:6" x14ac:dyDescent="0.3">
      <c r="A783" s="106" t="s">
        <v>4892</v>
      </c>
      <c r="B783" s="97" t="s">
        <v>6688</v>
      </c>
      <c r="C783" s="106">
        <v>12</v>
      </c>
      <c r="D783" s="107">
        <v>80.06</v>
      </c>
      <c r="E783" s="107">
        <v>0.47</v>
      </c>
      <c r="F783" s="107">
        <v>2.2799999999999998</v>
      </c>
    </row>
    <row r="784" spans="1:6" x14ac:dyDescent="0.3">
      <c r="A784" s="106" t="s">
        <v>4893</v>
      </c>
      <c r="B784" s="97" t="s">
        <v>6689</v>
      </c>
      <c r="C784" s="106">
        <v>12</v>
      </c>
      <c r="D784" s="107">
        <v>14.23</v>
      </c>
      <c r="E784" s="107">
        <v>-0.34</v>
      </c>
      <c r="F784" s="107">
        <v>-1.49</v>
      </c>
    </row>
    <row r="785" spans="1:6" x14ac:dyDescent="0.3">
      <c r="A785" s="106" t="s">
        <v>4894</v>
      </c>
      <c r="B785" s="97" t="s">
        <v>6690</v>
      </c>
      <c r="C785" s="106">
        <v>12</v>
      </c>
      <c r="D785" s="107">
        <v>74.650000000000006</v>
      </c>
      <c r="E785" s="107">
        <v>3.21</v>
      </c>
      <c r="F785" s="107">
        <v>3.57</v>
      </c>
    </row>
    <row r="786" spans="1:6" x14ac:dyDescent="0.3">
      <c r="A786" s="106" t="s">
        <v>4895</v>
      </c>
      <c r="B786" s="97" t="s">
        <v>6691</v>
      </c>
      <c r="C786" s="106">
        <v>12</v>
      </c>
      <c r="D786" s="107">
        <v>327.33</v>
      </c>
      <c r="E786" s="107">
        <v>15.88</v>
      </c>
      <c r="F786" s="107">
        <v>2.09</v>
      </c>
    </row>
    <row r="787" spans="1:6" x14ac:dyDescent="0.3">
      <c r="A787" s="106" t="s">
        <v>4896</v>
      </c>
      <c r="B787" s="97" t="s">
        <v>6692</v>
      </c>
      <c r="C787" s="106">
        <v>12</v>
      </c>
      <c r="D787" s="107">
        <v>63.29</v>
      </c>
      <c r="E787" s="107">
        <v>1.46</v>
      </c>
      <c r="F787" s="107">
        <v>1.1399999999999999</v>
      </c>
    </row>
    <row r="788" spans="1:6" x14ac:dyDescent="0.3">
      <c r="A788" s="106" t="s">
        <v>4897</v>
      </c>
      <c r="B788" s="97" t="s">
        <v>6693</v>
      </c>
      <c r="C788" s="106">
        <v>12</v>
      </c>
      <c r="D788" s="107"/>
      <c r="E788" s="107"/>
      <c r="F788" s="107">
        <v>-0.16</v>
      </c>
    </row>
    <row r="789" spans="1:6" x14ac:dyDescent="0.3">
      <c r="A789" s="106" t="s">
        <v>4898</v>
      </c>
      <c r="B789" s="97" t="s">
        <v>6694</v>
      </c>
      <c r="C789" s="106">
        <v>12</v>
      </c>
      <c r="D789" s="107">
        <v>98.86</v>
      </c>
      <c r="E789" s="107">
        <v>-1.35</v>
      </c>
      <c r="F789" s="107">
        <v>1.67</v>
      </c>
    </row>
    <row r="790" spans="1:6" x14ac:dyDescent="0.3">
      <c r="A790" s="106" t="s">
        <v>4899</v>
      </c>
      <c r="B790" s="97" t="s">
        <v>6695</v>
      </c>
      <c r="C790" s="106">
        <v>12</v>
      </c>
      <c r="D790" s="107">
        <v>34.06</v>
      </c>
      <c r="E790" s="107">
        <v>-0.13</v>
      </c>
      <c r="F790" s="107">
        <v>-0.54</v>
      </c>
    </row>
    <row r="791" spans="1:6" x14ac:dyDescent="0.3">
      <c r="A791" s="106" t="s">
        <v>3872</v>
      </c>
      <c r="B791" s="97" t="s">
        <v>6696</v>
      </c>
      <c r="C791" s="106">
        <v>12</v>
      </c>
      <c r="D791" s="107">
        <v>1115.24</v>
      </c>
      <c r="E791" s="107">
        <v>16.62</v>
      </c>
      <c r="F791" s="107">
        <v>16.100000000000001</v>
      </c>
    </row>
    <row r="792" spans="1:6" x14ac:dyDescent="0.3">
      <c r="A792" s="106" t="s">
        <v>3873</v>
      </c>
      <c r="B792" s="97" t="s">
        <v>6697</v>
      </c>
      <c r="C792" s="106">
        <v>12</v>
      </c>
      <c r="D792" s="107">
        <v>158.5</v>
      </c>
      <c r="E792" s="107">
        <v>-1.3</v>
      </c>
      <c r="F792" s="107">
        <v>7.53</v>
      </c>
    </row>
    <row r="793" spans="1:6" x14ac:dyDescent="0.3">
      <c r="A793" s="106" t="s">
        <v>4900</v>
      </c>
      <c r="B793" s="97" t="s">
        <v>6698</v>
      </c>
      <c r="C793" s="106">
        <v>12</v>
      </c>
      <c r="D793" s="107">
        <v>678.06</v>
      </c>
      <c r="E793" s="107">
        <v>2.31</v>
      </c>
      <c r="F793" s="107">
        <v>5.83</v>
      </c>
    </row>
    <row r="794" spans="1:6" x14ac:dyDescent="0.3">
      <c r="A794" s="106" t="s">
        <v>3874</v>
      </c>
      <c r="B794" s="97" t="s">
        <v>6699</v>
      </c>
      <c r="C794" s="106">
        <v>12</v>
      </c>
      <c r="D794" s="107">
        <v>5006.05</v>
      </c>
      <c r="E794" s="107">
        <v>248.83</v>
      </c>
      <c r="F794" s="107">
        <v>271.63</v>
      </c>
    </row>
    <row r="795" spans="1:6" x14ac:dyDescent="0.3">
      <c r="A795" s="106" t="s">
        <v>4901</v>
      </c>
      <c r="B795" s="97" t="s">
        <v>6700</v>
      </c>
      <c r="C795" s="106">
        <v>12</v>
      </c>
      <c r="D795" s="107">
        <v>25.11</v>
      </c>
      <c r="E795" s="107">
        <v>-0.76</v>
      </c>
      <c r="F795" s="107">
        <v>-0.49</v>
      </c>
    </row>
    <row r="796" spans="1:6" x14ac:dyDescent="0.3">
      <c r="A796" s="106" t="s">
        <v>4902</v>
      </c>
      <c r="B796" s="97" t="s">
        <v>6701</v>
      </c>
      <c r="C796" s="106">
        <v>12</v>
      </c>
      <c r="D796" s="107">
        <v>94.31</v>
      </c>
      <c r="E796" s="107">
        <v>-0.12</v>
      </c>
      <c r="F796" s="107">
        <v>-0.22</v>
      </c>
    </row>
    <row r="797" spans="1:6" x14ac:dyDescent="0.3">
      <c r="A797" s="106" t="s">
        <v>4903</v>
      </c>
      <c r="B797" s="97" t="s">
        <v>6702</v>
      </c>
      <c r="C797" s="106">
        <v>12</v>
      </c>
      <c r="D797" s="107">
        <v>306.23</v>
      </c>
      <c r="E797" s="107">
        <v>12.92</v>
      </c>
      <c r="F797" s="107">
        <v>11.7</v>
      </c>
    </row>
    <row r="798" spans="1:6" x14ac:dyDescent="0.3">
      <c r="A798" s="106" t="s">
        <v>4904</v>
      </c>
      <c r="B798" s="97" t="s">
        <v>6703</v>
      </c>
      <c r="C798" s="106">
        <v>12</v>
      </c>
      <c r="D798" s="107"/>
      <c r="E798" s="107"/>
      <c r="F798" s="107">
        <v>-0.83</v>
      </c>
    </row>
    <row r="799" spans="1:6" x14ac:dyDescent="0.3">
      <c r="A799" s="106" t="s">
        <v>3875</v>
      </c>
      <c r="B799" s="97" t="s">
        <v>6704</v>
      </c>
      <c r="C799" s="106">
        <v>12</v>
      </c>
      <c r="D799" s="107">
        <v>6029.79</v>
      </c>
      <c r="E799" s="107">
        <v>205.73</v>
      </c>
      <c r="F799" s="107">
        <v>170.43</v>
      </c>
    </row>
    <row r="800" spans="1:6" x14ac:dyDescent="0.3">
      <c r="A800" s="106" t="s">
        <v>3876</v>
      </c>
      <c r="B800" s="97" t="s">
        <v>6705</v>
      </c>
      <c r="C800" s="106">
        <v>12</v>
      </c>
      <c r="D800" s="107">
        <v>542.55999999999995</v>
      </c>
      <c r="E800" s="107">
        <v>-10.050000000000001</v>
      </c>
      <c r="F800" s="107">
        <v>41.74</v>
      </c>
    </row>
    <row r="801" spans="1:6" x14ac:dyDescent="0.3">
      <c r="A801" s="106" t="s">
        <v>3877</v>
      </c>
      <c r="B801" s="97" t="s">
        <v>6706</v>
      </c>
      <c r="C801" s="106">
        <v>12</v>
      </c>
      <c r="D801" s="107">
        <v>10344.9</v>
      </c>
      <c r="E801" s="107">
        <v>151.29</v>
      </c>
      <c r="F801" s="107">
        <v>239.37</v>
      </c>
    </row>
    <row r="802" spans="1:6" x14ac:dyDescent="0.3">
      <c r="A802" s="106" t="s">
        <v>3878</v>
      </c>
      <c r="B802" s="97" t="s">
        <v>6707</v>
      </c>
      <c r="C802" s="106">
        <v>12</v>
      </c>
      <c r="D802" s="107">
        <v>740.68</v>
      </c>
      <c r="E802" s="107">
        <v>35.06</v>
      </c>
      <c r="F802" s="107">
        <v>21.77</v>
      </c>
    </row>
    <row r="803" spans="1:6" x14ac:dyDescent="0.3">
      <c r="A803" s="106" t="s">
        <v>4905</v>
      </c>
      <c r="B803" s="97" t="s">
        <v>6708</v>
      </c>
      <c r="C803" s="106">
        <v>12</v>
      </c>
      <c r="D803" s="107">
        <v>151.49</v>
      </c>
      <c r="E803" s="107">
        <v>-5.92</v>
      </c>
      <c r="F803" s="107">
        <v>3.52</v>
      </c>
    </row>
    <row r="804" spans="1:6" x14ac:dyDescent="0.3">
      <c r="A804" s="106" t="s">
        <v>4906</v>
      </c>
      <c r="B804" s="97" t="s">
        <v>6709</v>
      </c>
      <c r="C804" s="106">
        <v>12</v>
      </c>
      <c r="D804" s="107">
        <v>519.32000000000005</v>
      </c>
      <c r="E804" s="107">
        <v>16.64</v>
      </c>
      <c r="F804" s="107">
        <v>14.86</v>
      </c>
    </row>
    <row r="805" spans="1:6" x14ac:dyDescent="0.3">
      <c r="A805" s="106" t="s">
        <v>4907</v>
      </c>
      <c r="B805" s="97" t="s">
        <v>6710</v>
      </c>
      <c r="C805" s="106">
        <v>12</v>
      </c>
      <c r="D805" s="107">
        <v>132.06</v>
      </c>
      <c r="E805" s="107">
        <v>2.4900000000000002</v>
      </c>
      <c r="F805" s="107">
        <v>1.85</v>
      </c>
    </row>
    <row r="806" spans="1:6" x14ac:dyDescent="0.3">
      <c r="A806" s="106" t="s">
        <v>3879</v>
      </c>
      <c r="B806" s="97" t="s">
        <v>6711</v>
      </c>
      <c r="C806" s="106">
        <v>12</v>
      </c>
      <c r="D806" s="107">
        <v>2296.39</v>
      </c>
      <c r="E806" s="107">
        <v>38.9</v>
      </c>
      <c r="F806" s="107">
        <v>46.85</v>
      </c>
    </row>
    <row r="807" spans="1:6" x14ac:dyDescent="0.3">
      <c r="A807" s="106" t="s">
        <v>4908</v>
      </c>
      <c r="B807" s="97" t="s">
        <v>6712</v>
      </c>
      <c r="C807" s="106">
        <v>12</v>
      </c>
      <c r="D807" s="107">
        <v>124.76</v>
      </c>
      <c r="E807" s="107">
        <v>0.67</v>
      </c>
      <c r="F807" s="107">
        <v>0.91</v>
      </c>
    </row>
    <row r="808" spans="1:6" x14ac:dyDescent="0.3">
      <c r="A808" s="106" t="s">
        <v>4909</v>
      </c>
      <c r="B808" s="97" t="s">
        <v>6713</v>
      </c>
      <c r="C808" s="106">
        <v>12</v>
      </c>
      <c r="D808" s="107">
        <v>341.59</v>
      </c>
      <c r="E808" s="107">
        <v>24.07</v>
      </c>
      <c r="F808" s="107">
        <v>7.64</v>
      </c>
    </row>
    <row r="809" spans="1:6" x14ac:dyDescent="0.3">
      <c r="A809" s="106" t="s">
        <v>4910</v>
      </c>
      <c r="B809" s="97" t="s">
        <v>6714</v>
      </c>
      <c r="C809" s="106">
        <v>12</v>
      </c>
      <c r="D809" s="107">
        <v>48.44</v>
      </c>
      <c r="E809" s="107">
        <v>0.12</v>
      </c>
      <c r="F809" s="107">
        <v>0.47</v>
      </c>
    </row>
    <row r="810" spans="1:6" x14ac:dyDescent="0.3">
      <c r="A810" s="106" t="s">
        <v>4911</v>
      </c>
      <c r="B810" s="97" t="s">
        <v>6715</v>
      </c>
      <c r="C810" s="106">
        <v>12</v>
      </c>
      <c r="D810" s="107">
        <v>72.67</v>
      </c>
      <c r="E810" s="107">
        <v>3.8</v>
      </c>
      <c r="F810" s="107">
        <v>5.08</v>
      </c>
    </row>
    <row r="811" spans="1:6" x14ac:dyDescent="0.3">
      <c r="A811" s="106" t="s">
        <v>4912</v>
      </c>
      <c r="B811" s="97" t="s">
        <v>6716</v>
      </c>
      <c r="C811" s="106">
        <v>12</v>
      </c>
      <c r="D811" s="107">
        <v>105.36</v>
      </c>
      <c r="E811" s="107">
        <v>-5.79</v>
      </c>
      <c r="F811" s="107">
        <v>4.13</v>
      </c>
    </row>
    <row r="812" spans="1:6" x14ac:dyDescent="0.3">
      <c r="A812" s="106" t="s">
        <v>4913</v>
      </c>
      <c r="B812" s="97" t="s">
        <v>6717</v>
      </c>
      <c r="C812" s="106">
        <v>12</v>
      </c>
      <c r="D812" s="107">
        <v>728.7</v>
      </c>
      <c r="E812" s="107">
        <v>10.7</v>
      </c>
      <c r="F812" s="107">
        <v>1</v>
      </c>
    </row>
    <row r="813" spans="1:6" x14ac:dyDescent="0.3">
      <c r="A813" s="106" t="s">
        <v>4914</v>
      </c>
      <c r="B813" s="97" t="s">
        <v>6718</v>
      </c>
      <c r="C813" s="106">
        <v>12</v>
      </c>
      <c r="D813" s="107">
        <v>98.68</v>
      </c>
      <c r="E813" s="107">
        <v>5.05</v>
      </c>
      <c r="F813" s="107">
        <v>5.27</v>
      </c>
    </row>
    <row r="814" spans="1:6" x14ac:dyDescent="0.3">
      <c r="A814" s="106" t="s">
        <v>4915</v>
      </c>
      <c r="B814" s="97" t="s">
        <v>6719</v>
      </c>
      <c r="C814" s="106">
        <v>12</v>
      </c>
      <c r="D814" s="107">
        <v>20</v>
      </c>
      <c r="E814" s="107">
        <v>0.55000000000000004</v>
      </c>
      <c r="F814" s="107">
        <v>0.55000000000000004</v>
      </c>
    </row>
    <row r="815" spans="1:6" x14ac:dyDescent="0.3">
      <c r="A815" s="106" t="s">
        <v>4916</v>
      </c>
      <c r="B815" s="97" t="s">
        <v>6720</v>
      </c>
      <c r="C815" s="106">
        <v>12</v>
      </c>
      <c r="D815" s="107"/>
      <c r="E815" s="107"/>
      <c r="F815" s="107">
        <v>2.9</v>
      </c>
    </row>
    <row r="816" spans="1:6" x14ac:dyDescent="0.3">
      <c r="A816" s="106" t="s">
        <v>3880</v>
      </c>
      <c r="B816" s="97" t="s">
        <v>6721</v>
      </c>
      <c r="C816" s="106">
        <v>12</v>
      </c>
      <c r="D816" s="107">
        <v>2304.46</v>
      </c>
      <c r="E816" s="107">
        <v>118.33</v>
      </c>
      <c r="F816" s="107">
        <v>101.45</v>
      </c>
    </row>
    <row r="817" spans="1:6" x14ac:dyDescent="0.3">
      <c r="A817" s="106" t="s">
        <v>4917</v>
      </c>
      <c r="B817" s="97" t="s">
        <v>6722</v>
      </c>
      <c r="C817" s="106">
        <v>12</v>
      </c>
      <c r="D817" s="107">
        <v>28.45</v>
      </c>
      <c r="E817" s="107">
        <v>0.22</v>
      </c>
      <c r="F817" s="107">
        <v>-0.11</v>
      </c>
    </row>
    <row r="818" spans="1:6" x14ac:dyDescent="0.3">
      <c r="A818" s="106" t="s">
        <v>3881</v>
      </c>
      <c r="B818" s="97" t="s">
        <v>6723</v>
      </c>
      <c r="C818" s="106">
        <v>12</v>
      </c>
      <c r="D818" s="107">
        <v>2026.89</v>
      </c>
      <c r="E818" s="107">
        <v>191.09</v>
      </c>
      <c r="F818" s="107">
        <v>163.33000000000001</v>
      </c>
    </row>
    <row r="819" spans="1:6" x14ac:dyDescent="0.3">
      <c r="A819" s="106" t="s">
        <v>4918</v>
      </c>
      <c r="B819" s="97" t="s">
        <v>6724</v>
      </c>
      <c r="C819" s="106">
        <v>12</v>
      </c>
      <c r="D819" s="107">
        <v>19.84</v>
      </c>
      <c r="E819" s="107">
        <v>-0.13</v>
      </c>
      <c r="F819" s="107">
        <v>-0.94</v>
      </c>
    </row>
    <row r="820" spans="1:6" x14ac:dyDescent="0.3">
      <c r="A820" s="106" t="s">
        <v>4919</v>
      </c>
      <c r="B820" s="97" t="s">
        <v>6725</v>
      </c>
      <c r="C820" s="106">
        <v>12</v>
      </c>
      <c r="D820" s="107">
        <v>28.45</v>
      </c>
      <c r="E820" s="107">
        <v>-3.22</v>
      </c>
      <c r="F820" s="107">
        <v>0.4</v>
      </c>
    </row>
    <row r="821" spans="1:6" x14ac:dyDescent="0.3">
      <c r="A821" s="106" t="s">
        <v>4920</v>
      </c>
      <c r="B821" s="97" t="s">
        <v>6726</v>
      </c>
      <c r="C821" s="106">
        <v>12</v>
      </c>
      <c r="D821" s="107">
        <v>17.21</v>
      </c>
      <c r="E821" s="107">
        <v>-3.58</v>
      </c>
      <c r="F821" s="107">
        <v>-2.7</v>
      </c>
    </row>
    <row r="822" spans="1:6" x14ac:dyDescent="0.3">
      <c r="A822" s="106" t="s">
        <v>4921</v>
      </c>
      <c r="B822" s="97" t="s">
        <v>6727</v>
      </c>
      <c r="C822" s="106">
        <v>12</v>
      </c>
      <c r="D822" s="107">
        <v>144.97999999999999</v>
      </c>
      <c r="E822" s="107">
        <v>4.43</v>
      </c>
      <c r="F822" s="107">
        <v>5.87</v>
      </c>
    </row>
    <row r="823" spans="1:6" x14ac:dyDescent="0.3">
      <c r="A823" s="106" t="s">
        <v>3882</v>
      </c>
      <c r="B823" s="97" t="s">
        <v>6728</v>
      </c>
      <c r="C823" s="106">
        <v>12</v>
      </c>
      <c r="D823" s="107">
        <v>205.07</v>
      </c>
      <c r="E823" s="107">
        <v>10.130000000000001</v>
      </c>
      <c r="F823" s="107">
        <v>3.85</v>
      </c>
    </row>
    <row r="824" spans="1:6" x14ac:dyDescent="0.3">
      <c r="A824" s="106" t="s">
        <v>4922</v>
      </c>
      <c r="B824" s="97" t="s">
        <v>6729</v>
      </c>
      <c r="C824" s="106">
        <v>12</v>
      </c>
      <c r="D824" s="107">
        <v>148.05000000000001</v>
      </c>
      <c r="E824" s="107">
        <v>-0.12</v>
      </c>
      <c r="F824" s="107">
        <v>-0.28000000000000003</v>
      </c>
    </row>
    <row r="825" spans="1:6" x14ac:dyDescent="0.3">
      <c r="A825" s="106" t="s">
        <v>4923</v>
      </c>
      <c r="B825" s="97" t="s">
        <v>6730</v>
      </c>
      <c r="C825" s="106">
        <v>12</v>
      </c>
      <c r="D825" s="107">
        <v>30.42</v>
      </c>
      <c r="E825" s="107">
        <v>-0.79</v>
      </c>
      <c r="F825" s="107">
        <v>-0.24</v>
      </c>
    </row>
    <row r="826" spans="1:6" x14ac:dyDescent="0.3">
      <c r="A826" s="106" t="s">
        <v>3883</v>
      </c>
      <c r="B826" s="97" t="s">
        <v>6731</v>
      </c>
      <c r="C826" s="106">
        <v>12</v>
      </c>
      <c r="D826" s="107">
        <v>529.84</v>
      </c>
      <c r="E826" s="107">
        <v>22.58</v>
      </c>
      <c r="F826" s="107">
        <v>30.29</v>
      </c>
    </row>
    <row r="827" spans="1:6" x14ac:dyDescent="0.3">
      <c r="A827" s="106" t="s">
        <v>3884</v>
      </c>
      <c r="B827" s="97" t="s">
        <v>6732</v>
      </c>
      <c r="C827" s="106">
        <v>12</v>
      </c>
      <c r="D827" s="107">
        <v>972.74</v>
      </c>
      <c r="E827" s="107">
        <v>61.57</v>
      </c>
      <c r="F827" s="107">
        <v>30.79</v>
      </c>
    </row>
    <row r="828" spans="1:6" x14ac:dyDescent="0.3">
      <c r="A828" s="106" t="s">
        <v>4924</v>
      </c>
      <c r="B828" s="97" t="s">
        <v>6733</v>
      </c>
      <c r="C828" s="106">
        <v>12</v>
      </c>
      <c r="D828" s="107">
        <v>334.48</v>
      </c>
      <c r="E828" s="107">
        <v>-0.19</v>
      </c>
      <c r="F828" s="107">
        <v>5.8</v>
      </c>
    </row>
    <row r="829" spans="1:6" x14ac:dyDescent="0.3">
      <c r="A829" s="106" t="s">
        <v>4925</v>
      </c>
      <c r="B829" s="97" t="s">
        <v>6734</v>
      </c>
      <c r="C829" s="106">
        <v>12</v>
      </c>
      <c r="D829" s="107">
        <v>229.07</v>
      </c>
      <c r="E829" s="107">
        <v>1.8</v>
      </c>
      <c r="F829" s="107">
        <v>9.18</v>
      </c>
    </row>
    <row r="830" spans="1:6" x14ac:dyDescent="0.3">
      <c r="A830" s="106" t="s">
        <v>4926</v>
      </c>
      <c r="B830" s="97" t="s">
        <v>6735</v>
      </c>
      <c r="C830" s="106">
        <v>12</v>
      </c>
      <c r="D830" s="107">
        <v>13.25</v>
      </c>
      <c r="E830" s="107">
        <v>-0.94</v>
      </c>
      <c r="F830" s="107">
        <v>-1.33</v>
      </c>
    </row>
    <row r="831" spans="1:6" x14ac:dyDescent="0.3">
      <c r="A831" s="106" t="s">
        <v>3885</v>
      </c>
      <c r="B831" s="97" t="s">
        <v>6736</v>
      </c>
      <c r="C831" s="106">
        <v>12</v>
      </c>
      <c r="D831" s="107">
        <v>70.75</v>
      </c>
      <c r="E831" s="107">
        <v>5.38</v>
      </c>
      <c r="F831" s="107">
        <v>2.2400000000000002</v>
      </c>
    </row>
    <row r="832" spans="1:6" x14ac:dyDescent="0.3">
      <c r="A832" s="106" t="s">
        <v>4927</v>
      </c>
      <c r="B832" s="97" t="s">
        <v>6737</v>
      </c>
      <c r="C832" s="106">
        <v>12</v>
      </c>
      <c r="D832" s="107">
        <v>50.93</v>
      </c>
      <c r="E832" s="107">
        <v>-0.63</v>
      </c>
      <c r="F832" s="107">
        <v>0.2</v>
      </c>
    </row>
    <row r="833" spans="1:6" x14ac:dyDescent="0.3">
      <c r="A833" s="106" t="s">
        <v>4928</v>
      </c>
      <c r="B833" s="97" t="s">
        <v>6738</v>
      </c>
      <c r="C833" s="106">
        <v>12</v>
      </c>
      <c r="D833" s="107">
        <v>166.09</v>
      </c>
      <c r="E833" s="107">
        <v>-5.1100000000000003</v>
      </c>
      <c r="F833" s="107">
        <v>-3.28</v>
      </c>
    </row>
    <row r="834" spans="1:6" x14ac:dyDescent="0.3">
      <c r="A834" s="106" t="s">
        <v>4929</v>
      </c>
      <c r="B834" s="97" t="s">
        <v>6739</v>
      </c>
      <c r="C834" s="106">
        <v>12</v>
      </c>
      <c r="D834" s="107">
        <v>14.74</v>
      </c>
      <c r="E834" s="107">
        <v>0.48</v>
      </c>
      <c r="F834" s="107">
        <v>0.55000000000000004</v>
      </c>
    </row>
    <row r="835" spans="1:6" x14ac:dyDescent="0.3">
      <c r="A835" s="106" t="s">
        <v>4930</v>
      </c>
      <c r="B835" s="97" t="s">
        <v>6740</v>
      </c>
      <c r="C835" s="106">
        <v>12</v>
      </c>
      <c r="D835" s="107">
        <v>12.09</v>
      </c>
      <c r="E835" s="107">
        <v>-0.75</v>
      </c>
      <c r="F835" s="107">
        <v>0.62</v>
      </c>
    </row>
    <row r="836" spans="1:6" x14ac:dyDescent="0.3">
      <c r="A836" s="106" t="s">
        <v>4931</v>
      </c>
      <c r="B836" s="97" t="s">
        <v>6741</v>
      </c>
      <c r="C836" s="106">
        <v>12</v>
      </c>
      <c r="D836" s="107">
        <v>58.27</v>
      </c>
      <c r="E836" s="107">
        <v>1.1499999999999999</v>
      </c>
      <c r="F836" s="107">
        <v>0.82</v>
      </c>
    </row>
    <row r="837" spans="1:6" x14ac:dyDescent="0.3">
      <c r="A837" s="106" t="s">
        <v>4932</v>
      </c>
      <c r="B837" s="97" t="s">
        <v>6742</v>
      </c>
      <c r="C837" s="106">
        <v>12</v>
      </c>
      <c r="D837" s="107">
        <v>12.83</v>
      </c>
      <c r="E837" s="107">
        <v>0.1</v>
      </c>
      <c r="F837" s="107">
        <v>-0.48</v>
      </c>
    </row>
    <row r="838" spans="1:6" x14ac:dyDescent="0.3">
      <c r="A838" s="106" t="s">
        <v>4933</v>
      </c>
      <c r="B838" s="97" t="s">
        <v>6743</v>
      </c>
      <c r="C838" s="106">
        <v>12</v>
      </c>
      <c r="D838" s="107">
        <v>92.99</v>
      </c>
      <c r="E838" s="107">
        <v>4.34</v>
      </c>
      <c r="F838" s="107">
        <v>4.54</v>
      </c>
    </row>
    <row r="839" spans="1:6" x14ac:dyDescent="0.3">
      <c r="A839" s="106" t="s">
        <v>4934</v>
      </c>
      <c r="B839" s="97" t="s">
        <v>6744</v>
      </c>
      <c r="C839" s="106">
        <v>12</v>
      </c>
      <c r="D839" s="107">
        <v>49.09</v>
      </c>
      <c r="E839" s="107">
        <v>0.06</v>
      </c>
      <c r="F839" s="107">
        <v>0.51</v>
      </c>
    </row>
    <row r="840" spans="1:6" x14ac:dyDescent="0.3">
      <c r="A840" s="106" t="s">
        <v>4935</v>
      </c>
      <c r="B840" s="97" t="s">
        <v>6745</v>
      </c>
      <c r="C840" s="106">
        <v>12</v>
      </c>
      <c r="D840" s="107">
        <v>28.29</v>
      </c>
      <c r="E840" s="107">
        <v>-3.02</v>
      </c>
      <c r="F840" s="107">
        <v>-4.03</v>
      </c>
    </row>
    <row r="841" spans="1:6" x14ac:dyDescent="0.3">
      <c r="A841" s="106" t="s">
        <v>4936</v>
      </c>
      <c r="B841" s="97" t="s">
        <v>6746</v>
      </c>
      <c r="C841" s="106">
        <v>12</v>
      </c>
      <c r="D841" s="107">
        <v>75.89</v>
      </c>
      <c r="E841" s="107">
        <v>0.87</v>
      </c>
      <c r="F841" s="107">
        <v>0.33</v>
      </c>
    </row>
    <row r="842" spans="1:6" x14ac:dyDescent="0.3">
      <c r="A842" s="106" t="s">
        <v>4937</v>
      </c>
      <c r="B842" s="97" t="s">
        <v>6747</v>
      </c>
      <c r="C842" s="106">
        <v>12</v>
      </c>
      <c r="D842" s="107">
        <v>9.56</v>
      </c>
      <c r="E842" s="107">
        <v>-0.9</v>
      </c>
      <c r="F842" s="107">
        <v>-0.28000000000000003</v>
      </c>
    </row>
    <row r="843" spans="1:6" x14ac:dyDescent="0.3">
      <c r="A843" s="106" t="s">
        <v>4938</v>
      </c>
      <c r="B843" s="97" t="s">
        <v>6748</v>
      </c>
      <c r="C843" s="106">
        <v>12</v>
      </c>
      <c r="D843" s="107">
        <v>132.32</v>
      </c>
      <c r="E843" s="107">
        <v>9.0500000000000007</v>
      </c>
      <c r="F843" s="107">
        <v>2.56</v>
      </c>
    </row>
    <row r="844" spans="1:6" x14ac:dyDescent="0.3">
      <c r="A844" s="106" t="s">
        <v>3886</v>
      </c>
      <c r="B844" s="97" t="s">
        <v>6749</v>
      </c>
      <c r="C844" s="106">
        <v>12</v>
      </c>
      <c r="D844" s="107">
        <v>8504.4699999999993</v>
      </c>
      <c r="E844" s="107">
        <v>849.71</v>
      </c>
      <c r="F844" s="107">
        <v>238.93</v>
      </c>
    </row>
    <row r="845" spans="1:6" x14ac:dyDescent="0.3">
      <c r="A845" s="106" t="s">
        <v>4939</v>
      </c>
      <c r="B845" s="97" t="s">
        <v>6750</v>
      </c>
      <c r="C845" s="106">
        <v>12</v>
      </c>
      <c r="D845" s="107">
        <v>19.489999999999998</v>
      </c>
      <c r="E845" s="107">
        <v>0.12</v>
      </c>
      <c r="F845" s="107">
        <v>0.28000000000000003</v>
      </c>
    </row>
    <row r="846" spans="1:6" x14ac:dyDescent="0.3">
      <c r="A846" s="106" t="s">
        <v>3887</v>
      </c>
      <c r="B846" s="97" t="s">
        <v>6751</v>
      </c>
      <c r="C846" s="106">
        <v>12</v>
      </c>
      <c r="D846" s="107">
        <v>320.54000000000002</v>
      </c>
      <c r="E846" s="107">
        <v>5.21</v>
      </c>
      <c r="F846" s="107">
        <v>18.16</v>
      </c>
    </row>
    <row r="847" spans="1:6" x14ac:dyDescent="0.3">
      <c r="A847" s="106" t="s">
        <v>4940</v>
      </c>
      <c r="B847" s="97" t="s">
        <v>6752</v>
      </c>
      <c r="C847" s="106">
        <v>12</v>
      </c>
      <c r="D847" s="107">
        <v>79.62</v>
      </c>
      <c r="E847" s="107">
        <v>0.79</v>
      </c>
      <c r="F847" s="107">
        <v>0.55000000000000004</v>
      </c>
    </row>
    <row r="848" spans="1:6" x14ac:dyDescent="0.3">
      <c r="A848" s="106" t="s">
        <v>4941</v>
      </c>
      <c r="B848" s="97" t="s">
        <v>6753</v>
      </c>
      <c r="C848" s="106">
        <v>12</v>
      </c>
      <c r="D848" s="107">
        <v>1332.84</v>
      </c>
      <c r="E848" s="107">
        <v>28.2</v>
      </c>
      <c r="F848" s="107">
        <v>20.100000000000001</v>
      </c>
    </row>
    <row r="849" spans="1:6" x14ac:dyDescent="0.3">
      <c r="A849" s="106" t="s">
        <v>4942</v>
      </c>
      <c r="B849" s="97" t="s">
        <v>6754</v>
      </c>
      <c r="C849" s="106">
        <v>12</v>
      </c>
      <c r="D849" s="107">
        <v>234.19</v>
      </c>
      <c r="E849" s="107">
        <v>-9.0500000000000007</v>
      </c>
      <c r="F849" s="107">
        <v>3.35</v>
      </c>
    </row>
    <row r="850" spans="1:6" x14ac:dyDescent="0.3">
      <c r="A850" s="106" t="s">
        <v>4943</v>
      </c>
      <c r="B850" s="97" t="s">
        <v>6755</v>
      </c>
      <c r="C850" s="106">
        <v>12</v>
      </c>
      <c r="D850" s="107">
        <v>259.72000000000003</v>
      </c>
      <c r="E850" s="107">
        <v>2.62</v>
      </c>
      <c r="F850" s="107">
        <v>4.96</v>
      </c>
    </row>
    <row r="851" spans="1:6" x14ac:dyDescent="0.3">
      <c r="A851" s="106" t="s">
        <v>4944</v>
      </c>
      <c r="B851" s="97" t="s">
        <v>6756</v>
      </c>
      <c r="C851" s="106">
        <v>12</v>
      </c>
      <c r="D851" s="107">
        <v>1057.8599999999999</v>
      </c>
      <c r="E851" s="107">
        <v>55.51</v>
      </c>
      <c r="F851" s="107">
        <v>11.27</v>
      </c>
    </row>
    <row r="852" spans="1:6" x14ac:dyDescent="0.3">
      <c r="A852" s="106" t="s">
        <v>4945</v>
      </c>
      <c r="B852" s="97" t="s">
        <v>6757</v>
      </c>
      <c r="C852" s="106">
        <v>12</v>
      </c>
      <c r="D852" s="107">
        <v>219.58</v>
      </c>
      <c r="E852" s="107">
        <v>-2.2400000000000002</v>
      </c>
      <c r="F852" s="107">
        <v>7.4</v>
      </c>
    </row>
    <row r="853" spans="1:6" x14ac:dyDescent="0.3">
      <c r="A853" s="106" t="s">
        <v>4946</v>
      </c>
      <c r="B853" s="97" t="s">
        <v>6758</v>
      </c>
      <c r="C853" s="106">
        <v>12</v>
      </c>
      <c r="D853" s="107">
        <v>34.369999999999997</v>
      </c>
      <c r="E853" s="107">
        <v>-0.24</v>
      </c>
      <c r="F853" s="107">
        <v>-0.26</v>
      </c>
    </row>
    <row r="854" spans="1:6" x14ac:dyDescent="0.3">
      <c r="A854" s="106" t="s">
        <v>4947</v>
      </c>
      <c r="B854" s="97" t="s">
        <v>6759</v>
      </c>
      <c r="C854" s="106">
        <v>12</v>
      </c>
      <c r="D854" s="107">
        <v>107.91</v>
      </c>
      <c r="E854" s="107">
        <v>-2.06</v>
      </c>
      <c r="F854" s="107">
        <v>-0.66</v>
      </c>
    </row>
    <row r="855" spans="1:6" x14ac:dyDescent="0.3">
      <c r="A855" s="106" t="s">
        <v>4948</v>
      </c>
      <c r="B855" s="97" t="s">
        <v>6760</v>
      </c>
      <c r="C855" s="106">
        <v>12</v>
      </c>
      <c r="D855" s="107">
        <v>63.89</v>
      </c>
      <c r="E855" s="107">
        <v>1.1299999999999999</v>
      </c>
      <c r="F855" s="107">
        <v>1.27</v>
      </c>
    </row>
    <row r="856" spans="1:6" x14ac:dyDescent="0.3">
      <c r="A856" s="106" t="s">
        <v>4949</v>
      </c>
      <c r="B856" s="97" t="s">
        <v>6761</v>
      </c>
      <c r="C856" s="106">
        <v>12</v>
      </c>
      <c r="D856" s="107">
        <v>33.65</v>
      </c>
      <c r="E856" s="107">
        <v>0.72</v>
      </c>
      <c r="F856" s="107">
        <v>0.8</v>
      </c>
    </row>
    <row r="857" spans="1:6" x14ac:dyDescent="0.3">
      <c r="A857" s="106" t="s">
        <v>4950</v>
      </c>
      <c r="B857" s="97" t="s">
        <v>6762</v>
      </c>
      <c r="C857" s="106">
        <v>12</v>
      </c>
      <c r="D857" s="107">
        <v>34.049999999999997</v>
      </c>
      <c r="E857" s="107">
        <v>0.87</v>
      </c>
      <c r="F857" s="107">
        <v>4.28</v>
      </c>
    </row>
    <row r="858" spans="1:6" x14ac:dyDescent="0.3">
      <c r="A858" s="106" t="s">
        <v>3888</v>
      </c>
      <c r="B858" s="97" t="s">
        <v>6763</v>
      </c>
      <c r="C858" s="106">
        <v>12</v>
      </c>
      <c r="D858" s="107">
        <v>192.74</v>
      </c>
      <c r="E858" s="107">
        <v>-7.65</v>
      </c>
      <c r="F858" s="107">
        <v>15.06</v>
      </c>
    </row>
    <row r="859" spans="1:6" x14ac:dyDescent="0.3">
      <c r="A859" s="106" t="s">
        <v>4951</v>
      </c>
      <c r="B859" s="97" t="s">
        <v>6764</v>
      </c>
      <c r="C859" s="106">
        <v>12</v>
      </c>
      <c r="D859" s="107">
        <v>57.78</v>
      </c>
      <c r="E859" s="107">
        <v>3.95</v>
      </c>
      <c r="F859" s="107">
        <v>3.71</v>
      </c>
    </row>
    <row r="860" spans="1:6" x14ac:dyDescent="0.3">
      <c r="A860" s="106" t="s">
        <v>4952</v>
      </c>
      <c r="B860" s="97" t="s">
        <v>6765</v>
      </c>
      <c r="C860" s="106">
        <v>12</v>
      </c>
      <c r="D860" s="107">
        <v>40.270000000000003</v>
      </c>
      <c r="E860" s="107">
        <v>0.9</v>
      </c>
      <c r="F860" s="107">
        <v>1.07</v>
      </c>
    </row>
    <row r="861" spans="1:6" x14ac:dyDescent="0.3">
      <c r="A861" s="106" t="s">
        <v>3889</v>
      </c>
      <c r="B861" s="97" t="s">
        <v>4129</v>
      </c>
      <c r="C861" s="106">
        <v>12</v>
      </c>
      <c r="D861" s="107">
        <v>344.47</v>
      </c>
      <c r="E861" s="107">
        <v>23.66</v>
      </c>
      <c r="F861" s="107">
        <v>24.46</v>
      </c>
    </row>
    <row r="862" spans="1:6" x14ac:dyDescent="0.3">
      <c r="A862" s="106" t="s">
        <v>4953</v>
      </c>
      <c r="B862" s="97" t="s">
        <v>6766</v>
      </c>
      <c r="C862" s="106">
        <v>12</v>
      </c>
      <c r="D862" s="107">
        <v>63.79</v>
      </c>
      <c r="E862" s="107">
        <v>1.4</v>
      </c>
      <c r="F862" s="107">
        <v>4.26</v>
      </c>
    </row>
    <row r="863" spans="1:6" x14ac:dyDescent="0.3">
      <c r="A863" s="106" t="s">
        <v>4954</v>
      </c>
      <c r="B863" s="97" t="s">
        <v>6767</v>
      </c>
      <c r="C863" s="106">
        <v>12</v>
      </c>
      <c r="D863" s="107"/>
      <c r="E863" s="107"/>
      <c r="F863" s="107">
        <v>-0.39</v>
      </c>
    </row>
    <row r="864" spans="1:6" x14ac:dyDescent="0.3">
      <c r="A864" s="106" t="s">
        <v>4955</v>
      </c>
      <c r="B864" s="97" t="s">
        <v>6768</v>
      </c>
      <c r="C864" s="106">
        <v>12</v>
      </c>
      <c r="D864" s="107">
        <v>117.02</v>
      </c>
      <c r="E864" s="107">
        <v>-12.18</v>
      </c>
      <c r="F864" s="107">
        <v>-13.33</v>
      </c>
    </row>
    <row r="865" spans="1:6" x14ac:dyDescent="0.3">
      <c r="A865" s="106" t="s">
        <v>4956</v>
      </c>
      <c r="B865" s="97" t="s">
        <v>6769</v>
      </c>
      <c r="C865" s="106">
        <v>12</v>
      </c>
      <c r="D865" s="107">
        <v>45.39</v>
      </c>
      <c r="E865" s="107">
        <v>-2.15</v>
      </c>
      <c r="F865" s="107">
        <v>-1.47</v>
      </c>
    </row>
    <row r="866" spans="1:6" x14ac:dyDescent="0.3">
      <c r="A866" s="106" t="s">
        <v>4957</v>
      </c>
      <c r="B866" s="97" t="s">
        <v>6770</v>
      </c>
      <c r="C866" s="106">
        <v>12</v>
      </c>
      <c r="D866" s="107">
        <v>37.85</v>
      </c>
      <c r="E866" s="107">
        <v>-1.1399999999999999</v>
      </c>
      <c r="F866" s="107">
        <v>0.53</v>
      </c>
    </row>
    <row r="867" spans="1:6" x14ac:dyDescent="0.3">
      <c r="A867" s="106" t="s">
        <v>4958</v>
      </c>
      <c r="B867" s="97" t="s">
        <v>6771</v>
      </c>
      <c r="C867" s="106">
        <v>12</v>
      </c>
      <c r="D867" s="107">
        <v>31.67</v>
      </c>
      <c r="E867" s="107">
        <v>-1.27</v>
      </c>
      <c r="F867" s="107">
        <v>-0.05</v>
      </c>
    </row>
    <row r="868" spans="1:6" x14ac:dyDescent="0.3">
      <c r="A868" s="106" t="s">
        <v>4959</v>
      </c>
      <c r="B868" s="97" t="s">
        <v>6772</v>
      </c>
      <c r="C868" s="106">
        <v>12</v>
      </c>
      <c r="D868" s="107">
        <v>172.04</v>
      </c>
      <c r="E868" s="107">
        <v>-0.46</v>
      </c>
      <c r="F868" s="107">
        <v>11.36</v>
      </c>
    </row>
    <row r="869" spans="1:6" x14ac:dyDescent="0.3">
      <c r="A869" s="106" t="s">
        <v>4960</v>
      </c>
      <c r="B869" s="97" t="s">
        <v>6773</v>
      </c>
      <c r="C869" s="106">
        <v>12</v>
      </c>
      <c r="D869" s="107">
        <v>18.39</v>
      </c>
      <c r="E869" s="107">
        <v>-0.37</v>
      </c>
      <c r="F869" s="107">
        <v>-0.51</v>
      </c>
    </row>
    <row r="870" spans="1:6" x14ac:dyDescent="0.3">
      <c r="A870" s="106" t="s">
        <v>4961</v>
      </c>
      <c r="B870" s="97" t="s">
        <v>6774</v>
      </c>
      <c r="C870" s="106">
        <v>12</v>
      </c>
      <c r="D870" s="107">
        <v>132.94999999999999</v>
      </c>
      <c r="E870" s="107">
        <v>5.3</v>
      </c>
      <c r="F870" s="107">
        <v>1.22</v>
      </c>
    </row>
    <row r="871" spans="1:6" x14ac:dyDescent="0.3">
      <c r="A871" s="106" t="s">
        <v>4962</v>
      </c>
      <c r="B871" s="97" t="s">
        <v>6775</v>
      </c>
      <c r="C871" s="106">
        <v>12</v>
      </c>
      <c r="D871" s="107">
        <v>51.77</v>
      </c>
      <c r="E871" s="107">
        <v>1.51</v>
      </c>
      <c r="F871" s="107">
        <v>2.27</v>
      </c>
    </row>
    <row r="872" spans="1:6" x14ac:dyDescent="0.3">
      <c r="A872" s="106" t="s">
        <v>4963</v>
      </c>
      <c r="B872" s="97" t="s">
        <v>6776</v>
      </c>
      <c r="C872" s="106">
        <v>12</v>
      </c>
      <c r="D872" s="107">
        <v>341.04</v>
      </c>
      <c r="E872" s="107">
        <v>4.47</v>
      </c>
      <c r="F872" s="107">
        <v>0.08</v>
      </c>
    </row>
    <row r="873" spans="1:6" x14ac:dyDescent="0.3">
      <c r="A873" s="106" t="s">
        <v>4964</v>
      </c>
      <c r="B873" s="97" t="s">
        <v>6777</v>
      </c>
      <c r="C873" s="106">
        <v>12</v>
      </c>
      <c r="D873" s="107">
        <v>56.09</v>
      </c>
      <c r="E873" s="107">
        <v>0.37</v>
      </c>
      <c r="F873" s="107">
        <v>1.18</v>
      </c>
    </row>
    <row r="874" spans="1:6" x14ac:dyDescent="0.3">
      <c r="A874" s="106" t="s">
        <v>4965</v>
      </c>
      <c r="B874" s="97" t="s">
        <v>6778</v>
      </c>
      <c r="C874" s="106">
        <v>12</v>
      </c>
      <c r="D874" s="107">
        <v>65.09</v>
      </c>
      <c r="E874" s="107">
        <v>0.86</v>
      </c>
      <c r="F874" s="107">
        <v>-1.22</v>
      </c>
    </row>
    <row r="875" spans="1:6" x14ac:dyDescent="0.3">
      <c r="A875" s="106" t="s">
        <v>3890</v>
      </c>
      <c r="B875" s="97" t="s">
        <v>6779</v>
      </c>
      <c r="C875" s="106">
        <v>3</v>
      </c>
      <c r="D875" s="107">
        <v>2112.2199999999998</v>
      </c>
      <c r="E875" s="107">
        <v>58.16</v>
      </c>
      <c r="F875" s="107">
        <v>20.09</v>
      </c>
    </row>
    <row r="876" spans="1:6" x14ac:dyDescent="0.3">
      <c r="A876" s="106" t="s">
        <v>4966</v>
      </c>
      <c r="B876" s="97" t="s">
        <v>6780</v>
      </c>
      <c r="C876" s="106">
        <v>12</v>
      </c>
      <c r="D876" s="107">
        <v>10.25</v>
      </c>
      <c r="E876" s="107">
        <v>0.28999999999999998</v>
      </c>
      <c r="F876" s="107">
        <v>2.76</v>
      </c>
    </row>
    <row r="877" spans="1:6" x14ac:dyDescent="0.3">
      <c r="A877" s="106" t="s">
        <v>4967</v>
      </c>
      <c r="B877" s="97" t="s">
        <v>6781</v>
      </c>
      <c r="C877" s="106">
        <v>12</v>
      </c>
      <c r="D877" s="107">
        <v>372.47</v>
      </c>
      <c r="E877" s="107">
        <v>14.11</v>
      </c>
      <c r="F877" s="107">
        <v>14.23</v>
      </c>
    </row>
    <row r="878" spans="1:6" x14ac:dyDescent="0.3">
      <c r="A878" s="106" t="s">
        <v>4968</v>
      </c>
      <c r="B878" s="97" t="s">
        <v>6782</v>
      </c>
      <c r="C878" s="106">
        <v>12</v>
      </c>
      <c r="D878" s="107">
        <v>28.09</v>
      </c>
      <c r="E878" s="107">
        <v>0.24</v>
      </c>
      <c r="F878" s="107">
        <v>0.54</v>
      </c>
    </row>
    <row r="879" spans="1:6" x14ac:dyDescent="0.3">
      <c r="A879" s="106" t="s">
        <v>4969</v>
      </c>
      <c r="B879" s="97" t="s">
        <v>6783</v>
      </c>
      <c r="C879" s="106">
        <v>12</v>
      </c>
      <c r="D879" s="107">
        <v>4.29</v>
      </c>
      <c r="E879" s="107">
        <v>-2.4500000000000002</v>
      </c>
      <c r="F879" s="107">
        <v>-3.19</v>
      </c>
    </row>
    <row r="880" spans="1:6" x14ac:dyDescent="0.3">
      <c r="A880" s="106" t="s">
        <v>4970</v>
      </c>
      <c r="B880" s="97" t="s">
        <v>6784</v>
      </c>
      <c r="C880" s="106">
        <v>12</v>
      </c>
      <c r="D880" s="107">
        <v>34.200000000000003</v>
      </c>
      <c r="E880" s="107">
        <v>0.9</v>
      </c>
      <c r="F880" s="107">
        <v>0.53</v>
      </c>
    </row>
    <row r="881" spans="1:6" x14ac:dyDescent="0.3">
      <c r="A881" s="106" t="s">
        <v>4971</v>
      </c>
      <c r="B881" s="97" t="s">
        <v>6785</v>
      </c>
      <c r="C881" s="106">
        <v>12</v>
      </c>
      <c r="D881" s="107">
        <v>176.46</v>
      </c>
      <c r="E881" s="107">
        <v>7.44</v>
      </c>
      <c r="F881" s="107">
        <v>1.49</v>
      </c>
    </row>
    <row r="882" spans="1:6" x14ac:dyDescent="0.3">
      <c r="A882" s="106" t="s">
        <v>4972</v>
      </c>
      <c r="B882" s="97" t="s">
        <v>6786</v>
      </c>
      <c r="C882" s="106">
        <v>12</v>
      </c>
      <c r="D882" s="107">
        <v>37.9</v>
      </c>
      <c r="E882" s="107">
        <v>1.3</v>
      </c>
      <c r="F882" s="107">
        <v>1.85</v>
      </c>
    </row>
    <row r="883" spans="1:6" x14ac:dyDescent="0.3">
      <c r="A883" s="106" t="s">
        <v>4973</v>
      </c>
      <c r="B883" s="97" t="s">
        <v>6787</v>
      </c>
      <c r="C883" s="106">
        <v>12</v>
      </c>
      <c r="D883" s="107">
        <v>110.94</v>
      </c>
      <c r="E883" s="107">
        <v>0.53</v>
      </c>
      <c r="F883" s="107">
        <v>1.46</v>
      </c>
    </row>
    <row r="884" spans="1:6" x14ac:dyDescent="0.3">
      <c r="A884" s="106" t="s">
        <v>4974</v>
      </c>
      <c r="B884" s="97" t="s">
        <v>6788</v>
      </c>
      <c r="C884" s="106">
        <v>12</v>
      </c>
      <c r="D884" s="107"/>
      <c r="E884" s="107"/>
      <c r="F884" s="107">
        <v>-1.38</v>
      </c>
    </row>
    <row r="885" spans="1:6" x14ac:dyDescent="0.3">
      <c r="A885" s="106" t="s">
        <v>4975</v>
      </c>
      <c r="B885" s="97" t="s">
        <v>6789</v>
      </c>
      <c r="C885" s="106">
        <v>12</v>
      </c>
      <c r="D885" s="107">
        <v>52.79</v>
      </c>
      <c r="E885" s="107">
        <v>0.52</v>
      </c>
      <c r="F885" s="107">
        <v>1.8</v>
      </c>
    </row>
    <row r="886" spans="1:6" x14ac:dyDescent="0.3">
      <c r="A886" s="106" t="s">
        <v>4976</v>
      </c>
      <c r="B886" s="97" t="s">
        <v>6790</v>
      </c>
      <c r="C886" s="106">
        <v>12</v>
      </c>
      <c r="D886" s="107">
        <v>9.99</v>
      </c>
      <c r="E886" s="107">
        <v>-1.03</v>
      </c>
      <c r="F886" s="107">
        <v>0.05</v>
      </c>
    </row>
    <row r="887" spans="1:6" x14ac:dyDescent="0.3">
      <c r="A887" s="106" t="s">
        <v>4977</v>
      </c>
      <c r="B887" s="97" t="s">
        <v>6791</v>
      </c>
      <c r="C887" s="106">
        <v>12</v>
      </c>
      <c r="D887" s="107">
        <v>103.65</v>
      </c>
      <c r="E887" s="107">
        <v>6.43</v>
      </c>
      <c r="F887" s="107">
        <v>6.36</v>
      </c>
    </row>
    <row r="888" spans="1:6" x14ac:dyDescent="0.3">
      <c r="A888" s="106" t="s">
        <v>4978</v>
      </c>
      <c r="B888" s="97" t="s">
        <v>6792</v>
      </c>
      <c r="C888" s="106">
        <v>12</v>
      </c>
      <c r="D888" s="107">
        <v>41.33</v>
      </c>
      <c r="E888" s="107">
        <v>0.99</v>
      </c>
      <c r="F888" s="107">
        <v>3.2</v>
      </c>
    </row>
    <row r="889" spans="1:6" x14ac:dyDescent="0.3">
      <c r="A889" s="106" t="s">
        <v>4979</v>
      </c>
      <c r="B889" s="97" t="s">
        <v>6793</v>
      </c>
      <c r="C889" s="106">
        <v>12</v>
      </c>
      <c r="D889" s="107">
        <v>468.72</v>
      </c>
      <c r="E889" s="107">
        <v>-0.67</v>
      </c>
      <c r="F889" s="107">
        <v>21.52</v>
      </c>
    </row>
    <row r="890" spans="1:6" x14ac:dyDescent="0.3">
      <c r="A890" s="106" t="s">
        <v>4980</v>
      </c>
      <c r="B890" s="97" t="s">
        <v>6794</v>
      </c>
      <c r="C890" s="106">
        <v>12</v>
      </c>
      <c r="D890" s="107">
        <v>22.7</v>
      </c>
      <c r="E890" s="107">
        <v>-0.68</v>
      </c>
      <c r="F890" s="107">
        <v>1.24</v>
      </c>
    </row>
    <row r="891" spans="1:6" x14ac:dyDescent="0.3">
      <c r="A891" s="106" t="s">
        <v>4981</v>
      </c>
      <c r="B891" s="97" t="s">
        <v>6795</v>
      </c>
      <c r="C891" s="106">
        <v>12</v>
      </c>
      <c r="D891" s="107">
        <v>62.57</v>
      </c>
      <c r="E891" s="107">
        <v>-3.18</v>
      </c>
      <c r="F891" s="107">
        <v>0.85</v>
      </c>
    </row>
    <row r="892" spans="1:6" x14ac:dyDescent="0.3">
      <c r="A892" s="106" t="s">
        <v>4982</v>
      </c>
      <c r="B892" s="97" t="s">
        <v>6796</v>
      </c>
      <c r="C892" s="106">
        <v>12</v>
      </c>
      <c r="D892" s="107">
        <v>31.45</v>
      </c>
      <c r="E892" s="107">
        <v>-0.21</v>
      </c>
      <c r="F892" s="107">
        <v>0.02</v>
      </c>
    </row>
    <row r="893" spans="1:6" x14ac:dyDescent="0.3">
      <c r="A893" s="106" t="s">
        <v>4983</v>
      </c>
      <c r="B893" s="97" t="s">
        <v>6797</v>
      </c>
      <c r="C893" s="106">
        <v>12</v>
      </c>
      <c r="D893" s="107">
        <v>66.12</v>
      </c>
      <c r="E893" s="107">
        <v>-0.09</v>
      </c>
      <c r="F893" s="107">
        <v>0.6</v>
      </c>
    </row>
    <row r="894" spans="1:6" x14ac:dyDescent="0.3">
      <c r="A894" s="106" t="s">
        <v>4984</v>
      </c>
      <c r="B894" s="97" t="s">
        <v>6798</v>
      </c>
      <c r="C894" s="106">
        <v>12</v>
      </c>
      <c r="D894" s="107"/>
      <c r="E894" s="107"/>
      <c r="F894" s="107">
        <v>-1.98</v>
      </c>
    </row>
    <row r="895" spans="1:6" x14ac:dyDescent="0.3">
      <c r="A895" s="106" t="s">
        <v>4985</v>
      </c>
      <c r="B895" s="97" t="s">
        <v>6799</v>
      </c>
      <c r="C895" s="106">
        <v>12</v>
      </c>
      <c r="D895" s="107">
        <v>34.18</v>
      </c>
      <c r="E895" s="107">
        <v>5.2</v>
      </c>
      <c r="F895" s="107">
        <v>3.76</v>
      </c>
    </row>
    <row r="896" spans="1:6" x14ac:dyDescent="0.3">
      <c r="A896" s="106" t="s">
        <v>4986</v>
      </c>
      <c r="B896" s="97" t="s">
        <v>6800</v>
      </c>
      <c r="C896" s="106">
        <v>12</v>
      </c>
      <c r="D896" s="107">
        <v>5.91</v>
      </c>
      <c r="E896" s="107">
        <v>-2.2000000000000002</v>
      </c>
      <c r="F896" s="107">
        <v>-1.84</v>
      </c>
    </row>
    <row r="897" spans="1:6" x14ac:dyDescent="0.3">
      <c r="A897" s="106" t="s">
        <v>4987</v>
      </c>
      <c r="B897" s="97" t="s">
        <v>6801</v>
      </c>
      <c r="C897" s="106">
        <v>12</v>
      </c>
      <c r="D897" s="107">
        <v>83.12</v>
      </c>
      <c r="E897" s="107">
        <v>1.26</v>
      </c>
      <c r="F897" s="107">
        <v>3.18</v>
      </c>
    </row>
    <row r="898" spans="1:6" x14ac:dyDescent="0.3">
      <c r="A898" s="106" t="s">
        <v>4988</v>
      </c>
      <c r="B898" s="97" t="s">
        <v>6802</v>
      </c>
      <c r="C898" s="106">
        <v>12</v>
      </c>
      <c r="D898" s="107"/>
      <c r="E898" s="107"/>
      <c r="F898" s="107">
        <v>4.8600000000000003</v>
      </c>
    </row>
    <row r="899" spans="1:6" x14ac:dyDescent="0.3">
      <c r="A899" s="106" t="s">
        <v>4989</v>
      </c>
      <c r="B899" s="97" t="s">
        <v>6803</v>
      </c>
      <c r="C899" s="106">
        <v>12</v>
      </c>
      <c r="D899" s="107">
        <v>22.54</v>
      </c>
      <c r="E899" s="107">
        <v>-0.88</v>
      </c>
      <c r="F899" s="107">
        <v>-0.79</v>
      </c>
    </row>
    <row r="900" spans="1:6" x14ac:dyDescent="0.3">
      <c r="A900" s="106" t="s">
        <v>4990</v>
      </c>
      <c r="B900" s="97" t="s">
        <v>6804</v>
      </c>
      <c r="C900" s="106">
        <v>12</v>
      </c>
      <c r="D900" s="107">
        <v>100.47</v>
      </c>
      <c r="E900" s="107">
        <v>-1.5</v>
      </c>
      <c r="F900" s="107">
        <v>-0.56000000000000005</v>
      </c>
    </row>
    <row r="901" spans="1:6" x14ac:dyDescent="0.3">
      <c r="A901" s="106" t="s">
        <v>4991</v>
      </c>
      <c r="B901" s="97" t="s">
        <v>6805</v>
      </c>
      <c r="C901" s="106">
        <v>12</v>
      </c>
      <c r="D901" s="107">
        <v>210.56</v>
      </c>
      <c r="E901" s="107">
        <v>4.8899999999999997</v>
      </c>
      <c r="F901" s="107">
        <v>12.39</v>
      </c>
    </row>
    <row r="902" spans="1:6" x14ac:dyDescent="0.3">
      <c r="A902" s="106" t="s">
        <v>3891</v>
      </c>
      <c r="B902" s="97" t="s">
        <v>6806</v>
      </c>
      <c r="C902" s="106">
        <v>12</v>
      </c>
      <c r="D902" s="107">
        <v>188.37</v>
      </c>
      <c r="E902" s="107">
        <v>13.52</v>
      </c>
      <c r="F902" s="107">
        <v>4.54</v>
      </c>
    </row>
    <row r="903" spans="1:6" x14ac:dyDescent="0.3">
      <c r="A903" s="106" t="s">
        <v>4992</v>
      </c>
      <c r="B903" s="97" t="s">
        <v>6807</v>
      </c>
      <c r="C903" s="106">
        <v>12</v>
      </c>
      <c r="D903" s="107">
        <v>25.46</v>
      </c>
      <c r="E903" s="107">
        <v>0.94</v>
      </c>
      <c r="F903" s="107">
        <v>-0.05</v>
      </c>
    </row>
    <row r="904" spans="1:6" x14ac:dyDescent="0.3">
      <c r="A904" s="106" t="s">
        <v>4993</v>
      </c>
      <c r="B904" s="97" t="s">
        <v>6808</v>
      </c>
      <c r="C904" s="106">
        <v>12</v>
      </c>
      <c r="D904" s="107">
        <v>34.07</v>
      </c>
      <c r="E904" s="107">
        <v>-0.54</v>
      </c>
      <c r="F904" s="107">
        <v>-0.11</v>
      </c>
    </row>
    <row r="905" spans="1:6" x14ac:dyDescent="0.3">
      <c r="A905" s="106" t="s">
        <v>4994</v>
      </c>
      <c r="B905" s="97" t="s">
        <v>6809</v>
      </c>
      <c r="C905" s="106">
        <v>12</v>
      </c>
      <c r="D905" s="107">
        <v>60.37</v>
      </c>
      <c r="E905" s="107">
        <v>2.17</v>
      </c>
      <c r="F905" s="107">
        <v>2.56</v>
      </c>
    </row>
    <row r="906" spans="1:6" x14ac:dyDescent="0.3">
      <c r="A906" s="106" t="s">
        <v>3892</v>
      </c>
      <c r="B906" s="97" t="s">
        <v>6810</v>
      </c>
      <c r="C906" s="106">
        <v>12</v>
      </c>
      <c r="D906" s="107">
        <v>56.66</v>
      </c>
      <c r="E906" s="107">
        <v>-1.1499999999999999</v>
      </c>
      <c r="F906" s="107">
        <v>0.69</v>
      </c>
    </row>
    <row r="907" spans="1:6" x14ac:dyDescent="0.3">
      <c r="A907" s="106" t="s">
        <v>4995</v>
      </c>
      <c r="B907" s="97" t="s">
        <v>6811</v>
      </c>
      <c r="C907" s="106">
        <v>12</v>
      </c>
      <c r="D907" s="107">
        <v>73.930000000000007</v>
      </c>
      <c r="E907" s="107">
        <v>4.55</v>
      </c>
      <c r="F907" s="107">
        <v>4.51</v>
      </c>
    </row>
    <row r="908" spans="1:6" x14ac:dyDescent="0.3">
      <c r="A908" s="106" t="s">
        <v>4996</v>
      </c>
      <c r="B908" s="97" t="s">
        <v>6812</v>
      </c>
      <c r="C908" s="106">
        <v>12</v>
      </c>
      <c r="D908" s="107">
        <v>62.67</v>
      </c>
      <c r="E908" s="107">
        <v>-1.33</v>
      </c>
      <c r="F908" s="107">
        <v>3.82</v>
      </c>
    </row>
    <row r="909" spans="1:6" x14ac:dyDescent="0.3">
      <c r="A909" s="106" t="s">
        <v>4997</v>
      </c>
      <c r="B909" s="97" t="s">
        <v>6813</v>
      </c>
      <c r="C909" s="106">
        <v>12</v>
      </c>
      <c r="D909" s="107">
        <v>25.81</v>
      </c>
      <c r="E909" s="107">
        <v>-0.34</v>
      </c>
      <c r="F909" s="107">
        <v>0.18</v>
      </c>
    </row>
    <row r="910" spans="1:6" x14ac:dyDescent="0.3">
      <c r="A910" s="106" t="s">
        <v>4998</v>
      </c>
      <c r="B910" s="97" t="s">
        <v>6814</v>
      </c>
      <c r="C910" s="106">
        <v>12</v>
      </c>
      <c r="D910" s="107">
        <v>25.23</v>
      </c>
      <c r="E910" s="107">
        <v>-1.45</v>
      </c>
      <c r="F910" s="107">
        <v>2.7</v>
      </c>
    </row>
    <row r="911" spans="1:6" x14ac:dyDescent="0.3">
      <c r="A911" s="106" t="s">
        <v>3893</v>
      </c>
      <c r="B911" s="97" t="s">
        <v>6815</v>
      </c>
      <c r="C911" s="106">
        <v>3</v>
      </c>
      <c r="D911" s="107">
        <v>860.59</v>
      </c>
      <c r="E911" s="107">
        <v>15.7</v>
      </c>
      <c r="F911" s="107">
        <v>10.46</v>
      </c>
    </row>
    <row r="912" spans="1:6" x14ac:dyDescent="0.3">
      <c r="A912" s="106" t="s">
        <v>4999</v>
      </c>
      <c r="B912" s="97" t="s">
        <v>6816</v>
      </c>
      <c r="C912" s="106">
        <v>12</v>
      </c>
      <c r="D912" s="107">
        <v>13.66</v>
      </c>
      <c r="E912" s="107">
        <v>-0.41</v>
      </c>
      <c r="F912" s="107">
        <v>-0.24</v>
      </c>
    </row>
    <row r="913" spans="1:6" x14ac:dyDescent="0.3">
      <c r="A913" s="106" t="s">
        <v>5000</v>
      </c>
      <c r="B913" s="97" t="s">
        <v>6817</v>
      </c>
      <c r="C913" s="106">
        <v>12</v>
      </c>
      <c r="D913" s="107">
        <v>131.47999999999999</v>
      </c>
      <c r="E913" s="107">
        <v>-2.81</v>
      </c>
      <c r="F913" s="107">
        <v>0.56000000000000005</v>
      </c>
    </row>
    <row r="914" spans="1:6" x14ac:dyDescent="0.3">
      <c r="A914" s="106" t="s">
        <v>5001</v>
      </c>
      <c r="B914" s="97" t="s">
        <v>6818</v>
      </c>
      <c r="C914" s="106">
        <v>3</v>
      </c>
      <c r="D914" s="107">
        <v>43.77</v>
      </c>
      <c r="E914" s="107">
        <v>0.67</v>
      </c>
      <c r="F914" s="107">
        <v>1.28</v>
      </c>
    </row>
    <row r="915" spans="1:6" x14ac:dyDescent="0.3">
      <c r="A915" s="106" t="s">
        <v>5002</v>
      </c>
      <c r="B915" s="97" t="s">
        <v>6819</v>
      </c>
      <c r="C915" s="106">
        <v>12</v>
      </c>
      <c r="D915" s="107">
        <v>17.309999999999999</v>
      </c>
      <c r="E915" s="107">
        <v>-0.7</v>
      </c>
      <c r="F915" s="107">
        <v>-0.92</v>
      </c>
    </row>
    <row r="916" spans="1:6" x14ac:dyDescent="0.3">
      <c r="A916" s="106" t="s">
        <v>5003</v>
      </c>
      <c r="B916" s="97" t="s">
        <v>6820</v>
      </c>
      <c r="C916" s="106">
        <v>12</v>
      </c>
      <c r="D916" s="107">
        <v>58.68</v>
      </c>
      <c r="E916" s="107">
        <v>0.65</v>
      </c>
      <c r="F916" s="107">
        <v>0.52</v>
      </c>
    </row>
    <row r="917" spans="1:6" x14ac:dyDescent="0.3">
      <c r="A917" s="106" t="s">
        <v>5004</v>
      </c>
      <c r="B917" s="97" t="s">
        <v>6821</v>
      </c>
      <c r="C917" s="106">
        <v>12</v>
      </c>
      <c r="D917" s="107">
        <v>29.16</v>
      </c>
      <c r="E917" s="107">
        <v>-0.74</v>
      </c>
      <c r="F917" s="107">
        <v>0.61</v>
      </c>
    </row>
    <row r="918" spans="1:6" x14ac:dyDescent="0.3">
      <c r="A918" s="106" t="s">
        <v>5005</v>
      </c>
      <c r="B918" s="97" t="s">
        <v>6822</v>
      </c>
      <c r="C918" s="106">
        <v>12</v>
      </c>
      <c r="D918" s="107">
        <v>69.67</v>
      </c>
      <c r="E918" s="107">
        <v>2.33</v>
      </c>
      <c r="F918" s="107">
        <v>1.75</v>
      </c>
    </row>
    <row r="919" spans="1:6" x14ac:dyDescent="0.3">
      <c r="A919" s="106" t="s">
        <v>5006</v>
      </c>
      <c r="B919" s="97" t="s">
        <v>6823</v>
      </c>
      <c r="C919" s="106">
        <v>12</v>
      </c>
      <c r="D919" s="107">
        <v>47.47</v>
      </c>
      <c r="E919" s="107">
        <v>0.86</v>
      </c>
      <c r="F919" s="107">
        <v>3.2</v>
      </c>
    </row>
    <row r="920" spans="1:6" x14ac:dyDescent="0.3">
      <c r="A920" s="106" t="s">
        <v>5007</v>
      </c>
      <c r="B920" s="97" t="s">
        <v>6824</v>
      </c>
      <c r="C920" s="106">
        <v>12</v>
      </c>
      <c r="D920" s="107">
        <v>13.34</v>
      </c>
      <c r="E920" s="107">
        <v>-0.37</v>
      </c>
      <c r="F920" s="107">
        <v>-0.42</v>
      </c>
    </row>
    <row r="921" spans="1:6" x14ac:dyDescent="0.3">
      <c r="A921" s="106" t="s">
        <v>5008</v>
      </c>
      <c r="B921" s="97" t="s">
        <v>6825</v>
      </c>
      <c r="C921" s="106">
        <v>12</v>
      </c>
      <c r="D921" s="107">
        <v>21.83</v>
      </c>
      <c r="E921" s="107">
        <v>-1.1299999999999999</v>
      </c>
      <c r="F921" s="107">
        <v>-0.72</v>
      </c>
    </row>
    <row r="922" spans="1:6" x14ac:dyDescent="0.3">
      <c r="A922" s="106" t="s">
        <v>5009</v>
      </c>
      <c r="B922" s="97" t="s">
        <v>6826</v>
      </c>
      <c r="C922" s="106">
        <v>12</v>
      </c>
      <c r="D922" s="107">
        <v>43.27</v>
      </c>
      <c r="E922" s="107">
        <v>1.21</v>
      </c>
      <c r="F922" s="107">
        <v>1.83</v>
      </c>
    </row>
    <row r="923" spans="1:6" x14ac:dyDescent="0.3">
      <c r="A923" s="106" t="s">
        <v>5010</v>
      </c>
      <c r="B923" s="97" t="s">
        <v>6827</v>
      </c>
      <c r="C923" s="106">
        <v>12</v>
      </c>
      <c r="D923" s="107">
        <v>51.66</v>
      </c>
      <c r="E923" s="107">
        <v>-0.55000000000000004</v>
      </c>
      <c r="F923" s="107">
        <v>-1.35</v>
      </c>
    </row>
    <row r="924" spans="1:6" x14ac:dyDescent="0.3">
      <c r="A924" s="106" t="s">
        <v>5011</v>
      </c>
      <c r="B924" s="97" t="s">
        <v>6828</v>
      </c>
      <c r="C924" s="106">
        <v>12</v>
      </c>
      <c r="D924" s="107">
        <v>171.6</v>
      </c>
      <c r="E924" s="107">
        <v>-3.03</v>
      </c>
      <c r="F924" s="107">
        <v>6.19</v>
      </c>
    </row>
    <row r="925" spans="1:6" x14ac:dyDescent="0.3">
      <c r="A925" s="106" t="s">
        <v>5012</v>
      </c>
      <c r="B925" s="97" t="s">
        <v>6829</v>
      </c>
      <c r="C925" s="106">
        <v>12</v>
      </c>
      <c r="D925" s="107">
        <v>39.97</v>
      </c>
      <c r="E925" s="107">
        <v>-1.67</v>
      </c>
      <c r="F925" s="107">
        <v>0.27</v>
      </c>
    </row>
    <row r="926" spans="1:6" x14ac:dyDescent="0.3">
      <c r="A926" s="106" t="s">
        <v>5013</v>
      </c>
      <c r="B926" s="97" t="s">
        <v>6830</v>
      </c>
      <c r="C926" s="106">
        <v>12</v>
      </c>
      <c r="D926" s="107">
        <v>56.52</v>
      </c>
      <c r="E926" s="107">
        <v>3.35</v>
      </c>
      <c r="F926" s="107">
        <v>3.29</v>
      </c>
    </row>
    <row r="927" spans="1:6" x14ac:dyDescent="0.3">
      <c r="A927" s="106" t="s">
        <v>5014</v>
      </c>
      <c r="B927" s="97" t="s">
        <v>6831</v>
      </c>
      <c r="C927" s="106">
        <v>12</v>
      </c>
      <c r="D927" s="107">
        <v>501.14</v>
      </c>
      <c r="E927" s="107">
        <v>17.18</v>
      </c>
      <c r="F927" s="107">
        <v>0.91</v>
      </c>
    </row>
    <row r="928" spans="1:6" x14ac:dyDescent="0.3">
      <c r="A928" s="106" t="s">
        <v>5015</v>
      </c>
      <c r="B928" s="97" t="s">
        <v>6832</v>
      </c>
      <c r="C928" s="106">
        <v>12</v>
      </c>
      <c r="D928" s="107">
        <v>7.23</v>
      </c>
      <c r="E928" s="107">
        <v>-0.88</v>
      </c>
      <c r="F928" s="107">
        <v>-0.9</v>
      </c>
    </row>
    <row r="929" spans="1:6" x14ac:dyDescent="0.3">
      <c r="A929" s="106" t="s">
        <v>5016</v>
      </c>
      <c r="B929" s="97" t="s">
        <v>6833</v>
      </c>
      <c r="C929" s="106">
        <v>9</v>
      </c>
      <c r="D929" s="107">
        <v>99.37</v>
      </c>
      <c r="E929" s="107">
        <v>4.1399999999999997</v>
      </c>
      <c r="F929" s="107">
        <v>2.42</v>
      </c>
    </row>
    <row r="930" spans="1:6" x14ac:dyDescent="0.3">
      <c r="A930" s="106" t="s">
        <v>5017</v>
      </c>
      <c r="B930" s="97" t="s">
        <v>6834</v>
      </c>
      <c r="C930" s="106">
        <v>12</v>
      </c>
      <c r="D930" s="107">
        <v>83.2</v>
      </c>
      <c r="E930" s="107">
        <v>2.06</v>
      </c>
      <c r="F930" s="107">
        <v>1.43</v>
      </c>
    </row>
    <row r="931" spans="1:6" x14ac:dyDescent="0.3">
      <c r="A931" s="106" t="s">
        <v>5018</v>
      </c>
      <c r="B931" s="97" t="s">
        <v>6835</v>
      </c>
      <c r="C931" s="106">
        <v>12</v>
      </c>
      <c r="D931" s="107">
        <v>7.93</v>
      </c>
      <c r="E931" s="107">
        <v>-0.39</v>
      </c>
      <c r="F931" s="107">
        <v>3.28</v>
      </c>
    </row>
    <row r="932" spans="1:6" x14ac:dyDescent="0.3">
      <c r="A932" s="106" t="s">
        <v>5019</v>
      </c>
      <c r="B932" s="97" t="s">
        <v>6836</v>
      </c>
      <c r="C932" s="106">
        <v>12</v>
      </c>
      <c r="D932" s="107">
        <v>81.260000000000005</v>
      </c>
      <c r="E932" s="107">
        <v>9.9499999999999993</v>
      </c>
      <c r="F932" s="107">
        <v>7.81</v>
      </c>
    </row>
    <row r="933" spans="1:6" x14ac:dyDescent="0.3">
      <c r="A933" s="106" t="s">
        <v>5020</v>
      </c>
      <c r="B933" s="97" t="s">
        <v>6837</v>
      </c>
      <c r="C933" s="106">
        <v>12</v>
      </c>
      <c r="D933" s="107">
        <v>53.43</v>
      </c>
      <c r="E933" s="107">
        <v>-2.7</v>
      </c>
      <c r="F933" s="107">
        <v>1.97</v>
      </c>
    </row>
    <row r="934" spans="1:6" x14ac:dyDescent="0.3">
      <c r="A934" s="106" t="s">
        <v>5021</v>
      </c>
      <c r="B934" s="97" t="s">
        <v>6838</v>
      </c>
      <c r="C934" s="106">
        <v>12</v>
      </c>
      <c r="D934" s="107">
        <v>116.04</v>
      </c>
      <c r="E934" s="107">
        <v>3.15</v>
      </c>
      <c r="F934" s="107">
        <v>6.61</v>
      </c>
    </row>
    <row r="935" spans="1:6" x14ac:dyDescent="0.3">
      <c r="A935" s="106" t="s">
        <v>5022</v>
      </c>
      <c r="B935" s="97" t="s">
        <v>6839</v>
      </c>
      <c r="C935" s="106">
        <v>12</v>
      </c>
      <c r="D935" s="107">
        <v>22.34</v>
      </c>
      <c r="E935" s="107">
        <v>1.1000000000000001</v>
      </c>
      <c r="F935" s="107">
        <v>1.05</v>
      </c>
    </row>
    <row r="936" spans="1:6" x14ac:dyDescent="0.3">
      <c r="A936" s="106" t="s">
        <v>3894</v>
      </c>
      <c r="B936" s="97" t="s">
        <v>6840</v>
      </c>
      <c r="C936" s="106">
        <v>12</v>
      </c>
      <c r="D936" s="107">
        <v>235.55</v>
      </c>
      <c r="E936" s="107">
        <v>5.08</v>
      </c>
      <c r="F936" s="107">
        <v>10.01</v>
      </c>
    </row>
    <row r="937" spans="1:6" x14ac:dyDescent="0.3">
      <c r="A937" s="106" t="s">
        <v>5023</v>
      </c>
      <c r="B937" s="97" t="s">
        <v>6841</v>
      </c>
      <c r="C937" s="106">
        <v>12</v>
      </c>
      <c r="D937" s="107">
        <v>131.97999999999999</v>
      </c>
      <c r="E937" s="107">
        <v>7.61</v>
      </c>
      <c r="F937" s="107">
        <v>2.21</v>
      </c>
    </row>
    <row r="938" spans="1:6" x14ac:dyDescent="0.3">
      <c r="A938" s="106" t="s">
        <v>5024</v>
      </c>
      <c r="B938" s="97" t="s">
        <v>6842</v>
      </c>
      <c r="C938" s="106">
        <v>12</v>
      </c>
      <c r="D938" s="107">
        <v>26.21</v>
      </c>
      <c r="E938" s="107">
        <v>2.7</v>
      </c>
      <c r="F938" s="107">
        <v>0.69</v>
      </c>
    </row>
    <row r="939" spans="1:6" x14ac:dyDescent="0.3">
      <c r="A939" s="106" t="s">
        <v>5025</v>
      </c>
      <c r="B939" s="97" t="s">
        <v>6843</v>
      </c>
      <c r="C939" s="106">
        <v>12</v>
      </c>
      <c r="D939" s="107">
        <v>89.45</v>
      </c>
      <c r="E939" s="107">
        <v>7.66</v>
      </c>
      <c r="F939" s="107">
        <v>4.07</v>
      </c>
    </row>
    <row r="940" spans="1:6" x14ac:dyDescent="0.3">
      <c r="A940" s="106" t="s">
        <v>5026</v>
      </c>
      <c r="B940" s="97" t="s">
        <v>6844</v>
      </c>
      <c r="C940" s="106">
        <v>12</v>
      </c>
      <c r="D940" s="107">
        <v>47.65</v>
      </c>
      <c r="E940" s="107">
        <v>2.48</v>
      </c>
      <c r="F940" s="107">
        <v>1.22</v>
      </c>
    </row>
    <row r="941" spans="1:6" x14ac:dyDescent="0.3">
      <c r="A941" s="106" t="s">
        <v>5027</v>
      </c>
      <c r="B941" s="97" t="s">
        <v>6845</v>
      </c>
      <c r="C941" s="106">
        <v>12</v>
      </c>
      <c r="D941" s="107">
        <v>61.58</v>
      </c>
      <c r="E941" s="107">
        <v>1.94</v>
      </c>
      <c r="F941" s="107">
        <v>3.11</v>
      </c>
    </row>
    <row r="942" spans="1:6" x14ac:dyDescent="0.3">
      <c r="A942" s="106" t="s">
        <v>5028</v>
      </c>
      <c r="B942" s="97" t="s">
        <v>6846</v>
      </c>
      <c r="C942" s="106">
        <v>12</v>
      </c>
      <c r="D942" s="107">
        <v>52.62</v>
      </c>
      <c r="E942" s="107">
        <v>4.4400000000000004</v>
      </c>
      <c r="F942" s="107">
        <v>1.1299999999999999</v>
      </c>
    </row>
    <row r="943" spans="1:6" x14ac:dyDescent="0.3">
      <c r="A943" s="106" t="s">
        <v>5029</v>
      </c>
      <c r="B943" s="97" t="s">
        <v>6847</v>
      </c>
      <c r="C943" s="106">
        <v>12</v>
      </c>
      <c r="D943" s="107">
        <v>44.84</v>
      </c>
      <c r="E943" s="107">
        <v>0.62</v>
      </c>
      <c r="F943" s="107">
        <v>-0.02</v>
      </c>
    </row>
    <row r="944" spans="1:6" x14ac:dyDescent="0.3">
      <c r="A944" s="106" t="s">
        <v>5030</v>
      </c>
      <c r="B944" s="97" t="s">
        <v>6848</v>
      </c>
      <c r="C944" s="106">
        <v>12</v>
      </c>
      <c r="D944" s="107">
        <v>0.9</v>
      </c>
      <c r="E944" s="107">
        <v>-2.41</v>
      </c>
      <c r="F944" s="107">
        <v>-4.3600000000000003</v>
      </c>
    </row>
    <row r="945" spans="1:6" x14ac:dyDescent="0.3">
      <c r="A945" s="106" t="s">
        <v>5031</v>
      </c>
      <c r="B945" s="97" t="s">
        <v>6849</v>
      </c>
      <c r="C945" s="106">
        <v>12</v>
      </c>
      <c r="D945" s="107">
        <v>60.26</v>
      </c>
      <c r="E945" s="107">
        <v>0.52</v>
      </c>
      <c r="F945" s="107">
        <v>0.67</v>
      </c>
    </row>
    <row r="946" spans="1:6" x14ac:dyDescent="0.3">
      <c r="A946" s="106" t="s">
        <v>5032</v>
      </c>
      <c r="B946" s="97" t="s">
        <v>6850</v>
      </c>
      <c r="C946" s="106">
        <v>3</v>
      </c>
      <c r="D946" s="107">
        <v>51.48</v>
      </c>
      <c r="E946" s="107">
        <v>0.3</v>
      </c>
      <c r="F946" s="107">
        <v>0.2</v>
      </c>
    </row>
    <row r="947" spans="1:6" x14ac:dyDescent="0.3">
      <c r="A947" s="106" t="s">
        <v>5033</v>
      </c>
      <c r="B947" s="97" t="s">
        <v>6851</v>
      </c>
      <c r="C947" s="106">
        <v>12</v>
      </c>
      <c r="D947" s="107">
        <v>384.61</v>
      </c>
      <c r="E947" s="107">
        <v>28.01</v>
      </c>
      <c r="F947" s="107">
        <v>24.93</v>
      </c>
    </row>
    <row r="948" spans="1:6" x14ac:dyDescent="0.3">
      <c r="A948" s="106" t="s">
        <v>5034</v>
      </c>
      <c r="B948" s="97" t="s">
        <v>6852</v>
      </c>
      <c r="C948" s="106">
        <v>12</v>
      </c>
      <c r="D948" s="107">
        <v>28.82</v>
      </c>
      <c r="E948" s="107">
        <v>0.7</v>
      </c>
      <c r="F948" s="107">
        <v>1.1399999999999999</v>
      </c>
    </row>
    <row r="949" spans="1:6" x14ac:dyDescent="0.3">
      <c r="A949" s="106" t="s">
        <v>5035</v>
      </c>
      <c r="B949" s="97" t="s">
        <v>6853</v>
      </c>
      <c r="C949" s="106">
        <v>12</v>
      </c>
      <c r="D949" s="107">
        <v>8.6199999999999992</v>
      </c>
      <c r="E949" s="107">
        <v>-2.09</v>
      </c>
      <c r="F949" s="107">
        <v>-0.11</v>
      </c>
    </row>
    <row r="950" spans="1:6" x14ac:dyDescent="0.3">
      <c r="A950" s="106" t="s">
        <v>5036</v>
      </c>
      <c r="B950" s="97" t="s">
        <v>6854</v>
      </c>
      <c r="C950" s="106">
        <v>9</v>
      </c>
      <c r="D950" s="107">
        <v>27.52</v>
      </c>
      <c r="E950" s="107">
        <v>1.21</v>
      </c>
      <c r="F950" s="107">
        <v>1</v>
      </c>
    </row>
    <row r="951" spans="1:6" x14ac:dyDescent="0.3">
      <c r="A951" s="106" t="s">
        <v>5037</v>
      </c>
      <c r="B951" s="97" t="s">
        <v>6855</v>
      </c>
      <c r="C951" s="106">
        <v>12</v>
      </c>
      <c r="D951" s="107">
        <v>46.58</v>
      </c>
      <c r="E951" s="107">
        <v>-1.22</v>
      </c>
      <c r="F951" s="107">
        <v>-0.28000000000000003</v>
      </c>
    </row>
    <row r="952" spans="1:6" x14ac:dyDescent="0.3">
      <c r="A952" s="106" t="s">
        <v>3895</v>
      </c>
      <c r="B952" s="97" t="s">
        <v>6856</v>
      </c>
      <c r="C952" s="106">
        <v>12</v>
      </c>
      <c r="D952" s="107">
        <v>4565.21</v>
      </c>
      <c r="E952" s="107">
        <v>67.260000000000005</v>
      </c>
      <c r="F952" s="107">
        <v>138.02000000000001</v>
      </c>
    </row>
    <row r="953" spans="1:6" x14ac:dyDescent="0.3">
      <c r="A953" s="106" t="s">
        <v>3896</v>
      </c>
      <c r="B953" s="97" t="s">
        <v>6857</v>
      </c>
      <c r="C953" s="106">
        <v>12</v>
      </c>
      <c r="D953" s="107">
        <v>2987.35</v>
      </c>
      <c r="E953" s="107">
        <v>57.21</v>
      </c>
      <c r="F953" s="107">
        <v>166.24</v>
      </c>
    </row>
    <row r="954" spans="1:6" x14ac:dyDescent="0.3">
      <c r="A954" s="106" t="s">
        <v>3897</v>
      </c>
      <c r="B954" s="97" t="s">
        <v>6858</v>
      </c>
      <c r="C954" s="106">
        <v>12</v>
      </c>
      <c r="D954" s="107">
        <v>174.47</v>
      </c>
      <c r="E954" s="107">
        <v>2.17</v>
      </c>
      <c r="F954" s="107">
        <v>8.7899999999999991</v>
      </c>
    </row>
    <row r="955" spans="1:6" x14ac:dyDescent="0.3">
      <c r="A955" s="106" t="s">
        <v>5038</v>
      </c>
      <c r="B955" s="97" t="s">
        <v>6859</v>
      </c>
      <c r="C955" s="106">
        <v>12</v>
      </c>
      <c r="D955" s="107"/>
      <c r="E955" s="107"/>
      <c r="F955" s="107">
        <v>-0.75</v>
      </c>
    </row>
    <row r="956" spans="1:6" x14ac:dyDescent="0.3">
      <c r="A956" s="106" t="s">
        <v>5039</v>
      </c>
      <c r="B956" s="97" t="s">
        <v>6860</v>
      </c>
      <c r="C956" s="106">
        <v>12</v>
      </c>
      <c r="D956" s="107">
        <v>7.52</v>
      </c>
      <c r="E956" s="107">
        <v>-1.1100000000000001</v>
      </c>
      <c r="F956" s="107">
        <v>-1.36</v>
      </c>
    </row>
    <row r="957" spans="1:6" x14ac:dyDescent="0.3">
      <c r="A957" s="106" t="s">
        <v>5040</v>
      </c>
      <c r="B957" s="97" t="s">
        <v>6861</v>
      </c>
      <c r="C957" s="106">
        <v>12</v>
      </c>
      <c r="D957" s="107">
        <v>9.39</v>
      </c>
      <c r="E957" s="107">
        <v>0.44</v>
      </c>
      <c r="F957" s="107">
        <v>0.4</v>
      </c>
    </row>
    <row r="958" spans="1:6" x14ac:dyDescent="0.3">
      <c r="A958" s="106" t="s">
        <v>5041</v>
      </c>
      <c r="B958" s="97" t="s">
        <v>6862</v>
      </c>
      <c r="C958" s="106">
        <v>12</v>
      </c>
      <c r="D958" s="107">
        <v>36.15</v>
      </c>
      <c r="E958" s="107">
        <v>-0.24</v>
      </c>
      <c r="F958" s="107">
        <v>-2.3199999999999998</v>
      </c>
    </row>
    <row r="959" spans="1:6" x14ac:dyDescent="0.3">
      <c r="A959" s="106" t="s">
        <v>5042</v>
      </c>
      <c r="B959" s="97" t="s">
        <v>6863</v>
      </c>
      <c r="C959" s="106">
        <v>12</v>
      </c>
      <c r="D959" s="107">
        <v>87.77</v>
      </c>
      <c r="E959" s="107">
        <v>2.96</v>
      </c>
      <c r="F959" s="107">
        <v>3.87</v>
      </c>
    </row>
    <row r="960" spans="1:6" x14ac:dyDescent="0.3">
      <c r="A960" s="106" t="s">
        <v>5043</v>
      </c>
      <c r="B960" s="97" t="s">
        <v>6864</v>
      </c>
      <c r="C960" s="106">
        <v>12</v>
      </c>
      <c r="D960" s="107">
        <v>15.31</v>
      </c>
      <c r="E960" s="107">
        <v>-0.51</v>
      </c>
      <c r="F960" s="107">
        <v>-2.31</v>
      </c>
    </row>
    <row r="961" spans="1:6" x14ac:dyDescent="0.3">
      <c r="A961" s="106" t="s">
        <v>5044</v>
      </c>
      <c r="B961" s="97" t="s">
        <v>6865</v>
      </c>
      <c r="C961" s="106">
        <v>12</v>
      </c>
      <c r="D961" s="107">
        <v>4.29</v>
      </c>
      <c r="E961" s="107">
        <v>7.0000000000000007E-2</v>
      </c>
      <c r="F961" s="107">
        <v>-1.1299999999999999</v>
      </c>
    </row>
    <row r="962" spans="1:6" x14ac:dyDescent="0.3">
      <c r="A962" s="106" t="s">
        <v>5045</v>
      </c>
      <c r="B962" s="97" t="s">
        <v>6866</v>
      </c>
      <c r="C962" s="106">
        <v>12</v>
      </c>
      <c r="D962" s="107">
        <v>48.63</v>
      </c>
      <c r="E962" s="107">
        <v>-0.8</v>
      </c>
      <c r="F962" s="107">
        <v>-0.18</v>
      </c>
    </row>
    <row r="963" spans="1:6" x14ac:dyDescent="0.3">
      <c r="A963" s="106" t="s">
        <v>5046</v>
      </c>
      <c r="B963" s="97" t="s">
        <v>6867</v>
      </c>
      <c r="C963" s="106">
        <v>12</v>
      </c>
      <c r="D963" s="107">
        <v>38.369999999999997</v>
      </c>
      <c r="E963" s="107">
        <v>1.68</v>
      </c>
      <c r="F963" s="107">
        <v>-1.72</v>
      </c>
    </row>
    <row r="964" spans="1:6" x14ac:dyDescent="0.3">
      <c r="A964" s="106" t="s">
        <v>5047</v>
      </c>
      <c r="B964" s="97" t="s">
        <v>6868</v>
      </c>
      <c r="C964" s="106">
        <v>12</v>
      </c>
      <c r="D964" s="107">
        <v>19.14</v>
      </c>
      <c r="E964" s="107">
        <v>0.17</v>
      </c>
      <c r="F964" s="107">
        <v>0.68</v>
      </c>
    </row>
    <row r="965" spans="1:6" x14ac:dyDescent="0.3">
      <c r="A965" s="106" t="s">
        <v>5048</v>
      </c>
      <c r="B965" s="97" t="s">
        <v>6869</v>
      </c>
      <c r="C965" s="106">
        <v>12</v>
      </c>
      <c r="D965" s="107">
        <v>52.21</v>
      </c>
      <c r="E965" s="107">
        <v>-0.4</v>
      </c>
      <c r="F965" s="107">
        <v>0.66</v>
      </c>
    </row>
    <row r="966" spans="1:6" x14ac:dyDescent="0.3">
      <c r="A966" s="106" t="s">
        <v>3898</v>
      </c>
      <c r="B966" s="97" t="s">
        <v>6870</v>
      </c>
      <c r="C966" s="106">
        <v>12</v>
      </c>
      <c r="D966" s="107">
        <v>350.47</v>
      </c>
      <c r="E966" s="107">
        <v>15.79</v>
      </c>
      <c r="F966" s="107">
        <v>3.14</v>
      </c>
    </row>
    <row r="967" spans="1:6" x14ac:dyDescent="0.3">
      <c r="A967" s="106" t="s">
        <v>5049</v>
      </c>
      <c r="B967" s="97" t="s">
        <v>6871</v>
      </c>
      <c r="C967" s="106">
        <v>12</v>
      </c>
      <c r="D967" s="107">
        <v>18.43</v>
      </c>
      <c r="E967" s="107">
        <v>0.31</v>
      </c>
      <c r="F967" s="107">
        <v>0.04</v>
      </c>
    </row>
    <row r="968" spans="1:6" x14ac:dyDescent="0.3">
      <c r="A968" s="106" t="s">
        <v>5050</v>
      </c>
      <c r="B968" s="97" t="s">
        <v>6872</v>
      </c>
      <c r="C968" s="106">
        <v>12</v>
      </c>
      <c r="D968" s="107">
        <v>42.01</v>
      </c>
      <c r="E968" s="107">
        <v>-1.59</v>
      </c>
      <c r="F968" s="107">
        <v>2.21</v>
      </c>
    </row>
    <row r="969" spans="1:6" x14ac:dyDescent="0.3">
      <c r="A969" s="106" t="s">
        <v>5051</v>
      </c>
      <c r="B969" s="97" t="s">
        <v>6873</v>
      </c>
      <c r="C969" s="106">
        <v>12</v>
      </c>
      <c r="D969" s="107">
        <v>40.35</v>
      </c>
      <c r="E969" s="107">
        <v>0.37</v>
      </c>
      <c r="F969" s="107">
        <v>-0.21</v>
      </c>
    </row>
    <row r="970" spans="1:6" x14ac:dyDescent="0.3">
      <c r="A970" s="106" t="s">
        <v>3899</v>
      </c>
      <c r="B970" s="97" t="s">
        <v>6874</v>
      </c>
      <c r="C970" s="106">
        <v>12</v>
      </c>
      <c r="D970" s="107">
        <v>191.41</v>
      </c>
      <c r="E970" s="107">
        <v>1.38</v>
      </c>
      <c r="F970" s="107">
        <v>3.58</v>
      </c>
    </row>
    <row r="971" spans="1:6" x14ac:dyDescent="0.3">
      <c r="A971" s="106" t="s">
        <v>5052</v>
      </c>
      <c r="B971" s="97" t="s">
        <v>6875</v>
      </c>
      <c r="C971" s="106">
        <v>12</v>
      </c>
      <c r="D971" s="107">
        <v>11.15</v>
      </c>
      <c r="E971" s="107">
        <v>0.09</v>
      </c>
      <c r="F971" s="107">
        <v>0.32</v>
      </c>
    </row>
    <row r="972" spans="1:6" x14ac:dyDescent="0.3">
      <c r="A972" s="106" t="s">
        <v>5053</v>
      </c>
      <c r="B972" s="97" t="s">
        <v>6876</v>
      </c>
      <c r="C972" s="106">
        <v>12</v>
      </c>
      <c r="D972" s="107"/>
      <c r="E972" s="107"/>
      <c r="F972" s="107">
        <v>11.62</v>
      </c>
    </row>
    <row r="973" spans="1:6" x14ac:dyDescent="0.3">
      <c r="A973" s="106" t="s">
        <v>5054</v>
      </c>
      <c r="B973" s="97" t="s">
        <v>6877</v>
      </c>
      <c r="C973" s="106">
        <v>12</v>
      </c>
      <c r="D973" s="107">
        <v>39.51</v>
      </c>
      <c r="E973" s="107">
        <v>-0.08</v>
      </c>
      <c r="F973" s="107">
        <v>0.38</v>
      </c>
    </row>
    <row r="974" spans="1:6" x14ac:dyDescent="0.3">
      <c r="A974" s="106" t="s">
        <v>5055</v>
      </c>
      <c r="B974" s="97" t="s">
        <v>6878</v>
      </c>
      <c r="C974" s="106">
        <v>12</v>
      </c>
      <c r="D974" s="107">
        <v>30.43</v>
      </c>
      <c r="E974" s="107">
        <v>0.32</v>
      </c>
      <c r="F974" s="107">
        <v>0.89</v>
      </c>
    </row>
    <row r="975" spans="1:6" x14ac:dyDescent="0.3">
      <c r="A975" s="106" t="s">
        <v>5056</v>
      </c>
      <c r="B975" s="97" t="s">
        <v>6879</v>
      </c>
      <c r="C975" s="106">
        <v>12</v>
      </c>
      <c r="D975" s="107">
        <v>5.93</v>
      </c>
      <c r="E975" s="107">
        <v>-1.38</v>
      </c>
      <c r="F975" s="107">
        <v>-0.02</v>
      </c>
    </row>
    <row r="976" spans="1:6" x14ac:dyDescent="0.3">
      <c r="A976" s="106" t="s">
        <v>5057</v>
      </c>
      <c r="B976" s="97" t="s">
        <v>6880</v>
      </c>
      <c r="C976" s="106">
        <v>12</v>
      </c>
      <c r="D976" s="107">
        <v>65.08</v>
      </c>
      <c r="E976" s="107">
        <v>0.41</v>
      </c>
      <c r="F976" s="107">
        <v>3.15</v>
      </c>
    </row>
    <row r="977" spans="1:6" x14ac:dyDescent="0.3">
      <c r="A977" s="106" t="s">
        <v>5058</v>
      </c>
      <c r="B977" s="97" t="s">
        <v>6881</v>
      </c>
      <c r="C977" s="106">
        <v>12</v>
      </c>
      <c r="D977" s="107">
        <v>27.94</v>
      </c>
      <c r="E977" s="107">
        <v>0.1</v>
      </c>
      <c r="F977" s="107">
        <v>-0.75</v>
      </c>
    </row>
    <row r="978" spans="1:6" x14ac:dyDescent="0.3">
      <c r="A978" s="106" t="s">
        <v>5059</v>
      </c>
      <c r="B978" s="97" t="s">
        <v>6882</v>
      </c>
      <c r="C978" s="106">
        <v>12</v>
      </c>
      <c r="D978" s="107">
        <v>150.06</v>
      </c>
      <c r="E978" s="107">
        <v>3.05</v>
      </c>
      <c r="F978" s="107">
        <v>4.6399999999999997</v>
      </c>
    </row>
    <row r="979" spans="1:6" x14ac:dyDescent="0.3">
      <c r="A979" s="106" t="s">
        <v>5060</v>
      </c>
      <c r="B979" s="97" t="s">
        <v>6883</v>
      </c>
      <c r="C979" s="106">
        <v>12</v>
      </c>
      <c r="D979" s="107">
        <v>26.5</v>
      </c>
      <c r="E979" s="107">
        <v>0.62</v>
      </c>
      <c r="F979" s="107">
        <v>0.31</v>
      </c>
    </row>
    <row r="980" spans="1:6" x14ac:dyDescent="0.3">
      <c r="A980" s="106" t="s">
        <v>5061</v>
      </c>
      <c r="B980" s="97" t="s">
        <v>6884</v>
      </c>
      <c r="C980" s="106">
        <v>12</v>
      </c>
      <c r="D980" s="107">
        <v>467.4</v>
      </c>
      <c r="E980" s="107">
        <v>1.1200000000000001</v>
      </c>
      <c r="F980" s="107">
        <v>5.88</v>
      </c>
    </row>
    <row r="981" spans="1:6" x14ac:dyDescent="0.3">
      <c r="A981" s="106" t="s">
        <v>5062</v>
      </c>
      <c r="B981" s="97" t="s">
        <v>6885</v>
      </c>
      <c r="C981" s="106">
        <v>12</v>
      </c>
      <c r="D981" s="107">
        <v>37.9</v>
      </c>
      <c r="E981" s="107">
        <v>1</v>
      </c>
      <c r="F981" s="107">
        <v>1.94</v>
      </c>
    </row>
    <row r="982" spans="1:6" x14ac:dyDescent="0.3">
      <c r="A982" s="106" t="s">
        <v>3900</v>
      </c>
      <c r="B982" s="97" t="s">
        <v>6886</v>
      </c>
      <c r="C982" s="106">
        <v>12</v>
      </c>
      <c r="D982" s="107">
        <v>82.93</v>
      </c>
      <c r="E982" s="107">
        <v>7.09</v>
      </c>
      <c r="F982" s="107">
        <v>9.16</v>
      </c>
    </row>
    <row r="983" spans="1:6" x14ac:dyDescent="0.3">
      <c r="A983" s="106" t="s">
        <v>5063</v>
      </c>
      <c r="B983" s="97" t="s">
        <v>6887</v>
      </c>
      <c r="C983" s="106">
        <v>12</v>
      </c>
      <c r="D983" s="107">
        <v>15.89</v>
      </c>
      <c r="E983" s="107">
        <v>0.16</v>
      </c>
      <c r="F983" s="107">
        <v>0.27</v>
      </c>
    </row>
    <row r="984" spans="1:6" x14ac:dyDescent="0.3">
      <c r="A984" s="106" t="s">
        <v>5064</v>
      </c>
      <c r="B984" s="97" t="s">
        <v>6888</v>
      </c>
      <c r="C984" s="106">
        <v>12</v>
      </c>
      <c r="D984" s="107"/>
      <c r="E984" s="107"/>
      <c r="F984" s="107">
        <v>0.1</v>
      </c>
    </row>
    <row r="985" spans="1:6" x14ac:dyDescent="0.3">
      <c r="A985" s="106" t="s">
        <v>5065</v>
      </c>
      <c r="B985" s="97" t="s">
        <v>6889</v>
      </c>
      <c r="C985" s="106">
        <v>12</v>
      </c>
      <c r="D985" s="107">
        <v>46.15</v>
      </c>
      <c r="E985" s="107">
        <v>1.1100000000000001</v>
      </c>
      <c r="F985" s="107">
        <v>0.14000000000000001</v>
      </c>
    </row>
    <row r="986" spans="1:6" x14ac:dyDescent="0.3">
      <c r="A986" s="106" t="s">
        <v>5066</v>
      </c>
      <c r="B986" s="97" t="s">
        <v>6890</v>
      </c>
      <c r="C986" s="106">
        <v>12</v>
      </c>
      <c r="D986" s="107">
        <v>107.15</v>
      </c>
      <c r="E986" s="107">
        <v>2.37</v>
      </c>
      <c r="F986" s="107">
        <v>5.39</v>
      </c>
    </row>
    <row r="987" spans="1:6" x14ac:dyDescent="0.3">
      <c r="A987" s="106" t="s">
        <v>5067</v>
      </c>
      <c r="B987" s="97" t="s">
        <v>6891</v>
      </c>
      <c r="C987" s="106">
        <v>12</v>
      </c>
      <c r="D987" s="107">
        <v>24.69</v>
      </c>
      <c r="E987" s="107">
        <v>0.55000000000000004</v>
      </c>
      <c r="F987" s="107">
        <v>0.97</v>
      </c>
    </row>
    <row r="988" spans="1:6" x14ac:dyDescent="0.3">
      <c r="A988" s="106" t="s">
        <v>5068</v>
      </c>
      <c r="B988" s="97" t="s">
        <v>6892</v>
      </c>
      <c r="C988" s="106">
        <v>12</v>
      </c>
      <c r="D988" s="107">
        <v>7.99</v>
      </c>
      <c r="E988" s="107">
        <v>-0.78</v>
      </c>
      <c r="F988" s="107">
        <v>-0.52</v>
      </c>
    </row>
    <row r="989" spans="1:6" x14ac:dyDescent="0.3">
      <c r="A989" s="106" t="s">
        <v>5069</v>
      </c>
      <c r="B989" s="97" t="s">
        <v>6893</v>
      </c>
      <c r="C989" s="106">
        <v>12</v>
      </c>
      <c r="D989" s="107">
        <v>59.39</v>
      </c>
      <c r="E989" s="107">
        <v>1.26</v>
      </c>
      <c r="F989" s="107">
        <v>0.54</v>
      </c>
    </row>
    <row r="990" spans="1:6" x14ac:dyDescent="0.3">
      <c r="A990" s="106" t="s">
        <v>5070</v>
      </c>
      <c r="B990" s="97" t="s">
        <v>6894</v>
      </c>
      <c r="C990" s="106">
        <v>12</v>
      </c>
      <c r="D990" s="107">
        <v>20.29</v>
      </c>
      <c r="E990" s="107">
        <v>0.56999999999999995</v>
      </c>
      <c r="F990" s="107">
        <v>0.79</v>
      </c>
    </row>
    <row r="991" spans="1:6" x14ac:dyDescent="0.3">
      <c r="A991" s="106" t="s">
        <v>5071</v>
      </c>
      <c r="B991" s="97" t="s">
        <v>6895</v>
      </c>
      <c r="C991" s="106">
        <v>12</v>
      </c>
      <c r="D991" s="107">
        <v>17.649999999999999</v>
      </c>
      <c r="E991" s="107">
        <v>0.09</v>
      </c>
      <c r="F991" s="107">
        <v>0.55000000000000004</v>
      </c>
    </row>
    <row r="992" spans="1:6" x14ac:dyDescent="0.3">
      <c r="A992" s="106" t="s">
        <v>5072</v>
      </c>
      <c r="B992" s="97" t="s">
        <v>6896</v>
      </c>
      <c r="C992" s="106">
        <v>12</v>
      </c>
      <c r="D992" s="107">
        <v>56.63</v>
      </c>
      <c r="E992" s="107">
        <v>1.61</v>
      </c>
      <c r="F992" s="107">
        <v>1.4</v>
      </c>
    </row>
    <row r="993" spans="1:6" x14ac:dyDescent="0.3">
      <c r="A993" s="106" t="s">
        <v>5073</v>
      </c>
      <c r="B993" s="97" t="s">
        <v>6897</v>
      </c>
      <c r="C993" s="106">
        <v>12</v>
      </c>
      <c r="D993" s="107">
        <v>41.44</v>
      </c>
      <c r="E993" s="107">
        <v>0.85</v>
      </c>
      <c r="F993" s="107">
        <v>2.21</v>
      </c>
    </row>
    <row r="994" spans="1:6" x14ac:dyDescent="0.3">
      <c r="A994" s="106" t="s">
        <v>5074</v>
      </c>
      <c r="B994" s="97" t="s">
        <v>6898</v>
      </c>
      <c r="C994" s="106">
        <v>12</v>
      </c>
      <c r="D994" s="107">
        <v>103.94</v>
      </c>
      <c r="E994" s="107">
        <v>-0.15</v>
      </c>
      <c r="F994" s="107">
        <v>-0.08</v>
      </c>
    </row>
    <row r="995" spans="1:6" x14ac:dyDescent="0.3">
      <c r="A995" s="106" t="s">
        <v>5075</v>
      </c>
      <c r="B995" s="97" t="s">
        <v>6899</v>
      </c>
      <c r="C995" s="106">
        <v>12</v>
      </c>
      <c r="D995" s="107">
        <v>49.59</v>
      </c>
      <c r="E995" s="107">
        <v>3.38</v>
      </c>
      <c r="F995" s="107">
        <v>3.05</v>
      </c>
    </row>
    <row r="996" spans="1:6" x14ac:dyDescent="0.3">
      <c r="A996" s="106" t="s">
        <v>5076</v>
      </c>
      <c r="B996" s="97" t="s">
        <v>6900</v>
      </c>
      <c r="C996" s="106">
        <v>12</v>
      </c>
      <c r="D996" s="107">
        <v>31.65</v>
      </c>
      <c r="E996" s="107">
        <v>0.41</v>
      </c>
      <c r="F996" s="107">
        <v>0.39</v>
      </c>
    </row>
    <row r="997" spans="1:6" x14ac:dyDescent="0.3">
      <c r="A997" s="106" t="s">
        <v>5077</v>
      </c>
      <c r="B997" s="97" t="s">
        <v>6901</v>
      </c>
      <c r="C997" s="106">
        <v>12</v>
      </c>
      <c r="D997" s="107">
        <v>25.15</v>
      </c>
      <c r="E997" s="107">
        <v>-1.59</v>
      </c>
      <c r="F997" s="107">
        <v>0.94</v>
      </c>
    </row>
    <row r="998" spans="1:6" x14ac:dyDescent="0.3">
      <c r="A998" s="106" t="s">
        <v>3901</v>
      </c>
      <c r="B998" s="97" t="s">
        <v>6902</v>
      </c>
      <c r="C998" s="106">
        <v>12</v>
      </c>
      <c r="D998" s="107">
        <v>131.76</v>
      </c>
      <c r="E998" s="107">
        <v>6.41</v>
      </c>
      <c r="F998" s="107">
        <v>11.05</v>
      </c>
    </row>
    <row r="999" spans="1:6" x14ac:dyDescent="0.3">
      <c r="A999" s="106" t="s">
        <v>5078</v>
      </c>
      <c r="B999" s="97" t="s">
        <v>6903</v>
      </c>
      <c r="C999" s="106">
        <v>12</v>
      </c>
      <c r="D999" s="107">
        <v>7.23</v>
      </c>
      <c r="E999" s="107">
        <v>-0.64</v>
      </c>
      <c r="F999" s="107">
        <v>-0.25</v>
      </c>
    </row>
    <row r="1000" spans="1:6" x14ac:dyDescent="0.3">
      <c r="A1000" s="106" t="s">
        <v>5079</v>
      </c>
      <c r="B1000" s="97" t="s">
        <v>6904</v>
      </c>
      <c r="C1000" s="106">
        <v>12</v>
      </c>
      <c r="D1000" s="107">
        <v>31.59</v>
      </c>
      <c r="E1000" s="107">
        <v>-2.4300000000000002</v>
      </c>
      <c r="F1000" s="107">
        <v>-0.59</v>
      </c>
    </row>
    <row r="1001" spans="1:6" x14ac:dyDescent="0.3">
      <c r="A1001" s="106" t="s">
        <v>5080</v>
      </c>
      <c r="B1001" s="97" t="s">
        <v>6905</v>
      </c>
      <c r="C1001" s="106">
        <v>12</v>
      </c>
      <c r="D1001" s="107">
        <v>29.48</v>
      </c>
      <c r="E1001" s="107">
        <v>1.81</v>
      </c>
      <c r="F1001" s="107">
        <v>-0.25</v>
      </c>
    </row>
    <row r="1002" spans="1:6" x14ac:dyDescent="0.3">
      <c r="A1002" s="106" t="s">
        <v>5081</v>
      </c>
      <c r="B1002" s="97" t="s">
        <v>6906</v>
      </c>
      <c r="C1002" s="106">
        <v>12</v>
      </c>
      <c r="D1002" s="107">
        <v>3.85</v>
      </c>
      <c r="E1002" s="107">
        <v>-1.24</v>
      </c>
      <c r="F1002" s="107">
        <v>-1.71</v>
      </c>
    </row>
    <row r="1003" spans="1:6" x14ac:dyDescent="0.3">
      <c r="A1003" s="106" t="s">
        <v>5082</v>
      </c>
      <c r="B1003" s="97" t="s">
        <v>6907</v>
      </c>
      <c r="C1003" s="106">
        <v>6</v>
      </c>
      <c r="D1003" s="107"/>
      <c r="E1003" s="107"/>
      <c r="F1003" s="107">
        <v>-4.7300000000000004</v>
      </c>
    </row>
    <row r="1004" spans="1:6" x14ac:dyDescent="0.3">
      <c r="A1004" s="106" t="s">
        <v>5083</v>
      </c>
      <c r="B1004" s="97" t="s">
        <v>6908</v>
      </c>
      <c r="C1004" s="106">
        <v>12</v>
      </c>
      <c r="D1004" s="107">
        <v>106.82</v>
      </c>
      <c r="E1004" s="107">
        <v>4.55</v>
      </c>
      <c r="F1004" s="107">
        <v>3.59</v>
      </c>
    </row>
    <row r="1005" spans="1:6" x14ac:dyDescent="0.3">
      <c r="A1005" s="106" t="s">
        <v>5084</v>
      </c>
      <c r="B1005" s="97" t="s">
        <v>6909</v>
      </c>
      <c r="C1005" s="106">
        <v>12</v>
      </c>
      <c r="D1005" s="107"/>
      <c r="E1005" s="107"/>
      <c r="F1005" s="107">
        <v>-3.51</v>
      </c>
    </row>
    <row r="1006" spans="1:6" x14ac:dyDescent="0.3">
      <c r="A1006" s="106" t="s">
        <v>3902</v>
      </c>
      <c r="B1006" s="97" t="s">
        <v>6910</v>
      </c>
      <c r="C1006" s="106">
        <v>12</v>
      </c>
      <c r="D1006" s="107">
        <v>587.89</v>
      </c>
      <c r="E1006" s="107">
        <v>12.46</v>
      </c>
      <c r="F1006" s="107">
        <v>1.63</v>
      </c>
    </row>
    <row r="1007" spans="1:6" x14ac:dyDescent="0.3">
      <c r="A1007" s="106" t="s">
        <v>5085</v>
      </c>
      <c r="B1007" s="97" t="s">
        <v>6911</v>
      </c>
      <c r="C1007" s="106">
        <v>12</v>
      </c>
      <c r="D1007" s="107">
        <v>48.2</v>
      </c>
      <c r="E1007" s="107">
        <v>0.37</v>
      </c>
      <c r="F1007" s="107">
        <v>0.9</v>
      </c>
    </row>
    <row r="1008" spans="1:6" x14ac:dyDescent="0.3">
      <c r="A1008" s="106" t="s">
        <v>3903</v>
      </c>
      <c r="B1008" s="97" t="s">
        <v>6912</v>
      </c>
      <c r="C1008" s="106">
        <v>12</v>
      </c>
      <c r="D1008" s="107">
        <v>3480.45</v>
      </c>
      <c r="E1008" s="107">
        <v>115.04</v>
      </c>
      <c r="F1008" s="107">
        <v>96.47</v>
      </c>
    </row>
    <row r="1009" spans="1:6" x14ac:dyDescent="0.3">
      <c r="A1009" s="106" t="s">
        <v>3904</v>
      </c>
      <c r="B1009" s="97" t="s">
        <v>6913</v>
      </c>
      <c r="C1009" s="106">
        <v>12</v>
      </c>
      <c r="D1009" s="107">
        <v>2203.3000000000002</v>
      </c>
      <c r="E1009" s="107">
        <v>43.58</v>
      </c>
      <c r="F1009" s="107">
        <v>59.59</v>
      </c>
    </row>
    <row r="1010" spans="1:6" x14ac:dyDescent="0.3">
      <c r="A1010" s="106" t="s">
        <v>5086</v>
      </c>
      <c r="B1010" s="97" t="s">
        <v>6914</v>
      </c>
      <c r="C1010" s="106">
        <v>12</v>
      </c>
      <c r="D1010" s="107">
        <v>17.75</v>
      </c>
      <c r="E1010" s="107">
        <v>0.11</v>
      </c>
      <c r="F1010" s="107">
        <v>-0.55000000000000004</v>
      </c>
    </row>
    <row r="1011" spans="1:6" x14ac:dyDescent="0.3">
      <c r="A1011" s="106" t="s">
        <v>5087</v>
      </c>
      <c r="B1011" s="97" t="s">
        <v>6915</v>
      </c>
      <c r="C1011" s="106">
        <v>12</v>
      </c>
      <c r="D1011" s="107">
        <v>125.53</v>
      </c>
      <c r="E1011" s="107">
        <v>1.49</v>
      </c>
      <c r="F1011" s="107">
        <v>-0.1</v>
      </c>
    </row>
    <row r="1012" spans="1:6" x14ac:dyDescent="0.3">
      <c r="A1012" s="106" t="s">
        <v>5088</v>
      </c>
      <c r="B1012" s="97" t="s">
        <v>6916</v>
      </c>
      <c r="C1012" s="106">
        <v>12</v>
      </c>
      <c r="D1012" s="107">
        <v>86.91</v>
      </c>
      <c r="E1012" s="107">
        <v>0.67</v>
      </c>
      <c r="F1012" s="107">
        <v>3.08</v>
      </c>
    </row>
    <row r="1013" spans="1:6" x14ac:dyDescent="0.3">
      <c r="A1013" s="106" t="s">
        <v>5089</v>
      </c>
      <c r="B1013" s="97" t="s">
        <v>6917</v>
      </c>
      <c r="C1013" s="106">
        <v>12</v>
      </c>
      <c r="D1013" s="107">
        <v>59.64</v>
      </c>
      <c r="E1013" s="107">
        <v>-7.0000000000000007E-2</v>
      </c>
      <c r="F1013" s="107">
        <v>0.86</v>
      </c>
    </row>
    <row r="1014" spans="1:6" x14ac:dyDescent="0.3">
      <c r="A1014" s="106" t="s">
        <v>5090</v>
      </c>
      <c r="B1014" s="97" t="s">
        <v>6918</v>
      </c>
      <c r="C1014" s="106">
        <v>12</v>
      </c>
      <c r="D1014" s="107">
        <v>29.47</v>
      </c>
      <c r="E1014" s="107">
        <v>0.32</v>
      </c>
      <c r="F1014" s="107">
        <v>0.87</v>
      </c>
    </row>
    <row r="1015" spans="1:6" x14ac:dyDescent="0.3">
      <c r="A1015" s="106" t="s">
        <v>5091</v>
      </c>
      <c r="B1015" s="97" t="s">
        <v>6919</v>
      </c>
      <c r="C1015" s="106">
        <v>12</v>
      </c>
      <c r="D1015" s="107"/>
      <c r="E1015" s="107"/>
      <c r="F1015" s="107">
        <v>-1.2</v>
      </c>
    </row>
    <row r="1016" spans="1:6" x14ac:dyDescent="0.3">
      <c r="A1016" s="106" t="s">
        <v>5092</v>
      </c>
      <c r="B1016" s="97" t="s">
        <v>6920</v>
      </c>
      <c r="C1016" s="106">
        <v>12</v>
      </c>
      <c r="D1016" s="107">
        <v>43.44</v>
      </c>
      <c r="E1016" s="107">
        <v>-5.51</v>
      </c>
      <c r="F1016" s="107">
        <v>3.66</v>
      </c>
    </row>
    <row r="1017" spans="1:6" x14ac:dyDescent="0.3">
      <c r="A1017" s="106" t="s">
        <v>5093</v>
      </c>
      <c r="B1017" s="97" t="s">
        <v>6921</v>
      </c>
      <c r="C1017" s="106">
        <v>12</v>
      </c>
      <c r="D1017" s="107">
        <v>915.13</v>
      </c>
      <c r="E1017" s="107">
        <v>14.41</v>
      </c>
      <c r="F1017" s="107">
        <v>60.39</v>
      </c>
    </row>
    <row r="1018" spans="1:6" x14ac:dyDescent="0.3">
      <c r="A1018" s="106" t="s">
        <v>5094</v>
      </c>
      <c r="B1018" s="97" t="s">
        <v>6922</v>
      </c>
      <c r="C1018" s="106">
        <v>12</v>
      </c>
      <c r="D1018" s="107">
        <v>25.8</v>
      </c>
      <c r="E1018" s="107">
        <v>-0.43</v>
      </c>
      <c r="F1018" s="107">
        <v>0.54</v>
      </c>
    </row>
    <row r="1019" spans="1:6" x14ac:dyDescent="0.3">
      <c r="A1019" s="106" t="s">
        <v>3905</v>
      </c>
      <c r="B1019" s="97" t="s">
        <v>6923</v>
      </c>
      <c r="C1019" s="106">
        <v>12</v>
      </c>
      <c r="D1019" s="107">
        <v>81.540000000000006</v>
      </c>
      <c r="E1019" s="107">
        <v>1.04</v>
      </c>
      <c r="F1019" s="107">
        <v>7.66</v>
      </c>
    </row>
    <row r="1020" spans="1:6" x14ac:dyDescent="0.3">
      <c r="A1020" s="106" t="s">
        <v>5095</v>
      </c>
      <c r="B1020" s="97" t="s">
        <v>6924</v>
      </c>
      <c r="C1020" s="106">
        <v>12</v>
      </c>
      <c r="D1020" s="107">
        <v>17.579999999999998</v>
      </c>
      <c r="E1020" s="107">
        <v>-1.25</v>
      </c>
      <c r="F1020" s="107">
        <v>-2</v>
      </c>
    </row>
    <row r="1021" spans="1:6" x14ac:dyDescent="0.3">
      <c r="A1021" s="106" t="s">
        <v>5096</v>
      </c>
      <c r="B1021" s="97" t="s">
        <v>6925</v>
      </c>
      <c r="C1021" s="106">
        <v>12</v>
      </c>
      <c r="D1021" s="107">
        <v>62.12</v>
      </c>
      <c r="E1021" s="107">
        <v>1.94</v>
      </c>
      <c r="F1021" s="107">
        <v>2.69</v>
      </c>
    </row>
    <row r="1022" spans="1:6" x14ac:dyDescent="0.3">
      <c r="A1022" s="106" t="s">
        <v>5097</v>
      </c>
      <c r="B1022" s="97" t="s">
        <v>6926</v>
      </c>
      <c r="C1022" s="106">
        <v>12</v>
      </c>
      <c r="D1022" s="107"/>
      <c r="E1022" s="107"/>
      <c r="F1022" s="107">
        <v>0.35</v>
      </c>
    </row>
    <row r="1023" spans="1:6" x14ac:dyDescent="0.3">
      <c r="A1023" s="106" t="s">
        <v>5098</v>
      </c>
      <c r="B1023" s="97" t="s">
        <v>6927</v>
      </c>
      <c r="C1023" s="106">
        <v>12</v>
      </c>
      <c r="D1023" s="107">
        <v>55.24</v>
      </c>
      <c r="E1023" s="107">
        <v>0.84</v>
      </c>
      <c r="F1023" s="107">
        <v>1.49</v>
      </c>
    </row>
    <row r="1024" spans="1:6" x14ac:dyDescent="0.3">
      <c r="A1024" s="106" t="s">
        <v>5099</v>
      </c>
      <c r="B1024" s="97" t="s">
        <v>6928</v>
      </c>
      <c r="C1024" s="106">
        <v>12</v>
      </c>
      <c r="D1024" s="107">
        <v>13.13</v>
      </c>
      <c r="E1024" s="107">
        <v>0.19</v>
      </c>
      <c r="F1024" s="107">
        <v>-0.38</v>
      </c>
    </row>
    <row r="1025" spans="1:6" x14ac:dyDescent="0.3">
      <c r="A1025" s="106" t="s">
        <v>5100</v>
      </c>
      <c r="B1025" s="97" t="s">
        <v>6929</v>
      </c>
      <c r="C1025" s="106">
        <v>12</v>
      </c>
      <c r="D1025" s="107">
        <v>36.33</v>
      </c>
      <c r="E1025" s="107">
        <v>-0.76</v>
      </c>
      <c r="F1025" s="107">
        <v>-1.1100000000000001</v>
      </c>
    </row>
    <row r="1026" spans="1:6" x14ac:dyDescent="0.3">
      <c r="A1026" s="106" t="s">
        <v>5101</v>
      </c>
      <c r="B1026" s="97" t="s">
        <v>6930</v>
      </c>
      <c r="C1026" s="106">
        <v>6</v>
      </c>
      <c r="D1026" s="107">
        <v>27.94</v>
      </c>
      <c r="E1026" s="107">
        <v>0.36</v>
      </c>
      <c r="F1026" s="107">
        <v>0.94</v>
      </c>
    </row>
    <row r="1027" spans="1:6" x14ac:dyDescent="0.3">
      <c r="A1027" s="106" t="s">
        <v>5102</v>
      </c>
      <c r="B1027" s="97" t="s">
        <v>6931</v>
      </c>
      <c r="C1027" s="106">
        <v>12</v>
      </c>
      <c r="D1027" s="107">
        <v>21.8</v>
      </c>
      <c r="E1027" s="107">
        <v>0.22</v>
      </c>
      <c r="F1027" s="107">
        <v>0.35</v>
      </c>
    </row>
    <row r="1028" spans="1:6" x14ac:dyDescent="0.3">
      <c r="A1028" s="106" t="s">
        <v>5103</v>
      </c>
      <c r="B1028" s="97" t="s">
        <v>6932</v>
      </c>
      <c r="C1028" s="106">
        <v>12</v>
      </c>
      <c r="D1028" s="107">
        <v>73.2</v>
      </c>
      <c r="E1028" s="107">
        <v>-3.24</v>
      </c>
      <c r="F1028" s="107">
        <v>0.98</v>
      </c>
    </row>
    <row r="1029" spans="1:6" x14ac:dyDescent="0.3">
      <c r="A1029" s="106" t="s">
        <v>5104</v>
      </c>
      <c r="B1029" s="97" t="s">
        <v>6933</v>
      </c>
      <c r="C1029" s="106">
        <v>12</v>
      </c>
      <c r="D1029" s="107">
        <v>64.12</v>
      </c>
      <c r="E1029" s="107">
        <v>-0.48</v>
      </c>
      <c r="F1029" s="107">
        <v>1.34</v>
      </c>
    </row>
    <row r="1030" spans="1:6" x14ac:dyDescent="0.3">
      <c r="A1030" s="106" t="s">
        <v>5105</v>
      </c>
      <c r="B1030" s="97" t="s">
        <v>6934</v>
      </c>
      <c r="C1030" s="106">
        <v>12</v>
      </c>
      <c r="D1030" s="107">
        <v>21.2</v>
      </c>
      <c r="E1030" s="107">
        <v>-1.23</v>
      </c>
      <c r="F1030" s="107">
        <v>-0.68</v>
      </c>
    </row>
    <row r="1031" spans="1:6" x14ac:dyDescent="0.3">
      <c r="A1031" s="106" t="s">
        <v>5106</v>
      </c>
      <c r="B1031" s="97" t="s">
        <v>6935</v>
      </c>
      <c r="C1031" s="106">
        <v>12</v>
      </c>
      <c r="D1031" s="107">
        <v>347.49</v>
      </c>
      <c r="E1031" s="107">
        <v>9.15</v>
      </c>
      <c r="F1031" s="107">
        <v>5.91</v>
      </c>
    </row>
    <row r="1032" spans="1:6" x14ac:dyDescent="0.3">
      <c r="A1032" s="106" t="s">
        <v>5107</v>
      </c>
      <c r="B1032" s="97" t="s">
        <v>6936</v>
      </c>
      <c r="C1032" s="106">
        <v>12</v>
      </c>
      <c r="D1032" s="107">
        <v>64.75</v>
      </c>
      <c r="E1032" s="107">
        <v>-1.25</v>
      </c>
      <c r="F1032" s="107">
        <v>-0.44</v>
      </c>
    </row>
    <row r="1033" spans="1:6" x14ac:dyDescent="0.3">
      <c r="A1033" s="106" t="s">
        <v>5108</v>
      </c>
      <c r="B1033" s="97" t="s">
        <v>6937</v>
      </c>
      <c r="C1033" s="106">
        <v>12</v>
      </c>
      <c r="D1033" s="107">
        <v>49.34</v>
      </c>
      <c r="E1033" s="107">
        <v>0.02</v>
      </c>
      <c r="F1033" s="107">
        <v>0.65</v>
      </c>
    </row>
    <row r="1034" spans="1:6" x14ac:dyDescent="0.3">
      <c r="A1034" s="106" t="s">
        <v>5109</v>
      </c>
      <c r="B1034" s="97" t="s">
        <v>6938</v>
      </c>
      <c r="C1034" s="106">
        <v>12</v>
      </c>
      <c r="D1034" s="107">
        <v>79.08</v>
      </c>
      <c r="E1034" s="107">
        <v>1.5</v>
      </c>
      <c r="F1034" s="107">
        <v>1.82</v>
      </c>
    </row>
    <row r="1035" spans="1:6" x14ac:dyDescent="0.3">
      <c r="A1035" s="106" t="s">
        <v>5110</v>
      </c>
      <c r="B1035" s="97" t="s">
        <v>6939</v>
      </c>
      <c r="C1035" s="106">
        <v>12</v>
      </c>
      <c r="D1035" s="107">
        <v>31.56</v>
      </c>
      <c r="E1035" s="107">
        <v>0.97</v>
      </c>
      <c r="F1035" s="107">
        <v>0.61</v>
      </c>
    </row>
    <row r="1036" spans="1:6" x14ac:dyDescent="0.3">
      <c r="A1036" s="106" t="s">
        <v>5111</v>
      </c>
      <c r="B1036" s="97" t="s">
        <v>6940</v>
      </c>
      <c r="C1036" s="106">
        <v>12</v>
      </c>
      <c r="D1036" s="107">
        <v>39.07</v>
      </c>
      <c r="E1036" s="107">
        <v>-1.61</v>
      </c>
      <c r="F1036" s="107">
        <v>-0.09</v>
      </c>
    </row>
    <row r="1037" spans="1:6" x14ac:dyDescent="0.3">
      <c r="A1037" s="106" t="s">
        <v>5112</v>
      </c>
      <c r="B1037" s="97" t="s">
        <v>6941</v>
      </c>
      <c r="C1037" s="106">
        <v>12</v>
      </c>
      <c r="D1037" s="107">
        <v>108.5</v>
      </c>
      <c r="E1037" s="107">
        <v>2.2799999999999998</v>
      </c>
      <c r="F1037" s="107">
        <v>1.29</v>
      </c>
    </row>
    <row r="1038" spans="1:6" x14ac:dyDescent="0.3">
      <c r="A1038" s="106" t="s">
        <v>5113</v>
      </c>
      <c r="B1038" s="97" t="s">
        <v>6942</v>
      </c>
      <c r="C1038" s="106">
        <v>12</v>
      </c>
      <c r="D1038" s="107">
        <v>39.409999999999997</v>
      </c>
      <c r="E1038" s="107">
        <v>0.65</v>
      </c>
      <c r="F1038" s="107">
        <v>0.48</v>
      </c>
    </row>
    <row r="1039" spans="1:6" x14ac:dyDescent="0.3">
      <c r="A1039" s="106" t="s">
        <v>5114</v>
      </c>
      <c r="B1039" s="97" t="s">
        <v>6943</v>
      </c>
      <c r="C1039" s="106">
        <v>12</v>
      </c>
      <c r="D1039" s="107">
        <v>33.67</v>
      </c>
      <c r="E1039" s="107">
        <v>-1.58</v>
      </c>
      <c r="F1039" s="107">
        <v>1.23</v>
      </c>
    </row>
    <row r="1040" spans="1:6" x14ac:dyDescent="0.3">
      <c r="A1040" s="106" t="s">
        <v>5115</v>
      </c>
      <c r="B1040" s="97" t="s">
        <v>6944</v>
      </c>
      <c r="C1040" s="106">
        <v>12</v>
      </c>
      <c r="D1040" s="107">
        <v>11.77</v>
      </c>
      <c r="E1040" s="107">
        <v>0.13</v>
      </c>
      <c r="F1040" s="107">
        <v>0.44</v>
      </c>
    </row>
    <row r="1041" spans="1:6" x14ac:dyDescent="0.3">
      <c r="A1041" s="106" t="s">
        <v>5116</v>
      </c>
      <c r="B1041" s="97" t="s">
        <v>6945</v>
      </c>
      <c r="C1041" s="106">
        <v>12</v>
      </c>
      <c r="D1041" s="107">
        <v>403.51</v>
      </c>
      <c r="E1041" s="107">
        <v>20.69</v>
      </c>
      <c r="F1041" s="107">
        <v>4.1100000000000003</v>
      </c>
    </row>
    <row r="1042" spans="1:6" x14ac:dyDescent="0.3">
      <c r="A1042" s="106" t="s">
        <v>5117</v>
      </c>
      <c r="B1042" s="97" t="s">
        <v>6946</v>
      </c>
      <c r="C1042" s="106">
        <v>12</v>
      </c>
      <c r="D1042" s="107">
        <v>78.010000000000005</v>
      </c>
      <c r="E1042" s="107">
        <v>1.37</v>
      </c>
      <c r="F1042" s="107">
        <v>3.09</v>
      </c>
    </row>
    <row r="1043" spans="1:6" x14ac:dyDescent="0.3">
      <c r="A1043" s="106" t="s">
        <v>5118</v>
      </c>
      <c r="B1043" s="97" t="s">
        <v>6947</v>
      </c>
      <c r="C1043" s="106">
        <v>12</v>
      </c>
      <c r="D1043" s="107">
        <v>108.25</v>
      </c>
      <c r="E1043" s="107">
        <v>1.1200000000000001</v>
      </c>
      <c r="F1043" s="107">
        <v>2.68</v>
      </c>
    </row>
    <row r="1044" spans="1:6" x14ac:dyDescent="0.3">
      <c r="A1044" s="106" t="s">
        <v>5119</v>
      </c>
      <c r="B1044" s="97" t="s">
        <v>6948</v>
      </c>
      <c r="C1044" s="106">
        <v>12</v>
      </c>
      <c r="D1044" s="107">
        <v>68.900000000000006</v>
      </c>
      <c r="E1044" s="107">
        <v>-2.06</v>
      </c>
      <c r="F1044" s="107">
        <v>10.37</v>
      </c>
    </row>
    <row r="1045" spans="1:6" x14ac:dyDescent="0.3">
      <c r="A1045" s="106" t="s">
        <v>5120</v>
      </c>
      <c r="B1045" s="97" t="s">
        <v>6949</v>
      </c>
      <c r="C1045" s="106">
        <v>12</v>
      </c>
      <c r="D1045" s="107">
        <v>35.94</v>
      </c>
      <c r="E1045" s="107">
        <v>0.69</v>
      </c>
      <c r="F1045" s="107">
        <v>2.3199999999999998</v>
      </c>
    </row>
    <row r="1046" spans="1:6" x14ac:dyDescent="0.3">
      <c r="A1046" s="106" t="s">
        <v>5121</v>
      </c>
      <c r="B1046" s="97" t="s">
        <v>6950</v>
      </c>
      <c r="C1046" s="106">
        <v>12</v>
      </c>
      <c r="D1046" s="107">
        <v>45.18</v>
      </c>
      <c r="E1046" s="107">
        <v>0.1</v>
      </c>
      <c r="F1046" s="107">
        <v>0.96</v>
      </c>
    </row>
    <row r="1047" spans="1:6" x14ac:dyDescent="0.3">
      <c r="A1047" s="106" t="s">
        <v>5122</v>
      </c>
      <c r="B1047" s="97" t="s">
        <v>6951</v>
      </c>
      <c r="C1047" s="106">
        <v>12</v>
      </c>
      <c r="D1047" s="107">
        <v>75.37</v>
      </c>
      <c r="E1047" s="107">
        <v>0.15</v>
      </c>
      <c r="F1047" s="107">
        <v>3.69</v>
      </c>
    </row>
    <row r="1048" spans="1:6" x14ac:dyDescent="0.3">
      <c r="A1048" s="106" t="s">
        <v>3906</v>
      </c>
      <c r="B1048" s="97" t="s">
        <v>6952</v>
      </c>
      <c r="C1048" s="106">
        <v>12</v>
      </c>
      <c r="D1048" s="107">
        <v>41.83</v>
      </c>
      <c r="E1048" s="107">
        <v>1.26</v>
      </c>
      <c r="F1048" s="107">
        <v>0.49</v>
      </c>
    </row>
    <row r="1049" spans="1:6" x14ac:dyDescent="0.3">
      <c r="A1049" s="106" t="s">
        <v>5123</v>
      </c>
      <c r="B1049" s="97" t="s">
        <v>6953</v>
      </c>
      <c r="C1049" s="106">
        <v>12</v>
      </c>
      <c r="D1049" s="107">
        <v>8.81</v>
      </c>
      <c r="E1049" s="107">
        <v>-0.54</v>
      </c>
      <c r="F1049" s="107">
        <v>0.01</v>
      </c>
    </row>
    <row r="1050" spans="1:6" x14ac:dyDescent="0.3">
      <c r="A1050" s="106" t="s">
        <v>5124</v>
      </c>
      <c r="B1050" s="97" t="s">
        <v>6954</v>
      </c>
      <c r="C1050" s="106">
        <v>12</v>
      </c>
      <c r="D1050" s="107">
        <v>53.25</v>
      </c>
      <c r="E1050" s="107">
        <v>0.53</v>
      </c>
      <c r="F1050" s="107">
        <v>0.62</v>
      </c>
    </row>
    <row r="1051" spans="1:6" x14ac:dyDescent="0.3">
      <c r="A1051" s="106" t="s">
        <v>5125</v>
      </c>
      <c r="B1051" s="97" t="s">
        <v>6955</v>
      </c>
      <c r="C1051" s="106">
        <v>12</v>
      </c>
      <c r="D1051" s="107">
        <v>52.66</v>
      </c>
      <c r="E1051" s="107">
        <v>0.3</v>
      </c>
      <c r="F1051" s="107">
        <v>3.25</v>
      </c>
    </row>
    <row r="1052" spans="1:6" x14ac:dyDescent="0.3">
      <c r="A1052" s="106" t="s">
        <v>5126</v>
      </c>
      <c r="B1052" s="97" t="s">
        <v>6956</v>
      </c>
      <c r="C1052" s="106">
        <v>6</v>
      </c>
      <c r="D1052" s="107">
        <v>81.260000000000005</v>
      </c>
      <c r="E1052" s="107">
        <v>4.8</v>
      </c>
      <c r="F1052" s="107">
        <v>1.93</v>
      </c>
    </row>
    <row r="1053" spans="1:6" x14ac:dyDescent="0.3">
      <c r="A1053" s="106" t="s">
        <v>5127</v>
      </c>
      <c r="B1053" s="97" t="s">
        <v>6957</v>
      </c>
      <c r="C1053" s="106">
        <v>12</v>
      </c>
      <c r="D1053" s="107">
        <v>58.4</v>
      </c>
      <c r="E1053" s="107">
        <v>3.81</v>
      </c>
      <c r="F1053" s="107">
        <v>2.17</v>
      </c>
    </row>
    <row r="1054" spans="1:6" x14ac:dyDescent="0.3">
      <c r="A1054" s="106" t="s">
        <v>5128</v>
      </c>
      <c r="B1054" s="97" t="s">
        <v>6958</v>
      </c>
      <c r="C1054" s="106">
        <v>12</v>
      </c>
      <c r="D1054" s="107">
        <v>17.18</v>
      </c>
      <c r="E1054" s="107">
        <v>-1.63</v>
      </c>
      <c r="F1054" s="107">
        <v>-0.81</v>
      </c>
    </row>
    <row r="1055" spans="1:6" x14ac:dyDescent="0.3">
      <c r="A1055" s="106" t="s">
        <v>5129</v>
      </c>
      <c r="B1055" s="97" t="s">
        <v>6959</v>
      </c>
      <c r="C1055" s="106">
        <v>12</v>
      </c>
      <c r="D1055" s="107">
        <v>33.53</v>
      </c>
      <c r="E1055" s="107">
        <v>-0.17</v>
      </c>
      <c r="F1055" s="107">
        <v>0.28999999999999998</v>
      </c>
    </row>
    <row r="1056" spans="1:6" x14ac:dyDescent="0.3">
      <c r="A1056" s="106" t="s">
        <v>5130</v>
      </c>
      <c r="B1056" s="97" t="s">
        <v>6960</v>
      </c>
      <c r="C1056" s="106">
        <v>12</v>
      </c>
      <c r="D1056" s="107">
        <v>125.07</v>
      </c>
      <c r="E1056" s="107">
        <v>-6.51</v>
      </c>
      <c r="F1056" s="107">
        <v>6.07</v>
      </c>
    </row>
    <row r="1057" spans="1:6" x14ac:dyDescent="0.3">
      <c r="A1057" s="106" t="s">
        <v>5131</v>
      </c>
      <c r="B1057" s="97" t="s">
        <v>6961</v>
      </c>
      <c r="C1057" s="106">
        <v>12</v>
      </c>
      <c r="D1057" s="107">
        <v>69.02</v>
      </c>
      <c r="E1057" s="107">
        <v>5.01</v>
      </c>
      <c r="F1057" s="107">
        <v>2.5499999999999998</v>
      </c>
    </row>
    <row r="1058" spans="1:6" x14ac:dyDescent="0.3">
      <c r="A1058" s="106" t="s">
        <v>3907</v>
      </c>
      <c r="B1058" s="97" t="s">
        <v>6962</v>
      </c>
      <c r="C1058" s="106">
        <v>12</v>
      </c>
      <c r="D1058" s="107">
        <v>295.99</v>
      </c>
      <c r="E1058" s="107">
        <v>-9.7100000000000009</v>
      </c>
      <c r="F1058" s="107">
        <v>11.76</v>
      </c>
    </row>
    <row r="1059" spans="1:6" x14ac:dyDescent="0.3">
      <c r="A1059" s="106" t="s">
        <v>5132</v>
      </c>
      <c r="B1059" s="97" t="s">
        <v>6963</v>
      </c>
      <c r="C1059" s="106">
        <v>12</v>
      </c>
      <c r="D1059" s="107">
        <v>17.79</v>
      </c>
      <c r="E1059" s="107">
        <v>-0.1</v>
      </c>
      <c r="F1059" s="107">
        <v>0.46</v>
      </c>
    </row>
    <row r="1060" spans="1:6" x14ac:dyDescent="0.3">
      <c r="A1060" s="106" t="s">
        <v>5133</v>
      </c>
      <c r="B1060" s="97" t="s">
        <v>6964</v>
      </c>
      <c r="C1060" s="106">
        <v>12</v>
      </c>
      <c r="D1060" s="107">
        <v>69.900000000000006</v>
      </c>
      <c r="E1060" s="107">
        <v>0.87</v>
      </c>
      <c r="F1060" s="107">
        <v>0.71</v>
      </c>
    </row>
    <row r="1061" spans="1:6" x14ac:dyDescent="0.3">
      <c r="A1061" s="106" t="s">
        <v>5134</v>
      </c>
      <c r="B1061" s="97" t="s">
        <v>6965</v>
      </c>
      <c r="C1061" s="106">
        <v>12</v>
      </c>
      <c r="D1061" s="107">
        <v>74.61</v>
      </c>
      <c r="E1061" s="107">
        <v>2.2000000000000002</v>
      </c>
      <c r="F1061" s="107">
        <v>2.4</v>
      </c>
    </row>
    <row r="1062" spans="1:6" x14ac:dyDescent="0.3">
      <c r="A1062" s="106" t="s">
        <v>3908</v>
      </c>
      <c r="B1062" s="97" t="s">
        <v>6966</v>
      </c>
      <c r="C1062" s="106">
        <v>12</v>
      </c>
      <c r="D1062" s="107">
        <v>138.93</v>
      </c>
      <c r="E1062" s="107">
        <v>2.79</v>
      </c>
      <c r="F1062" s="107">
        <v>8.34</v>
      </c>
    </row>
    <row r="1063" spans="1:6" x14ac:dyDescent="0.3">
      <c r="A1063" s="106" t="s">
        <v>3909</v>
      </c>
      <c r="B1063" s="97" t="s">
        <v>6967</v>
      </c>
      <c r="C1063" s="106">
        <v>12</v>
      </c>
      <c r="D1063" s="107">
        <v>479.69</v>
      </c>
      <c r="E1063" s="107">
        <v>20.38</v>
      </c>
      <c r="F1063" s="107">
        <v>44.5</v>
      </c>
    </row>
    <row r="1064" spans="1:6" x14ac:dyDescent="0.3">
      <c r="A1064" s="106" t="s">
        <v>5135</v>
      </c>
      <c r="B1064" s="97" t="s">
        <v>6968</v>
      </c>
      <c r="C1064" s="106">
        <v>12</v>
      </c>
      <c r="D1064" s="107">
        <v>24.97</v>
      </c>
      <c r="E1064" s="107">
        <v>0.91</v>
      </c>
      <c r="F1064" s="107">
        <v>1.37</v>
      </c>
    </row>
    <row r="1065" spans="1:6" x14ac:dyDescent="0.3">
      <c r="A1065" s="106" t="s">
        <v>5136</v>
      </c>
      <c r="B1065" s="97" t="s">
        <v>6969</v>
      </c>
      <c r="C1065" s="106">
        <v>12</v>
      </c>
      <c r="D1065" s="107"/>
      <c r="E1065" s="107"/>
      <c r="F1065" s="107">
        <v>-6.52</v>
      </c>
    </row>
    <row r="1066" spans="1:6" x14ac:dyDescent="0.3">
      <c r="A1066" s="106" t="s">
        <v>5137</v>
      </c>
      <c r="B1066" s="97" t="s">
        <v>6970</v>
      </c>
      <c r="C1066" s="106">
        <v>12</v>
      </c>
      <c r="D1066" s="107">
        <v>19.38</v>
      </c>
      <c r="E1066" s="107">
        <v>0.21</v>
      </c>
      <c r="F1066" s="107">
        <v>0.42</v>
      </c>
    </row>
    <row r="1067" spans="1:6" x14ac:dyDescent="0.3">
      <c r="A1067" s="106" t="s">
        <v>3910</v>
      </c>
      <c r="B1067" s="97" t="s">
        <v>6971</v>
      </c>
      <c r="C1067" s="106">
        <v>12</v>
      </c>
      <c r="D1067" s="107">
        <v>1303.19</v>
      </c>
      <c r="E1067" s="107">
        <v>145.86000000000001</v>
      </c>
      <c r="F1067" s="107">
        <v>102.46</v>
      </c>
    </row>
    <row r="1068" spans="1:6" x14ac:dyDescent="0.3">
      <c r="A1068" s="106" t="s">
        <v>3911</v>
      </c>
      <c r="B1068" s="97" t="s">
        <v>6972</v>
      </c>
      <c r="C1068" s="106">
        <v>12</v>
      </c>
      <c r="D1068" s="107">
        <v>10868.86</v>
      </c>
      <c r="E1068" s="107">
        <v>408.92</v>
      </c>
      <c r="F1068" s="107">
        <v>499.25</v>
      </c>
    </row>
    <row r="1069" spans="1:6" x14ac:dyDescent="0.3">
      <c r="A1069" s="106" t="s">
        <v>5138</v>
      </c>
      <c r="B1069" s="97" t="s">
        <v>6973</v>
      </c>
      <c r="C1069" s="106">
        <v>12</v>
      </c>
      <c r="D1069" s="107">
        <v>47.17</v>
      </c>
      <c r="E1069" s="107">
        <v>-1</v>
      </c>
      <c r="F1069" s="107">
        <v>1.43</v>
      </c>
    </row>
    <row r="1070" spans="1:6" x14ac:dyDescent="0.3">
      <c r="A1070" s="106" t="s">
        <v>5139</v>
      </c>
      <c r="B1070" s="97" t="s">
        <v>6974</v>
      </c>
      <c r="C1070" s="106">
        <v>12</v>
      </c>
      <c r="D1070" s="107">
        <v>17.760000000000002</v>
      </c>
      <c r="E1070" s="107">
        <v>-1.0900000000000001</v>
      </c>
      <c r="F1070" s="107">
        <v>0.22</v>
      </c>
    </row>
    <row r="1071" spans="1:6" x14ac:dyDescent="0.3">
      <c r="A1071" s="106" t="s">
        <v>5140</v>
      </c>
      <c r="B1071" s="97" t="s">
        <v>6975</v>
      </c>
      <c r="C1071" s="106">
        <v>12</v>
      </c>
      <c r="D1071" s="107">
        <v>25.64</v>
      </c>
      <c r="E1071" s="107">
        <v>-0.04</v>
      </c>
      <c r="F1071" s="107">
        <v>0.4</v>
      </c>
    </row>
    <row r="1072" spans="1:6" x14ac:dyDescent="0.3">
      <c r="A1072" s="106" t="s">
        <v>5141</v>
      </c>
      <c r="B1072" s="97" t="s">
        <v>6976</v>
      </c>
      <c r="C1072" s="106">
        <v>12</v>
      </c>
      <c r="D1072" s="107">
        <v>47.33</v>
      </c>
      <c r="E1072" s="107">
        <v>0.99</v>
      </c>
      <c r="F1072" s="107">
        <v>0.81</v>
      </c>
    </row>
    <row r="1073" spans="1:6" x14ac:dyDescent="0.3">
      <c r="A1073" s="106" t="s">
        <v>5142</v>
      </c>
      <c r="B1073" s="97" t="s">
        <v>6977</v>
      </c>
      <c r="C1073" s="106">
        <v>12</v>
      </c>
      <c r="D1073" s="107">
        <v>101.58</v>
      </c>
      <c r="E1073" s="107">
        <v>4.07</v>
      </c>
      <c r="F1073" s="107">
        <v>4.1900000000000004</v>
      </c>
    </row>
    <row r="1074" spans="1:6" x14ac:dyDescent="0.3">
      <c r="A1074" s="106" t="s">
        <v>5143</v>
      </c>
      <c r="B1074" s="97" t="s">
        <v>6978</v>
      </c>
      <c r="C1074" s="106">
        <v>12</v>
      </c>
      <c r="D1074" s="107">
        <v>173.05</v>
      </c>
      <c r="E1074" s="107">
        <v>6.8</v>
      </c>
      <c r="F1074" s="107">
        <v>2.14</v>
      </c>
    </row>
    <row r="1075" spans="1:6" x14ac:dyDescent="0.3">
      <c r="A1075" s="106" t="s">
        <v>5144</v>
      </c>
      <c r="B1075" s="97" t="s">
        <v>6979</v>
      </c>
      <c r="C1075" s="106">
        <v>12</v>
      </c>
      <c r="D1075" s="107">
        <v>33.909999999999997</v>
      </c>
      <c r="E1075" s="107">
        <v>0.77</v>
      </c>
      <c r="F1075" s="107">
        <v>7.0000000000000007E-2</v>
      </c>
    </row>
    <row r="1076" spans="1:6" x14ac:dyDescent="0.3">
      <c r="A1076" s="106" t="s">
        <v>5145</v>
      </c>
      <c r="B1076" s="97" t="s">
        <v>6980</v>
      </c>
      <c r="C1076" s="106">
        <v>12</v>
      </c>
      <c r="D1076" s="107">
        <v>23.86</v>
      </c>
      <c r="E1076" s="107">
        <v>1.01</v>
      </c>
      <c r="F1076" s="107">
        <v>-0.28000000000000003</v>
      </c>
    </row>
    <row r="1077" spans="1:6" x14ac:dyDescent="0.3">
      <c r="A1077" s="106" t="s">
        <v>5146</v>
      </c>
      <c r="B1077" s="97" t="s">
        <v>6981</v>
      </c>
      <c r="C1077" s="106">
        <v>12</v>
      </c>
      <c r="D1077" s="107">
        <v>155.29</v>
      </c>
      <c r="E1077" s="107">
        <v>4.28</v>
      </c>
      <c r="F1077" s="107">
        <v>5.77</v>
      </c>
    </row>
    <row r="1078" spans="1:6" x14ac:dyDescent="0.3">
      <c r="A1078" s="106" t="s">
        <v>3912</v>
      </c>
      <c r="B1078" s="97" t="s">
        <v>6982</v>
      </c>
      <c r="C1078" s="106">
        <v>12</v>
      </c>
      <c r="D1078" s="107">
        <v>125.03</v>
      </c>
      <c r="E1078" s="107">
        <v>8.33</v>
      </c>
      <c r="F1078" s="107">
        <v>6.04</v>
      </c>
    </row>
    <row r="1079" spans="1:6" x14ac:dyDescent="0.3">
      <c r="A1079" s="106" t="s">
        <v>5147</v>
      </c>
      <c r="B1079" s="97" t="s">
        <v>6983</v>
      </c>
      <c r="C1079" s="106">
        <v>12</v>
      </c>
      <c r="D1079" s="107">
        <v>34.130000000000003</v>
      </c>
      <c r="E1079" s="107">
        <v>-3.43</v>
      </c>
      <c r="F1079" s="107">
        <v>-24.76</v>
      </c>
    </row>
    <row r="1080" spans="1:6" x14ac:dyDescent="0.3">
      <c r="A1080" s="106" t="s">
        <v>5148</v>
      </c>
      <c r="B1080" s="97" t="s">
        <v>6984</v>
      </c>
      <c r="C1080" s="106">
        <v>12</v>
      </c>
      <c r="D1080" s="107">
        <v>28.03</v>
      </c>
      <c r="E1080" s="107">
        <v>-2.57</v>
      </c>
      <c r="F1080" s="107">
        <v>-1.08</v>
      </c>
    </row>
    <row r="1081" spans="1:6" x14ac:dyDescent="0.3">
      <c r="A1081" s="106" t="s">
        <v>5149</v>
      </c>
      <c r="B1081" s="97" t="s">
        <v>6985</v>
      </c>
      <c r="C1081" s="106">
        <v>12</v>
      </c>
      <c r="D1081" s="107">
        <v>31.59</v>
      </c>
      <c r="E1081" s="107">
        <v>0.66</v>
      </c>
      <c r="F1081" s="107">
        <v>0.53</v>
      </c>
    </row>
    <row r="1082" spans="1:6" x14ac:dyDescent="0.3">
      <c r="A1082" s="106" t="s">
        <v>5150</v>
      </c>
      <c r="B1082" s="97" t="s">
        <v>6986</v>
      </c>
      <c r="C1082" s="106">
        <v>12</v>
      </c>
      <c r="D1082" s="107"/>
      <c r="E1082" s="107"/>
      <c r="F1082" s="107">
        <v>-2.5299999999999998</v>
      </c>
    </row>
    <row r="1083" spans="1:6" x14ac:dyDescent="0.3">
      <c r="A1083" s="106" t="s">
        <v>5151</v>
      </c>
      <c r="B1083" s="97" t="s">
        <v>6987</v>
      </c>
      <c r="C1083" s="106">
        <v>12</v>
      </c>
      <c r="D1083" s="107">
        <v>15.88</v>
      </c>
      <c r="E1083" s="107">
        <v>-0.17</v>
      </c>
      <c r="F1083" s="107">
        <v>0.1</v>
      </c>
    </row>
    <row r="1084" spans="1:6" x14ac:dyDescent="0.3">
      <c r="A1084" s="106" t="s">
        <v>3913</v>
      </c>
      <c r="B1084" s="97" t="s">
        <v>6988</v>
      </c>
      <c r="C1084" s="106">
        <v>12</v>
      </c>
      <c r="D1084" s="107">
        <v>370.18</v>
      </c>
      <c r="E1084" s="107">
        <v>23.59</v>
      </c>
      <c r="F1084" s="107">
        <v>28.57</v>
      </c>
    </row>
    <row r="1085" spans="1:6" x14ac:dyDescent="0.3">
      <c r="A1085" s="106" t="s">
        <v>3914</v>
      </c>
      <c r="B1085" s="97" t="s">
        <v>6989</v>
      </c>
      <c r="C1085" s="106">
        <v>12</v>
      </c>
      <c r="D1085" s="107">
        <v>119.86</v>
      </c>
      <c r="E1085" s="107">
        <v>6.6</v>
      </c>
      <c r="F1085" s="107">
        <v>3.04</v>
      </c>
    </row>
    <row r="1086" spans="1:6" x14ac:dyDescent="0.3">
      <c r="A1086" s="106" t="s">
        <v>5152</v>
      </c>
      <c r="B1086" s="97" t="s">
        <v>6990</v>
      </c>
      <c r="C1086" s="106">
        <v>12</v>
      </c>
      <c r="D1086" s="107">
        <v>14.9</v>
      </c>
      <c r="E1086" s="107">
        <v>0.44</v>
      </c>
      <c r="F1086" s="107">
        <v>0.14000000000000001</v>
      </c>
    </row>
    <row r="1087" spans="1:6" x14ac:dyDescent="0.3">
      <c r="A1087" s="106" t="s">
        <v>5153</v>
      </c>
      <c r="B1087" s="97" t="s">
        <v>6991</v>
      </c>
      <c r="C1087" s="106">
        <v>12</v>
      </c>
      <c r="D1087" s="107">
        <v>104.65</v>
      </c>
      <c r="E1087" s="107">
        <v>7.62</v>
      </c>
      <c r="F1087" s="107">
        <v>3.55</v>
      </c>
    </row>
    <row r="1088" spans="1:6" x14ac:dyDescent="0.3">
      <c r="A1088" s="106" t="s">
        <v>5154</v>
      </c>
      <c r="B1088" s="97" t="s">
        <v>6992</v>
      </c>
      <c r="C1088" s="106">
        <v>12</v>
      </c>
      <c r="D1088" s="107">
        <v>80.739999999999995</v>
      </c>
      <c r="E1088" s="107">
        <v>-2.38</v>
      </c>
      <c r="F1088" s="107">
        <v>0.35</v>
      </c>
    </row>
    <row r="1089" spans="1:6" x14ac:dyDescent="0.3">
      <c r="A1089" s="106" t="s">
        <v>5155</v>
      </c>
      <c r="B1089" s="97" t="s">
        <v>6993</v>
      </c>
      <c r="C1089" s="106">
        <v>12</v>
      </c>
      <c r="D1089" s="107">
        <v>34.880000000000003</v>
      </c>
      <c r="E1089" s="107">
        <v>-1.93</v>
      </c>
      <c r="F1089" s="107">
        <v>-1.1000000000000001</v>
      </c>
    </row>
    <row r="1090" spans="1:6" x14ac:dyDescent="0.3">
      <c r="A1090" s="106" t="s">
        <v>3915</v>
      </c>
      <c r="B1090" s="97" t="s">
        <v>6994</v>
      </c>
      <c r="C1090" s="106">
        <v>12</v>
      </c>
      <c r="D1090" s="107">
        <v>23040.59</v>
      </c>
      <c r="E1090" s="107">
        <v>343.89</v>
      </c>
      <c r="F1090" s="107">
        <v>447.77</v>
      </c>
    </row>
    <row r="1091" spans="1:6" x14ac:dyDescent="0.3">
      <c r="A1091" s="106" t="s">
        <v>5156</v>
      </c>
      <c r="B1091" s="97" t="s">
        <v>6995</v>
      </c>
      <c r="C1091" s="106">
        <v>12</v>
      </c>
      <c r="D1091" s="107">
        <v>90.75</v>
      </c>
      <c r="E1091" s="107">
        <v>-1.93</v>
      </c>
      <c r="F1091" s="107">
        <v>0.43</v>
      </c>
    </row>
    <row r="1092" spans="1:6" x14ac:dyDescent="0.3">
      <c r="A1092" s="106" t="s">
        <v>5157</v>
      </c>
      <c r="B1092" s="97" t="s">
        <v>6996</v>
      </c>
      <c r="C1092" s="106">
        <v>12</v>
      </c>
      <c r="D1092" s="107">
        <v>43.63</v>
      </c>
      <c r="E1092" s="107">
        <v>2.42</v>
      </c>
      <c r="F1092" s="107">
        <v>1.61</v>
      </c>
    </row>
    <row r="1093" spans="1:6" x14ac:dyDescent="0.3">
      <c r="A1093" s="106" t="s">
        <v>5158</v>
      </c>
      <c r="B1093" s="97" t="s">
        <v>6997</v>
      </c>
      <c r="C1093" s="106">
        <v>12</v>
      </c>
      <c r="D1093" s="107">
        <v>23.14</v>
      </c>
      <c r="E1093" s="107">
        <v>-0.16</v>
      </c>
      <c r="F1093" s="107">
        <v>0.08</v>
      </c>
    </row>
    <row r="1094" spans="1:6" x14ac:dyDescent="0.3">
      <c r="A1094" s="106" t="s">
        <v>5159</v>
      </c>
      <c r="B1094" s="97" t="s">
        <v>6998</v>
      </c>
      <c r="C1094" s="106">
        <v>12</v>
      </c>
      <c r="D1094" s="107">
        <v>22.2</v>
      </c>
      <c r="E1094" s="107">
        <v>-1.1599999999999999</v>
      </c>
      <c r="F1094" s="107">
        <v>-0.04</v>
      </c>
    </row>
    <row r="1095" spans="1:6" x14ac:dyDescent="0.3">
      <c r="A1095" s="106" t="s">
        <v>5160</v>
      </c>
      <c r="B1095" s="97" t="s">
        <v>6999</v>
      </c>
      <c r="C1095" s="106">
        <v>12</v>
      </c>
      <c r="D1095" s="107">
        <v>30.76</v>
      </c>
      <c r="E1095" s="107">
        <v>0.92</v>
      </c>
      <c r="F1095" s="107">
        <v>0.87</v>
      </c>
    </row>
    <row r="1096" spans="1:6" x14ac:dyDescent="0.3">
      <c r="A1096" s="106" t="s">
        <v>3916</v>
      </c>
      <c r="B1096" s="97" t="s">
        <v>7000</v>
      </c>
      <c r="C1096" s="106">
        <v>12</v>
      </c>
      <c r="D1096" s="107">
        <v>359.22</v>
      </c>
      <c r="E1096" s="107">
        <v>31.6</v>
      </c>
      <c r="F1096" s="107">
        <v>16.22</v>
      </c>
    </row>
    <row r="1097" spans="1:6" x14ac:dyDescent="0.3">
      <c r="A1097" s="106" t="s">
        <v>5161</v>
      </c>
      <c r="B1097" s="97" t="s">
        <v>7001</v>
      </c>
      <c r="C1097" s="106">
        <v>12</v>
      </c>
      <c r="D1097" s="107">
        <v>91.2</v>
      </c>
      <c r="E1097" s="107">
        <v>1.75</v>
      </c>
      <c r="F1097" s="107">
        <v>2.27</v>
      </c>
    </row>
    <row r="1098" spans="1:6" x14ac:dyDescent="0.3">
      <c r="A1098" s="106" t="s">
        <v>5162</v>
      </c>
      <c r="B1098" s="97" t="s">
        <v>7002</v>
      </c>
      <c r="C1098" s="106">
        <v>12</v>
      </c>
      <c r="D1098" s="107">
        <v>38.4</v>
      </c>
      <c r="E1098" s="107">
        <v>1.97</v>
      </c>
      <c r="F1098" s="107">
        <v>1.32</v>
      </c>
    </row>
    <row r="1099" spans="1:6" x14ac:dyDescent="0.3">
      <c r="A1099" s="106" t="s">
        <v>5163</v>
      </c>
      <c r="B1099" s="97" t="s">
        <v>7003</v>
      </c>
      <c r="C1099" s="106">
        <v>12</v>
      </c>
      <c r="D1099" s="107">
        <v>60.79</v>
      </c>
      <c r="E1099" s="107">
        <v>2.4300000000000002</v>
      </c>
      <c r="F1099" s="107">
        <v>0.73</v>
      </c>
    </row>
    <row r="1100" spans="1:6" x14ac:dyDescent="0.3">
      <c r="A1100" s="106" t="s">
        <v>5164</v>
      </c>
      <c r="B1100" s="97" t="s">
        <v>7004</v>
      </c>
      <c r="C1100" s="106">
        <v>12</v>
      </c>
      <c r="D1100" s="107">
        <v>41.16</v>
      </c>
      <c r="E1100" s="107">
        <v>4.55</v>
      </c>
      <c r="F1100" s="107">
        <v>-2.0099999999999998</v>
      </c>
    </row>
    <row r="1101" spans="1:6" x14ac:dyDescent="0.3">
      <c r="A1101" s="106" t="s">
        <v>5165</v>
      </c>
      <c r="B1101" s="97" t="s">
        <v>7005</v>
      </c>
      <c r="C1101" s="106">
        <v>12</v>
      </c>
      <c r="D1101" s="107">
        <v>30.57</v>
      </c>
      <c r="E1101" s="107">
        <v>0.11</v>
      </c>
      <c r="F1101" s="107">
        <v>-0.98</v>
      </c>
    </row>
    <row r="1102" spans="1:6" x14ac:dyDescent="0.3">
      <c r="A1102" s="106" t="s">
        <v>5166</v>
      </c>
      <c r="B1102" s="97" t="s">
        <v>7006</v>
      </c>
      <c r="C1102" s="106">
        <v>12</v>
      </c>
      <c r="D1102" s="107">
        <v>11.42</v>
      </c>
      <c r="E1102" s="107">
        <v>-2.1800000000000002</v>
      </c>
      <c r="F1102" s="107">
        <v>-0.87</v>
      </c>
    </row>
    <row r="1103" spans="1:6" x14ac:dyDescent="0.3">
      <c r="A1103" s="106" t="s">
        <v>5167</v>
      </c>
      <c r="B1103" s="97" t="s">
        <v>7007</v>
      </c>
      <c r="C1103" s="106">
        <v>12</v>
      </c>
      <c r="D1103" s="107">
        <v>114.06</v>
      </c>
      <c r="E1103" s="107">
        <v>3.5</v>
      </c>
      <c r="F1103" s="107">
        <v>5.27</v>
      </c>
    </row>
    <row r="1104" spans="1:6" x14ac:dyDescent="0.3">
      <c r="A1104" s="106" t="s">
        <v>5168</v>
      </c>
      <c r="B1104" s="97" t="s">
        <v>7008</v>
      </c>
      <c r="C1104" s="106">
        <v>12</v>
      </c>
      <c r="D1104" s="107">
        <v>92.32</v>
      </c>
      <c r="E1104" s="107">
        <v>4.78</v>
      </c>
      <c r="F1104" s="107">
        <v>3.49</v>
      </c>
    </row>
    <row r="1105" spans="1:6" x14ac:dyDescent="0.3">
      <c r="A1105" s="106" t="s">
        <v>5169</v>
      </c>
      <c r="B1105" s="97" t="s">
        <v>7009</v>
      </c>
      <c r="C1105" s="106">
        <v>12</v>
      </c>
      <c r="D1105" s="107">
        <v>29.39</v>
      </c>
      <c r="E1105" s="107">
        <v>-1.31</v>
      </c>
      <c r="F1105" s="107">
        <v>-1.7</v>
      </c>
    </row>
    <row r="1106" spans="1:6" x14ac:dyDescent="0.3">
      <c r="A1106" s="106" t="s">
        <v>5170</v>
      </c>
      <c r="B1106" s="97" t="s">
        <v>7010</v>
      </c>
      <c r="C1106" s="106">
        <v>12</v>
      </c>
      <c r="D1106" s="107">
        <v>77.94</v>
      </c>
      <c r="E1106" s="107">
        <v>2.0099999999999998</v>
      </c>
      <c r="F1106" s="107">
        <v>4.46</v>
      </c>
    </row>
    <row r="1107" spans="1:6" x14ac:dyDescent="0.3">
      <c r="A1107" s="106" t="s">
        <v>5171</v>
      </c>
      <c r="B1107" s="97" t="s">
        <v>7011</v>
      </c>
      <c r="C1107" s="106">
        <v>12</v>
      </c>
      <c r="D1107" s="107">
        <v>116.45</v>
      </c>
      <c r="E1107" s="107">
        <v>1.83</v>
      </c>
      <c r="F1107" s="107">
        <v>1.57</v>
      </c>
    </row>
    <row r="1108" spans="1:6" x14ac:dyDescent="0.3">
      <c r="A1108" s="106" t="s">
        <v>5172</v>
      </c>
      <c r="B1108" s="97" t="s">
        <v>7012</v>
      </c>
      <c r="C1108" s="106">
        <v>12</v>
      </c>
      <c r="D1108" s="107">
        <v>186.96</v>
      </c>
      <c r="E1108" s="107">
        <v>-6.37</v>
      </c>
      <c r="F1108" s="107">
        <v>3.24</v>
      </c>
    </row>
    <row r="1109" spans="1:6" x14ac:dyDescent="0.3">
      <c r="A1109" s="106" t="s">
        <v>5173</v>
      </c>
      <c r="B1109" s="97" t="s">
        <v>7013</v>
      </c>
      <c r="C1109" s="106">
        <v>12</v>
      </c>
      <c r="D1109" s="107">
        <v>49.83</v>
      </c>
      <c r="E1109" s="107">
        <v>2.42</v>
      </c>
      <c r="F1109" s="107">
        <v>1.84</v>
      </c>
    </row>
    <row r="1110" spans="1:6" x14ac:dyDescent="0.3">
      <c r="A1110" s="106" t="s">
        <v>5174</v>
      </c>
      <c r="B1110" s="97" t="s">
        <v>7014</v>
      </c>
      <c r="C1110" s="106">
        <v>12</v>
      </c>
      <c r="D1110" s="107">
        <v>134.1</v>
      </c>
      <c r="E1110" s="107">
        <v>1.63</v>
      </c>
      <c r="F1110" s="107">
        <v>3.39</v>
      </c>
    </row>
    <row r="1111" spans="1:6" x14ac:dyDescent="0.3">
      <c r="A1111" s="106" t="s">
        <v>5175</v>
      </c>
      <c r="B1111" s="97" t="s">
        <v>7015</v>
      </c>
      <c r="C1111" s="106">
        <v>3</v>
      </c>
      <c r="D1111" s="107">
        <v>86.18</v>
      </c>
      <c r="E1111" s="107">
        <v>-0.4</v>
      </c>
      <c r="F1111" s="107">
        <v>6.61</v>
      </c>
    </row>
    <row r="1112" spans="1:6" x14ac:dyDescent="0.3">
      <c r="A1112" s="106" t="s">
        <v>5176</v>
      </c>
      <c r="B1112" s="97" t="s">
        <v>7016</v>
      </c>
      <c r="C1112" s="106">
        <v>12</v>
      </c>
      <c r="D1112" s="107">
        <v>139.62</v>
      </c>
      <c r="E1112" s="107">
        <v>-0.19</v>
      </c>
      <c r="F1112" s="107">
        <v>3.42</v>
      </c>
    </row>
    <row r="1113" spans="1:6" x14ac:dyDescent="0.3">
      <c r="A1113" s="106" t="s">
        <v>5177</v>
      </c>
      <c r="B1113" s="97" t="s">
        <v>7017</v>
      </c>
      <c r="C1113" s="106">
        <v>12</v>
      </c>
      <c r="D1113" s="107">
        <v>1.46</v>
      </c>
      <c r="E1113" s="107">
        <v>-1.08</v>
      </c>
      <c r="F1113" s="107">
        <v>-1.1599999999999999</v>
      </c>
    </row>
    <row r="1114" spans="1:6" x14ac:dyDescent="0.3">
      <c r="A1114" s="106" t="s">
        <v>5178</v>
      </c>
      <c r="B1114" s="97" t="s">
        <v>7018</v>
      </c>
      <c r="C1114" s="106">
        <v>12</v>
      </c>
      <c r="D1114" s="107">
        <v>6.12</v>
      </c>
      <c r="E1114" s="107">
        <v>-0.67</v>
      </c>
      <c r="F1114" s="107">
        <v>-0.08</v>
      </c>
    </row>
    <row r="1115" spans="1:6" x14ac:dyDescent="0.3">
      <c r="A1115" s="106" t="s">
        <v>5179</v>
      </c>
      <c r="B1115" s="97" t="s">
        <v>7019</v>
      </c>
      <c r="C1115" s="106">
        <v>12</v>
      </c>
      <c r="D1115" s="107">
        <v>25.88</v>
      </c>
      <c r="E1115" s="107">
        <v>0.2</v>
      </c>
      <c r="F1115" s="107">
        <v>0.17</v>
      </c>
    </row>
    <row r="1116" spans="1:6" x14ac:dyDescent="0.3">
      <c r="A1116" s="106" t="s">
        <v>5180</v>
      </c>
      <c r="B1116" s="97" t="s">
        <v>7020</v>
      </c>
      <c r="C1116" s="106">
        <v>12</v>
      </c>
      <c r="D1116" s="107">
        <v>43.56</v>
      </c>
      <c r="E1116" s="107">
        <v>0.89</v>
      </c>
      <c r="F1116" s="107">
        <v>0.66</v>
      </c>
    </row>
    <row r="1117" spans="1:6" x14ac:dyDescent="0.3">
      <c r="A1117" s="106" t="s">
        <v>5181</v>
      </c>
      <c r="B1117" s="97" t="s">
        <v>7021</v>
      </c>
      <c r="C1117" s="106">
        <v>12</v>
      </c>
      <c r="D1117" s="107">
        <v>70.599999999999994</v>
      </c>
      <c r="E1117" s="107">
        <v>2.62</v>
      </c>
      <c r="F1117" s="107">
        <v>2.12</v>
      </c>
    </row>
    <row r="1118" spans="1:6" x14ac:dyDescent="0.3">
      <c r="A1118" s="106" t="s">
        <v>5182</v>
      </c>
      <c r="B1118" s="97" t="s">
        <v>7022</v>
      </c>
      <c r="C1118" s="106">
        <v>9</v>
      </c>
      <c r="D1118" s="107">
        <v>153.11000000000001</v>
      </c>
      <c r="E1118" s="107">
        <v>6.91</v>
      </c>
      <c r="F1118" s="107">
        <v>1.57</v>
      </c>
    </row>
    <row r="1119" spans="1:6" x14ac:dyDescent="0.3">
      <c r="A1119" s="106" t="s">
        <v>5183</v>
      </c>
      <c r="B1119" s="97" t="s">
        <v>7023</v>
      </c>
      <c r="C1119" s="106">
        <v>12</v>
      </c>
      <c r="D1119" s="107">
        <v>86.65</v>
      </c>
      <c r="E1119" s="107">
        <v>0.3</v>
      </c>
      <c r="F1119" s="107">
        <v>1.99</v>
      </c>
    </row>
    <row r="1120" spans="1:6" x14ac:dyDescent="0.3">
      <c r="A1120" s="106" t="s">
        <v>5184</v>
      </c>
      <c r="B1120" s="97" t="s">
        <v>7024</v>
      </c>
      <c r="C1120" s="106">
        <v>6</v>
      </c>
      <c r="D1120" s="107">
        <v>11.23</v>
      </c>
      <c r="E1120" s="107">
        <v>0.77</v>
      </c>
      <c r="F1120" s="107">
        <v>1.01</v>
      </c>
    </row>
    <row r="1121" spans="1:6" x14ac:dyDescent="0.3">
      <c r="A1121" s="106" t="s">
        <v>5185</v>
      </c>
      <c r="B1121" s="97" t="s">
        <v>7025</v>
      </c>
      <c r="C1121" s="106">
        <v>12</v>
      </c>
      <c r="D1121" s="107">
        <v>105.79</v>
      </c>
      <c r="E1121" s="107">
        <v>5.2</v>
      </c>
      <c r="F1121" s="107">
        <v>0.59</v>
      </c>
    </row>
    <row r="1122" spans="1:6" x14ac:dyDescent="0.3">
      <c r="A1122" s="106" t="s">
        <v>5186</v>
      </c>
      <c r="B1122" s="97" t="s">
        <v>7026</v>
      </c>
      <c r="C1122" s="106">
        <v>3</v>
      </c>
      <c r="D1122" s="107">
        <v>68.52</v>
      </c>
      <c r="E1122" s="107">
        <v>3.27</v>
      </c>
      <c r="F1122" s="107">
        <v>1.33</v>
      </c>
    </row>
    <row r="1123" spans="1:6" x14ac:dyDescent="0.3">
      <c r="A1123" s="106" t="s">
        <v>5187</v>
      </c>
      <c r="B1123" s="97" t="s">
        <v>7027</v>
      </c>
      <c r="C1123" s="106">
        <v>12</v>
      </c>
      <c r="D1123" s="107">
        <v>4.12</v>
      </c>
      <c r="E1123" s="107">
        <v>-0.74</v>
      </c>
      <c r="F1123" s="107">
        <v>0.49</v>
      </c>
    </row>
    <row r="1124" spans="1:6" x14ac:dyDescent="0.3">
      <c r="A1124" s="106" t="s">
        <v>5188</v>
      </c>
      <c r="B1124" s="97" t="s">
        <v>7028</v>
      </c>
      <c r="C1124" s="106">
        <v>12</v>
      </c>
      <c r="D1124" s="107">
        <v>113.62</v>
      </c>
      <c r="E1124" s="107">
        <v>-8.44</v>
      </c>
      <c r="F1124" s="107">
        <v>-7.08</v>
      </c>
    </row>
    <row r="1125" spans="1:6" x14ac:dyDescent="0.3">
      <c r="A1125" s="106" t="s">
        <v>5189</v>
      </c>
      <c r="B1125" s="97" t="s">
        <v>7029</v>
      </c>
      <c r="C1125" s="106">
        <v>12</v>
      </c>
      <c r="D1125" s="107">
        <v>22.8</v>
      </c>
      <c r="E1125" s="107">
        <v>0.7</v>
      </c>
      <c r="F1125" s="107">
        <v>0.44</v>
      </c>
    </row>
    <row r="1126" spans="1:6" x14ac:dyDescent="0.3">
      <c r="A1126" s="106" t="s">
        <v>5190</v>
      </c>
      <c r="B1126" s="97" t="s">
        <v>7030</v>
      </c>
      <c r="C1126" s="106">
        <v>12</v>
      </c>
      <c r="D1126" s="107">
        <v>84.67</v>
      </c>
      <c r="E1126" s="107">
        <v>-1.29</v>
      </c>
      <c r="F1126" s="107">
        <v>0.01</v>
      </c>
    </row>
    <row r="1127" spans="1:6" x14ac:dyDescent="0.3">
      <c r="A1127" s="106" t="s">
        <v>5191</v>
      </c>
      <c r="B1127" s="97" t="s">
        <v>7031</v>
      </c>
      <c r="C1127" s="106">
        <v>12</v>
      </c>
      <c r="D1127" s="107">
        <v>76.33</v>
      </c>
      <c r="E1127" s="107">
        <v>0.67</v>
      </c>
      <c r="F1127" s="107">
        <v>3.09</v>
      </c>
    </row>
    <row r="1128" spans="1:6" x14ac:dyDescent="0.3">
      <c r="A1128" s="106" t="s">
        <v>5192</v>
      </c>
      <c r="B1128" s="97" t="s">
        <v>7032</v>
      </c>
      <c r="C1128" s="106">
        <v>12</v>
      </c>
      <c r="D1128" s="107">
        <v>94.01</v>
      </c>
      <c r="E1128" s="107">
        <v>8.16</v>
      </c>
      <c r="F1128" s="107">
        <v>0.56000000000000005</v>
      </c>
    </row>
    <row r="1129" spans="1:6" x14ac:dyDescent="0.3">
      <c r="A1129" s="106" t="s">
        <v>5193</v>
      </c>
      <c r="B1129" s="97" t="s">
        <v>7033</v>
      </c>
      <c r="C1129" s="106">
        <v>12</v>
      </c>
      <c r="D1129" s="107">
        <v>13.25</v>
      </c>
      <c r="E1129" s="107">
        <v>-0.68</v>
      </c>
      <c r="F1129" s="107">
        <v>0.01</v>
      </c>
    </row>
    <row r="1130" spans="1:6" x14ac:dyDescent="0.3">
      <c r="A1130" s="106" t="s">
        <v>5194</v>
      </c>
      <c r="B1130" s="97" t="s">
        <v>7034</v>
      </c>
      <c r="C1130" s="106">
        <v>12</v>
      </c>
      <c r="D1130" s="107">
        <v>68.430000000000007</v>
      </c>
      <c r="E1130" s="107">
        <v>1.18</v>
      </c>
      <c r="F1130" s="107">
        <v>0.95</v>
      </c>
    </row>
    <row r="1131" spans="1:6" x14ac:dyDescent="0.3">
      <c r="A1131" s="106" t="s">
        <v>5195</v>
      </c>
      <c r="B1131" s="97" t="s">
        <v>7035</v>
      </c>
      <c r="C1131" s="106">
        <v>12</v>
      </c>
      <c r="D1131" s="107">
        <v>43.97</v>
      </c>
      <c r="E1131" s="107">
        <v>0.34</v>
      </c>
      <c r="F1131" s="107">
        <v>0.59</v>
      </c>
    </row>
    <row r="1132" spans="1:6" x14ac:dyDescent="0.3">
      <c r="A1132" s="106" t="s">
        <v>5196</v>
      </c>
      <c r="B1132" s="97" t="s">
        <v>7036</v>
      </c>
      <c r="C1132" s="106">
        <v>12</v>
      </c>
      <c r="D1132" s="107">
        <v>248.63</v>
      </c>
      <c r="E1132" s="107">
        <v>9.43</v>
      </c>
      <c r="F1132" s="107">
        <v>0.46</v>
      </c>
    </row>
    <row r="1133" spans="1:6" x14ac:dyDescent="0.3">
      <c r="A1133" s="106" t="s">
        <v>5197</v>
      </c>
      <c r="B1133" s="97" t="s">
        <v>7037</v>
      </c>
      <c r="C1133" s="106">
        <v>12</v>
      </c>
      <c r="D1133" s="107">
        <v>51.33</v>
      </c>
      <c r="E1133" s="107">
        <v>0.06</v>
      </c>
      <c r="F1133" s="107">
        <v>-0.23</v>
      </c>
    </row>
    <row r="1134" spans="1:6" x14ac:dyDescent="0.3">
      <c r="A1134" s="106" t="s">
        <v>5198</v>
      </c>
      <c r="B1134" s="97" t="s">
        <v>7038</v>
      </c>
      <c r="C1134" s="106">
        <v>12</v>
      </c>
      <c r="D1134" s="107">
        <v>85</v>
      </c>
      <c r="E1134" s="107">
        <v>-1.98</v>
      </c>
      <c r="F1134" s="107">
        <v>-0.25</v>
      </c>
    </row>
    <row r="1135" spans="1:6" x14ac:dyDescent="0.3">
      <c r="A1135" s="106" t="s">
        <v>5199</v>
      </c>
      <c r="B1135" s="97" t="s">
        <v>7039</v>
      </c>
      <c r="C1135" s="106">
        <v>12</v>
      </c>
      <c r="D1135" s="107">
        <v>50.2</v>
      </c>
      <c r="E1135" s="107">
        <v>1.1200000000000001</v>
      </c>
      <c r="F1135" s="107">
        <v>-0.56999999999999995</v>
      </c>
    </row>
    <row r="1136" spans="1:6" x14ac:dyDescent="0.3">
      <c r="A1136" s="106" t="s">
        <v>5200</v>
      </c>
      <c r="B1136" s="97" t="s">
        <v>7040</v>
      </c>
      <c r="C1136" s="106">
        <v>12</v>
      </c>
      <c r="D1136" s="107">
        <v>79.03</v>
      </c>
      <c r="E1136" s="107">
        <v>0.05</v>
      </c>
      <c r="F1136" s="107">
        <v>4.78</v>
      </c>
    </row>
    <row r="1137" spans="1:6" x14ac:dyDescent="0.3">
      <c r="A1137" s="106" t="s">
        <v>3917</v>
      </c>
      <c r="B1137" s="97" t="s">
        <v>7041</v>
      </c>
      <c r="C1137" s="106">
        <v>12</v>
      </c>
      <c r="D1137" s="107">
        <v>28525.99</v>
      </c>
      <c r="E1137" s="107">
        <v>667.68</v>
      </c>
      <c r="F1137" s="107">
        <v>864.86</v>
      </c>
    </row>
    <row r="1138" spans="1:6" x14ac:dyDescent="0.3">
      <c r="A1138" s="106" t="s">
        <v>5201</v>
      </c>
      <c r="B1138" s="97" t="s">
        <v>7042</v>
      </c>
      <c r="C1138" s="106">
        <v>12</v>
      </c>
      <c r="D1138" s="107">
        <v>30.68</v>
      </c>
      <c r="E1138" s="107">
        <v>-1.45</v>
      </c>
      <c r="F1138" s="107">
        <v>-4.5599999999999996</v>
      </c>
    </row>
    <row r="1139" spans="1:6" x14ac:dyDescent="0.3">
      <c r="A1139" s="106" t="s">
        <v>5202</v>
      </c>
      <c r="B1139" s="97" t="s">
        <v>7043</v>
      </c>
      <c r="C1139" s="106">
        <v>12</v>
      </c>
      <c r="D1139" s="107">
        <v>18.14</v>
      </c>
      <c r="E1139" s="107">
        <v>-0.5</v>
      </c>
      <c r="F1139" s="107">
        <v>-0.38</v>
      </c>
    </row>
    <row r="1140" spans="1:6" x14ac:dyDescent="0.3">
      <c r="A1140" s="106" t="s">
        <v>3918</v>
      </c>
      <c r="B1140" s="97" t="s">
        <v>4158</v>
      </c>
      <c r="C1140" s="106">
        <v>12</v>
      </c>
      <c r="D1140" s="107">
        <v>373.39</v>
      </c>
      <c r="E1140" s="107">
        <v>18.29</v>
      </c>
      <c r="F1140" s="107">
        <v>10.32</v>
      </c>
    </row>
    <row r="1141" spans="1:6" x14ac:dyDescent="0.3">
      <c r="A1141" s="106" t="s">
        <v>5203</v>
      </c>
      <c r="B1141" s="97" t="s">
        <v>7044</v>
      </c>
      <c r="C1141" s="106">
        <v>12</v>
      </c>
      <c r="D1141" s="107">
        <v>39.93</v>
      </c>
      <c r="E1141" s="107">
        <v>-0.39</v>
      </c>
      <c r="F1141" s="107">
        <v>-3.24</v>
      </c>
    </row>
    <row r="1142" spans="1:6" x14ac:dyDescent="0.3">
      <c r="A1142" s="106" t="s">
        <v>5204</v>
      </c>
      <c r="B1142" s="97" t="s">
        <v>7045</v>
      </c>
      <c r="C1142" s="106">
        <v>12</v>
      </c>
      <c r="D1142" s="107">
        <v>58.07</v>
      </c>
      <c r="E1142" s="107">
        <v>-0.35</v>
      </c>
      <c r="F1142" s="107">
        <v>0.66</v>
      </c>
    </row>
    <row r="1143" spans="1:6" x14ac:dyDescent="0.3">
      <c r="A1143" s="106" t="s">
        <v>5205</v>
      </c>
      <c r="B1143" s="97" t="s">
        <v>7046</v>
      </c>
      <c r="C1143" s="106">
        <v>12</v>
      </c>
      <c r="D1143" s="107">
        <v>76.42</v>
      </c>
      <c r="E1143" s="107">
        <v>-1</v>
      </c>
      <c r="F1143" s="107">
        <v>5.69</v>
      </c>
    </row>
    <row r="1144" spans="1:6" x14ac:dyDescent="0.3">
      <c r="A1144" s="106" t="s">
        <v>5206</v>
      </c>
      <c r="B1144" s="97" t="s">
        <v>7047</v>
      </c>
      <c r="C1144" s="106">
        <v>12</v>
      </c>
      <c r="D1144" s="107">
        <v>27.18</v>
      </c>
      <c r="E1144" s="107">
        <v>-0.65</v>
      </c>
      <c r="F1144" s="107">
        <v>-0.44</v>
      </c>
    </row>
    <row r="1145" spans="1:6" x14ac:dyDescent="0.3">
      <c r="A1145" s="106" t="s">
        <v>5207</v>
      </c>
      <c r="B1145" s="97" t="s">
        <v>7048</v>
      </c>
      <c r="C1145" s="106">
        <v>12</v>
      </c>
      <c r="D1145" s="107">
        <v>1.27</v>
      </c>
      <c r="E1145" s="107">
        <v>-1.06</v>
      </c>
      <c r="F1145" s="107">
        <v>-3.63</v>
      </c>
    </row>
    <row r="1146" spans="1:6" x14ac:dyDescent="0.3">
      <c r="A1146" s="106" t="s">
        <v>5208</v>
      </c>
      <c r="B1146" s="97" t="s">
        <v>7049</v>
      </c>
      <c r="C1146" s="106">
        <v>12</v>
      </c>
      <c r="D1146" s="107">
        <v>63.46</v>
      </c>
      <c r="E1146" s="107">
        <v>0.73</v>
      </c>
      <c r="F1146" s="107">
        <v>0.3</v>
      </c>
    </row>
    <row r="1147" spans="1:6" x14ac:dyDescent="0.3">
      <c r="A1147" s="106" t="s">
        <v>3919</v>
      </c>
      <c r="B1147" s="97" t="s">
        <v>4159</v>
      </c>
      <c r="C1147" s="106">
        <v>12</v>
      </c>
      <c r="D1147" s="107">
        <v>1047.0999999999999</v>
      </c>
      <c r="E1147" s="107">
        <v>34.409999999999997</v>
      </c>
      <c r="F1147" s="107">
        <v>36</v>
      </c>
    </row>
    <row r="1148" spans="1:6" x14ac:dyDescent="0.3">
      <c r="A1148" s="106" t="s">
        <v>5209</v>
      </c>
      <c r="B1148" s="97" t="s">
        <v>7050</v>
      </c>
      <c r="C1148" s="106">
        <v>12</v>
      </c>
      <c r="D1148" s="107">
        <v>69.239999999999995</v>
      </c>
      <c r="E1148" s="107">
        <v>-4.37</v>
      </c>
      <c r="F1148" s="107">
        <v>-10.23</v>
      </c>
    </row>
    <row r="1149" spans="1:6" x14ac:dyDescent="0.3">
      <c r="A1149" s="106" t="s">
        <v>5210</v>
      </c>
      <c r="B1149" s="97" t="s">
        <v>7051</v>
      </c>
      <c r="C1149" s="106">
        <v>12</v>
      </c>
      <c r="D1149" s="107">
        <v>31.69</v>
      </c>
      <c r="E1149" s="107">
        <v>-0.33</v>
      </c>
      <c r="F1149" s="107">
        <v>0.53</v>
      </c>
    </row>
    <row r="1150" spans="1:6" x14ac:dyDescent="0.3">
      <c r="A1150" s="106" t="s">
        <v>5211</v>
      </c>
      <c r="B1150" s="97" t="s">
        <v>7052</v>
      </c>
      <c r="C1150" s="106">
        <v>12</v>
      </c>
      <c r="D1150" s="107">
        <v>13</v>
      </c>
      <c r="E1150" s="107">
        <v>-0.28999999999999998</v>
      </c>
      <c r="F1150" s="107">
        <v>-1.72</v>
      </c>
    </row>
    <row r="1151" spans="1:6" x14ac:dyDescent="0.3">
      <c r="A1151" s="106" t="s">
        <v>5212</v>
      </c>
      <c r="B1151" s="97" t="s">
        <v>7053</v>
      </c>
      <c r="C1151" s="106">
        <v>12</v>
      </c>
      <c r="D1151" s="107">
        <v>76.010000000000005</v>
      </c>
      <c r="E1151" s="107">
        <v>1.29</v>
      </c>
      <c r="F1151" s="107">
        <v>-1.21</v>
      </c>
    </row>
    <row r="1152" spans="1:6" x14ac:dyDescent="0.3">
      <c r="A1152" s="106" t="s">
        <v>5213</v>
      </c>
      <c r="B1152" s="97" t="s">
        <v>7054</v>
      </c>
      <c r="C1152" s="106">
        <v>12</v>
      </c>
      <c r="D1152" s="107">
        <v>25.39</v>
      </c>
      <c r="E1152" s="107">
        <v>1.56</v>
      </c>
      <c r="F1152" s="107">
        <v>1.57</v>
      </c>
    </row>
    <row r="1153" spans="1:6" x14ac:dyDescent="0.3">
      <c r="A1153" s="106" t="s">
        <v>5214</v>
      </c>
      <c r="B1153" s="97" t="s">
        <v>7055</v>
      </c>
      <c r="C1153" s="106">
        <v>12</v>
      </c>
      <c r="D1153" s="107">
        <v>11.88</v>
      </c>
      <c r="E1153" s="107">
        <v>-1.17</v>
      </c>
      <c r="F1153" s="107">
        <v>-0.47</v>
      </c>
    </row>
    <row r="1154" spans="1:6" x14ac:dyDescent="0.3">
      <c r="A1154" s="106" t="s">
        <v>5215</v>
      </c>
      <c r="B1154" s="97" t="s">
        <v>7056</v>
      </c>
      <c r="C1154" s="106">
        <v>12</v>
      </c>
      <c r="D1154" s="107">
        <v>172.8</v>
      </c>
      <c r="E1154" s="107">
        <v>0.66</v>
      </c>
      <c r="F1154" s="107">
        <v>3.87</v>
      </c>
    </row>
    <row r="1155" spans="1:6" x14ac:dyDescent="0.3">
      <c r="A1155" s="106" t="s">
        <v>5216</v>
      </c>
      <c r="B1155" s="97" t="s">
        <v>7057</v>
      </c>
      <c r="C1155" s="106">
        <v>12</v>
      </c>
      <c r="D1155" s="107">
        <v>11.03</v>
      </c>
      <c r="E1155" s="107">
        <v>-0.19</v>
      </c>
      <c r="F1155" s="107">
        <v>-0.33</v>
      </c>
    </row>
    <row r="1156" spans="1:6" x14ac:dyDescent="0.3">
      <c r="A1156" s="106" t="s">
        <v>5217</v>
      </c>
      <c r="B1156" s="97" t="s">
        <v>7058</v>
      </c>
      <c r="C1156" s="106">
        <v>12</v>
      </c>
      <c r="D1156" s="107">
        <v>173.4</v>
      </c>
      <c r="E1156" s="107">
        <v>0.99</v>
      </c>
      <c r="F1156" s="107">
        <v>2.15</v>
      </c>
    </row>
    <row r="1157" spans="1:6" x14ac:dyDescent="0.3">
      <c r="A1157" s="106" t="s">
        <v>5218</v>
      </c>
      <c r="B1157" s="97" t="s">
        <v>7059</v>
      </c>
      <c r="C1157" s="106">
        <v>12</v>
      </c>
      <c r="D1157" s="107">
        <v>13.71</v>
      </c>
      <c r="E1157" s="107">
        <v>-0.37</v>
      </c>
      <c r="F1157" s="107">
        <v>-1.47</v>
      </c>
    </row>
    <row r="1158" spans="1:6" x14ac:dyDescent="0.3">
      <c r="A1158" s="106" t="s">
        <v>3920</v>
      </c>
      <c r="B1158" s="97" t="s">
        <v>4160</v>
      </c>
      <c r="C1158" s="106">
        <v>12</v>
      </c>
      <c r="D1158" s="107">
        <v>119.39</v>
      </c>
      <c r="E1158" s="107">
        <v>6.69</v>
      </c>
      <c r="F1158" s="107">
        <v>6.81</v>
      </c>
    </row>
    <row r="1159" spans="1:6" x14ac:dyDescent="0.3">
      <c r="A1159" s="106" t="s">
        <v>5219</v>
      </c>
      <c r="B1159" s="97" t="s">
        <v>7060</v>
      </c>
      <c r="C1159" s="106">
        <v>12</v>
      </c>
      <c r="D1159" s="107">
        <v>17.7</v>
      </c>
      <c r="E1159" s="107">
        <v>0.5</v>
      </c>
      <c r="F1159" s="107">
        <v>0.65</v>
      </c>
    </row>
    <row r="1160" spans="1:6" x14ac:dyDescent="0.3">
      <c r="A1160" s="106" t="s">
        <v>5220</v>
      </c>
      <c r="B1160" s="97" t="s">
        <v>7061</v>
      </c>
      <c r="C1160" s="106">
        <v>12</v>
      </c>
      <c r="D1160" s="107">
        <v>59.89</v>
      </c>
      <c r="E1160" s="107">
        <v>1.56</v>
      </c>
      <c r="F1160" s="107">
        <v>1.34</v>
      </c>
    </row>
    <row r="1161" spans="1:6" x14ac:dyDescent="0.3">
      <c r="A1161" s="106" t="s">
        <v>5221</v>
      </c>
      <c r="B1161" s="97" t="s">
        <v>7062</v>
      </c>
      <c r="C1161" s="106">
        <v>12</v>
      </c>
      <c r="D1161" s="107">
        <v>71.7</v>
      </c>
      <c r="E1161" s="107">
        <v>-1.86</v>
      </c>
      <c r="F1161" s="107">
        <v>0.6</v>
      </c>
    </row>
    <row r="1162" spans="1:6" x14ac:dyDescent="0.3">
      <c r="A1162" s="106" t="s">
        <v>5222</v>
      </c>
      <c r="B1162" s="97" t="s">
        <v>7063</v>
      </c>
      <c r="C1162" s="106">
        <v>12</v>
      </c>
      <c r="D1162" s="107">
        <v>2195.0700000000002</v>
      </c>
      <c r="E1162" s="107">
        <v>47.01</v>
      </c>
      <c r="F1162" s="107">
        <v>-0.11</v>
      </c>
    </row>
    <row r="1163" spans="1:6" x14ac:dyDescent="0.3">
      <c r="A1163" s="106" t="s">
        <v>5223</v>
      </c>
      <c r="B1163" s="97" t="s">
        <v>7064</v>
      </c>
      <c r="C1163" s="106">
        <v>12</v>
      </c>
      <c r="D1163" s="107">
        <v>64.7</v>
      </c>
      <c r="E1163" s="107">
        <v>0.36</v>
      </c>
      <c r="F1163" s="107">
        <v>1.52</v>
      </c>
    </row>
    <row r="1164" spans="1:6" x14ac:dyDescent="0.3">
      <c r="A1164" s="106" t="s">
        <v>5224</v>
      </c>
      <c r="B1164" s="97" t="s">
        <v>7065</v>
      </c>
      <c r="C1164" s="106">
        <v>12</v>
      </c>
      <c r="D1164" s="107">
        <v>31.62</v>
      </c>
      <c r="E1164" s="107">
        <v>0.22</v>
      </c>
      <c r="F1164" s="107">
        <v>-1.82</v>
      </c>
    </row>
    <row r="1165" spans="1:6" x14ac:dyDescent="0.3">
      <c r="A1165" s="106" t="s">
        <v>5225</v>
      </c>
      <c r="B1165" s="97" t="s">
        <v>7066</v>
      </c>
      <c r="C1165" s="106">
        <v>12</v>
      </c>
      <c r="D1165" s="107">
        <v>118.87</v>
      </c>
      <c r="E1165" s="107">
        <v>4.4000000000000004</v>
      </c>
      <c r="F1165" s="107">
        <v>5.23</v>
      </c>
    </row>
    <row r="1166" spans="1:6" x14ac:dyDescent="0.3">
      <c r="A1166" s="106" t="s">
        <v>5226</v>
      </c>
      <c r="B1166" s="97" t="s">
        <v>7067</v>
      </c>
      <c r="C1166" s="106">
        <v>12</v>
      </c>
      <c r="D1166" s="107">
        <v>125.23</v>
      </c>
      <c r="E1166" s="107">
        <v>4.24</v>
      </c>
      <c r="F1166" s="107">
        <v>3.73</v>
      </c>
    </row>
    <row r="1167" spans="1:6" x14ac:dyDescent="0.3">
      <c r="A1167" s="106" t="s">
        <v>5227</v>
      </c>
      <c r="B1167" s="97" t="s">
        <v>7068</v>
      </c>
      <c r="C1167" s="106">
        <v>12</v>
      </c>
      <c r="D1167" s="107">
        <v>47.67</v>
      </c>
      <c r="E1167" s="107">
        <v>-0.61</v>
      </c>
      <c r="F1167" s="107">
        <v>1.22</v>
      </c>
    </row>
    <row r="1168" spans="1:6" x14ac:dyDescent="0.3">
      <c r="A1168" s="106" t="s">
        <v>5228</v>
      </c>
      <c r="B1168" s="97" t="s">
        <v>7069</v>
      </c>
      <c r="C1168" s="106">
        <v>12</v>
      </c>
      <c r="D1168" s="107">
        <v>24.94</v>
      </c>
      <c r="E1168" s="107">
        <v>-0.46</v>
      </c>
      <c r="F1168" s="107">
        <v>-0.03</v>
      </c>
    </row>
    <row r="1169" spans="1:6" x14ac:dyDescent="0.3">
      <c r="A1169" s="106" t="s">
        <v>5229</v>
      </c>
      <c r="B1169" s="97" t="s">
        <v>7070</v>
      </c>
      <c r="C1169" s="106">
        <v>12</v>
      </c>
      <c r="D1169" s="107">
        <v>41.11</v>
      </c>
      <c r="E1169" s="107">
        <v>1.1499999999999999</v>
      </c>
      <c r="F1169" s="107">
        <v>1.03</v>
      </c>
    </row>
    <row r="1170" spans="1:6" x14ac:dyDescent="0.3">
      <c r="A1170" s="106" t="s">
        <v>5230</v>
      </c>
      <c r="B1170" s="97" t="s">
        <v>7071</v>
      </c>
      <c r="C1170" s="106">
        <v>12</v>
      </c>
      <c r="D1170" s="107">
        <v>148.74</v>
      </c>
      <c r="E1170" s="107">
        <v>-0.28999999999999998</v>
      </c>
      <c r="F1170" s="107">
        <v>1.02</v>
      </c>
    </row>
    <row r="1171" spans="1:6" x14ac:dyDescent="0.3">
      <c r="A1171" s="106" t="s">
        <v>5231</v>
      </c>
      <c r="B1171" s="97" t="s">
        <v>7072</v>
      </c>
      <c r="C1171" s="106">
        <v>12</v>
      </c>
      <c r="D1171" s="107">
        <v>9.74</v>
      </c>
      <c r="E1171" s="107">
        <v>0.71</v>
      </c>
      <c r="F1171" s="107">
        <v>0.48</v>
      </c>
    </row>
    <row r="1172" spans="1:6" x14ac:dyDescent="0.3">
      <c r="A1172" s="106" t="s">
        <v>5232</v>
      </c>
      <c r="B1172" s="97" t="s">
        <v>7073</v>
      </c>
      <c r="C1172" s="106">
        <v>12</v>
      </c>
      <c r="D1172" s="107">
        <v>8.27</v>
      </c>
      <c r="E1172" s="107">
        <v>-0.06</v>
      </c>
      <c r="F1172" s="107">
        <v>0.79</v>
      </c>
    </row>
    <row r="1173" spans="1:6" x14ac:dyDescent="0.3">
      <c r="A1173" s="106" t="s">
        <v>3921</v>
      </c>
      <c r="B1173" s="97" t="s">
        <v>4161</v>
      </c>
      <c r="C1173" s="106">
        <v>12</v>
      </c>
      <c r="D1173" s="107">
        <v>31.38</v>
      </c>
      <c r="E1173" s="107">
        <v>2.66</v>
      </c>
      <c r="F1173" s="107">
        <v>1.75</v>
      </c>
    </row>
    <row r="1174" spans="1:6" x14ac:dyDescent="0.3">
      <c r="A1174" s="106" t="s">
        <v>5233</v>
      </c>
      <c r="B1174" s="97" t="s">
        <v>7074</v>
      </c>
      <c r="C1174" s="106">
        <v>12</v>
      </c>
      <c r="D1174" s="107">
        <v>13.96</v>
      </c>
      <c r="E1174" s="107">
        <v>-0.8</v>
      </c>
      <c r="F1174" s="107">
        <v>0.97</v>
      </c>
    </row>
    <row r="1175" spans="1:6" x14ac:dyDescent="0.3">
      <c r="A1175" s="106" t="s">
        <v>5234</v>
      </c>
      <c r="B1175" s="97" t="s">
        <v>7075</v>
      </c>
      <c r="C1175" s="106">
        <v>12</v>
      </c>
      <c r="D1175" s="107">
        <v>47.53</v>
      </c>
      <c r="E1175" s="107">
        <v>-2.96</v>
      </c>
      <c r="F1175" s="107">
        <v>-0.92</v>
      </c>
    </row>
    <row r="1176" spans="1:6" x14ac:dyDescent="0.3">
      <c r="A1176" s="106" t="s">
        <v>5235</v>
      </c>
      <c r="B1176" s="97" t="s">
        <v>7076</v>
      </c>
      <c r="C1176" s="106">
        <v>12</v>
      </c>
      <c r="D1176" s="107">
        <v>52.8</v>
      </c>
      <c r="E1176" s="107">
        <v>1.5</v>
      </c>
      <c r="F1176" s="107">
        <v>-2.0099999999999998</v>
      </c>
    </row>
    <row r="1177" spans="1:6" x14ac:dyDescent="0.3">
      <c r="A1177" s="106" t="s">
        <v>5236</v>
      </c>
      <c r="B1177" s="97" t="s">
        <v>7077</v>
      </c>
      <c r="C1177" s="106">
        <v>3</v>
      </c>
      <c r="D1177" s="107">
        <v>47.46</v>
      </c>
      <c r="E1177" s="107">
        <v>0.42</v>
      </c>
      <c r="F1177" s="107">
        <v>0.4</v>
      </c>
    </row>
    <row r="1178" spans="1:6" x14ac:dyDescent="0.3">
      <c r="A1178" s="106" t="s">
        <v>5237</v>
      </c>
      <c r="B1178" s="97" t="s">
        <v>7078</v>
      </c>
      <c r="C1178" s="106">
        <v>12</v>
      </c>
      <c r="D1178" s="107">
        <v>83.5</v>
      </c>
      <c r="E1178" s="107">
        <v>1.05</v>
      </c>
      <c r="F1178" s="107">
        <v>4.28</v>
      </c>
    </row>
    <row r="1179" spans="1:6" x14ac:dyDescent="0.3">
      <c r="A1179" s="106" t="s">
        <v>5238</v>
      </c>
      <c r="B1179" s="97" t="s">
        <v>7079</v>
      </c>
      <c r="C1179" s="106">
        <v>12</v>
      </c>
      <c r="D1179" s="107">
        <v>49</v>
      </c>
      <c r="E1179" s="107">
        <v>1.28</v>
      </c>
      <c r="F1179" s="107">
        <v>-3.39</v>
      </c>
    </row>
    <row r="1180" spans="1:6" x14ac:dyDescent="0.3">
      <c r="A1180" s="106" t="s">
        <v>5239</v>
      </c>
      <c r="B1180" s="97" t="s">
        <v>7080</v>
      </c>
      <c r="C1180" s="106">
        <v>12</v>
      </c>
      <c r="D1180" s="107">
        <v>36.44</v>
      </c>
      <c r="E1180" s="107">
        <v>-0.97</v>
      </c>
      <c r="F1180" s="107">
        <v>-0.08</v>
      </c>
    </row>
    <row r="1181" spans="1:6" x14ac:dyDescent="0.3">
      <c r="A1181" s="106" t="s">
        <v>5240</v>
      </c>
      <c r="B1181" s="97" t="s">
        <v>7081</v>
      </c>
      <c r="C1181" s="106">
        <v>12</v>
      </c>
      <c r="D1181" s="107">
        <v>87.35</v>
      </c>
      <c r="E1181" s="107">
        <v>0.24</v>
      </c>
      <c r="F1181" s="107">
        <v>-0.3</v>
      </c>
    </row>
    <row r="1182" spans="1:6" x14ac:dyDescent="0.3">
      <c r="A1182" s="106" t="s">
        <v>5241</v>
      </c>
      <c r="B1182" s="97" t="s">
        <v>7082</v>
      </c>
      <c r="C1182" s="106">
        <v>12</v>
      </c>
      <c r="D1182" s="107">
        <v>27.64</v>
      </c>
      <c r="E1182" s="107">
        <v>0.36</v>
      </c>
      <c r="F1182" s="107">
        <v>0.17</v>
      </c>
    </row>
    <row r="1183" spans="1:6" x14ac:dyDescent="0.3">
      <c r="A1183" s="106" t="s">
        <v>5242</v>
      </c>
      <c r="B1183" s="97" t="s">
        <v>7083</v>
      </c>
      <c r="C1183" s="106">
        <v>12</v>
      </c>
      <c r="D1183" s="107">
        <v>65.540000000000006</v>
      </c>
      <c r="E1183" s="107">
        <v>2.4</v>
      </c>
      <c r="F1183" s="107">
        <v>1.99</v>
      </c>
    </row>
    <row r="1184" spans="1:6" x14ac:dyDescent="0.3">
      <c r="A1184" s="106" t="s">
        <v>5243</v>
      </c>
      <c r="B1184" s="97" t="s">
        <v>7084</v>
      </c>
      <c r="C1184" s="106">
        <v>12</v>
      </c>
      <c r="D1184" s="107">
        <v>200.52</v>
      </c>
      <c r="E1184" s="107">
        <v>10.76</v>
      </c>
      <c r="F1184" s="107">
        <v>0.99</v>
      </c>
    </row>
    <row r="1185" spans="1:6" x14ac:dyDescent="0.3">
      <c r="A1185" s="106" t="s">
        <v>5244</v>
      </c>
      <c r="B1185" s="97" t="s">
        <v>7085</v>
      </c>
      <c r="C1185" s="106">
        <v>12</v>
      </c>
      <c r="D1185" s="107">
        <v>17.329999999999998</v>
      </c>
      <c r="E1185" s="107">
        <v>0.96</v>
      </c>
      <c r="F1185" s="107">
        <v>0.37</v>
      </c>
    </row>
    <row r="1186" spans="1:6" x14ac:dyDescent="0.3">
      <c r="A1186" s="106" t="s">
        <v>5245</v>
      </c>
      <c r="B1186" s="97" t="s">
        <v>7086</v>
      </c>
      <c r="C1186" s="106">
        <v>12</v>
      </c>
      <c r="D1186" s="107">
        <v>7.16</v>
      </c>
      <c r="E1186" s="107">
        <v>0.03</v>
      </c>
      <c r="F1186" s="107">
        <v>-0.93</v>
      </c>
    </row>
    <row r="1187" spans="1:6" x14ac:dyDescent="0.3">
      <c r="A1187" s="106" t="s">
        <v>3922</v>
      </c>
      <c r="B1187" s="97" t="s">
        <v>7087</v>
      </c>
      <c r="C1187" s="106">
        <v>12</v>
      </c>
      <c r="D1187" s="107">
        <v>1601.34</v>
      </c>
      <c r="E1187" s="107">
        <v>81.96</v>
      </c>
      <c r="F1187" s="107">
        <v>78.5</v>
      </c>
    </row>
    <row r="1188" spans="1:6" x14ac:dyDescent="0.3">
      <c r="A1188" s="106" t="s">
        <v>3923</v>
      </c>
      <c r="B1188" s="97" t="s">
        <v>7088</v>
      </c>
      <c r="C1188" s="106">
        <v>12</v>
      </c>
      <c r="D1188" s="107">
        <v>93.61</v>
      </c>
      <c r="E1188" s="107">
        <v>2.88</v>
      </c>
      <c r="F1188" s="107">
        <v>4.57</v>
      </c>
    </row>
    <row r="1189" spans="1:6" x14ac:dyDescent="0.3">
      <c r="A1189" s="106" t="s">
        <v>5246</v>
      </c>
      <c r="B1189" s="97" t="s">
        <v>7089</v>
      </c>
      <c r="C1189" s="106">
        <v>12</v>
      </c>
      <c r="D1189" s="107">
        <v>83.8</v>
      </c>
      <c r="E1189" s="107">
        <v>2.1</v>
      </c>
      <c r="F1189" s="107">
        <v>1.59</v>
      </c>
    </row>
    <row r="1190" spans="1:6" x14ac:dyDescent="0.3">
      <c r="A1190" s="106" t="s">
        <v>5247</v>
      </c>
      <c r="B1190" s="97" t="s">
        <v>7090</v>
      </c>
      <c r="C1190" s="106">
        <v>12</v>
      </c>
      <c r="D1190" s="107">
        <v>64.61</v>
      </c>
      <c r="E1190" s="107">
        <v>1.29</v>
      </c>
      <c r="F1190" s="107">
        <v>0.34</v>
      </c>
    </row>
    <row r="1191" spans="1:6" x14ac:dyDescent="0.3">
      <c r="A1191" s="106" t="s">
        <v>3924</v>
      </c>
      <c r="B1191" s="97" t="s">
        <v>7091</v>
      </c>
      <c r="C1191" s="106">
        <v>12</v>
      </c>
      <c r="D1191" s="107">
        <v>93.07</v>
      </c>
      <c r="E1191" s="107">
        <v>1.95</v>
      </c>
      <c r="F1191" s="107">
        <v>6.11</v>
      </c>
    </row>
    <row r="1192" spans="1:6" x14ac:dyDescent="0.3">
      <c r="A1192" s="106" t="s">
        <v>5248</v>
      </c>
      <c r="B1192" s="97" t="s">
        <v>7092</v>
      </c>
      <c r="C1192" s="106">
        <v>12</v>
      </c>
      <c r="D1192" s="107">
        <v>137.69</v>
      </c>
      <c r="E1192" s="107">
        <v>-3.17</v>
      </c>
      <c r="F1192" s="107">
        <v>3.16</v>
      </c>
    </row>
    <row r="1193" spans="1:6" x14ac:dyDescent="0.3">
      <c r="A1193" s="106" t="s">
        <v>3925</v>
      </c>
      <c r="B1193" s="97" t="s">
        <v>7093</v>
      </c>
      <c r="C1193" s="106">
        <v>12</v>
      </c>
      <c r="D1193" s="107">
        <v>96.3</v>
      </c>
      <c r="E1193" s="107">
        <v>4.84</v>
      </c>
      <c r="F1193" s="107">
        <v>5.76</v>
      </c>
    </row>
    <row r="1194" spans="1:6" x14ac:dyDescent="0.3">
      <c r="A1194" s="106" t="s">
        <v>5249</v>
      </c>
      <c r="B1194" s="97" t="s">
        <v>7094</v>
      </c>
      <c r="C1194" s="106">
        <v>12</v>
      </c>
      <c r="D1194" s="107">
        <v>123.07</v>
      </c>
      <c r="E1194" s="107">
        <v>0.2</v>
      </c>
      <c r="F1194" s="107">
        <v>2.4300000000000002</v>
      </c>
    </row>
    <row r="1195" spans="1:6" x14ac:dyDescent="0.3">
      <c r="A1195" s="106" t="s">
        <v>5250</v>
      </c>
      <c r="B1195" s="97" t="s">
        <v>7095</v>
      </c>
      <c r="C1195" s="106">
        <v>12</v>
      </c>
      <c r="D1195" s="107">
        <v>51.2</v>
      </c>
      <c r="E1195" s="107">
        <v>0.24</v>
      </c>
      <c r="F1195" s="107">
        <v>1.0900000000000001</v>
      </c>
    </row>
    <row r="1196" spans="1:6" x14ac:dyDescent="0.3">
      <c r="A1196" s="106" t="s">
        <v>5251</v>
      </c>
      <c r="B1196" s="97" t="s">
        <v>7096</v>
      </c>
      <c r="C1196" s="106">
        <v>12</v>
      </c>
      <c r="D1196" s="107">
        <v>22.29</v>
      </c>
      <c r="E1196" s="107">
        <v>-0.82</v>
      </c>
      <c r="F1196" s="107">
        <v>0.05</v>
      </c>
    </row>
    <row r="1197" spans="1:6" x14ac:dyDescent="0.3">
      <c r="A1197" s="106" t="s">
        <v>5252</v>
      </c>
      <c r="B1197" s="97" t="s">
        <v>7097</v>
      </c>
      <c r="C1197" s="106">
        <v>12</v>
      </c>
      <c r="D1197" s="107">
        <v>77.56</v>
      </c>
      <c r="E1197" s="107">
        <v>1.73</v>
      </c>
      <c r="F1197" s="107">
        <v>1.78</v>
      </c>
    </row>
    <row r="1198" spans="1:6" x14ac:dyDescent="0.3">
      <c r="A1198" s="106" t="s">
        <v>5253</v>
      </c>
      <c r="B1198" s="97" t="s">
        <v>7098</v>
      </c>
      <c r="C1198" s="106">
        <v>12</v>
      </c>
      <c r="D1198" s="107">
        <v>8.4499999999999993</v>
      </c>
      <c r="E1198" s="107">
        <v>-0.34</v>
      </c>
      <c r="F1198" s="107">
        <v>-0.34</v>
      </c>
    </row>
    <row r="1199" spans="1:6" x14ac:dyDescent="0.3">
      <c r="A1199" s="106" t="s">
        <v>5254</v>
      </c>
      <c r="B1199" s="97" t="s">
        <v>7099</v>
      </c>
      <c r="C1199" s="106">
        <v>12</v>
      </c>
      <c r="D1199" s="107">
        <v>56.68</v>
      </c>
      <c r="E1199" s="107">
        <v>-4.1100000000000003</v>
      </c>
      <c r="F1199" s="107">
        <v>2.39</v>
      </c>
    </row>
    <row r="1200" spans="1:6" x14ac:dyDescent="0.3">
      <c r="A1200" s="106" t="s">
        <v>5255</v>
      </c>
      <c r="B1200" s="97" t="s">
        <v>7100</v>
      </c>
      <c r="C1200" s="106">
        <v>12</v>
      </c>
      <c r="D1200" s="107">
        <v>87.39</v>
      </c>
      <c r="E1200" s="107">
        <v>0.43</v>
      </c>
      <c r="F1200" s="107">
        <v>2.1800000000000002</v>
      </c>
    </row>
    <row r="1201" spans="1:6" x14ac:dyDescent="0.3">
      <c r="A1201" s="106" t="s">
        <v>5256</v>
      </c>
      <c r="B1201" s="97" t="s">
        <v>7101</v>
      </c>
      <c r="C1201" s="106">
        <v>12</v>
      </c>
      <c r="D1201" s="107">
        <v>27.78</v>
      </c>
      <c r="E1201" s="107">
        <v>-1.6</v>
      </c>
      <c r="F1201" s="107">
        <v>2.64</v>
      </c>
    </row>
    <row r="1202" spans="1:6" x14ac:dyDescent="0.3">
      <c r="A1202" s="106" t="s">
        <v>5257</v>
      </c>
      <c r="B1202" s="97" t="s">
        <v>7102</v>
      </c>
      <c r="C1202" s="106">
        <v>12</v>
      </c>
      <c r="D1202" s="107"/>
      <c r="E1202" s="107"/>
      <c r="F1202" s="107">
        <v>-8.49</v>
      </c>
    </row>
    <row r="1203" spans="1:6" x14ac:dyDescent="0.3">
      <c r="A1203" s="106" t="s">
        <v>5258</v>
      </c>
      <c r="B1203" s="97" t="s">
        <v>7103</v>
      </c>
      <c r="C1203" s="106">
        <v>12</v>
      </c>
      <c r="D1203" s="107">
        <v>27.47</v>
      </c>
      <c r="E1203" s="107">
        <v>0.51</v>
      </c>
      <c r="F1203" s="107">
        <v>2.82</v>
      </c>
    </row>
    <row r="1204" spans="1:6" x14ac:dyDescent="0.3">
      <c r="A1204" s="106" t="s">
        <v>5259</v>
      </c>
      <c r="B1204" s="97" t="s">
        <v>7104</v>
      </c>
      <c r="C1204" s="106">
        <v>12</v>
      </c>
      <c r="D1204" s="107">
        <v>19.170000000000002</v>
      </c>
      <c r="E1204" s="107">
        <v>1.29</v>
      </c>
      <c r="F1204" s="107">
        <v>2.99</v>
      </c>
    </row>
    <row r="1205" spans="1:6" x14ac:dyDescent="0.3">
      <c r="A1205" s="106" t="s">
        <v>5260</v>
      </c>
      <c r="B1205" s="97" t="s">
        <v>7105</v>
      </c>
      <c r="C1205" s="106">
        <v>12</v>
      </c>
      <c r="D1205" s="107">
        <v>31.48</v>
      </c>
      <c r="E1205" s="107">
        <v>-0.15</v>
      </c>
      <c r="F1205" s="107">
        <v>-0.6</v>
      </c>
    </row>
    <row r="1206" spans="1:6" x14ac:dyDescent="0.3">
      <c r="A1206" s="106" t="s">
        <v>5261</v>
      </c>
      <c r="B1206" s="97" t="s">
        <v>7106</v>
      </c>
      <c r="C1206" s="106">
        <v>12</v>
      </c>
      <c r="D1206" s="107">
        <v>76.59</v>
      </c>
      <c r="E1206" s="107">
        <v>0.76</v>
      </c>
      <c r="F1206" s="107">
        <v>4.1900000000000004</v>
      </c>
    </row>
    <row r="1207" spans="1:6" x14ac:dyDescent="0.3">
      <c r="A1207" s="106" t="s">
        <v>5262</v>
      </c>
      <c r="B1207" s="97" t="s">
        <v>7107</v>
      </c>
      <c r="C1207" s="106">
        <v>12</v>
      </c>
      <c r="D1207" s="107">
        <v>32.17</v>
      </c>
      <c r="E1207" s="107">
        <v>-0.3</v>
      </c>
      <c r="F1207" s="107">
        <v>-0.66</v>
      </c>
    </row>
    <row r="1208" spans="1:6" x14ac:dyDescent="0.3">
      <c r="A1208" s="106" t="s">
        <v>5263</v>
      </c>
      <c r="B1208" s="97" t="s">
        <v>7108</v>
      </c>
      <c r="C1208" s="106">
        <v>12</v>
      </c>
      <c r="D1208" s="107">
        <v>105.15</v>
      </c>
      <c r="E1208" s="107">
        <v>0.21</v>
      </c>
      <c r="F1208" s="107">
        <v>1.06</v>
      </c>
    </row>
    <row r="1209" spans="1:6" x14ac:dyDescent="0.3">
      <c r="A1209" s="106" t="s">
        <v>3926</v>
      </c>
      <c r="B1209" s="97" t="s">
        <v>7109</v>
      </c>
      <c r="C1209" s="106">
        <v>12</v>
      </c>
      <c r="D1209" s="107">
        <v>499.99</v>
      </c>
      <c r="E1209" s="107">
        <v>12.84</v>
      </c>
      <c r="F1209" s="107">
        <v>9.44</v>
      </c>
    </row>
    <row r="1210" spans="1:6" x14ac:dyDescent="0.3">
      <c r="A1210" s="106" t="s">
        <v>5264</v>
      </c>
      <c r="B1210" s="97" t="s">
        <v>7110</v>
      </c>
      <c r="C1210" s="106">
        <v>12</v>
      </c>
      <c r="D1210" s="107">
        <v>97.3</v>
      </c>
      <c r="E1210" s="107">
        <v>2.77</v>
      </c>
      <c r="F1210" s="107">
        <v>2.99</v>
      </c>
    </row>
    <row r="1211" spans="1:6" x14ac:dyDescent="0.3">
      <c r="A1211" s="106" t="s">
        <v>5265</v>
      </c>
      <c r="B1211" s="97" t="s">
        <v>7111</v>
      </c>
      <c r="C1211" s="106">
        <v>12</v>
      </c>
      <c r="D1211" s="107">
        <v>123.45</v>
      </c>
      <c r="E1211" s="107">
        <v>-0.22</v>
      </c>
      <c r="F1211" s="107">
        <v>1.96</v>
      </c>
    </row>
    <row r="1212" spans="1:6" x14ac:dyDescent="0.3">
      <c r="A1212" s="106" t="s">
        <v>5266</v>
      </c>
      <c r="B1212" s="97" t="s">
        <v>7112</v>
      </c>
      <c r="C1212" s="106">
        <v>12</v>
      </c>
      <c r="D1212" s="107">
        <v>23.46</v>
      </c>
      <c r="E1212" s="107">
        <v>1.1000000000000001</v>
      </c>
      <c r="F1212" s="107">
        <v>1.86</v>
      </c>
    </row>
    <row r="1213" spans="1:6" x14ac:dyDescent="0.3">
      <c r="A1213" s="106" t="s">
        <v>5267</v>
      </c>
      <c r="B1213" s="97" t="s">
        <v>7113</v>
      </c>
      <c r="C1213" s="106">
        <v>12</v>
      </c>
      <c r="D1213" s="107">
        <v>52.45</v>
      </c>
      <c r="E1213" s="107">
        <v>0.52</v>
      </c>
      <c r="F1213" s="107">
        <v>0.3</v>
      </c>
    </row>
    <row r="1214" spans="1:6" x14ac:dyDescent="0.3">
      <c r="A1214" s="106" t="s">
        <v>5268</v>
      </c>
      <c r="B1214" s="97" t="s">
        <v>7114</v>
      </c>
      <c r="C1214" s="106">
        <v>12</v>
      </c>
      <c r="D1214" s="107">
        <v>35.39</v>
      </c>
      <c r="E1214" s="107">
        <v>0.21</v>
      </c>
      <c r="F1214" s="107">
        <v>0.36</v>
      </c>
    </row>
    <row r="1215" spans="1:6" x14ac:dyDescent="0.3">
      <c r="A1215" s="106" t="s">
        <v>5269</v>
      </c>
      <c r="B1215" s="97" t="s">
        <v>7115</v>
      </c>
      <c r="C1215" s="106">
        <v>12</v>
      </c>
      <c r="D1215" s="107">
        <v>18.579999999999998</v>
      </c>
      <c r="E1215" s="107">
        <v>-0.35</v>
      </c>
      <c r="F1215" s="107">
        <v>-1.34</v>
      </c>
    </row>
    <row r="1216" spans="1:6" x14ac:dyDescent="0.3">
      <c r="A1216" s="106" t="s">
        <v>5270</v>
      </c>
      <c r="B1216" s="97" t="s">
        <v>7116</v>
      </c>
      <c r="C1216" s="106">
        <v>12</v>
      </c>
      <c r="D1216" s="107">
        <v>92.75</v>
      </c>
      <c r="E1216" s="107">
        <v>1.67</v>
      </c>
      <c r="F1216" s="107">
        <v>4.62</v>
      </c>
    </row>
    <row r="1217" spans="1:6" x14ac:dyDescent="0.3">
      <c r="A1217" s="106" t="s">
        <v>5271</v>
      </c>
      <c r="B1217" s="97" t="s">
        <v>7117</v>
      </c>
      <c r="C1217" s="106">
        <v>12</v>
      </c>
      <c r="D1217" s="107">
        <v>97.6</v>
      </c>
      <c r="E1217" s="107">
        <v>2.27</v>
      </c>
      <c r="F1217" s="107">
        <v>4.16</v>
      </c>
    </row>
    <row r="1218" spans="1:6" x14ac:dyDescent="0.3">
      <c r="A1218" s="106" t="s">
        <v>5272</v>
      </c>
      <c r="B1218" s="97" t="s">
        <v>7118</v>
      </c>
      <c r="C1218" s="106">
        <v>12</v>
      </c>
      <c r="D1218" s="107">
        <v>27.4</v>
      </c>
      <c r="E1218" s="107">
        <v>-3.21</v>
      </c>
      <c r="F1218" s="107">
        <v>0.04</v>
      </c>
    </row>
    <row r="1219" spans="1:6" x14ac:dyDescent="0.3">
      <c r="A1219" s="106" t="s">
        <v>5273</v>
      </c>
      <c r="B1219" s="97" t="s">
        <v>7119</v>
      </c>
      <c r="C1219" s="106">
        <v>12</v>
      </c>
      <c r="D1219" s="107">
        <v>17.61</v>
      </c>
      <c r="E1219" s="107">
        <v>-0.43</v>
      </c>
      <c r="F1219" s="107">
        <v>-0.13</v>
      </c>
    </row>
    <row r="1220" spans="1:6" x14ac:dyDescent="0.3">
      <c r="A1220" s="106" t="s">
        <v>5274</v>
      </c>
      <c r="B1220" s="97" t="s">
        <v>7120</v>
      </c>
      <c r="C1220" s="106">
        <v>12</v>
      </c>
      <c r="D1220" s="107">
        <v>30.86</v>
      </c>
      <c r="E1220" s="107">
        <v>0.37</v>
      </c>
      <c r="F1220" s="107">
        <v>-1.1499999999999999</v>
      </c>
    </row>
    <row r="1221" spans="1:6" x14ac:dyDescent="0.3">
      <c r="A1221" s="106" t="s">
        <v>5275</v>
      </c>
      <c r="B1221" s="97" t="s">
        <v>7121</v>
      </c>
      <c r="C1221" s="106">
        <v>12</v>
      </c>
      <c r="D1221" s="107">
        <v>8.06</v>
      </c>
      <c r="E1221" s="107">
        <v>0.02</v>
      </c>
      <c r="F1221" s="107">
        <v>0.27</v>
      </c>
    </row>
    <row r="1222" spans="1:6" x14ac:dyDescent="0.3">
      <c r="A1222" s="106" t="s">
        <v>3927</v>
      </c>
      <c r="B1222" s="97" t="s">
        <v>7122</v>
      </c>
      <c r="C1222" s="106">
        <v>12</v>
      </c>
      <c r="D1222" s="107">
        <v>64.87</v>
      </c>
      <c r="E1222" s="107">
        <v>1.34</v>
      </c>
      <c r="F1222" s="107">
        <v>3.24</v>
      </c>
    </row>
    <row r="1223" spans="1:6" x14ac:dyDescent="0.3">
      <c r="A1223" s="106" t="s">
        <v>5276</v>
      </c>
      <c r="B1223" s="97" t="s">
        <v>7123</v>
      </c>
      <c r="C1223" s="106">
        <v>12</v>
      </c>
      <c r="D1223" s="107">
        <v>58.16</v>
      </c>
      <c r="E1223" s="107">
        <v>1.98</v>
      </c>
      <c r="F1223" s="107">
        <v>3.36</v>
      </c>
    </row>
    <row r="1224" spans="1:6" x14ac:dyDescent="0.3">
      <c r="A1224" s="106" t="s">
        <v>5277</v>
      </c>
      <c r="B1224" s="97" t="s">
        <v>7124</v>
      </c>
      <c r="C1224" s="106">
        <v>12</v>
      </c>
      <c r="D1224" s="107">
        <v>7.01</v>
      </c>
      <c r="E1224" s="107">
        <v>-1.43</v>
      </c>
      <c r="F1224" s="107">
        <v>-1.46</v>
      </c>
    </row>
    <row r="1225" spans="1:6" x14ac:dyDescent="0.3">
      <c r="A1225" s="106" t="s">
        <v>5278</v>
      </c>
      <c r="B1225" s="97" t="s">
        <v>7125</v>
      </c>
      <c r="C1225" s="106">
        <v>12</v>
      </c>
      <c r="D1225" s="107">
        <v>61.21</v>
      </c>
      <c r="E1225" s="107">
        <v>1.75</v>
      </c>
      <c r="F1225" s="107">
        <v>3.05</v>
      </c>
    </row>
    <row r="1226" spans="1:6" x14ac:dyDescent="0.3">
      <c r="A1226" s="106" t="s">
        <v>5279</v>
      </c>
      <c r="B1226" s="97" t="s">
        <v>7126</v>
      </c>
      <c r="C1226" s="106">
        <v>12</v>
      </c>
      <c r="D1226" s="107">
        <v>13.14</v>
      </c>
      <c r="E1226" s="107">
        <v>-0.55000000000000004</v>
      </c>
      <c r="F1226" s="107">
        <v>0.05</v>
      </c>
    </row>
    <row r="1227" spans="1:6" x14ac:dyDescent="0.3">
      <c r="A1227" s="106" t="s">
        <v>5280</v>
      </c>
      <c r="B1227" s="97" t="s">
        <v>7127</v>
      </c>
      <c r="C1227" s="106">
        <v>12</v>
      </c>
      <c r="D1227" s="107">
        <v>35.19</v>
      </c>
      <c r="E1227" s="107">
        <v>-0.28999999999999998</v>
      </c>
      <c r="F1227" s="107">
        <v>-0.97</v>
      </c>
    </row>
    <row r="1228" spans="1:6" x14ac:dyDescent="0.3">
      <c r="A1228" s="106" t="s">
        <v>5281</v>
      </c>
      <c r="B1228" s="97" t="s">
        <v>7128</v>
      </c>
      <c r="C1228" s="106">
        <v>12</v>
      </c>
      <c r="D1228" s="107">
        <v>158.46</v>
      </c>
      <c r="E1228" s="107">
        <v>3.95</v>
      </c>
      <c r="F1228" s="107">
        <v>2.71</v>
      </c>
    </row>
    <row r="1229" spans="1:6" x14ac:dyDescent="0.3">
      <c r="A1229" s="106" t="s">
        <v>5282</v>
      </c>
      <c r="B1229" s="97" t="s">
        <v>7129</v>
      </c>
      <c r="C1229" s="106">
        <v>12</v>
      </c>
      <c r="D1229" s="107">
        <v>79.31</v>
      </c>
      <c r="E1229" s="107">
        <v>0.53</v>
      </c>
      <c r="F1229" s="107">
        <v>0.06</v>
      </c>
    </row>
    <row r="1230" spans="1:6" x14ac:dyDescent="0.3">
      <c r="A1230" s="106" t="s">
        <v>5283</v>
      </c>
      <c r="B1230" s="97" t="s">
        <v>7130</v>
      </c>
      <c r="C1230" s="106">
        <v>12</v>
      </c>
      <c r="D1230" s="107">
        <v>47.06</v>
      </c>
      <c r="E1230" s="107">
        <v>0.53</v>
      </c>
      <c r="F1230" s="107">
        <v>-0.06</v>
      </c>
    </row>
    <row r="1231" spans="1:6" x14ac:dyDescent="0.3">
      <c r="A1231" s="106" t="s">
        <v>5284</v>
      </c>
      <c r="B1231" s="97" t="s">
        <v>7131</v>
      </c>
      <c r="C1231" s="106">
        <v>12</v>
      </c>
      <c r="D1231" s="107">
        <v>48.48</v>
      </c>
      <c r="E1231" s="107">
        <v>-3.32</v>
      </c>
      <c r="F1231" s="107">
        <v>-1.03</v>
      </c>
    </row>
    <row r="1232" spans="1:6" x14ac:dyDescent="0.3">
      <c r="A1232" s="106" t="s">
        <v>5285</v>
      </c>
      <c r="B1232" s="97" t="s">
        <v>7132</v>
      </c>
      <c r="C1232" s="106">
        <v>12</v>
      </c>
      <c r="D1232" s="107">
        <v>19.100000000000001</v>
      </c>
      <c r="E1232" s="107">
        <v>-1</v>
      </c>
      <c r="F1232" s="107">
        <v>-0.44</v>
      </c>
    </row>
    <row r="1233" spans="1:6" x14ac:dyDescent="0.3">
      <c r="A1233" s="106" t="s">
        <v>5286</v>
      </c>
      <c r="B1233" s="97" t="s">
        <v>7133</v>
      </c>
      <c r="C1233" s="106">
        <v>12</v>
      </c>
      <c r="D1233" s="107">
        <v>124.92</v>
      </c>
      <c r="E1233" s="107">
        <v>4.28</v>
      </c>
      <c r="F1233" s="107">
        <v>0.25</v>
      </c>
    </row>
    <row r="1234" spans="1:6" x14ac:dyDescent="0.3">
      <c r="A1234" s="106" t="s">
        <v>5287</v>
      </c>
      <c r="B1234" s="97" t="s">
        <v>7134</v>
      </c>
      <c r="C1234" s="106">
        <v>12</v>
      </c>
      <c r="D1234" s="107"/>
      <c r="E1234" s="107"/>
      <c r="F1234" s="107">
        <v>0.56999999999999995</v>
      </c>
    </row>
    <row r="1235" spans="1:6" x14ac:dyDescent="0.3">
      <c r="A1235" s="106" t="s">
        <v>5288</v>
      </c>
      <c r="B1235" s="97" t="s">
        <v>7135</v>
      </c>
      <c r="C1235" s="106">
        <v>12</v>
      </c>
      <c r="D1235" s="107">
        <v>38.57</v>
      </c>
      <c r="E1235" s="107">
        <v>-0.91</v>
      </c>
      <c r="F1235" s="107">
        <v>0.46</v>
      </c>
    </row>
    <row r="1236" spans="1:6" x14ac:dyDescent="0.3">
      <c r="A1236" s="106" t="s">
        <v>5289</v>
      </c>
      <c r="B1236" s="97" t="s">
        <v>7136</v>
      </c>
      <c r="C1236" s="106">
        <v>12</v>
      </c>
      <c r="D1236" s="107">
        <v>68.5</v>
      </c>
      <c r="E1236" s="107">
        <v>-0.64</v>
      </c>
      <c r="F1236" s="107">
        <v>-3.14</v>
      </c>
    </row>
    <row r="1237" spans="1:6" x14ac:dyDescent="0.3">
      <c r="A1237" s="106" t="s">
        <v>5290</v>
      </c>
      <c r="B1237" s="97" t="s">
        <v>7137</v>
      </c>
      <c r="C1237" s="106">
        <v>12</v>
      </c>
      <c r="D1237" s="107">
        <v>187.88</v>
      </c>
      <c r="E1237" s="107">
        <v>-10.4</v>
      </c>
      <c r="F1237" s="107">
        <v>-8.9600000000000009</v>
      </c>
    </row>
    <row r="1238" spans="1:6" x14ac:dyDescent="0.3">
      <c r="A1238" s="106" t="s">
        <v>5291</v>
      </c>
      <c r="B1238" s="97" t="s">
        <v>7138</v>
      </c>
      <c r="C1238" s="106">
        <v>12</v>
      </c>
      <c r="D1238" s="107">
        <v>45.77</v>
      </c>
      <c r="E1238" s="107">
        <v>0.93</v>
      </c>
      <c r="F1238" s="107">
        <v>1.02</v>
      </c>
    </row>
    <row r="1239" spans="1:6" x14ac:dyDescent="0.3">
      <c r="A1239" s="106" t="s">
        <v>5292</v>
      </c>
      <c r="B1239" s="97" t="s">
        <v>7139</v>
      </c>
      <c r="C1239" s="106">
        <v>12</v>
      </c>
      <c r="D1239" s="107">
        <v>87.19</v>
      </c>
      <c r="E1239" s="107">
        <v>0.23</v>
      </c>
      <c r="F1239" s="107">
        <v>2.88</v>
      </c>
    </row>
    <row r="1240" spans="1:6" x14ac:dyDescent="0.3">
      <c r="A1240" s="106" t="s">
        <v>5293</v>
      </c>
      <c r="B1240" s="97" t="s">
        <v>7140</v>
      </c>
      <c r="C1240" s="106">
        <v>12</v>
      </c>
      <c r="D1240" s="107">
        <v>25.44</v>
      </c>
      <c r="E1240" s="107">
        <v>0.4</v>
      </c>
      <c r="F1240" s="107">
        <v>-4.33</v>
      </c>
    </row>
    <row r="1241" spans="1:6" x14ac:dyDescent="0.3">
      <c r="A1241" s="106" t="s">
        <v>5294</v>
      </c>
      <c r="B1241" s="97" t="s">
        <v>7141</v>
      </c>
      <c r="C1241" s="106">
        <v>6</v>
      </c>
      <c r="D1241" s="107">
        <v>6.77</v>
      </c>
      <c r="E1241" s="107">
        <v>0.35</v>
      </c>
      <c r="F1241" s="107">
        <v>-0.6</v>
      </c>
    </row>
    <row r="1242" spans="1:6" x14ac:dyDescent="0.3">
      <c r="A1242" s="106" t="s">
        <v>3928</v>
      </c>
      <c r="B1242" s="97" t="s">
        <v>7142</v>
      </c>
      <c r="C1242" s="106">
        <v>12</v>
      </c>
      <c r="D1242" s="107">
        <v>12829.11</v>
      </c>
      <c r="E1242" s="107">
        <v>349.46</v>
      </c>
      <c r="F1242" s="107">
        <v>506.88</v>
      </c>
    </row>
    <row r="1243" spans="1:6" x14ac:dyDescent="0.3">
      <c r="A1243" s="106" t="s">
        <v>5295</v>
      </c>
      <c r="B1243" s="97" t="s">
        <v>7143</v>
      </c>
      <c r="C1243" s="106">
        <v>12</v>
      </c>
      <c r="D1243" s="107">
        <v>27.21</v>
      </c>
      <c r="E1243" s="107">
        <v>-0.14000000000000001</v>
      </c>
      <c r="F1243" s="107">
        <v>-0.48</v>
      </c>
    </row>
    <row r="1244" spans="1:6" x14ac:dyDescent="0.3">
      <c r="A1244" s="106" t="s">
        <v>5296</v>
      </c>
      <c r="B1244" s="97" t="s">
        <v>7144</v>
      </c>
      <c r="C1244" s="106">
        <v>12</v>
      </c>
      <c r="D1244" s="107">
        <v>58.26</v>
      </c>
      <c r="E1244" s="107">
        <v>1.51</v>
      </c>
      <c r="F1244" s="107">
        <v>1.51</v>
      </c>
    </row>
    <row r="1245" spans="1:6" x14ac:dyDescent="0.3">
      <c r="A1245" s="106" t="s">
        <v>5297</v>
      </c>
      <c r="B1245" s="97" t="s">
        <v>7145</v>
      </c>
      <c r="C1245" s="106">
        <v>12</v>
      </c>
      <c r="D1245" s="107">
        <v>93.71</v>
      </c>
      <c r="E1245" s="107">
        <v>5.96</v>
      </c>
      <c r="F1245" s="107">
        <v>2.04</v>
      </c>
    </row>
    <row r="1246" spans="1:6" x14ac:dyDescent="0.3">
      <c r="A1246" s="106" t="s">
        <v>5298</v>
      </c>
      <c r="B1246" s="97" t="s">
        <v>7146</v>
      </c>
      <c r="C1246" s="106">
        <v>12</v>
      </c>
      <c r="D1246" s="107">
        <v>72.739999999999995</v>
      </c>
      <c r="E1246" s="107">
        <v>0.22</v>
      </c>
      <c r="F1246" s="107">
        <v>-1.68</v>
      </c>
    </row>
    <row r="1247" spans="1:6" x14ac:dyDescent="0.3">
      <c r="A1247" s="106" t="s">
        <v>5299</v>
      </c>
      <c r="B1247" s="97" t="s">
        <v>7147</v>
      </c>
      <c r="C1247" s="106">
        <v>12</v>
      </c>
      <c r="D1247" s="107">
        <v>37.83</v>
      </c>
      <c r="E1247" s="107">
        <v>-0.47</v>
      </c>
      <c r="F1247" s="107">
        <v>0.65</v>
      </c>
    </row>
    <row r="1248" spans="1:6" x14ac:dyDescent="0.3">
      <c r="A1248" s="106" t="s">
        <v>5300</v>
      </c>
      <c r="B1248" s="97" t="s">
        <v>7148</v>
      </c>
      <c r="C1248" s="106">
        <v>12</v>
      </c>
      <c r="D1248" s="107">
        <v>72.52</v>
      </c>
      <c r="E1248" s="107">
        <v>5.46</v>
      </c>
      <c r="F1248" s="107">
        <v>3.34</v>
      </c>
    </row>
    <row r="1249" spans="1:6" x14ac:dyDescent="0.3">
      <c r="A1249" s="106" t="s">
        <v>5301</v>
      </c>
      <c r="B1249" s="97" t="s">
        <v>7149</v>
      </c>
      <c r="C1249" s="106">
        <v>12</v>
      </c>
      <c r="D1249" s="107">
        <v>31.88</v>
      </c>
      <c r="E1249" s="107">
        <v>-0.02</v>
      </c>
      <c r="F1249" s="107">
        <v>1.32</v>
      </c>
    </row>
    <row r="1250" spans="1:6" x14ac:dyDescent="0.3">
      <c r="A1250" s="106" t="s">
        <v>5302</v>
      </c>
      <c r="B1250" s="97" t="s">
        <v>7150</v>
      </c>
      <c r="C1250" s="106">
        <v>12</v>
      </c>
      <c r="D1250" s="107">
        <v>54.55</v>
      </c>
      <c r="E1250" s="107">
        <v>-0.62</v>
      </c>
      <c r="F1250" s="107">
        <v>0.79</v>
      </c>
    </row>
    <row r="1251" spans="1:6" x14ac:dyDescent="0.3">
      <c r="A1251" s="106" t="s">
        <v>5303</v>
      </c>
      <c r="B1251" s="97" t="s">
        <v>7151</v>
      </c>
      <c r="C1251" s="106">
        <v>12</v>
      </c>
      <c r="D1251" s="107">
        <v>24.94</v>
      </c>
      <c r="E1251" s="107">
        <v>-1.21</v>
      </c>
      <c r="F1251" s="107">
        <v>-1.1000000000000001</v>
      </c>
    </row>
    <row r="1252" spans="1:6" x14ac:dyDescent="0.3">
      <c r="A1252" s="106" t="s">
        <v>3929</v>
      </c>
      <c r="B1252" s="97" t="s">
        <v>7152</v>
      </c>
      <c r="C1252" s="106">
        <v>12</v>
      </c>
      <c r="D1252" s="107">
        <v>66.349999999999994</v>
      </c>
      <c r="E1252" s="107">
        <v>1.1599999999999999</v>
      </c>
      <c r="F1252" s="107">
        <v>3.32</v>
      </c>
    </row>
    <row r="1253" spans="1:6" x14ac:dyDescent="0.3">
      <c r="A1253" s="106" t="s">
        <v>5304</v>
      </c>
      <c r="B1253" s="97" t="s">
        <v>7153</v>
      </c>
      <c r="C1253" s="106">
        <v>3</v>
      </c>
      <c r="D1253" s="107">
        <v>29.92</v>
      </c>
      <c r="E1253" s="107">
        <v>0.76</v>
      </c>
      <c r="F1253" s="107">
        <v>0.72</v>
      </c>
    </row>
    <row r="1254" spans="1:6" x14ac:dyDescent="0.3">
      <c r="A1254" s="106" t="s">
        <v>5305</v>
      </c>
      <c r="B1254" s="97" t="s">
        <v>7154</v>
      </c>
      <c r="C1254" s="106">
        <v>12</v>
      </c>
      <c r="D1254" s="107">
        <v>61.36</v>
      </c>
      <c r="E1254" s="107">
        <v>0.77</v>
      </c>
      <c r="F1254" s="107">
        <v>0.76</v>
      </c>
    </row>
    <row r="1255" spans="1:6" x14ac:dyDescent="0.3">
      <c r="A1255" s="106" t="s">
        <v>5306</v>
      </c>
      <c r="B1255" s="97" t="s">
        <v>7155</v>
      </c>
      <c r="C1255" s="106">
        <v>12</v>
      </c>
      <c r="D1255" s="107">
        <v>31.61</v>
      </c>
      <c r="E1255" s="107">
        <v>1.08</v>
      </c>
      <c r="F1255" s="107">
        <v>0.11</v>
      </c>
    </row>
    <row r="1256" spans="1:6" x14ac:dyDescent="0.3">
      <c r="A1256" s="106" t="s">
        <v>5307</v>
      </c>
      <c r="B1256" s="97" t="s">
        <v>7156</v>
      </c>
      <c r="C1256" s="106">
        <v>12</v>
      </c>
      <c r="D1256" s="107">
        <v>99.53</v>
      </c>
      <c r="E1256" s="107">
        <v>0.98</v>
      </c>
      <c r="F1256" s="107">
        <v>2.78</v>
      </c>
    </row>
    <row r="1257" spans="1:6" x14ac:dyDescent="0.3">
      <c r="A1257" s="106" t="s">
        <v>5308</v>
      </c>
      <c r="B1257" s="97" t="s">
        <v>7157</v>
      </c>
      <c r="C1257" s="106">
        <v>12</v>
      </c>
      <c r="D1257" s="107">
        <v>544.5</v>
      </c>
      <c r="E1257" s="107">
        <v>-226.8</v>
      </c>
      <c r="F1257" s="107">
        <v>47.48</v>
      </c>
    </row>
    <row r="1258" spans="1:6" x14ac:dyDescent="0.3">
      <c r="A1258" s="106" t="s">
        <v>5309</v>
      </c>
      <c r="B1258" s="97" t="s">
        <v>7158</v>
      </c>
      <c r="C1258" s="106">
        <v>12</v>
      </c>
      <c r="D1258" s="107">
        <v>90.15</v>
      </c>
      <c r="E1258" s="107">
        <v>0.33</v>
      </c>
      <c r="F1258" s="107">
        <v>1.35</v>
      </c>
    </row>
    <row r="1259" spans="1:6" x14ac:dyDescent="0.3">
      <c r="A1259" s="106" t="s">
        <v>5310</v>
      </c>
      <c r="B1259" s="97" t="s">
        <v>7159</v>
      </c>
      <c r="C1259" s="106">
        <v>12</v>
      </c>
      <c r="D1259" s="107">
        <v>47.31</v>
      </c>
      <c r="E1259" s="107">
        <v>-0.08</v>
      </c>
      <c r="F1259" s="107">
        <v>0.79</v>
      </c>
    </row>
    <row r="1260" spans="1:6" x14ac:dyDescent="0.3">
      <c r="A1260" s="106" t="s">
        <v>5311</v>
      </c>
      <c r="B1260" s="97" t="s">
        <v>7160</v>
      </c>
      <c r="C1260" s="106">
        <v>12</v>
      </c>
      <c r="D1260" s="107">
        <v>140.26</v>
      </c>
      <c r="E1260" s="107">
        <v>-4.59</v>
      </c>
      <c r="F1260" s="107">
        <v>-0.61</v>
      </c>
    </row>
    <row r="1261" spans="1:6" x14ac:dyDescent="0.3">
      <c r="A1261" s="106" t="s">
        <v>5312</v>
      </c>
      <c r="B1261" s="97" t="s">
        <v>7161</v>
      </c>
      <c r="C1261" s="106">
        <v>12</v>
      </c>
      <c r="D1261" s="107">
        <v>7.25</v>
      </c>
      <c r="E1261" s="107">
        <v>-0.41</v>
      </c>
      <c r="F1261" s="107">
        <v>-0.82</v>
      </c>
    </row>
    <row r="1262" spans="1:6" x14ac:dyDescent="0.3">
      <c r="A1262" s="106" t="s">
        <v>5313</v>
      </c>
      <c r="B1262" s="97" t="s">
        <v>7162</v>
      </c>
      <c r="C1262" s="106">
        <v>12</v>
      </c>
      <c r="D1262" s="107">
        <v>58.06</v>
      </c>
      <c r="E1262" s="107">
        <v>-1.1000000000000001</v>
      </c>
      <c r="F1262" s="107">
        <v>-0.93</v>
      </c>
    </row>
    <row r="1263" spans="1:6" x14ac:dyDescent="0.3">
      <c r="A1263" s="106" t="s">
        <v>5314</v>
      </c>
      <c r="B1263" s="97" t="s">
        <v>7163</v>
      </c>
      <c r="C1263" s="106">
        <v>12</v>
      </c>
      <c r="D1263" s="107">
        <v>269.62</v>
      </c>
      <c r="E1263" s="107">
        <v>7.3</v>
      </c>
      <c r="F1263" s="107">
        <v>8.99</v>
      </c>
    </row>
    <row r="1264" spans="1:6" x14ac:dyDescent="0.3">
      <c r="A1264" s="106" t="s">
        <v>5315</v>
      </c>
      <c r="B1264" s="97" t="s">
        <v>7164</v>
      </c>
      <c r="C1264" s="106">
        <v>12</v>
      </c>
      <c r="D1264" s="107">
        <v>69.05</v>
      </c>
      <c r="E1264" s="107">
        <v>1.1299999999999999</v>
      </c>
      <c r="F1264" s="107">
        <v>2.86</v>
      </c>
    </row>
    <row r="1265" spans="1:6" x14ac:dyDescent="0.3">
      <c r="A1265" s="106" t="s">
        <v>5316</v>
      </c>
      <c r="B1265" s="97" t="s">
        <v>7165</v>
      </c>
      <c r="C1265" s="106">
        <v>12</v>
      </c>
      <c r="D1265" s="107">
        <v>42.33</v>
      </c>
      <c r="E1265" s="107">
        <v>-0.01</v>
      </c>
      <c r="F1265" s="107">
        <v>0.44</v>
      </c>
    </row>
    <row r="1266" spans="1:6" x14ac:dyDescent="0.3">
      <c r="A1266" s="106" t="s">
        <v>5317</v>
      </c>
      <c r="B1266" s="97" t="s">
        <v>7166</v>
      </c>
      <c r="C1266" s="106">
        <v>12</v>
      </c>
      <c r="D1266" s="107">
        <v>33.979999999999997</v>
      </c>
      <c r="E1266" s="107">
        <v>0.69</v>
      </c>
      <c r="F1266" s="107">
        <v>0.8</v>
      </c>
    </row>
    <row r="1267" spans="1:6" x14ac:dyDescent="0.3">
      <c r="A1267" s="106" t="s">
        <v>5318</v>
      </c>
      <c r="B1267" s="97" t="s">
        <v>7167</v>
      </c>
      <c r="C1267" s="106">
        <v>12</v>
      </c>
      <c r="D1267" s="107">
        <v>42.75</v>
      </c>
      <c r="E1267" s="107">
        <v>0.46</v>
      </c>
      <c r="F1267" s="107">
        <v>0.66</v>
      </c>
    </row>
    <row r="1268" spans="1:6" x14ac:dyDescent="0.3">
      <c r="A1268" s="106" t="s">
        <v>5319</v>
      </c>
      <c r="B1268" s="97" t="s">
        <v>7168</v>
      </c>
      <c r="C1268" s="106">
        <v>12</v>
      </c>
      <c r="D1268" s="107">
        <v>38.71</v>
      </c>
      <c r="E1268" s="107">
        <v>1.01</v>
      </c>
      <c r="F1268" s="107">
        <v>1.27</v>
      </c>
    </row>
    <row r="1269" spans="1:6" x14ac:dyDescent="0.3">
      <c r="A1269" s="106" t="s">
        <v>5320</v>
      </c>
      <c r="B1269" s="97" t="s">
        <v>7169</v>
      </c>
      <c r="C1269" s="106">
        <v>12</v>
      </c>
      <c r="D1269" s="107">
        <v>18.510000000000002</v>
      </c>
      <c r="E1269" s="107">
        <v>-2.6</v>
      </c>
      <c r="F1269" s="107">
        <v>1.08</v>
      </c>
    </row>
    <row r="1270" spans="1:6" x14ac:dyDescent="0.3">
      <c r="A1270" s="106" t="s">
        <v>5321</v>
      </c>
      <c r="B1270" s="97" t="s">
        <v>7170</v>
      </c>
      <c r="C1270" s="106">
        <v>12</v>
      </c>
      <c r="D1270" s="107">
        <v>44.71</v>
      </c>
      <c r="E1270" s="107">
        <v>1.2</v>
      </c>
      <c r="F1270" s="107">
        <v>2.2799999999999998</v>
      </c>
    </row>
    <row r="1271" spans="1:6" x14ac:dyDescent="0.3">
      <c r="A1271" s="106" t="s">
        <v>3930</v>
      </c>
      <c r="B1271" s="97" t="s">
        <v>7171</v>
      </c>
      <c r="C1271" s="106">
        <v>12</v>
      </c>
      <c r="D1271" s="107">
        <v>1085.68</v>
      </c>
      <c r="E1271" s="107">
        <v>43.54</v>
      </c>
      <c r="F1271" s="107">
        <v>41.24</v>
      </c>
    </row>
    <row r="1272" spans="1:6" x14ac:dyDescent="0.3">
      <c r="A1272" s="106" t="s">
        <v>5322</v>
      </c>
      <c r="B1272" s="97" t="s">
        <v>7172</v>
      </c>
      <c r="C1272" s="106">
        <v>12</v>
      </c>
      <c r="D1272" s="107">
        <v>88.61</v>
      </c>
      <c r="E1272" s="107">
        <v>1.92</v>
      </c>
      <c r="F1272" s="107">
        <v>0.46</v>
      </c>
    </row>
    <row r="1273" spans="1:6" x14ac:dyDescent="0.3">
      <c r="A1273" s="106" t="s">
        <v>5323</v>
      </c>
      <c r="B1273" s="97" t="s">
        <v>7173</v>
      </c>
      <c r="C1273" s="106">
        <v>12</v>
      </c>
      <c r="D1273" s="107">
        <v>21.83</v>
      </c>
      <c r="E1273" s="107">
        <v>0.56999999999999995</v>
      </c>
      <c r="F1273" s="107">
        <v>0.73</v>
      </c>
    </row>
    <row r="1274" spans="1:6" x14ac:dyDescent="0.3">
      <c r="A1274" s="106" t="s">
        <v>5324</v>
      </c>
      <c r="B1274" s="97" t="s">
        <v>7174</v>
      </c>
      <c r="C1274" s="106">
        <v>12</v>
      </c>
      <c r="D1274" s="107">
        <v>173.49</v>
      </c>
      <c r="E1274" s="107">
        <v>10.65</v>
      </c>
      <c r="F1274" s="107">
        <v>13.26</v>
      </c>
    </row>
    <row r="1275" spans="1:6" x14ac:dyDescent="0.3">
      <c r="A1275" s="106" t="s">
        <v>5325</v>
      </c>
      <c r="B1275" s="97" t="s">
        <v>7175</v>
      </c>
      <c r="C1275" s="106">
        <v>12</v>
      </c>
      <c r="D1275" s="107"/>
      <c r="E1275" s="107"/>
      <c r="F1275" s="107">
        <v>-1.19</v>
      </c>
    </row>
    <row r="1276" spans="1:6" x14ac:dyDescent="0.3">
      <c r="A1276" s="106" t="s">
        <v>5326</v>
      </c>
      <c r="B1276" s="97" t="s">
        <v>7176</v>
      </c>
      <c r="C1276" s="106">
        <v>12</v>
      </c>
      <c r="D1276" s="107">
        <v>158.63999999999999</v>
      </c>
      <c r="E1276" s="107">
        <v>1.93</v>
      </c>
      <c r="F1276" s="107">
        <v>0.67</v>
      </c>
    </row>
    <row r="1277" spans="1:6" x14ac:dyDescent="0.3">
      <c r="A1277" s="106" t="s">
        <v>5327</v>
      </c>
      <c r="B1277" s="97" t="s">
        <v>7177</v>
      </c>
      <c r="C1277" s="106">
        <v>12</v>
      </c>
      <c r="D1277" s="107">
        <v>111.67</v>
      </c>
      <c r="E1277" s="107">
        <v>-1.32</v>
      </c>
      <c r="F1277" s="107">
        <v>-1.65</v>
      </c>
    </row>
    <row r="1278" spans="1:6" x14ac:dyDescent="0.3">
      <c r="A1278" s="106" t="s">
        <v>3931</v>
      </c>
      <c r="B1278" s="97" t="s">
        <v>7178</v>
      </c>
      <c r="C1278" s="106">
        <v>12</v>
      </c>
      <c r="D1278" s="107">
        <v>248.97</v>
      </c>
      <c r="E1278" s="107">
        <v>-3.06</v>
      </c>
      <c r="F1278" s="107">
        <v>0.41</v>
      </c>
    </row>
    <row r="1279" spans="1:6" x14ac:dyDescent="0.3">
      <c r="A1279" s="106" t="s">
        <v>5328</v>
      </c>
      <c r="B1279" s="97" t="s">
        <v>7179</v>
      </c>
      <c r="C1279" s="106">
        <v>12</v>
      </c>
      <c r="D1279" s="107">
        <v>50.74</v>
      </c>
      <c r="E1279" s="107">
        <v>1.73</v>
      </c>
      <c r="F1279" s="107">
        <v>1.59</v>
      </c>
    </row>
    <row r="1280" spans="1:6" x14ac:dyDescent="0.3">
      <c r="A1280" s="106" t="s">
        <v>5329</v>
      </c>
      <c r="B1280" s="97" t="s">
        <v>7180</v>
      </c>
      <c r="C1280" s="106">
        <v>12</v>
      </c>
      <c r="D1280" s="107">
        <v>30.77</v>
      </c>
      <c r="E1280" s="107">
        <v>0.76</v>
      </c>
      <c r="F1280" s="107">
        <v>2.4</v>
      </c>
    </row>
    <row r="1281" spans="1:6" x14ac:dyDescent="0.3">
      <c r="A1281" s="106" t="s">
        <v>5330</v>
      </c>
      <c r="B1281" s="97" t="s">
        <v>7181</v>
      </c>
      <c r="C1281" s="106">
        <v>12</v>
      </c>
      <c r="D1281" s="107">
        <v>129.15</v>
      </c>
      <c r="E1281" s="107">
        <v>1.63</v>
      </c>
      <c r="F1281" s="107">
        <v>0.74</v>
      </c>
    </row>
    <row r="1282" spans="1:6" x14ac:dyDescent="0.3">
      <c r="A1282" s="106" t="s">
        <v>5331</v>
      </c>
      <c r="B1282" s="97" t="s">
        <v>7182</v>
      </c>
      <c r="C1282" s="106">
        <v>12</v>
      </c>
      <c r="D1282" s="107">
        <v>7.26</v>
      </c>
      <c r="E1282" s="107">
        <v>-0.24</v>
      </c>
      <c r="F1282" s="107">
        <v>-0.12</v>
      </c>
    </row>
    <row r="1283" spans="1:6" x14ac:dyDescent="0.3">
      <c r="A1283" s="106" t="s">
        <v>5332</v>
      </c>
      <c r="B1283" s="97" t="s">
        <v>7183</v>
      </c>
      <c r="C1283" s="106">
        <v>12</v>
      </c>
      <c r="D1283" s="107">
        <v>26.83</v>
      </c>
      <c r="E1283" s="107">
        <v>0.26</v>
      </c>
      <c r="F1283" s="107">
        <v>1.01</v>
      </c>
    </row>
    <row r="1284" spans="1:6" x14ac:dyDescent="0.3">
      <c r="A1284" s="106" t="s">
        <v>3932</v>
      </c>
      <c r="B1284" s="97" t="s">
        <v>7184</v>
      </c>
      <c r="C1284" s="106">
        <v>12</v>
      </c>
      <c r="D1284" s="107">
        <v>447.54</v>
      </c>
      <c r="E1284" s="107">
        <v>13.07</v>
      </c>
      <c r="F1284" s="107">
        <v>22.05</v>
      </c>
    </row>
    <row r="1285" spans="1:6" x14ac:dyDescent="0.3">
      <c r="A1285" s="106" t="s">
        <v>3933</v>
      </c>
      <c r="B1285" s="97" t="s">
        <v>7185</v>
      </c>
      <c r="C1285" s="106">
        <v>12</v>
      </c>
      <c r="D1285" s="107">
        <v>39.93</v>
      </c>
      <c r="E1285" s="107">
        <v>3.27</v>
      </c>
      <c r="F1285" s="107">
        <v>3.64</v>
      </c>
    </row>
    <row r="1286" spans="1:6" x14ac:dyDescent="0.3">
      <c r="A1286" s="106" t="s">
        <v>5333</v>
      </c>
      <c r="B1286" s="97" t="s">
        <v>7186</v>
      </c>
      <c r="C1286" s="106">
        <v>12</v>
      </c>
      <c r="D1286" s="107">
        <v>34.83</v>
      </c>
      <c r="E1286" s="107">
        <v>0.73</v>
      </c>
      <c r="F1286" s="107">
        <v>2.4300000000000002</v>
      </c>
    </row>
    <row r="1287" spans="1:6" x14ac:dyDescent="0.3">
      <c r="A1287" s="106" t="s">
        <v>5334</v>
      </c>
      <c r="B1287" s="97" t="s">
        <v>7187</v>
      </c>
      <c r="C1287" s="106">
        <v>12</v>
      </c>
      <c r="D1287" s="107">
        <v>33.97</v>
      </c>
      <c r="E1287" s="107">
        <v>0.17</v>
      </c>
      <c r="F1287" s="107">
        <v>1.1499999999999999</v>
      </c>
    </row>
    <row r="1288" spans="1:6" x14ac:dyDescent="0.3">
      <c r="A1288" s="106" t="s">
        <v>5335</v>
      </c>
      <c r="B1288" s="97" t="s">
        <v>7188</v>
      </c>
      <c r="C1288" s="106">
        <v>10</v>
      </c>
      <c r="D1288" s="107"/>
      <c r="E1288" s="107"/>
      <c r="F1288" s="107"/>
    </row>
    <row r="1289" spans="1:6" x14ac:dyDescent="0.3">
      <c r="A1289" s="106" t="s">
        <v>5336</v>
      </c>
      <c r="B1289" s="97" t="s">
        <v>7189</v>
      </c>
      <c r="C1289" s="106">
        <v>12</v>
      </c>
      <c r="D1289" s="107">
        <v>85.1</v>
      </c>
      <c r="E1289" s="107">
        <v>2.09</v>
      </c>
      <c r="F1289" s="107">
        <v>2.39</v>
      </c>
    </row>
    <row r="1290" spans="1:6" x14ac:dyDescent="0.3">
      <c r="A1290" s="106" t="s">
        <v>5337</v>
      </c>
      <c r="B1290" s="97" t="s">
        <v>7190</v>
      </c>
      <c r="C1290" s="106">
        <v>12</v>
      </c>
      <c r="D1290" s="107">
        <v>33.19</v>
      </c>
      <c r="E1290" s="107">
        <v>-0.81</v>
      </c>
      <c r="F1290" s="107">
        <v>-0.64</v>
      </c>
    </row>
    <row r="1291" spans="1:6" x14ac:dyDescent="0.3">
      <c r="A1291" s="106" t="s">
        <v>3934</v>
      </c>
      <c r="B1291" s="97" t="s">
        <v>7191</v>
      </c>
      <c r="C1291" s="106">
        <v>12</v>
      </c>
      <c r="D1291" s="107">
        <v>394.07</v>
      </c>
      <c r="E1291" s="107">
        <v>16.309999999999999</v>
      </c>
      <c r="F1291" s="107">
        <v>0.31</v>
      </c>
    </row>
    <row r="1292" spans="1:6" x14ac:dyDescent="0.3">
      <c r="A1292" s="106" t="s">
        <v>5338</v>
      </c>
      <c r="B1292" s="97" t="s">
        <v>7192</v>
      </c>
      <c r="C1292" s="106">
        <v>12</v>
      </c>
      <c r="D1292" s="107">
        <v>135.19</v>
      </c>
      <c r="E1292" s="107">
        <v>1.18</v>
      </c>
      <c r="F1292" s="107">
        <v>2.31</v>
      </c>
    </row>
    <row r="1293" spans="1:6" x14ac:dyDescent="0.3">
      <c r="A1293" s="106" t="s">
        <v>5339</v>
      </c>
      <c r="B1293" s="97" t="s">
        <v>7193</v>
      </c>
      <c r="C1293" s="106">
        <v>10</v>
      </c>
      <c r="D1293" s="107"/>
      <c r="E1293" s="107"/>
      <c r="F1293" s="107"/>
    </row>
    <row r="1294" spans="1:6" x14ac:dyDescent="0.3">
      <c r="A1294" s="106" t="s">
        <v>5340</v>
      </c>
      <c r="B1294" s="97" t="s">
        <v>7194</v>
      </c>
      <c r="C1294" s="106">
        <v>12</v>
      </c>
      <c r="D1294" s="107">
        <v>99.82</v>
      </c>
      <c r="E1294" s="107">
        <v>-0.28000000000000003</v>
      </c>
      <c r="F1294" s="107">
        <v>-1.72</v>
      </c>
    </row>
    <row r="1295" spans="1:6" x14ac:dyDescent="0.3">
      <c r="A1295" s="106" t="s">
        <v>5341</v>
      </c>
      <c r="B1295" s="97" t="s">
        <v>7195</v>
      </c>
      <c r="C1295" s="106">
        <v>12</v>
      </c>
      <c r="D1295" s="107">
        <v>14.64</v>
      </c>
      <c r="E1295" s="107">
        <v>-7.0000000000000007E-2</v>
      </c>
      <c r="F1295" s="107">
        <v>-0.69</v>
      </c>
    </row>
    <row r="1296" spans="1:6" x14ac:dyDescent="0.3">
      <c r="A1296" s="106" t="s">
        <v>3935</v>
      </c>
      <c r="B1296" s="97" t="s">
        <v>7196</v>
      </c>
      <c r="C1296" s="106">
        <v>12</v>
      </c>
      <c r="D1296" s="107">
        <v>3308.57</v>
      </c>
      <c r="E1296" s="107">
        <v>104.78</v>
      </c>
      <c r="F1296" s="107">
        <v>112.83</v>
      </c>
    </row>
    <row r="1297" spans="1:6" x14ac:dyDescent="0.3">
      <c r="A1297" s="106" t="s">
        <v>5342</v>
      </c>
      <c r="B1297" s="97" t="s">
        <v>7197</v>
      </c>
      <c r="C1297" s="106">
        <v>12</v>
      </c>
      <c r="D1297" s="107">
        <v>23.32</v>
      </c>
      <c r="E1297" s="107">
        <v>2.0099999999999998</v>
      </c>
      <c r="F1297" s="107">
        <v>0.06</v>
      </c>
    </row>
    <row r="1298" spans="1:6" x14ac:dyDescent="0.3">
      <c r="A1298" s="106" t="s">
        <v>5343</v>
      </c>
      <c r="B1298" s="97" t="s">
        <v>7198</v>
      </c>
      <c r="C1298" s="106">
        <v>12</v>
      </c>
      <c r="D1298" s="107">
        <v>29.29</v>
      </c>
      <c r="E1298" s="107">
        <v>-6.87</v>
      </c>
      <c r="F1298" s="107">
        <v>-2.37</v>
      </c>
    </row>
    <row r="1299" spans="1:6" x14ac:dyDescent="0.3">
      <c r="A1299" s="106" t="s">
        <v>5344</v>
      </c>
      <c r="B1299" s="97" t="s">
        <v>7199</v>
      </c>
      <c r="C1299" s="106">
        <v>12</v>
      </c>
      <c r="D1299" s="107">
        <v>24.34</v>
      </c>
      <c r="E1299" s="107">
        <v>-1.23</v>
      </c>
      <c r="F1299" s="107">
        <v>-0.48</v>
      </c>
    </row>
    <row r="1300" spans="1:6" x14ac:dyDescent="0.3">
      <c r="A1300" s="106" t="s">
        <v>3936</v>
      </c>
      <c r="B1300" s="97" t="s">
        <v>7200</v>
      </c>
      <c r="C1300" s="106">
        <v>3</v>
      </c>
      <c r="D1300" s="107">
        <v>2653.38</v>
      </c>
      <c r="E1300" s="107">
        <v>82.56</v>
      </c>
      <c r="F1300" s="107">
        <v>22.9</v>
      </c>
    </row>
    <row r="1301" spans="1:6" x14ac:dyDescent="0.3">
      <c r="A1301" s="106" t="s">
        <v>5345</v>
      </c>
      <c r="B1301" s="97" t="s">
        <v>7201</v>
      </c>
      <c r="C1301" s="106">
        <v>12</v>
      </c>
      <c r="D1301" s="107">
        <v>135.12</v>
      </c>
      <c r="E1301" s="107">
        <v>1.18</v>
      </c>
      <c r="F1301" s="107">
        <v>2.2400000000000002</v>
      </c>
    </row>
    <row r="1302" spans="1:6" x14ac:dyDescent="0.3">
      <c r="A1302" s="106" t="s">
        <v>5346</v>
      </c>
      <c r="B1302" s="97" t="s">
        <v>7202</v>
      </c>
      <c r="C1302" s="106">
        <v>12</v>
      </c>
      <c r="D1302" s="107">
        <v>45.46</v>
      </c>
      <c r="E1302" s="107">
        <v>0.12</v>
      </c>
      <c r="F1302" s="107">
        <v>-0.46</v>
      </c>
    </row>
    <row r="1303" spans="1:6" x14ac:dyDescent="0.3">
      <c r="A1303" s="106" t="s">
        <v>5347</v>
      </c>
      <c r="B1303" s="97" t="s">
        <v>7203</v>
      </c>
      <c r="C1303" s="106">
        <v>12</v>
      </c>
      <c r="D1303" s="107">
        <v>40.67</v>
      </c>
      <c r="E1303" s="107">
        <v>-0.5</v>
      </c>
      <c r="F1303" s="107">
        <v>0.7</v>
      </c>
    </row>
    <row r="1304" spans="1:6" x14ac:dyDescent="0.3">
      <c r="A1304" s="106" t="s">
        <v>5348</v>
      </c>
      <c r="B1304" s="97" t="s">
        <v>7204</v>
      </c>
      <c r="C1304" s="106">
        <v>12</v>
      </c>
      <c r="D1304" s="107">
        <v>1546.48</v>
      </c>
      <c r="E1304" s="107">
        <v>103.29</v>
      </c>
      <c r="F1304" s="107">
        <v>0.36</v>
      </c>
    </row>
    <row r="1305" spans="1:6" x14ac:dyDescent="0.3">
      <c r="A1305" s="106" t="s">
        <v>5349</v>
      </c>
      <c r="B1305" s="97" t="s">
        <v>7205</v>
      </c>
      <c r="C1305" s="106">
        <v>12</v>
      </c>
      <c r="D1305" s="107"/>
      <c r="E1305" s="107"/>
      <c r="F1305" s="107">
        <v>-0.37</v>
      </c>
    </row>
    <row r="1306" spans="1:6" x14ac:dyDescent="0.3">
      <c r="A1306" s="106" t="s">
        <v>5350</v>
      </c>
      <c r="B1306" s="97" t="s">
        <v>7206</v>
      </c>
      <c r="C1306" s="106">
        <v>12</v>
      </c>
      <c r="D1306" s="107">
        <v>71.38</v>
      </c>
      <c r="E1306" s="107">
        <v>0.75</v>
      </c>
      <c r="F1306" s="107">
        <v>1.17</v>
      </c>
    </row>
    <row r="1307" spans="1:6" x14ac:dyDescent="0.3">
      <c r="A1307" s="106" t="s">
        <v>3937</v>
      </c>
      <c r="B1307" s="97" t="s">
        <v>7207</v>
      </c>
      <c r="C1307" s="106">
        <v>12</v>
      </c>
      <c r="D1307" s="107">
        <v>1488.28</v>
      </c>
      <c r="E1307" s="107">
        <v>30.41</v>
      </c>
      <c r="F1307" s="107">
        <v>34.06</v>
      </c>
    </row>
    <row r="1308" spans="1:6" x14ac:dyDescent="0.3">
      <c r="A1308" s="106" t="s">
        <v>5351</v>
      </c>
      <c r="B1308" s="97" t="s">
        <v>7208</v>
      </c>
      <c r="C1308" s="106">
        <v>12</v>
      </c>
      <c r="D1308" s="107">
        <v>14.62</v>
      </c>
      <c r="E1308" s="107">
        <v>0.24</v>
      </c>
      <c r="F1308" s="107">
        <v>-0.03</v>
      </c>
    </row>
    <row r="1309" spans="1:6" x14ac:dyDescent="0.3">
      <c r="A1309" s="106" t="s">
        <v>5352</v>
      </c>
      <c r="B1309" s="97" t="s">
        <v>7209</v>
      </c>
      <c r="C1309" s="106">
        <v>12</v>
      </c>
      <c r="D1309" s="107">
        <v>42.24</v>
      </c>
      <c r="E1309" s="107">
        <v>0.7</v>
      </c>
      <c r="F1309" s="107">
        <v>0.68</v>
      </c>
    </row>
    <row r="1310" spans="1:6" x14ac:dyDescent="0.3">
      <c r="A1310" s="106" t="s">
        <v>5353</v>
      </c>
      <c r="B1310" s="97" t="s">
        <v>7210</v>
      </c>
      <c r="C1310" s="106">
        <v>12</v>
      </c>
      <c r="D1310" s="107">
        <v>478.74</v>
      </c>
      <c r="E1310" s="107">
        <v>-25.97</v>
      </c>
      <c r="F1310" s="107">
        <v>8.68</v>
      </c>
    </row>
    <row r="1311" spans="1:6" x14ac:dyDescent="0.3">
      <c r="A1311" s="106" t="s">
        <v>5354</v>
      </c>
      <c r="B1311" s="97" t="s">
        <v>7211</v>
      </c>
      <c r="C1311" s="106">
        <v>12</v>
      </c>
      <c r="D1311" s="107">
        <v>44.78</v>
      </c>
      <c r="E1311" s="107">
        <v>1.1100000000000001</v>
      </c>
      <c r="F1311" s="107">
        <v>0.63</v>
      </c>
    </row>
    <row r="1312" spans="1:6" x14ac:dyDescent="0.3">
      <c r="A1312" s="106" t="s">
        <v>5355</v>
      </c>
      <c r="B1312" s="97" t="s">
        <v>7212</v>
      </c>
      <c r="C1312" s="106">
        <v>12</v>
      </c>
      <c r="D1312" s="107">
        <v>68.069999999999993</v>
      </c>
      <c r="E1312" s="107">
        <v>-0.74</v>
      </c>
      <c r="F1312" s="107">
        <v>-1.32</v>
      </c>
    </row>
    <row r="1313" spans="1:6" x14ac:dyDescent="0.3">
      <c r="A1313" s="106" t="s">
        <v>5356</v>
      </c>
      <c r="B1313" s="97" t="s">
        <v>7213</v>
      </c>
      <c r="C1313" s="106">
        <v>12</v>
      </c>
      <c r="D1313" s="107">
        <v>61.37</v>
      </c>
      <c r="E1313" s="107">
        <v>4.5199999999999996</v>
      </c>
      <c r="F1313" s="107">
        <v>0.89</v>
      </c>
    </row>
    <row r="1314" spans="1:6" x14ac:dyDescent="0.3">
      <c r="A1314" s="106" t="s">
        <v>3938</v>
      </c>
      <c r="B1314" s="97" t="s">
        <v>7214</v>
      </c>
      <c r="C1314" s="106">
        <v>12</v>
      </c>
      <c r="D1314" s="107">
        <v>52.34</v>
      </c>
      <c r="E1314" s="107">
        <v>-4.57</v>
      </c>
      <c r="F1314" s="107">
        <v>1.73</v>
      </c>
    </row>
    <row r="1315" spans="1:6" x14ac:dyDescent="0.3">
      <c r="A1315" s="106" t="s">
        <v>5357</v>
      </c>
      <c r="B1315" s="97" t="s">
        <v>7215</v>
      </c>
      <c r="C1315" s="106">
        <v>12</v>
      </c>
      <c r="D1315" s="107">
        <v>699.46</v>
      </c>
      <c r="E1315" s="107">
        <v>14.39</v>
      </c>
      <c r="F1315" s="107">
        <v>-0.83</v>
      </c>
    </row>
    <row r="1316" spans="1:6" x14ac:dyDescent="0.3">
      <c r="A1316" s="106" t="s">
        <v>5358</v>
      </c>
      <c r="B1316" s="97" t="s">
        <v>7216</v>
      </c>
      <c r="C1316" s="106">
        <v>12</v>
      </c>
      <c r="D1316" s="107">
        <v>11.42</v>
      </c>
      <c r="E1316" s="107">
        <v>0.57999999999999996</v>
      </c>
      <c r="F1316" s="107">
        <v>0.41</v>
      </c>
    </row>
    <row r="1317" spans="1:6" x14ac:dyDescent="0.3">
      <c r="A1317" s="106" t="s">
        <v>3939</v>
      </c>
      <c r="B1317" s="97" t="s">
        <v>7217</v>
      </c>
      <c r="C1317" s="106">
        <v>12</v>
      </c>
      <c r="D1317" s="107">
        <v>363.43</v>
      </c>
      <c r="E1317" s="107">
        <v>13.06</v>
      </c>
      <c r="F1317" s="107">
        <v>18.54</v>
      </c>
    </row>
    <row r="1318" spans="1:6" x14ac:dyDescent="0.3">
      <c r="A1318" s="106" t="s">
        <v>5359</v>
      </c>
      <c r="B1318" s="97" t="s">
        <v>7218</v>
      </c>
      <c r="C1318" s="106">
        <v>12</v>
      </c>
      <c r="D1318" s="107">
        <v>34.380000000000003</v>
      </c>
      <c r="E1318" s="107">
        <v>0.5</v>
      </c>
      <c r="F1318" s="107">
        <v>1.1599999999999999</v>
      </c>
    </row>
    <row r="1319" spans="1:6" x14ac:dyDescent="0.3">
      <c r="A1319" s="106" t="s">
        <v>5360</v>
      </c>
      <c r="B1319" s="97" t="s">
        <v>7219</v>
      </c>
      <c r="C1319" s="106">
        <v>12</v>
      </c>
      <c r="D1319" s="107">
        <v>68.09</v>
      </c>
      <c r="E1319" s="107">
        <v>-0.24</v>
      </c>
      <c r="F1319" s="107">
        <v>1.1399999999999999</v>
      </c>
    </row>
    <row r="1320" spans="1:6" x14ac:dyDescent="0.3">
      <c r="A1320" s="106" t="s">
        <v>5361</v>
      </c>
      <c r="B1320" s="97" t="s">
        <v>7220</v>
      </c>
      <c r="C1320" s="106">
        <v>12</v>
      </c>
      <c r="D1320" s="107">
        <v>38.81</v>
      </c>
      <c r="E1320" s="107">
        <v>0.48</v>
      </c>
      <c r="F1320" s="107">
        <v>0.44</v>
      </c>
    </row>
    <row r="1321" spans="1:6" x14ac:dyDescent="0.3">
      <c r="A1321" s="106" t="s">
        <v>5362</v>
      </c>
      <c r="B1321" s="97" t="s">
        <v>7221</v>
      </c>
      <c r="C1321" s="106">
        <v>12</v>
      </c>
      <c r="D1321" s="107">
        <v>83.34</v>
      </c>
      <c r="E1321" s="107">
        <v>2.97</v>
      </c>
      <c r="F1321" s="107">
        <v>2.82</v>
      </c>
    </row>
    <row r="1322" spans="1:6" x14ac:dyDescent="0.3">
      <c r="A1322" s="106" t="s">
        <v>5363</v>
      </c>
      <c r="B1322" s="97" t="s">
        <v>7222</v>
      </c>
      <c r="C1322" s="106">
        <v>12</v>
      </c>
      <c r="D1322" s="107">
        <v>46.49</v>
      </c>
      <c r="E1322" s="107">
        <v>-0.16</v>
      </c>
      <c r="F1322" s="107">
        <v>-0.24</v>
      </c>
    </row>
    <row r="1323" spans="1:6" x14ac:dyDescent="0.3">
      <c r="A1323" s="106" t="s">
        <v>5364</v>
      </c>
      <c r="B1323" s="97" t="s">
        <v>7223</v>
      </c>
      <c r="C1323" s="106">
        <v>12</v>
      </c>
      <c r="D1323" s="107">
        <v>926.23</v>
      </c>
      <c r="E1323" s="107">
        <v>71.89</v>
      </c>
      <c r="F1323" s="107">
        <v>126.64</v>
      </c>
    </row>
    <row r="1324" spans="1:6" x14ac:dyDescent="0.3">
      <c r="A1324" s="106" t="s">
        <v>3940</v>
      </c>
      <c r="B1324" s="97" t="s">
        <v>7224</v>
      </c>
      <c r="C1324" s="106">
        <v>12</v>
      </c>
      <c r="D1324" s="107">
        <v>74.88</v>
      </c>
      <c r="E1324" s="107">
        <v>-1.1299999999999999</v>
      </c>
      <c r="F1324" s="107">
        <v>3.05</v>
      </c>
    </row>
    <row r="1325" spans="1:6" x14ac:dyDescent="0.3">
      <c r="A1325" s="106" t="s">
        <v>5365</v>
      </c>
      <c r="B1325" s="97" t="s">
        <v>7225</v>
      </c>
      <c r="C1325" s="106">
        <v>12</v>
      </c>
      <c r="D1325" s="107">
        <v>30.61</v>
      </c>
      <c r="E1325" s="107">
        <v>0.86</v>
      </c>
      <c r="F1325" s="107">
        <v>0.8</v>
      </c>
    </row>
    <row r="1326" spans="1:6" x14ac:dyDescent="0.3">
      <c r="A1326" s="106" t="s">
        <v>5366</v>
      </c>
      <c r="B1326" s="97" t="s">
        <v>7226</v>
      </c>
      <c r="C1326" s="106">
        <v>12</v>
      </c>
      <c r="D1326" s="107">
        <v>96.74</v>
      </c>
      <c r="E1326" s="107">
        <v>-2.3199999999999998</v>
      </c>
      <c r="F1326" s="107">
        <v>-1.71</v>
      </c>
    </row>
    <row r="1327" spans="1:6" x14ac:dyDescent="0.3">
      <c r="A1327" s="106" t="s">
        <v>5367</v>
      </c>
      <c r="B1327" s="97" t="s">
        <v>7227</v>
      </c>
      <c r="C1327" s="106">
        <v>12</v>
      </c>
      <c r="D1327" s="107">
        <v>59.17</v>
      </c>
      <c r="E1327" s="107">
        <v>0.12</v>
      </c>
      <c r="F1327" s="107">
        <v>2.48</v>
      </c>
    </row>
    <row r="1328" spans="1:6" x14ac:dyDescent="0.3">
      <c r="A1328" s="106" t="s">
        <v>5368</v>
      </c>
      <c r="B1328" s="97" t="s">
        <v>7228</v>
      </c>
      <c r="C1328" s="106">
        <v>3</v>
      </c>
      <c r="D1328" s="107">
        <v>-14.38</v>
      </c>
      <c r="E1328" s="107">
        <v>-15.62</v>
      </c>
      <c r="F1328" s="107">
        <v>-3.58</v>
      </c>
    </row>
    <row r="1329" spans="1:6" x14ac:dyDescent="0.3">
      <c r="A1329" s="106" t="s">
        <v>5369</v>
      </c>
      <c r="B1329" s="97" t="s">
        <v>7229</v>
      </c>
      <c r="C1329" s="106">
        <v>12</v>
      </c>
      <c r="D1329" s="107">
        <v>15.61</v>
      </c>
      <c r="E1329" s="107">
        <v>-0.49</v>
      </c>
      <c r="F1329" s="107">
        <v>-1.7</v>
      </c>
    </row>
    <row r="1330" spans="1:6" x14ac:dyDescent="0.3">
      <c r="A1330" s="106" t="s">
        <v>5370</v>
      </c>
      <c r="B1330" s="97" t="s">
        <v>7230</v>
      </c>
      <c r="C1330" s="106">
        <v>12</v>
      </c>
      <c r="D1330" s="107">
        <v>76.510000000000005</v>
      </c>
      <c r="E1330" s="107">
        <v>-7.1</v>
      </c>
      <c r="F1330" s="107">
        <v>2.4500000000000002</v>
      </c>
    </row>
    <row r="1331" spans="1:6" x14ac:dyDescent="0.3">
      <c r="A1331" s="106" t="s">
        <v>5371</v>
      </c>
      <c r="B1331" s="97" t="s">
        <v>7231</v>
      </c>
      <c r="C1331" s="106">
        <v>12</v>
      </c>
      <c r="D1331" s="107">
        <v>21.41</v>
      </c>
      <c r="E1331" s="107">
        <v>-0.12</v>
      </c>
      <c r="F1331" s="107">
        <v>-0.16</v>
      </c>
    </row>
    <row r="1332" spans="1:6" x14ac:dyDescent="0.3">
      <c r="A1332" s="106" t="s">
        <v>5372</v>
      </c>
      <c r="B1332" s="97" t="s">
        <v>7232</v>
      </c>
      <c r="C1332" s="106">
        <v>12</v>
      </c>
      <c r="D1332" s="107">
        <v>44.53</v>
      </c>
      <c r="E1332" s="107">
        <v>-1.65</v>
      </c>
      <c r="F1332" s="107">
        <v>-1.1399999999999999</v>
      </c>
    </row>
    <row r="1333" spans="1:6" x14ac:dyDescent="0.3">
      <c r="A1333" s="106" t="s">
        <v>5373</v>
      </c>
      <c r="B1333" s="97" t="s">
        <v>7233</v>
      </c>
      <c r="C1333" s="106">
        <v>12</v>
      </c>
      <c r="D1333" s="107">
        <v>82.89</v>
      </c>
      <c r="E1333" s="107">
        <v>2.37</v>
      </c>
      <c r="F1333" s="107">
        <v>4.51</v>
      </c>
    </row>
    <row r="1334" spans="1:6" x14ac:dyDescent="0.3">
      <c r="A1334" s="106" t="s">
        <v>5374</v>
      </c>
      <c r="B1334" s="97" t="s">
        <v>7234</v>
      </c>
      <c r="C1334" s="106">
        <v>12</v>
      </c>
      <c r="D1334" s="107">
        <v>7.89</v>
      </c>
      <c r="E1334" s="107">
        <v>-7.0000000000000007E-2</v>
      </c>
      <c r="F1334" s="107">
        <v>0.28000000000000003</v>
      </c>
    </row>
    <row r="1335" spans="1:6" x14ac:dyDescent="0.3">
      <c r="A1335" s="106" t="s">
        <v>5375</v>
      </c>
      <c r="B1335" s="97" t="s">
        <v>7235</v>
      </c>
      <c r="C1335" s="106">
        <v>12</v>
      </c>
      <c r="D1335" s="107">
        <v>73.569999999999993</v>
      </c>
      <c r="E1335" s="107">
        <v>1.33</v>
      </c>
      <c r="F1335" s="107">
        <v>0.45</v>
      </c>
    </row>
    <row r="1336" spans="1:6" x14ac:dyDescent="0.3">
      <c r="A1336" s="106" t="s">
        <v>5376</v>
      </c>
      <c r="B1336" s="97" t="s">
        <v>7236</v>
      </c>
      <c r="C1336" s="106">
        <v>12</v>
      </c>
      <c r="D1336" s="107">
        <v>138.97</v>
      </c>
      <c r="E1336" s="107">
        <v>6.54</v>
      </c>
      <c r="F1336" s="107">
        <v>3.55</v>
      </c>
    </row>
    <row r="1337" spans="1:6" x14ac:dyDescent="0.3">
      <c r="A1337" s="106" t="s">
        <v>5377</v>
      </c>
      <c r="B1337" s="97" t="s">
        <v>7237</v>
      </c>
      <c r="C1337" s="106">
        <v>12</v>
      </c>
      <c r="D1337" s="107">
        <v>78.599999999999994</v>
      </c>
      <c r="E1337" s="107">
        <v>1.75</v>
      </c>
      <c r="F1337" s="107">
        <v>2.52</v>
      </c>
    </row>
    <row r="1338" spans="1:6" x14ac:dyDescent="0.3">
      <c r="A1338" s="106" t="s">
        <v>5378</v>
      </c>
      <c r="B1338" s="97" t="s">
        <v>7238</v>
      </c>
      <c r="C1338" s="106">
        <v>12</v>
      </c>
      <c r="D1338" s="107">
        <v>86.23</v>
      </c>
      <c r="E1338" s="107">
        <v>5.48</v>
      </c>
      <c r="F1338" s="107">
        <v>1.5</v>
      </c>
    </row>
    <row r="1339" spans="1:6" x14ac:dyDescent="0.3">
      <c r="A1339" s="106" t="s">
        <v>5379</v>
      </c>
      <c r="B1339" s="97" t="s">
        <v>7239</v>
      </c>
      <c r="C1339" s="106">
        <v>12</v>
      </c>
      <c r="D1339" s="107">
        <v>48.21</v>
      </c>
      <c r="E1339" s="107">
        <v>-0.61</v>
      </c>
      <c r="F1339" s="107">
        <v>-0.01</v>
      </c>
    </row>
    <row r="1340" spans="1:6" x14ac:dyDescent="0.3">
      <c r="A1340" s="106" t="s">
        <v>3941</v>
      </c>
      <c r="B1340" s="97" t="s">
        <v>7240</v>
      </c>
      <c r="C1340" s="106">
        <v>12</v>
      </c>
      <c r="D1340" s="107">
        <v>193.2</v>
      </c>
      <c r="E1340" s="107">
        <v>9.19</v>
      </c>
      <c r="F1340" s="107">
        <v>10.56</v>
      </c>
    </row>
    <row r="1341" spans="1:6" x14ac:dyDescent="0.3">
      <c r="A1341" s="106" t="s">
        <v>5380</v>
      </c>
      <c r="B1341" s="97" t="s">
        <v>7241</v>
      </c>
      <c r="C1341" s="106">
        <v>12</v>
      </c>
      <c r="D1341" s="107">
        <v>134.66999999999999</v>
      </c>
      <c r="E1341" s="107">
        <v>1.04</v>
      </c>
      <c r="F1341" s="107">
        <v>1.54</v>
      </c>
    </row>
    <row r="1342" spans="1:6" x14ac:dyDescent="0.3">
      <c r="A1342" s="106" t="s">
        <v>5381</v>
      </c>
      <c r="B1342" s="97" t="s">
        <v>7242</v>
      </c>
      <c r="C1342" s="106">
        <v>12</v>
      </c>
      <c r="D1342" s="107">
        <v>560.15</v>
      </c>
      <c r="E1342" s="107">
        <v>-35.479999999999997</v>
      </c>
      <c r="F1342" s="107">
        <v>29.73</v>
      </c>
    </row>
    <row r="1343" spans="1:6" x14ac:dyDescent="0.3">
      <c r="A1343" s="106" t="s">
        <v>5382</v>
      </c>
      <c r="B1343" s="97" t="s">
        <v>7243</v>
      </c>
      <c r="C1343" s="106">
        <v>12</v>
      </c>
      <c r="D1343" s="107">
        <v>84.35</v>
      </c>
      <c r="E1343" s="107">
        <v>0.62</v>
      </c>
      <c r="F1343" s="107">
        <v>5.28</v>
      </c>
    </row>
    <row r="1344" spans="1:6" x14ac:dyDescent="0.3">
      <c r="A1344" s="106" t="s">
        <v>5383</v>
      </c>
      <c r="B1344" s="97" t="s">
        <v>7244</v>
      </c>
      <c r="C1344" s="106">
        <v>3</v>
      </c>
      <c r="D1344" s="107">
        <v>316.52</v>
      </c>
      <c r="E1344" s="107">
        <v>1.55</v>
      </c>
      <c r="F1344" s="107">
        <v>2.73</v>
      </c>
    </row>
    <row r="1345" spans="1:6" x14ac:dyDescent="0.3">
      <c r="A1345" s="106" t="s">
        <v>5384</v>
      </c>
      <c r="B1345" s="97" t="s">
        <v>7245</v>
      </c>
      <c r="C1345" s="106">
        <v>12</v>
      </c>
      <c r="D1345" s="107">
        <v>144.13999999999999</v>
      </c>
      <c r="E1345" s="107">
        <v>3.62</v>
      </c>
      <c r="F1345" s="107">
        <v>2.4300000000000002</v>
      </c>
    </row>
    <row r="1346" spans="1:6" x14ac:dyDescent="0.3">
      <c r="A1346" s="106" t="s">
        <v>5385</v>
      </c>
      <c r="B1346" s="97" t="s">
        <v>7246</v>
      </c>
      <c r="C1346" s="106">
        <v>12</v>
      </c>
      <c r="D1346" s="107">
        <v>44.22</v>
      </c>
      <c r="E1346" s="107">
        <v>0.23</v>
      </c>
      <c r="F1346" s="107">
        <v>0.66</v>
      </c>
    </row>
    <row r="1347" spans="1:6" x14ac:dyDescent="0.3">
      <c r="A1347" s="106" t="s">
        <v>5386</v>
      </c>
      <c r="B1347" s="97" t="s">
        <v>7247</v>
      </c>
      <c r="C1347" s="106">
        <v>12</v>
      </c>
      <c r="D1347" s="107">
        <v>40.21</v>
      </c>
      <c r="E1347" s="107">
        <v>1.31</v>
      </c>
      <c r="F1347" s="107">
        <v>0.28999999999999998</v>
      </c>
    </row>
    <row r="1348" spans="1:6" x14ac:dyDescent="0.3">
      <c r="A1348" s="106" t="s">
        <v>5387</v>
      </c>
      <c r="B1348" s="97" t="s">
        <v>7248</v>
      </c>
      <c r="C1348" s="106">
        <v>12</v>
      </c>
      <c r="D1348" s="107">
        <v>15.15</v>
      </c>
      <c r="E1348" s="107">
        <v>2.5499999999999998</v>
      </c>
      <c r="F1348" s="107">
        <v>1.23</v>
      </c>
    </row>
    <row r="1349" spans="1:6" x14ac:dyDescent="0.3">
      <c r="A1349" s="106" t="s">
        <v>5388</v>
      </c>
      <c r="B1349" s="97" t="s">
        <v>7249</v>
      </c>
      <c r="C1349" s="106">
        <v>12</v>
      </c>
      <c r="D1349" s="107">
        <v>118.58</v>
      </c>
      <c r="E1349" s="107">
        <v>-0.16</v>
      </c>
      <c r="F1349" s="107">
        <v>-0.9</v>
      </c>
    </row>
    <row r="1350" spans="1:6" x14ac:dyDescent="0.3">
      <c r="A1350" s="106" t="s">
        <v>3942</v>
      </c>
      <c r="B1350" s="97" t="s">
        <v>7250</v>
      </c>
      <c r="C1350" s="106">
        <v>12</v>
      </c>
      <c r="D1350" s="107">
        <v>96.11</v>
      </c>
      <c r="E1350" s="107">
        <v>5.13</v>
      </c>
      <c r="F1350" s="107">
        <v>6.54</v>
      </c>
    </row>
    <row r="1351" spans="1:6" x14ac:dyDescent="0.3">
      <c r="A1351" s="106" t="s">
        <v>5389</v>
      </c>
      <c r="B1351" s="97" t="s">
        <v>7251</v>
      </c>
      <c r="C1351" s="106">
        <v>12</v>
      </c>
      <c r="D1351" s="107">
        <v>35.590000000000003</v>
      </c>
      <c r="E1351" s="107">
        <v>0.56999999999999995</v>
      </c>
      <c r="F1351" s="107">
        <v>0.09</v>
      </c>
    </row>
    <row r="1352" spans="1:6" x14ac:dyDescent="0.3">
      <c r="A1352" s="106" t="s">
        <v>3943</v>
      </c>
      <c r="B1352" s="97" t="s">
        <v>7252</v>
      </c>
      <c r="C1352" s="106">
        <v>12</v>
      </c>
      <c r="D1352" s="107">
        <v>153.12</v>
      </c>
      <c r="E1352" s="107">
        <v>6.28</v>
      </c>
      <c r="F1352" s="107">
        <v>9.42</v>
      </c>
    </row>
    <row r="1353" spans="1:6" x14ac:dyDescent="0.3">
      <c r="A1353" s="106" t="s">
        <v>5390</v>
      </c>
      <c r="B1353" s="97" t="s">
        <v>7253</v>
      </c>
      <c r="C1353" s="106">
        <v>12</v>
      </c>
      <c r="D1353" s="107">
        <v>7.04</v>
      </c>
      <c r="E1353" s="107">
        <v>0.17</v>
      </c>
      <c r="F1353" s="107">
        <v>0.31</v>
      </c>
    </row>
    <row r="1354" spans="1:6" x14ac:dyDescent="0.3">
      <c r="A1354" s="106" t="s">
        <v>5391</v>
      </c>
      <c r="B1354" s="97" t="s">
        <v>7254</v>
      </c>
      <c r="C1354" s="106">
        <v>12</v>
      </c>
      <c r="D1354" s="107">
        <v>44.24</v>
      </c>
      <c r="E1354" s="107">
        <v>-0.68</v>
      </c>
      <c r="F1354" s="107">
        <v>2.81</v>
      </c>
    </row>
    <row r="1355" spans="1:6" x14ac:dyDescent="0.3">
      <c r="A1355" s="106" t="s">
        <v>5392</v>
      </c>
      <c r="B1355" s="97" t="s">
        <v>7255</v>
      </c>
      <c r="C1355" s="106">
        <v>12</v>
      </c>
      <c r="D1355" s="107">
        <v>30.21</v>
      </c>
      <c r="E1355" s="107">
        <v>0.85</v>
      </c>
      <c r="F1355" s="107">
        <v>1.93</v>
      </c>
    </row>
    <row r="1356" spans="1:6" x14ac:dyDescent="0.3">
      <c r="A1356" s="106" t="s">
        <v>5393</v>
      </c>
      <c r="B1356" s="97" t="s">
        <v>7256</v>
      </c>
      <c r="C1356" s="106">
        <v>12</v>
      </c>
      <c r="D1356" s="107">
        <v>42.85</v>
      </c>
      <c r="E1356" s="107">
        <v>-2.83</v>
      </c>
      <c r="F1356" s="107">
        <v>0.33</v>
      </c>
    </row>
    <row r="1357" spans="1:6" x14ac:dyDescent="0.3">
      <c r="A1357" s="106" t="s">
        <v>5394</v>
      </c>
      <c r="B1357" s="97" t="s">
        <v>7257</v>
      </c>
      <c r="C1357" s="106">
        <v>12</v>
      </c>
      <c r="D1357" s="107">
        <v>4.97</v>
      </c>
      <c r="E1357" s="107">
        <v>-1.48</v>
      </c>
      <c r="F1357" s="107">
        <v>-0.64</v>
      </c>
    </row>
    <row r="1358" spans="1:6" x14ac:dyDescent="0.3">
      <c r="A1358" s="106" t="s">
        <v>5395</v>
      </c>
      <c r="B1358" s="97" t="s">
        <v>7258</v>
      </c>
      <c r="C1358" s="106">
        <v>12</v>
      </c>
      <c r="D1358" s="107">
        <v>58.34</v>
      </c>
      <c r="E1358" s="107">
        <v>4.68</v>
      </c>
      <c r="F1358" s="107">
        <v>1.92</v>
      </c>
    </row>
    <row r="1359" spans="1:6" x14ac:dyDescent="0.3">
      <c r="A1359" s="106" t="s">
        <v>3944</v>
      </c>
      <c r="B1359" s="97" t="s">
        <v>7259</v>
      </c>
      <c r="C1359" s="106">
        <v>12</v>
      </c>
      <c r="D1359" s="107">
        <v>7155.65</v>
      </c>
      <c r="E1359" s="107">
        <v>179.46</v>
      </c>
      <c r="F1359" s="107">
        <v>55.18</v>
      </c>
    </row>
    <row r="1360" spans="1:6" x14ac:dyDescent="0.3">
      <c r="A1360" s="106" t="s">
        <v>5396</v>
      </c>
      <c r="B1360" s="97" t="s">
        <v>7260</v>
      </c>
      <c r="C1360" s="106">
        <v>12</v>
      </c>
      <c r="D1360" s="107">
        <v>14.19</v>
      </c>
      <c r="E1360" s="107">
        <v>-0.03</v>
      </c>
      <c r="F1360" s="107">
        <v>-0.04</v>
      </c>
    </row>
    <row r="1361" spans="1:6" x14ac:dyDescent="0.3">
      <c r="A1361" s="106" t="s">
        <v>5397</v>
      </c>
      <c r="B1361" s="97" t="s">
        <v>7261</v>
      </c>
      <c r="C1361" s="106">
        <v>12</v>
      </c>
      <c r="D1361" s="107">
        <v>52.93</v>
      </c>
      <c r="E1361" s="107">
        <v>0.05</v>
      </c>
      <c r="F1361" s="107">
        <v>0.86</v>
      </c>
    </row>
    <row r="1362" spans="1:6" x14ac:dyDescent="0.3">
      <c r="A1362" s="106" t="s">
        <v>3945</v>
      </c>
      <c r="B1362" s="97" t="s">
        <v>7262</v>
      </c>
      <c r="C1362" s="106">
        <v>12</v>
      </c>
      <c r="D1362" s="107">
        <v>357.29</v>
      </c>
      <c r="E1362" s="107">
        <v>20.85</v>
      </c>
      <c r="F1362" s="107">
        <v>22.57</v>
      </c>
    </row>
    <row r="1363" spans="1:6" x14ac:dyDescent="0.3">
      <c r="A1363" s="106" t="s">
        <v>5398</v>
      </c>
      <c r="B1363" s="97" t="s">
        <v>7263</v>
      </c>
      <c r="C1363" s="106">
        <v>12</v>
      </c>
      <c r="D1363" s="107">
        <v>50.87</v>
      </c>
      <c r="E1363" s="107">
        <v>0.62</v>
      </c>
      <c r="F1363" s="107">
        <v>0.81</v>
      </c>
    </row>
    <row r="1364" spans="1:6" x14ac:dyDescent="0.3">
      <c r="A1364" s="106" t="s">
        <v>5399</v>
      </c>
      <c r="B1364" s="97" t="s">
        <v>7264</v>
      </c>
      <c r="C1364" s="106">
        <v>12</v>
      </c>
      <c r="D1364" s="107">
        <v>32.409999999999997</v>
      </c>
      <c r="E1364" s="107">
        <v>0.14000000000000001</v>
      </c>
      <c r="F1364" s="107">
        <v>-1.24</v>
      </c>
    </row>
    <row r="1365" spans="1:6" x14ac:dyDescent="0.3">
      <c r="A1365" s="106" t="s">
        <v>5400</v>
      </c>
      <c r="B1365" s="97" t="s">
        <v>7265</v>
      </c>
      <c r="C1365" s="106">
        <v>12</v>
      </c>
      <c r="D1365" s="107">
        <v>100.61</v>
      </c>
      <c r="E1365" s="107">
        <v>1.61</v>
      </c>
      <c r="F1365" s="107">
        <v>-0.41</v>
      </c>
    </row>
    <row r="1366" spans="1:6" x14ac:dyDescent="0.3">
      <c r="A1366" s="106" t="s">
        <v>5401</v>
      </c>
      <c r="B1366" s="97" t="s">
        <v>7266</v>
      </c>
      <c r="C1366" s="106">
        <v>12</v>
      </c>
      <c r="D1366" s="107">
        <v>188.3</v>
      </c>
      <c r="E1366" s="107">
        <v>0.53</v>
      </c>
      <c r="F1366" s="107">
        <v>0.66</v>
      </c>
    </row>
    <row r="1367" spans="1:6" x14ac:dyDescent="0.3">
      <c r="A1367" s="106" t="s">
        <v>5402</v>
      </c>
      <c r="B1367" s="97" t="s">
        <v>7267</v>
      </c>
      <c r="C1367" s="106">
        <v>12</v>
      </c>
      <c r="D1367" s="107">
        <v>56.98</v>
      </c>
      <c r="E1367" s="107">
        <v>3.37</v>
      </c>
      <c r="F1367" s="107">
        <v>1.76</v>
      </c>
    </row>
    <row r="1368" spans="1:6" x14ac:dyDescent="0.3">
      <c r="A1368" s="106" t="s">
        <v>5403</v>
      </c>
      <c r="B1368" s="97" t="s">
        <v>7268</v>
      </c>
      <c r="C1368" s="106">
        <v>12</v>
      </c>
      <c r="D1368" s="107">
        <v>110.29</v>
      </c>
      <c r="E1368" s="107">
        <v>-4.88</v>
      </c>
      <c r="F1368" s="107">
        <v>2.8</v>
      </c>
    </row>
    <row r="1369" spans="1:6" x14ac:dyDescent="0.3">
      <c r="A1369" s="106" t="s">
        <v>5404</v>
      </c>
      <c r="B1369" s="97" t="s">
        <v>7269</v>
      </c>
      <c r="C1369" s="106">
        <v>12</v>
      </c>
      <c r="D1369" s="107">
        <v>26.18</v>
      </c>
      <c r="E1369" s="107">
        <v>0.06</v>
      </c>
      <c r="F1369" s="107">
        <v>0.18</v>
      </c>
    </row>
    <row r="1370" spans="1:6" x14ac:dyDescent="0.3">
      <c r="A1370" s="106" t="s">
        <v>5405</v>
      </c>
      <c r="B1370" s="97" t="s">
        <v>7270</v>
      </c>
      <c r="C1370" s="106">
        <v>12</v>
      </c>
      <c r="D1370" s="107">
        <v>62.4</v>
      </c>
      <c r="E1370" s="107">
        <v>1.93</v>
      </c>
      <c r="F1370" s="107">
        <v>2.0699999999999998</v>
      </c>
    </row>
    <row r="1371" spans="1:6" x14ac:dyDescent="0.3">
      <c r="A1371" s="106" t="s">
        <v>5406</v>
      </c>
      <c r="B1371" s="97" t="s">
        <v>7271</v>
      </c>
      <c r="C1371" s="106">
        <v>12</v>
      </c>
      <c r="D1371" s="107">
        <v>26.35</v>
      </c>
      <c r="E1371" s="107">
        <v>-4.74</v>
      </c>
      <c r="F1371" s="107">
        <v>-5.51</v>
      </c>
    </row>
    <row r="1372" spans="1:6" x14ac:dyDescent="0.3">
      <c r="A1372" s="106" t="s">
        <v>5407</v>
      </c>
      <c r="B1372" s="97" t="s">
        <v>7272</v>
      </c>
      <c r="C1372" s="106">
        <v>12</v>
      </c>
      <c r="D1372" s="107">
        <v>136.76</v>
      </c>
      <c r="E1372" s="107">
        <v>6.79</v>
      </c>
      <c r="F1372" s="107">
        <v>4.99</v>
      </c>
    </row>
    <row r="1373" spans="1:6" x14ac:dyDescent="0.3">
      <c r="A1373" s="106" t="s">
        <v>5408</v>
      </c>
      <c r="B1373" s="97" t="s">
        <v>7273</v>
      </c>
      <c r="C1373" s="106">
        <v>12</v>
      </c>
      <c r="D1373" s="107">
        <v>20.12</v>
      </c>
      <c r="E1373" s="107">
        <v>-0.31</v>
      </c>
      <c r="F1373" s="107">
        <v>1.86</v>
      </c>
    </row>
    <row r="1374" spans="1:6" x14ac:dyDescent="0.3">
      <c r="A1374" s="106" t="s">
        <v>5409</v>
      </c>
      <c r="B1374" s="97" t="s">
        <v>7274</v>
      </c>
      <c r="C1374" s="106">
        <v>12</v>
      </c>
      <c r="D1374" s="107">
        <v>348.74</v>
      </c>
      <c r="E1374" s="107">
        <v>7.76</v>
      </c>
      <c r="F1374" s="107">
        <v>17.34</v>
      </c>
    </row>
    <row r="1375" spans="1:6" x14ac:dyDescent="0.3">
      <c r="A1375" s="106" t="s">
        <v>5410</v>
      </c>
      <c r="B1375" s="97" t="s">
        <v>7275</v>
      </c>
      <c r="C1375" s="106">
        <v>12</v>
      </c>
      <c r="D1375" s="107">
        <v>74.28</v>
      </c>
      <c r="E1375" s="107">
        <v>0.7</v>
      </c>
      <c r="F1375" s="107">
        <v>-3.22</v>
      </c>
    </row>
    <row r="1376" spans="1:6" x14ac:dyDescent="0.3">
      <c r="A1376" s="106" t="s">
        <v>5411</v>
      </c>
      <c r="B1376" s="97" t="s">
        <v>7276</v>
      </c>
      <c r="C1376" s="106">
        <v>12</v>
      </c>
      <c r="D1376" s="107">
        <v>57.52</v>
      </c>
      <c r="E1376" s="107">
        <v>1.1200000000000001</v>
      </c>
      <c r="F1376" s="107">
        <v>1.06</v>
      </c>
    </row>
    <row r="1377" spans="1:6" x14ac:dyDescent="0.3">
      <c r="A1377" s="106" t="s">
        <v>5412</v>
      </c>
      <c r="B1377" s="97" t="s">
        <v>7277</v>
      </c>
      <c r="C1377" s="106">
        <v>12</v>
      </c>
      <c r="D1377" s="107">
        <v>15.45</v>
      </c>
      <c r="E1377" s="107">
        <v>0.3</v>
      </c>
      <c r="F1377" s="107">
        <v>0.26</v>
      </c>
    </row>
    <row r="1378" spans="1:6" x14ac:dyDescent="0.3">
      <c r="A1378" s="106" t="s">
        <v>3946</v>
      </c>
      <c r="B1378" s="97" t="s">
        <v>7278</v>
      </c>
      <c r="C1378" s="106">
        <v>12</v>
      </c>
      <c r="D1378" s="107">
        <v>82.02</v>
      </c>
      <c r="E1378" s="107">
        <v>4.79</v>
      </c>
      <c r="F1378" s="107">
        <v>2.4500000000000002</v>
      </c>
    </row>
    <row r="1379" spans="1:6" x14ac:dyDescent="0.3">
      <c r="A1379" s="106" t="s">
        <v>5413</v>
      </c>
      <c r="B1379" s="97" t="s">
        <v>7279</v>
      </c>
      <c r="C1379" s="106">
        <v>12</v>
      </c>
      <c r="D1379" s="107">
        <v>22.84</v>
      </c>
      <c r="E1379" s="107">
        <v>0.36</v>
      </c>
      <c r="F1379" s="107">
        <v>0.37</v>
      </c>
    </row>
    <row r="1380" spans="1:6" x14ac:dyDescent="0.3">
      <c r="A1380" s="106" t="s">
        <v>5414</v>
      </c>
      <c r="B1380" s="97" t="s">
        <v>7280</v>
      </c>
      <c r="C1380" s="106">
        <v>12</v>
      </c>
      <c r="D1380" s="107">
        <v>47.29</v>
      </c>
      <c r="E1380" s="107">
        <v>-1.64</v>
      </c>
      <c r="F1380" s="107">
        <v>-0.61</v>
      </c>
    </row>
    <row r="1381" spans="1:6" x14ac:dyDescent="0.3">
      <c r="A1381" s="106" t="s">
        <v>5415</v>
      </c>
      <c r="B1381" s="97" t="s">
        <v>7281</v>
      </c>
      <c r="C1381" s="106">
        <v>12</v>
      </c>
      <c r="D1381" s="107">
        <v>89.99</v>
      </c>
      <c r="E1381" s="107">
        <v>4.7699999999999996</v>
      </c>
      <c r="F1381" s="107">
        <v>3.77</v>
      </c>
    </row>
    <row r="1382" spans="1:6" x14ac:dyDescent="0.3">
      <c r="A1382" s="106" t="s">
        <v>5416</v>
      </c>
      <c r="B1382" s="97" t="s">
        <v>7282</v>
      </c>
      <c r="C1382" s="106">
        <v>12</v>
      </c>
      <c r="D1382" s="107">
        <v>51.5</v>
      </c>
      <c r="E1382" s="107">
        <v>-0.78</v>
      </c>
      <c r="F1382" s="107">
        <v>-1.53</v>
      </c>
    </row>
    <row r="1383" spans="1:6" x14ac:dyDescent="0.3">
      <c r="A1383" s="106" t="s">
        <v>5417</v>
      </c>
      <c r="B1383" s="97" t="s">
        <v>7283</v>
      </c>
      <c r="C1383" s="106">
        <v>12</v>
      </c>
      <c r="D1383" s="107">
        <v>42.98</v>
      </c>
      <c r="E1383" s="107">
        <v>1.85</v>
      </c>
      <c r="F1383" s="107">
        <v>1.56</v>
      </c>
    </row>
    <row r="1384" spans="1:6" x14ac:dyDescent="0.3">
      <c r="A1384" s="106" t="s">
        <v>5418</v>
      </c>
      <c r="B1384" s="97" t="s">
        <v>7284</v>
      </c>
      <c r="C1384" s="106">
        <v>12</v>
      </c>
      <c r="D1384" s="107">
        <v>84.36</v>
      </c>
      <c r="E1384" s="107">
        <v>2.68</v>
      </c>
      <c r="F1384" s="107">
        <v>2.46</v>
      </c>
    </row>
    <row r="1385" spans="1:6" x14ac:dyDescent="0.3">
      <c r="A1385" s="106" t="s">
        <v>5419</v>
      </c>
      <c r="B1385" s="97" t="s">
        <v>7285</v>
      </c>
      <c r="C1385" s="106">
        <v>12</v>
      </c>
      <c r="D1385" s="107">
        <v>23.54</v>
      </c>
      <c r="E1385" s="107">
        <v>-1.22</v>
      </c>
      <c r="F1385" s="107">
        <v>-1.19</v>
      </c>
    </row>
    <row r="1386" spans="1:6" x14ac:dyDescent="0.3">
      <c r="A1386" s="106" t="s">
        <v>5420</v>
      </c>
      <c r="B1386" s="97" t="s">
        <v>7286</v>
      </c>
      <c r="C1386" s="106">
        <v>12</v>
      </c>
      <c r="D1386" s="107">
        <v>20.36</v>
      </c>
      <c r="E1386" s="107">
        <v>0.35</v>
      </c>
      <c r="F1386" s="107">
        <v>0.32</v>
      </c>
    </row>
    <row r="1387" spans="1:6" x14ac:dyDescent="0.3">
      <c r="A1387" s="106" t="s">
        <v>5421</v>
      </c>
      <c r="B1387" s="97" t="s">
        <v>7287</v>
      </c>
      <c r="C1387" s="106">
        <v>12</v>
      </c>
      <c r="D1387" s="107">
        <v>20.36</v>
      </c>
      <c r="E1387" s="107">
        <v>0.35</v>
      </c>
      <c r="F1387" s="107">
        <v>0.32</v>
      </c>
    </row>
    <row r="1388" spans="1:6" x14ac:dyDescent="0.3">
      <c r="A1388" s="106" t="s">
        <v>5422</v>
      </c>
      <c r="B1388" s="97" t="s">
        <v>7288</v>
      </c>
      <c r="C1388" s="106">
        <v>12</v>
      </c>
      <c r="D1388" s="107">
        <v>20.36</v>
      </c>
      <c r="E1388" s="107">
        <v>0.35</v>
      </c>
      <c r="F1388" s="107">
        <v>0.32</v>
      </c>
    </row>
    <row r="1389" spans="1:6" x14ac:dyDescent="0.3">
      <c r="A1389" s="106" t="s">
        <v>5423</v>
      </c>
      <c r="B1389" s="97" t="s">
        <v>7289</v>
      </c>
      <c r="C1389" s="106">
        <v>12</v>
      </c>
      <c r="D1389" s="107">
        <v>68.56</v>
      </c>
      <c r="E1389" s="107">
        <v>2.41</v>
      </c>
      <c r="F1389" s="107">
        <v>2.95</v>
      </c>
    </row>
    <row r="1390" spans="1:6" x14ac:dyDescent="0.3">
      <c r="A1390" s="106" t="s">
        <v>5424</v>
      </c>
      <c r="B1390" s="97" t="s">
        <v>7290</v>
      </c>
      <c r="C1390" s="106">
        <v>12</v>
      </c>
      <c r="D1390" s="107">
        <v>52.99</v>
      </c>
      <c r="E1390" s="107">
        <v>0.95</v>
      </c>
      <c r="F1390" s="107">
        <v>1.22</v>
      </c>
    </row>
    <row r="1391" spans="1:6" x14ac:dyDescent="0.3">
      <c r="A1391" s="106" t="s">
        <v>5425</v>
      </c>
      <c r="B1391" s="97" t="s">
        <v>7291</v>
      </c>
      <c r="C1391" s="106">
        <v>12</v>
      </c>
      <c r="D1391" s="107">
        <v>7.95</v>
      </c>
      <c r="E1391" s="107">
        <v>0.13</v>
      </c>
      <c r="F1391" s="107">
        <v>0.14000000000000001</v>
      </c>
    </row>
    <row r="1392" spans="1:6" x14ac:dyDescent="0.3">
      <c r="A1392" s="106" t="s">
        <v>5426</v>
      </c>
      <c r="B1392" s="97" t="s">
        <v>7292</v>
      </c>
      <c r="C1392" s="106">
        <v>12</v>
      </c>
      <c r="D1392" s="107">
        <v>7.94</v>
      </c>
      <c r="E1392" s="107">
        <v>0.13</v>
      </c>
      <c r="F1392" s="107">
        <v>0.14000000000000001</v>
      </c>
    </row>
    <row r="1393" spans="1:6" x14ac:dyDescent="0.3">
      <c r="A1393" s="106" t="s">
        <v>5427</v>
      </c>
      <c r="B1393" s="97" t="s">
        <v>7293</v>
      </c>
      <c r="C1393" s="106">
        <v>12</v>
      </c>
      <c r="D1393" s="107">
        <v>5.24</v>
      </c>
      <c r="E1393" s="107">
        <v>0.09</v>
      </c>
      <c r="F1393" s="107">
        <v>0.1</v>
      </c>
    </row>
    <row r="1394" spans="1:6" x14ac:dyDescent="0.3">
      <c r="A1394" s="106" t="s">
        <v>5428</v>
      </c>
      <c r="B1394" s="97" t="s">
        <v>7294</v>
      </c>
      <c r="C1394" s="106">
        <v>12</v>
      </c>
      <c r="D1394" s="107">
        <v>22.33</v>
      </c>
      <c r="E1394" s="107">
        <v>-1.45</v>
      </c>
      <c r="F1394" s="107">
        <v>0.42</v>
      </c>
    </row>
    <row r="1395" spans="1:6" x14ac:dyDescent="0.3">
      <c r="A1395" s="106" t="s">
        <v>5429</v>
      </c>
      <c r="B1395" s="97" t="s">
        <v>7295</v>
      </c>
      <c r="C1395" s="106">
        <v>12</v>
      </c>
      <c r="D1395" s="107">
        <v>60.01</v>
      </c>
      <c r="E1395" s="107">
        <v>-0.23</v>
      </c>
      <c r="F1395" s="107">
        <v>0.26</v>
      </c>
    </row>
    <row r="1396" spans="1:6" x14ac:dyDescent="0.3">
      <c r="A1396" s="106" t="s">
        <v>3947</v>
      </c>
      <c r="B1396" s="97" t="s">
        <v>7296</v>
      </c>
      <c r="C1396" s="106">
        <v>12</v>
      </c>
      <c r="D1396" s="107">
        <v>425.42</v>
      </c>
      <c r="E1396" s="107">
        <v>21.71</v>
      </c>
      <c r="F1396" s="107">
        <v>26.58</v>
      </c>
    </row>
    <row r="1397" spans="1:6" x14ac:dyDescent="0.3">
      <c r="A1397" s="106" t="s">
        <v>5430</v>
      </c>
      <c r="B1397" s="97" t="s">
        <v>7297</v>
      </c>
      <c r="C1397" s="106">
        <v>12</v>
      </c>
      <c r="D1397" s="107">
        <v>10.38</v>
      </c>
      <c r="E1397" s="107">
        <v>0.18</v>
      </c>
      <c r="F1397" s="107">
        <v>0.19</v>
      </c>
    </row>
    <row r="1398" spans="1:6" x14ac:dyDescent="0.3">
      <c r="A1398" s="106" t="s">
        <v>5431</v>
      </c>
      <c r="B1398" s="97" t="s">
        <v>7298</v>
      </c>
      <c r="C1398" s="106">
        <v>2</v>
      </c>
      <c r="D1398" s="107">
        <v>13.36</v>
      </c>
      <c r="E1398" s="107">
        <v>0.2</v>
      </c>
      <c r="F1398" s="107">
        <v>0.2</v>
      </c>
    </row>
    <row r="1399" spans="1:6" x14ac:dyDescent="0.3">
      <c r="A1399" s="106" t="s">
        <v>5432</v>
      </c>
      <c r="B1399" s="97" t="s">
        <v>7299</v>
      </c>
      <c r="C1399" s="106">
        <v>12</v>
      </c>
      <c r="D1399" s="107">
        <v>32.880000000000003</v>
      </c>
      <c r="E1399" s="107">
        <v>0.28999999999999998</v>
      </c>
      <c r="F1399" s="107">
        <v>0.66</v>
      </c>
    </row>
    <row r="1400" spans="1:6" x14ac:dyDescent="0.3">
      <c r="A1400" s="106" t="s">
        <v>5433</v>
      </c>
      <c r="B1400" s="97" t="s">
        <v>7300</v>
      </c>
      <c r="C1400" s="106">
        <v>12</v>
      </c>
      <c r="D1400" s="107">
        <v>94.95</v>
      </c>
      <c r="E1400" s="107">
        <v>6.93</v>
      </c>
      <c r="F1400" s="107">
        <v>5.05</v>
      </c>
    </row>
    <row r="1401" spans="1:6" x14ac:dyDescent="0.3">
      <c r="A1401" s="106" t="s">
        <v>5434</v>
      </c>
      <c r="B1401" s="97" t="s">
        <v>7301</v>
      </c>
      <c r="C1401" s="106">
        <v>12</v>
      </c>
      <c r="D1401" s="107">
        <v>14.64</v>
      </c>
      <c r="E1401" s="107">
        <v>0.23</v>
      </c>
      <c r="F1401" s="107">
        <v>0.23</v>
      </c>
    </row>
    <row r="1402" spans="1:6" x14ac:dyDescent="0.3">
      <c r="A1402" s="106" t="s">
        <v>5435</v>
      </c>
      <c r="B1402" s="97" t="s">
        <v>7302</v>
      </c>
      <c r="C1402" s="106">
        <v>12</v>
      </c>
      <c r="D1402" s="107">
        <v>14.64</v>
      </c>
      <c r="E1402" s="107">
        <v>0.23</v>
      </c>
      <c r="F1402" s="107">
        <v>0.23</v>
      </c>
    </row>
    <row r="1403" spans="1:6" x14ac:dyDescent="0.3">
      <c r="A1403" s="106" t="s">
        <v>5436</v>
      </c>
      <c r="B1403" s="97" t="s">
        <v>7303</v>
      </c>
      <c r="C1403" s="106">
        <v>12</v>
      </c>
      <c r="D1403" s="107">
        <v>14.64</v>
      </c>
      <c r="E1403" s="107">
        <v>0.23</v>
      </c>
      <c r="F1403" s="107">
        <v>0.23</v>
      </c>
    </row>
    <row r="1404" spans="1:6" x14ac:dyDescent="0.3">
      <c r="A1404" s="106" t="s">
        <v>5437</v>
      </c>
      <c r="B1404" s="97" t="s">
        <v>7304</v>
      </c>
      <c r="C1404" s="106">
        <v>12</v>
      </c>
      <c r="D1404" s="107">
        <v>79.349999999999994</v>
      </c>
      <c r="E1404" s="107">
        <v>-4.1500000000000004</v>
      </c>
      <c r="F1404" s="107">
        <v>2.11</v>
      </c>
    </row>
    <row r="1405" spans="1:6" x14ac:dyDescent="0.3">
      <c r="A1405" s="106" t="s">
        <v>5438</v>
      </c>
      <c r="B1405" s="97" t="s">
        <v>7305</v>
      </c>
      <c r="C1405" s="106">
        <v>12</v>
      </c>
      <c r="D1405" s="107">
        <v>25.19</v>
      </c>
      <c r="E1405" s="107">
        <v>-0.32</v>
      </c>
      <c r="F1405" s="107">
        <v>-0.6</v>
      </c>
    </row>
    <row r="1406" spans="1:6" x14ac:dyDescent="0.3">
      <c r="A1406" s="106" t="s">
        <v>5439</v>
      </c>
      <c r="B1406" s="97" t="s">
        <v>7306</v>
      </c>
      <c r="C1406" s="106">
        <v>3</v>
      </c>
      <c r="D1406" s="107">
        <v>1610.65</v>
      </c>
      <c r="E1406" s="107">
        <v>66.33</v>
      </c>
      <c r="F1406" s="107">
        <v>41.4</v>
      </c>
    </row>
    <row r="1407" spans="1:6" x14ac:dyDescent="0.3">
      <c r="A1407" s="106" t="s">
        <v>5440</v>
      </c>
      <c r="B1407" s="97" t="s">
        <v>7307</v>
      </c>
      <c r="C1407" s="106">
        <v>12</v>
      </c>
      <c r="D1407" s="107">
        <v>33.229999999999997</v>
      </c>
      <c r="E1407" s="107">
        <v>0.7</v>
      </c>
      <c r="F1407" s="107">
        <v>1.61</v>
      </c>
    </row>
    <row r="1408" spans="1:6" x14ac:dyDescent="0.3">
      <c r="A1408" s="106" t="s">
        <v>5441</v>
      </c>
      <c r="B1408" s="97" t="s">
        <v>7308</v>
      </c>
      <c r="C1408" s="106">
        <v>12</v>
      </c>
      <c r="D1408" s="107">
        <v>757.27</v>
      </c>
      <c r="E1408" s="107">
        <v>6.08</v>
      </c>
      <c r="F1408" s="107">
        <v>41.03</v>
      </c>
    </row>
    <row r="1409" spans="1:6" x14ac:dyDescent="0.3">
      <c r="A1409" s="106" t="s">
        <v>5442</v>
      </c>
      <c r="B1409" s="97" t="s">
        <v>7309</v>
      </c>
      <c r="C1409" s="106">
        <v>12</v>
      </c>
      <c r="D1409" s="107">
        <v>28.62</v>
      </c>
      <c r="E1409" s="107">
        <v>0.47</v>
      </c>
      <c r="F1409" s="107">
        <v>2.0499999999999998</v>
      </c>
    </row>
    <row r="1410" spans="1:6" x14ac:dyDescent="0.3">
      <c r="A1410" s="106" t="s">
        <v>5443</v>
      </c>
      <c r="B1410" s="97" t="s">
        <v>7310</v>
      </c>
      <c r="C1410" s="106">
        <v>12</v>
      </c>
      <c r="D1410" s="107">
        <v>300.29000000000002</v>
      </c>
      <c r="E1410" s="107">
        <v>3.88</v>
      </c>
      <c r="F1410" s="107">
        <v>8.0500000000000007</v>
      </c>
    </row>
    <row r="1411" spans="1:6" x14ac:dyDescent="0.3">
      <c r="A1411" s="106" t="s">
        <v>5444</v>
      </c>
      <c r="B1411" s="97" t="s">
        <v>7311</v>
      </c>
      <c r="C1411" s="106">
        <v>3</v>
      </c>
      <c r="D1411" s="107">
        <v>60.25</v>
      </c>
      <c r="E1411" s="107">
        <v>1.58</v>
      </c>
      <c r="F1411" s="107">
        <v>1.8</v>
      </c>
    </row>
    <row r="1412" spans="1:6" x14ac:dyDescent="0.3">
      <c r="A1412" s="106" t="s">
        <v>5445</v>
      </c>
      <c r="B1412" s="97" t="s">
        <v>7312</v>
      </c>
      <c r="C1412" s="106">
        <v>12</v>
      </c>
      <c r="D1412" s="107">
        <v>29.47</v>
      </c>
      <c r="E1412" s="107">
        <v>1.1100000000000001</v>
      </c>
      <c r="F1412" s="107">
        <v>1.05</v>
      </c>
    </row>
    <row r="1413" spans="1:6" x14ac:dyDescent="0.3">
      <c r="A1413" s="106" t="s">
        <v>5446</v>
      </c>
      <c r="B1413" s="97" t="s">
        <v>7313</v>
      </c>
      <c r="C1413" s="106">
        <v>12</v>
      </c>
      <c r="D1413" s="107">
        <v>56.02</v>
      </c>
      <c r="E1413" s="107">
        <v>0.46</v>
      </c>
      <c r="F1413" s="107">
        <v>2.36</v>
      </c>
    </row>
    <row r="1414" spans="1:6" x14ac:dyDescent="0.3">
      <c r="A1414" s="106" t="s">
        <v>5447</v>
      </c>
      <c r="B1414" s="97" t="s">
        <v>7314</v>
      </c>
      <c r="C1414" s="106">
        <v>12</v>
      </c>
      <c r="D1414" s="107">
        <v>7.93</v>
      </c>
      <c r="E1414" s="107">
        <v>0.12</v>
      </c>
      <c r="F1414" s="107">
        <v>0.12</v>
      </c>
    </row>
    <row r="1415" spans="1:6" x14ac:dyDescent="0.3">
      <c r="A1415" s="106" t="s">
        <v>5448</v>
      </c>
      <c r="B1415" s="97" t="s">
        <v>7315</v>
      </c>
      <c r="C1415" s="106">
        <v>12</v>
      </c>
      <c r="D1415" s="107">
        <v>7.93</v>
      </c>
      <c r="E1415" s="107">
        <v>0.12</v>
      </c>
      <c r="F1415" s="107">
        <v>0.12</v>
      </c>
    </row>
    <row r="1416" spans="1:6" x14ac:dyDescent="0.3">
      <c r="A1416" s="106" t="s">
        <v>5449</v>
      </c>
      <c r="B1416" s="97" t="s">
        <v>7316</v>
      </c>
      <c r="C1416" s="106">
        <v>12</v>
      </c>
      <c r="D1416" s="107">
        <v>7.93</v>
      </c>
      <c r="E1416" s="107">
        <v>0.12</v>
      </c>
      <c r="F1416" s="107">
        <v>0.12</v>
      </c>
    </row>
    <row r="1417" spans="1:6" x14ac:dyDescent="0.3">
      <c r="A1417" s="106" t="s">
        <v>5450</v>
      </c>
      <c r="B1417" s="97" t="s">
        <v>7317</v>
      </c>
      <c r="C1417" s="106">
        <v>12</v>
      </c>
      <c r="D1417" s="107">
        <v>7.93</v>
      </c>
      <c r="E1417" s="107">
        <v>0.12</v>
      </c>
      <c r="F1417" s="107">
        <v>0.12</v>
      </c>
    </row>
    <row r="1418" spans="1:6" x14ac:dyDescent="0.3">
      <c r="A1418" s="106" t="s">
        <v>5451</v>
      </c>
      <c r="B1418" s="97" t="s">
        <v>7318</v>
      </c>
      <c r="C1418" s="106">
        <v>12</v>
      </c>
      <c r="D1418" s="107">
        <v>7.93</v>
      </c>
      <c r="E1418" s="107">
        <v>0.12</v>
      </c>
      <c r="F1418" s="107">
        <v>0.12</v>
      </c>
    </row>
    <row r="1419" spans="1:6" x14ac:dyDescent="0.3">
      <c r="A1419" s="106" t="s">
        <v>5452</v>
      </c>
      <c r="B1419" s="97" t="s">
        <v>7319</v>
      </c>
      <c r="C1419" s="106">
        <v>12</v>
      </c>
      <c r="D1419" s="107">
        <v>98.62</v>
      </c>
      <c r="E1419" s="107">
        <v>2.21</v>
      </c>
      <c r="F1419" s="107">
        <v>3.23</v>
      </c>
    </row>
    <row r="1420" spans="1:6" x14ac:dyDescent="0.3">
      <c r="A1420" s="106" t="s">
        <v>5453</v>
      </c>
      <c r="B1420" s="97" t="s">
        <v>7320</v>
      </c>
      <c r="C1420" s="106">
        <v>12</v>
      </c>
      <c r="D1420" s="107">
        <v>37.75</v>
      </c>
      <c r="E1420" s="107">
        <v>1.22</v>
      </c>
      <c r="F1420" s="107">
        <v>0.48</v>
      </c>
    </row>
    <row r="1421" spans="1:6" x14ac:dyDescent="0.3">
      <c r="A1421" s="106" t="s">
        <v>5454</v>
      </c>
      <c r="B1421" s="97" t="s">
        <v>7321</v>
      </c>
      <c r="C1421" s="106">
        <v>12</v>
      </c>
      <c r="D1421" s="107">
        <v>25.32</v>
      </c>
      <c r="E1421" s="107">
        <v>0.67</v>
      </c>
      <c r="F1421" s="107">
        <v>1.22</v>
      </c>
    </row>
    <row r="1422" spans="1:6" x14ac:dyDescent="0.3">
      <c r="A1422" s="106" t="s">
        <v>5455</v>
      </c>
      <c r="B1422" s="97" t="s">
        <v>7322</v>
      </c>
      <c r="C1422" s="106">
        <v>12</v>
      </c>
      <c r="D1422" s="107">
        <v>63.62</v>
      </c>
      <c r="E1422" s="107">
        <v>1.17</v>
      </c>
      <c r="F1422" s="107">
        <v>0.56000000000000005</v>
      </c>
    </row>
    <row r="1423" spans="1:6" x14ac:dyDescent="0.3">
      <c r="A1423" s="106" t="s">
        <v>5456</v>
      </c>
      <c r="B1423" s="97" t="s">
        <v>7323</v>
      </c>
      <c r="C1423" s="106">
        <v>5</v>
      </c>
      <c r="D1423" s="107">
        <v>13.03</v>
      </c>
      <c r="E1423" s="107">
        <v>0.19</v>
      </c>
      <c r="F1423" s="107">
        <v>0.2</v>
      </c>
    </row>
    <row r="1424" spans="1:6" x14ac:dyDescent="0.3">
      <c r="A1424" s="106" t="s">
        <v>5457</v>
      </c>
      <c r="B1424" s="97" t="s">
        <v>7324</v>
      </c>
      <c r="C1424" s="106">
        <v>6</v>
      </c>
      <c r="D1424" s="107">
        <v>13.02</v>
      </c>
      <c r="E1424" s="107">
        <v>0.19</v>
      </c>
      <c r="F1424" s="107">
        <v>0.19</v>
      </c>
    </row>
    <row r="1425" spans="1:6" x14ac:dyDescent="0.3">
      <c r="A1425" s="106" t="s">
        <v>5458</v>
      </c>
      <c r="B1425" s="97" t="s">
        <v>7325</v>
      </c>
      <c r="C1425" s="106">
        <v>6</v>
      </c>
      <c r="D1425" s="107">
        <v>13.02</v>
      </c>
      <c r="E1425" s="107">
        <v>0.19</v>
      </c>
      <c r="F1425" s="107">
        <v>0.2</v>
      </c>
    </row>
    <row r="1426" spans="1:6" x14ac:dyDescent="0.3">
      <c r="A1426" s="106" t="s">
        <v>5459</v>
      </c>
      <c r="B1426" s="97" t="s">
        <v>7326</v>
      </c>
      <c r="C1426" s="106">
        <v>5</v>
      </c>
      <c r="D1426" s="107">
        <v>13.03</v>
      </c>
      <c r="E1426" s="107">
        <v>0.19</v>
      </c>
      <c r="F1426" s="107">
        <v>0.2</v>
      </c>
    </row>
    <row r="1427" spans="1:6" x14ac:dyDescent="0.3">
      <c r="A1427" s="106" t="s">
        <v>5460</v>
      </c>
      <c r="B1427" s="97" t="s">
        <v>7327</v>
      </c>
      <c r="C1427" s="106">
        <v>9</v>
      </c>
      <c r="D1427" s="107">
        <v>9.73</v>
      </c>
      <c r="E1427" s="107">
        <v>0.14000000000000001</v>
      </c>
      <c r="F1427" s="107">
        <v>0.14000000000000001</v>
      </c>
    </row>
    <row r="1428" spans="1:6" x14ac:dyDescent="0.3">
      <c r="A1428" s="106" t="s">
        <v>5461</v>
      </c>
      <c r="B1428" s="97" t="s">
        <v>7328</v>
      </c>
      <c r="C1428" s="106">
        <v>8</v>
      </c>
      <c r="D1428" s="107">
        <v>9.74</v>
      </c>
      <c r="E1428" s="107">
        <v>0.14000000000000001</v>
      </c>
      <c r="F1428" s="107">
        <v>0.14000000000000001</v>
      </c>
    </row>
    <row r="1429" spans="1:6" x14ac:dyDescent="0.3">
      <c r="A1429" s="106" t="s">
        <v>5462</v>
      </c>
      <c r="B1429" s="97" t="s">
        <v>7329</v>
      </c>
      <c r="C1429" s="106">
        <v>12</v>
      </c>
      <c r="D1429" s="107">
        <v>28.03</v>
      </c>
      <c r="E1429" s="107">
        <v>1.02</v>
      </c>
      <c r="F1429" s="107">
        <v>0.81</v>
      </c>
    </row>
    <row r="1430" spans="1:6" x14ac:dyDescent="0.3">
      <c r="A1430" s="106" t="s">
        <v>3948</v>
      </c>
      <c r="B1430" s="97" t="s">
        <v>7330</v>
      </c>
      <c r="C1430" s="106">
        <v>12</v>
      </c>
      <c r="D1430" s="107">
        <v>144.28</v>
      </c>
      <c r="E1430" s="107">
        <v>6.62</v>
      </c>
      <c r="F1430" s="107">
        <v>7.23</v>
      </c>
    </row>
    <row r="1431" spans="1:6" x14ac:dyDescent="0.3">
      <c r="A1431" s="106" t="s">
        <v>5463</v>
      </c>
      <c r="B1431" s="97" t="s">
        <v>7331</v>
      </c>
      <c r="C1431" s="106">
        <v>12</v>
      </c>
      <c r="D1431" s="107">
        <v>8.26</v>
      </c>
      <c r="E1431" s="107">
        <v>-0.47</v>
      </c>
      <c r="F1431" s="107">
        <v>0.26</v>
      </c>
    </row>
    <row r="1432" spans="1:6" x14ac:dyDescent="0.3">
      <c r="A1432" s="106" t="s">
        <v>5464</v>
      </c>
      <c r="B1432" s="97" t="s">
        <v>7332</v>
      </c>
      <c r="C1432" s="106">
        <v>12</v>
      </c>
      <c r="D1432" s="107">
        <v>22.07</v>
      </c>
      <c r="E1432" s="107">
        <v>-1.99</v>
      </c>
      <c r="F1432" s="107">
        <v>-2.1800000000000002</v>
      </c>
    </row>
    <row r="1433" spans="1:6" x14ac:dyDescent="0.3">
      <c r="A1433" s="106" t="s">
        <v>5465</v>
      </c>
      <c r="B1433" s="97" t="s">
        <v>7333</v>
      </c>
      <c r="C1433" s="106">
        <v>12</v>
      </c>
      <c r="D1433" s="107">
        <v>85.09</v>
      </c>
      <c r="E1433" s="107">
        <v>-1.32</v>
      </c>
      <c r="F1433" s="107">
        <v>1.64</v>
      </c>
    </row>
    <row r="1434" spans="1:6" x14ac:dyDescent="0.3">
      <c r="A1434" s="106" t="s">
        <v>5466</v>
      </c>
      <c r="B1434" s="97" t="s">
        <v>7334</v>
      </c>
      <c r="C1434" s="106">
        <v>12</v>
      </c>
      <c r="D1434" s="107">
        <v>361.69</v>
      </c>
      <c r="E1434" s="107">
        <v>1.71</v>
      </c>
      <c r="F1434" s="107">
        <v>8.51</v>
      </c>
    </row>
    <row r="1435" spans="1:6" x14ac:dyDescent="0.3">
      <c r="A1435" s="106" t="s">
        <v>5467</v>
      </c>
      <c r="B1435" s="97" t="s">
        <v>7335</v>
      </c>
      <c r="C1435" s="106">
        <v>12</v>
      </c>
      <c r="D1435" s="107">
        <v>101.1</v>
      </c>
      <c r="E1435" s="107">
        <v>5.54</v>
      </c>
      <c r="F1435" s="107">
        <v>3.54</v>
      </c>
    </row>
    <row r="1436" spans="1:6" x14ac:dyDescent="0.3">
      <c r="A1436" s="106" t="s">
        <v>5468</v>
      </c>
      <c r="B1436" s="97" t="s">
        <v>7336</v>
      </c>
      <c r="C1436" s="106">
        <v>12</v>
      </c>
      <c r="D1436" s="107">
        <v>22.44</v>
      </c>
      <c r="E1436" s="107">
        <v>0.37</v>
      </c>
      <c r="F1436" s="107">
        <v>1.18</v>
      </c>
    </row>
    <row r="1437" spans="1:6" x14ac:dyDescent="0.3">
      <c r="A1437" s="106" t="s">
        <v>3949</v>
      </c>
      <c r="B1437" s="97" t="s">
        <v>7337</v>
      </c>
      <c r="C1437" s="106">
        <v>12</v>
      </c>
      <c r="D1437" s="107">
        <v>128.94999999999999</v>
      </c>
      <c r="E1437" s="107">
        <v>6.75</v>
      </c>
      <c r="F1437" s="107">
        <v>26.88</v>
      </c>
    </row>
    <row r="1438" spans="1:6" x14ac:dyDescent="0.3">
      <c r="A1438" s="106" t="s">
        <v>5469</v>
      </c>
      <c r="B1438" s="97" t="s">
        <v>7338</v>
      </c>
      <c r="C1438" s="106">
        <v>12</v>
      </c>
      <c r="D1438" s="107">
        <v>110.8</v>
      </c>
      <c r="E1438" s="107">
        <v>3.36</v>
      </c>
      <c r="F1438" s="107">
        <v>4.03</v>
      </c>
    </row>
    <row r="1439" spans="1:6" x14ac:dyDescent="0.3">
      <c r="A1439" s="106" t="s">
        <v>5470</v>
      </c>
      <c r="B1439" s="97" t="s">
        <v>7339</v>
      </c>
      <c r="C1439" s="106">
        <v>12</v>
      </c>
      <c r="D1439" s="107">
        <v>70.38</v>
      </c>
      <c r="E1439" s="107">
        <v>-2.2599999999999998</v>
      </c>
      <c r="F1439" s="107">
        <v>1.51</v>
      </c>
    </row>
    <row r="1440" spans="1:6" x14ac:dyDescent="0.3">
      <c r="A1440" s="106" t="s">
        <v>5471</v>
      </c>
      <c r="B1440" s="97" t="s">
        <v>7340</v>
      </c>
      <c r="C1440" s="106">
        <v>12</v>
      </c>
      <c r="D1440" s="107">
        <v>845.45</v>
      </c>
      <c r="E1440" s="107">
        <v>36.869999999999997</v>
      </c>
      <c r="F1440" s="107">
        <v>-0.47</v>
      </c>
    </row>
    <row r="1441" spans="1:6" x14ac:dyDescent="0.3">
      <c r="A1441" s="106" t="s">
        <v>5472</v>
      </c>
      <c r="B1441" s="97" t="s">
        <v>7341</v>
      </c>
      <c r="C1441" s="106">
        <v>12</v>
      </c>
      <c r="D1441" s="107">
        <v>103.58</v>
      </c>
      <c r="E1441" s="107">
        <v>0.28999999999999998</v>
      </c>
      <c r="F1441" s="107">
        <v>1.22</v>
      </c>
    </row>
    <row r="1442" spans="1:6" x14ac:dyDescent="0.3">
      <c r="A1442" s="106" t="s">
        <v>3950</v>
      </c>
      <c r="B1442" s="97" t="s">
        <v>7342</v>
      </c>
      <c r="C1442" s="106">
        <v>12</v>
      </c>
      <c r="D1442" s="107">
        <v>214.26</v>
      </c>
      <c r="E1442" s="107">
        <v>12.89</v>
      </c>
      <c r="F1442" s="107">
        <v>5.55</v>
      </c>
    </row>
    <row r="1443" spans="1:6" x14ac:dyDescent="0.3">
      <c r="A1443" s="106" t="s">
        <v>5473</v>
      </c>
      <c r="B1443" s="97" t="s">
        <v>7343</v>
      </c>
      <c r="C1443" s="106">
        <v>12</v>
      </c>
      <c r="D1443" s="107">
        <v>64.5</v>
      </c>
      <c r="E1443" s="107">
        <v>-0.44</v>
      </c>
      <c r="F1443" s="107">
        <v>-0.78</v>
      </c>
    </row>
    <row r="1444" spans="1:6" x14ac:dyDescent="0.3">
      <c r="A1444" s="106" t="s">
        <v>5474</v>
      </c>
      <c r="B1444" s="97" t="s">
        <v>7344</v>
      </c>
      <c r="C1444" s="106">
        <v>12</v>
      </c>
      <c r="D1444" s="107">
        <v>155.15</v>
      </c>
      <c r="E1444" s="107">
        <v>4.0999999999999996</v>
      </c>
      <c r="F1444" s="107">
        <v>3.24</v>
      </c>
    </row>
    <row r="1445" spans="1:6" x14ac:dyDescent="0.3">
      <c r="A1445" s="106" t="s">
        <v>5475</v>
      </c>
      <c r="B1445" s="97" t="s">
        <v>7345</v>
      </c>
      <c r="C1445" s="106">
        <v>12</v>
      </c>
      <c r="D1445" s="107">
        <v>31.93</v>
      </c>
      <c r="E1445" s="107">
        <v>0.14000000000000001</v>
      </c>
      <c r="F1445" s="107">
        <v>0.04</v>
      </c>
    </row>
    <row r="1446" spans="1:6" x14ac:dyDescent="0.3">
      <c r="A1446" s="106" t="s">
        <v>5476</v>
      </c>
      <c r="B1446" s="97" t="s">
        <v>7346</v>
      </c>
      <c r="C1446" s="106">
        <v>12</v>
      </c>
      <c r="D1446" s="107">
        <v>364.05</v>
      </c>
      <c r="E1446" s="107">
        <v>6.67</v>
      </c>
      <c r="F1446" s="107">
        <v>1.68</v>
      </c>
    </row>
    <row r="1447" spans="1:6" x14ac:dyDescent="0.3">
      <c r="A1447" s="106" t="s">
        <v>5477</v>
      </c>
      <c r="B1447" s="97" t="s">
        <v>7347</v>
      </c>
      <c r="C1447" s="106">
        <v>12</v>
      </c>
      <c r="D1447" s="107">
        <v>38.369999999999997</v>
      </c>
      <c r="E1447" s="107">
        <v>0.2</v>
      </c>
      <c r="F1447" s="107">
        <v>1.45</v>
      </c>
    </row>
    <row r="1448" spans="1:6" x14ac:dyDescent="0.3">
      <c r="A1448" s="106" t="s">
        <v>5478</v>
      </c>
      <c r="B1448" s="97" t="s">
        <v>7348</v>
      </c>
      <c r="C1448" s="106">
        <v>12</v>
      </c>
      <c r="D1448" s="107">
        <v>59.02</v>
      </c>
      <c r="E1448" s="107">
        <v>1.1399999999999999</v>
      </c>
      <c r="F1448" s="107">
        <v>0.97</v>
      </c>
    </row>
    <row r="1449" spans="1:6" x14ac:dyDescent="0.3">
      <c r="A1449" s="106" t="s">
        <v>5479</v>
      </c>
      <c r="B1449" s="97" t="s">
        <v>7349</v>
      </c>
      <c r="C1449" s="106">
        <v>12</v>
      </c>
      <c r="D1449" s="107">
        <v>28.37</v>
      </c>
      <c r="E1449" s="107">
        <v>0.13</v>
      </c>
      <c r="F1449" s="107">
        <v>-0.46</v>
      </c>
    </row>
    <row r="1450" spans="1:6" x14ac:dyDescent="0.3">
      <c r="A1450" s="106" t="s">
        <v>5480</v>
      </c>
      <c r="B1450" s="97" t="s">
        <v>7350</v>
      </c>
      <c r="C1450" s="106">
        <v>12</v>
      </c>
      <c r="D1450" s="107">
        <v>21.16</v>
      </c>
      <c r="E1450" s="107">
        <v>0.15</v>
      </c>
      <c r="F1450" s="107">
        <v>0.51</v>
      </c>
    </row>
    <row r="1451" spans="1:6" x14ac:dyDescent="0.3">
      <c r="A1451" s="106" t="s">
        <v>5481</v>
      </c>
      <c r="B1451" s="97" t="s">
        <v>7351</v>
      </c>
      <c r="C1451" s="106">
        <v>12</v>
      </c>
      <c r="D1451" s="107">
        <v>72.02</v>
      </c>
      <c r="E1451" s="107">
        <v>-0.86</v>
      </c>
      <c r="F1451" s="107">
        <v>-0.33</v>
      </c>
    </row>
    <row r="1452" spans="1:6" x14ac:dyDescent="0.3">
      <c r="A1452" s="106" t="s">
        <v>5482</v>
      </c>
      <c r="B1452" s="97" t="s">
        <v>7352</v>
      </c>
      <c r="C1452" s="106">
        <v>12</v>
      </c>
      <c r="D1452" s="107">
        <v>38.03</v>
      </c>
      <c r="E1452" s="107">
        <v>0.33</v>
      </c>
      <c r="F1452" s="107">
        <v>0.26</v>
      </c>
    </row>
    <row r="1453" spans="1:6" x14ac:dyDescent="0.3">
      <c r="A1453" s="106" t="s">
        <v>3951</v>
      </c>
      <c r="B1453" s="97" t="s">
        <v>7353</v>
      </c>
      <c r="C1453" s="106">
        <v>12</v>
      </c>
      <c r="D1453" s="107">
        <v>1989.4</v>
      </c>
      <c r="E1453" s="107">
        <v>140.05000000000001</v>
      </c>
      <c r="F1453" s="107">
        <v>121.81</v>
      </c>
    </row>
    <row r="1454" spans="1:6" x14ac:dyDescent="0.3">
      <c r="A1454" s="106" t="s">
        <v>5483</v>
      </c>
      <c r="B1454" s="97" t="s">
        <v>7354</v>
      </c>
      <c r="C1454" s="106">
        <v>12</v>
      </c>
      <c r="D1454" s="107">
        <v>33.92</v>
      </c>
      <c r="E1454" s="107">
        <v>-2.6</v>
      </c>
      <c r="F1454" s="107">
        <v>3.3</v>
      </c>
    </row>
    <row r="1455" spans="1:6" x14ac:dyDescent="0.3">
      <c r="A1455" s="106" t="s">
        <v>5484</v>
      </c>
      <c r="B1455" s="97" t="s">
        <v>7355</v>
      </c>
      <c r="C1455" s="106">
        <v>12</v>
      </c>
      <c r="D1455" s="107">
        <v>149.61000000000001</v>
      </c>
      <c r="E1455" s="107">
        <v>6.11</v>
      </c>
      <c r="F1455" s="107">
        <v>3.92</v>
      </c>
    </row>
    <row r="1456" spans="1:6" x14ac:dyDescent="0.3">
      <c r="A1456" s="106" t="s">
        <v>5485</v>
      </c>
      <c r="B1456" s="97" t="s">
        <v>7356</v>
      </c>
      <c r="C1456" s="106">
        <v>12</v>
      </c>
      <c r="D1456" s="107">
        <v>74.19</v>
      </c>
      <c r="E1456" s="107">
        <v>1.23</v>
      </c>
      <c r="F1456" s="107">
        <v>2.93</v>
      </c>
    </row>
    <row r="1457" spans="1:6" x14ac:dyDescent="0.3">
      <c r="A1457" s="106" t="s">
        <v>5486</v>
      </c>
      <c r="B1457" s="97" t="s">
        <v>7357</v>
      </c>
      <c r="C1457" s="106">
        <v>12</v>
      </c>
      <c r="D1457" s="107">
        <v>44.44</v>
      </c>
      <c r="E1457" s="107">
        <v>0.64</v>
      </c>
      <c r="F1457" s="107">
        <v>1.34</v>
      </c>
    </row>
    <row r="1458" spans="1:6" x14ac:dyDescent="0.3">
      <c r="A1458" s="106" t="s">
        <v>3952</v>
      </c>
      <c r="B1458" s="97" t="s">
        <v>7358</v>
      </c>
      <c r="C1458" s="106">
        <v>12</v>
      </c>
      <c r="D1458" s="107">
        <v>20250.580000000002</v>
      </c>
      <c r="E1458" s="107">
        <v>367.14</v>
      </c>
      <c r="F1458" s="107">
        <v>386.53</v>
      </c>
    </row>
    <row r="1459" spans="1:6" x14ac:dyDescent="0.3">
      <c r="A1459" s="106" t="s">
        <v>5487</v>
      </c>
      <c r="B1459" s="97" t="s">
        <v>7359</v>
      </c>
      <c r="C1459" s="106">
        <v>12</v>
      </c>
      <c r="D1459" s="107">
        <v>33.58</v>
      </c>
      <c r="E1459" s="107">
        <v>-5.55</v>
      </c>
      <c r="F1459" s="107">
        <v>5.6</v>
      </c>
    </row>
    <row r="1460" spans="1:6" x14ac:dyDescent="0.3">
      <c r="A1460" s="106" t="s">
        <v>5488</v>
      </c>
      <c r="B1460" s="97" t="s">
        <v>7360</v>
      </c>
      <c r="C1460" s="106">
        <v>12</v>
      </c>
      <c r="D1460" s="107">
        <v>11.54</v>
      </c>
      <c r="E1460" s="107">
        <v>-2.44</v>
      </c>
      <c r="F1460" s="107">
        <v>-1.78</v>
      </c>
    </row>
    <row r="1461" spans="1:6" x14ac:dyDescent="0.3">
      <c r="A1461" s="106" t="s">
        <v>3953</v>
      </c>
      <c r="B1461" s="97" t="s">
        <v>7361</v>
      </c>
      <c r="C1461" s="106">
        <v>12</v>
      </c>
      <c r="D1461" s="107">
        <v>54.96</v>
      </c>
      <c r="E1461" s="107">
        <v>3.12</v>
      </c>
      <c r="F1461" s="107">
        <v>5.8</v>
      </c>
    </row>
    <row r="1462" spans="1:6" x14ac:dyDescent="0.3">
      <c r="A1462" s="106" t="s">
        <v>5489</v>
      </c>
      <c r="B1462" s="97" t="s">
        <v>7362</v>
      </c>
      <c r="C1462" s="106">
        <v>12</v>
      </c>
      <c r="D1462" s="107">
        <v>72.89</v>
      </c>
      <c r="E1462" s="107">
        <v>0.83</v>
      </c>
      <c r="F1462" s="107">
        <v>2.3199999999999998</v>
      </c>
    </row>
    <row r="1463" spans="1:6" x14ac:dyDescent="0.3">
      <c r="A1463" s="106" t="s">
        <v>5490</v>
      </c>
      <c r="B1463" s="97" t="s">
        <v>7363</v>
      </c>
      <c r="C1463" s="106">
        <v>12</v>
      </c>
      <c r="D1463" s="107">
        <v>104.01</v>
      </c>
      <c r="E1463" s="107">
        <v>3.55</v>
      </c>
      <c r="F1463" s="107">
        <v>-0.37</v>
      </c>
    </row>
    <row r="1464" spans="1:6" x14ac:dyDescent="0.3">
      <c r="A1464" s="106" t="s">
        <v>5491</v>
      </c>
      <c r="B1464" s="97" t="s">
        <v>7364</v>
      </c>
      <c r="C1464" s="106">
        <v>12</v>
      </c>
      <c r="D1464" s="107">
        <v>122.62</v>
      </c>
      <c r="E1464" s="107">
        <v>0.33</v>
      </c>
      <c r="F1464" s="107">
        <v>4.5199999999999996</v>
      </c>
    </row>
    <row r="1465" spans="1:6" x14ac:dyDescent="0.3">
      <c r="A1465" s="106" t="s">
        <v>5492</v>
      </c>
      <c r="B1465" s="97" t="s">
        <v>7365</v>
      </c>
      <c r="C1465" s="106">
        <v>12</v>
      </c>
      <c r="D1465" s="107">
        <v>8.9</v>
      </c>
      <c r="E1465" s="107">
        <v>0.5</v>
      </c>
      <c r="F1465" s="107">
        <v>0.52</v>
      </c>
    </row>
    <row r="1466" spans="1:6" x14ac:dyDescent="0.3">
      <c r="A1466" s="106" t="s">
        <v>5493</v>
      </c>
      <c r="B1466" s="97" t="s">
        <v>7366</v>
      </c>
      <c r="C1466" s="106">
        <v>12</v>
      </c>
      <c r="D1466" s="107">
        <v>58.79</v>
      </c>
      <c r="E1466" s="107">
        <v>1.41</v>
      </c>
      <c r="F1466" s="107">
        <v>0.93</v>
      </c>
    </row>
    <row r="1467" spans="1:6" x14ac:dyDescent="0.3">
      <c r="A1467" s="106" t="s">
        <v>5494</v>
      </c>
      <c r="B1467" s="97" t="s">
        <v>7367</v>
      </c>
      <c r="C1467" s="106">
        <v>12</v>
      </c>
      <c r="D1467" s="107">
        <v>12.68</v>
      </c>
      <c r="E1467" s="107">
        <v>-0.15</v>
      </c>
      <c r="F1467" s="107">
        <v>0.02</v>
      </c>
    </row>
    <row r="1468" spans="1:6" x14ac:dyDescent="0.3">
      <c r="A1468" s="106" t="s">
        <v>5495</v>
      </c>
      <c r="B1468" s="97" t="s">
        <v>7368</v>
      </c>
      <c r="C1468" s="106">
        <v>3</v>
      </c>
      <c r="D1468" s="107">
        <v>7048.29</v>
      </c>
      <c r="E1468" s="107">
        <v>80.59</v>
      </c>
      <c r="F1468" s="107">
        <v>172.03</v>
      </c>
    </row>
    <row r="1469" spans="1:6" x14ac:dyDescent="0.3">
      <c r="A1469" s="106" t="s">
        <v>3954</v>
      </c>
      <c r="B1469" s="97" t="s">
        <v>7369</v>
      </c>
      <c r="C1469" s="106">
        <v>12</v>
      </c>
      <c r="D1469" s="107">
        <v>82.66</v>
      </c>
      <c r="E1469" s="107">
        <v>6.38</v>
      </c>
      <c r="F1469" s="107">
        <v>4.07</v>
      </c>
    </row>
    <row r="1470" spans="1:6" x14ac:dyDescent="0.3">
      <c r="A1470" s="106" t="s">
        <v>5496</v>
      </c>
      <c r="B1470" s="97" t="s">
        <v>7370</v>
      </c>
      <c r="C1470" s="106">
        <v>12</v>
      </c>
      <c r="D1470" s="107"/>
      <c r="E1470" s="107"/>
      <c r="F1470" s="107">
        <v>-2.11</v>
      </c>
    </row>
    <row r="1471" spans="1:6" x14ac:dyDescent="0.3">
      <c r="A1471" s="106" t="s">
        <v>5497</v>
      </c>
      <c r="B1471" s="97" t="s">
        <v>7371</v>
      </c>
      <c r="C1471" s="106">
        <v>12</v>
      </c>
      <c r="D1471" s="107">
        <v>68.959999999999994</v>
      </c>
      <c r="E1471" s="107">
        <v>3.94</v>
      </c>
      <c r="F1471" s="107">
        <v>-1.96</v>
      </c>
    </row>
    <row r="1472" spans="1:6" x14ac:dyDescent="0.3">
      <c r="A1472" s="106" t="s">
        <v>5498</v>
      </c>
      <c r="B1472" s="97" t="s">
        <v>7372</v>
      </c>
      <c r="C1472" s="106">
        <v>12</v>
      </c>
      <c r="D1472" s="107">
        <v>95.69</v>
      </c>
      <c r="E1472" s="107">
        <v>-3.99</v>
      </c>
      <c r="F1472" s="107">
        <v>-0.49</v>
      </c>
    </row>
    <row r="1473" spans="1:6" x14ac:dyDescent="0.3">
      <c r="A1473" s="106" t="s">
        <v>5499</v>
      </c>
      <c r="B1473" s="97" t="s">
        <v>7373</v>
      </c>
      <c r="C1473" s="106">
        <v>12</v>
      </c>
      <c r="D1473" s="107">
        <v>114.71</v>
      </c>
      <c r="E1473" s="107">
        <v>2.99</v>
      </c>
      <c r="F1473" s="107">
        <v>-1.05</v>
      </c>
    </row>
    <row r="1474" spans="1:6" x14ac:dyDescent="0.3">
      <c r="A1474" s="106" t="s">
        <v>5500</v>
      </c>
      <c r="B1474" s="97" t="s">
        <v>7374</v>
      </c>
      <c r="C1474" s="106">
        <v>12</v>
      </c>
      <c r="D1474" s="107"/>
      <c r="E1474" s="107"/>
      <c r="F1474" s="107"/>
    </row>
    <row r="1475" spans="1:6" x14ac:dyDescent="0.3">
      <c r="A1475" s="106" t="s">
        <v>5501</v>
      </c>
      <c r="B1475" s="97" t="s">
        <v>7375</v>
      </c>
      <c r="C1475" s="106">
        <v>12</v>
      </c>
      <c r="D1475" s="107">
        <v>79.489999999999995</v>
      </c>
      <c r="E1475" s="107">
        <v>6.2</v>
      </c>
      <c r="F1475" s="107">
        <v>4.34</v>
      </c>
    </row>
    <row r="1476" spans="1:6" x14ac:dyDescent="0.3">
      <c r="A1476" s="106" t="s">
        <v>3955</v>
      </c>
      <c r="B1476" s="97" t="s">
        <v>7376</v>
      </c>
      <c r="C1476" s="106">
        <v>12</v>
      </c>
      <c r="D1476" s="107">
        <v>53.7</v>
      </c>
      <c r="E1476" s="107">
        <v>1.97</v>
      </c>
      <c r="F1476" s="107">
        <v>4.7300000000000004</v>
      </c>
    </row>
    <row r="1477" spans="1:6" x14ac:dyDescent="0.3">
      <c r="A1477" s="106" t="s">
        <v>5502</v>
      </c>
      <c r="B1477" s="97" t="s">
        <v>7377</v>
      </c>
      <c r="C1477" s="106">
        <v>12</v>
      </c>
      <c r="D1477" s="107">
        <v>24</v>
      </c>
      <c r="E1477" s="107">
        <v>0.41</v>
      </c>
      <c r="F1477" s="107">
        <v>1.41</v>
      </c>
    </row>
    <row r="1478" spans="1:6" x14ac:dyDescent="0.3">
      <c r="A1478" s="106" t="s">
        <v>5503</v>
      </c>
      <c r="B1478" s="97" t="s">
        <v>7378</v>
      </c>
      <c r="C1478" s="106">
        <v>12</v>
      </c>
      <c r="D1478" s="107">
        <v>36.85</v>
      </c>
      <c r="E1478" s="107">
        <v>2.14</v>
      </c>
      <c r="F1478" s="107">
        <v>0.06</v>
      </c>
    </row>
    <row r="1479" spans="1:6" x14ac:dyDescent="0.3">
      <c r="A1479" s="106" t="s">
        <v>5504</v>
      </c>
      <c r="B1479" s="97" t="s">
        <v>7379</v>
      </c>
      <c r="C1479" s="106">
        <v>12</v>
      </c>
      <c r="D1479" s="107">
        <v>61.1</v>
      </c>
      <c r="E1479" s="107">
        <v>-2.12</v>
      </c>
      <c r="F1479" s="107">
        <v>0.34</v>
      </c>
    </row>
    <row r="1480" spans="1:6" x14ac:dyDescent="0.3">
      <c r="A1480" s="106" t="s">
        <v>5505</v>
      </c>
      <c r="B1480" s="97" t="s">
        <v>7380</v>
      </c>
      <c r="C1480" s="106">
        <v>12</v>
      </c>
      <c r="D1480" s="107">
        <v>137.11000000000001</v>
      </c>
      <c r="E1480" s="107">
        <v>10.64</v>
      </c>
      <c r="F1480" s="107">
        <v>3.26</v>
      </c>
    </row>
    <row r="1481" spans="1:6" x14ac:dyDescent="0.3">
      <c r="A1481" s="106" t="s">
        <v>5506</v>
      </c>
      <c r="B1481" s="97" t="s">
        <v>7381</v>
      </c>
      <c r="C1481" s="106">
        <v>12</v>
      </c>
      <c r="D1481" s="107">
        <v>86.26</v>
      </c>
      <c r="E1481" s="107">
        <v>0.28000000000000003</v>
      </c>
      <c r="F1481" s="107">
        <v>2.4700000000000002</v>
      </c>
    </row>
    <row r="1482" spans="1:6" x14ac:dyDescent="0.3">
      <c r="A1482" s="106" t="s">
        <v>5507</v>
      </c>
      <c r="B1482" s="97" t="s">
        <v>7382</v>
      </c>
      <c r="C1482" s="106">
        <v>12</v>
      </c>
      <c r="D1482" s="107">
        <v>18.54</v>
      </c>
      <c r="E1482" s="107">
        <v>-2.15</v>
      </c>
      <c r="F1482" s="107">
        <v>4.99</v>
      </c>
    </row>
    <row r="1483" spans="1:6" x14ac:dyDescent="0.3">
      <c r="A1483" s="106" t="s">
        <v>3956</v>
      </c>
      <c r="B1483" s="97" t="s">
        <v>7383</v>
      </c>
      <c r="C1483" s="106">
        <v>12</v>
      </c>
      <c r="D1483" s="107">
        <v>69.94</v>
      </c>
      <c r="E1483" s="107">
        <v>1.08</v>
      </c>
      <c r="F1483" s="107">
        <v>3.38</v>
      </c>
    </row>
    <row r="1484" spans="1:6" x14ac:dyDescent="0.3">
      <c r="A1484" s="106" t="s">
        <v>5508</v>
      </c>
      <c r="B1484" s="97" t="s">
        <v>7384</v>
      </c>
      <c r="C1484" s="106">
        <v>12</v>
      </c>
      <c r="D1484" s="107">
        <v>20.38</v>
      </c>
      <c r="E1484" s="107">
        <v>-3.38</v>
      </c>
      <c r="F1484" s="107">
        <v>2.98</v>
      </c>
    </row>
    <row r="1485" spans="1:6" x14ac:dyDescent="0.3">
      <c r="A1485" s="106" t="s">
        <v>5509</v>
      </c>
      <c r="B1485" s="97" t="s">
        <v>7385</v>
      </c>
      <c r="C1485" s="106">
        <v>12</v>
      </c>
      <c r="D1485" s="107">
        <v>74.95</v>
      </c>
      <c r="E1485" s="107">
        <v>0.86</v>
      </c>
      <c r="F1485" s="107">
        <v>1.47</v>
      </c>
    </row>
    <row r="1486" spans="1:6" x14ac:dyDescent="0.3">
      <c r="A1486" s="106" t="s">
        <v>5510</v>
      </c>
      <c r="B1486" s="97" t="s">
        <v>7386</v>
      </c>
      <c r="C1486" s="106">
        <v>12</v>
      </c>
      <c r="D1486" s="107">
        <v>17.71</v>
      </c>
      <c r="E1486" s="107">
        <v>0.22</v>
      </c>
      <c r="F1486" s="107">
        <v>0.37</v>
      </c>
    </row>
    <row r="1487" spans="1:6" x14ac:dyDescent="0.3">
      <c r="A1487" s="106" t="s">
        <v>5511</v>
      </c>
      <c r="B1487" s="97" t="s">
        <v>7387</v>
      </c>
      <c r="C1487" s="106">
        <v>12</v>
      </c>
      <c r="D1487" s="107">
        <v>42.56</v>
      </c>
      <c r="E1487" s="107">
        <v>-0.77</v>
      </c>
      <c r="F1487" s="107">
        <v>0.18</v>
      </c>
    </row>
    <row r="1488" spans="1:6" x14ac:dyDescent="0.3">
      <c r="A1488" s="106" t="s">
        <v>5512</v>
      </c>
      <c r="B1488" s="97" t="s">
        <v>7388</v>
      </c>
      <c r="C1488" s="106">
        <v>12</v>
      </c>
      <c r="D1488" s="107">
        <v>38.97</v>
      </c>
      <c r="E1488" s="107">
        <v>0.92</v>
      </c>
      <c r="F1488" s="107">
        <v>0.81</v>
      </c>
    </row>
    <row r="1489" spans="1:6" x14ac:dyDescent="0.3">
      <c r="A1489" s="106" t="s">
        <v>5513</v>
      </c>
      <c r="B1489" s="97" t="s">
        <v>7389</v>
      </c>
      <c r="C1489" s="106">
        <v>12</v>
      </c>
      <c r="D1489" s="107">
        <v>219.89</v>
      </c>
      <c r="E1489" s="107">
        <v>2.38</v>
      </c>
      <c r="F1489" s="107">
        <v>7.26</v>
      </c>
    </row>
    <row r="1490" spans="1:6" x14ac:dyDescent="0.3">
      <c r="A1490" s="106" t="s">
        <v>5514</v>
      </c>
      <c r="B1490" s="97" t="s">
        <v>7390</v>
      </c>
      <c r="C1490" s="106">
        <v>12</v>
      </c>
      <c r="D1490" s="107">
        <v>26.3</v>
      </c>
      <c r="E1490" s="107">
        <v>0.32</v>
      </c>
      <c r="F1490" s="107">
        <v>-7.0000000000000007E-2</v>
      </c>
    </row>
    <row r="1491" spans="1:6" x14ac:dyDescent="0.3">
      <c r="A1491" s="106" t="s">
        <v>5515</v>
      </c>
      <c r="B1491" s="97" t="s">
        <v>7391</v>
      </c>
      <c r="C1491" s="106">
        <v>12</v>
      </c>
      <c r="D1491" s="107">
        <v>56.97</v>
      </c>
      <c r="E1491" s="107">
        <v>0.13</v>
      </c>
      <c r="F1491" s="107">
        <v>-0.89</v>
      </c>
    </row>
    <row r="1492" spans="1:6" x14ac:dyDescent="0.3">
      <c r="A1492" s="106" t="s">
        <v>3957</v>
      </c>
      <c r="B1492" s="97" t="s">
        <v>7392</v>
      </c>
      <c r="C1492" s="106">
        <v>12</v>
      </c>
      <c r="D1492" s="107">
        <v>2393.06</v>
      </c>
      <c r="E1492" s="107">
        <v>140.19999999999999</v>
      </c>
      <c r="F1492" s="107">
        <v>98.13</v>
      </c>
    </row>
    <row r="1493" spans="1:6" x14ac:dyDescent="0.3">
      <c r="A1493" s="106" t="s">
        <v>3958</v>
      </c>
      <c r="B1493" s="97" t="s">
        <v>7393</v>
      </c>
      <c r="C1493" s="106">
        <v>12</v>
      </c>
      <c r="D1493" s="107">
        <v>77.05</v>
      </c>
      <c r="E1493" s="107">
        <v>6.95</v>
      </c>
      <c r="F1493" s="107">
        <v>4.4400000000000004</v>
      </c>
    </row>
    <row r="1494" spans="1:6" x14ac:dyDescent="0.3">
      <c r="A1494" s="106" t="s">
        <v>5516</v>
      </c>
      <c r="B1494" s="97" t="s">
        <v>7394</v>
      </c>
      <c r="C1494" s="106">
        <v>12</v>
      </c>
      <c r="D1494" s="107">
        <v>41.37</v>
      </c>
      <c r="E1494" s="107">
        <v>-1.81</v>
      </c>
      <c r="F1494" s="107">
        <v>2.5</v>
      </c>
    </row>
    <row r="1495" spans="1:6" x14ac:dyDescent="0.3">
      <c r="A1495" s="106" t="s">
        <v>5517</v>
      </c>
      <c r="B1495" s="97" t="s">
        <v>7395</v>
      </c>
      <c r="C1495" s="106">
        <v>6</v>
      </c>
      <c r="D1495" s="107">
        <v>52.81</v>
      </c>
      <c r="E1495" s="107">
        <v>0.33</v>
      </c>
      <c r="F1495" s="107">
        <v>1.76</v>
      </c>
    </row>
    <row r="1496" spans="1:6" x14ac:dyDescent="0.3">
      <c r="A1496" s="106" t="s">
        <v>5518</v>
      </c>
      <c r="B1496" s="97" t="s">
        <v>7396</v>
      </c>
      <c r="C1496" s="106">
        <v>12</v>
      </c>
      <c r="D1496" s="107">
        <v>24.45</v>
      </c>
      <c r="E1496" s="107">
        <v>0.52</v>
      </c>
      <c r="F1496" s="107">
        <v>-1.0900000000000001</v>
      </c>
    </row>
    <row r="1497" spans="1:6" x14ac:dyDescent="0.3">
      <c r="A1497" s="106" t="s">
        <v>5519</v>
      </c>
      <c r="B1497" s="97" t="s">
        <v>7397</v>
      </c>
      <c r="C1497" s="106">
        <v>12</v>
      </c>
      <c r="D1497" s="107">
        <v>171.6</v>
      </c>
      <c r="E1497" s="107">
        <v>2.86</v>
      </c>
      <c r="F1497" s="107">
        <v>6.19</v>
      </c>
    </row>
    <row r="1498" spans="1:6" x14ac:dyDescent="0.3">
      <c r="A1498" s="106" t="s">
        <v>5520</v>
      </c>
      <c r="B1498" s="97" t="s">
        <v>7398</v>
      </c>
      <c r="C1498" s="106">
        <v>12</v>
      </c>
      <c r="D1498" s="107">
        <v>72.38</v>
      </c>
      <c r="E1498" s="107">
        <v>1.26</v>
      </c>
      <c r="F1498" s="107">
        <v>-0.4</v>
      </c>
    </row>
    <row r="1499" spans="1:6" x14ac:dyDescent="0.3">
      <c r="A1499" s="106" t="s">
        <v>5521</v>
      </c>
      <c r="B1499" s="97" t="s">
        <v>7399</v>
      </c>
      <c r="C1499" s="106">
        <v>12</v>
      </c>
      <c r="D1499" s="107">
        <v>6.49</v>
      </c>
      <c r="E1499" s="107">
        <v>0.21</v>
      </c>
      <c r="F1499" s="107">
        <v>0.22</v>
      </c>
    </row>
    <row r="1500" spans="1:6" x14ac:dyDescent="0.3">
      <c r="A1500" s="106" t="s">
        <v>5522</v>
      </c>
      <c r="B1500" s="97" t="s">
        <v>7400</v>
      </c>
      <c r="C1500" s="106">
        <v>12</v>
      </c>
      <c r="D1500" s="107">
        <v>6.41</v>
      </c>
      <c r="E1500" s="107">
        <v>0.21</v>
      </c>
      <c r="F1500" s="107">
        <v>0.22</v>
      </c>
    </row>
    <row r="1501" spans="1:6" x14ac:dyDescent="0.3">
      <c r="A1501" s="106" t="s">
        <v>5523</v>
      </c>
      <c r="B1501" s="97" t="s">
        <v>7401</v>
      </c>
      <c r="C1501" s="106">
        <v>12</v>
      </c>
      <c r="D1501" s="107">
        <v>6.27</v>
      </c>
      <c r="E1501" s="107">
        <v>0.21</v>
      </c>
      <c r="F1501" s="107">
        <v>0.22</v>
      </c>
    </row>
    <row r="1502" spans="1:6" x14ac:dyDescent="0.3">
      <c r="A1502" s="106" t="s">
        <v>5524</v>
      </c>
      <c r="B1502" s="97" t="s">
        <v>7402</v>
      </c>
      <c r="C1502" s="106">
        <v>12</v>
      </c>
      <c r="D1502" s="107">
        <v>6.21</v>
      </c>
      <c r="E1502" s="107">
        <v>0.21</v>
      </c>
      <c r="F1502" s="107">
        <v>0.22</v>
      </c>
    </row>
    <row r="1503" spans="1:6" x14ac:dyDescent="0.3">
      <c r="A1503" s="106" t="s">
        <v>5525</v>
      </c>
      <c r="B1503" s="97" t="s">
        <v>7403</v>
      </c>
      <c r="C1503" s="106">
        <v>12</v>
      </c>
      <c r="D1503" s="107">
        <v>110.01</v>
      </c>
      <c r="E1503" s="107">
        <v>0.33</v>
      </c>
      <c r="F1503" s="107">
        <v>4.38</v>
      </c>
    </row>
    <row r="1504" spans="1:6" x14ac:dyDescent="0.3">
      <c r="A1504" s="106" t="s">
        <v>5526</v>
      </c>
      <c r="B1504" s="97" t="s">
        <v>7404</v>
      </c>
      <c r="C1504" s="106">
        <v>12</v>
      </c>
      <c r="D1504" s="107">
        <v>68.91</v>
      </c>
      <c r="E1504" s="107">
        <v>5.77</v>
      </c>
      <c r="F1504" s="107">
        <v>8.64</v>
      </c>
    </row>
    <row r="1505" spans="1:6" x14ac:dyDescent="0.3">
      <c r="A1505" s="106" t="s">
        <v>5527</v>
      </c>
      <c r="B1505" s="97" t="s">
        <v>7405</v>
      </c>
      <c r="C1505" s="106">
        <v>10</v>
      </c>
      <c r="D1505" s="107"/>
      <c r="E1505" s="107"/>
      <c r="F1505" s="107"/>
    </row>
    <row r="1506" spans="1:6" x14ac:dyDescent="0.3">
      <c r="A1506" s="106" t="s">
        <v>5528</v>
      </c>
      <c r="B1506" s="97" t="s">
        <v>7406</v>
      </c>
      <c r="C1506" s="106">
        <v>10</v>
      </c>
      <c r="D1506" s="107"/>
      <c r="E1506" s="107"/>
      <c r="F1506" s="107"/>
    </row>
    <row r="1507" spans="1:6" x14ac:dyDescent="0.3">
      <c r="A1507" s="106" t="s">
        <v>5529</v>
      </c>
      <c r="B1507" s="97" t="s">
        <v>7407</v>
      </c>
      <c r="C1507" s="106">
        <v>10</v>
      </c>
      <c r="D1507" s="107"/>
      <c r="E1507" s="107"/>
      <c r="F1507" s="107"/>
    </row>
    <row r="1508" spans="1:6" x14ac:dyDescent="0.3">
      <c r="A1508" s="106" t="s">
        <v>5530</v>
      </c>
      <c r="B1508" s="97" t="s">
        <v>7408</v>
      </c>
      <c r="C1508" s="106">
        <v>10</v>
      </c>
      <c r="D1508" s="107"/>
      <c r="E1508" s="107"/>
      <c r="F1508" s="107"/>
    </row>
    <row r="1509" spans="1:6" x14ac:dyDescent="0.3">
      <c r="A1509" s="106" t="s">
        <v>5531</v>
      </c>
      <c r="B1509" s="97" t="s">
        <v>7409</v>
      </c>
      <c r="C1509" s="106">
        <v>10</v>
      </c>
      <c r="D1509" s="107"/>
      <c r="E1509" s="107"/>
      <c r="F1509" s="107"/>
    </row>
    <row r="1510" spans="1:6" x14ac:dyDescent="0.3">
      <c r="A1510" s="106" t="s">
        <v>5532</v>
      </c>
      <c r="B1510" s="97" t="s">
        <v>7410</v>
      </c>
      <c r="C1510" s="106">
        <v>10</v>
      </c>
      <c r="D1510" s="107"/>
      <c r="E1510" s="107"/>
      <c r="F1510" s="107"/>
    </row>
    <row r="1511" spans="1:6" x14ac:dyDescent="0.3">
      <c r="A1511" s="106" t="s">
        <v>5533</v>
      </c>
      <c r="B1511" s="97" t="s">
        <v>7411</v>
      </c>
      <c r="C1511" s="106">
        <v>10</v>
      </c>
      <c r="D1511" s="107"/>
      <c r="E1511" s="107"/>
      <c r="F1511" s="107"/>
    </row>
    <row r="1512" spans="1:6" x14ac:dyDescent="0.3">
      <c r="A1512" s="106" t="s">
        <v>5534</v>
      </c>
      <c r="B1512" s="97" t="s">
        <v>7412</v>
      </c>
      <c r="C1512" s="106">
        <v>10</v>
      </c>
      <c r="D1512" s="107"/>
      <c r="E1512" s="107"/>
      <c r="F1512" s="107"/>
    </row>
    <row r="1513" spans="1:6" x14ac:dyDescent="0.3">
      <c r="A1513" s="106" t="s">
        <v>5535</v>
      </c>
      <c r="B1513" s="97" t="s">
        <v>7413</v>
      </c>
      <c r="C1513" s="106">
        <v>12</v>
      </c>
      <c r="D1513" s="107">
        <v>42.37</v>
      </c>
      <c r="E1513" s="107">
        <v>-0.21</v>
      </c>
      <c r="F1513" s="107">
        <v>-0.03</v>
      </c>
    </row>
    <row r="1514" spans="1:6" x14ac:dyDescent="0.3">
      <c r="A1514" s="106" t="s">
        <v>5536</v>
      </c>
      <c r="B1514" s="97" t="s">
        <v>7414</v>
      </c>
      <c r="C1514" s="106">
        <v>12</v>
      </c>
      <c r="D1514" s="107">
        <v>22.84</v>
      </c>
      <c r="E1514" s="107">
        <v>-0.79</v>
      </c>
      <c r="F1514" s="107">
        <v>1.05</v>
      </c>
    </row>
    <row r="1515" spans="1:6" x14ac:dyDescent="0.3">
      <c r="A1515" s="106" t="s">
        <v>5537</v>
      </c>
      <c r="B1515" s="97" t="s">
        <v>7415</v>
      </c>
      <c r="C1515" s="106">
        <v>12</v>
      </c>
      <c r="D1515" s="107">
        <v>41.16</v>
      </c>
      <c r="E1515" s="107">
        <v>0.7</v>
      </c>
      <c r="F1515" s="107">
        <v>1.77</v>
      </c>
    </row>
    <row r="1516" spans="1:6" x14ac:dyDescent="0.3">
      <c r="A1516" s="106" t="s">
        <v>5538</v>
      </c>
      <c r="B1516" s="97" t="s">
        <v>7416</v>
      </c>
      <c r="C1516" s="106">
        <v>12</v>
      </c>
      <c r="D1516" s="107">
        <v>111.44</v>
      </c>
      <c r="E1516" s="107">
        <v>1.24</v>
      </c>
      <c r="F1516" s="107">
        <v>2.35</v>
      </c>
    </row>
    <row r="1517" spans="1:6" x14ac:dyDescent="0.3">
      <c r="A1517" s="106" t="s">
        <v>5539</v>
      </c>
      <c r="B1517" s="97" t="s">
        <v>7417</v>
      </c>
      <c r="C1517" s="106">
        <v>12</v>
      </c>
      <c r="D1517" s="107">
        <v>139.32</v>
      </c>
      <c r="E1517" s="107">
        <v>4.76</v>
      </c>
      <c r="F1517" s="107">
        <v>5.14</v>
      </c>
    </row>
    <row r="1518" spans="1:6" x14ac:dyDescent="0.3">
      <c r="A1518" s="106" t="s">
        <v>3959</v>
      </c>
      <c r="B1518" s="97" t="s">
        <v>7418</v>
      </c>
      <c r="C1518" s="106">
        <v>12</v>
      </c>
      <c r="D1518" s="107">
        <v>210.06</v>
      </c>
      <c r="E1518" s="107">
        <v>29.95</v>
      </c>
      <c r="F1518" s="107">
        <v>20.51</v>
      </c>
    </row>
    <row r="1519" spans="1:6" x14ac:dyDescent="0.3">
      <c r="A1519" s="106" t="s">
        <v>5540</v>
      </c>
      <c r="B1519" s="97" t="s">
        <v>7419</v>
      </c>
      <c r="C1519" s="106">
        <v>12</v>
      </c>
      <c r="D1519" s="107">
        <v>46.06</v>
      </c>
      <c r="E1519" s="107">
        <v>0.78</v>
      </c>
      <c r="F1519" s="107">
        <v>0.45</v>
      </c>
    </row>
    <row r="1520" spans="1:6" x14ac:dyDescent="0.3">
      <c r="A1520" s="106" t="s">
        <v>5541</v>
      </c>
      <c r="B1520" s="97" t="s">
        <v>7420</v>
      </c>
      <c r="C1520" s="106">
        <v>12</v>
      </c>
      <c r="D1520" s="107">
        <v>29.21</v>
      </c>
      <c r="E1520" s="107">
        <v>-0.98</v>
      </c>
      <c r="F1520" s="107">
        <v>0.54</v>
      </c>
    </row>
    <row r="1521" spans="1:6" x14ac:dyDescent="0.3">
      <c r="A1521" s="106" t="s">
        <v>5542</v>
      </c>
      <c r="B1521" s="97" t="s">
        <v>7421</v>
      </c>
      <c r="C1521" s="106">
        <v>12</v>
      </c>
      <c r="D1521" s="107">
        <v>21.34</v>
      </c>
      <c r="E1521" s="107">
        <v>0.89</v>
      </c>
      <c r="F1521" s="107">
        <v>4.1900000000000004</v>
      </c>
    </row>
    <row r="1522" spans="1:6" x14ac:dyDescent="0.3">
      <c r="A1522" s="106" t="s">
        <v>5543</v>
      </c>
      <c r="B1522" s="97" t="s">
        <v>7422</v>
      </c>
      <c r="C1522" s="106">
        <v>12</v>
      </c>
      <c r="D1522" s="107">
        <v>165.92</v>
      </c>
      <c r="E1522" s="107">
        <v>5.33</v>
      </c>
      <c r="F1522" s="107">
        <v>3.83</v>
      </c>
    </row>
    <row r="1523" spans="1:6" x14ac:dyDescent="0.3">
      <c r="A1523" s="106" t="s">
        <v>5544</v>
      </c>
      <c r="B1523" s="97" t="s">
        <v>7423</v>
      </c>
      <c r="C1523" s="106">
        <v>12</v>
      </c>
      <c r="D1523" s="107">
        <v>147.38999999999999</v>
      </c>
      <c r="E1523" s="107">
        <v>-7.13</v>
      </c>
      <c r="F1523" s="107">
        <v>-1.26</v>
      </c>
    </row>
    <row r="1524" spans="1:6" x14ac:dyDescent="0.3">
      <c r="A1524" s="106" t="s">
        <v>5545</v>
      </c>
      <c r="B1524" s="97" t="s">
        <v>7424</v>
      </c>
      <c r="C1524" s="106">
        <v>12</v>
      </c>
      <c r="D1524" s="107">
        <v>877.16</v>
      </c>
      <c r="E1524" s="107">
        <v>4.03</v>
      </c>
      <c r="F1524" s="107">
        <v>0.37</v>
      </c>
    </row>
    <row r="1525" spans="1:6" x14ac:dyDescent="0.3">
      <c r="A1525" s="106" t="s">
        <v>5546</v>
      </c>
      <c r="B1525" s="97" t="s">
        <v>7425</v>
      </c>
      <c r="C1525" s="106">
        <v>12</v>
      </c>
      <c r="D1525" s="107">
        <v>58.96</v>
      </c>
      <c r="E1525" s="107">
        <v>0.25</v>
      </c>
      <c r="F1525" s="107">
        <v>1.38</v>
      </c>
    </row>
    <row r="1526" spans="1:6" x14ac:dyDescent="0.3">
      <c r="A1526" s="106" t="s">
        <v>5547</v>
      </c>
      <c r="B1526" s="97" t="s">
        <v>7426</v>
      </c>
      <c r="C1526" s="106">
        <v>3</v>
      </c>
      <c r="D1526" s="107">
        <v>193.35</v>
      </c>
      <c r="E1526" s="107">
        <v>5.95</v>
      </c>
      <c r="F1526" s="107">
        <v>5.4</v>
      </c>
    </row>
    <row r="1527" spans="1:6" x14ac:dyDescent="0.3">
      <c r="A1527" s="106" t="s">
        <v>5548</v>
      </c>
      <c r="B1527" s="97" t="s">
        <v>7427</v>
      </c>
      <c r="C1527" s="106">
        <v>12</v>
      </c>
      <c r="D1527" s="107">
        <v>53.88</v>
      </c>
      <c r="E1527" s="107">
        <v>-0.76</v>
      </c>
      <c r="F1527" s="107">
        <v>-0.1</v>
      </c>
    </row>
    <row r="1528" spans="1:6" x14ac:dyDescent="0.3">
      <c r="A1528" s="106" t="s">
        <v>5549</v>
      </c>
      <c r="B1528" s="97" t="s">
        <v>7428</v>
      </c>
      <c r="C1528" s="106">
        <v>12</v>
      </c>
      <c r="D1528" s="107">
        <v>64.260000000000005</v>
      </c>
      <c r="E1528" s="107">
        <v>-2.42</v>
      </c>
      <c r="F1528" s="107">
        <v>0.16</v>
      </c>
    </row>
    <row r="1529" spans="1:6" x14ac:dyDescent="0.3">
      <c r="A1529" s="106" t="s">
        <v>5550</v>
      </c>
      <c r="B1529" s="97" t="s">
        <v>7429</v>
      </c>
      <c r="C1529" s="106">
        <v>12</v>
      </c>
      <c r="D1529" s="107">
        <v>1.91</v>
      </c>
      <c r="E1529" s="107">
        <v>0.1</v>
      </c>
      <c r="F1529" s="107">
        <v>0.09</v>
      </c>
    </row>
    <row r="1530" spans="1:6" x14ac:dyDescent="0.3">
      <c r="A1530" s="106" t="s">
        <v>5551</v>
      </c>
      <c r="B1530" s="97" t="s">
        <v>7430</v>
      </c>
      <c r="C1530" s="106">
        <v>12</v>
      </c>
      <c r="D1530" s="107">
        <v>30.3</v>
      </c>
      <c r="E1530" s="107">
        <v>0.95</v>
      </c>
      <c r="F1530" s="107">
        <v>-0.22</v>
      </c>
    </row>
    <row r="1531" spans="1:6" x14ac:dyDescent="0.3">
      <c r="A1531" s="106" t="s">
        <v>3960</v>
      </c>
      <c r="B1531" s="97" t="s">
        <v>7431</v>
      </c>
      <c r="C1531" s="106">
        <v>12</v>
      </c>
      <c r="D1531" s="107">
        <v>878.03</v>
      </c>
      <c r="E1531" s="107">
        <v>20.09</v>
      </c>
      <c r="F1531" s="107">
        <v>34.49</v>
      </c>
    </row>
    <row r="1532" spans="1:6" x14ac:dyDescent="0.3">
      <c r="A1532" s="106" t="s">
        <v>5552</v>
      </c>
      <c r="B1532" s="97" t="s">
        <v>7432</v>
      </c>
      <c r="C1532" s="106">
        <v>12</v>
      </c>
      <c r="D1532" s="107">
        <v>74.5</v>
      </c>
      <c r="E1532" s="107">
        <v>4.5999999999999996</v>
      </c>
      <c r="F1532" s="107">
        <v>1.91</v>
      </c>
    </row>
    <row r="1533" spans="1:6" x14ac:dyDescent="0.3">
      <c r="A1533" s="106" t="s">
        <v>5553</v>
      </c>
      <c r="B1533" s="97" t="s">
        <v>7433</v>
      </c>
      <c r="C1533" s="106">
        <v>12</v>
      </c>
      <c r="D1533" s="107">
        <v>31.07</v>
      </c>
      <c r="E1533" s="107">
        <v>-0.92</v>
      </c>
      <c r="F1533" s="107">
        <v>-2.5</v>
      </c>
    </row>
    <row r="1534" spans="1:6" x14ac:dyDescent="0.3">
      <c r="A1534" s="106" t="s">
        <v>5554</v>
      </c>
      <c r="B1534" s="97" t="s">
        <v>7434</v>
      </c>
      <c r="C1534" s="106">
        <v>6</v>
      </c>
      <c r="D1534" s="107">
        <v>54.53</v>
      </c>
      <c r="E1534" s="107">
        <v>2.84</v>
      </c>
      <c r="F1534" s="107">
        <v>-1.83</v>
      </c>
    </row>
    <row r="1535" spans="1:6" x14ac:dyDescent="0.3">
      <c r="A1535" s="106" t="s">
        <v>5555</v>
      </c>
      <c r="B1535" s="97" t="s">
        <v>7435</v>
      </c>
      <c r="C1535" s="106">
        <v>12</v>
      </c>
      <c r="D1535" s="107">
        <v>35.83</v>
      </c>
      <c r="E1535" s="107">
        <v>1.53</v>
      </c>
      <c r="F1535" s="107">
        <v>1.44</v>
      </c>
    </row>
    <row r="1536" spans="1:6" x14ac:dyDescent="0.3">
      <c r="A1536" s="106" t="s">
        <v>3961</v>
      </c>
      <c r="B1536" s="97" t="s">
        <v>7436</v>
      </c>
      <c r="C1536" s="106">
        <v>12</v>
      </c>
      <c r="D1536" s="107">
        <v>158.63</v>
      </c>
      <c r="E1536" s="107">
        <v>-4.17</v>
      </c>
      <c r="F1536" s="107">
        <v>-2.4</v>
      </c>
    </row>
    <row r="1537" spans="1:6" x14ac:dyDescent="0.3">
      <c r="A1537" s="106" t="s">
        <v>5556</v>
      </c>
      <c r="B1537" s="97" t="s">
        <v>7437</v>
      </c>
      <c r="C1537" s="106">
        <v>8</v>
      </c>
      <c r="D1537" s="107">
        <v>46.96</v>
      </c>
      <c r="E1537" s="107">
        <v>0.81</v>
      </c>
      <c r="F1537" s="107">
        <v>1.57</v>
      </c>
    </row>
    <row r="1538" spans="1:6" x14ac:dyDescent="0.3">
      <c r="A1538" s="106" t="s">
        <v>5557</v>
      </c>
      <c r="B1538" s="97" t="s">
        <v>7438</v>
      </c>
      <c r="C1538" s="106">
        <v>12</v>
      </c>
      <c r="D1538" s="107">
        <v>-2.99</v>
      </c>
      <c r="E1538" s="107">
        <v>-0.01</v>
      </c>
      <c r="F1538" s="107">
        <v>-0.89</v>
      </c>
    </row>
    <row r="1539" spans="1:6" x14ac:dyDescent="0.3">
      <c r="A1539" s="106" t="s">
        <v>5558</v>
      </c>
      <c r="B1539" s="97" t="s">
        <v>7439</v>
      </c>
      <c r="C1539" s="106">
        <v>12</v>
      </c>
      <c r="D1539" s="107">
        <v>-4.8899999999999997</v>
      </c>
      <c r="E1539" s="107">
        <v>-0.02</v>
      </c>
      <c r="F1539" s="107">
        <v>-2.0099999999999998</v>
      </c>
    </row>
    <row r="1540" spans="1:6" x14ac:dyDescent="0.3">
      <c r="A1540" s="106" t="s">
        <v>5559</v>
      </c>
      <c r="B1540" s="97" t="s">
        <v>7440</v>
      </c>
      <c r="C1540" s="106">
        <v>12</v>
      </c>
      <c r="D1540" s="107">
        <v>28.81</v>
      </c>
      <c r="E1540" s="107">
        <v>0.97</v>
      </c>
      <c r="F1540" s="107">
        <v>1.06</v>
      </c>
    </row>
    <row r="1541" spans="1:6" x14ac:dyDescent="0.3">
      <c r="A1541" s="106" t="s">
        <v>5560</v>
      </c>
      <c r="B1541" s="97" t="s">
        <v>7441</v>
      </c>
      <c r="C1541" s="106">
        <v>12</v>
      </c>
      <c r="D1541" s="107">
        <v>5.29</v>
      </c>
      <c r="E1541" s="107">
        <v>0.28000000000000003</v>
      </c>
      <c r="F1541" s="107">
        <v>0.49</v>
      </c>
    </row>
    <row r="1542" spans="1:6" x14ac:dyDescent="0.3">
      <c r="A1542" s="106" t="s">
        <v>5561</v>
      </c>
      <c r="B1542" s="97" t="s">
        <v>7442</v>
      </c>
      <c r="C1542" s="106">
        <v>12</v>
      </c>
      <c r="D1542" s="107">
        <v>98.09</v>
      </c>
      <c r="E1542" s="107">
        <v>5.64</v>
      </c>
      <c r="F1542" s="107">
        <v>1.92</v>
      </c>
    </row>
    <row r="1543" spans="1:6" x14ac:dyDescent="0.3">
      <c r="A1543" s="106" t="s">
        <v>3962</v>
      </c>
      <c r="B1543" s="97" t="s">
        <v>4202</v>
      </c>
      <c r="C1543" s="106">
        <v>12</v>
      </c>
      <c r="D1543" s="107">
        <v>113.69</v>
      </c>
      <c r="E1543" s="107">
        <v>-2.79</v>
      </c>
      <c r="F1543" s="107">
        <v>-2.95</v>
      </c>
    </row>
    <row r="1544" spans="1:6" x14ac:dyDescent="0.3">
      <c r="A1544" s="106" t="s">
        <v>5562</v>
      </c>
      <c r="B1544" s="97" t="s">
        <v>7443</v>
      </c>
      <c r="C1544" s="106">
        <v>12</v>
      </c>
      <c r="D1544" s="107">
        <v>28.57</v>
      </c>
      <c r="E1544" s="107">
        <v>2.13</v>
      </c>
      <c r="F1544" s="107">
        <v>0.9</v>
      </c>
    </row>
    <row r="1545" spans="1:6" x14ac:dyDescent="0.3">
      <c r="A1545" s="106" t="s">
        <v>5563</v>
      </c>
      <c r="B1545" s="97" t="s">
        <v>7444</v>
      </c>
      <c r="C1545" s="106">
        <v>12</v>
      </c>
      <c r="D1545" s="107">
        <v>33.54</v>
      </c>
      <c r="E1545" s="107">
        <v>-0.25</v>
      </c>
      <c r="F1545" s="107">
        <v>-0.28999999999999998</v>
      </c>
    </row>
    <row r="1546" spans="1:6" x14ac:dyDescent="0.3">
      <c r="A1546" s="106" t="s">
        <v>5564</v>
      </c>
      <c r="B1546" s="97" t="s">
        <v>7445</v>
      </c>
      <c r="C1546" s="106">
        <v>12</v>
      </c>
      <c r="D1546" s="107"/>
      <c r="E1546" s="107"/>
      <c r="F1546" s="107"/>
    </row>
    <row r="1547" spans="1:6" x14ac:dyDescent="0.3">
      <c r="A1547" s="106" t="s">
        <v>5565</v>
      </c>
      <c r="B1547" s="97" t="s">
        <v>7446</v>
      </c>
      <c r="C1547" s="106">
        <v>12</v>
      </c>
      <c r="D1547" s="107">
        <v>56.4</v>
      </c>
      <c r="E1547" s="107">
        <v>0.45</v>
      </c>
      <c r="F1547" s="107">
        <v>1.51</v>
      </c>
    </row>
    <row r="1548" spans="1:6" x14ac:dyDescent="0.3">
      <c r="A1548" s="106" t="s">
        <v>5566</v>
      </c>
      <c r="B1548" s="97" t="s">
        <v>7447</v>
      </c>
      <c r="C1548" s="106">
        <v>12</v>
      </c>
      <c r="D1548" s="107">
        <v>120.22</v>
      </c>
      <c r="E1548" s="107">
        <v>3.39</v>
      </c>
      <c r="F1548" s="107">
        <v>4.6100000000000003</v>
      </c>
    </row>
    <row r="1549" spans="1:6" x14ac:dyDescent="0.3">
      <c r="A1549" s="106" t="s">
        <v>5567</v>
      </c>
      <c r="B1549" s="97" t="s">
        <v>7448</v>
      </c>
      <c r="C1549" s="106">
        <v>12</v>
      </c>
      <c r="D1549" s="107">
        <v>50.53</v>
      </c>
      <c r="E1549" s="107">
        <v>1.79</v>
      </c>
      <c r="F1549" s="107">
        <v>1.25</v>
      </c>
    </row>
    <row r="1550" spans="1:6" x14ac:dyDescent="0.3">
      <c r="A1550" s="106" t="s">
        <v>5568</v>
      </c>
      <c r="B1550" s="97" t="s">
        <v>7449</v>
      </c>
      <c r="C1550" s="106">
        <v>12</v>
      </c>
      <c r="D1550" s="107">
        <v>23.34</v>
      </c>
      <c r="E1550" s="107">
        <v>-2.11</v>
      </c>
      <c r="F1550" s="107">
        <v>-0.68</v>
      </c>
    </row>
    <row r="1551" spans="1:6" x14ac:dyDescent="0.3">
      <c r="A1551" s="106" t="s">
        <v>5569</v>
      </c>
      <c r="B1551" s="97" t="s">
        <v>7450</v>
      </c>
      <c r="C1551" s="106">
        <v>12</v>
      </c>
      <c r="D1551" s="107">
        <v>23.92</v>
      </c>
      <c r="E1551" s="107">
        <v>1.91</v>
      </c>
      <c r="F1551" s="107">
        <v>0.71</v>
      </c>
    </row>
    <row r="1552" spans="1:6" x14ac:dyDescent="0.3">
      <c r="A1552" s="106" t="s">
        <v>5570</v>
      </c>
      <c r="B1552" s="97" t="s">
        <v>7451</v>
      </c>
      <c r="C1552" s="106">
        <v>12</v>
      </c>
      <c r="D1552" s="107">
        <v>36</v>
      </c>
      <c r="E1552" s="107">
        <v>0.06</v>
      </c>
      <c r="F1552" s="107">
        <v>3.41</v>
      </c>
    </row>
    <row r="1553" spans="1:6" x14ac:dyDescent="0.3">
      <c r="A1553" s="106" t="s">
        <v>5571</v>
      </c>
      <c r="B1553" s="97" t="s">
        <v>7452</v>
      </c>
      <c r="C1553" s="106">
        <v>12</v>
      </c>
      <c r="D1553" s="107">
        <v>59.04</v>
      </c>
      <c r="E1553" s="107">
        <v>0.9</v>
      </c>
      <c r="F1553" s="107">
        <v>0.62</v>
      </c>
    </row>
    <row r="1554" spans="1:6" x14ac:dyDescent="0.3">
      <c r="A1554" s="106" t="s">
        <v>5572</v>
      </c>
      <c r="B1554" s="97" t="s">
        <v>7453</v>
      </c>
      <c r="C1554" s="106">
        <v>12</v>
      </c>
      <c r="D1554" s="107">
        <v>27.69</v>
      </c>
      <c r="E1554" s="107">
        <v>-2.13</v>
      </c>
      <c r="F1554" s="107">
        <v>1.1399999999999999</v>
      </c>
    </row>
    <row r="1555" spans="1:6" x14ac:dyDescent="0.3">
      <c r="A1555" s="106" t="s">
        <v>5573</v>
      </c>
      <c r="B1555" s="97" t="s">
        <v>7454</v>
      </c>
      <c r="C1555" s="106">
        <v>12</v>
      </c>
      <c r="D1555" s="107">
        <v>27.36</v>
      </c>
      <c r="E1555" s="107">
        <v>0.75</v>
      </c>
      <c r="F1555" s="107">
        <v>0.56000000000000005</v>
      </c>
    </row>
    <row r="1556" spans="1:6" x14ac:dyDescent="0.3">
      <c r="A1556" s="106" t="s">
        <v>5574</v>
      </c>
      <c r="B1556" s="97" t="s">
        <v>7455</v>
      </c>
      <c r="C1556" s="106">
        <v>12</v>
      </c>
      <c r="D1556" s="107">
        <v>74.540000000000006</v>
      </c>
      <c r="E1556" s="107">
        <v>4.3</v>
      </c>
      <c r="F1556" s="107">
        <v>6.83</v>
      </c>
    </row>
    <row r="1557" spans="1:6" x14ac:dyDescent="0.3">
      <c r="A1557" s="106" t="s">
        <v>5575</v>
      </c>
      <c r="B1557" s="97" t="s">
        <v>7456</v>
      </c>
      <c r="C1557" s="106">
        <v>12</v>
      </c>
      <c r="D1557" s="107">
        <v>191.27</v>
      </c>
      <c r="E1557" s="107">
        <v>-1.96</v>
      </c>
      <c r="F1557" s="107">
        <v>6.68</v>
      </c>
    </row>
    <row r="1558" spans="1:6" x14ac:dyDescent="0.3">
      <c r="A1558" s="106" t="s">
        <v>5576</v>
      </c>
      <c r="B1558" s="97" t="s">
        <v>7457</v>
      </c>
      <c r="C1558" s="106">
        <v>12</v>
      </c>
      <c r="D1558" s="107">
        <v>57.3</v>
      </c>
      <c r="E1558" s="107">
        <v>-0.22</v>
      </c>
      <c r="F1558" s="107">
        <v>3.14</v>
      </c>
    </row>
    <row r="1559" spans="1:6" x14ac:dyDescent="0.3">
      <c r="A1559" s="106" t="s">
        <v>3963</v>
      </c>
      <c r="B1559" s="97" t="s">
        <v>7458</v>
      </c>
      <c r="C1559" s="106">
        <v>12</v>
      </c>
      <c r="D1559" s="107">
        <v>280.05</v>
      </c>
      <c r="E1559" s="107">
        <v>28.21</v>
      </c>
      <c r="F1559" s="107">
        <v>26.38</v>
      </c>
    </row>
    <row r="1560" spans="1:6" x14ac:dyDescent="0.3">
      <c r="A1560" s="106" t="s">
        <v>5577</v>
      </c>
      <c r="B1560" s="97" t="s">
        <v>7459</v>
      </c>
      <c r="C1560" s="106">
        <v>12</v>
      </c>
      <c r="D1560" s="107">
        <v>44.55</v>
      </c>
      <c r="E1560" s="107">
        <v>-1.29</v>
      </c>
      <c r="F1560" s="107">
        <v>0.1</v>
      </c>
    </row>
    <row r="1561" spans="1:6" x14ac:dyDescent="0.3">
      <c r="A1561" s="106" t="s">
        <v>3964</v>
      </c>
      <c r="B1561" s="97" t="s">
        <v>7460</v>
      </c>
      <c r="C1561" s="106">
        <v>12</v>
      </c>
      <c r="D1561" s="107">
        <v>208.68</v>
      </c>
      <c r="E1561" s="107">
        <v>7.73</v>
      </c>
      <c r="F1561" s="107">
        <v>-15.53</v>
      </c>
    </row>
    <row r="1562" spans="1:6" x14ac:dyDescent="0.3">
      <c r="A1562" s="106" t="s">
        <v>5578</v>
      </c>
      <c r="B1562" s="97" t="s">
        <v>7461</v>
      </c>
      <c r="C1562" s="106">
        <v>12</v>
      </c>
      <c r="D1562" s="107">
        <v>74.290000000000006</v>
      </c>
      <c r="E1562" s="107">
        <v>0.86</v>
      </c>
      <c r="F1562" s="107">
        <v>6.67</v>
      </c>
    </row>
    <row r="1563" spans="1:6" x14ac:dyDescent="0.3">
      <c r="A1563" s="106" t="s">
        <v>5579</v>
      </c>
      <c r="B1563" s="97" t="s">
        <v>7462</v>
      </c>
      <c r="C1563" s="106">
        <v>12</v>
      </c>
      <c r="D1563" s="107">
        <v>13.54</v>
      </c>
      <c r="E1563" s="107">
        <v>-0.93</v>
      </c>
      <c r="F1563" s="107">
        <v>-0.55000000000000004</v>
      </c>
    </row>
    <row r="1564" spans="1:6" x14ac:dyDescent="0.3">
      <c r="A1564" s="106" t="s">
        <v>5580</v>
      </c>
      <c r="B1564" s="97" t="s">
        <v>7463</v>
      </c>
      <c r="C1564" s="106">
        <v>12</v>
      </c>
      <c r="D1564" s="107">
        <v>62.25</v>
      </c>
      <c r="E1564" s="107">
        <v>5.13</v>
      </c>
      <c r="F1564" s="107">
        <v>3.06</v>
      </c>
    </row>
    <row r="1565" spans="1:6" x14ac:dyDescent="0.3">
      <c r="A1565" s="106" t="s">
        <v>5581</v>
      </c>
      <c r="B1565" s="97" t="s">
        <v>7464</v>
      </c>
      <c r="C1565" s="106">
        <v>2</v>
      </c>
      <c r="D1565" s="107"/>
      <c r="E1565" s="107"/>
      <c r="F1565" s="107"/>
    </row>
    <row r="1566" spans="1:6" x14ac:dyDescent="0.3">
      <c r="A1566" s="106" t="s">
        <v>5582</v>
      </c>
      <c r="B1566" s="97" t="s">
        <v>7465</v>
      </c>
      <c r="C1566" s="106">
        <v>12</v>
      </c>
      <c r="D1566" s="107">
        <v>80.680000000000007</v>
      </c>
      <c r="E1566" s="107">
        <v>0.28000000000000003</v>
      </c>
      <c r="F1566" s="107">
        <v>0.6</v>
      </c>
    </row>
    <row r="1567" spans="1:6" x14ac:dyDescent="0.3">
      <c r="A1567" s="106" t="s">
        <v>3965</v>
      </c>
      <c r="B1567" s="97" t="s">
        <v>7466</v>
      </c>
      <c r="C1567" s="106">
        <v>12</v>
      </c>
      <c r="D1567" s="107">
        <v>43.96</v>
      </c>
      <c r="E1567" s="107">
        <v>2.36</v>
      </c>
      <c r="F1567" s="107">
        <v>3.94</v>
      </c>
    </row>
    <row r="1568" spans="1:6" x14ac:dyDescent="0.3">
      <c r="A1568" s="106" t="s">
        <v>5583</v>
      </c>
      <c r="B1568" s="97" t="s">
        <v>7467</v>
      </c>
      <c r="C1568" s="106">
        <v>12</v>
      </c>
      <c r="D1568" s="107">
        <v>45.36</v>
      </c>
      <c r="E1568" s="107">
        <v>1.63</v>
      </c>
      <c r="F1568" s="107">
        <v>1.87</v>
      </c>
    </row>
    <row r="1569" spans="1:6" x14ac:dyDescent="0.3">
      <c r="A1569" s="106" t="s">
        <v>5584</v>
      </c>
      <c r="B1569" s="97" t="s">
        <v>7468</v>
      </c>
      <c r="C1569" s="106">
        <v>12</v>
      </c>
      <c r="D1569" s="107">
        <v>51.72</v>
      </c>
      <c r="E1569" s="107">
        <v>0.76</v>
      </c>
      <c r="F1569" s="107">
        <v>3.3</v>
      </c>
    </row>
    <row r="1570" spans="1:6" x14ac:dyDescent="0.3">
      <c r="A1570" s="106" t="s">
        <v>3966</v>
      </c>
      <c r="B1570" s="97" t="s">
        <v>7469</v>
      </c>
      <c r="C1570" s="106">
        <v>12</v>
      </c>
      <c r="D1570" s="107">
        <v>156.87</v>
      </c>
      <c r="E1570" s="107">
        <v>-3.26</v>
      </c>
      <c r="F1570" s="107">
        <v>8.17</v>
      </c>
    </row>
    <row r="1571" spans="1:6" x14ac:dyDescent="0.3">
      <c r="A1571" s="106" t="s">
        <v>5585</v>
      </c>
      <c r="B1571" s="97" t="s">
        <v>7470</v>
      </c>
      <c r="C1571" s="106">
        <v>12</v>
      </c>
      <c r="D1571" s="107">
        <v>32.21</v>
      </c>
      <c r="E1571" s="107">
        <v>0.21</v>
      </c>
      <c r="F1571" s="107">
        <v>0.63</v>
      </c>
    </row>
    <row r="1572" spans="1:6" x14ac:dyDescent="0.3">
      <c r="A1572" s="106" t="s">
        <v>5586</v>
      </c>
      <c r="B1572" s="97" t="s">
        <v>7471</v>
      </c>
      <c r="C1572" s="106">
        <v>12</v>
      </c>
      <c r="D1572" s="107">
        <v>198.95</v>
      </c>
      <c r="E1572" s="107">
        <v>7.15</v>
      </c>
      <c r="F1572" s="107">
        <v>0.8</v>
      </c>
    </row>
    <row r="1573" spans="1:6" x14ac:dyDescent="0.3">
      <c r="A1573" s="106" t="s">
        <v>3967</v>
      </c>
      <c r="B1573" s="97" t="s">
        <v>7472</v>
      </c>
      <c r="C1573" s="106">
        <v>12</v>
      </c>
      <c r="D1573" s="107">
        <v>16526.490000000002</v>
      </c>
      <c r="E1573" s="107">
        <v>695.87</v>
      </c>
      <c r="F1573" s="107">
        <v>-132.46</v>
      </c>
    </row>
    <row r="1574" spans="1:6" x14ac:dyDescent="0.3">
      <c r="A1574" s="106" t="s">
        <v>5587</v>
      </c>
      <c r="B1574" s="97" t="s">
        <v>7473</v>
      </c>
      <c r="C1574" s="106">
        <v>12</v>
      </c>
      <c r="D1574" s="107">
        <v>22.2</v>
      </c>
      <c r="E1574" s="107">
        <v>-1.1499999999999999</v>
      </c>
      <c r="F1574" s="107">
        <v>0.55000000000000004</v>
      </c>
    </row>
    <row r="1575" spans="1:6" x14ac:dyDescent="0.3">
      <c r="A1575" s="106" t="s">
        <v>3968</v>
      </c>
      <c r="B1575" s="97" t="s">
        <v>7474</v>
      </c>
      <c r="C1575" s="106">
        <v>12</v>
      </c>
      <c r="D1575" s="107">
        <v>1861.26</v>
      </c>
      <c r="E1575" s="107">
        <v>-14.51</v>
      </c>
      <c r="F1575" s="107">
        <v>-6.13</v>
      </c>
    </row>
    <row r="1576" spans="1:6" x14ac:dyDescent="0.3">
      <c r="A1576" s="106" t="s">
        <v>5588</v>
      </c>
      <c r="B1576" s="97" t="s">
        <v>7475</v>
      </c>
      <c r="C1576" s="106">
        <v>12</v>
      </c>
      <c r="D1576" s="107">
        <v>58.41</v>
      </c>
      <c r="E1576" s="107">
        <v>2.19</v>
      </c>
      <c r="F1576" s="107">
        <v>0.81</v>
      </c>
    </row>
    <row r="1577" spans="1:6" x14ac:dyDescent="0.3">
      <c r="A1577" s="106" t="s">
        <v>5589</v>
      </c>
      <c r="B1577" s="97" t="s">
        <v>7476</v>
      </c>
      <c r="C1577" s="106">
        <v>12</v>
      </c>
      <c r="D1577" s="107"/>
      <c r="E1577" s="107"/>
      <c r="F1577" s="107"/>
    </row>
    <row r="1578" spans="1:6" x14ac:dyDescent="0.3">
      <c r="A1578" s="106" t="s">
        <v>5590</v>
      </c>
      <c r="B1578" s="97" t="s">
        <v>7477</v>
      </c>
      <c r="C1578" s="106">
        <v>12</v>
      </c>
      <c r="D1578" s="107"/>
      <c r="E1578" s="107"/>
      <c r="F1578" s="107"/>
    </row>
    <row r="1579" spans="1:6" x14ac:dyDescent="0.3">
      <c r="A1579" s="106" t="s">
        <v>5591</v>
      </c>
      <c r="B1579" s="97" t="s">
        <v>7478</v>
      </c>
      <c r="C1579" s="106">
        <v>12</v>
      </c>
      <c r="D1579" s="107"/>
      <c r="E1579" s="107"/>
      <c r="F1579" s="107"/>
    </row>
    <row r="1580" spans="1:6" x14ac:dyDescent="0.3">
      <c r="A1580" s="106" t="s">
        <v>5592</v>
      </c>
      <c r="B1580" s="97" t="s">
        <v>7479</v>
      </c>
      <c r="C1580" s="106">
        <v>12</v>
      </c>
      <c r="D1580" s="107">
        <v>112.11</v>
      </c>
      <c r="E1580" s="107">
        <v>7.32</v>
      </c>
      <c r="F1580" s="107">
        <v>8.61</v>
      </c>
    </row>
    <row r="1581" spans="1:6" x14ac:dyDescent="0.3">
      <c r="A1581" s="106" t="s">
        <v>5593</v>
      </c>
      <c r="B1581" s="97" t="s">
        <v>7480</v>
      </c>
      <c r="C1581" s="106">
        <v>6</v>
      </c>
      <c r="D1581" s="107">
        <v>41.88</v>
      </c>
      <c r="E1581" s="107">
        <v>2.39</v>
      </c>
      <c r="F1581" s="107">
        <v>2.2599999999999998</v>
      </c>
    </row>
    <row r="1582" spans="1:6" x14ac:dyDescent="0.3">
      <c r="A1582" s="106" t="s">
        <v>3969</v>
      </c>
      <c r="B1582" s="97" t="s">
        <v>7481</v>
      </c>
      <c r="C1582" s="106">
        <v>12</v>
      </c>
      <c r="D1582" s="107">
        <v>5330.35</v>
      </c>
      <c r="E1582" s="107">
        <v>125.24</v>
      </c>
      <c r="F1582" s="107">
        <v>156.94</v>
      </c>
    </row>
    <row r="1583" spans="1:6" x14ac:dyDescent="0.3">
      <c r="A1583" s="106" t="s">
        <v>5594</v>
      </c>
      <c r="B1583" s="97" t="s">
        <v>7482</v>
      </c>
      <c r="C1583" s="106">
        <v>12</v>
      </c>
      <c r="D1583" s="107">
        <v>27.56</v>
      </c>
      <c r="E1583" s="107">
        <v>0.94</v>
      </c>
      <c r="F1583" s="107">
        <v>1.1100000000000001</v>
      </c>
    </row>
    <row r="1584" spans="1:6" x14ac:dyDescent="0.3">
      <c r="A1584" s="106" t="s">
        <v>5595</v>
      </c>
      <c r="B1584" s="97" t="s">
        <v>7483</v>
      </c>
      <c r="C1584" s="106">
        <v>12</v>
      </c>
      <c r="D1584" s="107">
        <v>84.38</v>
      </c>
      <c r="E1584" s="107">
        <v>2</v>
      </c>
      <c r="F1584" s="107">
        <v>7.42</v>
      </c>
    </row>
    <row r="1585" spans="1:6" x14ac:dyDescent="0.3">
      <c r="A1585" s="106" t="s">
        <v>5596</v>
      </c>
      <c r="B1585" s="97" t="s">
        <v>7484</v>
      </c>
      <c r="C1585" s="106">
        <v>10</v>
      </c>
      <c r="D1585" s="107"/>
      <c r="E1585" s="107"/>
      <c r="F1585" s="107"/>
    </row>
    <row r="1586" spans="1:6" x14ac:dyDescent="0.3">
      <c r="A1586" s="106" t="s">
        <v>5597</v>
      </c>
      <c r="B1586" s="97" t="s">
        <v>7485</v>
      </c>
      <c r="C1586" s="106">
        <v>12</v>
      </c>
      <c r="D1586" s="107">
        <v>32.21</v>
      </c>
      <c r="E1586" s="107">
        <v>-0.72</v>
      </c>
      <c r="F1586" s="107">
        <v>3.09</v>
      </c>
    </row>
    <row r="1587" spans="1:6" x14ac:dyDescent="0.3">
      <c r="A1587" s="106" t="s">
        <v>5598</v>
      </c>
      <c r="B1587" s="97" t="s">
        <v>7486</v>
      </c>
      <c r="C1587" s="106">
        <v>12</v>
      </c>
      <c r="D1587" s="107"/>
      <c r="E1587" s="107"/>
      <c r="F1587" s="107"/>
    </row>
    <row r="1588" spans="1:6" x14ac:dyDescent="0.3">
      <c r="A1588" s="106" t="s">
        <v>5599</v>
      </c>
      <c r="B1588" s="97" t="s">
        <v>7487</v>
      </c>
      <c r="C1588" s="106">
        <v>12</v>
      </c>
      <c r="D1588" s="107">
        <v>-28</v>
      </c>
      <c r="E1588" s="107">
        <v>-1.05</v>
      </c>
      <c r="F1588" s="107">
        <v>-0.01</v>
      </c>
    </row>
    <row r="1589" spans="1:6" x14ac:dyDescent="0.3">
      <c r="A1589" s="106" t="s">
        <v>5600</v>
      </c>
      <c r="B1589" s="97" t="s">
        <v>7488</v>
      </c>
      <c r="C1589" s="106">
        <v>12</v>
      </c>
      <c r="D1589" s="107">
        <v>49.56</v>
      </c>
      <c r="E1589" s="107">
        <v>0.89</v>
      </c>
      <c r="F1589" s="107">
        <v>0.37</v>
      </c>
    </row>
    <row r="1590" spans="1:6" x14ac:dyDescent="0.3">
      <c r="A1590" s="106" t="s">
        <v>5601</v>
      </c>
      <c r="B1590" s="97" t="s">
        <v>7489</v>
      </c>
      <c r="C1590" s="106">
        <v>12</v>
      </c>
      <c r="D1590" s="107">
        <v>41.35</v>
      </c>
      <c r="E1590" s="107">
        <v>0.4</v>
      </c>
      <c r="F1590" s="107">
        <v>2.14</v>
      </c>
    </row>
    <row r="1591" spans="1:6" x14ac:dyDescent="0.3">
      <c r="A1591" s="106" t="s">
        <v>5602</v>
      </c>
      <c r="B1591" s="97" t="s">
        <v>7490</v>
      </c>
      <c r="C1591" s="106">
        <v>10</v>
      </c>
      <c r="D1591" s="107"/>
      <c r="E1591" s="107"/>
      <c r="F1591" s="107"/>
    </row>
    <row r="1592" spans="1:6" x14ac:dyDescent="0.3">
      <c r="A1592" s="106" t="s">
        <v>5603</v>
      </c>
      <c r="B1592" s="97" t="s">
        <v>7491</v>
      </c>
      <c r="C1592" s="106">
        <v>10</v>
      </c>
      <c r="D1592" s="107"/>
      <c r="E1592" s="107"/>
      <c r="F1592" s="107"/>
    </row>
    <row r="1593" spans="1:6" x14ac:dyDescent="0.3">
      <c r="A1593" s="106" t="s">
        <v>5604</v>
      </c>
      <c r="B1593" s="97" t="s">
        <v>7492</v>
      </c>
      <c r="C1593" s="106">
        <v>12</v>
      </c>
      <c r="D1593" s="107">
        <v>34.94</v>
      </c>
      <c r="E1593" s="107">
        <v>-0.85</v>
      </c>
      <c r="F1593" s="107">
        <v>-5.0999999999999996</v>
      </c>
    </row>
    <row r="1594" spans="1:6" x14ac:dyDescent="0.3">
      <c r="A1594" s="106" t="s">
        <v>5605</v>
      </c>
      <c r="B1594" s="97" t="s">
        <v>7493</v>
      </c>
      <c r="C1594" s="106">
        <v>12</v>
      </c>
      <c r="D1594" s="107">
        <v>45.36</v>
      </c>
      <c r="E1594" s="107">
        <v>-1.75</v>
      </c>
      <c r="F1594" s="107">
        <v>2.85</v>
      </c>
    </row>
    <row r="1595" spans="1:6" x14ac:dyDescent="0.3">
      <c r="A1595" s="106" t="s">
        <v>5606</v>
      </c>
      <c r="B1595" s="97" t="s">
        <v>7494</v>
      </c>
      <c r="C1595" s="106">
        <v>12</v>
      </c>
      <c r="D1595" s="107">
        <v>24.8</v>
      </c>
      <c r="E1595" s="107">
        <v>0.47</v>
      </c>
      <c r="F1595" s="107">
        <v>0.28999999999999998</v>
      </c>
    </row>
    <row r="1596" spans="1:6" x14ac:dyDescent="0.3">
      <c r="A1596" s="106" t="s">
        <v>5607</v>
      </c>
      <c r="B1596" s="97" t="s">
        <v>7495</v>
      </c>
      <c r="C1596" s="106">
        <v>12</v>
      </c>
      <c r="D1596" s="107">
        <v>63.38</v>
      </c>
      <c r="E1596" s="107">
        <v>2.62</v>
      </c>
      <c r="F1596" s="107">
        <v>-0.09</v>
      </c>
    </row>
    <row r="1597" spans="1:6" x14ac:dyDescent="0.3">
      <c r="A1597" s="106" t="s">
        <v>5608</v>
      </c>
      <c r="B1597" s="97" t="s">
        <v>7496</v>
      </c>
      <c r="C1597" s="106">
        <v>12</v>
      </c>
      <c r="D1597" s="107">
        <v>32.28</v>
      </c>
      <c r="E1597" s="107">
        <v>7.0000000000000007E-2</v>
      </c>
      <c r="F1597" s="107">
        <v>-0.28999999999999998</v>
      </c>
    </row>
    <row r="1598" spans="1:6" x14ac:dyDescent="0.3">
      <c r="A1598" s="106" t="s">
        <v>5609</v>
      </c>
      <c r="B1598" s="97" t="s">
        <v>7497</v>
      </c>
      <c r="C1598" s="106">
        <v>12</v>
      </c>
      <c r="D1598" s="107">
        <v>29.55</v>
      </c>
      <c r="E1598" s="107">
        <v>0.17</v>
      </c>
      <c r="F1598" s="107">
        <v>0.22</v>
      </c>
    </row>
    <row r="1599" spans="1:6" x14ac:dyDescent="0.3">
      <c r="A1599" s="106" t="s">
        <v>5610</v>
      </c>
      <c r="B1599" s="97" t="s">
        <v>7498</v>
      </c>
      <c r="C1599" s="106">
        <v>12</v>
      </c>
      <c r="D1599" s="107">
        <v>52.7</v>
      </c>
      <c r="E1599" s="107">
        <v>-1.39</v>
      </c>
      <c r="F1599" s="107">
        <v>3.34</v>
      </c>
    </row>
    <row r="1600" spans="1:6" x14ac:dyDescent="0.3">
      <c r="A1600" s="106" t="s">
        <v>3970</v>
      </c>
      <c r="B1600" s="97" t="s">
        <v>7499</v>
      </c>
      <c r="C1600" s="106">
        <v>12</v>
      </c>
      <c r="D1600" s="107">
        <v>54.55</v>
      </c>
      <c r="E1600" s="107">
        <v>1.8</v>
      </c>
      <c r="F1600" s="107">
        <v>3.84</v>
      </c>
    </row>
    <row r="1601" spans="1:6" x14ac:dyDescent="0.3">
      <c r="A1601" s="106" t="s">
        <v>5611</v>
      </c>
      <c r="B1601" s="97" t="s">
        <v>7500</v>
      </c>
      <c r="C1601" s="106">
        <v>12</v>
      </c>
      <c r="D1601" s="107">
        <v>224.18</v>
      </c>
      <c r="E1601" s="107">
        <v>-1.1299999999999999</v>
      </c>
      <c r="F1601" s="107">
        <v>5.49</v>
      </c>
    </row>
    <row r="1602" spans="1:6" x14ac:dyDescent="0.3">
      <c r="A1602" s="106" t="s">
        <v>5612</v>
      </c>
      <c r="B1602" s="97" t="s">
        <v>7501</v>
      </c>
      <c r="C1602" s="106">
        <v>12</v>
      </c>
      <c r="D1602" s="107">
        <v>136.29</v>
      </c>
      <c r="E1602" s="107">
        <v>-2.48</v>
      </c>
      <c r="F1602" s="107">
        <v>1.9</v>
      </c>
    </row>
    <row r="1603" spans="1:6" x14ac:dyDescent="0.3">
      <c r="A1603" s="106" t="s">
        <v>5613</v>
      </c>
      <c r="B1603" s="97" t="s">
        <v>7502</v>
      </c>
      <c r="C1603" s="106">
        <v>12</v>
      </c>
      <c r="D1603" s="107">
        <v>349.55</v>
      </c>
      <c r="E1603" s="107">
        <v>3.45</v>
      </c>
      <c r="F1603" s="107">
        <v>0.05</v>
      </c>
    </row>
    <row r="1604" spans="1:6" x14ac:dyDescent="0.3">
      <c r="A1604" s="106" t="s">
        <v>5614</v>
      </c>
      <c r="B1604" s="97" t="s">
        <v>7503</v>
      </c>
      <c r="C1604" s="106">
        <v>12</v>
      </c>
      <c r="D1604" s="107">
        <v>52.65</v>
      </c>
      <c r="E1604" s="107">
        <v>0.91</v>
      </c>
      <c r="F1604" s="107">
        <v>2.44</v>
      </c>
    </row>
    <row r="1605" spans="1:6" x14ac:dyDescent="0.3">
      <c r="A1605" s="106" t="s">
        <v>5615</v>
      </c>
      <c r="B1605" s="97" t="s">
        <v>7504</v>
      </c>
      <c r="C1605" s="106">
        <v>12</v>
      </c>
      <c r="D1605" s="107">
        <v>52.64</v>
      </c>
      <c r="E1605" s="107">
        <v>2.54</v>
      </c>
      <c r="F1605" s="107">
        <v>1.59</v>
      </c>
    </row>
    <row r="1606" spans="1:6" x14ac:dyDescent="0.3">
      <c r="A1606" s="106" t="s">
        <v>5616</v>
      </c>
      <c r="B1606" s="97" t="s">
        <v>7505</v>
      </c>
      <c r="C1606" s="106">
        <v>12</v>
      </c>
      <c r="D1606" s="107">
        <v>187.34</v>
      </c>
      <c r="E1606" s="107">
        <v>5.56</v>
      </c>
      <c r="F1606" s="107">
        <v>2.0699999999999998</v>
      </c>
    </row>
    <row r="1607" spans="1:6" x14ac:dyDescent="0.3">
      <c r="A1607" s="106" t="s">
        <v>5617</v>
      </c>
      <c r="B1607" s="97" t="s">
        <v>7506</v>
      </c>
      <c r="C1607" s="106">
        <v>12</v>
      </c>
      <c r="D1607" s="107"/>
      <c r="E1607" s="107"/>
      <c r="F1607" s="107"/>
    </row>
    <row r="1608" spans="1:6" x14ac:dyDescent="0.3">
      <c r="A1608" s="106" t="s">
        <v>5618</v>
      </c>
      <c r="B1608" s="97" t="s">
        <v>7507</v>
      </c>
      <c r="C1608" s="106">
        <v>12</v>
      </c>
      <c r="D1608" s="107">
        <v>13.36</v>
      </c>
      <c r="E1608" s="107">
        <v>0.4</v>
      </c>
      <c r="F1608" s="107">
        <v>-2.0299999999999998</v>
      </c>
    </row>
    <row r="1609" spans="1:6" x14ac:dyDescent="0.3">
      <c r="A1609" s="106" t="s">
        <v>5619</v>
      </c>
      <c r="B1609" s="97" t="s">
        <v>7508</v>
      </c>
      <c r="C1609" s="106">
        <v>12</v>
      </c>
      <c r="D1609" s="107">
        <v>678.22</v>
      </c>
      <c r="E1609" s="107">
        <v>3.41</v>
      </c>
      <c r="F1609" s="107">
        <v>-0.88</v>
      </c>
    </row>
    <row r="1610" spans="1:6" x14ac:dyDescent="0.3">
      <c r="A1610" s="106" t="s">
        <v>5620</v>
      </c>
      <c r="B1610" s="97" t="s">
        <v>7509</v>
      </c>
      <c r="C1610" s="106">
        <v>12</v>
      </c>
      <c r="D1610" s="107">
        <v>4.29</v>
      </c>
      <c r="E1610" s="107">
        <v>-0.24</v>
      </c>
      <c r="F1610" s="107">
        <v>-0.33</v>
      </c>
    </row>
    <row r="1611" spans="1:6" x14ac:dyDescent="0.3">
      <c r="A1611" s="106" t="s">
        <v>5621</v>
      </c>
      <c r="B1611" s="97" t="s">
        <v>7510</v>
      </c>
      <c r="C1611" s="106">
        <v>12</v>
      </c>
      <c r="D1611" s="107">
        <v>51.06</v>
      </c>
      <c r="E1611" s="107">
        <v>0.21</v>
      </c>
      <c r="F1611" s="107">
        <v>2.09</v>
      </c>
    </row>
    <row r="1612" spans="1:6" x14ac:dyDescent="0.3">
      <c r="A1612" s="106" t="s">
        <v>5622</v>
      </c>
      <c r="B1612" s="97" t="s">
        <v>7511</v>
      </c>
      <c r="C1612" s="106">
        <v>12</v>
      </c>
      <c r="D1612" s="107">
        <v>80.75</v>
      </c>
      <c r="E1612" s="107">
        <v>1.87</v>
      </c>
      <c r="F1612" s="107">
        <v>1.05</v>
      </c>
    </row>
    <row r="1613" spans="1:6" x14ac:dyDescent="0.3">
      <c r="A1613" s="106" t="s">
        <v>5623</v>
      </c>
      <c r="B1613" s="97" t="s">
        <v>7512</v>
      </c>
      <c r="C1613" s="106">
        <v>12</v>
      </c>
      <c r="D1613" s="107">
        <v>28.01</v>
      </c>
      <c r="E1613" s="107">
        <v>1.19</v>
      </c>
      <c r="F1613" s="107">
        <v>1.1599999999999999</v>
      </c>
    </row>
    <row r="1614" spans="1:6" x14ac:dyDescent="0.3">
      <c r="A1614" s="106" t="s">
        <v>5624</v>
      </c>
      <c r="B1614" s="97" t="s">
        <v>7513</v>
      </c>
      <c r="C1614" s="106">
        <v>10</v>
      </c>
      <c r="D1614" s="107"/>
      <c r="E1614" s="107"/>
      <c r="F1614" s="107"/>
    </row>
    <row r="1615" spans="1:6" x14ac:dyDescent="0.3">
      <c r="A1615" s="106" t="s">
        <v>5625</v>
      </c>
      <c r="B1615" s="97" t="s">
        <v>7514</v>
      </c>
      <c r="C1615" s="106">
        <v>12</v>
      </c>
      <c r="D1615" s="107">
        <v>89.4</v>
      </c>
      <c r="E1615" s="107">
        <v>4.68</v>
      </c>
      <c r="F1615" s="107">
        <v>0.49</v>
      </c>
    </row>
    <row r="1616" spans="1:6" x14ac:dyDescent="0.3">
      <c r="A1616" s="106" t="s">
        <v>5626</v>
      </c>
      <c r="B1616" s="97" t="s">
        <v>7515</v>
      </c>
      <c r="C1616" s="106">
        <v>12</v>
      </c>
      <c r="D1616" s="107">
        <v>65.400000000000006</v>
      </c>
      <c r="E1616" s="107">
        <v>-2.54</v>
      </c>
      <c r="F1616" s="107">
        <v>0.75</v>
      </c>
    </row>
    <row r="1617" spans="1:6" x14ac:dyDescent="0.3">
      <c r="A1617" s="106" t="s">
        <v>5627</v>
      </c>
      <c r="B1617" s="97" t="s">
        <v>7516</v>
      </c>
      <c r="C1617" s="106">
        <v>12</v>
      </c>
      <c r="D1617" s="107">
        <v>25.13</v>
      </c>
      <c r="E1617" s="107">
        <v>-0.54</v>
      </c>
      <c r="F1617" s="107">
        <v>-0.39</v>
      </c>
    </row>
    <row r="1618" spans="1:6" x14ac:dyDescent="0.3">
      <c r="A1618" s="106" t="s">
        <v>5628</v>
      </c>
      <c r="B1618" s="97" t="s">
        <v>7517</v>
      </c>
      <c r="C1618" s="106">
        <v>12</v>
      </c>
      <c r="D1618" s="107">
        <v>59.4</v>
      </c>
      <c r="E1618" s="107">
        <v>-0.87</v>
      </c>
      <c r="F1618" s="107">
        <v>2.71</v>
      </c>
    </row>
    <row r="1619" spans="1:6" x14ac:dyDescent="0.3">
      <c r="A1619" s="106" t="s">
        <v>5629</v>
      </c>
      <c r="B1619" s="97" t="s">
        <v>7518</v>
      </c>
      <c r="C1619" s="106">
        <v>12</v>
      </c>
      <c r="D1619" s="107">
        <v>28.7</v>
      </c>
      <c r="E1619" s="107">
        <v>0.24</v>
      </c>
      <c r="F1619" s="107">
        <v>0.17</v>
      </c>
    </row>
    <row r="1620" spans="1:6" x14ac:dyDescent="0.3">
      <c r="A1620" s="106" t="s">
        <v>5630</v>
      </c>
      <c r="B1620" s="97" t="s">
        <v>7519</v>
      </c>
      <c r="C1620" s="106">
        <v>12</v>
      </c>
      <c r="D1620" s="107">
        <v>157.71</v>
      </c>
      <c r="E1620" s="107">
        <v>-0.7</v>
      </c>
      <c r="F1620" s="107">
        <v>0</v>
      </c>
    </row>
    <row r="1621" spans="1:6" x14ac:dyDescent="0.3">
      <c r="A1621" s="106" t="s">
        <v>5631</v>
      </c>
      <c r="B1621" s="97" t="s">
        <v>7520</v>
      </c>
      <c r="C1621" s="106">
        <v>12</v>
      </c>
      <c r="D1621" s="107">
        <v>103.42</v>
      </c>
      <c r="E1621" s="107">
        <v>4.54</v>
      </c>
      <c r="F1621" s="107">
        <v>-0.77</v>
      </c>
    </row>
    <row r="1622" spans="1:6" x14ac:dyDescent="0.3">
      <c r="A1622" s="106" t="s">
        <v>5632</v>
      </c>
      <c r="B1622" s="97" t="s">
        <v>7521</v>
      </c>
      <c r="C1622" s="106">
        <v>12</v>
      </c>
      <c r="D1622" s="107">
        <v>120.27</v>
      </c>
      <c r="E1622" s="107">
        <v>0.63</v>
      </c>
      <c r="F1622" s="107">
        <v>2.57</v>
      </c>
    </row>
    <row r="1623" spans="1:6" x14ac:dyDescent="0.3">
      <c r="A1623" s="106" t="s">
        <v>5633</v>
      </c>
      <c r="B1623" s="97" t="s">
        <v>7522</v>
      </c>
      <c r="C1623" s="106">
        <v>12</v>
      </c>
      <c r="D1623" s="107">
        <v>94.12</v>
      </c>
      <c r="E1623" s="107">
        <v>6.22</v>
      </c>
      <c r="F1623" s="107"/>
    </row>
    <row r="1624" spans="1:6" x14ac:dyDescent="0.3">
      <c r="A1624" s="106" t="s">
        <v>5634</v>
      </c>
      <c r="B1624" s="97" t="s">
        <v>7523</v>
      </c>
      <c r="C1624" s="106">
        <v>12</v>
      </c>
      <c r="D1624" s="107">
        <v>37.57</v>
      </c>
      <c r="E1624" s="107">
        <v>-1.08</v>
      </c>
      <c r="F1624" s="107">
        <v>1.87</v>
      </c>
    </row>
    <row r="1625" spans="1:6" x14ac:dyDescent="0.3">
      <c r="A1625" s="106" t="s">
        <v>5635</v>
      </c>
      <c r="B1625" s="97" t="s">
        <v>7524</v>
      </c>
      <c r="C1625" s="106">
        <v>12</v>
      </c>
      <c r="D1625" s="107"/>
      <c r="E1625" s="107"/>
      <c r="F1625" s="107"/>
    </row>
    <row r="1626" spans="1:6" x14ac:dyDescent="0.3">
      <c r="A1626" s="106" t="s">
        <v>5636</v>
      </c>
      <c r="B1626" s="97" t="s">
        <v>7525</v>
      </c>
      <c r="C1626" s="106">
        <v>12</v>
      </c>
      <c r="D1626" s="107">
        <v>57.12</v>
      </c>
      <c r="E1626" s="107">
        <v>1.85</v>
      </c>
      <c r="F1626" s="107">
        <v>0.85</v>
      </c>
    </row>
    <row r="1627" spans="1:6" x14ac:dyDescent="0.3">
      <c r="A1627" s="106" t="s">
        <v>5637</v>
      </c>
      <c r="B1627" s="97" t="s">
        <v>7526</v>
      </c>
      <c r="C1627" s="106">
        <v>12</v>
      </c>
      <c r="D1627" s="107">
        <v>101.82</v>
      </c>
      <c r="E1627" s="107">
        <v>2.57</v>
      </c>
      <c r="F1627" s="107">
        <v>2.25</v>
      </c>
    </row>
    <row r="1628" spans="1:6" x14ac:dyDescent="0.3">
      <c r="A1628" s="106" t="s">
        <v>5638</v>
      </c>
      <c r="B1628" s="97" t="s">
        <v>7527</v>
      </c>
      <c r="C1628" s="106">
        <v>12</v>
      </c>
      <c r="D1628" s="107">
        <v>313.91000000000003</v>
      </c>
      <c r="E1628" s="107">
        <v>9.0500000000000007</v>
      </c>
      <c r="F1628" s="107">
        <v>11.63</v>
      </c>
    </row>
    <row r="1629" spans="1:6" x14ac:dyDescent="0.3">
      <c r="A1629" s="106" t="s">
        <v>5639</v>
      </c>
      <c r="B1629" s="97" t="s">
        <v>7528</v>
      </c>
      <c r="C1629" s="106">
        <v>12</v>
      </c>
      <c r="D1629" s="107">
        <v>77</v>
      </c>
      <c r="E1629" s="107">
        <v>-0.12</v>
      </c>
      <c r="F1629" s="107">
        <v>2.14</v>
      </c>
    </row>
    <row r="1630" spans="1:6" x14ac:dyDescent="0.3">
      <c r="A1630" s="106" t="s">
        <v>5640</v>
      </c>
      <c r="B1630" s="97" t="s">
        <v>7529</v>
      </c>
      <c r="C1630" s="106">
        <v>12</v>
      </c>
      <c r="D1630" s="107">
        <v>130.31</v>
      </c>
      <c r="E1630" s="107">
        <v>3.1</v>
      </c>
      <c r="F1630" s="107">
        <v>6.64</v>
      </c>
    </row>
    <row r="1631" spans="1:6" x14ac:dyDescent="0.3">
      <c r="A1631" s="106" t="s">
        <v>3971</v>
      </c>
      <c r="B1631" s="97" t="s">
        <v>7530</v>
      </c>
      <c r="C1631" s="106">
        <v>12</v>
      </c>
      <c r="D1631" s="107">
        <v>100.89</v>
      </c>
      <c r="E1631" s="107">
        <v>1.1200000000000001</v>
      </c>
      <c r="F1631" s="107">
        <v>7.59</v>
      </c>
    </row>
    <row r="1632" spans="1:6" x14ac:dyDescent="0.3">
      <c r="A1632" s="106" t="s">
        <v>5641</v>
      </c>
      <c r="B1632" s="97" t="s">
        <v>7531</v>
      </c>
      <c r="C1632" s="106">
        <v>10</v>
      </c>
      <c r="D1632" s="107"/>
      <c r="E1632" s="107"/>
      <c r="F1632" s="107"/>
    </row>
    <row r="1633" spans="1:6" x14ac:dyDescent="0.3">
      <c r="A1633" s="106" t="s">
        <v>3972</v>
      </c>
      <c r="B1633" s="97" t="s">
        <v>7532</v>
      </c>
      <c r="C1633" s="106">
        <v>12</v>
      </c>
      <c r="D1633" s="107">
        <v>113.06</v>
      </c>
      <c r="E1633" s="107">
        <v>5.76</v>
      </c>
      <c r="F1633" s="107">
        <v>7.35</v>
      </c>
    </row>
    <row r="1634" spans="1:6" x14ac:dyDescent="0.3">
      <c r="A1634" s="106" t="s">
        <v>5642</v>
      </c>
      <c r="B1634" s="97" t="s">
        <v>7533</v>
      </c>
      <c r="C1634" s="106">
        <v>10</v>
      </c>
      <c r="D1634" s="107"/>
      <c r="E1634" s="107"/>
      <c r="F1634" s="107"/>
    </row>
    <row r="1635" spans="1:6" x14ac:dyDescent="0.3">
      <c r="A1635" s="106" t="s">
        <v>5643</v>
      </c>
      <c r="B1635" s="97" t="s">
        <v>7534</v>
      </c>
      <c r="C1635" s="106">
        <v>10</v>
      </c>
      <c r="D1635" s="107"/>
      <c r="E1635" s="107"/>
      <c r="F1635" s="107"/>
    </row>
    <row r="1636" spans="1:6" x14ac:dyDescent="0.3">
      <c r="A1636" s="106" t="s">
        <v>5644</v>
      </c>
      <c r="B1636" s="97" t="s">
        <v>7535</v>
      </c>
      <c r="C1636" s="106">
        <v>12</v>
      </c>
      <c r="D1636" s="107">
        <v>123.96</v>
      </c>
      <c r="E1636" s="107">
        <v>-11.74</v>
      </c>
      <c r="F1636" s="107">
        <v>-17.059999999999999</v>
      </c>
    </row>
    <row r="1637" spans="1:6" x14ac:dyDescent="0.3">
      <c r="A1637" s="106" t="s">
        <v>3973</v>
      </c>
      <c r="B1637" s="97" t="s">
        <v>7536</v>
      </c>
      <c r="C1637" s="106">
        <v>12</v>
      </c>
      <c r="D1637" s="107">
        <v>976.37</v>
      </c>
      <c r="E1637" s="107">
        <v>27.59</v>
      </c>
      <c r="F1637" s="107">
        <v>27.88</v>
      </c>
    </row>
    <row r="1638" spans="1:6" x14ac:dyDescent="0.3">
      <c r="A1638" s="106" t="s">
        <v>5645</v>
      </c>
      <c r="B1638" s="97" t="s">
        <v>7537</v>
      </c>
      <c r="C1638" s="106">
        <v>12</v>
      </c>
      <c r="D1638" s="107">
        <v>55.84</v>
      </c>
      <c r="E1638" s="107">
        <v>-0.42</v>
      </c>
      <c r="F1638" s="107">
        <v>0.16</v>
      </c>
    </row>
    <row r="1639" spans="1:6" x14ac:dyDescent="0.3">
      <c r="A1639" s="106" t="s">
        <v>5646</v>
      </c>
      <c r="B1639" s="97" t="s">
        <v>7538</v>
      </c>
      <c r="C1639" s="106">
        <v>12</v>
      </c>
      <c r="D1639" s="107">
        <v>306.2</v>
      </c>
      <c r="E1639" s="107">
        <v>-7.58</v>
      </c>
      <c r="F1639" s="107">
        <v>5.61</v>
      </c>
    </row>
    <row r="1640" spans="1:6" x14ac:dyDescent="0.3">
      <c r="A1640" s="106" t="s">
        <v>5647</v>
      </c>
      <c r="B1640" s="97" t="s">
        <v>7539</v>
      </c>
      <c r="C1640" s="106">
        <v>12</v>
      </c>
      <c r="D1640" s="107">
        <v>26.67</v>
      </c>
      <c r="E1640" s="107">
        <v>0.96</v>
      </c>
      <c r="F1640" s="107">
        <v>1.25</v>
      </c>
    </row>
    <row r="1641" spans="1:6" x14ac:dyDescent="0.3">
      <c r="A1641" s="106" t="s">
        <v>5648</v>
      </c>
      <c r="B1641" s="97" t="s">
        <v>7540</v>
      </c>
      <c r="C1641" s="106">
        <v>12</v>
      </c>
      <c r="D1641" s="107">
        <v>40.71</v>
      </c>
      <c r="E1641" s="107">
        <v>0.76</v>
      </c>
      <c r="F1641" s="107">
        <v>2.13</v>
      </c>
    </row>
    <row r="1642" spans="1:6" x14ac:dyDescent="0.3">
      <c r="A1642" s="106" t="s">
        <v>5649</v>
      </c>
      <c r="B1642" s="97" t="s">
        <v>7541</v>
      </c>
      <c r="C1642" s="106">
        <v>12</v>
      </c>
      <c r="D1642" s="107">
        <v>29.23</v>
      </c>
      <c r="E1642" s="107">
        <v>0.53</v>
      </c>
      <c r="F1642" s="107">
        <v>-2.56</v>
      </c>
    </row>
    <row r="1643" spans="1:6" x14ac:dyDescent="0.3">
      <c r="A1643" s="106" t="s">
        <v>5650</v>
      </c>
      <c r="B1643" s="97" t="s">
        <v>7542</v>
      </c>
      <c r="C1643" s="106">
        <v>12</v>
      </c>
      <c r="D1643" s="107">
        <v>36.56</v>
      </c>
      <c r="E1643" s="107">
        <v>-0.13</v>
      </c>
      <c r="F1643" s="107">
        <v>-1</v>
      </c>
    </row>
    <row r="1644" spans="1:6" x14ac:dyDescent="0.3">
      <c r="A1644" s="106" t="s">
        <v>5651</v>
      </c>
      <c r="B1644" s="97" t="s">
        <v>7543</v>
      </c>
      <c r="C1644" s="106">
        <v>12</v>
      </c>
      <c r="D1644" s="107">
        <v>53.24</v>
      </c>
      <c r="E1644" s="107">
        <v>0.77</v>
      </c>
      <c r="F1644" s="107">
        <v>1.41</v>
      </c>
    </row>
    <row r="1645" spans="1:6" x14ac:dyDescent="0.3">
      <c r="A1645" s="106" t="s">
        <v>5652</v>
      </c>
      <c r="B1645" s="97" t="s">
        <v>7544</v>
      </c>
      <c r="C1645" s="106">
        <v>12</v>
      </c>
      <c r="D1645" s="107">
        <v>181.16</v>
      </c>
      <c r="E1645" s="107">
        <v>-7.01</v>
      </c>
      <c r="F1645" s="107">
        <v>2.06</v>
      </c>
    </row>
    <row r="1646" spans="1:6" x14ac:dyDescent="0.3">
      <c r="A1646" s="106" t="s">
        <v>5653</v>
      </c>
      <c r="B1646" s="97" t="s">
        <v>7545</v>
      </c>
      <c r="C1646" s="106">
        <v>12</v>
      </c>
      <c r="D1646" s="107"/>
      <c r="E1646" s="107"/>
      <c r="F1646" s="107"/>
    </row>
    <row r="1647" spans="1:6" x14ac:dyDescent="0.3">
      <c r="A1647" s="106" t="s">
        <v>5654</v>
      </c>
      <c r="B1647" s="97" t="s">
        <v>7546</v>
      </c>
      <c r="C1647" s="106">
        <v>12</v>
      </c>
      <c r="D1647" s="107"/>
      <c r="E1647" s="107"/>
      <c r="F1647" s="107"/>
    </row>
    <row r="1648" spans="1:6" x14ac:dyDescent="0.3">
      <c r="A1648" s="106" t="s">
        <v>5655</v>
      </c>
      <c r="B1648" s="97" t="s">
        <v>7547</v>
      </c>
      <c r="C1648" s="106">
        <v>10</v>
      </c>
      <c r="D1648" s="107"/>
      <c r="E1648" s="107"/>
      <c r="F1648" s="107"/>
    </row>
    <row r="1649" spans="1:6" x14ac:dyDescent="0.3">
      <c r="A1649" s="106" t="s">
        <v>5656</v>
      </c>
      <c r="B1649" s="97" t="s">
        <v>7548</v>
      </c>
      <c r="C1649" s="106">
        <v>12</v>
      </c>
      <c r="D1649" s="107">
        <v>664.17</v>
      </c>
      <c r="E1649" s="107">
        <v>-13.15</v>
      </c>
      <c r="F1649" s="107">
        <v>15.07</v>
      </c>
    </row>
    <row r="1650" spans="1:6" x14ac:dyDescent="0.3">
      <c r="A1650" s="106" t="s">
        <v>3974</v>
      </c>
      <c r="B1650" s="97" t="s">
        <v>7549</v>
      </c>
      <c r="C1650" s="106">
        <v>12</v>
      </c>
      <c r="D1650" s="107">
        <v>135.76</v>
      </c>
      <c r="E1650" s="107">
        <v>4.72</v>
      </c>
      <c r="F1650" s="107">
        <v>4.92</v>
      </c>
    </row>
    <row r="1651" spans="1:6" x14ac:dyDescent="0.3">
      <c r="A1651" s="106" t="s">
        <v>5657</v>
      </c>
      <c r="B1651" s="97" t="s">
        <v>7550</v>
      </c>
      <c r="C1651" s="106">
        <v>12</v>
      </c>
      <c r="D1651" s="107"/>
      <c r="E1651" s="107"/>
      <c r="F1651" s="107"/>
    </row>
    <row r="1652" spans="1:6" x14ac:dyDescent="0.3">
      <c r="A1652" s="106" t="s">
        <v>5658</v>
      </c>
      <c r="B1652" s="97" t="s">
        <v>7551</v>
      </c>
      <c r="C1652" s="106">
        <v>12</v>
      </c>
      <c r="D1652" s="107"/>
      <c r="E1652" s="107"/>
      <c r="F1652" s="107"/>
    </row>
    <row r="1653" spans="1:6" x14ac:dyDescent="0.3">
      <c r="A1653" s="106" t="s">
        <v>5659</v>
      </c>
      <c r="B1653" s="97" t="s">
        <v>7552</v>
      </c>
      <c r="C1653" s="106">
        <v>12</v>
      </c>
      <c r="D1653" s="107"/>
      <c r="E1653" s="107"/>
      <c r="F1653" s="107"/>
    </row>
    <row r="1654" spans="1:6" x14ac:dyDescent="0.3">
      <c r="A1654" s="106" t="s">
        <v>5660</v>
      </c>
      <c r="B1654" s="97" t="s">
        <v>7553</v>
      </c>
      <c r="C1654" s="106">
        <v>12</v>
      </c>
      <c r="D1654" s="107"/>
      <c r="E1654" s="107"/>
      <c r="F1654" s="107"/>
    </row>
    <row r="1655" spans="1:6" x14ac:dyDescent="0.3">
      <c r="A1655" s="106" t="s">
        <v>5661</v>
      </c>
      <c r="B1655" s="97" t="s">
        <v>7554</v>
      </c>
      <c r="C1655" s="106">
        <v>12</v>
      </c>
      <c r="D1655" s="107">
        <v>33.51</v>
      </c>
      <c r="E1655" s="107">
        <v>0.42</v>
      </c>
      <c r="F1655" s="107">
        <v>-0.5</v>
      </c>
    </row>
    <row r="1656" spans="1:6" x14ac:dyDescent="0.3">
      <c r="A1656" s="106" t="s">
        <v>3975</v>
      </c>
      <c r="B1656" s="97" t="s">
        <v>7555</v>
      </c>
      <c r="C1656" s="106">
        <v>12</v>
      </c>
      <c r="D1656" s="107">
        <v>25083.34</v>
      </c>
      <c r="E1656" s="107">
        <v>532.87</v>
      </c>
      <c r="F1656" s="107">
        <v>735.99</v>
      </c>
    </row>
    <row r="1657" spans="1:6" x14ac:dyDescent="0.3">
      <c r="A1657" s="106" t="s">
        <v>3976</v>
      </c>
      <c r="B1657" s="97" t="s">
        <v>7556</v>
      </c>
      <c r="C1657" s="106">
        <v>12</v>
      </c>
      <c r="D1657" s="107">
        <v>238.47</v>
      </c>
      <c r="E1657" s="107">
        <v>12.21</v>
      </c>
      <c r="F1657" s="107">
        <v>17.940000000000001</v>
      </c>
    </row>
    <row r="1658" spans="1:6" x14ac:dyDescent="0.3">
      <c r="A1658" s="106" t="s">
        <v>5662</v>
      </c>
      <c r="B1658" s="97" t="s">
        <v>7557</v>
      </c>
      <c r="C1658" s="106">
        <v>12</v>
      </c>
      <c r="D1658" s="107">
        <v>64.25</v>
      </c>
      <c r="E1658" s="107">
        <v>1.75</v>
      </c>
      <c r="F1658" s="107">
        <v>2.91</v>
      </c>
    </row>
    <row r="1659" spans="1:6" x14ac:dyDescent="0.3">
      <c r="A1659" s="106" t="s">
        <v>5663</v>
      </c>
      <c r="B1659" s="97" t="s">
        <v>7558</v>
      </c>
      <c r="C1659" s="106">
        <v>10</v>
      </c>
      <c r="D1659" s="107"/>
      <c r="E1659" s="107"/>
      <c r="F1659" s="107"/>
    </row>
    <row r="1660" spans="1:6" x14ac:dyDescent="0.3">
      <c r="A1660" s="106" t="s">
        <v>5664</v>
      </c>
      <c r="B1660" s="97" t="s">
        <v>7559</v>
      </c>
      <c r="C1660" s="106">
        <v>12</v>
      </c>
      <c r="D1660" s="107">
        <v>112.3</v>
      </c>
      <c r="E1660" s="107">
        <v>-0.73</v>
      </c>
      <c r="F1660" s="107">
        <v>3.5</v>
      </c>
    </row>
    <row r="1661" spans="1:6" x14ac:dyDescent="0.3">
      <c r="A1661" s="106" t="s">
        <v>5665</v>
      </c>
      <c r="B1661" s="97" t="s">
        <v>7560</v>
      </c>
      <c r="C1661" s="106">
        <v>12</v>
      </c>
      <c r="D1661" s="107">
        <v>34.28</v>
      </c>
      <c r="E1661" s="107">
        <v>-0.87</v>
      </c>
      <c r="F1661" s="107">
        <v>2.16</v>
      </c>
    </row>
    <row r="1662" spans="1:6" x14ac:dyDescent="0.3">
      <c r="A1662" s="106" t="s">
        <v>5666</v>
      </c>
      <c r="B1662" s="97" t="s">
        <v>7561</v>
      </c>
      <c r="C1662" s="106">
        <v>12</v>
      </c>
      <c r="D1662" s="107">
        <v>78.89</v>
      </c>
      <c r="E1662" s="107">
        <v>2.65</v>
      </c>
      <c r="F1662" s="107">
        <v>4.5</v>
      </c>
    </row>
    <row r="1663" spans="1:6" x14ac:dyDescent="0.3">
      <c r="A1663" s="106" t="s">
        <v>5667</v>
      </c>
      <c r="B1663" s="97" t="s">
        <v>7562</v>
      </c>
      <c r="C1663" s="106">
        <v>12</v>
      </c>
      <c r="D1663" s="107">
        <v>100.31</v>
      </c>
      <c r="E1663" s="107">
        <v>-1.68</v>
      </c>
      <c r="F1663" s="107">
        <v>8.31</v>
      </c>
    </row>
    <row r="1664" spans="1:6" x14ac:dyDescent="0.3">
      <c r="A1664" s="106" t="s">
        <v>5668</v>
      </c>
      <c r="B1664" s="97" t="s">
        <v>7563</v>
      </c>
      <c r="C1664" s="106">
        <v>12</v>
      </c>
      <c r="D1664" s="107">
        <v>45.16</v>
      </c>
      <c r="E1664" s="107">
        <v>3.5</v>
      </c>
      <c r="F1664" s="107"/>
    </row>
    <row r="1665" spans="1:6" x14ac:dyDescent="0.3">
      <c r="A1665" s="106" t="s">
        <v>5669</v>
      </c>
      <c r="B1665" s="97" t="s">
        <v>7564</v>
      </c>
      <c r="C1665" s="106">
        <v>10</v>
      </c>
      <c r="D1665" s="107"/>
      <c r="E1665" s="107"/>
      <c r="F1665" s="107"/>
    </row>
    <row r="1666" spans="1:6" x14ac:dyDescent="0.3">
      <c r="A1666" s="106" t="s">
        <v>5670</v>
      </c>
      <c r="B1666" s="97" t="s">
        <v>7565</v>
      </c>
      <c r="C1666" s="106">
        <v>12</v>
      </c>
      <c r="D1666" s="107">
        <v>127.97</v>
      </c>
      <c r="E1666" s="107">
        <v>10.39</v>
      </c>
      <c r="F1666" s="107">
        <v>10.84</v>
      </c>
    </row>
    <row r="1667" spans="1:6" x14ac:dyDescent="0.3">
      <c r="A1667" s="106" t="s">
        <v>5671</v>
      </c>
      <c r="B1667" s="97" t="s">
        <v>7566</v>
      </c>
      <c r="C1667" s="106">
        <v>12</v>
      </c>
      <c r="D1667" s="107">
        <v>102.19</v>
      </c>
      <c r="E1667" s="107">
        <v>4.7300000000000004</v>
      </c>
      <c r="F1667" s="107">
        <v>3.75</v>
      </c>
    </row>
    <row r="1668" spans="1:6" x14ac:dyDescent="0.3">
      <c r="A1668" s="106" t="s">
        <v>3977</v>
      </c>
      <c r="B1668" s="97" t="s">
        <v>7567</v>
      </c>
      <c r="C1668" s="106">
        <v>12</v>
      </c>
      <c r="D1668" s="107">
        <v>251.85</v>
      </c>
      <c r="E1668" s="107">
        <v>5.25</v>
      </c>
      <c r="F1668" s="107">
        <v>13.37</v>
      </c>
    </row>
    <row r="1669" spans="1:6" x14ac:dyDescent="0.3">
      <c r="A1669" s="106" t="s">
        <v>3978</v>
      </c>
      <c r="B1669" s="97" t="s">
        <v>7568</v>
      </c>
      <c r="C1669" s="106">
        <v>12</v>
      </c>
      <c r="D1669" s="107">
        <v>113.15</v>
      </c>
      <c r="E1669" s="107">
        <v>4.1900000000000004</v>
      </c>
      <c r="F1669" s="107">
        <v>3.7</v>
      </c>
    </row>
    <row r="1670" spans="1:6" x14ac:dyDescent="0.3">
      <c r="A1670" s="106" t="s">
        <v>5672</v>
      </c>
      <c r="B1670" s="97" t="s">
        <v>7569</v>
      </c>
      <c r="C1670" s="106">
        <v>12</v>
      </c>
      <c r="D1670" s="107"/>
      <c r="E1670" s="107"/>
      <c r="F1670" s="107"/>
    </row>
    <row r="1671" spans="1:6" x14ac:dyDescent="0.3">
      <c r="A1671" s="106" t="s">
        <v>5673</v>
      </c>
      <c r="B1671" s="97" t="s">
        <v>7570</v>
      </c>
      <c r="C1671" s="106">
        <v>12</v>
      </c>
      <c r="D1671" s="107"/>
      <c r="E1671" s="107"/>
      <c r="F1671" s="107"/>
    </row>
    <row r="1672" spans="1:6" x14ac:dyDescent="0.3">
      <c r="A1672" s="106" t="s">
        <v>5674</v>
      </c>
      <c r="B1672" s="97" t="s">
        <v>7571</v>
      </c>
      <c r="C1672" s="106">
        <v>10</v>
      </c>
      <c r="D1672" s="107"/>
      <c r="E1672" s="107"/>
      <c r="F1672" s="107"/>
    </row>
    <row r="1673" spans="1:6" x14ac:dyDescent="0.3">
      <c r="A1673" s="106" t="s">
        <v>5675</v>
      </c>
      <c r="B1673" s="97" t="s">
        <v>7572</v>
      </c>
      <c r="C1673" s="106">
        <v>12</v>
      </c>
      <c r="D1673" s="107"/>
      <c r="E1673" s="107"/>
      <c r="F1673" s="107"/>
    </row>
    <row r="1674" spans="1:6" x14ac:dyDescent="0.3">
      <c r="A1674" s="106" t="s">
        <v>5676</v>
      </c>
      <c r="B1674" s="97" t="s">
        <v>7573</v>
      </c>
      <c r="C1674" s="106">
        <v>12</v>
      </c>
      <c r="D1674" s="107"/>
      <c r="E1674" s="107"/>
      <c r="F1674" s="107"/>
    </row>
    <row r="1675" spans="1:6" x14ac:dyDescent="0.3">
      <c r="A1675" s="106" t="s">
        <v>5677</v>
      </c>
      <c r="B1675" s="97" t="s">
        <v>7574</v>
      </c>
      <c r="C1675" s="106">
        <v>12</v>
      </c>
      <c r="D1675" s="107">
        <v>733.83</v>
      </c>
      <c r="E1675" s="107">
        <v>24.01</v>
      </c>
      <c r="F1675" s="107">
        <v>14.86</v>
      </c>
    </row>
    <row r="1676" spans="1:6" x14ac:dyDescent="0.3">
      <c r="A1676" s="106" t="s">
        <v>5678</v>
      </c>
      <c r="B1676" s="97" t="s">
        <v>7575</v>
      </c>
      <c r="C1676" s="106">
        <v>12</v>
      </c>
      <c r="D1676" s="107">
        <v>37.54</v>
      </c>
      <c r="E1676" s="107">
        <v>2.15</v>
      </c>
      <c r="F1676" s="107">
        <v>0.59</v>
      </c>
    </row>
    <row r="1677" spans="1:6" x14ac:dyDescent="0.3">
      <c r="A1677" s="106" t="s">
        <v>5679</v>
      </c>
      <c r="B1677" s="97" t="s">
        <v>7576</v>
      </c>
      <c r="C1677" s="106">
        <v>12</v>
      </c>
      <c r="D1677" s="107">
        <v>15.11</v>
      </c>
      <c r="E1677" s="107">
        <v>-0.21</v>
      </c>
      <c r="F1677" s="107">
        <v>-1.4</v>
      </c>
    </row>
    <row r="1678" spans="1:6" x14ac:dyDescent="0.3">
      <c r="A1678" s="106" t="s">
        <v>5680</v>
      </c>
      <c r="B1678" s="97" t="s">
        <v>7577</v>
      </c>
      <c r="C1678" s="106">
        <v>12</v>
      </c>
      <c r="D1678" s="107">
        <v>24.32</v>
      </c>
      <c r="E1678" s="107">
        <v>0.55000000000000004</v>
      </c>
      <c r="F1678" s="107">
        <v>1.1499999999999999</v>
      </c>
    </row>
    <row r="1679" spans="1:6" x14ac:dyDescent="0.3">
      <c r="A1679" s="106" t="s">
        <v>5681</v>
      </c>
      <c r="B1679" s="97" t="s">
        <v>7578</v>
      </c>
      <c r="C1679" s="106">
        <v>12</v>
      </c>
      <c r="D1679" s="107">
        <v>27.86</v>
      </c>
      <c r="E1679" s="107">
        <v>0.6</v>
      </c>
      <c r="F1679" s="107">
        <v>-0.32</v>
      </c>
    </row>
    <row r="1680" spans="1:6" x14ac:dyDescent="0.3">
      <c r="A1680" s="106" t="s">
        <v>5682</v>
      </c>
      <c r="B1680" s="97" t="s">
        <v>7579</v>
      </c>
      <c r="C1680" s="106">
        <v>12</v>
      </c>
      <c r="D1680" s="107">
        <v>13.7</v>
      </c>
      <c r="E1680" s="107">
        <v>-0.37</v>
      </c>
      <c r="F1680" s="107">
        <v>-0.02</v>
      </c>
    </row>
    <row r="1681" spans="1:6" x14ac:dyDescent="0.3">
      <c r="A1681" s="106" t="s">
        <v>5683</v>
      </c>
      <c r="B1681" s="97" t="s">
        <v>7580</v>
      </c>
      <c r="C1681" s="106">
        <v>12</v>
      </c>
      <c r="D1681" s="107">
        <v>87.5</v>
      </c>
      <c r="E1681" s="107">
        <v>1.99</v>
      </c>
      <c r="F1681" s="107">
        <v>5.44</v>
      </c>
    </row>
    <row r="1682" spans="1:6" x14ac:dyDescent="0.3">
      <c r="A1682" s="106" t="s">
        <v>5684</v>
      </c>
      <c r="B1682" s="97" t="s">
        <v>7581</v>
      </c>
      <c r="C1682" s="106">
        <v>12</v>
      </c>
      <c r="D1682" s="107">
        <v>7.37</v>
      </c>
      <c r="E1682" s="107">
        <v>-0.72</v>
      </c>
      <c r="F1682" s="107">
        <v>0.17</v>
      </c>
    </row>
    <row r="1683" spans="1:6" x14ac:dyDescent="0.3">
      <c r="A1683" s="106" t="s">
        <v>5685</v>
      </c>
      <c r="B1683" s="97" t="s">
        <v>7582</v>
      </c>
      <c r="C1683" s="106">
        <v>12</v>
      </c>
      <c r="D1683" s="107">
        <v>22.53</v>
      </c>
      <c r="E1683" s="107">
        <v>-2.97</v>
      </c>
      <c r="F1683" s="107">
        <v>-3.59</v>
      </c>
    </row>
    <row r="1684" spans="1:6" x14ac:dyDescent="0.3">
      <c r="A1684" s="106" t="s">
        <v>5686</v>
      </c>
      <c r="B1684" s="97" t="s">
        <v>7583</v>
      </c>
      <c r="C1684" s="106">
        <v>12</v>
      </c>
      <c r="D1684" s="107">
        <v>12.14</v>
      </c>
      <c r="E1684" s="107">
        <v>-2.64</v>
      </c>
      <c r="F1684" s="107">
        <v>0.23</v>
      </c>
    </row>
    <row r="1685" spans="1:6" x14ac:dyDescent="0.3">
      <c r="A1685" s="106" t="s">
        <v>5687</v>
      </c>
      <c r="B1685" s="97" t="s">
        <v>7584</v>
      </c>
      <c r="C1685" s="106">
        <v>12</v>
      </c>
      <c r="D1685" s="107">
        <v>61.18</v>
      </c>
      <c r="E1685" s="107">
        <v>-14.25</v>
      </c>
      <c r="F1685" s="107">
        <v>-16.96</v>
      </c>
    </row>
    <row r="1686" spans="1:6" x14ac:dyDescent="0.3">
      <c r="A1686" s="106" t="s">
        <v>5688</v>
      </c>
      <c r="B1686" s="97" t="s">
        <v>7585</v>
      </c>
      <c r="C1686" s="106">
        <v>12</v>
      </c>
      <c r="D1686" s="107">
        <v>8.66</v>
      </c>
      <c r="E1686" s="107">
        <v>-0.28999999999999998</v>
      </c>
      <c r="F1686" s="107">
        <v>0.56000000000000005</v>
      </c>
    </row>
    <row r="1687" spans="1:6" x14ac:dyDescent="0.3">
      <c r="A1687" s="106" t="s">
        <v>3979</v>
      </c>
      <c r="B1687" s="97" t="s">
        <v>7586</v>
      </c>
      <c r="C1687" s="106">
        <v>12</v>
      </c>
      <c r="D1687" s="107">
        <v>835.94</v>
      </c>
      <c r="E1687" s="107">
        <v>21.7</v>
      </c>
      <c r="F1687" s="107">
        <v>65.58</v>
      </c>
    </row>
    <row r="1688" spans="1:6" x14ac:dyDescent="0.3">
      <c r="A1688" s="106" t="s">
        <v>5689</v>
      </c>
      <c r="B1688" s="97" t="s">
        <v>7587</v>
      </c>
      <c r="C1688" s="106">
        <v>12</v>
      </c>
      <c r="D1688" s="107">
        <v>33.67</v>
      </c>
      <c r="E1688" s="107">
        <v>1.5</v>
      </c>
      <c r="F1688" s="107">
        <v>1.08</v>
      </c>
    </row>
    <row r="1689" spans="1:6" x14ac:dyDescent="0.3">
      <c r="A1689" s="106" t="s">
        <v>5690</v>
      </c>
      <c r="B1689" s="97" t="s">
        <v>7588</v>
      </c>
      <c r="C1689" s="106">
        <v>12</v>
      </c>
      <c r="D1689" s="107">
        <v>76.25</v>
      </c>
      <c r="E1689" s="107">
        <v>0.67</v>
      </c>
      <c r="F1689" s="107">
        <v>2.46</v>
      </c>
    </row>
    <row r="1690" spans="1:6" x14ac:dyDescent="0.3">
      <c r="A1690" s="106" t="s">
        <v>3980</v>
      </c>
      <c r="B1690" s="97" t="s">
        <v>7589</v>
      </c>
      <c r="C1690" s="106">
        <v>12</v>
      </c>
      <c r="D1690" s="107">
        <v>345</v>
      </c>
      <c r="E1690" s="107">
        <v>4.45</v>
      </c>
      <c r="F1690" s="107">
        <v>-1.68</v>
      </c>
    </row>
    <row r="1691" spans="1:6" x14ac:dyDescent="0.3">
      <c r="A1691" s="106" t="s">
        <v>5691</v>
      </c>
      <c r="B1691" s="97" t="s">
        <v>7590</v>
      </c>
      <c r="C1691" s="106">
        <v>12</v>
      </c>
      <c r="D1691" s="107">
        <v>57.31</v>
      </c>
      <c r="E1691" s="107">
        <v>1.29</v>
      </c>
      <c r="F1691" s="107">
        <v>3.24</v>
      </c>
    </row>
    <row r="1692" spans="1:6" x14ac:dyDescent="0.3">
      <c r="A1692" s="106" t="s">
        <v>3981</v>
      </c>
      <c r="B1692" s="97" t="s">
        <v>7591</v>
      </c>
      <c r="C1692" s="106">
        <v>12</v>
      </c>
      <c r="D1692" s="107">
        <v>298.63</v>
      </c>
      <c r="E1692" s="107">
        <v>41.01</v>
      </c>
      <c r="F1692" s="107">
        <v>35.69</v>
      </c>
    </row>
    <row r="1693" spans="1:6" x14ac:dyDescent="0.3">
      <c r="A1693" s="106" t="s">
        <v>5692</v>
      </c>
      <c r="B1693" s="97" t="s">
        <v>7592</v>
      </c>
      <c r="C1693" s="106">
        <v>12</v>
      </c>
      <c r="D1693" s="107"/>
      <c r="E1693" s="107"/>
      <c r="F1693" s="107"/>
    </row>
    <row r="1694" spans="1:6" x14ac:dyDescent="0.3">
      <c r="A1694" s="106" t="s">
        <v>5693</v>
      </c>
      <c r="B1694" s="97" t="s">
        <v>7593</v>
      </c>
      <c r="C1694" s="106">
        <v>12</v>
      </c>
      <c r="D1694" s="107">
        <v>116.43</v>
      </c>
      <c r="E1694" s="107">
        <v>-2.2200000000000002</v>
      </c>
      <c r="F1694" s="107">
        <v>-1.41</v>
      </c>
    </row>
    <row r="1695" spans="1:6" x14ac:dyDescent="0.3">
      <c r="A1695" s="106" t="s">
        <v>5694</v>
      </c>
      <c r="B1695" s="97" t="s">
        <v>7594</v>
      </c>
      <c r="C1695" s="106">
        <v>12</v>
      </c>
      <c r="D1695" s="107">
        <v>37.450000000000003</v>
      </c>
      <c r="E1695" s="107">
        <v>2.7</v>
      </c>
      <c r="F1695" s="107">
        <v>2.58</v>
      </c>
    </row>
    <row r="1696" spans="1:6" x14ac:dyDescent="0.3">
      <c r="A1696" s="106" t="s">
        <v>5695</v>
      </c>
      <c r="B1696" s="97" t="s">
        <v>7595</v>
      </c>
      <c r="C1696" s="106">
        <v>12</v>
      </c>
      <c r="D1696" s="107"/>
      <c r="E1696" s="107"/>
      <c r="F1696" s="107"/>
    </row>
    <row r="1697" spans="1:6" x14ac:dyDescent="0.3">
      <c r="A1697" s="106" t="s">
        <v>5696</v>
      </c>
      <c r="B1697" s="97" t="s">
        <v>7596</v>
      </c>
      <c r="C1697" s="106">
        <v>12</v>
      </c>
      <c r="D1697" s="107">
        <v>53.81</v>
      </c>
      <c r="E1697" s="107">
        <v>0.03</v>
      </c>
      <c r="F1697" s="107">
        <v>0.28999999999999998</v>
      </c>
    </row>
    <row r="1698" spans="1:6" x14ac:dyDescent="0.3">
      <c r="A1698" s="106" t="s">
        <v>5697</v>
      </c>
      <c r="B1698" s="97" t="s">
        <v>7597</v>
      </c>
      <c r="C1698" s="106">
        <v>12</v>
      </c>
      <c r="D1698" s="107"/>
      <c r="E1698" s="107"/>
      <c r="F1698" s="107"/>
    </row>
    <row r="1699" spans="1:6" x14ac:dyDescent="0.3">
      <c r="A1699" s="106" t="s">
        <v>5698</v>
      </c>
      <c r="B1699" s="97" t="s">
        <v>7598</v>
      </c>
      <c r="C1699" s="106">
        <v>12</v>
      </c>
      <c r="D1699" s="107"/>
      <c r="E1699" s="107"/>
      <c r="F1699" s="107"/>
    </row>
    <row r="1700" spans="1:6" x14ac:dyDescent="0.3">
      <c r="A1700" s="106" t="s">
        <v>5699</v>
      </c>
      <c r="B1700" s="97" t="s">
        <v>7599</v>
      </c>
      <c r="C1700" s="106">
        <v>12</v>
      </c>
      <c r="D1700" s="107">
        <v>16.82</v>
      </c>
      <c r="E1700" s="107">
        <v>-1.46</v>
      </c>
      <c r="F1700" s="107">
        <v>0.41</v>
      </c>
    </row>
    <row r="1701" spans="1:6" x14ac:dyDescent="0.3">
      <c r="A1701" s="106" t="s">
        <v>5700</v>
      </c>
      <c r="B1701" s="97" t="s">
        <v>7600</v>
      </c>
      <c r="C1701" s="106">
        <v>12</v>
      </c>
      <c r="D1701" s="107">
        <v>57.41</v>
      </c>
      <c r="E1701" s="107">
        <v>0.71</v>
      </c>
      <c r="F1701" s="107">
        <v>1.55</v>
      </c>
    </row>
    <row r="1702" spans="1:6" x14ac:dyDescent="0.3">
      <c r="A1702" s="106" t="s">
        <v>5701</v>
      </c>
      <c r="B1702" s="97" t="s">
        <v>7601</v>
      </c>
      <c r="C1702" s="106">
        <v>9</v>
      </c>
      <c r="D1702" s="107"/>
      <c r="E1702" s="107"/>
      <c r="F1702" s="107"/>
    </row>
    <row r="1703" spans="1:6" x14ac:dyDescent="0.3">
      <c r="A1703" s="106" t="s">
        <v>5702</v>
      </c>
      <c r="B1703" s="97" t="s">
        <v>7602</v>
      </c>
      <c r="C1703" s="106">
        <v>12</v>
      </c>
      <c r="D1703" s="107"/>
      <c r="E1703" s="107"/>
      <c r="F1703" s="107"/>
    </row>
    <row r="1704" spans="1:6" x14ac:dyDescent="0.3">
      <c r="A1704" s="106" t="s">
        <v>5703</v>
      </c>
      <c r="B1704" s="97" t="s">
        <v>7603</v>
      </c>
      <c r="C1704" s="106">
        <v>12</v>
      </c>
      <c r="D1704" s="107">
        <v>402.05</v>
      </c>
      <c r="E1704" s="107">
        <v>3</v>
      </c>
      <c r="F1704" s="107">
        <v>6.79</v>
      </c>
    </row>
    <row r="1705" spans="1:6" x14ac:dyDescent="0.3">
      <c r="A1705" s="106" t="s">
        <v>5704</v>
      </c>
      <c r="B1705" s="97" t="s">
        <v>7604</v>
      </c>
      <c r="C1705" s="106">
        <v>12</v>
      </c>
      <c r="D1705" s="107">
        <v>44.46</v>
      </c>
      <c r="E1705" s="107">
        <v>3.04</v>
      </c>
      <c r="F1705" s="107">
        <v>2.74</v>
      </c>
    </row>
    <row r="1706" spans="1:6" x14ac:dyDescent="0.3">
      <c r="A1706" s="106" t="s">
        <v>3982</v>
      </c>
      <c r="B1706" s="97" t="s">
        <v>7605</v>
      </c>
      <c r="C1706" s="106">
        <v>12</v>
      </c>
      <c r="D1706" s="107">
        <v>609.53</v>
      </c>
      <c r="E1706" s="107">
        <v>20</v>
      </c>
      <c r="F1706" s="107">
        <v>21.54</v>
      </c>
    </row>
    <row r="1707" spans="1:6" x14ac:dyDescent="0.3">
      <c r="A1707" s="106" t="s">
        <v>5705</v>
      </c>
      <c r="B1707" s="97" t="s">
        <v>7606</v>
      </c>
      <c r="C1707" s="106">
        <v>12</v>
      </c>
      <c r="D1707" s="107">
        <v>32.909999999999997</v>
      </c>
      <c r="E1707" s="107">
        <v>-1.1499999999999999</v>
      </c>
      <c r="F1707" s="107">
        <v>0.92</v>
      </c>
    </row>
    <row r="1708" spans="1:6" x14ac:dyDescent="0.3">
      <c r="A1708" s="106" t="s">
        <v>5706</v>
      </c>
      <c r="B1708" s="97" t="s">
        <v>7607</v>
      </c>
      <c r="C1708" s="106">
        <v>12</v>
      </c>
      <c r="D1708" s="107">
        <v>14.52</v>
      </c>
      <c r="E1708" s="107">
        <v>0.27</v>
      </c>
      <c r="F1708" s="107">
        <v>-1.64</v>
      </c>
    </row>
    <row r="1709" spans="1:6" x14ac:dyDescent="0.3">
      <c r="A1709" s="106" t="s">
        <v>5707</v>
      </c>
      <c r="B1709" s="97" t="s">
        <v>7608</v>
      </c>
      <c r="C1709" s="106">
        <v>12</v>
      </c>
      <c r="D1709" s="107">
        <v>36.9</v>
      </c>
      <c r="E1709" s="107">
        <v>0.06</v>
      </c>
      <c r="F1709" s="107">
        <v>1.21</v>
      </c>
    </row>
    <row r="1710" spans="1:6" x14ac:dyDescent="0.3">
      <c r="A1710" s="106" t="s">
        <v>5708</v>
      </c>
      <c r="B1710" s="97" t="s">
        <v>7609</v>
      </c>
      <c r="C1710" s="106">
        <v>12</v>
      </c>
      <c r="D1710" s="107">
        <v>15.82</v>
      </c>
      <c r="E1710" s="107">
        <v>-0.11</v>
      </c>
      <c r="F1710" s="107">
        <v>1.0900000000000001</v>
      </c>
    </row>
    <row r="1711" spans="1:6" x14ac:dyDescent="0.3">
      <c r="A1711" s="106" t="s">
        <v>5709</v>
      </c>
      <c r="B1711" s="97" t="s">
        <v>7610</v>
      </c>
      <c r="C1711" s="106">
        <v>12</v>
      </c>
      <c r="D1711" s="107">
        <v>39.049999999999997</v>
      </c>
      <c r="E1711" s="107">
        <v>0.05</v>
      </c>
      <c r="F1711" s="107">
        <v>1.65</v>
      </c>
    </row>
    <row r="1712" spans="1:6" x14ac:dyDescent="0.3">
      <c r="A1712" s="106" t="s">
        <v>5710</v>
      </c>
      <c r="B1712" s="97" t="s">
        <v>7611</v>
      </c>
      <c r="C1712" s="106">
        <v>12</v>
      </c>
      <c r="D1712" s="107">
        <v>53.46</v>
      </c>
      <c r="E1712" s="107">
        <v>0.2</v>
      </c>
      <c r="F1712" s="107">
        <v>4.96</v>
      </c>
    </row>
    <row r="1713" spans="1:6" x14ac:dyDescent="0.3">
      <c r="A1713" s="106" t="s">
        <v>5711</v>
      </c>
      <c r="B1713" s="97" t="s">
        <v>7612</v>
      </c>
      <c r="C1713" s="106">
        <v>12</v>
      </c>
      <c r="D1713" s="107">
        <v>26.81</v>
      </c>
      <c r="E1713" s="107">
        <v>-0.05</v>
      </c>
      <c r="F1713" s="107">
        <v>-0.53</v>
      </c>
    </row>
    <row r="1714" spans="1:6" x14ac:dyDescent="0.3">
      <c r="A1714" s="106" t="s">
        <v>5712</v>
      </c>
      <c r="B1714" s="97" t="s">
        <v>7613</v>
      </c>
      <c r="C1714" s="106">
        <v>10</v>
      </c>
      <c r="D1714" s="107"/>
      <c r="E1714" s="107"/>
      <c r="F1714" s="107"/>
    </row>
    <row r="1715" spans="1:6" x14ac:dyDescent="0.3">
      <c r="A1715" s="106" t="s">
        <v>5713</v>
      </c>
      <c r="B1715" s="97" t="s">
        <v>7614</v>
      </c>
      <c r="C1715" s="106">
        <v>12</v>
      </c>
      <c r="D1715" s="107">
        <v>272.79000000000002</v>
      </c>
      <c r="E1715" s="107">
        <v>13.82</v>
      </c>
      <c r="F1715" s="107">
        <v>-5.65</v>
      </c>
    </row>
    <row r="1716" spans="1:6" x14ac:dyDescent="0.3">
      <c r="A1716" s="106" t="s">
        <v>5714</v>
      </c>
      <c r="B1716" s="97" t="s">
        <v>7615</v>
      </c>
      <c r="C1716" s="106">
        <v>12</v>
      </c>
      <c r="D1716" s="107">
        <v>27.23</v>
      </c>
      <c r="E1716" s="107">
        <v>-0.56999999999999995</v>
      </c>
      <c r="F1716" s="107">
        <v>0.52</v>
      </c>
    </row>
    <row r="1717" spans="1:6" x14ac:dyDescent="0.3">
      <c r="A1717" s="106" t="s">
        <v>5715</v>
      </c>
      <c r="B1717" s="97" t="s">
        <v>7616</v>
      </c>
      <c r="C1717" s="106">
        <v>10</v>
      </c>
      <c r="D1717" s="107"/>
      <c r="E1717" s="107"/>
      <c r="F1717" s="107"/>
    </row>
    <row r="1718" spans="1:6" x14ac:dyDescent="0.3">
      <c r="A1718" s="106" t="s">
        <v>5716</v>
      </c>
      <c r="B1718" s="97" t="s">
        <v>7617</v>
      </c>
      <c r="C1718" s="106">
        <v>12</v>
      </c>
      <c r="D1718" s="107"/>
      <c r="E1718" s="107"/>
      <c r="F1718" s="107"/>
    </row>
    <row r="1719" spans="1:6" x14ac:dyDescent="0.3">
      <c r="A1719" s="106" t="s">
        <v>5717</v>
      </c>
      <c r="B1719" s="97" t="s">
        <v>7618</v>
      </c>
      <c r="C1719" s="106">
        <v>10</v>
      </c>
      <c r="D1719" s="107"/>
      <c r="E1719" s="107"/>
      <c r="F1719" s="107"/>
    </row>
    <row r="1720" spans="1:6" x14ac:dyDescent="0.3">
      <c r="A1720" s="106" t="s">
        <v>5718</v>
      </c>
      <c r="B1720" s="97" t="s">
        <v>7619</v>
      </c>
      <c r="C1720" s="106">
        <v>10</v>
      </c>
      <c r="D1720" s="107"/>
      <c r="E1720" s="107"/>
      <c r="F1720" s="107"/>
    </row>
    <row r="1721" spans="1:6" x14ac:dyDescent="0.3">
      <c r="A1721" s="106" t="s">
        <v>3983</v>
      </c>
      <c r="B1721" s="97" t="s">
        <v>7620</v>
      </c>
      <c r="C1721" s="106">
        <v>12</v>
      </c>
      <c r="D1721" s="107">
        <v>1279.26</v>
      </c>
      <c r="E1721" s="107">
        <v>-59.9</v>
      </c>
      <c r="F1721" s="107">
        <v>79.489999999999995</v>
      </c>
    </row>
    <row r="1722" spans="1:6" x14ac:dyDescent="0.3">
      <c r="A1722" s="106" t="s">
        <v>5719</v>
      </c>
      <c r="B1722" s="97" t="s">
        <v>7621</v>
      </c>
      <c r="C1722" s="106">
        <v>12</v>
      </c>
      <c r="D1722" s="107">
        <v>21.64</v>
      </c>
      <c r="E1722" s="107">
        <v>-0.73</v>
      </c>
      <c r="F1722" s="107">
        <v>-1.5</v>
      </c>
    </row>
    <row r="1723" spans="1:6" x14ac:dyDescent="0.3">
      <c r="A1723" s="106" t="s">
        <v>5720</v>
      </c>
      <c r="B1723" s="97" t="s">
        <v>7622</v>
      </c>
      <c r="C1723" s="106">
        <v>12</v>
      </c>
      <c r="D1723" s="107">
        <v>28.74</v>
      </c>
      <c r="E1723" s="107">
        <v>-0.96</v>
      </c>
      <c r="F1723" s="107">
        <v>0.65</v>
      </c>
    </row>
    <row r="1724" spans="1:6" x14ac:dyDescent="0.3">
      <c r="A1724" s="106" t="s">
        <v>5721</v>
      </c>
      <c r="B1724" s="97" t="s">
        <v>7623</v>
      </c>
      <c r="C1724" s="106">
        <v>12</v>
      </c>
      <c r="D1724" s="107">
        <v>37.06</v>
      </c>
      <c r="E1724" s="107">
        <v>0.04</v>
      </c>
      <c r="F1724" s="107">
        <v>0.93</v>
      </c>
    </row>
    <row r="1725" spans="1:6" x14ac:dyDescent="0.3">
      <c r="A1725" s="106" t="s">
        <v>3984</v>
      </c>
      <c r="B1725" s="97" t="s">
        <v>7624</v>
      </c>
      <c r="C1725" s="106">
        <v>12</v>
      </c>
      <c r="D1725" s="107">
        <v>47.48</v>
      </c>
      <c r="E1725" s="107">
        <v>2.15</v>
      </c>
      <c r="F1725" s="107">
        <v>2.71</v>
      </c>
    </row>
    <row r="1726" spans="1:6" x14ac:dyDescent="0.3">
      <c r="A1726" s="106" t="s">
        <v>5722</v>
      </c>
      <c r="B1726" s="97" t="s">
        <v>7625</v>
      </c>
      <c r="C1726" s="106">
        <v>12</v>
      </c>
      <c r="D1726" s="107">
        <v>70.010000000000005</v>
      </c>
      <c r="E1726" s="107">
        <v>2.58</v>
      </c>
      <c r="F1726" s="107">
        <v>3.34</v>
      </c>
    </row>
    <row r="1727" spans="1:6" x14ac:dyDescent="0.3">
      <c r="A1727" s="106" t="s">
        <v>5723</v>
      </c>
      <c r="B1727" s="97" t="s">
        <v>7626</v>
      </c>
      <c r="C1727" s="106">
        <v>12</v>
      </c>
      <c r="D1727" s="107">
        <v>23.49</v>
      </c>
      <c r="E1727" s="107">
        <v>0.56999999999999995</v>
      </c>
      <c r="F1727" s="107">
        <v>-0.27</v>
      </c>
    </row>
    <row r="1728" spans="1:6" x14ac:dyDescent="0.3">
      <c r="A1728" s="106" t="s">
        <v>5724</v>
      </c>
      <c r="B1728" s="97" t="s">
        <v>7627</v>
      </c>
      <c r="C1728" s="106">
        <v>12</v>
      </c>
      <c r="D1728" s="107">
        <v>46.97</v>
      </c>
      <c r="E1728" s="107">
        <v>1.91</v>
      </c>
      <c r="F1728" s="107">
        <v>1.78</v>
      </c>
    </row>
    <row r="1729" spans="1:6" x14ac:dyDescent="0.3">
      <c r="A1729" s="106" t="s">
        <v>5725</v>
      </c>
      <c r="B1729" s="97" t="s">
        <v>7628</v>
      </c>
      <c r="C1729" s="106">
        <v>12</v>
      </c>
      <c r="D1729" s="107">
        <v>41.43</v>
      </c>
      <c r="E1729" s="107">
        <v>1.47</v>
      </c>
      <c r="F1729" s="107">
        <v>3.43</v>
      </c>
    </row>
    <row r="1730" spans="1:6" x14ac:dyDescent="0.3">
      <c r="A1730" s="106" t="s">
        <v>3985</v>
      </c>
      <c r="B1730" s="97" t="s">
        <v>7629</v>
      </c>
      <c r="C1730" s="106">
        <v>12</v>
      </c>
      <c r="D1730" s="107">
        <v>1863.82</v>
      </c>
      <c r="E1730" s="107">
        <v>48.83</v>
      </c>
      <c r="F1730" s="107">
        <v>97.19</v>
      </c>
    </row>
    <row r="1731" spans="1:6" x14ac:dyDescent="0.3">
      <c r="A1731" s="106" t="s">
        <v>5726</v>
      </c>
      <c r="B1731" s="97" t="s">
        <v>7630</v>
      </c>
      <c r="C1731" s="106">
        <v>12</v>
      </c>
      <c r="D1731" s="107"/>
      <c r="E1731" s="107"/>
      <c r="F1731" s="107"/>
    </row>
    <row r="1732" spans="1:6" x14ac:dyDescent="0.3">
      <c r="A1732" s="106" t="s">
        <v>5727</v>
      </c>
      <c r="B1732" s="97" t="s">
        <v>7631</v>
      </c>
      <c r="C1732" s="106">
        <v>12</v>
      </c>
      <c r="D1732" s="107">
        <v>60.36</v>
      </c>
      <c r="E1732" s="107">
        <v>1.42</v>
      </c>
      <c r="F1732" s="107">
        <v>1.45</v>
      </c>
    </row>
    <row r="1733" spans="1:6" x14ac:dyDescent="0.3">
      <c r="A1733" s="106" t="s">
        <v>3986</v>
      </c>
      <c r="B1733" s="97" t="s">
        <v>7632</v>
      </c>
      <c r="C1733" s="106">
        <v>12</v>
      </c>
      <c r="D1733" s="107">
        <v>438.63</v>
      </c>
      <c r="E1733" s="107">
        <v>19.47</v>
      </c>
      <c r="F1733" s="107">
        <v>24.36</v>
      </c>
    </row>
    <row r="1734" spans="1:6" x14ac:dyDescent="0.3">
      <c r="A1734" s="106" t="s">
        <v>5728</v>
      </c>
      <c r="B1734" s="97" t="s">
        <v>7633</v>
      </c>
      <c r="C1734" s="106">
        <v>9</v>
      </c>
      <c r="D1734" s="107">
        <v>57.39</v>
      </c>
      <c r="E1734" s="107">
        <v>-0.39</v>
      </c>
      <c r="F1734" s="107">
        <v>2.2799999999999998</v>
      </c>
    </row>
    <row r="1735" spans="1:6" x14ac:dyDescent="0.3">
      <c r="A1735" s="106" t="s">
        <v>5729</v>
      </c>
      <c r="B1735" s="97" t="s">
        <v>7634</v>
      </c>
      <c r="C1735" s="106">
        <v>12</v>
      </c>
      <c r="D1735" s="107">
        <v>57.09</v>
      </c>
      <c r="E1735" s="107">
        <v>0.6</v>
      </c>
      <c r="F1735" s="107">
        <v>0.1</v>
      </c>
    </row>
    <row r="1736" spans="1:6" x14ac:dyDescent="0.3">
      <c r="A1736" s="106" t="s">
        <v>5730</v>
      </c>
      <c r="B1736" s="97" t="s">
        <v>7635</v>
      </c>
      <c r="C1736" s="106">
        <v>12</v>
      </c>
      <c r="D1736" s="107">
        <v>41.84</v>
      </c>
      <c r="E1736" s="107">
        <v>-0.52</v>
      </c>
      <c r="F1736" s="107">
        <v>1.89</v>
      </c>
    </row>
    <row r="1737" spans="1:6" x14ac:dyDescent="0.3">
      <c r="A1737" s="106" t="s">
        <v>5731</v>
      </c>
      <c r="B1737" s="97" t="s">
        <v>7636</v>
      </c>
      <c r="C1737" s="106">
        <v>12</v>
      </c>
      <c r="D1737" s="107">
        <v>31.46</v>
      </c>
      <c r="E1737" s="107">
        <v>0.42</v>
      </c>
      <c r="F1737" s="107">
        <v>3.12</v>
      </c>
    </row>
    <row r="1738" spans="1:6" x14ac:dyDescent="0.3">
      <c r="A1738" s="106" t="s">
        <v>5732</v>
      </c>
      <c r="B1738" s="97" t="s">
        <v>7637</v>
      </c>
      <c r="C1738" s="106">
        <v>12</v>
      </c>
      <c r="D1738" s="107">
        <v>26.8</v>
      </c>
      <c r="E1738" s="107">
        <v>-3.76</v>
      </c>
      <c r="F1738" s="107">
        <v>0.96</v>
      </c>
    </row>
    <row r="1739" spans="1:6" x14ac:dyDescent="0.3">
      <c r="A1739" s="106" t="s">
        <v>5733</v>
      </c>
      <c r="B1739" s="97" t="s">
        <v>7638</v>
      </c>
      <c r="C1739" s="106">
        <v>12</v>
      </c>
      <c r="D1739" s="107"/>
      <c r="E1739" s="107"/>
      <c r="F1739" s="107">
        <v>-0.06</v>
      </c>
    </row>
    <row r="1740" spans="1:6" x14ac:dyDescent="0.3">
      <c r="A1740" s="106" t="s">
        <v>5734</v>
      </c>
      <c r="B1740" s="97" t="s">
        <v>7639</v>
      </c>
      <c r="C1740" s="106">
        <v>10</v>
      </c>
      <c r="D1740" s="107"/>
      <c r="E1740" s="107"/>
      <c r="F1740" s="107"/>
    </row>
    <row r="1741" spans="1:6" x14ac:dyDescent="0.3">
      <c r="A1741" s="106" t="s">
        <v>5735</v>
      </c>
      <c r="B1741" s="97" t="s">
        <v>7640</v>
      </c>
      <c r="C1741" s="106">
        <v>12</v>
      </c>
      <c r="D1741" s="107"/>
      <c r="E1741" s="107"/>
      <c r="F1741" s="107"/>
    </row>
    <row r="1742" spans="1:6" x14ac:dyDescent="0.3">
      <c r="A1742" s="106" t="s">
        <v>5736</v>
      </c>
      <c r="B1742" s="97" t="s">
        <v>7641</v>
      </c>
      <c r="C1742" s="106">
        <v>6</v>
      </c>
      <c r="D1742" s="107"/>
      <c r="E1742" s="107"/>
      <c r="F1742" s="107">
        <v>-0.01</v>
      </c>
    </row>
    <row r="1743" spans="1:6" x14ac:dyDescent="0.3">
      <c r="A1743" s="106" t="s">
        <v>5737</v>
      </c>
      <c r="B1743" s="97" t="s">
        <v>7642</v>
      </c>
      <c r="C1743" s="106">
        <v>12</v>
      </c>
      <c r="D1743" s="107">
        <v>67.28</v>
      </c>
      <c r="E1743" s="107">
        <v>3.4</v>
      </c>
      <c r="F1743" s="107">
        <v>3.22</v>
      </c>
    </row>
    <row r="1744" spans="1:6" x14ac:dyDescent="0.3">
      <c r="A1744" s="106" t="s">
        <v>5738</v>
      </c>
      <c r="B1744" s="97" t="s">
        <v>7643</v>
      </c>
      <c r="C1744" s="106">
        <v>12</v>
      </c>
      <c r="D1744" s="107"/>
      <c r="E1744" s="107"/>
      <c r="F1744" s="107"/>
    </row>
    <row r="1745" spans="1:6" x14ac:dyDescent="0.3">
      <c r="A1745" s="106" t="s">
        <v>5739</v>
      </c>
      <c r="B1745" s="97" t="s">
        <v>7644</v>
      </c>
      <c r="C1745" s="106">
        <v>12</v>
      </c>
      <c r="D1745" s="107">
        <v>78.14</v>
      </c>
      <c r="E1745" s="107">
        <v>2.25</v>
      </c>
      <c r="F1745" s="107">
        <v>3.49</v>
      </c>
    </row>
    <row r="1746" spans="1:6" x14ac:dyDescent="0.3">
      <c r="A1746" s="106" t="s">
        <v>5740</v>
      </c>
      <c r="B1746" s="97" t="s">
        <v>7645</v>
      </c>
      <c r="C1746" s="106">
        <v>2</v>
      </c>
      <c r="D1746" s="107"/>
      <c r="E1746" s="107"/>
      <c r="F1746" s="107"/>
    </row>
    <row r="1747" spans="1:6" x14ac:dyDescent="0.3">
      <c r="A1747" s="106" t="s">
        <v>5741</v>
      </c>
      <c r="B1747" s="97" t="s">
        <v>7646</v>
      </c>
      <c r="C1747" s="106">
        <v>12</v>
      </c>
      <c r="D1747" s="107">
        <v>188.35</v>
      </c>
      <c r="E1747" s="107">
        <v>0.16</v>
      </c>
      <c r="F1747" s="107">
        <v>1.1399999999999999</v>
      </c>
    </row>
    <row r="1748" spans="1:6" x14ac:dyDescent="0.3">
      <c r="A1748" s="106" t="s">
        <v>5742</v>
      </c>
      <c r="B1748" s="97" t="s">
        <v>7647</v>
      </c>
      <c r="C1748" s="106">
        <v>12</v>
      </c>
      <c r="D1748" s="107"/>
      <c r="E1748" s="107"/>
      <c r="F1748" s="107">
        <v>-0.02</v>
      </c>
    </row>
    <row r="1749" spans="1:6" x14ac:dyDescent="0.3">
      <c r="A1749" s="106" t="s">
        <v>5743</v>
      </c>
      <c r="B1749" s="97" t="s">
        <v>7648</v>
      </c>
      <c r="C1749" s="106">
        <v>12</v>
      </c>
      <c r="D1749" s="107">
        <v>20.96</v>
      </c>
      <c r="E1749" s="107">
        <v>0.15</v>
      </c>
      <c r="F1749" s="107">
        <v>0.04</v>
      </c>
    </row>
    <row r="1750" spans="1:6" x14ac:dyDescent="0.3">
      <c r="A1750" s="106" t="s">
        <v>3987</v>
      </c>
      <c r="B1750" s="97" t="s">
        <v>7649</v>
      </c>
      <c r="C1750" s="106">
        <v>12</v>
      </c>
      <c r="D1750" s="107">
        <v>98.57</v>
      </c>
      <c r="E1750" s="107">
        <v>6.29</v>
      </c>
      <c r="F1750" s="107">
        <v>4.03</v>
      </c>
    </row>
    <row r="1751" spans="1:6" x14ac:dyDescent="0.3">
      <c r="A1751" s="106" t="s">
        <v>5744</v>
      </c>
      <c r="B1751" s="97" t="s">
        <v>7650</v>
      </c>
      <c r="C1751" s="106">
        <v>12</v>
      </c>
      <c r="D1751" s="107">
        <v>315.93</v>
      </c>
      <c r="E1751" s="107">
        <v>11.54</v>
      </c>
      <c r="F1751" s="107">
        <v>15.39</v>
      </c>
    </row>
    <row r="1752" spans="1:6" x14ac:dyDescent="0.3">
      <c r="A1752" s="106" t="s">
        <v>5745</v>
      </c>
      <c r="B1752" s="97" t="s">
        <v>7651</v>
      </c>
      <c r="C1752" s="106">
        <v>12</v>
      </c>
      <c r="D1752" s="107">
        <v>57.8</v>
      </c>
      <c r="E1752" s="107">
        <v>2.31</v>
      </c>
      <c r="F1752" s="107">
        <v>3.74</v>
      </c>
    </row>
    <row r="1753" spans="1:6" x14ac:dyDescent="0.3">
      <c r="A1753" s="106" t="s">
        <v>5746</v>
      </c>
      <c r="B1753" s="97" t="s">
        <v>7652</v>
      </c>
      <c r="C1753" s="106">
        <v>12</v>
      </c>
      <c r="D1753" s="107">
        <v>41.07</v>
      </c>
      <c r="E1753" s="107">
        <v>2.4700000000000002</v>
      </c>
      <c r="F1753" s="107">
        <v>4.0599999999999996</v>
      </c>
    </row>
    <row r="1754" spans="1:6" x14ac:dyDescent="0.3">
      <c r="A1754" s="106" t="s">
        <v>3988</v>
      </c>
      <c r="B1754" s="97" t="s">
        <v>7653</v>
      </c>
      <c r="C1754" s="106">
        <v>12</v>
      </c>
      <c r="D1754" s="107">
        <v>60.48</v>
      </c>
      <c r="E1754" s="107">
        <v>-0.39</v>
      </c>
      <c r="F1754" s="107">
        <v>4.0599999999999996</v>
      </c>
    </row>
    <row r="1755" spans="1:6" x14ac:dyDescent="0.3">
      <c r="A1755" s="106" t="s">
        <v>5747</v>
      </c>
      <c r="B1755" s="97" t="s">
        <v>7654</v>
      </c>
      <c r="C1755" s="106">
        <v>12</v>
      </c>
      <c r="D1755" s="107"/>
      <c r="E1755" s="107"/>
      <c r="F1755" s="107">
        <v>-0.04</v>
      </c>
    </row>
    <row r="1756" spans="1:6" x14ac:dyDescent="0.3">
      <c r="A1756" s="106" t="s">
        <v>5748</v>
      </c>
      <c r="B1756" s="97" t="s">
        <v>7655</v>
      </c>
      <c r="C1756" s="106">
        <v>12</v>
      </c>
      <c r="D1756" s="107">
        <v>98.96</v>
      </c>
      <c r="E1756" s="107">
        <v>-10.88</v>
      </c>
      <c r="F1756" s="107">
        <v>-6.56</v>
      </c>
    </row>
    <row r="1757" spans="1:6" x14ac:dyDescent="0.3">
      <c r="A1757" s="106" t="s">
        <v>5749</v>
      </c>
      <c r="B1757" s="97" t="s">
        <v>7656</v>
      </c>
      <c r="C1757" s="106">
        <v>12</v>
      </c>
      <c r="D1757" s="107"/>
      <c r="E1757" s="107"/>
      <c r="F1757" s="107">
        <v>-0.02</v>
      </c>
    </row>
    <row r="1758" spans="1:6" x14ac:dyDescent="0.3">
      <c r="A1758" s="106" t="s">
        <v>5750</v>
      </c>
      <c r="B1758" s="97" t="s">
        <v>7657</v>
      </c>
      <c r="C1758" s="106">
        <v>12</v>
      </c>
      <c r="D1758" s="107">
        <v>13.21</v>
      </c>
      <c r="E1758" s="107">
        <v>-0.03</v>
      </c>
      <c r="F1758" s="107">
        <v>-0.03</v>
      </c>
    </row>
    <row r="1759" spans="1:6" x14ac:dyDescent="0.3">
      <c r="A1759" s="106" t="s">
        <v>5751</v>
      </c>
      <c r="B1759" s="97" t="s">
        <v>7658</v>
      </c>
      <c r="C1759" s="106">
        <v>3</v>
      </c>
      <c r="D1759" s="107"/>
      <c r="E1759" s="107"/>
      <c r="F1759" s="107"/>
    </row>
    <row r="1760" spans="1:6" x14ac:dyDescent="0.3">
      <c r="A1760" s="106" t="s">
        <v>5752</v>
      </c>
      <c r="B1760" s="97" t="s">
        <v>7659</v>
      </c>
      <c r="C1760" s="106">
        <v>4</v>
      </c>
      <c r="D1760" s="107"/>
      <c r="E1760" s="107"/>
      <c r="F1760" s="107"/>
    </row>
    <row r="1761" spans="1:6" x14ac:dyDescent="0.3">
      <c r="A1761" s="106" t="s">
        <v>3989</v>
      </c>
      <c r="B1761" s="97" t="s">
        <v>7660</v>
      </c>
      <c r="C1761" s="106">
        <v>12</v>
      </c>
      <c r="D1761" s="107">
        <v>53.3</v>
      </c>
      <c r="E1761" s="107">
        <v>0.1</v>
      </c>
      <c r="F1761" s="107">
        <v>2.95</v>
      </c>
    </row>
    <row r="1762" spans="1:6" x14ac:dyDescent="0.3">
      <c r="A1762" s="106" t="s">
        <v>5753</v>
      </c>
      <c r="B1762" s="97" t="s">
        <v>7661</v>
      </c>
      <c r="C1762" s="106">
        <v>12</v>
      </c>
      <c r="D1762" s="107">
        <v>79.260000000000005</v>
      </c>
      <c r="E1762" s="107">
        <v>5.26</v>
      </c>
      <c r="F1762" s="107">
        <v>5.79</v>
      </c>
    </row>
    <row r="1763" spans="1:6" x14ac:dyDescent="0.3">
      <c r="A1763" s="106" t="s">
        <v>5754</v>
      </c>
      <c r="B1763" s="97" t="s">
        <v>7662</v>
      </c>
      <c r="C1763" s="106">
        <v>12</v>
      </c>
      <c r="D1763" s="107">
        <v>21.1</v>
      </c>
      <c r="E1763" s="107">
        <v>-0.03</v>
      </c>
      <c r="F1763" s="107">
        <v>-0.02</v>
      </c>
    </row>
    <row r="1764" spans="1:6" x14ac:dyDescent="0.3">
      <c r="A1764" s="106" t="s">
        <v>5755</v>
      </c>
      <c r="B1764" s="97" t="s">
        <v>7663</v>
      </c>
      <c r="C1764" s="106">
        <v>12</v>
      </c>
      <c r="D1764" s="107"/>
      <c r="E1764" s="107"/>
      <c r="F1764" s="107">
        <v>-0.01</v>
      </c>
    </row>
    <row r="1765" spans="1:6" x14ac:dyDescent="0.3">
      <c r="A1765" s="106" t="s">
        <v>5756</v>
      </c>
      <c r="B1765" s="97" t="s">
        <v>7664</v>
      </c>
      <c r="C1765" s="106">
        <v>12</v>
      </c>
      <c r="D1765" s="107">
        <v>31.68</v>
      </c>
      <c r="E1765" s="107">
        <v>1.18</v>
      </c>
      <c r="F1765" s="107">
        <v>1.57</v>
      </c>
    </row>
    <row r="1766" spans="1:6" x14ac:dyDescent="0.3">
      <c r="A1766" s="106" t="s">
        <v>5757</v>
      </c>
      <c r="B1766" s="97" t="s">
        <v>7665</v>
      </c>
      <c r="C1766" s="106">
        <v>12</v>
      </c>
      <c r="D1766" s="107">
        <v>36.83</v>
      </c>
      <c r="E1766" s="107">
        <v>-2.57</v>
      </c>
      <c r="F1766" s="107">
        <v>-3.54</v>
      </c>
    </row>
    <row r="1767" spans="1:6" x14ac:dyDescent="0.3">
      <c r="A1767" s="106" t="s">
        <v>5758</v>
      </c>
      <c r="B1767" s="97" t="s">
        <v>7666</v>
      </c>
      <c r="C1767" s="106">
        <v>12</v>
      </c>
      <c r="D1767" s="107">
        <v>130.52000000000001</v>
      </c>
      <c r="E1767" s="107">
        <v>7.98</v>
      </c>
      <c r="F1767" s="107">
        <v>2.62</v>
      </c>
    </row>
    <row r="1768" spans="1:6" x14ac:dyDescent="0.3">
      <c r="A1768" s="106" t="s">
        <v>5759</v>
      </c>
      <c r="B1768" s="97" t="s">
        <v>7667</v>
      </c>
      <c r="C1768" s="106">
        <v>12</v>
      </c>
      <c r="D1768" s="107">
        <v>42.75</v>
      </c>
      <c r="E1768" s="107">
        <v>1.33</v>
      </c>
      <c r="F1768" s="107">
        <v>3.08</v>
      </c>
    </row>
    <row r="1769" spans="1:6" x14ac:dyDescent="0.3">
      <c r="A1769" s="106" t="s">
        <v>5760</v>
      </c>
      <c r="B1769" s="97" t="s">
        <v>7668</v>
      </c>
      <c r="C1769" s="106">
        <v>4</v>
      </c>
      <c r="D1769" s="107"/>
      <c r="E1769" s="107"/>
      <c r="F1769" s="107"/>
    </row>
    <row r="1770" spans="1:6" x14ac:dyDescent="0.3">
      <c r="A1770" s="106" t="s">
        <v>5761</v>
      </c>
      <c r="B1770" s="97" t="s">
        <v>7669</v>
      </c>
      <c r="C1770" s="106">
        <v>12</v>
      </c>
      <c r="D1770" s="107">
        <v>21.56</v>
      </c>
      <c r="E1770" s="107">
        <v>-0.02</v>
      </c>
      <c r="F1770" s="107">
        <v>-0.02</v>
      </c>
    </row>
    <row r="1771" spans="1:6" x14ac:dyDescent="0.3">
      <c r="A1771" s="106" t="s">
        <v>5762</v>
      </c>
      <c r="B1771" s="97" t="s">
        <v>7670</v>
      </c>
      <c r="C1771" s="106">
        <v>12</v>
      </c>
      <c r="D1771" s="107">
        <v>89.76</v>
      </c>
      <c r="E1771" s="107">
        <v>3.32</v>
      </c>
      <c r="F1771" s="107">
        <v>3.81</v>
      </c>
    </row>
    <row r="1772" spans="1:6" x14ac:dyDescent="0.3">
      <c r="A1772" s="106" t="s">
        <v>5763</v>
      </c>
      <c r="B1772" s="97" t="s">
        <v>7671</v>
      </c>
      <c r="C1772" s="106">
        <v>12</v>
      </c>
      <c r="D1772" s="107"/>
      <c r="E1772" s="107"/>
      <c r="F1772" s="107">
        <v>-0.09</v>
      </c>
    </row>
    <row r="1773" spans="1:6" x14ac:dyDescent="0.3">
      <c r="A1773" s="106" t="s">
        <v>5764</v>
      </c>
      <c r="B1773" s="97" t="s">
        <v>7672</v>
      </c>
      <c r="C1773" s="106">
        <v>4</v>
      </c>
      <c r="D1773" s="107"/>
      <c r="E1773" s="107"/>
      <c r="F1773" s="107"/>
    </row>
    <row r="1774" spans="1:6" x14ac:dyDescent="0.3">
      <c r="A1774" s="106" t="s">
        <v>5765</v>
      </c>
      <c r="B1774" s="97" t="s">
        <v>7673</v>
      </c>
      <c r="C1774" s="106">
        <v>12</v>
      </c>
      <c r="D1774" s="107"/>
      <c r="E1774" s="107"/>
      <c r="F1774" s="107">
        <v>-0.01</v>
      </c>
    </row>
    <row r="1775" spans="1:6" x14ac:dyDescent="0.3">
      <c r="A1775" s="106" t="s">
        <v>5766</v>
      </c>
      <c r="B1775" s="97" t="s">
        <v>7674</v>
      </c>
      <c r="C1775" s="106">
        <v>12</v>
      </c>
      <c r="D1775" s="107">
        <v>497.47</v>
      </c>
      <c r="E1775" s="107">
        <v>15.52</v>
      </c>
      <c r="F1775" s="107">
        <v>20.93</v>
      </c>
    </row>
    <row r="1776" spans="1:6" x14ac:dyDescent="0.3">
      <c r="A1776" s="106" t="s">
        <v>5767</v>
      </c>
      <c r="B1776" s="97" t="s">
        <v>7675</v>
      </c>
      <c r="C1776" s="106">
        <v>12</v>
      </c>
      <c r="D1776" s="107">
        <v>40.020000000000003</v>
      </c>
      <c r="E1776" s="107">
        <v>1.66</v>
      </c>
      <c r="F1776" s="107">
        <v>1.83</v>
      </c>
    </row>
    <row r="1777" spans="1:6" x14ac:dyDescent="0.3">
      <c r="A1777" s="106" t="s">
        <v>5768</v>
      </c>
      <c r="B1777" s="97" t="s">
        <v>7676</v>
      </c>
      <c r="C1777" s="106">
        <v>12</v>
      </c>
      <c r="D1777" s="107">
        <v>79.319999999999993</v>
      </c>
      <c r="E1777" s="107">
        <v>3.02</v>
      </c>
      <c r="F1777" s="107">
        <v>2.46</v>
      </c>
    </row>
    <row r="1778" spans="1:6" x14ac:dyDescent="0.3">
      <c r="A1778" s="106" t="s">
        <v>5769</v>
      </c>
      <c r="B1778" s="97" t="s">
        <v>7677</v>
      </c>
      <c r="C1778" s="106">
        <v>12</v>
      </c>
      <c r="D1778" s="107">
        <v>21.17</v>
      </c>
      <c r="E1778" s="107">
        <v>-0.02</v>
      </c>
      <c r="F1778" s="107">
        <v>-0.02</v>
      </c>
    </row>
    <row r="1779" spans="1:6" x14ac:dyDescent="0.3">
      <c r="A1779" s="106" t="s">
        <v>5770</v>
      </c>
      <c r="B1779" s="97" t="s">
        <v>7678</v>
      </c>
      <c r="C1779" s="106">
        <v>12</v>
      </c>
      <c r="D1779" s="107">
        <v>60.58</v>
      </c>
      <c r="E1779" s="107">
        <v>3.65</v>
      </c>
      <c r="F1779" s="107">
        <v>5.97</v>
      </c>
    </row>
    <row r="1780" spans="1:6" x14ac:dyDescent="0.3">
      <c r="A1780" s="106" t="s">
        <v>5771</v>
      </c>
      <c r="B1780" s="97" t="s">
        <v>7679</v>
      </c>
      <c r="C1780" s="106">
        <v>12</v>
      </c>
      <c r="D1780" s="107">
        <v>33.119999999999997</v>
      </c>
      <c r="E1780" s="107">
        <v>0.27</v>
      </c>
      <c r="F1780" s="107">
        <v>2.38</v>
      </c>
    </row>
    <row r="1781" spans="1:6" x14ac:dyDescent="0.3">
      <c r="A1781" s="106" t="s">
        <v>5772</v>
      </c>
      <c r="B1781" s="97" t="s">
        <v>7680</v>
      </c>
      <c r="C1781" s="106">
        <v>12</v>
      </c>
      <c r="D1781" s="107">
        <v>76.25</v>
      </c>
      <c r="E1781" s="107">
        <v>0.94</v>
      </c>
      <c r="F1781" s="107">
        <v>1.51</v>
      </c>
    </row>
    <row r="1782" spans="1:6" x14ac:dyDescent="0.3">
      <c r="A1782" s="106" t="s">
        <v>5773</v>
      </c>
      <c r="B1782" s="97" t="s">
        <v>7681</v>
      </c>
      <c r="C1782" s="106">
        <v>12</v>
      </c>
      <c r="D1782" s="107">
        <v>17</v>
      </c>
      <c r="E1782" s="107">
        <v>-0.59</v>
      </c>
      <c r="F1782" s="107">
        <v>0.28999999999999998</v>
      </c>
    </row>
    <row r="1783" spans="1:6" x14ac:dyDescent="0.3">
      <c r="A1783" s="106" t="s">
        <v>5774</v>
      </c>
      <c r="B1783" s="97" t="s">
        <v>7682</v>
      </c>
      <c r="C1783" s="106">
        <v>12</v>
      </c>
      <c r="D1783" s="107">
        <v>23.08</v>
      </c>
      <c r="E1783" s="107">
        <v>1.96</v>
      </c>
      <c r="F1783" s="107">
        <v>1.84</v>
      </c>
    </row>
    <row r="1784" spans="1:6" x14ac:dyDescent="0.3">
      <c r="A1784" s="106" t="s">
        <v>5775</v>
      </c>
      <c r="B1784" s="97" t="s">
        <v>7683</v>
      </c>
      <c r="C1784" s="106">
        <v>12</v>
      </c>
      <c r="D1784" s="107">
        <v>543.46</v>
      </c>
      <c r="E1784" s="107">
        <v>-82.36</v>
      </c>
      <c r="F1784" s="107">
        <v>-10.09</v>
      </c>
    </row>
    <row r="1785" spans="1:6" x14ac:dyDescent="0.3">
      <c r="A1785" s="106" t="s">
        <v>5776</v>
      </c>
      <c r="B1785" s="97" t="s">
        <v>7684</v>
      </c>
      <c r="C1785" s="106">
        <v>12</v>
      </c>
      <c r="D1785" s="107">
        <v>24.68</v>
      </c>
      <c r="E1785" s="107">
        <v>-0.02</v>
      </c>
      <c r="F1785" s="107">
        <v>-0.01</v>
      </c>
    </row>
    <row r="1786" spans="1:6" x14ac:dyDescent="0.3">
      <c r="A1786" s="106" t="s">
        <v>5777</v>
      </c>
      <c r="B1786" s="97" t="s">
        <v>7685</v>
      </c>
      <c r="C1786" s="106">
        <v>12</v>
      </c>
      <c r="D1786" s="107">
        <v>437.06</v>
      </c>
      <c r="E1786" s="107">
        <v>17.97</v>
      </c>
      <c r="F1786" s="107">
        <v>9.59</v>
      </c>
    </row>
    <row r="1787" spans="1:6" x14ac:dyDescent="0.3">
      <c r="A1787" s="106" t="s">
        <v>5778</v>
      </c>
      <c r="B1787" s="97" t="s">
        <v>7686</v>
      </c>
      <c r="C1787" s="106">
        <v>12</v>
      </c>
      <c r="D1787" s="107">
        <v>202.24</v>
      </c>
      <c r="E1787" s="107">
        <v>3.35</v>
      </c>
      <c r="F1787" s="107">
        <v>6.78</v>
      </c>
    </row>
    <row r="1788" spans="1:6" x14ac:dyDescent="0.3">
      <c r="A1788" s="106" t="s">
        <v>5779</v>
      </c>
      <c r="B1788" s="97" t="s">
        <v>7687</v>
      </c>
      <c r="C1788" s="106">
        <v>6</v>
      </c>
      <c r="D1788" s="107"/>
      <c r="E1788" s="107"/>
      <c r="F1788" s="107"/>
    </row>
    <row r="1789" spans="1:6" x14ac:dyDescent="0.3">
      <c r="A1789" s="106" t="s">
        <v>5780</v>
      </c>
      <c r="B1789" s="97" t="s">
        <v>7688</v>
      </c>
      <c r="C1789" s="106">
        <v>12</v>
      </c>
      <c r="D1789" s="107">
        <v>19.91</v>
      </c>
      <c r="E1789" s="107">
        <v>0.26</v>
      </c>
      <c r="F1789" s="107">
        <v>1.84</v>
      </c>
    </row>
    <row r="1790" spans="1:6" x14ac:dyDescent="0.3">
      <c r="A1790" s="106" t="s">
        <v>5781</v>
      </c>
      <c r="B1790" s="97" t="s">
        <v>7689</v>
      </c>
      <c r="C1790" s="106">
        <v>12</v>
      </c>
      <c r="D1790" s="107">
        <v>67.28</v>
      </c>
      <c r="E1790" s="107">
        <v>1.75</v>
      </c>
      <c r="F1790" s="107">
        <v>7.37</v>
      </c>
    </row>
    <row r="1791" spans="1:6" x14ac:dyDescent="0.3">
      <c r="A1791" s="106" t="s">
        <v>5782</v>
      </c>
      <c r="B1791" s="97" t="s">
        <v>7690</v>
      </c>
      <c r="C1791" s="106">
        <v>7</v>
      </c>
      <c r="D1791" s="107"/>
      <c r="E1791" s="107"/>
      <c r="F1791" s="107"/>
    </row>
    <row r="1792" spans="1:6" x14ac:dyDescent="0.3">
      <c r="A1792" s="106" t="s">
        <v>5783</v>
      </c>
      <c r="B1792" s="97" t="s">
        <v>7691</v>
      </c>
      <c r="C1792" s="106">
        <v>12</v>
      </c>
      <c r="D1792" s="107"/>
      <c r="E1792" s="107"/>
      <c r="F1792" s="107"/>
    </row>
    <row r="1793" spans="1:6" x14ac:dyDescent="0.3">
      <c r="A1793" s="106" t="s">
        <v>5784</v>
      </c>
      <c r="B1793" s="97" t="s">
        <v>7692</v>
      </c>
      <c r="C1793" s="106">
        <v>12</v>
      </c>
      <c r="D1793" s="107">
        <v>39.54</v>
      </c>
      <c r="E1793" s="107">
        <v>0.47</v>
      </c>
      <c r="F1793" s="107">
        <v>0.97</v>
      </c>
    </row>
    <row r="1794" spans="1:6" x14ac:dyDescent="0.3">
      <c r="A1794" s="106" t="s">
        <v>3990</v>
      </c>
      <c r="B1794" s="97" t="s">
        <v>7693</v>
      </c>
      <c r="C1794" s="106">
        <v>12</v>
      </c>
      <c r="D1794" s="107">
        <v>1269.72</v>
      </c>
      <c r="E1794" s="107">
        <v>4.26</v>
      </c>
      <c r="F1794" s="107">
        <v>11.68</v>
      </c>
    </row>
    <row r="1795" spans="1:6" x14ac:dyDescent="0.3">
      <c r="A1795" s="106" t="s">
        <v>5785</v>
      </c>
      <c r="B1795" s="97" t="s">
        <v>7694</v>
      </c>
      <c r="C1795" s="106">
        <v>12</v>
      </c>
      <c r="D1795" s="107">
        <v>29.1</v>
      </c>
      <c r="E1795" s="107">
        <v>-0.03</v>
      </c>
      <c r="F1795" s="107">
        <v>-0.03</v>
      </c>
    </row>
    <row r="1796" spans="1:6" x14ac:dyDescent="0.3">
      <c r="A1796" s="106" t="s">
        <v>5786</v>
      </c>
      <c r="B1796" s="97" t="s">
        <v>7695</v>
      </c>
      <c r="C1796" s="106">
        <v>12</v>
      </c>
      <c r="D1796" s="107">
        <v>19.350000000000001</v>
      </c>
      <c r="E1796" s="107">
        <v>-0.69</v>
      </c>
      <c r="F1796" s="107">
        <v>-0.05</v>
      </c>
    </row>
    <row r="1797" spans="1:6" x14ac:dyDescent="0.3">
      <c r="A1797" s="106" t="s">
        <v>5787</v>
      </c>
      <c r="B1797" s="97" t="s">
        <v>7696</v>
      </c>
      <c r="C1797" s="106">
        <v>12</v>
      </c>
      <c r="D1797" s="107">
        <v>43.49</v>
      </c>
      <c r="E1797" s="107">
        <v>-0.78</v>
      </c>
      <c r="F1797" s="107">
        <v>0.36</v>
      </c>
    </row>
    <row r="1798" spans="1:6" x14ac:dyDescent="0.3">
      <c r="A1798" s="106" t="s">
        <v>5788</v>
      </c>
      <c r="B1798" s="97" t="s">
        <v>7697</v>
      </c>
      <c r="C1798" s="106">
        <v>12</v>
      </c>
      <c r="D1798" s="107">
        <v>44.35</v>
      </c>
      <c r="E1798" s="107">
        <v>0.18</v>
      </c>
      <c r="F1798" s="107">
        <v>1.1100000000000001</v>
      </c>
    </row>
    <row r="1799" spans="1:6" x14ac:dyDescent="0.3">
      <c r="A1799" s="106" t="s">
        <v>5789</v>
      </c>
      <c r="B1799" s="97" t="s">
        <v>7698</v>
      </c>
      <c r="C1799" s="106">
        <v>12</v>
      </c>
      <c r="D1799" s="107">
        <v>17.73</v>
      </c>
      <c r="E1799" s="107">
        <v>0.62</v>
      </c>
      <c r="F1799" s="107">
        <v>1.23</v>
      </c>
    </row>
    <row r="1800" spans="1:6" x14ac:dyDescent="0.3">
      <c r="A1800" s="106" t="s">
        <v>5790</v>
      </c>
      <c r="B1800" s="97" t="s">
        <v>7699</v>
      </c>
      <c r="C1800" s="106">
        <v>12</v>
      </c>
      <c r="D1800" s="107">
        <v>125.75</v>
      </c>
      <c r="E1800" s="107">
        <v>-1.55</v>
      </c>
      <c r="F1800" s="107">
        <v>-0.94</v>
      </c>
    </row>
    <row r="1801" spans="1:6" x14ac:dyDescent="0.3">
      <c r="A1801" s="106" t="s">
        <v>5791</v>
      </c>
      <c r="B1801" s="97" t="s">
        <v>7700</v>
      </c>
      <c r="C1801" s="106">
        <v>12</v>
      </c>
      <c r="D1801" s="107">
        <v>20.88</v>
      </c>
      <c r="E1801" s="107">
        <v>-0.12</v>
      </c>
      <c r="F1801" s="107">
        <v>-0.08</v>
      </c>
    </row>
    <row r="1802" spans="1:6" x14ac:dyDescent="0.3">
      <c r="A1802" s="106" t="s">
        <v>5792</v>
      </c>
      <c r="B1802" s="97" t="s">
        <v>7701</v>
      </c>
      <c r="C1802" s="106">
        <v>12</v>
      </c>
      <c r="D1802" s="107">
        <v>37.61</v>
      </c>
      <c r="E1802" s="107">
        <v>1.05</v>
      </c>
      <c r="F1802" s="107">
        <v>1.21</v>
      </c>
    </row>
    <row r="1803" spans="1:6" x14ac:dyDescent="0.3">
      <c r="A1803" s="106" t="s">
        <v>5793</v>
      </c>
      <c r="B1803" s="97" t="s">
        <v>7702</v>
      </c>
      <c r="C1803" s="106">
        <v>12</v>
      </c>
      <c r="D1803" s="107">
        <v>34.79</v>
      </c>
      <c r="E1803" s="107">
        <v>0.1</v>
      </c>
      <c r="F1803" s="107">
        <v>0</v>
      </c>
    </row>
    <row r="1804" spans="1:6" x14ac:dyDescent="0.3">
      <c r="A1804" s="106" t="s">
        <v>5794</v>
      </c>
      <c r="B1804" s="97" t="s">
        <v>7703</v>
      </c>
      <c r="C1804" s="106">
        <v>9</v>
      </c>
      <c r="D1804" s="107"/>
      <c r="E1804" s="107"/>
      <c r="F1804" s="107"/>
    </row>
    <row r="1805" spans="1:6" x14ac:dyDescent="0.3">
      <c r="A1805" s="106" t="s">
        <v>5795</v>
      </c>
      <c r="B1805" s="97" t="s">
        <v>7704</v>
      </c>
      <c r="C1805" s="106">
        <v>9</v>
      </c>
      <c r="D1805" s="107"/>
      <c r="E1805" s="107"/>
      <c r="F1805" s="107"/>
    </row>
    <row r="1806" spans="1:6" x14ac:dyDescent="0.3">
      <c r="A1806" s="106" t="s">
        <v>5796</v>
      </c>
      <c r="B1806" s="97" t="s">
        <v>7705</v>
      </c>
      <c r="C1806" s="106">
        <v>10</v>
      </c>
      <c r="D1806" s="107"/>
      <c r="E1806" s="107"/>
      <c r="F1806" s="107"/>
    </row>
    <row r="1807" spans="1:6" x14ac:dyDescent="0.3">
      <c r="A1807" s="106" t="s">
        <v>5797</v>
      </c>
      <c r="B1807" s="97" t="s">
        <v>7706</v>
      </c>
      <c r="C1807" s="106">
        <v>12</v>
      </c>
      <c r="D1807" s="107">
        <v>16.78</v>
      </c>
      <c r="E1807" s="107">
        <v>0.36</v>
      </c>
      <c r="F1807" s="107">
        <v>-0.37</v>
      </c>
    </row>
    <row r="1808" spans="1:6" x14ac:dyDescent="0.3">
      <c r="A1808" s="106" t="s">
        <v>5798</v>
      </c>
      <c r="B1808" s="97" t="s">
        <v>7707</v>
      </c>
      <c r="C1808" s="106">
        <v>12</v>
      </c>
      <c r="D1808" s="107">
        <v>55.19</v>
      </c>
      <c r="E1808" s="107">
        <v>3.29</v>
      </c>
      <c r="F1808" s="107">
        <v>2.48</v>
      </c>
    </row>
    <row r="1809" spans="1:6" x14ac:dyDescent="0.3">
      <c r="A1809" s="106" t="s">
        <v>5799</v>
      </c>
      <c r="B1809" s="97" t="s">
        <v>7708</v>
      </c>
      <c r="C1809" s="106">
        <v>12</v>
      </c>
      <c r="D1809" s="107">
        <v>54.6</v>
      </c>
      <c r="E1809" s="107">
        <v>3.81</v>
      </c>
      <c r="F1809" s="107">
        <v>2.86</v>
      </c>
    </row>
    <row r="1810" spans="1:6" x14ac:dyDescent="0.3">
      <c r="A1810" s="106" t="s">
        <v>5800</v>
      </c>
      <c r="B1810" s="97" t="s">
        <v>7709</v>
      </c>
      <c r="C1810" s="106">
        <v>12</v>
      </c>
      <c r="D1810" s="107">
        <v>25.2</v>
      </c>
      <c r="E1810" s="107">
        <v>0.54</v>
      </c>
      <c r="F1810" s="107">
        <v>0.25</v>
      </c>
    </row>
    <row r="1811" spans="1:6" x14ac:dyDescent="0.3">
      <c r="A1811" s="106" t="s">
        <v>5801</v>
      </c>
      <c r="B1811" s="97" t="s">
        <v>7710</v>
      </c>
      <c r="C1811" s="106">
        <v>4</v>
      </c>
      <c r="D1811" s="107"/>
      <c r="E1811" s="107"/>
      <c r="F1811" s="107"/>
    </row>
    <row r="1812" spans="1:6" x14ac:dyDescent="0.3">
      <c r="A1812" s="106" t="s">
        <v>5802</v>
      </c>
      <c r="B1812" s="97" t="s">
        <v>7711</v>
      </c>
      <c r="C1812" s="106"/>
      <c r="D1812" s="107"/>
      <c r="E1812" s="107"/>
      <c r="F1812" s="107"/>
    </row>
    <row r="1813" spans="1:6" x14ac:dyDescent="0.3">
      <c r="A1813" s="106" t="s">
        <v>5803</v>
      </c>
      <c r="B1813" s="97" t="s">
        <v>7712</v>
      </c>
      <c r="C1813" s="106">
        <v>12</v>
      </c>
      <c r="D1813" s="107">
        <v>189.81</v>
      </c>
      <c r="E1813" s="107">
        <v>2.1</v>
      </c>
      <c r="F1813" s="107">
        <v>-13.7</v>
      </c>
    </row>
    <row r="1814" spans="1:6" x14ac:dyDescent="0.3">
      <c r="A1814" s="106" t="s">
        <v>5804</v>
      </c>
      <c r="B1814" s="97" t="s">
        <v>7713</v>
      </c>
      <c r="C1814" s="106">
        <v>12</v>
      </c>
      <c r="D1814" s="107">
        <v>117.93</v>
      </c>
      <c r="E1814" s="107">
        <v>5.99</v>
      </c>
      <c r="F1814" s="107">
        <v>5.43</v>
      </c>
    </row>
    <row r="1815" spans="1:6" x14ac:dyDescent="0.3">
      <c r="A1815" s="106" t="s">
        <v>5805</v>
      </c>
      <c r="B1815" s="97" t="s">
        <v>7714</v>
      </c>
      <c r="C1815" s="106">
        <v>12</v>
      </c>
      <c r="D1815" s="107">
        <v>24.64</v>
      </c>
      <c r="E1815" s="107">
        <v>-0.79</v>
      </c>
      <c r="F1815" s="107">
        <v>-0.26</v>
      </c>
    </row>
    <row r="1816" spans="1:6" x14ac:dyDescent="0.3">
      <c r="A1816" s="106" t="s">
        <v>5806</v>
      </c>
      <c r="B1816" s="97" t="s">
        <v>7715</v>
      </c>
      <c r="C1816" s="106">
        <v>12</v>
      </c>
      <c r="D1816" s="107">
        <v>53.38</v>
      </c>
      <c r="E1816" s="107">
        <v>2.5299999999999998</v>
      </c>
      <c r="F1816" s="107">
        <v>3.69</v>
      </c>
    </row>
    <row r="1817" spans="1:6" x14ac:dyDescent="0.3">
      <c r="A1817" s="106" t="s">
        <v>5807</v>
      </c>
      <c r="B1817" s="97" t="s">
        <v>7716</v>
      </c>
      <c r="C1817" s="106">
        <v>12</v>
      </c>
      <c r="D1817" s="107">
        <v>47.64</v>
      </c>
      <c r="E1817" s="107">
        <v>1.04</v>
      </c>
      <c r="F1817" s="107"/>
    </row>
    <row r="1818" spans="1:6" x14ac:dyDescent="0.3">
      <c r="A1818" s="106" t="s">
        <v>5808</v>
      </c>
      <c r="B1818" s="97" t="s">
        <v>7717</v>
      </c>
      <c r="C1818" s="106">
        <v>1</v>
      </c>
      <c r="D1818" s="107"/>
      <c r="E1818" s="107"/>
      <c r="F1818" s="107"/>
    </row>
    <row r="1819" spans="1:6" x14ac:dyDescent="0.3">
      <c r="A1819" s="106" t="s">
        <v>5809</v>
      </c>
      <c r="B1819" s="97" t="s">
        <v>7718</v>
      </c>
      <c r="C1819" s="106">
        <v>3</v>
      </c>
      <c r="D1819" s="107"/>
      <c r="E1819" s="107"/>
      <c r="F1819" s="107"/>
    </row>
    <row r="1820" spans="1:6" x14ac:dyDescent="0.3">
      <c r="A1820" s="106" t="s">
        <v>5810</v>
      </c>
      <c r="B1820" s="97" t="s">
        <v>7719</v>
      </c>
      <c r="C1820" s="106">
        <v>12</v>
      </c>
      <c r="D1820" s="107">
        <v>31.58</v>
      </c>
      <c r="E1820" s="107">
        <v>2.92</v>
      </c>
      <c r="F1820" s="107">
        <v>3.66</v>
      </c>
    </row>
    <row r="1821" spans="1:6" x14ac:dyDescent="0.3">
      <c r="A1821" s="106" t="s">
        <v>5811</v>
      </c>
      <c r="B1821" s="97" t="s">
        <v>7720</v>
      </c>
      <c r="C1821" s="106">
        <v>12</v>
      </c>
      <c r="D1821" s="107">
        <v>42.34</v>
      </c>
      <c r="E1821" s="107">
        <v>-2.39</v>
      </c>
      <c r="F1821" s="107">
        <v>1.87</v>
      </c>
    </row>
    <row r="1822" spans="1:6" x14ac:dyDescent="0.3">
      <c r="A1822" s="106" t="s">
        <v>5812</v>
      </c>
      <c r="B1822" s="97" t="s">
        <v>7721</v>
      </c>
      <c r="C1822" s="106">
        <v>1</v>
      </c>
      <c r="D1822" s="107"/>
      <c r="E1822" s="107"/>
      <c r="F1822" s="107"/>
    </row>
    <row r="1823" spans="1:6" x14ac:dyDescent="0.3">
      <c r="A1823" s="106" t="s">
        <v>5813</v>
      </c>
      <c r="B1823" s="97" t="s">
        <v>7722</v>
      </c>
      <c r="C1823" s="106">
        <v>3</v>
      </c>
      <c r="D1823" s="107">
        <v>1759.41</v>
      </c>
      <c r="E1823" s="107">
        <v>40.72</v>
      </c>
      <c r="F1823" s="107">
        <v>40.4</v>
      </c>
    </row>
    <row r="1824" spans="1:6" x14ac:dyDescent="0.3">
      <c r="A1824" s="106" t="s">
        <v>5814</v>
      </c>
      <c r="B1824" s="97" t="s">
        <v>7723</v>
      </c>
      <c r="C1824" s="106">
        <v>12</v>
      </c>
      <c r="D1824" s="107">
        <v>53.32</v>
      </c>
      <c r="E1824" s="107">
        <v>0.65</v>
      </c>
      <c r="F1824" s="107">
        <v>2.33</v>
      </c>
    </row>
    <row r="1825" spans="1:6" x14ac:dyDescent="0.3">
      <c r="A1825" s="106" t="s">
        <v>5815</v>
      </c>
      <c r="B1825" s="97" t="s">
        <v>7724</v>
      </c>
      <c r="C1825" s="106">
        <v>3</v>
      </c>
      <c r="D1825" s="107"/>
      <c r="E1825" s="107"/>
      <c r="F1825" s="107"/>
    </row>
    <row r="1826" spans="1:6" x14ac:dyDescent="0.3">
      <c r="A1826" s="106" t="s">
        <v>5816</v>
      </c>
      <c r="B1826" s="97" t="s">
        <v>7725</v>
      </c>
      <c r="C1826" s="106">
        <v>3</v>
      </c>
      <c r="D1826" s="107"/>
      <c r="E1826" s="107"/>
      <c r="F1826" s="107"/>
    </row>
    <row r="1827" spans="1:6" x14ac:dyDescent="0.3">
      <c r="A1827" s="106" t="s">
        <v>5817</v>
      </c>
      <c r="B1827" s="97" t="s">
        <v>7726</v>
      </c>
      <c r="C1827" s="106">
        <v>3</v>
      </c>
      <c r="D1827" s="107">
        <v>11.77</v>
      </c>
      <c r="E1827" s="107">
        <v>0.92</v>
      </c>
      <c r="F1827" s="107">
        <v>0.05</v>
      </c>
    </row>
    <row r="1828" spans="1:6" x14ac:dyDescent="0.3">
      <c r="A1828" s="106" t="s">
        <v>5818</v>
      </c>
      <c r="B1828" s="97" t="s">
        <v>7727</v>
      </c>
      <c r="C1828" s="106">
        <v>12</v>
      </c>
      <c r="D1828" s="107">
        <v>89.55</v>
      </c>
      <c r="E1828" s="107">
        <v>-1.02</v>
      </c>
      <c r="F1828" s="107">
        <v>4.46</v>
      </c>
    </row>
    <row r="1829" spans="1:6" x14ac:dyDescent="0.3">
      <c r="A1829" s="106" t="s">
        <v>5819</v>
      </c>
      <c r="B1829" s="97" t="s">
        <v>7728</v>
      </c>
      <c r="C1829" s="106">
        <v>3</v>
      </c>
      <c r="D1829" s="107"/>
      <c r="E1829" s="107"/>
      <c r="F1829" s="107"/>
    </row>
    <row r="1830" spans="1:6" x14ac:dyDescent="0.3">
      <c r="A1830" s="106" t="s">
        <v>5820</v>
      </c>
      <c r="B1830" s="97" t="s">
        <v>7729</v>
      </c>
      <c r="C1830" s="106">
        <v>3</v>
      </c>
      <c r="D1830" s="107"/>
      <c r="E1830" s="107"/>
      <c r="F1830" s="107"/>
    </row>
    <row r="1831" spans="1:6" x14ac:dyDescent="0.3">
      <c r="A1831" s="106" t="s">
        <v>5821</v>
      </c>
      <c r="B1831" s="97" t="s">
        <v>7730</v>
      </c>
      <c r="C1831" s="106">
        <v>3</v>
      </c>
      <c r="D1831" s="107"/>
      <c r="E1831" s="107"/>
      <c r="F1831" s="107"/>
    </row>
    <row r="1832" spans="1:6" x14ac:dyDescent="0.3">
      <c r="A1832" s="106" t="s">
        <v>5822</v>
      </c>
      <c r="B1832" s="97" t="s">
        <v>7731</v>
      </c>
      <c r="C1832" s="106">
        <v>12</v>
      </c>
      <c r="D1832" s="107">
        <v>8.34</v>
      </c>
      <c r="E1832" s="107">
        <v>-0.49</v>
      </c>
      <c r="F1832" s="107">
        <v>-0.22</v>
      </c>
    </row>
    <row r="1833" spans="1:6" x14ac:dyDescent="0.3">
      <c r="A1833" s="106" t="s">
        <v>5823</v>
      </c>
      <c r="B1833" s="97" t="s">
        <v>7732</v>
      </c>
      <c r="C1833" s="106">
        <v>12</v>
      </c>
      <c r="D1833" s="107">
        <v>22.33</v>
      </c>
      <c r="E1833" s="107">
        <v>-1.97</v>
      </c>
      <c r="F1833" s="107">
        <v>1.35</v>
      </c>
    </row>
    <row r="1834" spans="1:6" x14ac:dyDescent="0.3">
      <c r="A1834" s="106" t="s">
        <v>5824</v>
      </c>
      <c r="B1834" s="97" t="s">
        <v>7733</v>
      </c>
      <c r="C1834" s="106">
        <v>1</v>
      </c>
      <c r="D1834" s="107"/>
      <c r="E1834" s="107"/>
      <c r="F1834" s="107"/>
    </row>
    <row r="1835" spans="1:6" x14ac:dyDescent="0.3">
      <c r="A1835" s="106" t="s">
        <v>5825</v>
      </c>
      <c r="B1835" s="97" t="s">
        <v>7734</v>
      </c>
      <c r="C1835" s="106">
        <v>1</v>
      </c>
      <c r="D1835" s="107"/>
      <c r="E1835" s="107"/>
      <c r="F1835" s="107"/>
    </row>
    <row r="1836" spans="1:6" x14ac:dyDescent="0.3">
      <c r="A1836" s="106" t="s">
        <v>3991</v>
      </c>
      <c r="B1836" s="97" t="s">
        <v>7735</v>
      </c>
      <c r="C1836" s="106">
        <v>12</v>
      </c>
      <c r="D1836" s="107">
        <v>3293.68</v>
      </c>
      <c r="E1836" s="107">
        <v>127.04</v>
      </c>
      <c r="F1836" s="107">
        <v>117.13</v>
      </c>
    </row>
    <row r="1837" spans="1:6" x14ac:dyDescent="0.3">
      <c r="A1837" s="106" t="s">
        <v>5826</v>
      </c>
      <c r="B1837" s="97" t="s">
        <v>7736</v>
      </c>
      <c r="C1837" s="106">
        <v>12</v>
      </c>
      <c r="D1837" s="107">
        <v>23.04</v>
      </c>
      <c r="E1837" s="107">
        <v>0.18</v>
      </c>
      <c r="F1837" s="107">
        <v>-0.11</v>
      </c>
    </row>
    <row r="1838" spans="1:6" x14ac:dyDescent="0.3">
      <c r="A1838" s="106" t="s">
        <v>3992</v>
      </c>
      <c r="B1838" s="97" t="s">
        <v>7737</v>
      </c>
      <c r="C1838" s="106">
        <v>12</v>
      </c>
      <c r="D1838" s="107">
        <v>2574.9899999999998</v>
      </c>
      <c r="E1838" s="107">
        <v>100.13</v>
      </c>
      <c r="F1838" s="107">
        <v>96.29</v>
      </c>
    </row>
    <row r="1839" spans="1:6" x14ac:dyDescent="0.3">
      <c r="A1839" s="106" t="s">
        <v>5827</v>
      </c>
      <c r="B1839" s="97" t="s">
        <v>7738</v>
      </c>
      <c r="C1839" s="106">
        <v>12</v>
      </c>
      <c r="D1839" s="107">
        <v>58.09</v>
      </c>
      <c r="E1839" s="107">
        <v>0.73</v>
      </c>
      <c r="F1839" s="107">
        <v>1.25</v>
      </c>
    </row>
    <row r="1840" spans="1:6" x14ac:dyDescent="0.3">
      <c r="A1840" s="106" t="s">
        <v>5828</v>
      </c>
      <c r="B1840" s="97" t="s">
        <v>7739</v>
      </c>
      <c r="C1840" s="106">
        <v>4</v>
      </c>
      <c r="D1840" s="107"/>
      <c r="E1840" s="107"/>
      <c r="F1840" s="107"/>
    </row>
    <row r="1841" spans="1:6" x14ac:dyDescent="0.3">
      <c r="A1841" s="106" t="s">
        <v>5829</v>
      </c>
      <c r="B1841" s="97" t="s">
        <v>7740</v>
      </c>
      <c r="C1841" s="106">
        <v>4</v>
      </c>
      <c r="D1841" s="107"/>
      <c r="E1841" s="107"/>
      <c r="F1841" s="107"/>
    </row>
    <row r="1842" spans="1:6" x14ac:dyDescent="0.3">
      <c r="A1842" s="106" t="s">
        <v>5830</v>
      </c>
      <c r="B1842" s="97" t="s">
        <v>7741</v>
      </c>
      <c r="C1842" s="106">
        <v>4</v>
      </c>
      <c r="D1842" s="107"/>
      <c r="E1842" s="107"/>
      <c r="F1842" s="107"/>
    </row>
    <row r="1843" spans="1:6" x14ac:dyDescent="0.3">
      <c r="A1843" s="106" t="s">
        <v>5831</v>
      </c>
      <c r="B1843" s="97" t="s">
        <v>7742</v>
      </c>
      <c r="C1843" s="106">
        <v>4</v>
      </c>
      <c r="D1843" s="107"/>
      <c r="E1843" s="107"/>
      <c r="F1843" s="107"/>
    </row>
    <row r="1844" spans="1:6" x14ac:dyDescent="0.3">
      <c r="A1844" s="106" t="s">
        <v>5832</v>
      </c>
      <c r="B1844" s="97" t="s">
        <v>7743</v>
      </c>
      <c r="C1844" s="106">
        <v>4</v>
      </c>
      <c r="D1844" s="107"/>
      <c r="E1844" s="107"/>
      <c r="F1844" s="107"/>
    </row>
    <row r="1845" spans="1:6" x14ac:dyDescent="0.3">
      <c r="A1845" s="106" t="s">
        <v>5833</v>
      </c>
      <c r="B1845" s="97" t="s">
        <v>7744</v>
      </c>
      <c r="C1845" s="106">
        <v>4</v>
      </c>
      <c r="D1845" s="107"/>
      <c r="E1845" s="107"/>
      <c r="F1845" s="107"/>
    </row>
    <row r="1846" spans="1:6" x14ac:dyDescent="0.3">
      <c r="A1846" s="106" t="s">
        <v>5834</v>
      </c>
      <c r="B1846" s="97" t="s">
        <v>7745</v>
      </c>
      <c r="C1846" s="106">
        <v>4</v>
      </c>
      <c r="D1846" s="107"/>
      <c r="E1846" s="107"/>
      <c r="F1846" s="107"/>
    </row>
    <row r="1847" spans="1:6" x14ac:dyDescent="0.3">
      <c r="A1847" s="106" t="s">
        <v>5835</v>
      </c>
      <c r="B1847" s="97" t="s">
        <v>7746</v>
      </c>
      <c r="C1847" s="106">
        <v>4</v>
      </c>
      <c r="D1847" s="107"/>
      <c r="E1847" s="107"/>
      <c r="F1847" s="107"/>
    </row>
    <row r="1848" spans="1:6" x14ac:dyDescent="0.3">
      <c r="A1848" s="106" t="s">
        <v>5836</v>
      </c>
      <c r="B1848" s="97" t="s">
        <v>7747</v>
      </c>
      <c r="C1848" s="106"/>
      <c r="D1848" s="107"/>
      <c r="E1848" s="107"/>
      <c r="F1848" s="107"/>
    </row>
    <row r="1849" spans="1:6" x14ac:dyDescent="0.3">
      <c r="A1849" s="106" t="s">
        <v>5837</v>
      </c>
      <c r="B1849" s="97" t="s">
        <v>7748</v>
      </c>
      <c r="C1849" s="106"/>
      <c r="D1849" s="107"/>
      <c r="E1849" s="107"/>
      <c r="F1849" s="107"/>
    </row>
    <row r="1850" spans="1:6" x14ac:dyDescent="0.3">
      <c r="A1850" s="106" t="s">
        <v>5838</v>
      </c>
      <c r="B1850" s="97" t="s">
        <v>7749</v>
      </c>
      <c r="C1850" s="106"/>
      <c r="D1850" s="107"/>
      <c r="E1850" s="107"/>
      <c r="F1850" s="107"/>
    </row>
    <row r="1851" spans="1:6" x14ac:dyDescent="0.3">
      <c r="A1851" s="106" t="s">
        <v>3993</v>
      </c>
      <c r="B1851" s="97" t="s">
        <v>7750</v>
      </c>
      <c r="C1851" s="106">
        <v>12</v>
      </c>
      <c r="D1851" s="107">
        <v>6301.31</v>
      </c>
      <c r="E1851" s="107">
        <v>176.93</v>
      </c>
      <c r="F1851" s="107">
        <v>179.81</v>
      </c>
    </row>
    <row r="1852" spans="1:6" x14ac:dyDescent="0.3">
      <c r="A1852" s="106" t="s">
        <v>5839</v>
      </c>
      <c r="B1852" s="97" t="s">
        <v>7751</v>
      </c>
      <c r="C1852" s="106">
        <v>3</v>
      </c>
      <c r="D1852" s="107"/>
      <c r="E1852" s="107"/>
      <c r="F1852" s="107"/>
    </row>
    <row r="1853" spans="1:6" x14ac:dyDescent="0.3">
      <c r="A1853" s="106" t="s">
        <v>5840</v>
      </c>
      <c r="B1853" s="97" t="s">
        <v>7752</v>
      </c>
      <c r="C1853" s="106">
        <v>12</v>
      </c>
      <c r="D1853" s="107">
        <v>18.690000000000001</v>
      </c>
      <c r="E1853" s="107">
        <v>0.84</v>
      </c>
      <c r="F1853" s="107">
        <v>0.92</v>
      </c>
    </row>
    <row r="1854" spans="1:6" x14ac:dyDescent="0.3">
      <c r="A1854" s="106" t="s">
        <v>5841</v>
      </c>
      <c r="B1854" s="97" t="s">
        <v>7753</v>
      </c>
      <c r="C1854" s="106">
        <v>12</v>
      </c>
      <c r="D1854" s="107">
        <v>63.45</v>
      </c>
      <c r="E1854" s="107">
        <v>-0.4</v>
      </c>
      <c r="F1854" s="107">
        <v>2.84</v>
      </c>
    </row>
    <row r="1855" spans="1:6" x14ac:dyDescent="0.3">
      <c r="A1855" s="106" t="s">
        <v>5842</v>
      </c>
      <c r="B1855" s="97" t="s">
        <v>7754</v>
      </c>
      <c r="C1855" s="106"/>
      <c r="D1855" s="107"/>
      <c r="E1855" s="107"/>
      <c r="F1855" s="107"/>
    </row>
    <row r="1856" spans="1:6" x14ac:dyDescent="0.3">
      <c r="A1856" s="106" t="s">
        <v>5843</v>
      </c>
      <c r="B1856" s="97" t="s">
        <v>7755</v>
      </c>
      <c r="C1856" s="106"/>
      <c r="D1856" s="107"/>
      <c r="E1856" s="107"/>
      <c r="F1856" s="107"/>
    </row>
    <row r="1857" spans="1:6" x14ac:dyDescent="0.3">
      <c r="A1857" s="106" t="s">
        <v>5844</v>
      </c>
      <c r="B1857" s="97" t="s">
        <v>7756</v>
      </c>
      <c r="C1857" s="106"/>
      <c r="D1857" s="107"/>
      <c r="E1857" s="107"/>
      <c r="F1857" s="107"/>
    </row>
    <row r="1858" spans="1:6" x14ac:dyDescent="0.3">
      <c r="A1858" s="106" t="s">
        <v>5845</v>
      </c>
      <c r="B1858" s="97" t="s">
        <v>7757</v>
      </c>
      <c r="C1858" s="106"/>
      <c r="D1858" s="107"/>
      <c r="E1858" s="107"/>
      <c r="F1858" s="107"/>
    </row>
    <row r="1859" spans="1:6" x14ac:dyDescent="0.3">
      <c r="A1859" s="106" t="s">
        <v>5846</v>
      </c>
      <c r="B1859" s="97" t="s">
        <v>7758</v>
      </c>
      <c r="C1859" s="106">
        <v>4</v>
      </c>
      <c r="D1859" s="107">
        <v>46.54</v>
      </c>
      <c r="E1859" s="107">
        <v>1.18</v>
      </c>
      <c r="F1859" s="107">
        <v>1.1399999999999999</v>
      </c>
    </row>
    <row r="1860" spans="1:6" x14ac:dyDescent="0.3">
      <c r="A1860" s="106" t="s">
        <v>5847</v>
      </c>
      <c r="B1860" s="97" t="s">
        <v>7759</v>
      </c>
      <c r="C1860" s="106">
        <v>12</v>
      </c>
      <c r="D1860" s="107"/>
      <c r="E1860" s="107"/>
      <c r="F1860" s="107"/>
    </row>
    <row r="1861" spans="1:6" x14ac:dyDescent="0.3">
      <c r="A1861" s="106" t="s">
        <v>5848</v>
      </c>
      <c r="B1861" s="97" t="s">
        <v>7760</v>
      </c>
      <c r="C1861" s="106"/>
      <c r="D1861" s="107"/>
      <c r="E1861" s="107"/>
      <c r="F1861" s="107"/>
    </row>
    <row r="1862" spans="1:6" x14ac:dyDescent="0.3">
      <c r="A1862" s="106" t="s">
        <v>5849</v>
      </c>
      <c r="B1862" s="97" t="s">
        <v>7761</v>
      </c>
      <c r="C1862" s="106">
        <v>12</v>
      </c>
      <c r="D1862" s="107">
        <v>52.97</v>
      </c>
      <c r="E1862" s="107">
        <v>2.0499999999999998</v>
      </c>
      <c r="F1862" s="107">
        <v>4.3</v>
      </c>
    </row>
    <row r="1863" spans="1:6" x14ac:dyDescent="0.3">
      <c r="A1863" s="106" t="s">
        <v>5850</v>
      </c>
      <c r="B1863" s="97" t="s">
        <v>7762</v>
      </c>
      <c r="C1863" s="106"/>
      <c r="D1863" s="107"/>
      <c r="E1863" s="107"/>
      <c r="F1863" s="107"/>
    </row>
    <row r="1864" spans="1:6" x14ac:dyDescent="0.3">
      <c r="A1864" s="106" t="s">
        <v>5851</v>
      </c>
      <c r="B1864" s="97" t="s">
        <v>7763</v>
      </c>
      <c r="C1864" s="106"/>
      <c r="D1864" s="107"/>
      <c r="E1864" s="107"/>
      <c r="F1864" s="107"/>
    </row>
    <row r="1865" spans="1:6" x14ac:dyDescent="0.3">
      <c r="A1865" s="106" t="s">
        <v>5852</v>
      </c>
      <c r="B1865" s="97" t="s">
        <v>7764</v>
      </c>
      <c r="C1865" s="106">
        <v>12</v>
      </c>
      <c r="D1865" s="107">
        <v>94.06</v>
      </c>
      <c r="E1865" s="107">
        <v>7.13</v>
      </c>
      <c r="F1865" s="107">
        <v>7.69</v>
      </c>
    </row>
    <row r="1866" spans="1:6" x14ac:dyDescent="0.3">
      <c r="A1866" s="106" t="s">
        <v>5853</v>
      </c>
      <c r="B1866" s="97" t="s">
        <v>7765</v>
      </c>
      <c r="C1866" s="106">
        <v>12</v>
      </c>
      <c r="D1866" s="107">
        <v>30.8</v>
      </c>
      <c r="E1866" s="107">
        <v>1.35</v>
      </c>
      <c r="F1866" s="107">
        <v>1.9</v>
      </c>
    </row>
    <row r="1867" spans="1:6" x14ac:dyDescent="0.3">
      <c r="A1867" s="106" t="s">
        <v>5854</v>
      </c>
      <c r="B1867" s="97" t="s">
        <v>7766</v>
      </c>
      <c r="C1867" s="106"/>
      <c r="D1867" s="107"/>
      <c r="E1867" s="107"/>
      <c r="F1867" s="107"/>
    </row>
    <row r="1868" spans="1:6" x14ac:dyDescent="0.3">
      <c r="A1868" s="106" t="s">
        <v>5855</v>
      </c>
      <c r="B1868" s="97" t="s">
        <v>7767</v>
      </c>
      <c r="C1868" s="106"/>
      <c r="D1868" s="107"/>
      <c r="E1868" s="107"/>
      <c r="F1868" s="107"/>
    </row>
    <row r="1869" spans="1:6" x14ac:dyDescent="0.3">
      <c r="A1869" s="106" t="s">
        <v>5856</v>
      </c>
      <c r="B1869" s="97" t="s">
        <v>7768</v>
      </c>
      <c r="C1869" s="106"/>
      <c r="D1869" s="107"/>
      <c r="E1869" s="107"/>
      <c r="F1869" s="107"/>
    </row>
    <row r="1870" spans="1:6" x14ac:dyDescent="0.3">
      <c r="A1870" s="106" t="s">
        <v>5857</v>
      </c>
      <c r="B1870" s="97" t="s">
        <v>7769</v>
      </c>
      <c r="C1870" s="106"/>
      <c r="D1870" s="107"/>
      <c r="E1870" s="107"/>
      <c r="F1870" s="107"/>
    </row>
    <row r="1871" spans="1:6" x14ac:dyDescent="0.3">
      <c r="A1871" s="106" t="s">
        <v>5858</v>
      </c>
      <c r="B1871" s="97" t="s">
        <v>7770</v>
      </c>
      <c r="C1871" s="106"/>
      <c r="D1871" s="107"/>
      <c r="E1871" s="107"/>
      <c r="F1871" s="107"/>
    </row>
    <row r="1872" spans="1:6" x14ac:dyDescent="0.3">
      <c r="A1872" s="106" t="s">
        <v>5859</v>
      </c>
      <c r="B1872" s="97" t="s">
        <v>7771</v>
      </c>
      <c r="C1872" s="106">
        <v>12</v>
      </c>
      <c r="D1872" s="107">
        <v>199.31</v>
      </c>
      <c r="E1872" s="107">
        <v>2.13</v>
      </c>
      <c r="F1872" s="107">
        <v>2.44</v>
      </c>
    </row>
    <row r="1873" spans="1:6" x14ac:dyDescent="0.3">
      <c r="A1873" s="106" t="s">
        <v>5860</v>
      </c>
      <c r="B1873" s="97" t="s">
        <v>7772</v>
      </c>
      <c r="C1873" s="106"/>
      <c r="D1873" s="107"/>
      <c r="E1873" s="107"/>
      <c r="F1873" s="107"/>
    </row>
    <row r="1874" spans="1:6" x14ac:dyDescent="0.3">
      <c r="A1874" s="106" t="s">
        <v>5861</v>
      </c>
      <c r="B1874" s="97" t="s">
        <v>7773</v>
      </c>
      <c r="C1874" s="106"/>
      <c r="D1874" s="107"/>
      <c r="E1874" s="107"/>
      <c r="F1874" s="107"/>
    </row>
    <row r="1875" spans="1:6" x14ac:dyDescent="0.3">
      <c r="A1875" s="106" t="s">
        <v>5862</v>
      </c>
      <c r="B1875" s="97" t="s">
        <v>7774</v>
      </c>
      <c r="C1875" s="106">
        <v>12</v>
      </c>
      <c r="D1875" s="107"/>
      <c r="E1875" s="107"/>
      <c r="F1875" s="107"/>
    </row>
    <row r="1876" spans="1:6" x14ac:dyDescent="0.3">
      <c r="A1876" s="106" t="s">
        <v>5863</v>
      </c>
      <c r="B1876" s="97" t="s">
        <v>7775</v>
      </c>
      <c r="C1876" s="106"/>
      <c r="D1876" s="107"/>
      <c r="E1876" s="107"/>
      <c r="F1876" s="107"/>
    </row>
    <row r="1877" spans="1:6" x14ac:dyDescent="0.3">
      <c r="A1877" s="106" t="s">
        <v>5864</v>
      </c>
      <c r="B1877" s="97" t="s">
        <v>7776</v>
      </c>
      <c r="C1877" s="106"/>
      <c r="D1877" s="107"/>
      <c r="E1877" s="107"/>
      <c r="F1877" s="107"/>
    </row>
    <row r="1878" spans="1:6" x14ac:dyDescent="0.3">
      <c r="A1878" s="106" t="s">
        <v>5865</v>
      </c>
      <c r="B1878" s="97" t="s">
        <v>7777</v>
      </c>
      <c r="C1878" s="106">
        <v>12</v>
      </c>
      <c r="D1878" s="107">
        <v>409.75</v>
      </c>
      <c r="E1878" s="107">
        <v>2.5099999999999998</v>
      </c>
      <c r="F1878" s="107">
        <v>9.31</v>
      </c>
    </row>
    <row r="1879" spans="1:6" x14ac:dyDescent="0.3">
      <c r="A1879" s="106" t="s">
        <v>5866</v>
      </c>
      <c r="B1879" s="97" t="s">
        <v>7778</v>
      </c>
      <c r="C1879" s="106">
        <v>12</v>
      </c>
      <c r="D1879" s="107">
        <v>25.18</v>
      </c>
      <c r="E1879" s="107">
        <v>0.35</v>
      </c>
      <c r="F1879" s="107">
        <v>2.08</v>
      </c>
    </row>
    <row r="1880" spans="1:6" x14ac:dyDescent="0.3">
      <c r="A1880" s="106" t="s">
        <v>5867</v>
      </c>
      <c r="B1880" s="97" t="s">
        <v>7779</v>
      </c>
      <c r="C1880" s="106"/>
      <c r="D1880" s="107"/>
      <c r="E1880" s="107"/>
      <c r="F1880" s="107"/>
    </row>
    <row r="1881" spans="1:6" x14ac:dyDescent="0.3">
      <c r="A1881" s="106" t="s">
        <v>5868</v>
      </c>
      <c r="B1881" s="97" t="s">
        <v>7780</v>
      </c>
      <c r="C1881" s="106"/>
      <c r="D1881" s="107"/>
      <c r="E1881" s="107"/>
      <c r="F1881" s="107"/>
    </row>
    <row r="1882" spans="1:6" x14ac:dyDescent="0.3">
      <c r="A1882" s="106" t="s">
        <v>5869</v>
      </c>
      <c r="B1882" s="97" t="s">
        <v>7781</v>
      </c>
      <c r="C1882" s="106"/>
      <c r="D1882" s="107"/>
      <c r="E1882" s="107"/>
      <c r="F1882" s="107"/>
    </row>
    <row r="1883" spans="1:6" x14ac:dyDescent="0.3">
      <c r="A1883" s="106" t="s">
        <v>5870</v>
      </c>
      <c r="B1883" s="97" t="s">
        <v>7782</v>
      </c>
      <c r="C1883" s="106"/>
      <c r="D1883" s="107"/>
      <c r="E1883" s="107"/>
      <c r="F1883" s="107"/>
    </row>
    <row r="1884" spans="1:6" x14ac:dyDescent="0.3">
      <c r="A1884" s="106" t="s">
        <v>5871</v>
      </c>
      <c r="B1884" s="97" t="s">
        <v>7783</v>
      </c>
      <c r="C1884" s="106">
        <v>10</v>
      </c>
      <c r="D1884" s="107"/>
      <c r="E1884" s="107"/>
      <c r="F1884" s="107"/>
    </row>
    <row r="1885" spans="1:6" x14ac:dyDescent="0.3">
      <c r="A1885" s="106" t="s">
        <v>5872</v>
      </c>
      <c r="B1885" s="97" t="s">
        <v>7784</v>
      </c>
      <c r="C1885" s="106">
        <v>12</v>
      </c>
      <c r="D1885" s="107">
        <v>21.32</v>
      </c>
      <c r="E1885" s="107">
        <v>0.28000000000000003</v>
      </c>
      <c r="F1885" s="107">
        <v>2.14</v>
      </c>
    </row>
    <row r="1886" spans="1:6" x14ac:dyDescent="0.3">
      <c r="A1886" s="106" t="s">
        <v>5873</v>
      </c>
      <c r="B1886" s="97" t="s">
        <v>7785</v>
      </c>
      <c r="C1886" s="106"/>
      <c r="D1886" s="107"/>
      <c r="E1886" s="107"/>
      <c r="F1886" s="107"/>
    </row>
    <row r="1887" spans="1:6" x14ac:dyDescent="0.3">
      <c r="A1887" s="106" t="s">
        <v>3994</v>
      </c>
      <c r="B1887" s="97" t="s">
        <v>7786</v>
      </c>
      <c r="C1887" s="106">
        <v>12</v>
      </c>
      <c r="D1887" s="107">
        <v>37.869999999999997</v>
      </c>
      <c r="E1887" s="107">
        <v>1.29</v>
      </c>
      <c r="F1887" s="107"/>
    </row>
    <row r="1888" spans="1:6" x14ac:dyDescent="0.3">
      <c r="A1888" s="106" t="s">
        <v>5874</v>
      </c>
      <c r="B1888" s="97" t="s">
        <v>7787</v>
      </c>
      <c r="C1888" s="106"/>
      <c r="D1888" s="107"/>
      <c r="E1888" s="107"/>
      <c r="F1888" s="107"/>
    </row>
    <row r="1889" spans="1:6" x14ac:dyDescent="0.3">
      <c r="A1889" s="106" t="s">
        <v>5875</v>
      </c>
      <c r="B1889" s="97" t="s">
        <v>7788</v>
      </c>
      <c r="C1889" s="106"/>
      <c r="D1889" s="107"/>
      <c r="E1889" s="107"/>
      <c r="F1889" s="107"/>
    </row>
    <row r="1890" spans="1:6" x14ac:dyDescent="0.3">
      <c r="A1890" s="106" t="s">
        <v>5876</v>
      </c>
      <c r="B1890" s="97" t="s">
        <v>7789</v>
      </c>
      <c r="C1890" s="106"/>
      <c r="D1890" s="107"/>
      <c r="E1890" s="107"/>
      <c r="F1890" s="107"/>
    </row>
    <row r="1891" spans="1:6" x14ac:dyDescent="0.3">
      <c r="A1891" s="106" t="s">
        <v>5877</v>
      </c>
      <c r="B1891" s="97" t="s">
        <v>7790</v>
      </c>
      <c r="C1891" s="106"/>
      <c r="D1891" s="107"/>
      <c r="E1891" s="107"/>
      <c r="F1891" s="107"/>
    </row>
    <row r="1892" spans="1:6" x14ac:dyDescent="0.3">
      <c r="A1892" s="106" t="s">
        <v>5878</v>
      </c>
      <c r="B1892" s="97" t="s">
        <v>7791</v>
      </c>
      <c r="C1892" s="106"/>
      <c r="D1892" s="107"/>
      <c r="E1892" s="107"/>
      <c r="F1892" s="107"/>
    </row>
    <row r="1893" spans="1:6" x14ac:dyDescent="0.3">
      <c r="A1893" s="106" t="s">
        <v>5879</v>
      </c>
      <c r="B1893" s="97" t="s">
        <v>7792</v>
      </c>
      <c r="C1893" s="106"/>
      <c r="D1893" s="107"/>
      <c r="E1893" s="107"/>
      <c r="F1893" s="107"/>
    </row>
    <row r="1894" spans="1:6" x14ac:dyDescent="0.3">
      <c r="A1894" s="106" t="s">
        <v>5880</v>
      </c>
      <c r="B1894" s="97" t="s">
        <v>7793</v>
      </c>
      <c r="C1894" s="106"/>
      <c r="D1894" s="107"/>
      <c r="E1894" s="107"/>
      <c r="F1894" s="107"/>
    </row>
    <row r="1895" spans="1:6" x14ac:dyDescent="0.3">
      <c r="A1895" s="106" t="s">
        <v>5881</v>
      </c>
      <c r="B1895" s="97" t="s">
        <v>7794</v>
      </c>
      <c r="C1895" s="106"/>
      <c r="D1895" s="107"/>
      <c r="E1895" s="107"/>
      <c r="F1895" s="107"/>
    </row>
    <row r="1896" spans="1:6" x14ac:dyDescent="0.3">
      <c r="A1896" s="106" t="s">
        <v>5882</v>
      </c>
      <c r="B1896" s="97" t="s">
        <v>7795</v>
      </c>
      <c r="C1896" s="106"/>
      <c r="D1896" s="107"/>
      <c r="E1896" s="107"/>
      <c r="F1896" s="107"/>
    </row>
    <row r="1897" spans="1:6" x14ac:dyDescent="0.3">
      <c r="A1897" s="106" t="s">
        <v>5883</v>
      </c>
      <c r="B1897" s="97" t="s">
        <v>7796</v>
      </c>
      <c r="C1897" s="106">
        <v>12</v>
      </c>
      <c r="D1897" s="107"/>
      <c r="E1897" s="107"/>
      <c r="F1897" s="107"/>
    </row>
    <row r="1898" spans="1:6" x14ac:dyDescent="0.3">
      <c r="A1898" s="106" t="s">
        <v>5884</v>
      </c>
      <c r="B1898" s="97" t="s">
        <v>7797</v>
      </c>
      <c r="C1898" s="106">
        <v>12</v>
      </c>
      <c r="D1898" s="107">
        <v>23.27</v>
      </c>
      <c r="E1898" s="107">
        <v>-1.49</v>
      </c>
      <c r="F1898" s="107"/>
    </row>
    <row r="1899" spans="1:6" x14ac:dyDescent="0.3">
      <c r="A1899" s="106" t="s">
        <v>5885</v>
      </c>
      <c r="B1899" s="97" t="s">
        <v>7798</v>
      </c>
      <c r="C1899" s="106">
        <v>12</v>
      </c>
      <c r="D1899" s="107"/>
      <c r="E1899" s="107"/>
      <c r="F1899" s="107"/>
    </row>
    <row r="1900" spans="1:6" x14ac:dyDescent="0.3">
      <c r="A1900" s="106" t="s">
        <v>5886</v>
      </c>
      <c r="B1900" s="97" t="s">
        <v>7799</v>
      </c>
      <c r="C1900" s="106"/>
      <c r="D1900" s="107"/>
      <c r="E1900" s="107"/>
      <c r="F1900" s="107"/>
    </row>
    <row r="1901" spans="1:6" x14ac:dyDescent="0.3">
      <c r="A1901" s="106" t="s">
        <v>5887</v>
      </c>
      <c r="B1901" s="97" t="s">
        <v>7800</v>
      </c>
      <c r="C1901" s="106"/>
      <c r="D1901" s="107"/>
      <c r="E1901" s="107"/>
      <c r="F1901" s="107"/>
    </row>
    <row r="1902" spans="1:6" x14ac:dyDescent="0.3">
      <c r="A1902" s="106" t="s">
        <v>5888</v>
      </c>
      <c r="B1902" s="97" t="s">
        <v>7801</v>
      </c>
      <c r="C1902" s="106"/>
      <c r="D1902" s="107"/>
      <c r="E1902" s="107"/>
      <c r="F1902" s="107"/>
    </row>
    <row r="1903" spans="1:6" x14ac:dyDescent="0.3">
      <c r="A1903" s="106" t="s">
        <v>5889</v>
      </c>
      <c r="B1903" s="97" t="s">
        <v>7802</v>
      </c>
      <c r="C1903" s="106"/>
      <c r="D1903" s="107"/>
      <c r="E1903" s="107"/>
      <c r="F1903" s="107"/>
    </row>
    <row r="1904" spans="1:6" x14ac:dyDescent="0.3">
      <c r="A1904" s="106" t="s">
        <v>5890</v>
      </c>
      <c r="B1904" s="97" t="s">
        <v>7803</v>
      </c>
      <c r="C1904" s="106"/>
      <c r="D1904" s="107"/>
      <c r="E1904" s="107"/>
      <c r="F1904" s="107"/>
    </row>
    <row r="1905" spans="1:6" x14ac:dyDescent="0.3">
      <c r="A1905" s="106" t="s">
        <v>5891</v>
      </c>
      <c r="B1905" s="97" t="s">
        <v>7804</v>
      </c>
      <c r="C1905" s="106"/>
      <c r="D1905" s="107"/>
      <c r="E1905" s="107"/>
      <c r="F1905" s="107"/>
    </row>
    <row r="1906" spans="1:6" x14ac:dyDescent="0.3">
      <c r="A1906" s="106" t="s">
        <v>5892</v>
      </c>
      <c r="B1906" s="97" t="s">
        <v>7805</v>
      </c>
      <c r="C1906" s="106"/>
      <c r="D1906" s="107"/>
      <c r="E1906" s="107"/>
      <c r="F1906" s="107"/>
    </row>
    <row r="1907" spans="1:6" x14ac:dyDescent="0.3">
      <c r="A1907" s="106" t="s">
        <v>5893</v>
      </c>
      <c r="B1907" s="97" t="s">
        <v>7806</v>
      </c>
      <c r="C1907" s="106">
        <v>12</v>
      </c>
      <c r="D1907" s="107"/>
      <c r="E1907" s="107"/>
      <c r="F1907" s="107"/>
    </row>
    <row r="1908" spans="1:6" x14ac:dyDescent="0.3">
      <c r="A1908" s="106" t="s">
        <v>5894</v>
      </c>
      <c r="B1908" s="97" t="s">
        <v>7807</v>
      </c>
      <c r="C1908" s="106">
        <v>3</v>
      </c>
      <c r="D1908" s="107"/>
      <c r="E1908" s="107"/>
      <c r="F1908" s="107"/>
    </row>
    <row r="1909" spans="1:6" x14ac:dyDescent="0.3">
      <c r="A1909" s="106" t="s">
        <v>5895</v>
      </c>
      <c r="B1909" s="97" t="s">
        <v>7808</v>
      </c>
      <c r="C1909" s="106">
        <v>12</v>
      </c>
      <c r="D1909" s="107">
        <v>139.38</v>
      </c>
      <c r="E1909" s="107">
        <v>6.77</v>
      </c>
      <c r="F1909" s="107"/>
    </row>
    <row r="1910" spans="1:6" x14ac:dyDescent="0.3">
      <c r="A1910" s="106" t="s">
        <v>5896</v>
      </c>
      <c r="B1910" s="97" t="s">
        <v>7809</v>
      </c>
      <c r="C1910" s="106">
        <v>12</v>
      </c>
      <c r="D1910" s="107">
        <v>3386.93</v>
      </c>
      <c r="E1910" s="107">
        <v>262.02</v>
      </c>
      <c r="F1910" s="107"/>
    </row>
    <row r="1911" spans="1:6" x14ac:dyDescent="0.3">
      <c r="A1911" s="106" t="s">
        <v>5897</v>
      </c>
      <c r="B1911" s="97" t="s">
        <v>7810</v>
      </c>
      <c r="C1911" s="106"/>
      <c r="D1911" s="107"/>
      <c r="E1911" s="107"/>
      <c r="F1911" s="107"/>
    </row>
    <row r="1912" spans="1:6" x14ac:dyDescent="0.3">
      <c r="A1912" s="106" t="s">
        <v>5898</v>
      </c>
      <c r="B1912" s="97" t="s">
        <v>7811</v>
      </c>
      <c r="C1912" s="106"/>
      <c r="D1912" s="107"/>
      <c r="E1912" s="107"/>
      <c r="F1912" s="107"/>
    </row>
    <row r="1913" spans="1:6" x14ac:dyDescent="0.3">
      <c r="A1913" s="106" t="s">
        <v>5899</v>
      </c>
      <c r="B1913" s="97" t="s">
        <v>7812</v>
      </c>
      <c r="C1913" s="106"/>
      <c r="D1913" s="107"/>
      <c r="E1913" s="107"/>
      <c r="F1913" s="107"/>
    </row>
    <row r="1914" spans="1:6" x14ac:dyDescent="0.3">
      <c r="A1914" s="106" t="s">
        <v>5900</v>
      </c>
      <c r="B1914" s="97" t="s">
        <v>7813</v>
      </c>
      <c r="C1914" s="106"/>
      <c r="D1914" s="107"/>
      <c r="E1914" s="107"/>
      <c r="F1914" s="107"/>
    </row>
    <row r="1915" spans="1:6" x14ac:dyDescent="0.3">
      <c r="A1915" s="106" t="s">
        <v>5901</v>
      </c>
      <c r="B1915" s="97" t="s">
        <v>7814</v>
      </c>
      <c r="C1915" s="106"/>
      <c r="D1915" s="107"/>
      <c r="E1915" s="107"/>
      <c r="F1915" s="107"/>
    </row>
    <row r="1916" spans="1:6" x14ac:dyDescent="0.3">
      <c r="A1916" s="106" t="s">
        <v>5902</v>
      </c>
      <c r="B1916" s="97" t="s">
        <v>7815</v>
      </c>
      <c r="C1916" s="106"/>
      <c r="D1916" s="107"/>
      <c r="E1916" s="107"/>
      <c r="F1916" s="107"/>
    </row>
    <row r="1917" spans="1:6" x14ac:dyDescent="0.3">
      <c r="A1917" s="106" t="s">
        <v>5903</v>
      </c>
      <c r="B1917" s="97" t="s">
        <v>7816</v>
      </c>
      <c r="C1917" s="106"/>
      <c r="D1917" s="107"/>
      <c r="E1917" s="107"/>
      <c r="F1917" s="107"/>
    </row>
    <row r="1918" spans="1:6" x14ac:dyDescent="0.3">
      <c r="A1918" s="106" t="s">
        <v>5904</v>
      </c>
      <c r="B1918" s="97" t="s">
        <v>7817</v>
      </c>
      <c r="C1918" s="106"/>
      <c r="D1918" s="107"/>
      <c r="E1918" s="107"/>
      <c r="F1918" s="107"/>
    </row>
    <row r="1919" spans="1:6" x14ac:dyDescent="0.3">
      <c r="A1919" s="106" t="s">
        <v>5905</v>
      </c>
      <c r="B1919" s="97" t="s">
        <v>7818</v>
      </c>
      <c r="C1919" s="106">
        <v>12</v>
      </c>
      <c r="D1919" s="107">
        <v>96.82</v>
      </c>
      <c r="E1919" s="107">
        <v>0.59</v>
      </c>
      <c r="F1919" s="107">
        <v>1.02</v>
      </c>
    </row>
    <row r="1920" spans="1:6" x14ac:dyDescent="0.3">
      <c r="A1920" s="106" t="s">
        <v>5906</v>
      </c>
      <c r="B1920" s="97" t="s">
        <v>7819</v>
      </c>
      <c r="C1920" s="106">
        <v>12</v>
      </c>
      <c r="D1920" s="107">
        <v>276.77</v>
      </c>
      <c r="E1920" s="107">
        <v>22.12</v>
      </c>
      <c r="F1920" s="107">
        <v>15.52</v>
      </c>
    </row>
    <row r="1921" spans="1:6" x14ac:dyDescent="0.3">
      <c r="A1921" s="106" t="s">
        <v>5907</v>
      </c>
      <c r="B1921" s="97" t="s">
        <v>7820</v>
      </c>
      <c r="C1921" s="106">
        <v>12</v>
      </c>
      <c r="D1921" s="107">
        <v>442.82</v>
      </c>
      <c r="E1921" s="107">
        <v>27.94</v>
      </c>
      <c r="F1921" s="107">
        <v>-0.69</v>
      </c>
    </row>
    <row r="1922" spans="1:6" x14ac:dyDescent="0.3">
      <c r="A1922" s="106" t="s">
        <v>5908</v>
      </c>
      <c r="B1922" s="97" t="s">
        <v>7821</v>
      </c>
      <c r="C1922" s="106">
        <v>3</v>
      </c>
      <c r="D1922" s="107"/>
      <c r="E1922" s="107"/>
      <c r="F1922" s="107">
        <v>3.02</v>
      </c>
    </row>
    <row r="1923" spans="1:6" x14ac:dyDescent="0.3">
      <c r="A1923" s="106" t="s">
        <v>5909</v>
      </c>
      <c r="B1923" s="97" t="s">
        <v>7822</v>
      </c>
      <c r="C1923" s="106">
        <v>12</v>
      </c>
      <c r="D1923" s="107">
        <v>85.15</v>
      </c>
      <c r="E1923" s="107">
        <v>1.08</v>
      </c>
      <c r="F1923" s="107">
        <v>1.21</v>
      </c>
    </row>
    <row r="1924" spans="1:6" x14ac:dyDescent="0.3">
      <c r="A1924" s="106" t="s">
        <v>5910</v>
      </c>
      <c r="B1924" s="97" t="s">
        <v>7823</v>
      </c>
      <c r="C1924" s="106">
        <v>12</v>
      </c>
      <c r="D1924" s="107">
        <v>287.27999999999997</v>
      </c>
      <c r="E1924" s="107">
        <v>11.89</v>
      </c>
      <c r="F1924" s="107">
        <v>16.149999999999999</v>
      </c>
    </row>
    <row r="1925" spans="1:6" x14ac:dyDescent="0.3">
      <c r="A1925" s="106" t="s">
        <v>5911</v>
      </c>
      <c r="B1925" s="97" t="s">
        <v>7824</v>
      </c>
      <c r="C1925" s="106">
        <v>12</v>
      </c>
      <c r="D1925" s="107">
        <v>171.51</v>
      </c>
      <c r="E1925" s="107">
        <v>2.2999999999999998</v>
      </c>
      <c r="F1925" s="107">
        <v>6.28</v>
      </c>
    </row>
    <row r="1926" spans="1:6" x14ac:dyDescent="0.3">
      <c r="A1926" s="106" t="s">
        <v>5912</v>
      </c>
      <c r="B1926" s="97" t="s">
        <v>7825</v>
      </c>
      <c r="C1926" s="106">
        <v>12</v>
      </c>
      <c r="D1926" s="107">
        <v>13.41</v>
      </c>
      <c r="E1926" s="107">
        <v>0.09</v>
      </c>
      <c r="F1926" s="107">
        <v>-0.1</v>
      </c>
    </row>
    <row r="1927" spans="1:6" x14ac:dyDescent="0.3">
      <c r="A1927" s="106" t="s">
        <v>5913</v>
      </c>
      <c r="B1927" s="97" t="s">
        <v>7826</v>
      </c>
      <c r="C1927" s="106">
        <v>12</v>
      </c>
      <c r="D1927" s="107">
        <v>138.55000000000001</v>
      </c>
      <c r="E1927" s="107">
        <v>4.24</v>
      </c>
      <c r="F1927" s="107">
        <v>6.73</v>
      </c>
    </row>
    <row r="1928" spans="1:6" x14ac:dyDescent="0.3">
      <c r="A1928" s="106" t="s">
        <v>5914</v>
      </c>
      <c r="B1928" s="97" t="s">
        <v>7827</v>
      </c>
      <c r="C1928" s="106">
        <v>6</v>
      </c>
      <c r="D1928" s="107">
        <v>357.62</v>
      </c>
      <c r="E1928" s="107">
        <v>21.19</v>
      </c>
      <c r="F1928" s="107">
        <v>29.67</v>
      </c>
    </row>
    <row r="1929" spans="1:6" x14ac:dyDescent="0.3">
      <c r="A1929" s="106" t="s">
        <v>5915</v>
      </c>
      <c r="B1929" s="97" t="s">
        <v>7828</v>
      </c>
      <c r="C1929" s="106">
        <v>12</v>
      </c>
      <c r="D1929" s="107">
        <v>42.28</v>
      </c>
      <c r="E1929" s="107">
        <v>0.87</v>
      </c>
      <c r="F1929" s="107">
        <v>-6.31</v>
      </c>
    </row>
    <row r="1930" spans="1:6" x14ac:dyDescent="0.3">
      <c r="A1930" s="106" t="s">
        <v>5916</v>
      </c>
      <c r="B1930" s="97" t="s">
        <v>7829</v>
      </c>
      <c r="C1930" s="106">
        <v>12</v>
      </c>
      <c r="D1930" s="107">
        <v>127.72</v>
      </c>
      <c r="E1930" s="107">
        <v>7.65</v>
      </c>
      <c r="F1930" s="107">
        <v>10.87</v>
      </c>
    </row>
    <row r="1931" spans="1:6" x14ac:dyDescent="0.3">
      <c r="A1931" s="106" t="s">
        <v>5917</v>
      </c>
      <c r="B1931" s="97" t="s">
        <v>7830</v>
      </c>
      <c r="C1931" s="106">
        <v>12</v>
      </c>
      <c r="D1931" s="107">
        <v>206.19</v>
      </c>
      <c r="E1931" s="107">
        <v>6.18</v>
      </c>
      <c r="F1931" s="107">
        <v>14.25</v>
      </c>
    </row>
    <row r="1932" spans="1:6" x14ac:dyDescent="0.3">
      <c r="A1932" s="106" t="s">
        <v>5918</v>
      </c>
      <c r="B1932" s="97" t="s">
        <v>7831</v>
      </c>
      <c r="C1932" s="106">
        <v>9</v>
      </c>
      <c r="D1932" s="107">
        <v>188.29</v>
      </c>
      <c r="E1932" s="107"/>
      <c r="F1932" s="107"/>
    </row>
    <row r="1933" spans="1:6" x14ac:dyDescent="0.3">
      <c r="A1933" s="106" t="s">
        <v>5919</v>
      </c>
      <c r="B1933" s="97" t="s">
        <v>7832</v>
      </c>
      <c r="C1933" s="106">
        <v>12</v>
      </c>
      <c r="D1933" s="107">
        <v>203.99</v>
      </c>
      <c r="E1933" s="107">
        <v>-0.87</v>
      </c>
      <c r="F1933" s="107">
        <v>-1.58</v>
      </c>
    </row>
    <row r="1934" spans="1:6" x14ac:dyDescent="0.3">
      <c r="A1934" s="106" t="s">
        <v>5920</v>
      </c>
      <c r="B1934" s="97" t="s">
        <v>7833</v>
      </c>
      <c r="C1934" s="106">
        <v>3</v>
      </c>
      <c r="D1934" s="107">
        <v>179.82</v>
      </c>
      <c r="E1934" s="107">
        <v>12.95</v>
      </c>
      <c r="F1934" s="107">
        <v>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RefreshBtn1">
          <controlPr defaultSize="0" autoLine="0" autoPict="0" r:id="rId5">
            <anchor mov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647700</xdr:colOff>
                <xdr:row>1</xdr:row>
                <xdr:rowOff>9525</xdr:rowOff>
              </to>
            </anchor>
          </controlPr>
        </control>
      </mc:Choice>
      <mc:Fallback>
        <control shapeId="23553" r:id="rId4" name="RefreshBt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V344"/>
  <sheetViews>
    <sheetView showGridLines="0" topLeftCell="AM34" zoomScaleNormal="100" workbookViewId="0">
      <selection activeCell="AO17" sqref="AO17"/>
    </sheetView>
  </sheetViews>
  <sheetFormatPr defaultRowHeight="16.5" x14ac:dyDescent="0.3"/>
  <cols>
    <col min="1" max="1" width="11.75" style="7" customWidth="1"/>
    <col min="2" max="2" width="12.25" style="7" customWidth="1"/>
    <col min="3" max="3" width="12.875" style="7" customWidth="1"/>
    <col min="4" max="5" width="11.375" style="7" customWidth="1"/>
    <col min="6" max="6" width="13.75" style="7" customWidth="1"/>
    <col min="7" max="10" width="14.375" style="7" customWidth="1"/>
    <col min="11" max="11" width="5.25" style="7" customWidth="1"/>
    <col min="12" max="12" width="11.125" style="7" bestFit="1" customWidth="1"/>
    <col min="13" max="15" width="12.625" style="7" customWidth="1"/>
    <col min="16" max="16" width="11.125" style="7" bestFit="1" customWidth="1"/>
    <col min="17" max="23" width="11.375" style="7" customWidth="1"/>
    <col min="24" max="24" width="11.125" style="7" bestFit="1" customWidth="1"/>
    <col min="25" max="25" width="12.625" style="7" bestFit="1" customWidth="1"/>
    <col min="26" max="26" width="11.125" style="7" bestFit="1" customWidth="1"/>
    <col min="27" max="27" width="10.375" style="7" customWidth="1"/>
    <col min="28" max="28" width="11.125" style="7" bestFit="1" customWidth="1"/>
    <col min="29" max="30" width="10.25" style="7" bestFit="1" customWidth="1"/>
    <col min="31" max="32" width="10.25" style="7" customWidth="1"/>
    <col min="33" max="33" width="10.125" style="7" bestFit="1" customWidth="1"/>
    <col min="34" max="34" width="12" style="7" bestFit="1" customWidth="1"/>
    <col min="35" max="37" width="9" style="7"/>
    <col min="38" max="38" width="9.75" style="7" bestFit="1" customWidth="1"/>
    <col min="40" max="41" width="11.125" bestFit="1" customWidth="1"/>
    <col min="42" max="42" width="9.75" bestFit="1" customWidth="1"/>
    <col min="43" max="43" width="11.125" bestFit="1" customWidth="1"/>
    <col min="44" max="44" width="9.75" bestFit="1" customWidth="1"/>
    <col min="46" max="46" width="9.25" bestFit="1" customWidth="1"/>
  </cols>
  <sheetData>
    <row r="1" spans="1:45" x14ac:dyDescent="0.3">
      <c r="A1" s="114" t="s">
        <v>3588</v>
      </c>
      <c r="B1" s="31"/>
      <c r="C1" s="31"/>
      <c r="D1" s="31"/>
      <c r="E1" s="31"/>
      <c r="F1" s="31"/>
      <c r="G1" s="31"/>
      <c r="H1" s="31"/>
      <c r="I1" s="31"/>
      <c r="J1" s="31"/>
      <c r="K1" s="6"/>
      <c r="N1" s="7" t="s">
        <v>3574</v>
      </c>
      <c r="O1" s="89">
        <f ca="1">Main!B2</f>
        <v>42866</v>
      </c>
      <c r="P1" s="7">
        <f ca="1">IF(B4&gt;O1,0,1)</f>
        <v>1</v>
      </c>
      <c r="S1" s="6"/>
      <c r="T1" s="6"/>
      <c r="U1" s="6"/>
      <c r="V1" s="6"/>
      <c r="W1" s="6"/>
      <c r="X1" s="7" t="s">
        <v>7908</v>
      </c>
      <c r="Y1" s="7" t="s">
        <v>7909</v>
      </c>
      <c r="Z1" s="7" t="s">
        <v>7910</v>
      </c>
      <c r="AA1" s="7" t="s">
        <v>7911</v>
      </c>
      <c r="AB1" s="7" t="s">
        <v>7909</v>
      </c>
      <c r="AC1" s="7" t="s">
        <v>7910</v>
      </c>
      <c r="AD1" s="7" t="s">
        <v>7911</v>
      </c>
      <c r="AE1" s="7" t="s">
        <v>7909</v>
      </c>
      <c r="AG1" s="7" t="s">
        <v>7910</v>
      </c>
      <c r="AH1" s="7" t="s">
        <v>7911</v>
      </c>
      <c r="AI1" s="7" t="s">
        <v>7909</v>
      </c>
      <c r="AJ1" s="7" t="s">
        <v>7910</v>
      </c>
      <c r="AK1" s="7" t="s">
        <v>7911</v>
      </c>
      <c r="AL1" s="7" t="s">
        <v>7909</v>
      </c>
      <c r="AM1" s="7" t="s">
        <v>7911</v>
      </c>
      <c r="AN1" s="7" t="s">
        <v>7909</v>
      </c>
      <c r="AO1" s="7" t="s">
        <v>7911</v>
      </c>
      <c r="AP1" s="7" t="s">
        <v>7909</v>
      </c>
      <c r="AQ1" s="7" t="s">
        <v>7911</v>
      </c>
      <c r="AR1" s="7" t="s">
        <v>7909</v>
      </c>
      <c r="AS1" s="7" t="s">
        <v>7911</v>
      </c>
    </row>
    <row r="2" spans="1:45" x14ac:dyDescent="0.3">
      <c r="A2" s="32" t="s">
        <v>3011</v>
      </c>
      <c r="B2" s="159" t="s">
        <v>1469</v>
      </c>
      <c r="C2" s="155" t="str">
        <f>VLOOKUP(B2,Universe!B:C,2,0)</f>
        <v>CJ제일제당</v>
      </c>
      <c r="F2" s="32" t="s">
        <v>3013</v>
      </c>
      <c r="L2" s="66" t="s">
        <v>3573</v>
      </c>
      <c r="M2" s="66" t="s">
        <v>3573</v>
      </c>
      <c r="N2" s="66" t="s">
        <v>3572</v>
      </c>
      <c r="O2" s="66" t="s">
        <v>3572</v>
      </c>
      <c r="P2" s="66"/>
      <c r="Q2" s="66"/>
      <c r="R2" s="66" t="s">
        <v>3571</v>
      </c>
      <c r="S2" s="66" t="s">
        <v>3571</v>
      </c>
      <c r="T2" s="66"/>
      <c r="U2" s="66"/>
      <c r="V2" s="66" t="s">
        <v>3571</v>
      </c>
      <c r="W2" s="66" t="s">
        <v>3571</v>
      </c>
      <c r="X2" s="66"/>
      <c r="Y2" s="66"/>
      <c r="Z2" s="66" t="s">
        <v>3570</v>
      </c>
      <c r="AA2" s="66" t="s">
        <v>3570</v>
      </c>
      <c r="AB2" s="66" t="s">
        <v>3046</v>
      </c>
      <c r="AC2" s="66" t="s">
        <v>3046</v>
      </c>
      <c r="AD2" s="66" t="s">
        <v>3047</v>
      </c>
      <c r="AE2" s="66"/>
      <c r="AF2" s="66"/>
      <c r="AG2" s="66"/>
      <c r="AH2" s="66"/>
      <c r="AI2" s="66" t="s">
        <v>3046</v>
      </c>
      <c r="AJ2" s="66" t="s">
        <v>3047</v>
      </c>
      <c r="AK2" s="66"/>
      <c r="AL2" s="66"/>
      <c r="AM2" s="67" t="s">
        <v>3046</v>
      </c>
      <c r="AN2" s="68"/>
      <c r="AO2" s="67" t="s">
        <v>3047</v>
      </c>
      <c r="AP2" s="67" t="s">
        <v>3046</v>
      </c>
      <c r="AQ2" s="67"/>
      <c r="AR2" s="67" t="s">
        <v>3047</v>
      </c>
      <c r="AS2" s="67"/>
    </row>
    <row r="3" spans="1:45" x14ac:dyDescent="0.3">
      <c r="A3" s="32" t="s">
        <v>3012</v>
      </c>
      <c r="B3" s="7" t="str">
        <f>VLOOKUP(B2,Universe!B:G,6,0)</f>
        <v>필수소비재</v>
      </c>
      <c r="C3" s="7" t="str">
        <f>VLOOKUP(B2,Universe!B:F,5,0)</f>
        <v>KS</v>
      </c>
      <c r="F3" s="8"/>
      <c r="G3" s="8" t="s">
        <v>3622</v>
      </c>
      <c r="H3" s="8" t="s">
        <v>3623</v>
      </c>
      <c r="I3" s="8" t="s">
        <v>3621</v>
      </c>
      <c r="J3" s="8" t="s">
        <v>3620</v>
      </c>
      <c r="L3" s="55">
        <f ca="1">IF(P1=0,O1,B4)</f>
        <v>41487</v>
      </c>
      <c r="M3" s="56" t="str">
        <f ca="1">YEAR(L3)&amp;TEXT(MONTH(L3),"00")&amp;TEXT(DAY(L3),"00")</f>
        <v>20130801</v>
      </c>
      <c r="N3" s="55">
        <f ca="1">L3</f>
        <v>41487</v>
      </c>
      <c r="O3" s="56" t="str">
        <f ca="1">YEAR(N3)&amp;TEXT(MONTH(N3),"00")&amp;TEXT(DAY(N3),"00")</f>
        <v>20130801</v>
      </c>
      <c r="P3" s="56"/>
      <c r="R3" s="55">
        <f ca="1">L3-14</f>
        <v>41473</v>
      </c>
      <c r="S3" s="56" t="str">
        <f ca="1">YEAR(R3)&amp;TEXT(MONTH(R3),"00")&amp;TEXT(DAY(R3),"00")</f>
        <v>20130718</v>
      </c>
      <c r="T3" s="56"/>
      <c r="U3" s="56"/>
      <c r="V3" s="55">
        <f ca="1">L3-21</f>
        <v>41466</v>
      </c>
      <c r="W3" s="56" t="str">
        <f ca="1">YEAR(V3)&amp;TEXT(MONTH(V3),"00")&amp;TEXT(DAY(V3),"00")</f>
        <v>20130711</v>
      </c>
      <c r="Z3" s="55">
        <f ca="1">L3-28</f>
        <v>41459</v>
      </c>
      <c r="AA3" s="56" t="str">
        <f ca="1">YEAR(Z3)&amp;TEXT(MONTH(Z3),"00")&amp;TEXT(DAY(Z3),"00")</f>
        <v>20130704</v>
      </c>
      <c r="AB3" s="55">
        <f ca="1">L3-120</f>
        <v>41367</v>
      </c>
      <c r="AC3" s="56" t="str">
        <f ca="1">YEAR(AB3)&amp;TEXT(MONTH(AB3),"00")&amp;TEXT(DAY(AB3),"00")</f>
        <v>20130403</v>
      </c>
      <c r="AD3" s="55" t="str">
        <f ca="1">M3</f>
        <v>20130801</v>
      </c>
      <c r="AE3" s="55"/>
      <c r="AF3" s="55"/>
      <c r="AI3" s="56" t="str">
        <f ca="1">AC3</f>
        <v>20130403</v>
      </c>
      <c r="AJ3" s="56" t="str">
        <f ca="1">AD3</f>
        <v>20130801</v>
      </c>
      <c r="AM3" s="55">
        <f ca="1">L3-40</f>
        <v>41447</v>
      </c>
      <c r="AN3" s="56" t="str">
        <f ca="1">YEAR(AM3)&amp;TEXT(MONTH(AM3),"00")&amp;TEXT(DAY(AM3),"00")</f>
        <v>20130622</v>
      </c>
      <c r="AO3" s="59" t="str">
        <f ca="1">M3</f>
        <v>20130801</v>
      </c>
      <c r="AP3" s="59">
        <f ca="1">IF(AP5=6,L3+3,IF(AP5=7,L3+2,L3+1))</f>
        <v>41488</v>
      </c>
      <c r="AQ3" s="60" t="str">
        <f ca="1">YEAR(AP3)&amp;TEXT(MONTH(AP3),"00")&amp;TEXT(DAY(AP3),"00")</f>
        <v>20130802</v>
      </c>
      <c r="AR3" s="59">
        <f ca="1">AP3+35</f>
        <v>41523</v>
      </c>
      <c r="AS3" s="60" t="str">
        <f ca="1">YEAR(AR3)&amp;TEXT(MONTH(AR3),"00")&amp;TEXT(DAY(AR3),"00")</f>
        <v>20130906</v>
      </c>
    </row>
    <row r="4" spans="1:45" x14ac:dyDescent="0.3">
      <c r="A4" s="32" t="s">
        <v>3126</v>
      </c>
      <c r="B4" s="1">
        <f>VLOOKUP(B2,Main!A:D,4,0)</f>
        <v>41487</v>
      </c>
      <c r="F4" s="9" t="s">
        <v>3000</v>
      </c>
      <c r="G4" s="9">
        <f>VLOOKUP($B$2,Earing_s!$A:$G,4,0)</f>
        <v>-8.68</v>
      </c>
      <c r="H4" s="9">
        <f>VLOOKUP($B$2,Earing_s!$A:$G,5,0)</f>
        <v>-7.56</v>
      </c>
      <c r="I4" s="9">
        <f>VLOOKUP($B$2,Earing_s!$A:$G,6,0)</f>
        <v>-8.7200000000000006</v>
      </c>
      <c r="J4" s="9">
        <f>VLOOKUP($B$2,Earing_s!$A:$G,7,0)</f>
        <v>-21.74</v>
      </c>
      <c r="AM4" s="77" t="s">
        <v>3107</v>
      </c>
      <c r="AO4" s="58"/>
      <c r="AP4" s="77" t="s">
        <v>3048</v>
      </c>
      <c r="AQ4" s="58"/>
      <c r="AR4" s="58"/>
      <c r="AS4" s="58"/>
    </row>
    <row r="5" spans="1:45" x14ac:dyDescent="0.3">
      <c r="F5" s="9" t="s">
        <v>2999</v>
      </c>
      <c r="G5" s="10" t="str">
        <f>IF(ISNUMBER(G4),IF(G4&gt;0,"( + )","( - ) "),"")</f>
        <v xml:space="preserve">( - ) </v>
      </c>
      <c r="H5" s="10" t="str">
        <f>IF(ISNUMBER(H4),IF(H4&gt;0,"( + )","( - )"),"")</f>
        <v>( - )</v>
      </c>
      <c r="I5" s="10" t="str">
        <f t="shared" ref="I5:J5" si="0">IF(ISNUMBER(I4),IF(I4&gt;0,"( + )","( - )"),"")</f>
        <v>( - )</v>
      </c>
      <c r="J5" s="10" t="str">
        <f t="shared" si="0"/>
        <v>( - )</v>
      </c>
      <c r="L5" s="43"/>
      <c r="P5" s="43"/>
      <c r="X5" s="43"/>
      <c r="AN5" s="58"/>
      <c r="AO5" s="58"/>
      <c r="AP5" s="58">
        <f ca="1">WEEKDAY(L3)</f>
        <v>5</v>
      </c>
      <c r="AQ5" s="58"/>
      <c r="AR5" s="58"/>
      <c r="AS5" s="58"/>
    </row>
    <row r="6" spans="1:45" x14ac:dyDescent="0.3">
      <c r="G6" s="76">
        <f>IF(ISNUMBER(G4),IF(G4&gt;0,2,1),0)</f>
        <v>1</v>
      </c>
      <c r="H6" s="76">
        <f t="shared" ref="H6:J6" si="1">IF(ISNUMBER(H4),IF(H4&gt;0,2,1),0)</f>
        <v>1</v>
      </c>
      <c r="I6" s="76">
        <f t="shared" si="1"/>
        <v>1</v>
      </c>
      <c r="J6" s="76">
        <f t="shared" si="1"/>
        <v>1</v>
      </c>
      <c r="O6" s="53"/>
      <c r="S6" s="53"/>
      <c r="T6" s="53"/>
      <c r="U6" s="53"/>
      <c r="V6" s="53"/>
      <c r="W6" s="53"/>
      <c r="AA6" s="53"/>
      <c r="AM6" s="58"/>
      <c r="AN6" s="58"/>
      <c r="AO6" s="58"/>
      <c r="AP6" s="58"/>
      <c r="AQ6" s="58"/>
      <c r="AR6" s="58"/>
      <c r="AS6" s="58"/>
    </row>
    <row r="7" spans="1:45" x14ac:dyDescent="0.3">
      <c r="F7" s="72" t="s">
        <v>7922</v>
      </c>
      <c r="G7" s="166">
        <f>O19</f>
        <v>148.52856333333332</v>
      </c>
      <c r="H7" s="172"/>
      <c r="I7" s="172"/>
      <c r="J7" s="173"/>
      <c r="O7" s="52"/>
      <c r="S7" s="52"/>
      <c r="T7" s="52"/>
      <c r="U7" s="52"/>
      <c r="V7" s="52"/>
      <c r="W7" s="52"/>
      <c r="AA7" s="52"/>
      <c r="AM7" s="58"/>
      <c r="AN7" s="58"/>
      <c r="AO7" s="58"/>
      <c r="AP7" s="58"/>
      <c r="AQ7" s="58"/>
      <c r="AR7" s="58"/>
      <c r="AS7" s="58"/>
    </row>
    <row r="8" spans="1:45" x14ac:dyDescent="0.3">
      <c r="F8" s="72" t="s">
        <v>7935</v>
      </c>
      <c r="G8" s="179" t="str">
        <f>IF(ISNUMBER(VLOOKUP(B2,Main!A:G,7,0)),VLOOKUP(B2,Main!A:G,7,0),"")</f>
        <v/>
      </c>
      <c r="H8" s="41" t="str">
        <f>IFERROR(G8-G7,"")</f>
        <v/>
      </c>
      <c r="I8" s="172"/>
      <c r="J8" s="173"/>
    </row>
    <row r="9" spans="1:45" x14ac:dyDescent="0.3">
      <c r="F9" s="72" t="s">
        <v>7961</v>
      </c>
      <c r="G9" s="183" t="str">
        <f>IFERROR(IF(H9&gt;5,"L",IF(H9&lt;-5,"S","N")),"")</f>
        <v>L</v>
      </c>
      <c r="H9" s="174" t="str">
        <f>IFERROR(H8/ABS(G7)*100,"")</f>
        <v/>
      </c>
      <c r="I9" s="172"/>
      <c r="J9" s="173"/>
      <c r="L9" s="75" t="s">
        <v>7924</v>
      </c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</row>
    <row r="10" spans="1:45" x14ac:dyDescent="0.3">
      <c r="M10" s="7" t="s">
        <v>7925</v>
      </c>
      <c r="O10" s="168">
        <f ca="1">INTERCEPT(OFFSET(O25,0,0,COUNTA(O25:O100),1),OFFSET(L25,0,0,COUNTA(L25:L100),1))</f>
        <v>7666.6704905010902</v>
      </c>
      <c r="Q10" s="7" t="s">
        <v>7925</v>
      </c>
      <c r="S10" s="168">
        <f ca="1">INTERCEPT(OFFSET(S25,0,0,COUNTA(S25:S100),1),OFFSET(P25,0,0,COUNTA(P25:P100),1))</f>
        <v>-2074.8407047472592</v>
      </c>
      <c r="U10" s="7" t="s">
        <v>7925</v>
      </c>
      <c r="W10" s="168">
        <f ca="1">INTERCEPT(OFFSET(W25,0,0,COUNTA(W25:W100),1),OFFSET(T25,0,0,COUNTA(T25:T100),1))</f>
        <v>815.01762015082579</v>
      </c>
      <c r="Y10" s="7" t="s">
        <v>7925</v>
      </c>
      <c r="AA10" s="168">
        <f ca="1">INTERCEPT(OFFSET(AA25,0,0,COUNTA(AA25:AA100),1),OFFSET(X25,0,0,COUNTA(X25:X100),1))</f>
        <v>-1239.4681562758369</v>
      </c>
    </row>
    <row r="11" spans="1:45" x14ac:dyDescent="0.3">
      <c r="F11" s="32" t="s">
        <v>7932</v>
      </c>
      <c r="K11" s="42"/>
      <c r="M11" s="7" t="s">
        <v>7926</v>
      </c>
      <c r="O11" s="167">
        <f ca="1">LINEST(OFFSET(O25,0,0,COUNTA(O25:O100),1),OFFSET(L25,0,0,COUNTA(L25:L100),1))</f>
        <v>-0.18128721444362533</v>
      </c>
      <c r="Q11" s="7" t="s">
        <v>7926</v>
      </c>
      <c r="S11" s="167">
        <f ca="1">LINEST(OFFSET(S25,0,0,COUNTA(S25:S100),1),OFFSET(P25,0,0,COUNTA(P25:P100),1))</f>
        <v>5.3738149115252092E-2</v>
      </c>
      <c r="U11" s="7" t="s">
        <v>7926</v>
      </c>
      <c r="W11" s="167">
        <f ca="1">LINEST(OFFSET(W25,0,0,COUNTA(W25:W100),1),OFFSET(T25,0,0,COUNTA(T25:T100),1))</f>
        <v>-1.5898099289708357E-2</v>
      </c>
      <c r="Y11" s="7" t="s">
        <v>7926</v>
      </c>
      <c r="AA11" s="167">
        <f ca="1">LINEST(OFFSET(AA25,0,0,COUNTA(AA25:AA100),1),OFFSET(X25,0,0,COUNTA(X25:X100),1))</f>
        <v>3.371104046343476E-2</v>
      </c>
    </row>
    <row r="12" spans="1:45" x14ac:dyDescent="0.3">
      <c r="F12" s="72"/>
      <c r="G12" s="73" t="s">
        <v>7904</v>
      </c>
      <c r="H12" s="165" t="s">
        <v>7905</v>
      </c>
      <c r="I12" s="165" t="s">
        <v>7906</v>
      </c>
      <c r="J12" s="165" t="s">
        <v>7907</v>
      </c>
      <c r="K12" s="42"/>
      <c r="M12" s="7" t="s">
        <v>7927</v>
      </c>
      <c r="O12" s="55">
        <f ca="1">L3</f>
        <v>41487</v>
      </c>
      <c r="Q12" s="7" t="s">
        <v>7927</v>
      </c>
      <c r="S12" s="55">
        <f ca="1">R3</f>
        <v>41473</v>
      </c>
      <c r="U12" s="7" t="s">
        <v>7927</v>
      </c>
      <c r="W12" s="55">
        <f ca="1">V3</f>
        <v>41466</v>
      </c>
      <c r="Y12" s="7" t="s">
        <v>7927</v>
      </c>
      <c r="AA12" s="55">
        <f ca="1">Z3</f>
        <v>41459</v>
      </c>
    </row>
    <row r="13" spans="1:45" x14ac:dyDescent="0.3">
      <c r="F13" s="69" t="s">
        <v>3039</v>
      </c>
      <c r="G13" s="180">
        <f>O19</f>
        <v>148.52856333333332</v>
      </c>
      <c r="H13" s="70">
        <f>S19</f>
        <v>152.73693600000001</v>
      </c>
      <c r="I13" s="70">
        <f>W19</f>
        <v>156.13492282352942</v>
      </c>
      <c r="J13" s="70">
        <f>AA19</f>
        <v>157.59742425000002</v>
      </c>
      <c r="L13" s="54"/>
      <c r="M13" s="22" t="s">
        <v>7928</v>
      </c>
      <c r="N13" s="23"/>
      <c r="O13" s="41">
        <f ca="1">O11*O12+O10</f>
        <v>145.60782487840606</v>
      </c>
      <c r="P13" s="54"/>
      <c r="Q13" s="22" t="s">
        <v>7928</v>
      </c>
      <c r="R13" s="23"/>
      <c r="S13" s="41">
        <f ca="1">S11*S12+S10</f>
        <v>153.84155350959099</v>
      </c>
      <c r="T13" s="54"/>
      <c r="U13" s="22" t="s">
        <v>7928</v>
      </c>
      <c r="V13" s="23"/>
      <c r="W13" s="41">
        <f ca="1">W11*W12+W10</f>
        <v>155.78703500377901</v>
      </c>
      <c r="X13" s="54"/>
      <c r="Y13" s="22" t="s">
        <v>7928</v>
      </c>
      <c r="Z13" s="23"/>
      <c r="AA13" s="41">
        <f ca="1">AA11*AA12+AA10</f>
        <v>158.1578702977049</v>
      </c>
    </row>
    <row r="14" spans="1:45" x14ac:dyDescent="0.3">
      <c r="F14" s="69" t="s">
        <v>7923</v>
      </c>
      <c r="G14" s="180">
        <f ca="1">O13</f>
        <v>145.60782487840606</v>
      </c>
      <c r="H14" s="70">
        <f ca="1">S13</f>
        <v>153.84155350959099</v>
      </c>
      <c r="I14" s="70">
        <f ca="1">W13</f>
        <v>155.78703500377901</v>
      </c>
      <c r="J14" s="70">
        <f ca="1">AA13</f>
        <v>158.1578702977049</v>
      </c>
      <c r="L14" s="44"/>
      <c r="M14" s="7" t="s">
        <v>7929</v>
      </c>
      <c r="N14" s="23"/>
      <c r="O14" s="41">
        <f ca="1">O13-O19</f>
        <v>-2.9207384549272604</v>
      </c>
      <c r="P14" s="44"/>
      <c r="Q14" s="7" t="s">
        <v>7929</v>
      </c>
      <c r="R14" s="23"/>
      <c r="S14" s="41">
        <f ca="1">S13-S19</f>
        <v>1.1046175095909803</v>
      </c>
      <c r="T14" s="44"/>
      <c r="U14" s="7" t="s">
        <v>7929</v>
      </c>
      <c r="V14" s="23"/>
      <c r="W14" s="41">
        <f ca="1">W13-W19</f>
        <v>-0.34788781975041161</v>
      </c>
      <c r="X14" s="44"/>
      <c r="Y14" s="7" t="s">
        <v>7929</v>
      </c>
      <c r="Z14" s="23"/>
      <c r="AA14" s="41">
        <f ca="1">AA13-AA19</f>
        <v>0.56044604770488604</v>
      </c>
    </row>
    <row r="15" spans="1:45" x14ac:dyDescent="0.3">
      <c r="F15" s="69" t="s">
        <v>7933</v>
      </c>
      <c r="G15" s="184" t="str">
        <f ca="1">O16</f>
        <v>N</v>
      </c>
      <c r="H15" s="184" t="str">
        <f ca="1">S16</f>
        <v>N</v>
      </c>
      <c r="I15" s="184" t="str">
        <f ca="1">W16</f>
        <v>N</v>
      </c>
      <c r="J15" s="183" t="str">
        <f ca="1">AA16</f>
        <v>N</v>
      </c>
      <c r="L15" s="44"/>
      <c r="M15" s="7" t="s">
        <v>7931</v>
      </c>
      <c r="N15" s="23"/>
      <c r="O15" s="41">
        <f ca="1">O14/ABS(O19)*100</f>
        <v>-1.9664490044062639</v>
      </c>
      <c r="P15" s="44"/>
      <c r="Q15" s="7" t="s">
        <v>7931</v>
      </c>
      <c r="R15" s="23"/>
      <c r="S15" s="41">
        <f ca="1">S14/ABS(S19)*100</f>
        <v>0.72321570572227545</v>
      </c>
      <c r="T15" s="44"/>
      <c r="U15" s="7" t="s">
        <v>7931</v>
      </c>
      <c r="V15" s="23"/>
      <c r="W15" s="41">
        <f ca="1">W14/ABS(W19)*100</f>
        <v>-0.2228123045499627</v>
      </c>
      <c r="X15" s="44"/>
      <c r="Y15" s="7" t="s">
        <v>7931</v>
      </c>
      <c r="Z15" s="23"/>
      <c r="AA15" s="41">
        <f ca="1">AA14/ABS(AA19)*100</f>
        <v>0.35561878652016482</v>
      </c>
    </row>
    <row r="16" spans="1:45" x14ac:dyDescent="0.3">
      <c r="F16" s="72"/>
      <c r="G16" s="73" t="s">
        <v>3089</v>
      </c>
      <c r="H16" s="73" t="s">
        <v>3086</v>
      </c>
      <c r="I16" s="73" t="s">
        <v>3090</v>
      </c>
      <c r="J16" s="73" t="s">
        <v>3087</v>
      </c>
      <c r="L16" s="43"/>
      <c r="M16" s="22" t="s">
        <v>7930</v>
      </c>
      <c r="O16" s="43" t="str">
        <f ca="1">IF(O15&gt;5,"L",IF(O15&lt;-5,"S","N"))</f>
        <v>N</v>
      </c>
      <c r="P16" s="43"/>
      <c r="Q16" s="22" t="s">
        <v>7930</v>
      </c>
      <c r="S16" s="43" t="str">
        <f ca="1">IF(S15&gt;5,"L",IF(S15&lt;-5,"S","N"))</f>
        <v>N</v>
      </c>
      <c r="T16" s="43"/>
      <c r="U16" s="22" t="s">
        <v>7930</v>
      </c>
      <c r="W16" s="43" t="str">
        <f ca="1">IF(W15&gt;5,"L",IF(W15&lt;-5,"S","N"))</f>
        <v>N</v>
      </c>
      <c r="X16" s="43"/>
      <c r="Y16" s="22" t="s">
        <v>7930</v>
      </c>
      <c r="AA16" s="43" t="str">
        <f ca="1">IF(AA15&gt;5,"L",IF(AA15&lt;-5,"S","N"))</f>
        <v>N</v>
      </c>
    </row>
    <row r="17" spans="6:48" x14ac:dyDescent="0.3">
      <c r="F17" s="69" t="s">
        <v>3088</v>
      </c>
      <c r="G17" s="71">
        <f>VLOOKUP(B2,'Bookvalue&amp;OP'!$A:$F,5,0)</f>
        <v>125.24</v>
      </c>
      <c r="H17" s="154">
        <f>IF(AND(G17&lt;0,G25&lt;0),"적지",IF(AND(G17&lt;0,G25&gt;0),"흑전",(G25/G17-1)*100))</f>
        <v>18.595147982540183</v>
      </c>
      <c r="I17" s="86">
        <f>VLOOKUP(B2,'Bookvalue&amp;OP'!$A:$F,6,0)</f>
        <v>156.94</v>
      </c>
      <c r="J17" s="171">
        <f>IF(AND(I17&lt;0,G25&lt;0),"적지",IF(AND(I17&lt;0,G25&gt;0),"흑전",(G25/I17-1)*100))</f>
        <v>-5.3596512467609774</v>
      </c>
      <c r="O17" s="41"/>
      <c r="Q17" s="22"/>
      <c r="S17" s="41"/>
      <c r="T17" s="41"/>
      <c r="U17" s="41"/>
      <c r="V17" s="41"/>
      <c r="W17" s="41"/>
      <c r="Y17" s="22"/>
    </row>
    <row r="18" spans="6:48" x14ac:dyDescent="0.3">
      <c r="F18" s="32" t="s">
        <v>3014</v>
      </c>
      <c r="L18" s="75" t="s">
        <v>3091</v>
      </c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</row>
    <row r="19" spans="6:48" x14ac:dyDescent="0.3">
      <c r="F19" s="73" t="s">
        <v>3106</v>
      </c>
      <c r="G19" s="73" t="s">
        <v>3099</v>
      </c>
      <c r="H19" s="73" t="s">
        <v>3100</v>
      </c>
      <c r="I19" s="73" t="s">
        <v>3101</v>
      </c>
      <c r="J19" s="73" t="s">
        <v>3102</v>
      </c>
      <c r="L19" s="44"/>
      <c r="M19" s="22" t="s">
        <v>3041</v>
      </c>
      <c r="N19" s="23"/>
      <c r="O19" s="78">
        <f>AVERAGE(O25:O90)</f>
        <v>148.52856333333332</v>
      </c>
      <c r="P19" s="22"/>
      <c r="Q19" s="23" t="s">
        <v>3031</v>
      </c>
      <c r="R19" s="41"/>
      <c r="S19" s="78">
        <f>AVERAGE(S25:S90)</f>
        <v>152.73693600000001</v>
      </c>
      <c r="T19" s="78"/>
      <c r="U19" s="23" t="s">
        <v>3031</v>
      </c>
      <c r="V19" s="41"/>
      <c r="W19" s="78">
        <f>AVERAGE(W25:W90)</f>
        <v>156.13492282352942</v>
      </c>
      <c r="X19" s="23"/>
      <c r="Y19" s="41" t="s">
        <v>3031</v>
      </c>
      <c r="Z19" s="22"/>
      <c r="AA19" s="78">
        <f>AVERAGE(AA25:AA90)</f>
        <v>157.59742425000002</v>
      </c>
    </row>
    <row r="20" spans="6:48" x14ac:dyDescent="0.3">
      <c r="F20" s="71">
        <f>AVERAGE(G29:G50)</f>
        <v>147.45384615384617</v>
      </c>
      <c r="G20" s="70">
        <f>IFERROR(STDEV(G29:G50),"")</f>
        <v>5.54716374745019</v>
      </c>
      <c r="H20" s="153">
        <f>IFERROR(G20/F20,"")</f>
        <v>3.7619661284810091E-2</v>
      </c>
      <c r="I20" s="69">
        <f>COUNTIF(G29:G70,"&gt;"&amp;G25)</f>
        <v>4</v>
      </c>
      <c r="J20" s="69">
        <f>COUNTIF(G29:G70,"&lt;"&amp;G25)</f>
        <v>9</v>
      </c>
      <c r="L20" s="44"/>
      <c r="M20" s="22" t="s">
        <v>3042</v>
      </c>
      <c r="N20" s="23"/>
      <c r="O20" s="78">
        <f>MAX(O25:O90)</f>
        <v>169.2</v>
      </c>
      <c r="P20" s="22"/>
      <c r="Q20" s="23" t="s">
        <v>3032</v>
      </c>
      <c r="R20" s="41"/>
      <c r="S20" s="78">
        <f>MAX(S25:S90)</f>
        <v>177</v>
      </c>
      <c r="T20" s="78"/>
      <c r="U20" s="23" t="s">
        <v>3032</v>
      </c>
      <c r="V20" s="41"/>
      <c r="W20" s="78">
        <f>MAX(W25:W90)</f>
        <v>189</v>
      </c>
      <c r="X20" s="23"/>
      <c r="Y20" s="41" t="s">
        <v>3032</v>
      </c>
      <c r="Z20" s="22"/>
      <c r="AA20" s="78">
        <f>MAX(AA25:AA90)</f>
        <v>189</v>
      </c>
    </row>
    <row r="21" spans="6:48" x14ac:dyDescent="0.3">
      <c r="F21" s="73" t="s">
        <v>3103</v>
      </c>
      <c r="G21" s="73" t="s">
        <v>3104</v>
      </c>
      <c r="H21" s="73" t="s">
        <v>3105</v>
      </c>
      <c r="I21" s="73"/>
      <c r="J21" s="73"/>
      <c r="L21" s="44"/>
      <c r="M21" s="22" t="s">
        <v>3043</v>
      </c>
      <c r="N21" s="23"/>
      <c r="O21" s="78">
        <f>MEDIAN(O25:O90)</f>
        <v>146.05000000000001</v>
      </c>
      <c r="P21" s="22"/>
      <c r="Q21" s="23" t="s">
        <v>3033</v>
      </c>
      <c r="R21" s="41"/>
      <c r="S21" s="78">
        <f>MEDIAN(S25:S90)</f>
        <v>152.378547</v>
      </c>
      <c r="T21" s="78"/>
      <c r="U21" s="23" t="s">
        <v>3033</v>
      </c>
      <c r="V21" s="41"/>
      <c r="W21" s="78">
        <f>MEDIAN(W25:W90)</f>
        <v>153.9</v>
      </c>
      <c r="X21" s="23"/>
      <c r="Y21" s="41" t="s">
        <v>3033</v>
      </c>
      <c r="Z21" s="22"/>
      <c r="AA21" s="78">
        <f>MEDIAN(AA25:AA90)</f>
        <v>154.80000000000001</v>
      </c>
    </row>
    <row r="22" spans="6:48" x14ac:dyDescent="0.3">
      <c r="F22" s="80">
        <f>F20-G25</f>
        <v>-1.074717179487152</v>
      </c>
      <c r="G22" s="151">
        <f>F22/G25*100</f>
        <v>-0.72357609564648628</v>
      </c>
      <c r="H22" s="152">
        <f>(I20-J20)/COUNT(G29:G70)</f>
        <v>-0.38461538461538464</v>
      </c>
      <c r="I22" s="69"/>
      <c r="J22" s="69"/>
      <c r="L22" s="44"/>
      <c r="M22" s="22" t="s">
        <v>3044</v>
      </c>
      <c r="N22" s="23"/>
      <c r="O22" s="78">
        <f>MIN(O25:O90)</f>
        <v>137</v>
      </c>
      <c r="P22" s="22"/>
      <c r="Q22" s="23" t="s">
        <v>3034</v>
      </c>
      <c r="R22" s="41"/>
      <c r="S22" s="78">
        <f>MIN(S25:S90)</f>
        <v>137</v>
      </c>
      <c r="T22" s="78"/>
      <c r="U22" s="23" t="s">
        <v>3034</v>
      </c>
      <c r="V22" s="41"/>
      <c r="W22" s="78">
        <f>MIN(W25:W90)</f>
        <v>137</v>
      </c>
      <c r="X22" s="23"/>
      <c r="Y22" s="41" t="s">
        <v>3034</v>
      </c>
      <c r="Z22" s="22"/>
      <c r="AA22" s="78">
        <f>MIN(AA25:AA90)</f>
        <v>138</v>
      </c>
    </row>
    <row r="23" spans="6:48" x14ac:dyDescent="0.3">
      <c r="L23" s="63" t="s">
        <v>3019</v>
      </c>
      <c r="M23" s="63"/>
      <c r="N23" s="63"/>
      <c r="O23" s="63"/>
      <c r="P23" s="63" t="s">
        <v>3020</v>
      </c>
      <c r="Q23" s="63"/>
      <c r="R23" s="63"/>
      <c r="S23" s="63"/>
      <c r="T23" s="63" t="s">
        <v>7952</v>
      </c>
      <c r="U23" s="63"/>
      <c r="V23" s="63"/>
      <c r="W23" s="63"/>
      <c r="X23" s="63" t="s">
        <v>3021</v>
      </c>
      <c r="Y23" s="63"/>
      <c r="Z23" s="63"/>
      <c r="AA23" s="63"/>
      <c r="AB23" s="63" t="s">
        <v>3022</v>
      </c>
      <c r="AC23" s="63"/>
      <c r="AD23" s="63"/>
      <c r="AE23" s="63"/>
      <c r="AF23" s="63"/>
      <c r="AG23" s="63" t="s">
        <v>7958</v>
      </c>
      <c r="AH23" s="63"/>
      <c r="AI23" s="63"/>
      <c r="AJ23" s="63"/>
      <c r="AK23" s="63"/>
      <c r="AL23" s="63"/>
      <c r="AM23" s="87" t="s">
        <v>3109</v>
      </c>
      <c r="AN23" s="87"/>
      <c r="AO23" s="87"/>
      <c r="AP23" s="88" t="s">
        <v>3108</v>
      </c>
      <c r="AQ23" s="88"/>
      <c r="AR23" s="88"/>
    </row>
    <row r="24" spans="6:48" x14ac:dyDescent="0.3">
      <c r="F24" s="8" t="s">
        <v>3004</v>
      </c>
      <c r="G24" s="28" t="s">
        <v>3007</v>
      </c>
      <c r="H24" s="28" t="s">
        <v>3008</v>
      </c>
      <c r="I24" s="28" t="s">
        <v>3009</v>
      </c>
      <c r="J24" s="28" t="s">
        <v>3010</v>
      </c>
      <c r="L24" s="11" t="s">
        <v>13</v>
      </c>
      <c r="M24" s="12" t="s">
        <v>14</v>
      </c>
      <c r="N24" s="12" t="s">
        <v>15</v>
      </c>
      <c r="O24" s="13" t="s">
        <v>3001</v>
      </c>
      <c r="P24" s="14" t="s">
        <v>13</v>
      </c>
      <c r="Q24" s="15" t="s">
        <v>14</v>
      </c>
      <c r="R24" s="15" t="s">
        <v>15</v>
      </c>
      <c r="S24" s="16" t="s">
        <v>3002</v>
      </c>
      <c r="T24" s="170" t="s">
        <v>13</v>
      </c>
      <c r="U24" s="170" t="s">
        <v>14</v>
      </c>
      <c r="V24" s="170" t="s">
        <v>15</v>
      </c>
      <c r="W24" s="170" t="s">
        <v>7921</v>
      </c>
      <c r="X24" s="17" t="s">
        <v>13</v>
      </c>
      <c r="Y24" s="18" t="s">
        <v>14</v>
      </c>
      <c r="Z24" s="18" t="s">
        <v>15</v>
      </c>
      <c r="AA24" s="19" t="s">
        <v>3003</v>
      </c>
      <c r="AB24" s="20" t="s">
        <v>36</v>
      </c>
      <c r="AC24" s="20" t="s">
        <v>7939</v>
      </c>
      <c r="AD24" s="20" t="s">
        <v>7940</v>
      </c>
      <c r="AE24" s="20" t="s">
        <v>3602</v>
      </c>
      <c r="AF24" s="20" t="s">
        <v>7938</v>
      </c>
      <c r="AG24" s="21" t="s">
        <v>13</v>
      </c>
      <c r="AH24" s="21" t="s">
        <v>7953</v>
      </c>
      <c r="AI24" s="21" t="s">
        <v>7954</v>
      </c>
      <c r="AJ24" s="21" t="s">
        <v>7955</v>
      </c>
      <c r="AK24" s="21" t="s">
        <v>7956</v>
      </c>
      <c r="AL24" s="21" t="s">
        <v>7957</v>
      </c>
      <c r="AM24" s="64" t="s">
        <v>3084</v>
      </c>
      <c r="AN24" s="65" t="s">
        <v>3083</v>
      </c>
      <c r="AO24" s="21" t="s">
        <v>3122</v>
      </c>
      <c r="AP24" s="64" t="s">
        <v>3005</v>
      </c>
      <c r="AQ24" s="65" t="s">
        <v>3023</v>
      </c>
      <c r="AR24" s="21" t="s">
        <v>3122</v>
      </c>
      <c r="AT24" t="s">
        <v>3124</v>
      </c>
      <c r="AU24" t="s">
        <v>3122</v>
      </c>
      <c r="AV24" t="s">
        <v>3123</v>
      </c>
    </row>
    <row r="25" spans="6:48" x14ac:dyDescent="0.3">
      <c r="F25" s="39" t="s">
        <v>3026</v>
      </c>
      <c r="G25" s="35">
        <f>O19</f>
        <v>148.52856333333332</v>
      </c>
      <c r="H25" s="29"/>
      <c r="I25" s="30"/>
      <c r="J25" s="30"/>
      <c r="L25" s="44">
        <v>41484</v>
      </c>
      <c r="M25" s="22" t="s">
        <v>3672</v>
      </c>
      <c r="N25" s="23" t="s">
        <v>7861</v>
      </c>
      <c r="O25" s="41">
        <v>145.69999999999999</v>
      </c>
      <c r="P25" s="24">
        <v>41470</v>
      </c>
      <c r="Q25" s="7" t="s">
        <v>19</v>
      </c>
      <c r="R25" s="7" t="s">
        <v>7873</v>
      </c>
      <c r="S25" s="42">
        <v>145.35978399999999</v>
      </c>
      <c r="T25" s="128">
        <v>41460</v>
      </c>
      <c r="U25" s="129" t="s">
        <v>18</v>
      </c>
      <c r="V25" s="130" t="s">
        <v>7876</v>
      </c>
      <c r="W25" s="169">
        <v>137</v>
      </c>
      <c r="X25" s="24">
        <v>41456</v>
      </c>
      <c r="Y25" s="7" t="s">
        <v>19</v>
      </c>
      <c r="Z25" s="24" t="s">
        <v>7873</v>
      </c>
      <c r="AA25" s="42">
        <v>138.02467899999999</v>
      </c>
      <c r="AB25" s="25">
        <v>41484</v>
      </c>
      <c r="AC25" s="6">
        <v>148.53</v>
      </c>
      <c r="AD25" s="6">
        <v>147.61000000000001</v>
      </c>
      <c r="AE25" s="150">
        <v>144.80000000000001</v>
      </c>
      <c r="AF25" s="150">
        <f ca="1">O13</f>
        <v>145.60782487840606</v>
      </c>
      <c r="AG25" s="25">
        <v>41484</v>
      </c>
      <c r="AH25" s="46">
        <v>13200</v>
      </c>
      <c r="AI25" s="57">
        <v>200.36</v>
      </c>
      <c r="AJ25" s="57">
        <v>-35.840000000000003</v>
      </c>
      <c r="AK25" s="57">
        <v>68.33</v>
      </c>
      <c r="AL25" s="57">
        <v>32.489999999999995</v>
      </c>
      <c r="AM25" s="62" t="s">
        <v>3116</v>
      </c>
      <c r="AN25" s="61">
        <v>11800</v>
      </c>
      <c r="AO25" s="61">
        <v>1855.73</v>
      </c>
      <c r="AP25" s="62" t="s">
        <v>3119</v>
      </c>
      <c r="AQ25" s="61">
        <v>13050</v>
      </c>
      <c r="AR25" s="58">
        <v>1917.05</v>
      </c>
      <c r="AS25" s="58" t="s">
        <v>3110</v>
      </c>
      <c r="AT25" s="83">
        <f>AN25/$AN$39*100</f>
        <v>90.769230769230774</v>
      </c>
      <c r="AU25" s="83">
        <f>AO25/$AO$39*100</f>
        <v>99.162129089830671</v>
      </c>
      <c r="AV25" s="84">
        <f t="shared" ref="AV25:AV65" si="2">AT25-AU25</f>
        <v>-8.3928983205998975</v>
      </c>
    </row>
    <row r="26" spans="6:48" x14ac:dyDescent="0.3">
      <c r="F26" s="39" t="s">
        <v>3027</v>
      </c>
      <c r="G26" s="35">
        <f>O20</f>
        <v>169.2</v>
      </c>
      <c r="H26" s="29">
        <f t="shared" ref="H26:J28" si="3">IFERROR(INDEX(L$25:L$109,MATCH($G26,$O$25:$O$109,0)),"")</f>
        <v>41464</v>
      </c>
      <c r="I26" s="30" t="str">
        <f t="shared" si="3"/>
        <v>대신증권</v>
      </c>
      <c r="J26" s="30" t="str">
        <f t="shared" si="3"/>
        <v>김회재</v>
      </c>
      <c r="L26" s="44">
        <v>41484</v>
      </c>
      <c r="M26" s="22" t="s">
        <v>7838</v>
      </c>
      <c r="N26" s="23" t="s">
        <v>7862</v>
      </c>
      <c r="O26" s="41">
        <v>156</v>
      </c>
      <c r="P26" s="24">
        <v>41470</v>
      </c>
      <c r="Q26" s="7" t="s">
        <v>11</v>
      </c>
      <c r="R26" s="7" t="s">
        <v>7867</v>
      </c>
      <c r="S26" s="42">
        <v>146.4</v>
      </c>
      <c r="T26" s="128">
        <v>41457</v>
      </c>
      <c r="U26" s="129" t="s">
        <v>6</v>
      </c>
      <c r="V26" s="130" t="s">
        <v>7878</v>
      </c>
      <c r="W26" s="169">
        <v>152.71413999999999</v>
      </c>
      <c r="X26" s="24">
        <v>41456</v>
      </c>
      <c r="Y26" s="7" t="s">
        <v>1590</v>
      </c>
      <c r="Z26" s="24" t="s">
        <v>7864</v>
      </c>
      <c r="AA26" s="42">
        <v>157.6</v>
      </c>
      <c r="AB26" s="25">
        <v>41481</v>
      </c>
      <c r="AC26" s="6">
        <v>148.53</v>
      </c>
      <c r="AD26" s="6">
        <v>147.61000000000001</v>
      </c>
      <c r="AE26" s="6"/>
      <c r="AF26" s="150">
        <v>190</v>
      </c>
      <c r="AG26" s="25">
        <v>41481</v>
      </c>
      <c r="AH26" s="46">
        <v>12550</v>
      </c>
      <c r="AI26" s="57">
        <v>185.1</v>
      </c>
      <c r="AJ26" s="57">
        <v>-55.08</v>
      </c>
      <c r="AK26" s="57">
        <v>73.05</v>
      </c>
      <c r="AL26" s="57">
        <v>17.97</v>
      </c>
      <c r="AM26" s="62" t="s">
        <v>3117</v>
      </c>
      <c r="AN26" s="61">
        <v>11950</v>
      </c>
      <c r="AO26" s="61">
        <v>1855.02</v>
      </c>
      <c r="AP26" s="62" t="s">
        <v>3120</v>
      </c>
      <c r="AQ26" s="61"/>
      <c r="AR26" s="58"/>
      <c r="AS26" s="58" t="s">
        <v>3111</v>
      </c>
      <c r="AT26" s="83">
        <f t="shared" ref="AT26:AT45" si="4">AN26/$AN$39*100</f>
        <v>91.92307692307692</v>
      </c>
      <c r="AU26" s="83">
        <f t="shared" ref="AU26:AU45" si="5">AO26/$AO$39*100</f>
        <v>99.124189782035998</v>
      </c>
      <c r="AV26" s="84">
        <f t="shared" si="2"/>
        <v>-7.2011128589590783</v>
      </c>
    </row>
    <row r="27" spans="6:48" x14ac:dyDescent="0.3">
      <c r="F27" s="39" t="s">
        <v>3028</v>
      </c>
      <c r="G27" s="35">
        <f>O21</f>
        <v>146.05000000000001</v>
      </c>
      <c r="H27" s="29" t="str">
        <f t="shared" si="3"/>
        <v/>
      </c>
      <c r="I27" s="30" t="str">
        <f t="shared" si="3"/>
        <v/>
      </c>
      <c r="J27" s="30" t="str">
        <f t="shared" si="3"/>
        <v/>
      </c>
      <c r="L27" s="44">
        <v>41481</v>
      </c>
      <c r="M27" s="22" t="s">
        <v>3718</v>
      </c>
      <c r="N27" s="23" t="s">
        <v>7863</v>
      </c>
      <c r="O27" s="41">
        <v>139</v>
      </c>
      <c r="P27" s="24">
        <v>41470</v>
      </c>
      <c r="Q27" s="7" t="s">
        <v>1590</v>
      </c>
      <c r="R27" s="7" t="s">
        <v>7880</v>
      </c>
      <c r="S27" s="42">
        <v>145.636055</v>
      </c>
      <c r="T27" s="128">
        <v>41457</v>
      </c>
      <c r="U27" s="129" t="s">
        <v>8</v>
      </c>
      <c r="V27" s="130" t="s">
        <v>7881</v>
      </c>
      <c r="W27" s="169">
        <v>161.91967</v>
      </c>
      <c r="X27" s="24">
        <v>41456</v>
      </c>
      <c r="Y27" s="7" t="s">
        <v>6</v>
      </c>
      <c r="Z27" s="24" t="s">
        <v>7878</v>
      </c>
      <c r="AA27" s="42">
        <v>152.71413999999999</v>
      </c>
      <c r="AB27" s="25">
        <v>41480</v>
      </c>
      <c r="AC27" s="6">
        <v>148.53</v>
      </c>
      <c r="AD27" s="6">
        <v>147.61000000000001</v>
      </c>
      <c r="AE27" s="6"/>
      <c r="AF27" s="150">
        <v>190</v>
      </c>
      <c r="AG27" s="25">
        <v>41480</v>
      </c>
      <c r="AH27" s="46">
        <v>12750</v>
      </c>
      <c r="AI27" s="57">
        <v>186.23</v>
      </c>
      <c r="AJ27" s="57">
        <v>-53.39</v>
      </c>
      <c r="AK27" s="57">
        <v>76.61</v>
      </c>
      <c r="AL27" s="57">
        <v>23.22</v>
      </c>
      <c r="AM27" s="62" t="s">
        <v>3112</v>
      </c>
      <c r="AN27" s="61">
        <v>12250</v>
      </c>
      <c r="AO27" s="61">
        <v>1824.66</v>
      </c>
      <c r="AP27" s="62" t="s">
        <v>3115</v>
      </c>
      <c r="AQ27" s="61"/>
      <c r="AR27" s="58"/>
      <c r="AS27" s="58" t="s">
        <v>3112</v>
      </c>
      <c r="AT27" s="83">
        <f t="shared" si="4"/>
        <v>94.230769230769226</v>
      </c>
      <c r="AU27" s="83">
        <f t="shared" si="5"/>
        <v>97.501883606478529</v>
      </c>
      <c r="AV27" s="84">
        <f t="shared" si="2"/>
        <v>-3.2711143757093026</v>
      </c>
    </row>
    <row r="28" spans="6:48" ht="17.25" thickBot="1" x14ac:dyDescent="0.35">
      <c r="F28" s="40" t="s">
        <v>3029</v>
      </c>
      <c r="G28" s="36">
        <f>O22</f>
        <v>137</v>
      </c>
      <c r="H28" s="37">
        <f t="shared" si="3"/>
        <v>41460</v>
      </c>
      <c r="I28" s="38" t="str">
        <f t="shared" si="3"/>
        <v>SK증권</v>
      </c>
      <c r="J28" s="38" t="str">
        <f t="shared" si="3"/>
        <v>이동섭</v>
      </c>
      <c r="L28" s="44">
        <v>41474</v>
      </c>
      <c r="M28" s="22" t="s">
        <v>1590</v>
      </c>
      <c r="N28" s="23" t="s">
        <v>7864</v>
      </c>
      <c r="O28" s="41">
        <v>145.6</v>
      </c>
      <c r="P28" s="24">
        <v>41467</v>
      </c>
      <c r="Q28" s="7" t="s">
        <v>3718</v>
      </c>
      <c r="R28" s="7" t="s">
        <v>7863</v>
      </c>
      <c r="S28" s="42">
        <v>173</v>
      </c>
      <c r="T28" s="128">
        <v>41456</v>
      </c>
      <c r="U28" s="129" t="s">
        <v>19</v>
      </c>
      <c r="V28" s="130" t="s">
        <v>7873</v>
      </c>
      <c r="W28" s="169">
        <v>138.02467899999999</v>
      </c>
      <c r="X28" s="24">
        <v>41453</v>
      </c>
      <c r="Y28" s="7" t="s">
        <v>3672</v>
      </c>
      <c r="Z28" s="24" t="s">
        <v>7882</v>
      </c>
      <c r="AA28" s="42">
        <v>152.04295400000001</v>
      </c>
      <c r="AB28" s="25">
        <v>41479</v>
      </c>
      <c r="AC28" s="6">
        <v>148.53</v>
      </c>
      <c r="AD28" s="6">
        <v>147.61000000000001</v>
      </c>
      <c r="AE28" s="6"/>
      <c r="AF28" s="150">
        <v>190</v>
      </c>
      <c r="AG28" s="25">
        <v>41479</v>
      </c>
      <c r="AH28" s="46">
        <v>12700</v>
      </c>
      <c r="AI28" s="57">
        <v>170.78</v>
      </c>
      <c r="AJ28" s="57">
        <v>-50.35</v>
      </c>
      <c r="AK28" s="57">
        <v>78.42</v>
      </c>
      <c r="AL28" s="57">
        <v>28.07</v>
      </c>
      <c r="AM28" s="62" t="s">
        <v>3049</v>
      </c>
      <c r="AN28" s="61">
        <v>12650</v>
      </c>
      <c r="AO28" s="61">
        <v>1839.14</v>
      </c>
      <c r="AP28" s="62" t="s">
        <v>3066</v>
      </c>
      <c r="AQ28" s="61"/>
      <c r="AR28" s="58"/>
      <c r="AS28" s="58" t="s">
        <v>3049</v>
      </c>
      <c r="AT28" s="83">
        <f t="shared" si="4"/>
        <v>97.307692307692307</v>
      </c>
      <c r="AU28" s="83">
        <f t="shared" si="5"/>
        <v>98.275631742910434</v>
      </c>
      <c r="AV28" s="84">
        <f t="shared" si="2"/>
        <v>-0.96793943521812764</v>
      </c>
    </row>
    <row r="29" spans="6:48" ht="17.25" thickTop="1" x14ac:dyDescent="0.3">
      <c r="F29" s="7" t="s">
        <v>3526</v>
      </c>
      <c r="G29" s="42">
        <v>145.69999999999999</v>
      </c>
      <c r="H29" s="79">
        <v>41484</v>
      </c>
      <c r="I29" s="7" t="s">
        <v>3672</v>
      </c>
      <c r="J29" s="7" t="s">
        <v>7861</v>
      </c>
      <c r="L29" s="44">
        <v>41474</v>
      </c>
      <c r="M29" s="22" t="s">
        <v>7</v>
      </c>
      <c r="N29" s="23" t="s">
        <v>7865</v>
      </c>
      <c r="O29" s="41">
        <v>145</v>
      </c>
      <c r="P29" s="24">
        <v>41467</v>
      </c>
      <c r="Q29" s="7" t="s">
        <v>10</v>
      </c>
      <c r="R29" s="7" t="s">
        <v>7874</v>
      </c>
      <c r="S29" s="42">
        <v>142</v>
      </c>
      <c r="T29" s="128">
        <v>41456</v>
      </c>
      <c r="U29" s="129" t="s">
        <v>1590</v>
      </c>
      <c r="V29" s="130" t="s">
        <v>7864</v>
      </c>
      <c r="W29" s="169">
        <v>157.6</v>
      </c>
      <c r="X29" s="24">
        <v>41453</v>
      </c>
      <c r="Y29" s="7" t="s">
        <v>3718</v>
      </c>
      <c r="Z29" s="24" t="s">
        <v>7863</v>
      </c>
      <c r="AA29" s="42">
        <v>173</v>
      </c>
      <c r="AB29" s="25">
        <v>41478</v>
      </c>
      <c r="AC29" s="6">
        <v>148.53</v>
      </c>
      <c r="AD29" s="6">
        <v>147.61000000000001</v>
      </c>
      <c r="AE29" s="6"/>
      <c r="AF29" s="150">
        <v>190</v>
      </c>
      <c r="AG29" s="25">
        <v>41478</v>
      </c>
      <c r="AH29" s="46">
        <v>13050</v>
      </c>
      <c r="AI29" s="57">
        <v>175.27</v>
      </c>
      <c r="AJ29" s="57">
        <v>-47.2</v>
      </c>
      <c r="AK29" s="57">
        <v>80.38</v>
      </c>
      <c r="AL29" s="57">
        <v>33.179999999999993</v>
      </c>
      <c r="AM29" s="62" t="s">
        <v>3050</v>
      </c>
      <c r="AN29" s="61">
        <v>13250</v>
      </c>
      <c r="AO29" s="61">
        <v>1833.31</v>
      </c>
      <c r="AP29" s="62" t="s">
        <v>3067</v>
      </c>
      <c r="AQ29" s="61"/>
      <c r="AR29" s="58"/>
      <c r="AS29" s="58" t="s">
        <v>3050</v>
      </c>
      <c r="AT29" s="83">
        <f t="shared" si="4"/>
        <v>101.92307692307692</v>
      </c>
      <c r="AU29" s="83">
        <f t="shared" si="5"/>
        <v>97.964101933835977</v>
      </c>
      <c r="AV29" s="84">
        <f t="shared" si="2"/>
        <v>3.9589749892409429</v>
      </c>
    </row>
    <row r="30" spans="6:48" x14ac:dyDescent="0.3">
      <c r="F30" s="7" t="s">
        <v>3601</v>
      </c>
      <c r="G30" s="42">
        <v>156</v>
      </c>
      <c r="H30" s="79">
        <v>41484</v>
      </c>
      <c r="I30" s="7" t="s">
        <v>7838</v>
      </c>
      <c r="J30" s="7" t="s">
        <v>7862</v>
      </c>
      <c r="L30" s="44">
        <v>41474</v>
      </c>
      <c r="M30" s="22" t="s">
        <v>9</v>
      </c>
      <c r="N30" s="23" t="s">
        <v>7866</v>
      </c>
      <c r="O30" s="41">
        <v>158</v>
      </c>
      <c r="P30" s="24">
        <v>41464</v>
      </c>
      <c r="Q30" s="7" t="s">
        <v>20</v>
      </c>
      <c r="R30" s="7" t="s">
        <v>7875</v>
      </c>
      <c r="S30" s="42">
        <v>169.2</v>
      </c>
      <c r="T30" s="128">
        <v>41453</v>
      </c>
      <c r="U30" s="129" t="s">
        <v>3672</v>
      </c>
      <c r="V30" s="130" t="s">
        <v>7882</v>
      </c>
      <c r="W30" s="169">
        <v>152.04295400000001</v>
      </c>
      <c r="X30" s="24">
        <v>41453</v>
      </c>
      <c r="Y30" s="7" t="s">
        <v>11</v>
      </c>
      <c r="Z30" s="24" t="s">
        <v>7867</v>
      </c>
      <c r="AA30" s="42">
        <v>189</v>
      </c>
      <c r="AB30" s="25">
        <v>41477</v>
      </c>
      <c r="AC30" s="6">
        <v>148.53</v>
      </c>
      <c r="AD30" s="6">
        <v>147.61000000000001</v>
      </c>
      <c r="AE30" s="6"/>
      <c r="AF30" s="150">
        <v>190</v>
      </c>
      <c r="AG30" s="25">
        <v>41477</v>
      </c>
      <c r="AH30" s="46">
        <v>12750</v>
      </c>
      <c r="AI30" s="57">
        <v>172.34</v>
      </c>
      <c r="AJ30" s="57">
        <v>-48.18</v>
      </c>
      <c r="AK30" s="57">
        <v>76.33</v>
      </c>
      <c r="AL30" s="57">
        <v>28.15</v>
      </c>
      <c r="AM30" s="62" t="s">
        <v>3051</v>
      </c>
      <c r="AN30" s="61">
        <v>12700</v>
      </c>
      <c r="AO30" s="61">
        <v>1816.85</v>
      </c>
      <c r="AP30" s="62" t="s">
        <v>3068</v>
      </c>
      <c r="AQ30" s="61"/>
      <c r="AR30" s="58"/>
      <c r="AS30" s="58" t="s">
        <v>3051</v>
      </c>
      <c r="AT30" s="83">
        <f t="shared" si="4"/>
        <v>97.692307692307693</v>
      </c>
      <c r="AU30" s="83">
        <f t="shared" si="5"/>
        <v>97.084551220737296</v>
      </c>
      <c r="AV30" s="84">
        <f t="shared" si="2"/>
        <v>0.60775647157039714</v>
      </c>
    </row>
    <row r="31" spans="6:48" x14ac:dyDescent="0.3">
      <c r="F31" s="7" t="s">
        <v>3619</v>
      </c>
      <c r="G31" s="42">
        <v>139</v>
      </c>
      <c r="H31" s="79">
        <v>41481</v>
      </c>
      <c r="I31" s="7" t="s">
        <v>3718</v>
      </c>
      <c r="J31" s="7" t="s">
        <v>7863</v>
      </c>
      <c r="L31" s="44">
        <v>41474</v>
      </c>
      <c r="M31" s="22" t="s">
        <v>11</v>
      </c>
      <c r="N31" s="23" t="s">
        <v>7867</v>
      </c>
      <c r="O31" s="41">
        <v>146.4</v>
      </c>
      <c r="P31" s="24">
        <v>41460</v>
      </c>
      <c r="Q31" s="7" t="s">
        <v>18</v>
      </c>
      <c r="R31" s="7" t="s">
        <v>7876</v>
      </c>
      <c r="S31" s="42">
        <v>137</v>
      </c>
      <c r="T31" s="128">
        <v>41453</v>
      </c>
      <c r="U31" s="129" t="s">
        <v>3718</v>
      </c>
      <c r="V31" s="130" t="s">
        <v>7863</v>
      </c>
      <c r="W31" s="169">
        <v>173</v>
      </c>
      <c r="X31" s="24">
        <v>41452</v>
      </c>
      <c r="Y31" s="7" t="s">
        <v>7</v>
      </c>
      <c r="Z31" s="24" t="s">
        <v>7865</v>
      </c>
      <c r="AA31" s="42">
        <v>141.79224500000001</v>
      </c>
      <c r="AB31" s="25">
        <v>41474</v>
      </c>
      <c r="AC31" s="6">
        <v>148.53</v>
      </c>
      <c r="AD31" s="6">
        <v>148.09</v>
      </c>
      <c r="AE31" s="6"/>
      <c r="AF31" s="150">
        <v>190</v>
      </c>
      <c r="AG31" s="82">
        <v>41474</v>
      </c>
      <c r="AH31" s="46">
        <v>13000</v>
      </c>
      <c r="AI31" s="57">
        <v>176.07</v>
      </c>
      <c r="AJ31" s="57">
        <v>-37.08</v>
      </c>
      <c r="AK31" s="57">
        <v>77.709999999999994</v>
      </c>
      <c r="AL31" s="57">
        <v>40.629999999999995</v>
      </c>
      <c r="AM31" s="62" t="s">
        <v>3052</v>
      </c>
      <c r="AN31" s="61">
        <v>12200</v>
      </c>
      <c r="AO31" s="61">
        <v>1830.35</v>
      </c>
      <c r="AP31" s="62" t="s">
        <v>3069</v>
      </c>
      <c r="AQ31" s="61"/>
      <c r="AR31" s="58"/>
      <c r="AS31" s="58" t="s">
        <v>3052</v>
      </c>
      <c r="AT31" s="83">
        <f t="shared" si="4"/>
        <v>93.84615384615384</v>
      </c>
      <c r="AU31" s="83">
        <f t="shared" si="5"/>
        <v>97.805932425283601</v>
      </c>
      <c r="AV31" s="84">
        <f t="shared" si="2"/>
        <v>-3.9597785791297611</v>
      </c>
    </row>
    <row r="32" spans="6:48" x14ac:dyDescent="0.3">
      <c r="F32" s="7" t="s">
        <v>3707</v>
      </c>
      <c r="G32" s="42">
        <v>145.6</v>
      </c>
      <c r="H32" s="79">
        <v>41474</v>
      </c>
      <c r="I32" s="7" t="s">
        <v>1590</v>
      </c>
      <c r="J32" s="7" t="s">
        <v>7864</v>
      </c>
      <c r="L32" s="44">
        <v>41474</v>
      </c>
      <c r="M32" s="22" t="s">
        <v>8</v>
      </c>
      <c r="N32" s="23" t="s">
        <v>7868</v>
      </c>
      <c r="O32" s="41">
        <v>144.4</v>
      </c>
      <c r="P32" s="24">
        <v>41457</v>
      </c>
      <c r="Q32" s="7" t="s">
        <v>8</v>
      </c>
      <c r="R32" s="7" t="s">
        <v>7881</v>
      </c>
      <c r="S32" s="42">
        <v>161.91967</v>
      </c>
      <c r="T32" s="128">
        <v>41453</v>
      </c>
      <c r="U32" s="129" t="s">
        <v>11</v>
      </c>
      <c r="V32" s="130" t="s">
        <v>7867</v>
      </c>
      <c r="W32" s="169">
        <v>189</v>
      </c>
      <c r="X32" s="24">
        <v>41451</v>
      </c>
      <c r="Y32" s="7" t="s">
        <v>1698</v>
      </c>
      <c r="Z32" s="24" t="s">
        <v>7870</v>
      </c>
      <c r="AA32" s="42">
        <v>153.9</v>
      </c>
      <c r="AB32" s="25">
        <v>41473</v>
      </c>
      <c r="AC32" s="6">
        <v>148.69999999999999</v>
      </c>
      <c r="AD32" s="6">
        <v>147.03</v>
      </c>
      <c r="AE32" s="6"/>
      <c r="AF32" s="150">
        <v>190</v>
      </c>
      <c r="AG32" s="82">
        <v>41473</v>
      </c>
      <c r="AH32" s="46">
        <v>13000</v>
      </c>
      <c r="AI32" s="57">
        <v>176.11</v>
      </c>
      <c r="AJ32" s="57">
        <v>-32.17</v>
      </c>
      <c r="AK32" s="57">
        <v>75.44</v>
      </c>
      <c r="AL32" s="57">
        <v>43.269999999999996</v>
      </c>
      <c r="AM32" s="62" t="s">
        <v>3053</v>
      </c>
      <c r="AN32" s="61">
        <v>12400</v>
      </c>
      <c r="AO32" s="61">
        <v>1824.16</v>
      </c>
      <c r="AP32" s="62" t="s">
        <v>3070</v>
      </c>
      <c r="AQ32" s="61"/>
      <c r="AR32" s="58"/>
      <c r="AS32" s="58" t="s">
        <v>3053</v>
      </c>
      <c r="AT32" s="83">
        <f t="shared" si="4"/>
        <v>95.384615384615387</v>
      </c>
      <c r="AU32" s="83">
        <f t="shared" si="5"/>
        <v>97.475165784087935</v>
      </c>
      <c r="AV32" s="84">
        <f t="shared" si="2"/>
        <v>-2.0905503994725478</v>
      </c>
    </row>
    <row r="33" spans="2:48" x14ac:dyDescent="0.3">
      <c r="F33" s="7" t="s">
        <v>3719</v>
      </c>
      <c r="G33" s="42">
        <v>145</v>
      </c>
      <c r="H33" s="79">
        <v>41474</v>
      </c>
      <c r="I33" s="7" t="s">
        <v>7</v>
      </c>
      <c r="J33" s="7" t="s">
        <v>7865</v>
      </c>
      <c r="L33" s="44">
        <v>41474</v>
      </c>
      <c r="M33" s="22" t="s">
        <v>17</v>
      </c>
      <c r="N33" s="23" t="s">
        <v>7869</v>
      </c>
      <c r="O33" s="41">
        <v>154</v>
      </c>
      <c r="P33" s="24">
        <v>41457</v>
      </c>
      <c r="Q33" s="7" t="s">
        <v>6</v>
      </c>
      <c r="R33" s="7" t="s">
        <v>7878</v>
      </c>
      <c r="S33" s="42">
        <v>152.71413999999999</v>
      </c>
      <c r="T33" s="128">
        <v>41452</v>
      </c>
      <c r="U33" s="129" t="s">
        <v>7</v>
      </c>
      <c r="V33" s="130" t="s">
        <v>7865</v>
      </c>
      <c r="W33" s="169">
        <v>141.79224500000001</v>
      </c>
      <c r="X33" s="24">
        <v>41450</v>
      </c>
      <c r="Y33" s="7" t="s">
        <v>2033</v>
      </c>
      <c r="Z33" s="24" t="s">
        <v>7871</v>
      </c>
      <c r="AA33" s="42">
        <v>152.9</v>
      </c>
      <c r="AB33" s="25">
        <v>41472</v>
      </c>
      <c r="AC33" s="6">
        <v>149.41999999999999</v>
      </c>
      <c r="AD33" s="6">
        <v>147.47</v>
      </c>
      <c r="AE33" s="6"/>
      <c r="AF33" s="150">
        <v>190</v>
      </c>
      <c r="AG33" s="25">
        <v>41472</v>
      </c>
      <c r="AH33" s="46">
        <v>13000</v>
      </c>
      <c r="AI33" s="57">
        <v>159.66</v>
      </c>
      <c r="AJ33" s="57">
        <v>-30.85</v>
      </c>
      <c r="AK33" s="57">
        <v>70.66</v>
      </c>
      <c r="AL33" s="57">
        <v>39.809999999999995</v>
      </c>
      <c r="AM33" s="62" t="s">
        <v>3054</v>
      </c>
      <c r="AN33" s="61">
        <v>12500</v>
      </c>
      <c r="AO33" s="61">
        <v>1877.6</v>
      </c>
      <c r="AP33" s="62" t="s">
        <v>3071</v>
      </c>
      <c r="AQ33" s="61"/>
      <c r="AR33" s="58"/>
      <c r="AS33" s="58" t="s">
        <v>3054</v>
      </c>
      <c r="AT33" s="83">
        <f t="shared" si="4"/>
        <v>96.15384615384616</v>
      </c>
      <c r="AU33" s="83">
        <f t="shared" si="5"/>
        <v>100.33076664119567</v>
      </c>
      <c r="AV33" s="84">
        <f t="shared" si="2"/>
        <v>-4.1769204873495056</v>
      </c>
    </row>
    <row r="34" spans="2:48" x14ac:dyDescent="0.3">
      <c r="B34" s="51"/>
      <c r="F34" s="7" t="s">
        <v>7895</v>
      </c>
      <c r="G34" s="42">
        <v>158</v>
      </c>
      <c r="H34" s="79">
        <v>41474</v>
      </c>
      <c r="I34" s="7" t="s">
        <v>9</v>
      </c>
      <c r="J34" s="7" t="s">
        <v>7866</v>
      </c>
      <c r="L34" s="44">
        <v>41473</v>
      </c>
      <c r="M34" s="22" t="s">
        <v>1698</v>
      </c>
      <c r="N34" s="23" t="s">
        <v>7870</v>
      </c>
      <c r="O34" s="41">
        <v>141</v>
      </c>
      <c r="P34" s="24">
        <v>41453</v>
      </c>
      <c r="Q34" s="7" t="s">
        <v>3672</v>
      </c>
      <c r="R34" s="7" t="s">
        <v>7882</v>
      </c>
      <c r="S34" s="42">
        <v>152.04295400000001</v>
      </c>
      <c r="T34" s="128">
        <v>41451</v>
      </c>
      <c r="U34" s="129" t="s">
        <v>1698</v>
      </c>
      <c r="V34" s="130" t="s">
        <v>7870</v>
      </c>
      <c r="W34" s="169">
        <v>153.9</v>
      </c>
      <c r="X34" s="24">
        <v>41446</v>
      </c>
      <c r="Y34" s="7" t="s">
        <v>7837</v>
      </c>
      <c r="Z34" s="24" t="s">
        <v>7879</v>
      </c>
      <c r="AA34" s="42">
        <v>155.69999999999999</v>
      </c>
      <c r="AB34" s="25">
        <v>41471</v>
      </c>
      <c r="AC34" s="6">
        <v>151.12</v>
      </c>
      <c r="AD34" s="6">
        <v>148.38</v>
      </c>
      <c r="AE34" s="6"/>
      <c r="AF34" s="150">
        <v>190</v>
      </c>
      <c r="AG34" s="25">
        <v>41471</v>
      </c>
      <c r="AH34" s="46">
        <v>12400</v>
      </c>
      <c r="AI34" s="57">
        <v>151.97999999999999</v>
      </c>
      <c r="AJ34" s="57">
        <v>-23.6</v>
      </c>
      <c r="AK34" s="57">
        <v>62.54</v>
      </c>
      <c r="AL34" s="57">
        <v>38.94</v>
      </c>
      <c r="AM34" s="62" t="s">
        <v>3055</v>
      </c>
      <c r="AN34" s="61">
        <v>12850</v>
      </c>
      <c r="AO34" s="61">
        <v>1869.98</v>
      </c>
      <c r="AP34" s="62" t="s">
        <v>3072</v>
      </c>
      <c r="AQ34" s="61"/>
      <c r="AR34" s="58"/>
      <c r="AS34" s="58" t="s">
        <v>3055</v>
      </c>
      <c r="AT34" s="83">
        <f t="shared" si="4"/>
        <v>98.846153846153854</v>
      </c>
      <c r="AU34" s="83">
        <f t="shared" si="5"/>
        <v>99.923587027962867</v>
      </c>
      <c r="AV34" s="84">
        <f t="shared" si="2"/>
        <v>-1.0774331818090133</v>
      </c>
    </row>
    <row r="35" spans="2:48" x14ac:dyDescent="0.3">
      <c r="F35" s="7" t="s">
        <v>7896</v>
      </c>
      <c r="G35" s="42">
        <v>146.4</v>
      </c>
      <c r="H35" s="79">
        <v>41474</v>
      </c>
      <c r="I35" s="7" t="s">
        <v>11</v>
      </c>
      <c r="J35" s="7" t="s">
        <v>7867</v>
      </c>
      <c r="L35" s="44">
        <v>41473</v>
      </c>
      <c r="M35" s="22" t="s">
        <v>2033</v>
      </c>
      <c r="N35" s="23" t="s">
        <v>7871</v>
      </c>
      <c r="O35" s="41">
        <v>148.80000000000001</v>
      </c>
      <c r="P35" s="24">
        <v>41452</v>
      </c>
      <c r="Q35" s="7" t="s">
        <v>7</v>
      </c>
      <c r="R35" s="7" t="s">
        <v>7865</v>
      </c>
      <c r="S35" s="42">
        <v>141.79224500000001</v>
      </c>
      <c r="T35" s="128">
        <v>41450</v>
      </c>
      <c r="U35" s="129" t="s">
        <v>2033</v>
      </c>
      <c r="V35" s="130" t="s">
        <v>7871</v>
      </c>
      <c r="W35" s="169">
        <v>152.9</v>
      </c>
      <c r="X35" s="24">
        <v>41446</v>
      </c>
      <c r="Y35" s="7" t="s">
        <v>8</v>
      </c>
      <c r="Z35" s="24" t="s">
        <v>7868</v>
      </c>
      <c r="AA35" s="42">
        <v>166.18476999999999</v>
      </c>
      <c r="AB35" s="25">
        <v>41470</v>
      </c>
      <c r="AC35" s="6">
        <v>152.74</v>
      </c>
      <c r="AD35" s="6">
        <v>150.46</v>
      </c>
      <c r="AE35" s="6"/>
      <c r="AF35" s="150">
        <v>190</v>
      </c>
      <c r="AG35" s="82">
        <v>41470</v>
      </c>
      <c r="AH35" s="46">
        <v>12500</v>
      </c>
      <c r="AI35" s="57">
        <v>151.52000000000001</v>
      </c>
      <c r="AJ35" s="57">
        <v>-21.12</v>
      </c>
      <c r="AK35" s="57">
        <v>61.07</v>
      </c>
      <c r="AL35" s="57">
        <v>39.950000000000003</v>
      </c>
      <c r="AM35" s="62" t="s">
        <v>3056</v>
      </c>
      <c r="AN35" s="61">
        <v>12500</v>
      </c>
      <c r="AO35" s="61">
        <v>1875.16</v>
      </c>
      <c r="AP35" s="62" t="s">
        <v>3073</v>
      </c>
      <c r="AQ35" s="61"/>
      <c r="AR35" s="58"/>
      <c r="AS35" s="58" t="s">
        <v>3056</v>
      </c>
      <c r="AT35" s="83">
        <f t="shared" si="4"/>
        <v>96.15384615384616</v>
      </c>
      <c r="AU35" s="83">
        <f t="shared" si="5"/>
        <v>100.20038366792954</v>
      </c>
      <c r="AV35" s="84">
        <f t="shared" si="2"/>
        <v>-4.0465375140833828</v>
      </c>
    </row>
    <row r="36" spans="2:48" x14ac:dyDescent="0.3">
      <c r="F36" s="7" t="s">
        <v>7897</v>
      </c>
      <c r="G36" s="42">
        <v>144.4</v>
      </c>
      <c r="H36" s="79">
        <v>41474</v>
      </c>
      <c r="I36" s="7" t="s">
        <v>8</v>
      </c>
      <c r="J36" s="7" t="s">
        <v>7868</v>
      </c>
      <c r="L36" s="44">
        <v>41472</v>
      </c>
      <c r="M36" s="22" t="s">
        <v>1608</v>
      </c>
      <c r="N36" s="23" t="s">
        <v>7872</v>
      </c>
      <c r="O36" s="41">
        <v>147.6</v>
      </c>
      <c r="P36" s="24">
        <v>41451</v>
      </c>
      <c r="Q36" s="7" t="s">
        <v>1698</v>
      </c>
      <c r="R36" s="7" t="s">
        <v>7870</v>
      </c>
      <c r="S36" s="42">
        <v>153.9</v>
      </c>
      <c r="T36" s="128">
        <v>41446</v>
      </c>
      <c r="U36" s="129" t="s">
        <v>7837</v>
      </c>
      <c r="V36" s="130" t="s">
        <v>7879</v>
      </c>
      <c r="W36" s="169">
        <v>155.69999999999999</v>
      </c>
      <c r="X36" s="24">
        <v>41445</v>
      </c>
      <c r="Y36" s="7" t="s">
        <v>1608</v>
      </c>
      <c r="Z36" s="24" t="s">
        <v>7883</v>
      </c>
      <c r="AA36" s="42">
        <v>148.69999999999999</v>
      </c>
      <c r="AB36" s="25">
        <v>41467</v>
      </c>
      <c r="AC36" s="6">
        <v>155.36000000000001</v>
      </c>
      <c r="AD36" s="6">
        <v>152.41</v>
      </c>
      <c r="AE36" s="6"/>
      <c r="AF36" s="150">
        <v>190</v>
      </c>
      <c r="AG36" s="25">
        <v>41467</v>
      </c>
      <c r="AH36" s="46">
        <v>12850</v>
      </c>
      <c r="AI36" s="57">
        <v>156.19999999999999</v>
      </c>
      <c r="AJ36" s="57">
        <v>13.92</v>
      </c>
      <c r="AK36" s="57">
        <v>49.29</v>
      </c>
      <c r="AL36" s="57">
        <v>63.21</v>
      </c>
      <c r="AM36" s="62" t="s">
        <v>3057</v>
      </c>
      <c r="AN36" s="61">
        <v>12400</v>
      </c>
      <c r="AO36" s="61">
        <v>1866.36</v>
      </c>
      <c r="AP36" s="62" t="s">
        <v>3074</v>
      </c>
      <c r="AQ36" s="61"/>
      <c r="AR36" s="58"/>
      <c r="AS36" s="58" t="s">
        <v>3057</v>
      </c>
      <c r="AT36" s="83">
        <f t="shared" si="4"/>
        <v>95.384615384615387</v>
      </c>
      <c r="AU36" s="83">
        <f t="shared" si="5"/>
        <v>99.730149993854894</v>
      </c>
      <c r="AV36" s="84">
        <f t="shared" si="2"/>
        <v>-4.3455346092395075</v>
      </c>
    </row>
    <row r="37" spans="2:48" x14ac:dyDescent="0.3">
      <c r="F37" s="7" t="s">
        <v>7898</v>
      </c>
      <c r="G37" s="42">
        <v>154</v>
      </c>
      <c r="H37" s="79">
        <v>41474</v>
      </c>
      <c r="I37" s="7" t="s">
        <v>17</v>
      </c>
      <c r="J37" s="7" t="s">
        <v>7869</v>
      </c>
      <c r="L37" s="44">
        <v>41471</v>
      </c>
      <c r="M37" s="22" t="s">
        <v>19</v>
      </c>
      <c r="N37" s="23" t="s">
        <v>7873</v>
      </c>
      <c r="O37" s="41">
        <v>145.4</v>
      </c>
      <c r="P37" s="24">
        <v>41450</v>
      </c>
      <c r="Q37" s="7" t="s">
        <v>2033</v>
      </c>
      <c r="R37" s="7" t="s">
        <v>7871</v>
      </c>
      <c r="S37" s="42">
        <v>152.9</v>
      </c>
      <c r="T37" s="128">
        <v>41445</v>
      </c>
      <c r="U37" s="129" t="s">
        <v>1608</v>
      </c>
      <c r="V37" s="130" t="s">
        <v>7883</v>
      </c>
      <c r="W37" s="169">
        <v>148.69999999999999</v>
      </c>
      <c r="X37" s="24">
        <v>41436</v>
      </c>
      <c r="Y37" s="7" t="s">
        <v>17</v>
      </c>
      <c r="Z37" s="24" t="s">
        <v>7869</v>
      </c>
      <c r="AA37" s="42">
        <v>177</v>
      </c>
      <c r="AB37" s="25">
        <v>41466</v>
      </c>
      <c r="AC37" s="6">
        <v>156.15</v>
      </c>
      <c r="AD37" s="6">
        <v>153.9</v>
      </c>
      <c r="AE37" s="6"/>
      <c r="AF37" s="150">
        <v>190</v>
      </c>
      <c r="AG37" s="25">
        <v>41466</v>
      </c>
      <c r="AH37" s="46">
        <v>12500</v>
      </c>
      <c r="AI37" s="57">
        <v>159.72999999999999</v>
      </c>
      <c r="AJ37" s="57">
        <v>16.75</v>
      </c>
      <c r="AK37" s="57">
        <v>54.26</v>
      </c>
      <c r="AL37" s="57">
        <v>71.009999999999991</v>
      </c>
      <c r="AM37" s="62" t="s">
        <v>3058</v>
      </c>
      <c r="AN37" s="61">
        <v>13000</v>
      </c>
      <c r="AO37" s="61">
        <v>1887.49</v>
      </c>
      <c r="AP37" s="62" t="s">
        <v>3075</v>
      </c>
      <c r="AQ37" s="61"/>
      <c r="AR37" s="58"/>
      <c r="AS37" s="58" t="s">
        <v>3058</v>
      </c>
      <c r="AT37" s="83">
        <f t="shared" si="4"/>
        <v>100</v>
      </c>
      <c r="AU37" s="83">
        <f t="shared" si="5"/>
        <v>100.85924516808183</v>
      </c>
      <c r="AV37" s="84">
        <f t="shared" si="2"/>
        <v>-0.85924516808182716</v>
      </c>
    </row>
    <row r="38" spans="2:48" x14ac:dyDescent="0.3">
      <c r="F38" s="7" t="s">
        <v>7899</v>
      </c>
      <c r="G38" s="42">
        <v>141</v>
      </c>
      <c r="H38" s="79">
        <v>41473</v>
      </c>
      <c r="I38" s="7" t="s">
        <v>1698</v>
      </c>
      <c r="J38" s="7" t="s">
        <v>7870</v>
      </c>
      <c r="L38" s="44">
        <v>41467</v>
      </c>
      <c r="M38" s="22" t="s">
        <v>10</v>
      </c>
      <c r="N38" s="23" t="s">
        <v>7874</v>
      </c>
      <c r="O38" s="41">
        <v>142</v>
      </c>
      <c r="P38" s="24">
        <v>41446</v>
      </c>
      <c r="Q38" s="7" t="s">
        <v>7837</v>
      </c>
      <c r="R38" s="7" t="s">
        <v>7879</v>
      </c>
      <c r="S38" s="42">
        <v>155.69999999999999</v>
      </c>
      <c r="T38" s="128">
        <v>41436</v>
      </c>
      <c r="U38" s="129" t="s">
        <v>17</v>
      </c>
      <c r="V38" s="130" t="s">
        <v>7869</v>
      </c>
      <c r="W38" s="169">
        <v>177</v>
      </c>
      <c r="X38" s="24">
        <v>41435</v>
      </c>
      <c r="Y38" s="7" t="s">
        <v>7838</v>
      </c>
      <c r="Z38" s="24" t="s">
        <v>7862</v>
      </c>
      <c r="AA38" s="42">
        <v>156</v>
      </c>
      <c r="AB38" s="25">
        <v>41465</v>
      </c>
      <c r="AC38" s="6">
        <v>156.15</v>
      </c>
      <c r="AD38" s="6">
        <v>156.78</v>
      </c>
      <c r="AE38" s="6"/>
      <c r="AF38" s="150">
        <v>190</v>
      </c>
      <c r="AG38" s="25">
        <v>41465</v>
      </c>
      <c r="AH38" s="46">
        <v>12400</v>
      </c>
      <c r="AI38" s="57">
        <v>143.30000000000001</v>
      </c>
      <c r="AJ38" s="57">
        <v>27.12</v>
      </c>
      <c r="AK38" s="57">
        <v>51.06</v>
      </c>
      <c r="AL38" s="57">
        <v>78.180000000000007</v>
      </c>
      <c r="AM38" s="62" t="s">
        <v>3059</v>
      </c>
      <c r="AN38" s="61">
        <v>13000</v>
      </c>
      <c r="AO38" s="61">
        <v>1875.48</v>
      </c>
      <c r="AP38" s="62" t="s">
        <v>3076</v>
      </c>
      <c r="AQ38" s="61"/>
      <c r="AR38" s="58"/>
      <c r="AS38" s="58" t="s">
        <v>3059</v>
      </c>
      <c r="AT38" s="83">
        <f t="shared" si="4"/>
        <v>100</v>
      </c>
      <c r="AU38" s="83">
        <f t="shared" si="5"/>
        <v>100.2174830742595</v>
      </c>
      <c r="AV38" s="84">
        <f t="shared" si="2"/>
        <v>-0.21748307425950486</v>
      </c>
    </row>
    <row r="39" spans="2:48" x14ac:dyDescent="0.3">
      <c r="F39" s="7" t="s">
        <v>7900</v>
      </c>
      <c r="G39" s="42">
        <v>148.80000000000001</v>
      </c>
      <c r="H39" s="79">
        <v>41473</v>
      </c>
      <c r="I39" s="7" t="s">
        <v>2033</v>
      </c>
      <c r="J39" s="7" t="s">
        <v>7871</v>
      </c>
      <c r="L39" s="44">
        <v>41464</v>
      </c>
      <c r="M39" s="22" t="s">
        <v>20</v>
      </c>
      <c r="N39" s="23" t="s">
        <v>7875</v>
      </c>
      <c r="O39" s="41">
        <v>169.2</v>
      </c>
      <c r="P39" s="24">
        <v>41445</v>
      </c>
      <c r="Q39" s="7" t="s">
        <v>1608</v>
      </c>
      <c r="R39" s="7" t="s">
        <v>7883</v>
      </c>
      <c r="S39" s="42">
        <v>148.69999999999999</v>
      </c>
      <c r="T39" s="128">
        <v>41435</v>
      </c>
      <c r="U39" s="129" t="s">
        <v>7838</v>
      </c>
      <c r="V39" s="130" t="s">
        <v>7862</v>
      </c>
      <c r="W39" s="169">
        <v>156</v>
      </c>
      <c r="X39" s="24">
        <v>41396</v>
      </c>
      <c r="Y39" s="7" t="s">
        <v>20</v>
      </c>
      <c r="Z39" s="24" t="s">
        <v>7875</v>
      </c>
      <c r="AA39" s="42">
        <v>169</v>
      </c>
      <c r="AB39" s="25">
        <v>41464</v>
      </c>
      <c r="AC39" s="6">
        <v>156.15</v>
      </c>
      <c r="AD39" s="6">
        <v>156.78</v>
      </c>
      <c r="AE39" s="6"/>
      <c r="AF39" s="150">
        <v>190</v>
      </c>
      <c r="AG39" s="25">
        <v>41464</v>
      </c>
      <c r="AH39" s="46">
        <v>12200</v>
      </c>
      <c r="AI39" s="57">
        <v>142.34</v>
      </c>
      <c r="AJ39" s="57">
        <v>32.15</v>
      </c>
      <c r="AK39" s="57">
        <v>50.7</v>
      </c>
      <c r="AL39" s="57">
        <v>82.85</v>
      </c>
      <c r="AM39" s="62" t="s">
        <v>3060</v>
      </c>
      <c r="AN39" s="61">
        <v>13000</v>
      </c>
      <c r="AO39" s="61">
        <v>1871.41</v>
      </c>
      <c r="AP39" s="62" t="s">
        <v>3077</v>
      </c>
      <c r="AQ39" s="61"/>
      <c r="AR39" s="58"/>
      <c r="AS39" s="58" t="s">
        <v>3060</v>
      </c>
      <c r="AT39" s="83">
        <f t="shared" si="4"/>
        <v>100</v>
      </c>
      <c r="AU39" s="83">
        <f t="shared" si="5"/>
        <v>100</v>
      </c>
      <c r="AV39" s="84">
        <f t="shared" si="2"/>
        <v>0</v>
      </c>
    </row>
    <row r="40" spans="2:48" x14ac:dyDescent="0.3">
      <c r="F40" s="7" t="s">
        <v>7901</v>
      </c>
      <c r="G40" s="42">
        <v>147.6</v>
      </c>
      <c r="H40" s="79">
        <v>41472</v>
      </c>
      <c r="I40" s="7" t="s">
        <v>1608</v>
      </c>
      <c r="J40" s="7" t="s">
        <v>7872</v>
      </c>
      <c r="L40" s="44">
        <v>41460</v>
      </c>
      <c r="M40" s="22" t="s">
        <v>18</v>
      </c>
      <c r="N40" s="23" t="s">
        <v>7876</v>
      </c>
      <c r="O40" s="41">
        <v>137</v>
      </c>
      <c r="P40" s="24">
        <v>41436</v>
      </c>
      <c r="Q40" s="7" t="s">
        <v>17</v>
      </c>
      <c r="R40" s="7" t="s">
        <v>7869</v>
      </c>
      <c r="S40" s="42">
        <v>177</v>
      </c>
      <c r="T40" s="128">
        <v>41396</v>
      </c>
      <c r="U40" s="129" t="s">
        <v>20</v>
      </c>
      <c r="V40" s="130" t="s">
        <v>7875</v>
      </c>
      <c r="W40" s="169">
        <v>169</v>
      </c>
      <c r="X40" s="24">
        <v>41394</v>
      </c>
      <c r="Y40" s="7" t="s">
        <v>9</v>
      </c>
      <c r="Z40" s="24" t="s">
        <v>7884</v>
      </c>
      <c r="AA40" s="42">
        <v>138</v>
      </c>
      <c r="AB40" s="25">
        <v>41463</v>
      </c>
      <c r="AC40" s="6">
        <v>156.13</v>
      </c>
      <c r="AD40" s="6">
        <v>155.01</v>
      </c>
      <c r="AE40" s="6"/>
      <c r="AF40" s="150">
        <v>190</v>
      </c>
      <c r="AG40" s="25">
        <v>41463</v>
      </c>
      <c r="AH40" s="46">
        <v>12700</v>
      </c>
      <c r="AI40" s="57">
        <v>121.74</v>
      </c>
      <c r="AJ40" s="57">
        <v>42.17</v>
      </c>
      <c r="AK40" s="57">
        <v>47.97</v>
      </c>
      <c r="AL40" s="57">
        <v>90.14</v>
      </c>
      <c r="AM40" s="62" t="s">
        <v>3061</v>
      </c>
      <c r="AN40" s="61">
        <v>12750</v>
      </c>
      <c r="AO40" s="61">
        <v>1880.35</v>
      </c>
      <c r="AP40" s="62" t="s">
        <v>3078</v>
      </c>
      <c r="AQ40" s="61"/>
      <c r="AR40" s="58"/>
      <c r="AS40" s="58" t="s">
        <v>3061</v>
      </c>
      <c r="AT40" s="83">
        <f t="shared" si="4"/>
        <v>98.076923076923066</v>
      </c>
      <c r="AU40" s="83">
        <f t="shared" si="5"/>
        <v>100.47771466434399</v>
      </c>
      <c r="AV40" s="84">
        <f t="shared" si="2"/>
        <v>-2.400791587420926</v>
      </c>
    </row>
    <row r="41" spans="2:48" x14ac:dyDescent="0.3">
      <c r="F41" s="7" t="s">
        <v>7902</v>
      </c>
      <c r="G41" s="42">
        <v>145.4</v>
      </c>
      <c r="H41" s="79">
        <v>41471</v>
      </c>
      <c r="I41" s="7" t="s">
        <v>19</v>
      </c>
      <c r="J41" s="7" t="s">
        <v>7873</v>
      </c>
      <c r="L41" s="45">
        <v>41457</v>
      </c>
      <c r="M41" s="24" t="s">
        <v>6</v>
      </c>
      <c r="N41" s="24" t="s">
        <v>7878</v>
      </c>
      <c r="O41" s="41">
        <v>152.71413999999999</v>
      </c>
      <c r="P41" s="24">
        <v>41435</v>
      </c>
      <c r="Q41" s="7" t="s">
        <v>7838</v>
      </c>
      <c r="R41" s="7" t="s">
        <v>7862</v>
      </c>
      <c r="S41" s="42">
        <v>156</v>
      </c>
      <c r="T41" s="128">
        <v>41394</v>
      </c>
      <c r="U41" s="129" t="s">
        <v>9</v>
      </c>
      <c r="V41" s="130" t="s">
        <v>7884</v>
      </c>
      <c r="W41" s="169">
        <v>138</v>
      </c>
      <c r="X41" s="24"/>
      <c r="Z41" s="24"/>
      <c r="AA41" s="42"/>
      <c r="AB41" s="25">
        <v>41460</v>
      </c>
      <c r="AC41" s="6">
        <v>156.13</v>
      </c>
      <c r="AD41" s="6">
        <v>155.01</v>
      </c>
      <c r="AE41" s="6"/>
      <c r="AF41" s="150">
        <v>190</v>
      </c>
      <c r="AG41" s="25">
        <v>41460</v>
      </c>
      <c r="AH41" s="46">
        <v>13250</v>
      </c>
      <c r="AI41" s="57">
        <v>126.1</v>
      </c>
      <c r="AJ41" s="57">
        <v>51.3</v>
      </c>
      <c r="AK41" s="57">
        <v>50.61</v>
      </c>
      <c r="AL41" s="57">
        <v>101.91</v>
      </c>
      <c r="AM41" s="62" t="s">
        <v>3062</v>
      </c>
      <c r="AN41" s="61">
        <v>13050</v>
      </c>
      <c r="AO41" s="61">
        <v>1904.15</v>
      </c>
      <c r="AP41" s="62" t="s">
        <v>3079</v>
      </c>
      <c r="AQ41" s="61"/>
      <c r="AR41" s="58"/>
      <c r="AS41" s="58" t="s">
        <v>3062</v>
      </c>
      <c r="AT41" s="83">
        <f t="shared" si="4"/>
        <v>100.38461538461539</v>
      </c>
      <c r="AU41" s="83">
        <f t="shared" si="5"/>
        <v>101.74948301013673</v>
      </c>
      <c r="AV41" s="84">
        <f t="shared" si="2"/>
        <v>-1.3648676255213417</v>
      </c>
    </row>
    <row r="42" spans="2:48" x14ac:dyDescent="0.3">
      <c r="G42" s="42"/>
      <c r="H42" s="79"/>
      <c r="L42" s="45">
        <v>41446</v>
      </c>
      <c r="M42" s="24" t="s">
        <v>7837</v>
      </c>
      <c r="N42" s="24" t="s">
        <v>7879</v>
      </c>
      <c r="O42" s="41">
        <v>155.69999999999999</v>
      </c>
      <c r="P42" s="24">
        <v>41394</v>
      </c>
      <c r="Q42" s="7" t="s">
        <v>9</v>
      </c>
      <c r="R42" s="7" t="s">
        <v>7884</v>
      </c>
      <c r="S42" s="42">
        <v>138</v>
      </c>
      <c r="X42" s="24"/>
      <c r="Z42" s="24"/>
      <c r="AA42" s="42"/>
      <c r="AB42" s="25">
        <v>41459</v>
      </c>
      <c r="AC42" s="6">
        <v>156.11000000000001</v>
      </c>
      <c r="AD42" s="6">
        <v>154.96</v>
      </c>
      <c r="AE42" s="6"/>
      <c r="AF42" s="150">
        <v>190</v>
      </c>
      <c r="AG42" s="25">
        <v>41459</v>
      </c>
      <c r="AH42" s="46">
        <v>12650</v>
      </c>
      <c r="AI42" s="57">
        <v>118.41</v>
      </c>
      <c r="AJ42" s="57">
        <v>49.63</v>
      </c>
      <c r="AK42" s="57">
        <v>35.57</v>
      </c>
      <c r="AL42" s="57">
        <v>85.2</v>
      </c>
      <c r="AM42" s="62" t="s">
        <v>3063</v>
      </c>
      <c r="AN42" s="61">
        <v>12700</v>
      </c>
      <c r="AO42" s="61">
        <v>1912.08</v>
      </c>
      <c r="AP42" s="62" t="s">
        <v>3080</v>
      </c>
      <c r="AQ42" s="61"/>
      <c r="AR42" s="58"/>
      <c r="AS42" s="58" t="s">
        <v>3063</v>
      </c>
      <c r="AT42" s="83">
        <f t="shared" si="4"/>
        <v>97.692307692307693</v>
      </c>
      <c r="AU42" s="83">
        <f t="shared" si="5"/>
        <v>102.17322767325172</v>
      </c>
      <c r="AV42" s="84">
        <f t="shared" si="2"/>
        <v>-4.480919980944023</v>
      </c>
    </row>
    <row r="43" spans="2:48" x14ac:dyDescent="0.3">
      <c r="G43" s="42"/>
      <c r="H43" s="79"/>
      <c r="L43" s="45"/>
      <c r="M43" s="24"/>
      <c r="N43" s="24"/>
      <c r="O43" s="41"/>
      <c r="P43" s="24"/>
      <c r="S43" s="42"/>
      <c r="X43" s="24"/>
      <c r="Z43" s="24"/>
      <c r="AA43" s="42"/>
      <c r="AB43" s="25">
        <v>41458</v>
      </c>
      <c r="AC43" s="6">
        <v>156.11000000000001</v>
      </c>
      <c r="AD43" s="6">
        <v>154.96</v>
      </c>
      <c r="AE43" s="6"/>
      <c r="AF43" s="150">
        <v>190</v>
      </c>
      <c r="AG43" s="25">
        <v>41458</v>
      </c>
      <c r="AH43" s="46">
        <v>12250</v>
      </c>
      <c r="AI43" s="57">
        <v>114.6</v>
      </c>
      <c r="AJ43" s="57">
        <v>51.68</v>
      </c>
      <c r="AK43" s="57">
        <v>23.95</v>
      </c>
      <c r="AL43" s="57">
        <v>75.63</v>
      </c>
      <c r="AM43" s="62" t="s">
        <v>3064</v>
      </c>
      <c r="AN43" s="61">
        <v>12750</v>
      </c>
      <c r="AO43" s="61">
        <v>1909.61</v>
      </c>
      <c r="AP43" s="62" t="s">
        <v>3081</v>
      </c>
      <c r="AQ43" s="61"/>
      <c r="AR43" s="58"/>
      <c r="AS43" s="58" t="s">
        <v>3064</v>
      </c>
      <c r="AT43" s="83">
        <f t="shared" si="4"/>
        <v>98.076923076923066</v>
      </c>
      <c r="AU43" s="83">
        <f t="shared" si="5"/>
        <v>102.04124163064212</v>
      </c>
      <c r="AV43" s="84">
        <f t="shared" si="2"/>
        <v>-3.9643185537190533</v>
      </c>
    </row>
    <row r="44" spans="2:48" x14ac:dyDescent="0.3">
      <c r="G44" s="42"/>
      <c r="H44" s="79"/>
      <c r="L44" s="45"/>
      <c r="M44" s="24"/>
      <c r="N44" s="24"/>
      <c r="O44" s="41"/>
      <c r="P44" s="24"/>
      <c r="S44" s="42"/>
      <c r="T44" s="42"/>
      <c r="U44" s="42"/>
      <c r="V44" s="42"/>
      <c r="W44" s="42"/>
      <c r="X44" s="24"/>
      <c r="Z44" s="24"/>
      <c r="AA44" s="42"/>
      <c r="AB44" s="25">
        <v>41457</v>
      </c>
      <c r="AC44" s="6">
        <v>157.33000000000001</v>
      </c>
      <c r="AD44" s="6">
        <v>158.01</v>
      </c>
      <c r="AE44" s="6"/>
      <c r="AF44" s="150">
        <v>190</v>
      </c>
      <c r="AG44" s="25">
        <v>41457</v>
      </c>
      <c r="AH44" s="46">
        <v>11950</v>
      </c>
      <c r="AI44" s="57">
        <v>108.54</v>
      </c>
      <c r="AJ44" s="57">
        <v>48.27</v>
      </c>
      <c r="AK44" s="57">
        <v>17.559999999999999</v>
      </c>
      <c r="AL44" s="57">
        <v>65.83</v>
      </c>
      <c r="AM44" s="62" t="s">
        <v>3065</v>
      </c>
      <c r="AN44" s="61">
        <v>12550</v>
      </c>
      <c r="AO44" s="61">
        <v>1910.81</v>
      </c>
      <c r="AP44" s="62" t="s">
        <v>3082</v>
      </c>
      <c r="AQ44" s="61"/>
      <c r="AR44" s="58"/>
      <c r="AS44" s="58" t="s">
        <v>3065</v>
      </c>
      <c r="AT44" s="83">
        <f t="shared" si="4"/>
        <v>96.538461538461533</v>
      </c>
      <c r="AU44" s="83">
        <f t="shared" si="5"/>
        <v>102.10536440437959</v>
      </c>
      <c r="AV44" s="84">
        <f t="shared" si="2"/>
        <v>-5.5669028659180526</v>
      </c>
    </row>
    <row r="45" spans="2:48" x14ac:dyDescent="0.3">
      <c r="G45" s="42"/>
      <c r="H45" s="79"/>
      <c r="L45" s="45"/>
      <c r="O45" s="41"/>
      <c r="P45" s="24"/>
      <c r="S45" s="42"/>
      <c r="T45" s="42"/>
      <c r="U45" s="42"/>
      <c r="V45" s="42"/>
      <c r="W45" s="42"/>
      <c r="X45" s="24"/>
      <c r="AA45" s="42"/>
      <c r="AB45" s="25">
        <v>41456</v>
      </c>
      <c r="AC45" s="6">
        <v>157.6</v>
      </c>
      <c r="AD45" s="6">
        <v>158.72</v>
      </c>
      <c r="AE45" s="6"/>
      <c r="AF45" s="150">
        <v>190</v>
      </c>
      <c r="AG45" s="25">
        <v>41456</v>
      </c>
      <c r="AH45" s="46">
        <v>11800</v>
      </c>
      <c r="AI45" s="57">
        <v>110.25</v>
      </c>
      <c r="AJ45" s="57">
        <v>49.72</v>
      </c>
      <c r="AK45" s="57">
        <v>15.3</v>
      </c>
      <c r="AL45" s="57">
        <v>65.02</v>
      </c>
      <c r="AM45" s="62" t="s">
        <v>3118</v>
      </c>
      <c r="AN45" s="81">
        <v>13200</v>
      </c>
      <c r="AO45" s="61">
        <v>1899.89</v>
      </c>
      <c r="AP45" s="58"/>
      <c r="AQ45" s="58"/>
      <c r="AR45" s="58"/>
      <c r="AS45" s="58" t="s">
        <v>22</v>
      </c>
      <c r="AT45" s="83">
        <f t="shared" si="4"/>
        <v>101.53846153846153</v>
      </c>
      <c r="AU45" s="83">
        <f t="shared" si="5"/>
        <v>101.5218471633688</v>
      </c>
      <c r="AV45" s="84">
        <f t="shared" si="2"/>
        <v>1.6614375092729006E-2</v>
      </c>
    </row>
    <row r="46" spans="2:48" x14ac:dyDescent="0.3">
      <c r="G46" s="42"/>
      <c r="H46" s="79"/>
      <c r="L46" s="45"/>
      <c r="M46" s="24"/>
      <c r="N46" s="24"/>
      <c r="O46" s="41"/>
      <c r="P46" s="24"/>
      <c r="S46" s="42"/>
      <c r="T46" s="42"/>
      <c r="U46" s="42"/>
      <c r="V46" s="42"/>
      <c r="W46" s="42"/>
      <c r="X46" s="24"/>
      <c r="Z46" s="24"/>
      <c r="AA46" s="42"/>
      <c r="AB46" s="25">
        <v>41453</v>
      </c>
      <c r="AC46" s="6">
        <v>157.6</v>
      </c>
      <c r="AD46" s="6">
        <v>163.05000000000001</v>
      </c>
      <c r="AE46" s="6"/>
      <c r="AF46" s="150">
        <v>190</v>
      </c>
      <c r="AG46" s="25">
        <v>41453</v>
      </c>
      <c r="AH46" s="46">
        <v>11950</v>
      </c>
      <c r="AI46" s="57">
        <v>112.38</v>
      </c>
      <c r="AJ46" s="57">
        <v>38.97</v>
      </c>
      <c r="AK46" s="57">
        <v>23.71</v>
      </c>
      <c r="AL46" s="57">
        <v>62.68</v>
      </c>
      <c r="AR46" s="58"/>
      <c r="AS46" s="58" t="s">
        <v>3113</v>
      </c>
      <c r="AT46" s="83">
        <f>AQ25/$AN$39*100</f>
        <v>100.38461538461539</v>
      </c>
      <c r="AU46" s="83">
        <f>AR25/$AO$39*100</f>
        <v>102.43880282781433</v>
      </c>
      <c r="AV46" s="84">
        <f t="shared" si="2"/>
        <v>-2.0541874431989413</v>
      </c>
    </row>
    <row r="47" spans="2:48" x14ac:dyDescent="0.3">
      <c r="G47" s="42"/>
      <c r="H47" s="79"/>
      <c r="L47" s="45"/>
      <c r="M47" s="24"/>
      <c r="N47" s="24"/>
      <c r="O47" s="41"/>
      <c r="P47" s="24"/>
      <c r="S47" s="42"/>
      <c r="T47" s="42"/>
      <c r="U47" s="42"/>
      <c r="V47" s="42"/>
      <c r="W47" s="42"/>
      <c r="X47" s="24"/>
      <c r="Z47" s="24"/>
      <c r="AA47" s="42"/>
      <c r="AB47" s="25">
        <v>41452</v>
      </c>
      <c r="AC47" s="6">
        <v>157.6</v>
      </c>
      <c r="AD47" s="6">
        <v>162.37</v>
      </c>
      <c r="AE47" s="6"/>
      <c r="AF47" s="150">
        <v>190</v>
      </c>
      <c r="AG47" s="25">
        <v>41452</v>
      </c>
      <c r="AH47" s="46">
        <v>11600</v>
      </c>
      <c r="AI47" s="57">
        <v>109.99</v>
      </c>
      <c r="AJ47" s="57">
        <v>49.07</v>
      </c>
      <c r="AK47" s="57">
        <v>14.27</v>
      </c>
      <c r="AL47" s="57">
        <v>63.34</v>
      </c>
      <c r="AR47" s="58"/>
      <c r="AS47" s="58" t="s">
        <v>3114</v>
      </c>
      <c r="AT47" s="83">
        <f t="shared" ref="AT47:AT65" si="6">AQ26/$AN$39*100</f>
        <v>0</v>
      </c>
      <c r="AU47" s="83">
        <f t="shared" ref="AU47:AU65" si="7">AR26/$AO$39*100</f>
        <v>0</v>
      </c>
      <c r="AV47" s="84">
        <f t="shared" si="2"/>
        <v>0</v>
      </c>
    </row>
    <row r="48" spans="2:48" x14ac:dyDescent="0.3">
      <c r="G48" s="42"/>
      <c r="H48" s="79"/>
      <c r="L48" s="45"/>
      <c r="M48" s="24"/>
      <c r="N48" s="24"/>
      <c r="O48" s="41"/>
      <c r="P48" s="24"/>
      <c r="S48" s="42"/>
      <c r="T48" s="42"/>
      <c r="U48" s="42"/>
      <c r="V48" s="42"/>
      <c r="W48" s="42"/>
      <c r="X48" s="24"/>
      <c r="Z48" s="24"/>
      <c r="AA48" s="42"/>
      <c r="AB48" s="25">
        <v>41451</v>
      </c>
      <c r="AC48" s="6">
        <v>158.69</v>
      </c>
      <c r="AD48" s="6">
        <v>163.6</v>
      </c>
      <c r="AE48" s="6"/>
      <c r="AF48" s="150">
        <v>190</v>
      </c>
      <c r="AG48" s="25">
        <v>41451</v>
      </c>
      <c r="AH48" s="46">
        <v>11300</v>
      </c>
      <c r="AI48" s="57">
        <v>114.19</v>
      </c>
      <c r="AJ48" s="57">
        <v>51.01</v>
      </c>
      <c r="AK48" s="57">
        <v>9.5</v>
      </c>
      <c r="AL48" s="57">
        <v>60.51</v>
      </c>
      <c r="AR48" s="58"/>
      <c r="AS48" s="58" t="s">
        <v>3115</v>
      </c>
      <c r="AT48" s="83">
        <f t="shared" si="6"/>
        <v>0</v>
      </c>
      <c r="AU48" s="83">
        <f t="shared" si="7"/>
        <v>0</v>
      </c>
      <c r="AV48" s="84">
        <f t="shared" si="2"/>
        <v>0</v>
      </c>
    </row>
    <row r="49" spans="7:48" x14ac:dyDescent="0.3">
      <c r="G49" s="42"/>
      <c r="H49" s="79"/>
      <c r="L49" s="45"/>
      <c r="M49" s="24"/>
      <c r="N49" s="24"/>
      <c r="O49" s="41"/>
      <c r="P49" s="24"/>
      <c r="S49" s="42"/>
      <c r="T49" s="42"/>
      <c r="U49" s="42"/>
      <c r="V49" s="42"/>
      <c r="W49" s="42"/>
      <c r="X49" s="24"/>
      <c r="Z49" s="24"/>
      <c r="AA49" s="42"/>
      <c r="AB49" s="25">
        <v>41450</v>
      </c>
      <c r="AC49" s="6">
        <v>158.97</v>
      </c>
      <c r="AD49" s="6">
        <v>162.78</v>
      </c>
      <c r="AE49" s="6"/>
      <c r="AF49" s="150">
        <v>190</v>
      </c>
      <c r="AG49" s="25">
        <v>41450</v>
      </c>
      <c r="AH49" s="46">
        <v>11500</v>
      </c>
      <c r="AI49" s="57">
        <v>114.7</v>
      </c>
      <c r="AJ49" s="57">
        <v>50.67</v>
      </c>
      <c r="AK49" s="57">
        <v>8.34</v>
      </c>
      <c r="AL49" s="57">
        <v>59.010000000000005</v>
      </c>
      <c r="AR49" s="58"/>
      <c r="AS49" s="58" t="s">
        <v>3066</v>
      </c>
      <c r="AT49" s="83">
        <f t="shared" si="6"/>
        <v>0</v>
      </c>
      <c r="AU49" s="83">
        <f t="shared" si="7"/>
        <v>0</v>
      </c>
      <c r="AV49" s="84">
        <f t="shared" si="2"/>
        <v>0</v>
      </c>
    </row>
    <row r="50" spans="7:48" x14ac:dyDescent="0.3">
      <c r="H50" s="55"/>
      <c r="L50" s="45"/>
      <c r="M50" s="24"/>
      <c r="N50" s="24"/>
      <c r="O50" s="41"/>
      <c r="P50" s="24"/>
      <c r="S50" s="42"/>
      <c r="T50" s="42"/>
      <c r="U50" s="42"/>
      <c r="V50" s="42"/>
      <c r="W50" s="42"/>
      <c r="X50" s="24"/>
      <c r="Z50" s="24"/>
      <c r="AA50" s="42"/>
      <c r="AB50" s="25">
        <v>41449</v>
      </c>
      <c r="AC50" s="6">
        <v>158.97</v>
      </c>
      <c r="AD50" s="6">
        <v>162.78</v>
      </c>
      <c r="AE50" s="6"/>
      <c r="AF50" s="150">
        <v>190</v>
      </c>
      <c r="AG50" s="25">
        <v>41449</v>
      </c>
      <c r="AH50" s="46">
        <v>11250</v>
      </c>
      <c r="AI50" s="57">
        <v>100.05</v>
      </c>
      <c r="AJ50" s="57">
        <v>50.96</v>
      </c>
      <c r="AK50" s="57">
        <v>4.2699999999999996</v>
      </c>
      <c r="AL50" s="57">
        <v>55.230000000000004</v>
      </c>
      <c r="AR50" s="58"/>
      <c r="AS50" s="58" t="s">
        <v>3067</v>
      </c>
      <c r="AT50" s="83">
        <f t="shared" si="6"/>
        <v>0</v>
      </c>
      <c r="AU50" s="83">
        <f t="shared" si="7"/>
        <v>0</v>
      </c>
      <c r="AV50" s="84">
        <f t="shared" si="2"/>
        <v>0</v>
      </c>
    </row>
    <row r="51" spans="7:48" x14ac:dyDescent="0.3">
      <c r="H51" s="55"/>
      <c r="L51" s="45"/>
      <c r="M51" s="24"/>
      <c r="N51" s="24"/>
      <c r="O51" s="41"/>
      <c r="P51" s="24"/>
      <c r="S51" s="42"/>
      <c r="T51" s="42"/>
      <c r="U51" s="42"/>
      <c r="V51" s="42"/>
      <c r="W51" s="42"/>
      <c r="X51" s="24"/>
      <c r="Z51" s="24"/>
      <c r="AA51" s="42"/>
      <c r="AB51" s="25">
        <v>41446</v>
      </c>
      <c r="AC51" s="6">
        <v>158.97</v>
      </c>
      <c r="AD51" s="6">
        <v>161.68</v>
      </c>
      <c r="AE51" s="6"/>
      <c r="AF51" s="150">
        <v>190</v>
      </c>
      <c r="AG51" s="25">
        <v>41446</v>
      </c>
      <c r="AH51" s="46">
        <v>12750</v>
      </c>
      <c r="AI51" s="57">
        <v>122.71</v>
      </c>
      <c r="AJ51" s="57">
        <v>70.22</v>
      </c>
      <c r="AK51" s="57">
        <v>-5.37</v>
      </c>
      <c r="AL51" s="57">
        <v>64.849999999999994</v>
      </c>
      <c r="AR51" s="58"/>
      <c r="AS51" s="58" t="s">
        <v>3068</v>
      </c>
      <c r="AT51" s="83">
        <f t="shared" si="6"/>
        <v>0</v>
      </c>
      <c r="AU51" s="83">
        <f t="shared" si="7"/>
        <v>0</v>
      </c>
      <c r="AV51" s="84">
        <f t="shared" si="2"/>
        <v>0</v>
      </c>
    </row>
    <row r="52" spans="7:48" x14ac:dyDescent="0.3">
      <c r="L52" s="45"/>
      <c r="M52" s="24"/>
      <c r="N52" s="24"/>
      <c r="O52" s="41"/>
      <c r="P52" s="24"/>
      <c r="S52" s="42"/>
      <c r="T52" s="42"/>
      <c r="U52" s="42"/>
      <c r="V52" s="42"/>
      <c r="W52" s="42"/>
      <c r="X52" s="24"/>
      <c r="Z52" s="24"/>
      <c r="AA52" s="42"/>
      <c r="AB52" s="25">
        <v>41445</v>
      </c>
      <c r="AC52" s="6">
        <v>158.85</v>
      </c>
      <c r="AD52" s="6">
        <v>161.47</v>
      </c>
      <c r="AE52" s="6"/>
      <c r="AF52" s="150">
        <v>190</v>
      </c>
      <c r="AG52" s="25">
        <v>41445</v>
      </c>
      <c r="AH52" s="46">
        <v>12650</v>
      </c>
      <c r="AI52" s="57">
        <v>120.83</v>
      </c>
      <c r="AJ52" s="57">
        <v>74.31</v>
      </c>
      <c r="AK52" s="57">
        <v>-10.5</v>
      </c>
      <c r="AL52" s="57">
        <v>63.81</v>
      </c>
      <c r="AR52" s="58"/>
      <c r="AS52" s="58" t="s">
        <v>3069</v>
      </c>
      <c r="AT52" s="83">
        <f t="shared" si="6"/>
        <v>0</v>
      </c>
      <c r="AU52" s="83">
        <f t="shared" si="7"/>
        <v>0</v>
      </c>
      <c r="AV52" s="84">
        <f t="shared" si="2"/>
        <v>0</v>
      </c>
    </row>
    <row r="53" spans="7:48" x14ac:dyDescent="0.3">
      <c r="L53" s="45"/>
      <c r="M53" s="24"/>
      <c r="N53" s="24"/>
      <c r="O53" s="41"/>
      <c r="P53" s="24"/>
      <c r="S53" s="42"/>
      <c r="T53" s="42"/>
      <c r="U53" s="42"/>
      <c r="V53" s="42"/>
      <c r="W53" s="42"/>
      <c r="X53" s="24"/>
      <c r="Z53" s="24"/>
      <c r="AA53" s="42"/>
      <c r="AB53" s="25">
        <v>41444</v>
      </c>
      <c r="AC53" s="6">
        <v>158.08000000000001</v>
      </c>
      <c r="AD53" s="6">
        <v>159.72</v>
      </c>
      <c r="AE53" s="6"/>
      <c r="AF53" s="6">
        <v>190</v>
      </c>
      <c r="AG53" s="25">
        <v>41444</v>
      </c>
      <c r="AH53" s="46">
        <v>12850</v>
      </c>
      <c r="AI53" s="57">
        <v>88.64</v>
      </c>
      <c r="AJ53" s="57">
        <v>62.14</v>
      </c>
      <c r="AK53" s="57">
        <v>-7.67</v>
      </c>
      <c r="AL53" s="57">
        <v>54.47</v>
      </c>
      <c r="AR53" s="58"/>
      <c r="AS53" s="58" t="s">
        <v>3070</v>
      </c>
      <c r="AT53" s="83">
        <f t="shared" si="6"/>
        <v>0</v>
      </c>
      <c r="AU53" s="83">
        <f t="shared" si="7"/>
        <v>0</v>
      </c>
      <c r="AV53" s="84">
        <f t="shared" si="2"/>
        <v>0</v>
      </c>
    </row>
    <row r="54" spans="7:48" x14ac:dyDescent="0.3">
      <c r="L54" s="45"/>
      <c r="M54" s="24"/>
      <c r="N54" s="24"/>
      <c r="O54" s="41"/>
      <c r="P54" s="24"/>
      <c r="S54" s="42"/>
      <c r="T54" s="42"/>
      <c r="U54" s="42"/>
      <c r="V54" s="42"/>
      <c r="W54" s="42"/>
      <c r="X54" s="24"/>
      <c r="Z54" s="24"/>
      <c r="AA54" s="42"/>
      <c r="AB54" s="25">
        <v>41443</v>
      </c>
      <c r="AC54" s="6">
        <v>158.69999999999999</v>
      </c>
      <c r="AD54" s="6">
        <v>160.83000000000001</v>
      </c>
      <c r="AE54" s="6"/>
      <c r="AF54" s="6">
        <v>190</v>
      </c>
      <c r="AG54" s="25">
        <v>41443</v>
      </c>
      <c r="AH54" s="46">
        <v>12650</v>
      </c>
      <c r="AI54" s="57">
        <v>87.25</v>
      </c>
      <c r="AJ54" s="57">
        <v>56.12</v>
      </c>
      <c r="AK54" s="57">
        <v>-4.87</v>
      </c>
      <c r="AL54" s="57">
        <v>51.25</v>
      </c>
      <c r="AR54" s="58"/>
      <c r="AS54" s="58" t="s">
        <v>3071</v>
      </c>
      <c r="AT54" s="83">
        <f t="shared" si="6"/>
        <v>0</v>
      </c>
      <c r="AU54" s="83">
        <f t="shared" si="7"/>
        <v>0</v>
      </c>
      <c r="AV54" s="84">
        <f t="shared" si="2"/>
        <v>0</v>
      </c>
    </row>
    <row r="55" spans="7:48" x14ac:dyDescent="0.3">
      <c r="L55" s="45"/>
      <c r="M55" s="24"/>
      <c r="N55" s="24"/>
      <c r="O55" s="41"/>
      <c r="P55" s="24"/>
      <c r="S55" s="42"/>
      <c r="T55" s="42"/>
      <c r="U55" s="42"/>
      <c r="V55" s="42"/>
      <c r="W55" s="42"/>
      <c r="X55" s="24"/>
      <c r="Z55" s="24"/>
      <c r="AA55" s="42"/>
      <c r="AB55" s="25">
        <v>41442</v>
      </c>
      <c r="AC55" s="6">
        <v>158.69999999999999</v>
      </c>
      <c r="AD55" s="6">
        <v>160.83000000000001</v>
      </c>
      <c r="AE55" s="6"/>
      <c r="AF55" s="6">
        <v>190</v>
      </c>
      <c r="AG55" s="25">
        <v>41442</v>
      </c>
      <c r="AH55" s="46">
        <v>12950</v>
      </c>
      <c r="AI55" s="57">
        <v>86.79</v>
      </c>
      <c r="AJ55" s="57">
        <v>57.07</v>
      </c>
      <c r="AK55" s="57">
        <v>-4.04</v>
      </c>
      <c r="AL55" s="57">
        <v>53.03</v>
      </c>
      <c r="AR55" s="58"/>
      <c r="AS55" s="58" t="s">
        <v>3072</v>
      </c>
      <c r="AT55" s="83">
        <f t="shared" si="6"/>
        <v>0</v>
      </c>
      <c r="AU55" s="83">
        <f t="shared" si="7"/>
        <v>0</v>
      </c>
      <c r="AV55" s="84">
        <f t="shared" si="2"/>
        <v>0</v>
      </c>
    </row>
    <row r="56" spans="7:48" x14ac:dyDescent="0.3">
      <c r="L56" s="45"/>
      <c r="M56" s="24"/>
      <c r="N56" s="24"/>
      <c r="O56" s="41"/>
      <c r="P56" s="24"/>
      <c r="S56" s="42"/>
      <c r="T56" s="42"/>
      <c r="U56" s="42"/>
      <c r="V56" s="42"/>
      <c r="W56" s="42"/>
      <c r="X56" s="24"/>
      <c r="Z56" s="24"/>
      <c r="AA56" s="42"/>
      <c r="AB56" s="25">
        <v>41439</v>
      </c>
      <c r="AC56" s="6">
        <v>158.69999999999999</v>
      </c>
      <c r="AD56" s="6">
        <v>160.83000000000001</v>
      </c>
      <c r="AE56" s="6"/>
      <c r="AF56" s="6">
        <v>190</v>
      </c>
      <c r="AG56" s="25">
        <v>41439</v>
      </c>
      <c r="AH56" s="46">
        <v>12500</v>
      </c>
      <c r="AI56" s="57">
        <v>81.89</v>
      </c>
      <c r="AJ56" s="57">
        <v>30.22</v>
      </c>
      <c r="AK56" s="57">
        <v>7.26</v>
      </c>
      <c r="AL56" s="57">
        <v>37.479999999999997</v>
      </c>
      <c r="AR56" s="58"/>
      <c r="AS56" s="58" t="s">
        <v>3073</v>
      </c>
      <c r="AT56" s="83">
        <f t="shared" si="6"/>
        <v>0</v>
      </c>
      <c r="AU56" s="83">
        <f t="shared" si="7"/>
        <v>0</v>
      </c>
      <c r="AV56" s="84">
        <f t="shared" si="2"/>
        <v>0</v>
      </c>
    </row>
    <row r="57" spans="7:48" x14ac:dyDescent="0.3">
      <c r="L57" s="45"/>
      <c r="M57" s="24"/>
      <c r="N57" s="24"/>
      <c r="O57" s="41"/>
      <c r="P57" s="24"/>
      <c r="S57" s="42"/>
      <c r="T57" s="42"/>
      <c r="U57" s="42"/>
      <c r="V57" s="42"/>
      <c r="W57" s="42"/>
      <c r="X57" s="24"/>
      <c r="Z57" s="24"/>
      <c r="AA57" s="42"/>
      <c r="AB57" s="25">
        <v>41438</v>
      </c>
      <c r="AC57" s="6">
        <v>159.16</v>
      </c>
      <c r="AD57" s="6">
        <v>161.63</v>
      </c>
      <c r="AE57" s="6"/>
      <c r="AF57" s="6">
        <v>190</v>
      </c>
      <c r="AG57" s="25">
        <v>41438</v>
      </c>
      <c r="AH57" s="46">
        <v>12900</v>
      </c>
      <c r="AI57" s="57">
        <v>90.75</v>
      </c>
      <c r="AJ57" s="57">
        <v>17.5</v>
      </c>
      <c r="AK57" s="57">
        <v>25.08</v>
      </c>
      <c r="AL57" s="57">
        <v>42.58</v>
      </c>
      <c r="AR57" s="58"/>
      <c r="AS57" s="58" t="s">
        <v>3074</v>
      </c>
      <c r="AT57" s="83">
        <f t="shared" si="6"/>
        <v>0</v>
      </c>
      <c r="AU57" s="83">
        <f t="shared" si="7"/>
        <v>0</v>
      </c>
      <c r="AV57" s="84">
        <f t="shared" si="2"/>
        <v>0</v>
      </c>
    </row>
    <row r="58" spans="7:48" x14ac:dyDescent="0.3">
      <c r="L58" s="45"/>
      <c r="M58" s="24"/>
      <c r="N58" s="24"/>
      <c r="O58" s="41"/>
      <c r="P58" s="24"/>
      <c r="S58" s="42"/>
      <c r="T58" s="42"/>
      <c r="U58" s="42"/>
      <c r="V58" s="42"/>
      <c r="W58" s="42"/>
      <c r="X58" s="24"/>
      <c r="Z58" s="24"/>
      <c r="AA58" s="42"/>
      <c r="AB58" s="25">
        <v>41437</v>
      </c>
      <c r="AC58" s="6">
        <v>159.16</v>
      </c>
      <c r="AD58" s="6">
        <v>161.63</v>
      </c>
      <c r="AE58" s="6"/>
      <c r="AF58" s="6">
        <v>190</v>
      </c>
      <c r="AG58" s="25">
        <v>41437</v>
      </c>
      <c r="AH58" s="46">
        <v>12350</v>
      </c>
      <c r="AI58" s="57">
        <v>93.22</v>
      </c>
      <c r="AJ58" s="57">
        <v>-5.34</v>
      </c>
      <c r="AK58" s="57">
        <v>24.8</v>
      </c>
      <c r="AL58" s="57">
        <v>19.46</v>
      </c>
      <c r="AR58" s="58"/>
      <c r="AS58" s="58" t="s">
        <v>3075</v>
      </c>
      <c r="AT58" s="83">
        <f t="shared" si="6"/>
        <v>0</v>
      </c>
      <c r="AU58" s="83">
        <f t="shared" si="7"/>
        <v>0</v>
      </c>
      <c r="AV58" s="84">
        <f t="shared" si="2"/>
        <v>0</v>
      </c>
    </row>
    <row r="59" spans="7:48" x14ac:dyDescent="0.3">
      <c r="L59" s="45"/>
      <c r="M59" s="24"/>
      <c r="N59" s="24"/>
      <c r="O59" s="41"/>
      <c r="P59" s="24"/>
      <c r="S59" s="42"/>
      <c r="T59" s="42"/>
      <c r="U59" s="42"/>
      <c r="V59" s="42"/>
      <c r="W59" s="42"/>
      <c r="X59" s="24"/>
      <c r="Z59" s="24"/>
      <c r="AA59" s="42"/>
      <c r="AB59" s="25">
        <v>41436</v>
      </c>
      <c r="AC59" s="6">
        <v>159.16</v>
      </c>
      <c r="AD59" s="6">
        <v>161.63</v>
      </c>
      <c r="AE59" s="6"/>
      <c r="AF59" s="6">
        <v>190</v>
      </c>
      <c r="AG59" s="25">
        <v>41436</v>
      </c>
      <c r="AH59" s="46">
        <v>11900</v>
      </c>
      <c r="AI59" s="57">
        <v>91.14</v>
      </c>
      <c r="AJ59" s="57">
        <v>-9.5500000000000007</v>
      </c>
      <c r="AK59" s="57">
        <v>19.010000000000002</v>
      </c>
      <c r="AL59" s="57">
        <v>9.4600000000000009</v>
      </c>
      <c r="AR59" s="58"/>
      <c r="AS59" s="58" t="s">
        <v>3076</v>
      </c>
      <c r="AT59" s="83">
        <f t="shared" si="6"/>
        <v>0</v>
      </c>
      <c r="AU59" s="83">
        <f t="shared" si="7"/>
        <v>0</v>
      </c>
      <c r="AV59" s="84">
        <f t="shared" si="2"/>
        <v>0</v>
      </c>
    </row>
    <row r="60" spans="7:48" x14ac:dyDescent="0.3">
      <c r="L60" s="45"/>
      <c r="M60" s="24"/>
      <c r="N60" s="24"/>
      <c r="O60" s="41"/>
      <c r="P60" s="24"/>
      <c r="S60" s="42"/>
      <c r="T60" s="42"/>
      <c r="U60" s="42"/>
      <c r="V60" s="42"/>
      <c r="W60" s="42"/>
      <c r="X60" s="24"/>
      <c r="Z60" s="24"/>
      <c r="AA60" s="42"/>
      <c r="AB60" s="25">
        <v>41435</v>
      </c>
      <c r="AC60" s="6">
        <v>157.97</v>
      </c>
      <c r="AD60" s="6">
        <v>159.71</v>
      </c>
      <c r="AE60" s="6"/>
      <c r="AF60" s="6">
        <v>190</v>
      </c>
      <c r="AG60" s="25">
        <v>41435</v>
      </c>
      <c r="AH60" s="46">
        <v>11600</v>
      </c>
      <c r="AI60" s="57">
        <v>89.35</v>
      </c>
      <c r="AJ60" s="57">
        <v>-19.61</v>
      </c>
      <c r="AK60" s="57">
        <v>21.56</v>
      </c>
      <c r="AL60" s="57">
        <v>1.9499999999999993</v>
      </c>
      <c r="AR60" s="58"/>
      <c r="AS60" s="58" t="s">
        <v>3077</v>
      </c>
      <c r="AT60" s="83">
        <f t="shared" si="6"/>
        <v>0</v>
      </c>
      <c r="AU60" s="83">
        <f t="shared" si="7"/>
        <v>0</v>
      </c>
      <c r="AV60" s="84">
        <f t="shared" si="2"/>
        <v>0</v>
      </c>
    </row>
    <row r="61" spans="7:48" x14ac:dyDescent="0.3">
      <c r="L61" s="45"/>
      <c r="M61" s="24"/>
      <c r="N61" s="24"/>
      <c r="O61" s="41"/>
      <c r="P61" s="24"/>
      <c r="S61" s="42"/>
      <c r="T61" s="42"/>
      <c r="U61" s="42"/>
      <c r="V61" s="42"/>
      <c r="W61" s="42"/>
      <c r="X61" s="24"/>
      <c r="Z61" s="24"/>
      <c r="AA61" s="42"/>
      <c r="AB61" s="25">
        <v>41432</v>
      </c>
      <c r="AC61" s="6">
        <v>157.97</v>
      </c>
      <c r="AD61" s="6">
        <v>159.71</v>
      </c>
      <c r="AE61" s="6"/>
      <c r="AF61" s="6">
        <v>190</v>
      </c>
      <c r="AG61" s="25">
        <v>41432</v>
      </c>
      <c r="AH61" s="46">
        <v>11350</v>
      </c>
      <c r="AI61" s="57">
        <v>87.21</v>
      </c>
      <c r="AJ61" s="57">
        <v>-29.23</v>
      </c>
      <c r="AK61" s="57">
        <v>35.78</v>
      </c>
      <c r="AL61" s="57">
        <v>6.5500000000000007</v>
      </c>
      <c r="AR61" s="58"/>
      <c r="AS61" s="58" t="s">
        <v>3078</v>
      </c>
      <c r="AT61" s="83">
        <f t="shared" si="6"/>
        <v>0</v>
      </c>
      <c r="AU61" s="83">
        <f t="shared" si="7"/>
        <v>0</v>
      </c>
      <c r="AV61" s="84">
        <f t="shared" si="2"/>
        <v>0</v>
      </c>
    </row>
    <row r="62" spans="7:48" x14ac:dyDescent="0.3">
      <c r="L62" s="45"/>
      <c r="M62" s="24"/>
      <c r="N62" s="24"/>
      <c r="O62" s="41"/>
      <c r="P62" s="24"/>
      <c r="S62" s="42"/>
      <c r="T62" s="42"/>
      <c r="U62" s="42"/>
      <c r="V62" s="42"/>
      <c r="W62" s="42"/>
      <c r="X62" s="24"/>
      <c r="Z62" s="24"/>
      <c r="AA62" s="42"/>
      <c r="AB62" s="25">
        <v>41430</v>
      </c>
      <c r="AC62" s="6">
        <v>157.97</v>
      </c>
      <c r="AD62" s="6">
        <v>157.72</v>
      </c>
      <c r="AE62" s="6"/>
      <c r="AF62" s="6">
        <v>190</v>
      </c>
      <c r="AG62" s="25">
        <v>41430</v>
      </c>
      <c r="AH62" s="46">
        <v>11100</v>
      </c>
      <c r="AI62" s="57">
        <v>87.04</v>
      </c>
      <c r="AJ62" s="57">
        <v>-44.24</v>
      </c>
      <c r="AK62" s="57">
        <v>39.380000000000003</v>
      </c>
      <c r="AL62" s="57">
        <v>-4.8599999999999994</v>
      </c>
      <c r="AR62" s="58"/>
      <c r="AS62" s="58" t="s">
        <v>3079</v>
      </c>
      <c r="AT62" s="83">
        <f t="shared" si="6"/>
        <v>0</v>
      </c>
      <c r="AU62" s="83">
        <f t="shared" si="7"/>
        <v>0</v>
      </c>
      <c r="AV62" s="84">
        <f t="shared" si="2"/>
        <v>0</v>
      </c>
    </row>
    <row r="63" spans="7:48" x14ac:dyDescent="0.3">
      <c r="L63" s="45"/>
      <c r="O63" s="41"/>
      <c r="S63" s="42"/>
      <c r="T63" s="42"/>
      <c r="U63" s="42"/>
      <c r="V63" s="42"/>
      <c r="W63" s="42"/>
      <c r="Z63" s="24"/>
      <c r="AA63" s="42"/>
      <c r="AB63" s="25">
        <v>41429</v>
      </c>
      <c r="AC63" s="6">
        <v>157.97</v>
      </c>
      <c r="AD63" s="6">
        <v>157.72</v>
      </c>
      <c r="AE63" s="6"/>
      <c r="AF63" s="6">
        <v>190</v>
      </c>
      <c r="AG63" s="25">
        <v>41429</v>
      </c>
      <c r="AH63" s="46">
        <v>11300</v>
      </c>
      <c r="AI63" s="57">
        <v>88.71</v>
      </c>
      <c r="AJ63" s="57">
        <v>-42.1</v>
      </c>
      <c r="AK63" s="57">
        <v>38.729999999999997</v>
      </c>
      <c r="AL63" s="57">
        <v>-3.3700000000000045</v>
      </c>
      <c r="AR63" s="58"/>
      <c r="AS63" s="58" t="s">
        <v>3080</v>
      </c>
      <c r="AT63" s="83">
        <f t="shared" si="6"/>
        <v>0</v>
      </c>
      <c r="AU63" s="83">
        <f t="shared" si="7"/>
        <v>0</v>
      </c>
      <c r="AV63" s="84">
        <f t="shared" si="2"/>
        <v>0</v>
      </c>
    </row>
    <row r="64" spans="7:48" x14ac:dyDescent="0.3">
      <c r="L64" s="45"/>
      <c r="O64" s="41"/>
      <c r="S64" s="42"/>
      <c r="T64" s="42"/>
      <c r="U64" s="42"/>
      <c r="V64" s="42"/>
      <c r="W64" s="42"/>
      <c r="Z64" s="24"/>
      <c r="AA64" s="42"/>
      <c r="AB64" s="25">
        <v>41428</v>
      </c>
      <c r="AC64" s="6">
        <v>157.97999999999999</v>
      </c>
      <c r="AD64" s="6">
        <v>156.66</v>
      </c>
      <c r="AE64" s="6"/>
      <c r="AF64" s="6">
        <v>190</v>
      </c>
      <c r="AG64" s="25">
        <v>41428</v>
      </c>
      <c r="AH64" s="46">
        <v>11550</v>
      </c>
      <c r="AI64" s="57">
        <v>87.42</v>
      </c>
      <c r="AJ64" s="57">
        <v>-40.119999999999997</v>
      </c>
      <c r="AK64" s="57">
        <v>39.56</v>
      </c>
      <c r="AL64" s="57">
        <v>-0.55999999999999517</v>
      </c>
      <c r="AR64" s="58"/>
      <c r="AS64" s="58" t="s">
        <v>3081</v>
      </c>
      <c r="AT64" s="83">
        <f t="shared" si="6"/>
        <v>0</v>
      </c>
      <c r="AU64" s="83">
        <f t="shared" si="7"/>
        <v>0</v>
      </c>
      <c r="AV64" s="84">
        <f t="shared" si="2"/>
        <v>0</v>
      </c>
    </row>
    <row r="65" spans="12:48" x14ac:dyDescent="0.3">
      <c r="L65" s="45"/>
      <c r="O65" s="41"/>
      <c r="S65" s="42"/>
      <c r="T65" s="42"/>
      <c r="U65" s="42"/>
      <c r="V65" s="42"/>
      <c r="W65" s="42"/>
      <c r="Z65" s="24"/>
      <c r="AA65" s="42"/>
      <c r="AB65" s="25">
        <v>41425</v>
      </c>
      <c r="AC65" s="6">
        <v>157.97999999999999</v>
      </c>
      <c r="AD65" s="6">
        <v>160.79</v>
      </c>
      <c r="AE65" s="6"/>
      <c r="AF65" s="6">
        <v>190</v>
      </c>
      <c r="AG65" s="25">
        <v>41425</v>
      </c>
      <c r="AH65" s="46">
        <v>11700</v>
      </c>
      <c r="AI65" s="57">
        <v>84.85</v>
      </c>
      <c r="AJ65" s="57">
        <v>-55.07</v>
      </c>
      <c r="AK65" s="57">
        <v>75.069999999999993</v>
      </c>
      <c r="AL65" s="57">
        <v>19.999999999999993</v>
      </c>
      <c r="AR65" s="58"/>
      <c r="AS65" s="58" t="s">
        <v>3082</v>
      </c>
      <c r="AT65" s="83">
        <f t="shared" si="6"/>
        <v>0</v>
      </c>
      <c r="AU65" s="83">
        <f t="shared" si="7"/>
        <v>0</v>
      </c>
      <c r="AV65" s="84">
        <f t="shared" si="2"/>
        <v>0</v>
      </c>
    </row>
    <row r="66" spans="12:48" x14ac:dyDescent="0.3">
      <c r="L66" s="45"/>
      <c r="O66" s="41"/>
      <c r="S66" s="42"/>
      <c r="T66" s="42"/>
      <c r="U66" s="42"/>
      <c r="V66" s="42"/>
      <c r="W66" s="42"/>
      <c r="Z66" s="24"/>
      <c r="AA66" s="42"/>
      <c r="AB66" s="25">
        <v>41424</v>
      </c>
      <c r="AC66" s="6">
        <v>157.91999999999999</v>
      </c>
      <c r="AD66" s="6">
        <v>159.11000000000001</v>
      </c>
      <c r="AE66" s="6"/>
      <c r="AF66" s="6">
        <v>190</v>
      </c>
      <c r="AG66" s="25">
        <v>41424</v>
      </c>
      <c r="AH66" s="46">
        <v>11550</v>
      </c>
      <c r="AI66" s="57">
        <v>83.78</v>
      </c>
      <c r="AJ66" s="57">
        <v>-58.33</v>
      </c>
      <c r="AK66" s="57">
        <v>71.930000000000007</v>
      </c>
      <c r="AL66" s="57">
        <v>13.600000000000009</v>
      </c>
    </row>
    <row r="67" spans="12:48" x14ac:dyDescent="0.3">
      <c r="L67" s="45"/>
      <c r="O67" s="41"/>
      <c r="S67" s="42"/>
      <c r="T67" s="42"/>
      <c r="U67" s="42"/>
      <c r="V67" s="42"/>
      <c r="W67" s="42"/>
      <c r="Z67" s="24"/>
      <c r="AA67" s="42"/>
      <c r="AB67" s="25">
        <v>41423</v>
      </c>
      <c r="AC67" s="6">
        <v>157.91999999999999</v>
      </c>
      <c r="AD67" s="6">
        <v>159.11000000000001</v>
      </c>
      <c r="AE67" s="6"/>
      <c r="AF67" s="6">
        <v>190</v>
      </c>
      <c r="AG67" s="25">
        <v>41423</v>
      </c>
      <c r="AH67" s="46">
        <v>11700</v>
      </c>
      <c r="AI67" s="57">
        <v>81.56</v>
      </c>
      <c r="AJ67" s="57">
        <v>-75.23</v>
      </c>
      <c r="AK67" s="57">
        <v>96.19</v>
      </c>
      <c r="AL67" s="57">
        <v>20.959999999999994</v>
      </c>
    </row>
    <row r="68" spans="12:48" x14ac:dyDescent="0.3">
      <c r="L68" s="45"/>
      <c r="O68" s="41"/>
      <c r="S68" s="42"/>
      <c r="T68" s="42"/>
      <c r="U68" s="42"/>
      <c r="V68" s="42"/>
      <c r="W68" s="42"/>
      <c r="Z68" s="24"/>
      <c r="AA68" s="42"/>
      <c r="AB68" s="25">
        <v>41422</v>
      </c>
      <c r="AC68" s="6">
        <v>157.27000000000001</v>
      </c>
      <c r="AD68" s="6">
        <v>157.27000000000001</v>
      </c>
      <c r="AE68" s="6"/>
      <c r="AF68" s="6">
        <v>190</v>
      </c>
      <c r="AG68" s="25">
        <v>41422</v>
      </c>
      <c r="AH68" s="46">
        <v>12150</v>
      </c>
      <c r="AI68" s="57">
        <v>69.81</v>
      </c>
      <c r="AJ68" s="57">
        <v>-61.06</v>
      </c>
      <c r="AK68" s="57">
        <v>100.02</v>
      </c>
      <c r="AL68" s="57">
        <v>38.959999999999994</v>
      </c>
    </row>
    <row r="69" spans="12:48" x14ac:dyDescent="0.3">
      <c r="L69" s="45"/>
      <c r="O69" s="41"/>
      <c r="S69" s="42"/>
      <c r="T69" s="42"/>
      <c r="U69" s="42"/>
      <c r="V69" s="42"/>
      <c r="W69" s="42"/>
      <c r="Z69" s="24"/>
      <c r="AA69" s="42"/>
      <c r="AB69" s="25">
        <v>41421</v>
      </c>
      <c r="AC69" s="6">
        <v>157.27000000000001</v>
      </c>
      <c r="AD69" s="6">
        <v>157.27000000000001</v>
      </c>
      <c r="AE69" s="6"/>
      <c r="AF69" s="6">
        <v>190</v>
      </c>
      <c r="AG69" s="25">
        <v>41421</v>
      </c>
      <c r="AH69" s="46">
        <v>11950</v>
      </c>
      <c r="AI69" s="57">
        <v>70.98</v>
      </c>
      <c r="AJ69" s="57">
        <v>-64.62</v>
      </c>
      <c r="AK69" s="57">
        <v>101.64</v>
      </c>
      <c r="AL69" s="57">
        <v>37.019999999999996</v>
      </c>
    </row>
    <row r="70" spans="12:48" x14ac:dyDescent="0.3">
      <c r="L70" s="45"/>
      <c r="O70" s="41"/>
      <c r="S70" s="42"/>
      <c r="T70" s="42"/>
      <c r="U70" s="42"/>
      <c r="V70" s="42"/>
      <c r="W70" s="42"/>
      <c r="Z70" s="24"/>
      <c r="AA70" s="42"/>
      <c r="AB70" s="25">
        <v>41418</v>
      </c>
      <c r="AC70" s="6">
        <v>157.30000000000001</v>
      </c>
      <c r="AD70" s="6">
        <v>157.30000000000001</v>
      </c>
      <c r="AE70" s="6"/>
      <c r="AF70" s="6">
        <v>190</v>
      </c>
      <c r="AG70" s="25">
        <v>41418</v>
      </c>
      <c r="AH70" s="46">
        <v>12100</v>
      </c>
      <c r="AI70" s="57">
        <v>76.69</v>
      </c>
      <c r="AJ70" s="57">
        <v>-56.78</v>
      </c>
      <c r="AK70" s="57">
        <v>98.29</v>
      </c>
      <c r="AL70" s="57">
        <v>41.510000000000005</v>
      </c>
    </row>
    <row r="71" spans="12:48" x14ac:dyDescent="0.3">
      <c r="L71" s="45"/>
      <c r="O71" s="41"/>
      <c r="S71" s="42"/>
      <c r="T71" s="42"/>
      <c r="U71" s="42"/>
      <c r="V71" s="42"/>
      <c r="W71" s="42"/>
      <c r="Z71" s="24"/>
      <c r="AA71" s="42"/>
      <c r="AB71" s="25">
        <v>41417</v>
      </c>
      <c r="AC71" s="6">
        <v>157.30000000000001</v>
      </c>
      <c r="AD71" s="6">
        <v>157.30000000000001</v>
      </c>
      <c r="AE71" s="6"/>
      <c r="AF71" s="6">
        <v>190</v>
      </c>
      <c r="AG71" s="25">
        <v>41417</v>
      </c>
      <c r="AH71" s="46">
        <v>12300</v>
      </c>
      <c r="AI71" s="57">
        <v>78.05</v>
      </c>
      <c r="AJ71" s="57">
        <v>-51.41</v>
      </c>
      <c r="AK71" s="57">
        <v>99.7</v>
      </c>
      <c r="AL71" s="57">
        <v>48.290000000000006</v>
      </c>
    </row>
    <row r="72" spans="12:48" x14ac:dyDescent="0.3">
      <c r="L72" s="45"/>
      <c r="O72" s="41"/>
      <c r="S72" s="42"/>
      <c r="T72" s="42"/>
      <c r="U72" s="42"/>
      <c r="V72" s="42"/>
      <c r="W72" s="42"/>
      <c r="Z72" s="24"/>
      <c r="AA72" s="42"/>
      <c r="AB72" s="25">
        <v>41416</v>
      </c>
      <c r="AC72" s="6">
        <v>156.06</v>
      </c>
      <c r="AD72" s="6">
        <v>156.06</v>
      </c>
      <c r="AE72" s="6"/>
      <c r="AF72" s="6">
        <v>190</v>
      </c>
      <c r="AG72" s="25">
        <v>41416</v>
      </c>
      <c r="AH72" s="46">
        <v>11700</v>
      </c>
      <c r="AI72" s="57">
        <v>73.13</v>
      </c>
      <c r="AJ72" s="57">
        <v>-49.85</v>
      </c>
      <c r="AK72" s="57">
        <v>92.63</v>
      </c>
      <c r="AL72" s="57">
        <v>42.779999999999994</v>
      </c>
    </row>
    <row r="73" spans="12:48" x14ac:dyDescent="0.3">
      <c r="L73" s="45"/>
      <c r="O73" s="41"/>
      <c r="S73" s="42"/>
      <c r="T73" s="42"/>
      <c r="U73" s="42"/>
      <c r="V73" s="42"/>
      <c r="W73" s="42"/>
      <c r="Z73" s="24"/>
      <c r="AA73" s="42"/>
      <c r="AB73" s="25">
        <v>41415</v>
      </c>
      <c r="AC73" s="6">
        <v>156.06</v>
      </c>
      <c r="AD73" s="6">
        <v>156.06</v>
      </c>
      <c r="AE73" s="6"/>
      <c r="AF73" s="6">
        <v>190</v>
      </c>
      <c r="AG73" s="25">
        <v>41415</v>
      </c>
      <c r="AH73" s="46">
        <v>11950</v>
      </c>
      <c r="AI73" s="57">
        <v>73.400000000000006</v>
      </c>
      <c r="AJ73" s="57">
        <v>-56.36</v>
      </c>
      <c r="AK73" s="57">
        <v>100.87</v>
      </c>
      <c r="AL73" s="57">
        <v>44.510000000000005</v>
      </c>
    </row>
    <row r="74" spans="12:48" x14ac:dyDescent="0.3">
      <c r="L74" s="45"/>
      <c r="O74" s="41"/>
      <c r="S74" s="42"/>
      <c r="T74" s="42"/>
      <c r="U74" s="42"/>
      <c r="V74" s="42"/>
      <c r="W74" s="42"/>
      <c r="Z74" s="24"/>
      <c r="AA74" s="42"/>
      <c r="AB74" s="25">
        <v>41414</v>
      </c>
      <c r="AC74" s="6">
        <v>156.06</v>
      </c>
      <c r="AD74" s="6">
        <v>156.06</v>
      </c>
      <c r="AE74" s="6"/>
      <c r="AF74" s="6">
        <v>190</v>
      </c>
      <c r="AG74" s="25">
        <v>41414</v>
      </c>
      <c r="AH74" s="46">
        <v>11650</v>
      </c>
      <c r="AI74" s="57">
        <v>71.88</v>
      </c>
      <c r="AJ74" s="57">
        <v>-59.59</v>
      </c>
      <c r="AK74" s="57">
        <v>101.24</v>
      </c>
      <c r="AL74" s="57">
        <v>41.649999999999991</v>
      </c>
    </row>
    <row r="75" spans="12:48" x14ac:dyDescent="0.3">
      <c r="L75" s="45"/>
      <c r="O75" s="41"/>
      <c r="S75" s="42"/>
      <c r="T75" s="42"/>
      <c r="U75" s="42"/>
      <c r="V75" s="42"/>
      <c r="W75" s="42"/>
      <c r="Z75" s="24"/>
      <c r="AA75" s="42"/>
      <c r="AB75" s="25">
        <v>41410</v>
      </c>
      <c r="AC75" s="6">
        <v>158.13999999999999</v>
      </c>
      <c r="AD75" s="6">
        <v>158.13999999999999</v>
      </c>
      <c r="AE75" s="6"/>
      <c r="AF75" s="6">
        <v>190</v>
      </c>
      <c r="AG75" s="25">
        <v>41410</v>
      </c>
      <c r="AH75" s="46">
        <v>11900</v>
      </c>
      <c r="AI75" s="57">
        <v>77.319999999999993</v>
      </c>
      <c r="AJ75" s="57">
        <v>-34.549999999999997</v>
      </c>
      <c r="AK75" s="57">
        <v>100.08</v>
      </c>
      <c r="AL75" s="57">
        <v>65.53</v>
      </c>
    </row>
    <row r="76" spans="12:48" x14ac:dyDescent="0.3">
      <c r="L76" s="45"/>
      <c r="O76" s="41"/>
      <c r="S76" s="42"/>
      <c r="T76" s="42"/>
      <c r="U76" s="42"/>
      <c r="V76" s="42"/>
      <c r="W76" s="42"/>
      <c r="Z76" s="24"/>
      <c r="AA76" s="42"/>
      <c r="AB76" s="25">
        <v>41409</v>
      </c>
      <c r="AC76" s="6">
        <v>158.13999999999999</v>
      </c>
      <c r="AD76" s="6">
        <v>158.13999999999999</v>
      </c>
      <c r="AE76" s="6"/>
      <c r="AF76" s="6">
        <v>190</v>
      </c>
      <c r="AG76" s="25">
        <v>41409</v>
      </c>
      <c r="AH76" s="46">
        <v>12600</v>
      </c>
      <c r="AI76" s="57">
        <v>74.489999999999995</v>
      </c>
      <c r="AJ76" s="57">
        <v>2.04</v>
      </c>
      <c r="AK76" s="57">
        <v>87.88</v>
      </c>
      <c r="AL76" s="57">
        <v>89.92</v>
      </c>
    </row>
    <row r="77" spans="12:48" x14ac:dyDescent="0.3">
      <c r="L77" s="45"/>
      <c r="O77" s="41"/>
      <c r="S77" s="42"/>
      <c r="T77" s="42"/>
      <c r="U77" s="42"/>
      <c r="V77" s="42"/>
      <c r="W77" s="42"/>
      <c r="Z77" s="24"/>
      <c r="AA77" s="42"/>
      <c r="AB77" s="25">
        <v>41408</v>
      </c>
      <c r="AC77" s="6">
        <v>158.13999999999999</v>
      </c>
      <c r="AD77" s="6">
        <v>158.13999999999999</v>
      </c>
      <c r="AE77" s="6"/>
      <c r="AF77" s="6">
        <v>190</v>
      </c>
      <c r="AG77" s="25">
        <v>41408</v>
      </c>
      <c r="AH77" s="46">
        <v>12650</v>
      </c>
      <c r="AI77" s="57">
        <v>77.069999999999993</v>
      </c>
      <c r="AJ77" s="57">
        <v>27.06</v>
      </c>
      <c r="AK77" s="57">
        <v>67.930000000000007</v>
      </c>
      <c r="AL77" s="57">
        <v>94.990000000000009</v>
      </c>
    </row>
    <row r="78" spans="12:48" x14ac:dyDescent="0.3">
      <c r="L78" s="45"/>
      <c r="O78" s="41"/>
      <c r="S78" s="42"/>
      <c r="T78" s="42"/>
      <c r="U78" s="42"/>
      <c r="V78" s="42"/>
      <c r="W78" s="42"/>
      <c r="Z78" s="24"/>
      <c r="AA78" s="42"/>
      <c r="AB78" s="25">
        <v>41407</v>
      </c>
      <c r="AC78" s="6">
        <v>157.53</v>
      </c>
      <c r="AD78" s="6">
        <v>157.53</v>
      </c>
      <c r="AE78" s="6"/>
      <c r="AF78" s="6">
        <v>190</v>
      </c>
      <c r="AG78" s="25">
        <v>41407</v>
      </c>
      <c r="AH78" s="46">
        <v>12300</v>
      </c>
      <c r="AI78" s="57">
        <v>73.59</v>
      </c>
      <c r="AJ78" s="57">
        <v>36.5</v>
      </c>
      <c r="AK78" s="57">
        <v>53.83</v>
      </c>
      <c r="AL78" s="57">
        <v>90.33</v>
      </c>
    </row>
    <row r="79" spans="12:48" x14ac:dyDescent="0.3">
      <c r="L79" s="45"/>
      <c r="O79" s="41"/>
      <c r="S79" s="42"/>
      <c r="T79" s="42"/>
      <c r="U79" s="42"/>
      <c r="V79" s="42"/>
      <c r="W79" s="42"/>
      <c r="Z79" s="24"/>
      <c r="AA79" s="42"/>
      <c r="AB79" s="25">
        <v>41404</v>
      </c>
      <c r="AC79" s="6">
        <v>157.53</v>
      </c>
      <c r="AD79" s="6">
        <v>157.53</v>
      </c>
      <c r="AE79" s="6"/>
      <c r="AF79" s="6">
        <v>190</v>
      </c>
      <c r="AG79" s="25">
        <v>41404</v>
      </c>
      <c r="AH79" s="46">
        <v>12100</v>
      </c>
      <c r="AI79" s="57">
        <v>72.78</v>
      </c>
      <c r="AJ79" s="57">
        <v>47.14</v>
      </c>
      <c r="AK79" s="57">
        <v>53.83</v>
      </c>
      <c r="AL79" s="57">
        <v>100.97</v>
      </c>
    </row>
    <row r="80" spans="12:48" x14ac:dyDescent="0.3">
      <c r="L80" s="45"/>
      <c r="O80" s="41"/>
      <c r="S80" s="42"/>
      <c r="T80" s="42"/>
      <c r="U80" s="42"/>
      <c r="V80" s="42"/>
      <c r="W80" s="42"/>
      <c r="Z80" s="24"/>
      <c r="AA80" s="42"/>
      <c r="AB80" s="25">
        <v>41403</v>
      </c>
      <c r="AC80" s="6">
        <v>157.53</v>
      </c>
      <c r="AD80" s="6">
        <v>157.53</v>
      </c>
      <c r="AE80" s="6"/>
      <c r="AF80" s="6">
        <v>190</v>
      </c>
      <c r="AG80" s="25">
        <v>41403</v>
      </c>
      <c r="AH80" s="46">
        <v>11800</v>
      </c>
      <c r="AI80" s="57">
        <v>73.27</v>
      </c>
      <c r="AJ80" s="57">
        <v>47</v>
      </c>
      <c r="AK80" s="57">
        <v>41.7</v>
      </c>
      <c r="AL80" s="57">
        <v>88.7</v>
      </c>
    </row>
    <row r="81" spans="12:38" x14ac:dyDescent="0.3">
      <c r="L81" s="45"/>
      <c r="O81" s="41"/>
      <c r="S81" s="42"/>
      <c r="T81" s="42"/>
      <c r="U81" s="42"/>
      <c r="V81" s="42"/>
      <c r="W81" s="42"/>
      <c r="Z81" s="24"/>
      <c r="AA81" s="42"/>
      <c r="AB81" s="25">
        <v>41402</v>
      </c>
      <c r="AC81" s="6">
        <v>157.53</v>
      </c>
      <c r="AD81" s="6">
        <v>157.53</v>
      </c>
      <c r="AE81" s="6"/>
      <c r="AF81" s="6">
        <v>190</v>
      </c>
      <c r="AG81" s="25">
        <v>41402</v>
      </c>
      <c r="AH81" s="46">
        <v>12000</v>
      </c>
      <c r="AI81" s="57">
        <v>63.14</v>
      </c>
      <c r="AJ81" s="57">
        <v>54.39</v>
      </c>
      <c r="AK81" s="57">
        <v>37.06</v>
      </c>
      <c r="AL81" s="57">
        <v>91.45</v>
      </c>
    </row>
    <row r="82" spans="12:38" x14ac:dyDescent="0.3">
      <c r="L82" s="45"/>
      <c r="O82" s="41"/>
      <c r="S82" s="42"/>
      <c r="T82" s="42"/>
      <c r="U82" s="42"/>
      <c r="V82" s="42"/>
      <c r="W82" s="42"/>
      <c r="Z82" s="24"/>
      <c r="AA82" s="42"/>
      <c r="AB82" s="25">
        <v>41401</v>
      </c>
      <c r="AC82" s="6">
        <v>157.53</v>
      </c>
      <c r="AD82" s="6">
        <v>157.53</v>
      </c>
      <c r="AE82" s="6"/>
      <c r="AF82" s="6">
        <v>190</v>
      </c>
      <c r="AG82" s="25">
        <v>41401</v>
      </c>
      <c r="AH82" s="46">
        <v>11950</v>
      </c>
      <c r="AI82" s="57">
        <v>54.97</v>
      </c>
      <c r="AJ82" s="57">
        <v>55.11</v>
      </c>
      <c r="AK82" s="57">
        <v>38.24</v>
      </c>
      <c r="AL82" s="57">
        <v>93.35</v>
      </c>
    </row>
    <row r="83" spans="12:38" x14ac:dyDescent="0.3">
      <c r="L83" s="45"/>
      <c r="O83" s="41"/>
      <c r="S83" s="42"/>
      <c r="T83" s="42"/>
      <c r="U83" s="42"/>
      <c r="V83" s="42"/>
      <c r="W83" s="42"/>
      <c r="Z83" s="24"/>
      <c r="AA83" s="42"/>
      <c r="AB83" s="25">
        <v>41400</v>
      </c>
      <c r="AC83" s="6">
        <v>157.55000000000001</v>
      </c>
      <c r="AD83" s="6">
        <v>157.55000000000001</v>
      </c>
      <c r="AE83" s="6"/>
      <c r="AF83" s="6">
        <v>190</v>
      </c>
      <c r="AG83" s="25">
        <v>41400</v>
      </c>
      <c r="AH83" s="46">
        <v>11550</v>
      </c>
      <c r="AI83" s="57">
        <v>54.31</v>
      </c>
      <c r="AJ83" s="57">
        <v>59.84</v>
      </c>
      <c r="AK83" s="57">
        <v>39.33</v>
      </c>
      <c r="AL83" s="57">
        <v>99.17</v>
      </c>
    </row>
    <row r="84" spans="12:38" x14ac:dyDescent="0.3">
      <c r="L84" s="45"/>
      <c r="O84" s="41"/>
      <c r="S84" s="42"/>
      <c r="T84" s="42"/>
      <c r="U84" s="42"/>
      <c r="V84" s="42"/>
      <c r="W84" s="42"/>
      <c r="Z84" s="24"/>
      <c r="AA84" s="42"/>
      <c r="AB84" s="25">
        <v>41397</v>
      </c>
      <c r="AC84" s="6">
        <v>157.55000000000001</v>
      </c>
      <c r="AD84" s="6">
        <v>157.55000000000001</v>
      </c>
      <c r="AE84" s="6"/>
      <c r="AF84" s="6">
        <v>190</v>
      </c>
      <c r="AG84" s="25">
        <v>41397</v>
      </c>
      <c r="AH84" s="46">
        <v>11800</v>
      </c>
      <c r="AI84" s="57">
        <v>56.26</v>
      </c>
      <c r="AJ84" s="57">
        <v>83.09</v>
      </c>
      <c r="AK84" s="57">
        <v>24.94</v>
      </c>
      <c r="AL84" s="57">
        <v>108.03</v>
      </c>
    </row>
    <row r="85" spans="12:38" x14ac:dyDescent="0.3">
      <c r="L85" s="45"/>
      <c r="O85" s="41"/>
      <c r="S85" s="42"/>
      <c r="T85" s="42"/>
      <c r="U85" s="42"/>
      <c r="V85" s="42"/>
      <c r="W85" s="42"/>
      <c r="Z85" s="24"/>
      <c r="AA85" s="42"/>
      <c r="AB85" s="25">
        <v>41396</v>
      </c>
      <c r="AC85" s="6">
        <v>157.53</v>
      </c>
      <c r="AD85" s="6">
        <v>157.53</v>
      </c>
      <c r="AE85" s="6"/>
      <c r="AF85" s="6">
        <v>190</v>
      </c>
      <c r="AG85" s="25">
        <v>41396</v>
      </c>
      <c r="AH85" s="46">
        <v>11950</v>
      </c>
      <c r="AI85" s="57">
        <v>56.13</v>
      </c>
      <c r="AJ85" s="57">
        <v>98.95</v>
      </c>
      <c r="AK85" s="57">
        <v>22.51</v>
      </c>
      <c r="AL85" s="57">
        <v>121.46000000000001</v>
      </c>
    </row>
    <row r="86" spans="12:38" x14ac:dyDescent="0.3">
      <c r="L86" s="45"/>
      <c r="O86" s="41"/>
      <c r="S86" s="42"/>
      <c r="T86" s="42"/>
      <c r="U86" s="42"/>
      <c r="V86" s="42"/>
      <c r="W86" s="42"/>
      <c r="AA86" s="42"/>
      <c r="AB86" s="25">
        <v>41394</v>
      </c>
      <c r="AC86" s="6">
        <v>145.05000000000001</v>
      </c>
      <c r="AD86" s="6">
        <v>149.22999999999999</v>
      </c>
      <c r="AE86" s="6"/>
      <c r="AF86" s="6">
        <v>190</v>
      </c>
      <c r="AG86" s="25">
        <v>41394</v>
      </c>
      <c r="AH86" s="46">
        <v>10400</v>
      </c>
      <c r="AI86" s="57">
        <v>47</v>
      </c>
      <c r="AJ86" s="57">
        <v>107.54</v>
      </c>
      <c r="AK86" s="57">
        <v>-12</v>
      </c>
      <c r="AL86" s="57">
        <v>95.54</v>
      </c>
    </row>
    <row r="87" spans="12:38" x14ac:dyDescent="0.3">
      <c r="L87" s="45"/>
      <c r="O87" s="41"/>
      <c r="S87" s="42"/>
      <c r="T87" s="42"/>
      <c r="U87" s="42"/>
      <c r="V87" s="42"/>
      <c r="W87" s="42"/>
      <c r="AA87" s="42"/>
      <c r="AB87" s="25">
        <v>41393</v>
      </c>
      <c r="AC87" s="6">
        <v>136.78</v>
      </c>
      <c r="AD87" s="6">
        <v>143.65</v>
      </c>
      <c r="AE87" s="6"/>
      <c r="AF87" s="6">
        <v>190</v>
      </c>
      <c r="AG87" s="25">
        <v>41393</v>
      </c>
      <c r="AH87" s="46">
        <v>9830</v>
      </c>
      <c r="AI87" s="57">
        <v>36.270000000000003</v>
      </c>
      <c r="AJ87" s="57">
        <v>127.94</v>
      </c>
      <c r="AK87" s="57">
        <v>-36.72</v>
      </c>
      <c r="AL87" s="57">
        <v>91.22</v>
      </c>
    </row>
    <row r="88" spans="12:38" x14ac:dyDescent="0.3">
      <c r="L88" s="45"/>
      <c r="O88" s="41"/>
      <c r="S88" s="42"/>
      <c r="T88" s="42"/>
      <c r="U88" s="42"/>
      <c r="V88" s="42"/>
      <c r="W88" s="42"/>
      <c r="AA88" s="42"/>
      <c r="AB88" s="25">
        <v>41390</v>
      </c>
      <c r="AC88" s="6">
        <v>135.31</v>
      </c>
      <c r="AD88" s="6">
        <v>141.44</v>
      </c>
      <c r="AE88" s="6"/>
      <c r="AF88" s="6">
        <v>190</v>
      </c>
      <c r="AG88" s="25">
        <v>41390</v>
      </c>
      <c r="AH88" s="46">
        <v>9430</v>
      </c>
      <c r="AI88" s="57">
        <v>36.04</v>
      </c>
      <c r="AJ88" s="57">
        <v>123.21</v>
      </c>
      <c r="AK88" s="57">
        <v>-42.85</v>
      </c>
      <c r="AL88" s="57">
        <v>80.359999999999985</v>
      </c>
    </row>
    <row r="89" spans="12:38" x14ac:dyDescent="0.3">
      <c r="L89" s="45"/>
      <c r="O89" s="41"/>
      <c r="S89" s="42"/>
      <c r="T89" s="42"/>
      <c r="U89" s="42"/>
      <c r="V89" s="42"/>
      <c r="W89" s="42"/>
      <c r="AA89" s="42"/>
      <c r="AB89" s="25">
        <v>41389</v>
      </c>
      <c r="AC89" s="6">
        <v>135.31</v>
      </c>
      <c r="AD89" s="6">
        <v>141.72999999999999</v>
      </c>
      <c r="AE89" s="6"/>
      <c r="AF89" s="6">
        <v>190</v>
      </c>
      <c r="AG89" s="25">
        <v>41389</v>
      </c>
      <c r="AH89" s="46">
        <v>9310</v>
      </c>
      <c r="AI89" s="57">
        <v>39.04</v>
      </c>
      <c r="AJ89" s="57">
        <v>118.26</v>
      </c>
      <c r="AK89" s="57">
        <v>-42.07</v>
      </c>
      <c r="AL89" s="57">
        <v>76.19</v>
      </c>
    </row>
    <row r="90" spans="12:38" x14ac:dyDescent="0.3">
      <c r="L90" s="45"/>
      <c r="O90" s="41"/>
      <c r="S90" s="42"/>
      <c r="T90" s="42"/>
      <c r="U90" s="42"/>
      <c r="V90" s="42"/>
      <c r="W90" s="42"/>
      <c r="AA90" s="42"/>
      <c r="AB90" s="25">
        <v>41388</v>
      </c>
      <c r="AC90" s="6">
        <v>135.31</v>
      </c>
      <c r="AD90" s="6">
        <v>139.16999999999999</v>
      </c>
      <c r="AE90" s="6"/>
      <c r="AF90" s="6">
        <v>190</v>
      </c>
      <c r="AG90" s="25">
        <v>41388</v>
      </c>
      <c r="AH90" s="46">
        <v>9400</v>
      </c>
      <c r="AI90" s="57">
        <v>38.42</v>
      </c>
      <c r="AJ90" s="57">
        <v>118.67</v>
      </c>
      <c r="AK90" s="57">
        <v>-50.11</v>
      </c>
      <c r="AL90" s="57">
        <v>68.56</v>
      </c>
    </row>
    <row r="91" spans="12:38" x14ac:dyDescent="0.3">
      <c r="L91" s="45"/>
      <c r="O91" s="41"/>
      <c r="S91" s="42"/>
      <c r="T91" s="42"/>
      <c r="U91" s="42"/>
      <c r="V91" s="42"/>
      <c r="W91" s="42"/>
      <c r="AA91" s="42"/>
      <c r="AB91" s="25">
        <v>41387</v>
      </c>
      <c r="AC91" s="6">
        <v>135.31</v>
      </c>
      <c r="AD91" s="6">
        <v>139.16999999999999</v>
      </c>
      <c r="AE91" s="6"/>
      <c r="AF91" s="6">
        <v>190</v>
      </c>
      <c r="AG91" s="25">
        <v>41387</v>
      </c>
      <c r="AH91" s="46">
        <v>9410</v>
      </c>
      <c r="AI91" s="57">
        <v>39.630000000000003</v>
      </c>
      <c r="AJ91" s="57">
        <v>113.4</v>
      </c>
      <c r="AK91" s="57">
        <v>-48.69</v>
      </c>
      <c r="AL91" s="57">
        <v>64.710000000000008</v>
      </c>
    </row>
    <row r="92" spans="12:38" x14ac:dyDescent="0.3">
      <c r="L92" s="45"/>
      <c r="O92" s="41"/>
      <c r="S92" s="42"/>
      <c r="T92" s="42"/>
      <c r="U92" s="42"/>
      <c r="V92" s="42"/>
      <c r="W92" s="42"/>
      <c r="AA92" s="42"/>
      <c r="AB92" s="25">
        <v>41386</v>
      </c>
      <c r="AC92" s="6">
        <v>135.31</v>
      </c>
      <c r="AD92" s="6">
        <v>139.16999999999999</v>
      </c>
      <c r="AE92" s="6"/>
      <c r="AF92" s="6">
        <v>190</v>
      </c>
      <c r="AG92" s="25">
        <v>41386</v>
      </c>
      <c r="AH92" s="46">
        <v>9330</v>
      </c>
      <c r="AI92" s="57">
        <v>39.42</v>
      </c>
      <c r="AJ92" s="57">
        <v>105.09</v>
      </c>
      <c r="AK92" s="57">
        <v>-45.26</v>
      </c>
      <c r="AL92" s="57">
        <v>59.830000000000005</v>
      </c>
    </row>
    <row r="93" spans="12:38" x14ac:dyDescent="0.3">
      <c r="L93" s="45"/>
      <c r="O93" s="41"/>
      <c r="S93" s="42"/>
      <c r="T93" s="42"/>
      <c r="U93" s="42"/>
      <c r="V93" s="42"/>
      <c r="W93" s="42"/>
      <c r="AA93" s="42"/>
      <c r="AB93" s="25">
        <v>41383</v>
      </c>
      <c r="AC93" s="6">
        <v>135.31</v>
      </c>
      <c r="AD93" s="6">
        <v>138.47999999999999</v>
      </c>
      <c r="AE93" s="6"/>
      <c r="AF93" s="6">
        <v>190</v>
      </c>
      <c r="AG93" s="25">
        <v>41383</v>
      </c>
      <c r="AH93" s="46">
        <v>9270</v>
      </c>
      <c r="AI93" s="57">
        <v>45.34</v>
      </c>
      <c r="AJ93" s="57">
        <v>110.32</v>
      </c>
      <c r="AK93" s="57">
        <v>-56.81</v>
      </c>
      <c r="AL93" s="57">
        <v>53.509999999999991</v>
      </c>
    </row>
    <row r="94" spans="12:38" x14ac:dyDescent="0.3">
      <c r="L94" s="45"/>
      <c r="O94" s="41"/>
      <c r="S94" s="42"/>
      <c r="T94" s="42"/>
      <c r="U94" s="42"/>
      <c r="V94" s="42"/>
      <c r="W94" s="42"/>
      <c r="AA94" s="42"/>
      <c r="AB94" s="25">
        <v>41382</v>
      </c>
      <c r="AC94" s="6">
        <v>135.31</v>
      </c>
      <c r="AD94" s="6">
        <v>138.47999999999999</v>
      </c>
      <c r="AE94" s="6"/>
      <c r="AF94" s="6">
        <v>190</v>
      </c>
      <c r="AG94" s="25">
        <v>41382</v>
      </c>
      <c r="AH94" s="46">
        <v>9030</v>
      </c>
      <c r="AI94" s="57">
        <v>46.39</v>
      </c>
      <c r="AJ94" s="57">
        <v>108.84</v>
      </c>
      <c r="AK94" s="57">
        <v>-61.02</v>
      </c>
      <c r="AL94" s="57">
        <v>47.82</v>
      </c>
    </row>
    <row r="95" spans="12:38" x14ac:dyDescent="0.3">
      <c r="L95" s="45"/>
      <c r="O95" s="41"/>
      <c r="S95" s="42"/>
      <c r="T95" s="42"/>
      <c r="U95" s="42"/>
      <c r="V95" s="42"/>
      <c r="W95" s="42"/>
      <c r="AA95" s="42"/>
      <c r="AB95" s="25">
        <v>41381</v>
      </c>
      <c r="AC95" s="6">
        <v>135.31</v>
      </c>
      <c r="AD95" s="6">
        <v>138.49</v>
      </c>
      <c r="AE95" s="6"/>
      <c r="AF95" s="6">
        <v>190</v>
      </c>
      <c r="AG95" s="25">
        <v>41381</v>
      </c>
      <c r="AH95" s="46">
        <v>9360</v>
      </c>
      <c r="AI95" s="57">
        <v>49.18</v>
      </c>
      <c r="AJ95" s="57">
        <v>107.49</v>
      </c>
      <c r="AK95" s="57">
        <v>-58.85</v>
      </c>
      <c r="AL95" s="57">
        <v>48.639999999999993</v>
      </c>
    </row>
    <row r="96" spans="12:38" x14ac:dyDescent="0.3">
      <c r="L96" s="45"/>
      <c r="O96" s="41"/>
      <c r="S96" s="42"/>
      <c r="T96" s="42"/>
      <c r="U96" s="42"/>
      <c r="V96" s="42"/>
      <c r="W96" s="42"/>
      <c r="AA96" s="42"/>
      <c r="AB96" s="25">
        <v>41380</v>
      </c>
      <c r="AC96" s="6">
        <v>135.31</v>
      </c>
      <c r="AD96" s="6">
        <v>138.49</v>
      </c>
      <c r="AE96" s="6"/>
      <c r="AF96" s="6">
        <v>190</v>
      </c>
      <c r="AG96" s="25">
        <v>41380</v>
      </c>
      <c r="AH96" s="46">
        <v>8910</v>
      </c>
      <c r="AI96" s="57">
        <v>47.04</v>
      </c>
      <c r="AJ96" s="57">
        <v>93.07</v>
      </c>
      <c r="AK96" s="57">
        <v>-59.79</v>
      </c>
      <c r="AL96" s="57">
        <v>33.279999999999994</v>
      </c>
    </row>
    <row r="97" spans="12:38" x14ac:dyDescent="0.3">
      <c r="L97" s="45"/>
      <c r="O97" s="41"/>
      <c r="S97" s="42"/>
      <c r="T97" s="42"/>
      <c r="U97" s="42"/>
      <c r="V97" s="42"/>
      <c r="W97" s="42"/>
      <c r="AA97" s="42"/>
      <c r="AB97" s="25">
        <v>41379</v>
      </c>
      <c r="AC97" s="6">
        <v>132.66999999999999</v>
      </c>
      <c r="AD97" s="6">
        <v>137.76</v>
      </c>
      <c r="AE97" s="6"/>
      <c r="AF97" s="6">
        <v>190</v>
      </c>
      <c r="AG97" s="25">
        <v>41379</v>
      </c>
      <c r="AH97" s="46">
        <v>8730</v>
      </c>
      <c r="AI97" s="57">
        <v>46.45</v>
      </c>
      <c r="AJ97" s="57">
        <v>71.36</v>
      </c>
      <c r="AK97" s="57">
        <v>-52.25</v>
      </c>
      <c r="AL97" s="57">
        <v>19.11</v>
      </c>
    </row>
    <row r="98" spans="12:38" x14ac:dyDescent="0.3">
      <c r="L98" s="45"/>
      <c r="O98" s="41"/>
      <c r="S98" s="42"/>
      <c r="T98" s="42"/>
      <c r="U98" s="42"/>
      <c r="V98" s="42"/>
      <c r="W98" s="42"/>
      <c r="AA98" s="42"/>
      <c r="AB98" s="25">
        <v>41376</v>
      </c>
      <c r="AC98" s="6">
        <v>130.9</v>
      </c>
      <c r="AD98" s="6">
        <v>135.54</v>
      </c>
      <c r="AE98" s="6"/>
      <c r="AF98" s="6">
        <v>190</v>
      </c>
      <c r="AG98" s="25">
        <v>41376</v>
      </c>
      <c r="AH98" s="46">
        <v>8480</v>
      </c>
      <c r="AI98" s="57">
        <v>44.1</v>
      </c>
      <c r="AJ98" s="57">
        <v>55.77</v>
      </c>
      <c r="AK98" s="57">
        <v>-41.52</v>
      </c>
      <c r="AL98" s="57">
        <v>14.25</v>
      </c>
    </row>
    <row r="99" spans="12:38" x14ac:dyDescent="0.3">
      <c r="L99" s="45"/>
      <c r="O99" s="41"/>
      <c r="S99" s="42"/>
      <c r="T99" s="42"/>
      <c r="U99" s="42"/>
      <c r="V99" s="42"/>
      <c r="W99" s="42"/>
      <c r="AA99" s="42"/>
      <c r="AB99" s="25">
        <v>41375</v>
      </c>
      <c r="AC99" s="6">
        <v>130.9</v>
      </c>
      <c r="AD99" s="6">
        <v>133.59</v>
      </c>
      <c r="AE99" s="6"/>
      <c r="AF99" s="6">
        <v>190</v>
      </c>
      <c r="AG99" s="25">
        <v>41375</v>
      </c>
      <c r="AH99" s="46">
        <v>8490</v>
      </c>
      <c r="AI99" s="57">
        <v>41.09</v>
      </c>
      <c r="AJ99" s="57">
        <v>49.73</v>
      </c>
      <c r="AK99" s="57">
        <v>-36.65</v>
      </c>
      <c r="AL99" s="57">
        <v>13.079999999999998</v>
      </c>
    </row>
    <row r="100" spans="12:38" x14ac:dyDescent="0.3">
      <c r="L100" s="45"/>
      <c r="O100" s="41"/>
      <c r="S100" s="42"/>
      <c r="T100" s="42"/>
      <c r="U100" s="42"/>
      <c r="V100" s="42"/>
      <c r="W100" s="42"/>
      <c r="AA100" s="42"/>
      <c r="AB100" s="25">
        <v>41374</v>
      </c>
      <c r="AC100" s="6">
        <v>132.69999999999999</v>
      </c>
      <c r="AD100" s="6">
        <v>132.32</v>
      </c>
      <c r="AE100" s="6"/>
      <c r="AF100" s="6">
        <v>190</v>
      </c>
      <c r="AG100" s="25">
        <v>41374</v>
      </c>
      <c r="AH100" s="46">
        <v>8080</v>
      </c>
      <c r="AI100" s="57">
        <v>38.020000000000003</v>
      </c>
      <c r="AJ100" s="57">
        <v>47.56</v>
      </c>
      <c r="AK100" s="57">
        <v>-41.63</v>
      </c>
      <c r="AL100" s="57">
        <v>5.93</v>
      </c>
    </row>
    <row r="101" spans="12:38" x14ac:dyDescent="0.3">
      <c r="L101" s="45"/>
      <c r="O101" s="41"/>
      <c r="S101" s="42"/>
      <c r="T101" s="42"/>
      <c r="U101" s="42"/>
      <c r="V101" s="42"/>
      <c r="W101" s="42"/>
      <c r="AA101" s="42"/>
      <c r="AB101" s="25">
        <v>41373</v>
      </c>
      <c r="AC101" s="6">
        <v>132.69999999999999</v>
      </c>
      <c r="AD101" s="6">
        <v>132.32</v>
      </c>
      <c r="AE101" s="6"/>
      <c r="AF101" s="6">
        <v>190</v>
      </c>
      <c r="AG101" s="25">
        <v>41373</v>
      </c>
      <c r="AH101" s="46">
        <v>8510</v>
      </c>
      <c r="AI101" s="57">
        <v>28.14</v>
      </c>
      <c r="AJ101" s="57">
        <v>49.85</v>
      </c>
      <c r="AK101" s="57">
        <v>-38.49</v>
      </c>
      <c r="AL101" s="57">
        <v>11.36</v>
      </c>
    </row>
    <row r="102" spans="12:38" x14ac:dyDescent="0.3">
      <c r="L102" s="45"/>
      <c r="O102" s="41"/>
      <c r="S102" s="42"/>
      <c r="T102" s="42"/>
      <c r="U102" s="42"/>
      <c r="V102" s="42"/>
      <c r="W102" s="42"/>
      <c r="AA102" s="42"/>
      <c r="AB102" s="25">
        <v>41372</v>
      </c>
      <c r="AC102" s="6">
        <v>132.69999999999999</v>
      </c>
      <c r="AD102" s="6">
        <v>132.32</v>
      </c>
      <c r="AE102" s="6"/>
      <c r="AF102" s="6">
        <v>190</v>
      </c>
      <c r="AG102" s="25">
        <v>41372</v>
      </c>
      <c r="AH102" s="46">
        <v>8580</v>
      </c>
      <c r="AI102" s="57">
        <v>27.72</v>
      </c>
      <c r="AJ102" s="57">
        <v>49.59</v>
      </c>
      <c r="AK102" s="57">
        <v>-38.880000000000003</v>
      </c>
      <c r="AL102" s="57">
        <v>10.71</v>
      </c>
    </row>
    <row r="103" spans="12:38" x14ac:dyDescent="0.3">
      <c r="L103" s="45"/>
      <c r="O103" s="41"/>
      <c r="S103" s="42"/>
      <c r="T103" s="42"/>
      <c r="U103" s="42"/>
      <c r="V103" s="42"/>
      <c r="W103" s="42"/>
      <c r="AA103" s="42"/>
      <c r="AB103" s="25">
        <v>41369</v>
      </c>
      <c r="AC103" s="6">
        <v>132.69999999999999</v>
      </c>
      <c r="AD103" s="6">
        <v>132.32</v>
      </c>
      <c r="AE103" s="6"/>
      <c r="AF103" s="6">
        <v>190</v>
      </c>
      <c r="AG103" s="25">
        <v>41369</v>
      </c>
      <c r="AH103" s="46">
        <v>8340</v>
      </c>
      <c r="AI103" s="57">
        <v>24.26</v>
      </c>
      <c r="AJ103" s="57">
        <v>50.05</v>
      </c>
      <c r="AK103" s="57">
        <v>-42.64</v>
      </c>
      <c r="AL103" s="57">
        <v>7.4099999999999966</v>
      </c>
    </row>
    <row r="104" spans="12:38" x14ac:dyDescent="0.3">
      <c r="L104" s="45"/>
      <c r="O104" s="42"/>
      <c r="S104" s="42"/>
      <c r="T104" s="42"/>
      <c r="U104" s="42"/>
      <c r="V104" s="42"/>
      <c r="W104" s="42"/>
      <c r="AA104" s="42"/>
      <c r="AB104" s="25">
        <v>41368</v>
      </c>
      <c r="AC104" s="6">
        <v>132.69999999999999</v>
      </c>
      <c r="AD104" s="6">
        <v>132.32</v>
      </c>
      <c r="AE104" s="6"/>
      <c r="AF104" s="6">
        <v>190</v>
      </c>
      <c r="AG104" s="25">
        <v>41368</v>
      </c>
      <c r="AH104" s="46">
        <v>8340</v>
      </c>
      <c r="AI104" s="57">
        <v>28.28</v>
      </c>
      <c r="AJ104" s="57">
        <v>39.51</v>
      </c>
      <c r="AK104" s="57">
        <v>-34.64</v>
      </c>
      <c r="AL104" s="57">
        <v>4.8699999999999974</v>
      </c>
    </row>
    <row r="105" spans="12:38" x14ac:dyDescent="0.3">
      <c r="L105" s="45"/>
      <c r="O105" s="42"/>
      <c r="S105" s="42"/>
      <c r="T105" s="42"/>
      <c r="U105" s="42"/>
      <c r="V105" s="42"/>
      <c r="W105" s="42"/>
      <c r="AA105" s="42"/>
      <c r="AB105" s="25">
        <v>41367</v>
      </c>
      <c r="AC105" s="6">
        <v>132.33000000000001</v>
      </c>
      <c r="AD105" s="6">
        <v>131.86000000000001</v>
      </c>
      <c r="AE105" s="6"/>
      <c r="AF105" s="6">
        <v>190</v>
      </c>
      <c r="AG105" s="25">
        <v>41367</v>
      </c>
      <c r="AH105" s="46">
        <v>8310</v>
      </c>
      <c r="AI105" s="57">
        <v>28.5</v>
      </c>
      <c r="AJ105" s="57">
        <v>33.92</v>
      </c>
      <c r="AK105" s="57">
        <v>-30.88</v>
      </c>
      <c r="AL105" s="57">
        <v>3.0400000000000027</v>
      </c>
    </row>
    <row r="106" spans="12:38" x14ac:dyDescent="0.3">
      <c r="L106" s="45"/>
      <c r="O106" s="42"/>
      <c r="S106" s="42"/>
      <c r="T106" s="42"/>
      <c r="U106" s="42"/>
      <c r="V106" s="42"/>
      <c r="W106" s="42"/>
      <c r="AA106" s="42"/>
      <c r="AB106" s="25">
        <v>41366</v>
      </c>
      <c r="AC106" s="6">
        <v>132.13</v>
      </c>
      <c r="AD106" s="6">
        <v>131.6</v>
      </c>
      <c r="AE106" s="6"/>
      <c r="AF106" s="6">
        <v>190</v>
      </c>
      <c r="AG106" s="25">
        <v>41366</v>
      </c>
      <c r="AH106" s="46">
        <v>8090</v>
      </c>
      <c r="AI106" s="57">
        <v>27.57</v>
      </c>
      <c r="AJ106" s="57">
        <v>27.22</v>
      </c>
      <c r="AK106" s="57">
        <v>-29.71</v>
      </c>
      <c r="AL106" s="57">
        <v>-2.490000000000002</v>
      </c>
    </row>
    <row r="107" spans="12:38" x14ac:dyDescent="0.3">
      <c r="L107" s="45"/>
      <c r="O107" s="42"/>
      <c r="S107" s="42"/>
      <c r="T107" s="42"/>
      <c r="U107" s="42"/>
      <c r="V107" s="42"/>
      <c r="W107" s="42"/>
      <c r="AA107" s="42"/>
      <c r="AB107" s="25">
        <v>41365</v>
      </c>
      <c r="AC107" s="6">
        <v>132.21</v>
      </c>
      <c r="AD107" s="6">
        <v>129.78</v>
      </c>
      <c r="AE107" s="6"/>
      <c r="AF107" s="6">
        <v>190</v>
      </c>
      <c r="AG107" s="25">
        <v>41365</v>
      </c>
      <c r="AH107" s="46">
        <v>8030</v>
      </c>
      <c r="AI107" s="57">
        <v>27.68</v>
      </c>
      <c r="AJ107" s="57">
        <v>25.5</v>
      </c>
      <c r="AK107" s="57">
        <v>-30.9</v>
      </c>
      <c r="AL107" s="57">
        <v>-5.3999999999999986</v>
      </c>
    </row>
    <row r="108" spans="12:38" x14ac:dyDescent="0.3">
      <c r="L108" s="45"/>
      <c r="O108" s="42"/>
      <c r="S108" s="42"/>
      <c r="T108" s="42"/>
      <c r="U108" s="42"/>
      <c r="V108" s="42"/>
      <c r="W108" s="42"/>
      <c r="AA108" s="42"/>
      <c r="AB108" s="25">
        <v>41362</v>
      </c>
      <c r="AC108" s="6">
        <v>130.66999999999999</v>
      </c>
      <c r="AD108" s="6">
        <v>129.81</v>
      </c>
      <c r="AE108" s="6"/>
      <c r="AF108" s="6">
        <v>190</v>
      </c>
      <c r="AG108" s="25">
        <v>41362</v>
      </c>
      <c r="AH108" s="46">
        <v>8160</v>
      </c>
      <c r="AI108" s="57">
        <v>28.4</v>
      </c>
      <c r="AJ108" s="57">
        <v>24.69</v>
      </c>
      <c r="AK108" s="57">
        <v>-29.19</v>
      </c>
      <c r="AL108" s="57">
        <v>-4.5</v>
      </c>
    </row>
    <row r="109" spans="12:38" x14ac:dyDescent="0.3">
      <c r="L109" s="43"/>
      <c r="O109" s="42"/>
      <c r="S109" s="42"/>
      <c r="T109" s="42"/>
      <c r="U109" s="42"/>
      <c r="V109" s="42"/>
      <c r="W109" s="42"/>
      <c r="AA109" s="42"/>
      <c r="AB109" s="25"/>
      <c r="AC109" s="6"/>
      <c r="AD109" s="6"/>
      <c r="AE109" s="6"/>
      <c r="AF109" s="6">
        <v>190</v>
      </c>
      <c r="AG109" s="25">
        <v>0</v>
      </c>
      <c r="AH109" s="46">
        <v>0</v>
      </c>
      <c r="AI109" s="57">
        <v>0</v>
      </c>
      <c r="AJ109" s="57">
        <v>0</v>
      </c>
      <c r="AK109" s="57">
        <v>0</v>
      </c>
      <c r="AL109" s="57">
        <v>0</v>
      </c>
    </row>
    <row r="117" spans="30:38" x14ac:dyDescent="0.3">
      <c r="AD117" s="6"/>
      <c r="AE117" s="6"/>
      <c r="AF117" s="6"/>
      <c r="AG117" s="6"/>
      <c r="AH117" s="6"/>
      <c r="AI117" s="26"/>
      <c r="AJ117" s="26"/>
      <c r="AK117" s="26"/>
      <c r="AL117" s="27"/>
    </row>
    <row r="118" spans="30:38" x14ac:dyDescent="0.3">
      <c r="AD118" s="6"/>
      <c r="AE118" s="6"/>
      <c r="AF118" s="6"/>
      <c r="AG118" s="6"/>
      <c r="AH118" s="6"/>
      <c r="AI118" s="26"/>
      <c r="AJ118" s="26"/>
      <c r="AK118" s="26"/>
      <c r="AL118" s="27"/>
    </row>
    <row r="119" spans="30:38" x14ac:dyDescent="0.3">
      <c r="AD119" s="6"/>
      <c r="AE119" s="6"/>
      <c r="AF119" s="6"/>
      <c r="AG119" s="6"/>
      <c r="AH119" s="6"/>
      <c r="AI119" s="26"/>
      <c r="AJ119" s="26"/>
      <c r="AK119" s="26"/>
      <c r="AL119" s="27"/>
    </row>
    <row r="120" spans="30:38" x14ac:dyDescent="0.3">
      <c r="AD120" s="6"/>
      <c r="AE120" s="6"/>
      <c r="AF120" s="6"/>
      <c r="AG120" s="6"/>
      <c r="AH120" s="6"/>
      <c r="AI120" s="26"/>
      <c r="AJ120" s="26"/>
      <c r="AK120" s="26"/>
      <c r="AL120" s="27"/>
    </row>
    <row r="121" spans="30:38" x14ac:dyDescent="0.3">
      <c r="AD121" s="6"/>
      <c r="AE121" s="6"/>
      <c r="AF121" s="6"/>
      <c r="AG121" s="6"/>
      <c r="AH121" s="6"/>
      <c r="AI121" s="26"/>
      <c r="AJ121" s="26"/>
      <c r="AK121" s="26"/>
      <c r="AL121" s="27"/>
    </row>
    <row r="122" spans="30:38" x14ac:dyDescent="0.3">
      <c r="AD122" s="6"/>
      <c r="AE122" s="6"/>
      <c r="AF122" s="6"/>
      <c r="AG122" s="6"/>
      <c r="AH122" s="6"/>
      <c r="AI122" s="26"/>
      <c r="AJ122" s="26"/>
      <c r="AK122" s="26"/>
      <c r="AL122" s="27"/>
    </row>
    <row r="123" spans="30:38" x14ac:dyDescent="0.3">
      <c r="AD123" s="6"/>
      <c r="AE123" s="6"/>
      <c r="AF123" s="6"/>
      <c r="AG123" s="6"/>
      <c r="AH123" s="6"/>
      <c r="AI123" s="26"/>
      <c r="AJ123" s="26"/>
      <c r="AK123" s="26"/>
      <c r="AL123" s="27"/>
    </row>
    <row r="124" spans="30:38" x14ac:dyDescent="0.3">
      <c r="AD124" s="6"/>
      <c r="AE124" s="6"/>
      <c r="AF124" s="6"/>
      <c r="AG124" s="6"/>
      <c r="AH124" s="6"/>
      <c r="AI124" s="26"/>
      <c r="AJ124" s="26"/>
      <c r="AK124" s="26"/>
      <c r="AL124" s="27"/>
    </row>
    <row r="125" spans="30:38" x14ac:dyDescent="0.3">
      <c r="AD125" s="6"/>
      <c r="AE125" s="6"/>
      <c r="AF125" s="6"/>
      <c r="AG125" s="6"/>
      <c r="AH125" s="6"/>
      <c r="AI125" s="26"/>
      <c r="AJ125" s="26"/>
      <c r="AK125" s="26"/>
      <c r="AL125" s="27"/>
    </row>
    <row r="126" spans="30:38" x14ac:dyDescent="0.3">
      <c r="AD126" s="6"/>
      <c r="AE126" s="6"/>
      <c r="AF126" s="6"/>
      <c r="AG126" s="6"/>
      <c r="AH126" s="6"/>
      <c r="AI126" s="26"/>
      <c r="AJ126" s="26"/>
      <c r="AK126" s="26"/>
      <c r="AL126" s="27"/>
    </row>
    <row r="127" spans="30:38" x14ac:dyDescent="0.3">
      <c r="AD127" s="6"/>
      <c r="AE127" s="6"/>
      <c r="AF127" s="6"/>
      <c r="AG127" s="6"/>
      <c r="AH127" s="6"/>
      <c r="AI127" s="26"/>
      <c r="AJ127" s="26"/>
      <c r="AK127" s="26"/>
      <c r="AL127" s="27"/>
    </row>
    <row r="128" spans="30:38" x14ac:dyDescent="0.3">
      <c r="AD128" s="6"/>
      <c r="AE128" s="6"/>
      <c r="AF128" s="6"/>
      <c r="AG128" s="6"/>
      <c r="AH128" s="6"/>
      <c r="AI128" s="26"/>
      <c r="AJ128" s="26"/>
      <c r="AK128" s="26"/>
      <c r="AL128" s="27"/>
    </row>
    <row r="129" spans="30:38" x14ac:dyDescent="0.3">
      <c r="AD129" s="6"/>
      <c r="AE129" s="6"/>
      <c r="AF129" s="6"/>
      <c r="AG129" s="6"/>
      <c r="AH129" s="6"/>
      <c r="AI129" s="26"/>
      <c r="AJ129" s="26"/>
      <c r="AK129" s="26"/>
      <c r="AL129" s="27"/>
    </row>
    <row r="130" spans="30:38" x14ac:dyDescent="0.3">
      <c r="AD130" s="6"/>
      <c r="AE130" s="6"/>
      <c r="AF130" s="6"/>
      <c r="AG130" s="6"/>
      <c r="AH130" s="6"/>
      <c r="AI130" s="26"/>
      <c r="AJ130" s="26"/>
      <c r="AK130" s="26"/>
      <c r="AL130" s="27"/>
    </row>
    <row r="131" spans="30:38" x14ac:dyDescent="0.3">
      <c r="AD131" s="6"/>
      <c r="AE131" s="6"/>
      <c r="AF131" s="6"/>
      <c r="AG131" s="6"/>
      <c r="AH131" s="6"/>
      <c r="AI131" s="26"/>
      <c r="AJ131" s="26"/>
      <c r="AK131" s="26"/>
      <c r="AL131" s="27"/>
    </row>
    <row r="132" spans="30:38" x14ac:dyDescent="0.3">
      <c r="AD132" s="6"/>
      <c r="AE132" s="6"/>
      <c r="AF132" s="6"/>
      <c r="AG132" s="6"/>
      <c r="AH132" s="6"/>
      <c r="AI132" s="26"/>
      <c r="AJ132" s="26"/>
      <c r="AK132" s="26"/>
      <c r="AL132" s="27"/>
    </row>
    <row r="133" spans="30:38" x14ac:dyDescent="0.3">
      <c r="AD133" s="6"/>
      <c r="AE133" s="6"/>
      <c r="AF133" s="6"/>
      <c r="AG133" s="6"/>
      <c r="AH133" s="6"/>
      <c r="AI133" s="26"/>
      <c r="AJ133" s="26"/>
      <c r="AK133" s="26"/>
      <c r="AL133" s="27"/>
    </row>
    <row r="134" spans="30:38" x14ac:dyDescent="0.3">
      <c r="AD134" s="6"/>
      <c r="AE134" s="6"/>
      <c r="AF134" s="6"/>
      <c r="AG134" s="6"/>
      <c r="AH134" s="6"/>
      <c r="AI134" s="26"/>
      <c r="AJ134" s="26"/>
      <c r="AK134" s="26"/>
      <c r="AL134" s="27"/>
    </row>
    <row r="135" spans="30:38" x14ac:dyDescent="0.3">
      <c r="AD135" s="6"/>
      <c r="AE135" s="6"/>
      <c r="AF135" s="6"/>
      <c r="AG135" s="6"/>
      <c r="AH135" s="6"/>
      <c r="AI135" s="26"/>
      <c r="AJ135" s="26"/>
      <c r="AK135" s="26"/>
      <c r="AL135" s="27"/>
    </row>
    <row r="136" spans="30:38" x14ac:dyDescent="0.3">
      <c r="AD136" s="6"/>
      <c r="AE136" s="6"/>
      <c r="AF136" s="6"/>
      <c r="AG136" s="6"/>
      <c r="AH136" s="6"/>
      <c r="AI136" s="26"/>
      <c r="AJ136" s="26"/>
      <c r="AK136" s="26"/>
      <c r="AL136" s="27"/>
    </row>
    <row r="137" spans="30:38" x14ac:dyDescent="0.3">
      <c r="AD137" s="6"/>
      <c r="AE137" s="6"/>
      <c r="AF137" s="6"/>
      <c r="AG137" s="6"/>
      <c r="AH137" s="6"/>
      <c r="AI137" s="26"/>
      <c r="AJ137" s="26"/>
      <c r="AK137" s="26"/>
      <c r="AL137" s="27"/>
    </row>
    <row r="138" spans="30:38" x14ac:dyDescent="0.3">
      <c r="AD138" s="6"/>
      <c r="AE138" s="6"/>
      <c r="AF138" s="6"/>
      <c r="AG138" s="6"/>
      <c r="AH138" s="6"/>
      <c r="AI138" s="26"/>
      <c r="AJ138" s="26"/>
      <c r="AK138" s="26"/>
      <c r="AL138" s="27"/>
    </row>
    <row r="139" spans="30:38" x14ac:dyDescent="0.3">
      <c r="AD139" s="6"/>
      <c r="AE139" s="6"/>
      <c r="AF139" s="6"/>
      <c r="AG139" s="6"/>
      <c r="AH139" s="6"/>
      <c r="AI139" s="26"/>
      <c r="AJ139" s="26"/>
      <c r="AK139" s="26"/>
      <c r="AL139" s="27"/>
    </row>
    <row r="140" spans="30:38" x14ac:dyDescent="0.3">
      <c r="AD140" s="6"/>
      <c r="AE140" s="6"/>
      <c r="AF140" s="6"/>
      <c r="AG140" s="6"/>
      <c r="AH140" s="6"/>
      <c r="AI140" s="26"/>
      <c r="AJ140" s="26"/>
      <c r="AK140" s="26"/>
      <c r="AL140" s="27"/>
    </row>
    <row r="141" spans="30:38" x14ac:dyDescent="0.3">
      <c r="AD141" s="6"/>
      <c r="AE141" s="6"/>
      <c r="AF141" s="6"/>
      <c r="AG141" s="6"/>
      <c r="AH141" s="6"/>
      <c r="AI141" s="26"/>
      <c r="AJ141" s="26"/>
      <c r="AK141" s="26"/>
      <c r="AL141" s="27"/>
    </row>
    <row r="142" spans="30:38" x14ac:dyDescent="0.3">
      <c r="AD142" s="6"/>
      <c r="AE142" s="6"/>
      <c r="AF142" s="6"/>
      <c r="AG142" s="6"/>
      <c r="AH142" s="6"/>
      <c r="AI142" s="26"/>
      <c r="AJ142" s="26"/>
      <c r="AK142" s="26"/>
      <c r="AL142" s="27"/>
    </row>
    <row r="143" spans="30:38" x14ac:dyDescent="0.3">
      <c r="AD143" s="6"/>
      <c r="AE143" s="6"/>
      <c r="AF143" s="6"/>
      <c r="AG143" s="6"/>
      <c r="AH143" s="6"/>
      <c r="AI143" s="26"/>
      <c r="AJ143" s="26"/>
      <c r="AK143" s="26"/>
      <c r="AL143" s="27"/>
    </row>
    <row r="144" spans="30:38" x14ac:dyDescent="0.3">
      <c r="AD144" s="6"/>
      <c r="AE144" s="6"/>
      <c r="AF144" s="6"/>
      <c r="AG144" s="6"/>
      <c r="AH144" s="6"/>
      <c r="AI144" s="26"/>
      <c r="AJ144" s="26"/>
      <c r="AK144" s="26"/>
      <c r="AL144" s="27"/>
    </row>
    <row r="145" spans="30:38" x14ac:dyDescent="0.3">
      <c r="AD145" s="6"/>
      <c r="AE145" s="6"/>
      <c r="AF145" s="6"/>
      <c r="AG145" s="6"/>
      <c r="AH145" s="6"/>
      <c r="AI145" s="26"/>
      <c r="AJ145" s="26"/>
      <c r="AK145" s="26"/>
      <c r="AL145" s="27"/>
    </row>
    <row r="146" spans="30:38" x14ac:dyDescent="0.3">
      <c r="AD146" s="6"/>
      <c r="AE146" s="6"/>
      <c r="AF146" s="6"/>
      <c r="AG146" s="6"/>
      <c r="AH146" s="6"/>
      <c r="AI146" s="26"/>
      <c r="AJ146" s="26"/>
      <c r="AK146" s="26"/>
      <c r="AL146" s="27"/>
    </row>
    <row r="147" spans="30:38" x14ac:dyDescent="0.3">
      <c r="AD147" s="6"/>
      <c r="AE147" s="6"/>
      <c r="AF147" s="6"/>
      <c r="AG147" s="6"/>
      <c r="AH147" s="6"/>
      <c r="AI147" s="26"/>
      <c r="AJ147" s="26"/>
      <c r="AK147" s="26"/>
      <c r="AL147" s="27"/>
    </row>
    <row r="148" spans="30:38" x14ac:dyDescent="0.3">
      <c r="AD148" s="6"/>
      <c r="AE148" s="6"/>
      <c r="AF148" s="6"/>
      <c r="AG148" s="6"/>
      <c r="AH148" s="6"/>
      <c r="AI148" s="26"/>
      <c r="AJ148" s="26"/>
      <c r="AK148" s="26"/>
      <c r="AL148" s="27"/>
    </row>
    <row r="149" spans="30:38" x14ac:dyDescent="0.3">
      <c r="AD149" s="6"/>
      <c r="AE149" s="6"/>
      <c r="AF149" s="6"/>
      <c r="AG149" s="6"/>
      <c r="AH149" s="6"/>
      <c r="AI149" s="26"/>
      <c r="AJ149" s="26"/>
      <c r="AK149" s="26"/>
      <c r="AL149" s="27"/>
    </row>
    <row r="150" spans="30:38" x14ac:dyDescent="0.3">
      <c r="AD150" s="6"/>
      <c r="AE150" s="6"/>
      <c r="AF150" s="6"/>
      <c r="AG150" s="6"/>
      <c r="AH150" s="6"/>
      <c r="AI150" s="26"/>
      <c r="AJ150" s="26"/>
      <c r="AK150" s="26"/>
      <c r="AL150" s="27"/>
    </row>
    <row r="151" spans="30:38" x14ac:dyDescent="0.3">
      <c r="AD151" s="6"/>
      <c r="AE151" s="6"/>
      <c r="AF151" s="6"/>
      <c r="AG151" s="6"/>
      <c r="AH151" s="6"/>
      <c r="AI151" s="26"/>
      <c r="AJ151" s="26"/>
      <c r="AK151" s="26"/>
      <c r="AL151" s="27"/>
    </row>
    <row r="152" spans="30:38" x14ac:dyDescent="0.3">
      <c r="AD152" s="6"/>
      <c r="AE152" s="6"/>
      <c r="AF152" s="6"/>
      <c r="AG152" s="6"/>
      <c r="AH152" s="6"/>
      <c r="AI152" s="26"/>
      <c r="AJ152" s="26"/>
      <c r="AK152" s="26"/>
      <c r="AL152" s="27"/>
    </row>
    <row r="153" spans="30:38" x14ac:dyDescent="0.3">
      <c r="AD153" s="6"/>
      <c r="AE153" s="6"/>
      <c r="AF153" s="6"/>
      <c r="AG153" s="6"/>
      <c r="AH153" s="6"/>
      <c r="AI153" s="26"/>
      <c r="AJ153" s="26"/>
      <c r="AK153" s="26"/>
      <c r="AL153" s="27"/>
    </row>
    <row r="154" spans="30:38" x14ac:dyDescent="0.3">
      <c r="AD154" s="6"/>
      <c r="AE154" s="6"/>
      <c r="AF154" s="6"/>
      <c r="AG154" s="6"/>
      <c r="AH154" s="6"/>
      <c r="AI154" s="26"/>
      <c r="AJ154" s="26"/>
      <c r="AK154" s="26"/>
      <c r="AL154" s="27"/>
    </row>
    <row r="155" spans="30:38" x14ac:dyDescent="0.3">
      <c r="AD155" s="6"/>
      <c r="AE155" s="6"/>
      <c r="AF155" s="6"/>
      <c r="AG155" s="6"/>
      <c r="AH155" s="6"/>
      <c r="AI155" s="26"/>
      <c r="AJ155" s="26"/>
      <c r="AK155" s="26"/>
      <c r="AL155" s="27"/>
    </row>
    <row r="156" spans="30:38" x14ac:dyDescent="0.3">
      <c r="AD156" s="6"/>
      <c r="AE156" s="6"/>
      <c r="AF156" s="6"/>
      <c r="AG156" s="6"/>
      <c r="AH156" s="6"/>
      <c r="AI156" s="26"/>
      <c r="AJ156" s="26"/>
      <c r="AK156" s="26"/>
      <c r="AL156" s="27"/>
    </row>
    <row r="157" spans="30:38" x14ac:dyDescent="0.3">
      <c r="AD157" s="6"/>
      <c r="AE157" s="6"/>
      <c r="AF157" s="6"/>
      <c r="AG157" s="6"/>
      <c r="AH157" s="6"/>
      <c r="AI157" s="26"/>
      <c r="AJ157" s="26"/>
      <c r="AK157" s="26"/>
      <c r="AL157" s="27"/>
    </row>
    <row r="158" spans="30:38" x14ac:dyDescent="0.3">
      <c r="AD158" s="6"/>
      <c r="AE158" s="6"/>
      <c r="AF158" s="6"/>
      <c r="AG158" s="6"/>
      <c r="AH158" s="6"/>
      <c r="AI158" s="26"/>
      <c r="AJ158" s="26"/>
      <c r="AK158" s="26"/>
      <c r="AL158" s="27"/>
    </row>
    <row r="159" spans="30:38" x14ac:dyDescent="0.3">
      <c r="AD159" s="6"/>
      <c r="AE159" s="6"/>
      <c r="AF159" s="6"/>
      <c r="AG159" s="6"/>
      <c r="AH159" s="6"/>
      <c r="AI159" s="26"/>
      <c r="AJ159" s="26"/>
      <c r="AK159" s="26"/>
      <c r="AL159" s="27"/>
    </row>
    <row r="160" spans="30:38" x14ac:dyDescent="0.3">
      <c r="AD160" s="6"/>
      <c r="AE160" s="6"/>
      <c r="AF160" s="6"/>
      <c r="AG160" s="6"/>
      <c r="AH160" s="6"/>
      <c r="AI160" s="26"/>
      <c r="AJ160" s="26"/>
      <c r="AK160" s="26"/>
      <c r="AL160" s="27"/>
    </row>
    <row r="161" spans="30:38" x14ac:dyDescent="0.3">
      <c r="AD161" s="6"/>
      <c r="AE161" s="6"/>
      <c r="AF161" s="6"/>
      <c r="AG161" s="6"/>
      <c r="AH161" s="6"/>
      <c r="AI161" s="26"/>
      <c r="AJ161" s="26"/>
      <c r="AK161" s="26"/>
      <c r="AL161" s="27"/>
    </row>
    <row r="162" spans="30:38" x14ac:dyDescent="0.3">
      <c r="AD162" s="6"/>
      <c r="AE162" s="6"/>
      <c r="AF162" s="6"/>
      <c r="AG162" s="6"/>
      <c r="AH162" s="6"/>
      <c r="AI162" s="26"/>
      <c r="AJ162" s="26"/>
      <c r="AK162" s="26"/>
      <c r="AL162" s="27"/>
    </row>
    <row r="163" spans="30:38" x14ac:dyDescent="0.3">
      <c r="AD163" s="6"/>
      <c r="AE163" s="6"/>
      <c r="AF163" s="6"/>
      <c r="AG163" s="6"/>
      <c r="AH163" s="6"/>
      <c r="AI163" s="26"/>
      <c r="AJ163" s="26"/>
      <c r="AK163" s="26"/>
      <c r="AL163" s="27"/>
    </row>
    <row r="164" spans="30:38" x14ac:dyDescent="0.3">
      <c r="AD164" s="6"/>
      <c r="AE164" s="6"/>
      <c r="AF164" s="6"/>
      <c r="AG164" s="6"/>
      <c r="AH164" s="6"/>
      <c r="AI164" s="26"/>
      <c r="AJ164" s="26"/>
      <c r="AK164" s="26"/>
      <c r="AL164" s="27"/>
    </row>
    <row r="165" spans="30:38" x14ac:dyDescent="0.3">
      <c r="AD165" s="6"/>
      <c r="AE165" s="6"/>
      <c r="AF165" s="6"/>
      <c r="AG165" s="6"/>
      <c r="AH165" s="6"/>
      <c r="AI165" s="26"/>
      <c r="AJ165" s="26"/>
      <c r="AK165" s="26"/>
      <c r="AL165" s="27"/>
    </row>
    <row r="166" spans="30:38" x14ac:dyDescent="0.3">
      <c r="AD166" s="6"/>
      <c r="AE166" s="6"/>
      <c r="AF166" s="6"/>
      <c r="AG166" s="6"/>
      <c r="AH166" s="6"/>
      <c r="AI166" s="26"/>
      <c r="AJ166" s="26"/>
      <c r="AK166" s="26"/>
      <c r="AL166" s="27"/>
    </row>
    <row r="167" spans="30:38" x14ac:dyDescent="0.3">
      <c r="AD167" s="6"/>
      <c r="AE167" s="6"/>
      <c r="AF167" s="6"/>
      <c r="AG167" s="6"/>
      <c r="AH167" s="6"/>
      <c r="AI167" s="26"/>
      <c r="AJ167" s="26"/>
      <c r="AK167" s="26"/>
      <c r="AL167" s="27"/>
    </row>
    <row r="168" spans="30:38" x14ac:dyDescent="0.3">
      <c r="AD168" s="6"/>
      <c r="AE168" s="6"/>
      <c r="AF168" s="6"/>
      <c r="AG168" s="6"/>
      <c r="AH168" s="6"/>
      <c r="AI168" s="26"/>
      <c r="AJ168" s="26"/>
      <c r="AK168" s="26"/>
      <c r="AL168" s="27"/>
    </row>
    <row r="169" spans="30:38" x14ac:dyDescent="0.3">
      <c r="AD169" s="6"/>
      <c r="AE169" s="6"/>
      <c r="AF169" s="6"/>
      <c r="AG169" s="6"/>
      <c r="AH169" s="6"/>
      <c r="AI169" s="26"/>
      <c r="AJ169" s="26"/>
      <c r="AK169" s="26"/>
      <c r="AL169" s="27"/>
    </row>
    <row r="170" spans="30:38" x14ac:dyDescent="0.3">
      <c r="AD170" s="6"/>
      <c r="AE170" s="6"/>
      <c r="AF170" s="6"/>
      <c r="AG170" s="6"/>
      <c r="AH170" s="6"/>
      <c r="AI170" s="26"/>
      <c r="AJ170" s="26"/>
      <c r="AK170" s="26"/>
      <c r="AL170" s="27"/>
    </row>
    <row r="171" spans="30:38" x14ac:dyDescent="0.3">
      <c r="AD171" s="6"/>
      <c r="AE171" s="6"/>
      <c r="AF171" s="6"/>
      <c r="AG171" s="6"/>
      <c r="AH171" s="6"/>
      <c r="AI171" s="26"/>
      <c r="AJ171" s="26"/>
      <c r="AK171" s="26"/>
      <c r="AL171" s="27"/>
    </row>
    <row r="172" spans="30:38" x14ac:dyDescent="0.3">
      <c r="AD172" s="6"/>
      <c r="AE172" s="6"/>
      <c r="AF172" s="6"/>
      <c r="AG172" s="6"/>
      <c r="AH172" s="6"/>
      <c r="AI172" s="26"/>
      <c r="AJ172" s="26"/>
      <c r="AK172" s="26"/>
      <c r="AL172" s="27"/>
    </row>
    <row r="173" spans="30:38" x14ac:dyDescent="0.3">
      <c r="AD173" s="6"/>
      <c r="AE173" s="6"/>
      <c r="AF173" s="6"/>
      <c r="AG173" s="6"/>
      <c r="AH173" s="6"/>
      <c r="AI173" s="26"/>
      <c r="AJ173" s="26"/>
      <c r="AK173" s="26"/>
      <c r="AL173" s="27"/>
    </row>
    <row r="174" spans="30:38" x14ac:dyDescent="0.3">
      <c r="AD174" s="6"/>
      <c r="AE174" s="6"/>
      <c r="AF174" s="6"/>
      <c r="AG174" s="6"/>
      <c r="AH174" s="6"/>
      <c r="AI174" s="26"/>
      <c r="AJ174" s="26"/>
      <c r="AK174" s="26"/>
      <c r="AL174" s="27"/>
    </row>
    <row r="175" spans="30:38" x14ac:dyDescent="0.3">
      <c r="AD175" s="6"/>
      <c r="AE175" s="6"/>
      <c r="AF175" s="6"/>
      <c r="AG175" s="6"/>
      <c r="AH175" s="6"/>
      <c r="AI175" s="26"/>
      <c r="AJ175" s="26"/>
      <c r="AK175" s="26"/>
      <c r="AL175" s="27"/>
    </row>
    <row r="176" spans="30:38" x14ac:dyDescent="0.3">
      <c r="AD176" s="6"/>
      <c r="AE176" s="6"/>
      <c r="AF176" s="6"/>
      <c r="AG176" s="6"/>
      <c r="AH176" s="6"/>
      <c r="AI176" s="26"/>
      <c r="AJ176" s="26"/>
      <c r="AK176" s="26"/>
      <c r="AL176" s="27"/>
    </row>
    <row r="177" spans="30:38" x14ac:dyDescent="0.3">
      <c r="AD177" s="6"/>
      <c r="AE177" s="6"/>
      <c r="AF177" s="6"/>
      <c r="AG177" s="6"/>
      <c r="AH177" s="6"/>
      <c r="AI177" s="26"/>
      <c r="AJ177" s="26"/>
      <c r="AK177" s="26"/>
      <c r="AL177" s="27"/>
    </row>
    <row r="178" spans="30:38" x14ac:dyDescent="0.3">
      <c r="AD178" s="6"/>
      <c r="AE178" s="6"/>
      <c r="AF178" s="6"/>
      <c r="AG178" s="6"/>
      <c r="AH178" s="6"/>
      <c r="AI178" s="26"/>
      <c r="AJ178" s="26"/>
      <c r="AK178" s="26"/>
      <c r="AL178" s="27"/>
    </row>
    <row r="179" spans="30:38" x14ac:dyDescent="0.3">
      <c r="AD179" s="6"/>
      <c r="AE179" s="6"/>
      <c r="AF179" s="6"/>
      <c r="AG179" s="6"/>
      <c r="AH179" s="6"/>
      <c r="AI179" s="26"/>
      <c r="AJ179" s="26"/>
      <c r="AK179" s="26"/>
      <c r="AL179" s="27"/>
    </row>
    <row r="180" spans="30:38" x14ac:dyDescent="0.3">
      <c r="AD180" s="6"/>
      <c r="AE180" s="6"/>
      <c r="AF180" s="6"/>
      <c r="AG180" s="6"/>
      <c r="AH180" s="6"/>
      <c r="AI180" s="26"/>
      <c r="AJ180" s="26"/>
      <c r="AK180" s="26"/>
      <c r="AL180" s="27"/>
    </row>
    <row r="181" spans="30:38" x14ac:dyDescent="0.3">
      <c r="AD181" s="6"/>
      <c r="AE181" s="6"/>
      <c r="AF181" s="6"/>
      <c r="AG181" s="6"/>
      <c r="AH181" s="6"/>
      <c r="AI181" s="26"/>
      <c r="AJ181" s="26"/>
      <c r="AK181" s="26"/>
      <c r="AL181" s="27"/>
    </row>
    <row r="182" spans="30:38" x14ac:dyDescent="0.3">
      <c r="AD182" s="6"/>
      <c r="AE182" s="6"/>
      <c r="AF182" s="6"/>
      <c r="AG182" s="6"/>
      <c r="AH182" s="6"/>
      <c r="AI182" s="26"/>
      <c r="AJ182" s="26"/>
      <c r="AK182" s="26"/>
      <c r="AL182" s="27"/>
    </row>
    <row r="183" spans="30:38" x14ac:dyDescent="0.3">
      <c r="AD183" s="6"/>
      <c r="AE183" s="6"/>
      <c r="AF183" s="6"/>
      <c r="AG183" s="6"/>
      <c r="AH183" s="6"/>
      <c r="AI183" s="26"/>
      <c r="AJ183" s="26"/>
      <c r="AK183" s="26"/>
      <c r="AL183" s="27"/>
    </row>
    <row r="184" spans="30:38" x14ac:dyDescent="0.3">
      <c r="AD184" s="6"/>
      <c r="AE184" s="6"/>
      <c r="AF184" s="6"/>
      <c r="AG184" s="6"/>
      <c r="AH184" s="6"/>
      <c r="AI184" s="26"/>
      <c r="AJ184" s="26"/>
      <c r="AK184" s="26"/>
      <c r="AL184" s="27"/>
    </row>
    <row r="185" spans="30:38" x14ac:dyDescent="0.3">
      <c r="AD185" s="6"/>
      <c r="AE185" s="6"/>
      <c r="AF185" s="6"/>
      <c r="AG185" s="6"/>
      <c r="AH185" s="6"/>
      <c r="AI185" s="26"/>
      <c r="AJ185" s="26"/>
      <c r="AK185" s="26"/>
      <c r="AL185" s="27"/>
    </row>
    <row r="186" spans="30:38" x14ac:dyDescent="0.3">
      <c r="AD186" s="6"/>
      <c r="AE186" s="6"/>
      <c r="AF186" s="6"/>
      <c r="AG186" s="6"/>
      <c r="AH186" s="6"/>
      <c r="AI186" s="26"/>
      <c r="AJ186" s="26"/>
      <c r="AK186" s="26"/>
      <c r="AL186" s="27"/>
    </row>
    <row r="187" spans="30:38" x14ac:dyDescent="0.3">
      <c r="AD187" s="6"/>
      <c r="AE187" s="6"/>
      <c r="AF187" s="6"/>
      <c r="AG187" s="6"/>
      <c r="AH187" s="6"/>
      <c r="AI187" s="26"/>
      <c r="AJ187" s="26"/>
      <c r="AK187" s="26"/>
      <c r="AL187" s="27"/>
    </row>
    <row r="188" spans="30:38" x14ac:dyDescent="0.3">
      <c r="AD188" s="6"/>
      <c r="AE188" s="6"/>
      <c r="AF188" s="6"/>
      <c r="AG188" s="6"/>
      <c r="AH188" s="6"/>
      <c r="AI188" s="26"/>
      <c r="AJ188" s="26"/>
      <c r="AK188" s="26"/>
      <c r="AL188" s="27"/>
    </row>
    <row r="189" spans="30:38" x14ac:dyDescent="0.3">
      <c r="AD189" s="6"/>
      <c r="AE189" s="6"/>
      <c r="AF189" s="6"/>
      <c r="AG189" s="6"/>
      <c r="AH189" s="6"/>
      <c r="AI189" s="26"/>
      <c r="AJ189" s="26"/>
      <c r="AK189" s="26"/>
      <c r="AL189" s="27"/>
    </row>
    <row r="190" spans="30:38" x14ac:dyDescent="0.3">
      <c r="AD190" s="6"/>
      <c r="AE190" s="6"/>
      <c r="AF190" s="6"/>
      <c r="AG190" s="6"/>
      <c r="AH190" s="6"/>
      <c r="AI190" s="26"/>
      <c r="AJ190" s="26"/>
      <c r="AK190" s="26"/>
      <c r="AL190" s="27"/>
    </row>
    <row r="191" spans="30:38" x14ac:dyDescent="0.3">
      <c r="AD191" s="6"/>
      <c r="AE191" s="6"/>
      <c r="AF191" s="6"/>
      <c r="AG191" s="6"/>
      <c r="AH191" s="6"/>
      <c r="AI191" s="26"/>
      <c r="AJ191" s="26"/>
      <c r="AK191" s="26"/>
      <c r="AL191" s="27"/>
    </row>
    <row r="192" spans="30:38" x14ac:dyDescent="0.3">
      <c r="AD192" s="6"/>
      <c r="AE192" s="6"/>
      <c r="AF192" s="6"/>
      <c r="AG192" s="6"/>
      <c r="AH192" s="6"/>
      <c r="AI192" s="26"/>
      <c r="AJ192" s="26"/>
      <c r="AK192" s="26"/>
      <c r="AL192" s="27"/>
    </row>
    <row r="193" spans="30:38" x14ac:dyDescent="0.3">
      <c r="AD193" s="6"/>
      <c r="AE193" s="6"/>
      <c r="AF193" s="6"/>
      <c r="AG193" s="6"/>
      <c r="AH193" s="6"/>
      <c r="AI193" s="26"/>
      <c r="AJ193" s="26"/>
      <c r="AK193" s="26"/>
      <c r="AL193" s="27"/>
    </row>
    <row r="194" spans="30:38" x14ac:dyDescent="0.3">
      <c r="AD194" s="6"/>
      <c r="AE194" s="6"/>
      <c r="AF194" s="6"/>
      <c r="AG194" s="6"/>
      <c r="AH194" s="6"/>
      <c r="AI194" s="26"/>
      <c r="AJ194" s="26"/>
      <c r="AK194" s="26"/>
      <c r="AL194" s="27"/>
    </row>
    <row r="195" spans="30:38" x14ac:dyDescent="0.3">
      <c r="AD195" s="6"/>
      <c r="AE195" s="6"/>
      <c r="AF195" s="6"/>
      <c r="AG195" s="6"/>
      <c r="AH195" s="6"/>
      <c r="AI195" s="26"/>
      <c r="AJ195" s="26"/>
      <c r="AK195" s="26"/>
      <c r="AL195" s="27"/>
    </row>
    <row r="196" spans="30:38" x14ac:dyDescent="0.3">
      <c r="AD196" s="6"/>
      <c r="AE196" s="6"/>
      <c r="AF196" s="6"/>
      <c r="AG196" s="6"/>
      <c r="AH196" s="6"/>
      <c r="AI196" s="26"/>
      <c r="AJ196" s="26"/>
      <c r="AK196" s="26"/>
      <c r="AL196" s="27"/>
    </row>
    <row r="197" spans="30:38" x14ac:dyDescent="0.3">
      <c r="AD197" s="6"/>
      <c r="AE197" s="6"/>
      <c r="AF197" s="6"/>
      <c r="AG197" s="6"/>
      <c r="AH197" s="6"/>
      <c r="AI197" s="26"/>
      <c r="AJ197" s="26"/>
      <c r="AK197" s="26"/>
      <c r="AL197" s="27"/>
    </row>
    <row r="198" spans="30:38" x14ac:dyDescent="0.3">
      <c r="AD198" s="6"/>
      <c r="AE198" s="6"/>
      <c r="AF198" s="6"/>
      <c r="AG198" s="6"/>
      <c r="AH198" s="6"/>
      <c r="AI198" s="26"/>
      <c r="AJ198" s="26"/>
      <c r="AK198" s="26"/>
      <c r="AL198" s="27"/>
    </row>
    <row r="199" spans="30:38" x14ac:dyDescent="0.3">
      <c r="AD199" s="6"/>
      <c r="AE199" s="6"/>
      <c r="AF199" s="6"/>
      <c r="AG199" s="6"/>
      <c r="AH199" s="6"/>
      <c r="AI199" s="26"/>
      <c r="AJ199" s="26"/>
      <c r="AK199" s="26"/>
      <c r="AL199" s="27"/>
    </row>
    <row r="200" spans="30:38" x14ac:dyDescent="0.3">
      <c r="AD200" s="6"/>
      <c r="AE200" s="6"/>
      <c r="AF200" s="6"/>
      <c r="AG200" s="6"/>
      <c r="AH200" s="6"/>
      <c r="AI200" s="26"/>
      <c r="AJ200" s="26"/>
      <c r="AK200" s="26"/>
      <c r="AL200" s="27"/>
    </row>
    <row r="201" spans="30:38" x14ac:dyDescent="0.3">
      <c r="AD201" s="6"/>
      <c r="AE201" s="6"/>
      <c r="AF201" s="6"/>
      <c r="AG201" s="6"/>
      <c r="AH201" s="6"/>
      <c r="AI201" s="26"/>
      <c r="AJ201" s="26"/>
      <c r="AK201" s="26"/>
      <c r="AL201" s="27"/>
    </row>
    <row r="202" spans="30:38" x14ac:dyDescent="0.3">
      <c r="AD202" s="6"/>
      <c r="AE202" s="6"/>
      <c r="AF202" s="6"/>
      <c r="AG202" s="6"/>
      <c r="AH202" s="6"/>
      <c r="AI202" s="26"/>
      <c r="AJ202" s="26"/>
      <c r="AK202" s="26"/>
      <c r="AL202" s="27"/>
    </row>
    <row r="203" spans="30:38" x14ac:dyDescent="0.3">
      <c r="AD203" s="6"/>
      <c r="AE203" s="6"/>
      <c r="AF203" s="6"/>
      <c r="AG203" s="6"/>
      <c r="AH203" s="6"/>
      <c r="AI203" s="26"/>
      <c r="AJ203" s="26"/>
      <c r="AK203" s="26"/>
      <c r="AL203" s="27"/>
    </row>
    <row r="204" spans="30:38" x14ac:dyDescent="0.3">
      <c r="AD204" s="6"/>
      <c r="AE204" s="6"/>
      <c r="AF204" s="6"/>
      <c r="AG204" s="6"/>
      <c r="AH204" s="6"/>
      <c r="AI204" s="26"/>
      <c r="AJ204" s="26"/>
      <c r="AK204" s="26"/>
      <c r="AL204" s="27"/>
    </row>
    <row r="205" spans="30:38" x14ac:dyDescent="0.3">
      <c r="AD205" s="6"/>
      <c r="AE205" s="6"/>
      <c r="AF205" s="6"/>
      <c r="AG205" s="6"/>
      <c r="AH205" s="6"/>
      <c r="AI205" s="26"/>
      <c r="AJ205" s="26"/>
      <c r="AK205" s="26"/>
      <c r="AL205" s="27"/>
    </row>
    <row r="206" spans="30:38" x14ac:dyDescent="0.3">
      <c r="AD206" s="6"/>
      <c r="AE206" s="6"/>
      <c r="AF206" s="6"/>
      <c r="AG206" s="6"/>
      <c r="AH206" s="6"/>
      <c r="AI206" s="26"/>
      <c r="AJ206" s="26"/>
      <c r="AK206" s="26"/>
      <c r="AL206" s="27"/>
    </row>
    <row r="207" spans="30:38" x14ac:dyDescent="0.3">
      <c r="AD207" s="6"/>
      <c r="AE207" s="6"/>
      <c r="AF207" s="6"/>
      <c r="AG207" s="6"/>
      <c r="AH207" s="6"/>
      <c r="AI207" s="26"/>
      <c r="AJ207" s="26"/>
      <c r="AK207" s="26"/>
      <c r="AL207" s="27"/>
    </row>
    <row r="208" spans="30:38" x14ac:dyDescent="0.3">
      <c r="AD208" s="6"/>
      <c r="AE208" s="6"/>
      <c r="AF208" s="6"/>
      <c r="AG208" s="6"/>
      <c r="AH208" s="6"/>
      <c r="AI208" s="26"/>
      <c r="AJ208" s="26"/>
      <c r="AK208" s="26"/>
      <c r="AL208" s="27"/>
    </row>
    <row r="209" spans="30:38" x14ac:dyDescent="0.3">
      <c r="AD209" s="6"/>
      <c r="AE209" s="6"/>
      <c r="AF209" s="6"/>
      <c r="AG209" s="6"/>
      <c r="AH209" s="6"/>
      <c r="AI209" s="26"/>
      <c r="AJ209" s="26"/>
      <c r="AK209" s="26"/>
      <c r="AL209" s="27"/>
    </row>
    <row r="210" spans="30:38" x14ac:dyDescent="0.3">
      <c r="AD210" s="6"/>
      <c r="AE210" s="6"/>
      <c r="AF210" s="6"/>
      <c r="AG210" s="6"/>
      <c r="AH210" s="6"/>
      <c r="AI210" s="26"/>
      <c r="AJ210" s="26"/>
      <c r="AK210" s="26"/>
      <c r="AL210" s="27"/>
    </row>
    <row r="211" spans="30:38" x14ac:dyDescent="0.3">
      <c r="AD211" s="6"/>
      <c r="AE211" s="6"/>
      <c r="AF211" s="6"/>
      <c r="AG211" s="6"/>
      <c r="AH211" s="6"/>
      <c r="AI211" s="26"/>
      <c r="AJ211" s="26"/>
      <c r="AK211" s="26"/>
      <c r="AL211" s="27"/>
    </row>
    <row r="212" spans="30:38" x14ac:dyDescent="0.3">
      <c r="AD212" s="6"/>
      <c r="AE212" s="6"/>
      <c r="AF212" s="6"/>
      <c r="AG212" s="6"/>
      <c r="AH212" s="6"/>
      <c r="AI212" s="26"/>
      <c r="AJ212" s="26"/>
      <c r="AK212" s="26"/>
      <c r="AL212" s="27"/>
    </row>
    <row r="213" spans="30:38" x14ac:dyDescent="0.3">
      <c r="AD213" s="6"/>
      <c r="AE213" s="6"/>
      <c r="AF213" s="6"/>
      <c r="AG213" s="6"/>
      <c r="AH213" s="6"/>
      <c r="AI213" s="26"/>
      <c r="AJ213" s="26"/>
      <c r="AK213" s="26"/>
      <c r="AL213" s="27"/>
    </row>
    <row r="214" spans="30:38" x14ac:dyDescent="0.3">
      <c r="AD214" s="6"/>
      <c r="AE214" s="6"/>
      <c r="AF214" s="6"/>
      <c r="AG214" s="6"/>
      <c r="AH214" s="6"/>
      <c r="AI214" s="26"/>
      <c r="AJ214" s="26"/>
      <c r="AK214" s="26"/>
      <c r="AL214" s="27"/>
    </row>
    <row r="215" spans="30:38" x14ac:dyDescent="0.3">
      <c r="AD215" s="6"/>
      <c r="AE215" s="6"/>
      <c r="AF215" s="6"/>
      <c r="AG215" s="6"/>
      <c r="AH215" s="6"/>
      <c r="AI215" s="26"/>
      <c r="AJ215" s="26"/>
      <c r="AK215" s="26"/>
      <c r="AL215" s="27"/>
    </row>
    <row r="216" spans="30:38" x14ac:dyDescent="0.3">
      <c r="AD216" s="6"/>
      <c r="AE216" s="6"/>
      <c r="AF216" s="6"/>
      <c r="AG216" s="6"/>
      <c r="AH216" s="6"/>
      <c r="AI216" s="26"/>
      <c r="AJ216" s="26"/>
      <c r="AK216" s="26"/>
      <c r="AL216" s="27"/>
    </row>
    <row r="217" spans="30:38" x14ac:dyDescent="0.3">
      <c r="AD217" s="6"/>
      <c r="AE217" s="6"/>
      <c r="AF217" s="6"/>
      <c r="AG217" s="6"/>
      <c r="AH217" s="6"/>
      <c r="AI217" s="26"/>
      <c r="AJ217" s="26"/>
      <c r="AK217" s="26"/>
      <c r="AL217" s="27"/>
    </row>
    <row r="218" spans="30:38" x14ac:dyDescent="0.3">
      <c r="AD218" s="6"/>
      <c r="AE218" s="6"/>
      <c r="AF218" s="6"/>
      <c r="AG218" s="6"/>
      <c r="AH218" s="6"/>
      <c r="AI218" s="26"/>
      <c r="AJ218" s="26"/>
      <c r="AK218" s="26"/>
      <c r="AL218" s="27"/>
    </row>
    <row r="219" spans="30:38" x14ac:dyDescent="0.3">
      <c r="AD219" s="6"/>
      <c r="AE219" s="6"/>
      <c r="AF219" s="6"/>
      <c r="AG219" s="6"/>
      <c r="AH219" s="6"/>
      <c r="AI219" s="26"/>
      <c r="AJ219" s="26"/>
      <c r="AK219" s="26"/>
      <c r="AL219" s="27"/>
    </row>
    <row r="220" spans="30:38" x14ac:dyDescent="0.3">
      <c r="AD220" s="6"/>
      <c r="AE220" s="6"/>
      <c r="AF220" s="6"/>
      <c r="AG220" s="6"/>
      <c r="AH220" s="6"/>
      <c r="AI220" s="26"/>
      <c r="AJ220" s="26"/>
      <c r="AK220" s="26"/>
      <c r="AL220" s="27"/>
    </row>
    <row r="221" spans="30:38" x14ac:dyDescent="0.3">
      <c r="AD221" s="6"/>
      <c r="AE221" s="6"/>
      <c r="AF221" s="6"/>
      <c r="AG221" s="6"/>
      <c r="AH221" s="6"/>
      <c r="AI221" s="26"/>
      <c r="AJ221" s="26"/>
      <c r="AK221" s="26"/>
      <c r="AL221" s="27"/>
    </row>
    <row r="222" spans="30:38" x14ac:dyDescent="0.3">
      <c r="AD222" s="6"/>
      <c r="AE222" s="6"/>
      <c r="AF222" s="6"/>
      <c r="AG222" s="6"/>
      <c r="AH222" s="6"/>
      <c r="AI222" s="26"/>
      <c r="AJ222" s="26"/>
      <c r="AK222" s="26"/>
      <c r="AL222" s="27"/>
    </row>
    <row r="223" spans="30:38" x14ac:dyDescent="0.3">
      <c r="AD223" s="6"/>
      <c r="AE223" s="6"/>
      <c r="AF223" s="6"/>
      <c r="AG223" s="6"/>
      <c r="AH223" s="6"/>
      <c r="AI223" s="26"/>
      <c r="AJ223" s="26"/>
      <c r="AK223" s="26"/>
      <c r="AL223" s="27"/>
    </row>
    <row r="224" spans="30:38" x14ac:dyDescent="0.3">
      <c r="AD224" s="6"/>
      <c r="AE224" s="6"/>
      <c r="AF224" s="6"/>
      <c r="AG224" s="6"/>
      <c r="AH224" s="6"/>
      <c r="AI224" s="26"/>
      <c r="AJ224" s="26"/>
      <c r="AK224" s="26"/>
      <c r="AL224" s="27"/>
    </row>
    <row r="225" spans="30:38" x14ac:dyDescent="0.3">
      <c r="AD225" s="6"/>
      <c r="AE225" s="6"/>
      <c r="AF225" s="6"/>
      <c r="AG225" s="6"/>
      <c r="AH225" s="6"/>
      <c r="AI225" s="26"/>
      <c r="AJ225" s="26"/>
      <c r="AK225" s="26"/>
      <c r="AL225" s="27"/>
    </row>
    <row r="226" spans="30:38" x14ac:dyDescent="0.3">
      <c r="AD226" s="6"/>
      <c r="AE226" s="6"/>
      <c r="AF226" s="6"/>
      <c r="AG226" s="6"/>
      <c r="AH226" s="6"/>
      <c r="AI226" s="26"/>
      <c r="AJ226" s="26"/>
      <c r="AK226" s="26"/>
      <c r="AL226" s="27"/>
    </row>
    <row r="227" spans="30:38" x14ac:dyDescent="0.3">
      <c r="AD227" s="6"/>
      <c r="AE227" s="6"/>
      <c r="AF227" s="6"/>
      <c r="AG227" s="6"/>
      <c r="AH227" s="6"/>
      <c r="AI227" s="26"/>
      <c r="AJ227" s="26"/>
      <c r="AK227" s="26"/>
      <c r="AL227" s="27"/>
    </row>
    <row r="228" spans="30:38" x14ac:dyDescent="0.3">
      <c r="AD228" s="6"/>
      <c r="AE228" s="6"/>
      <c r="AF228" s="6"/>
      <c r="AG228" s="6"/>
      <c r="AH228" s="6"/>
      <c r="AI228" s="26"/>
      <c r="AJ228" s="26"/>
      <c r="AK228" s="26"/>
      <c r="AL228" s="27"/>
    </row>
    <row r="229" spans="30:38" x14ac:dyDescent="0.3">
      <c r="AD229" s="6"/>
      <c r="AE229" s="6"/>
      <c r="AF229" s="6"/>
      <c r="AG229" s="6"/>
      <c r="AH229" s="6"/>
      <c r="AI229" s="26"/>
      <c r="AJ229" s="26"/>
      <c r="AK229" s="26"/>
      <c r="AL229" s="27"/>
    </row>
    <row r="230" spans="30:38" x14ac:dyDescent="0.3">
      <c r="AD230" s="6"/>
      <c r="AE230" s="6"/>
      <c r="AF230" s="6"/>
      <c r="AG230" s="6"/>
      <c r="AH230" s="6"/>
      <c r="AI230" s="26"/>
      <c r="AJ230" s="26"/>
      <c r="AK230" s="26"/>
      <c r="AL230" s="27"/>
    </row>
    <row r="231" spans="30:38" x14ac:dyDescent="0.3">
      <c r="AD231" s="6"/>
      <c r="AE231" s="6"/>
      <c r="AF231" s="6"/>
      <c r="AG231" s="6"/>
      <c r="AH231" s="6"/>
      <c r="AI231" s="26"/>
      <c r="AJ231" s="26"/>
      <c r="AK231" s="26"/>
      <c r="AL231" s="27"/>
    </row>
    <row r="232" spans="30:38" x14ac:dyDescent="0.3">
      <c r="AD232" s="6"/>
      <c r="AE232" s="6"/>
      <c r="AF232" s="6"/>
      <c r="AG232" s="6"/>
      <c r="AH232" s="6"/>
      <c r="AI232" s="26"/>
      <c r="AJ232" s="26"/>
      <c r="AK232" s="26"/>
      <c r="AL232" s="27"/>
    </row>
    <row r="233" spans="30:38" x14ac:dyDescent="0.3">
      <c r="AD233" s="6"/>
      <c r="AE233" s="6"/>
      <c r="AF233" s="6"/>
      <c r="AG233" s="6"/>
      <c r="AH233" s="6"/>
      <c r="AI233" s="26"/>
      <c r="AJ233" s="26"/>
      <c r="AK233" s="26"/>
      <c r="AL233" s="27"/>
    </row>
    <row r="234" spans="30:38" x14ac:dyDescent="0.3">
      <c r="AD234" s="6"/>
      <c r="AE234" s="6"/>
      <c r="AF234" s="6"/>
      <c r="AG234" s="6"/>
      <c r="AH234" s="6"/>
      <c r="AI234" s="26"/>
      <c r="AJ234" s="26"/>
      <c r="AK234" s="26"/>
      <c r="AL234" s="27"/>
    </row>
    <row r="235" spans="30:38" x14ac:dyDescent="0.3">
      <c r="AD235" s="6"/>
      <c r="AE235" s="6"/>
      <c r="AF235" s="6"/>
      <c r="AG235" s="6"/>
      <c r="AH235" s="6"/>
      <c r="AI235" s="26"/>
      <c r="AJ235" s="26"/>
      <c r="AK235" s="26"/>
      <c r="AL235" s="27"/>
    </row>
    <row r="236" spans="30:38" x14ac:dyDescent="0.3">
      <c r="AD236" s="6"/>
      <c r="AE236" s="6"/>
      <c r="AF236" s="6"/>
      <c r="AG236" s="6"/>
      <c r="AH236" s="6"/>
      <c r="AI236" s="26"/>
      <c r="AJ236" s="26"/>
      <c r="AK236" s="26"/>
      <c r="AL236" s="27"/>
    </row>
    <row r="237" spans="30:38" x14ac:dyDescent="0.3">
      <c r="AD237" s="6"/>
      <c r="AE237" s="6"/>
      <c r="AF237" s="6"/>
      <c r="AG237" s="6"/>
      <c r="AH237" s="6"/>
      <c r="AI237" s="26"/>
      <c r="AJ237" s="26"/>
      <c r="AK237" s="26"/>
      <c r="AL237" s="27"/>
    </row>
    <row r="238" spans="30:38" x14ac:dyDescent="0.3">
      <c r="AD238" s="6"/>
      <c r="AE238" s="6"/>
      <c r="AF238" s="6"/>
      <c r="AG238" s="6"/>
      <c r="AH238" s="6"/>
      <c r="AI238" s="26"/>
      <c r="AJ238" s="26"/>
      <c r="AK238" s="26"/>
      <c r="AL238" s="27"/>
    </row>
    <row r="239" spans="30:38" x14ac:dyDescent="0.3">
      <c r="AD239" s="6"/>
      <c r="AE239" s="6"/>
      <c r="AF239" s="6"/>
      <c r="AG239" s="6"/>
      <c r="AH239" s="6"/>
      <c r="AI239" s="26"/>
      <c r="AJ239" s="26"/>
      <c r="AK239" s="26"/>
      <c r="AL239" s="27"/>
    </row>
    <row r="240" spans="30:38" x14ac:dyDescent="0.3">
      <c r="AD240" s="6"/>
      <c r="AE240" s="6"/>
      <c r="AF240" s="6"/>
      <c r="AG240" s="6"/>
      <c r="AH240" s="6"/>
      <c r="AI240" s="26"/>
      <c r="AJ240" s="26"/>
      <c r="AK240" s="26"/>
      <c r="AL240" s="27"/>
    </row>
    <row r="241" spans="30:38" x14ac:dyDescent="0.3">
      <c r="AD241" s="6"/>
      <c r="AE241" s="6"/>
      <c r="AF241" s="6"/>
      <c r="AG241" s="6"/>
      <c r="AH241" s="6"/>
      <c r="AI241" s="26"/>
      <c r="AJ241" s="26"/>
      <c r="AK241" s="26"/>
      <c r="AL241" s="27"/>
    </row>
    <row r="242" spans="30:38" x14ac:dyDescent="0.3">
      <c r="AD242" s="6"/>
      <c r="AE242" s="6"/>
      <c r="AF242" s="6"/>
      <c r="AG242" s="6"/>
      <c r="AH242" s="6"/>
      <c r="AI242" s="26"/>
      <c r="AJ242" s="26"/>
      <c r="AK242" s="26"/>
      <c r="AL242" s="27"/>
    </row>
    <row r="243" spans="30:38" x14ac:dyDescent="0.3">
      <c r="AD243" s="6"/>
      <c r="AE243" s="6"/>
      <c r="AF243" s="6"/>
      <c r="AG243" s="6"/>
      <c r="AH243" s="6"/>
      <c r="AI243" s="26"/>
      <c r="AJ243" s="26"/>
      <c r="AK243" s="26"/>
      <c r="AL243" s="27"/>
    </row>
    <row r="244" spans="30:38" x14ac:dyDescent="0.3">
      <c r="AD244" s="6"/>
      <c r="AE244" s="6"/>
      <c r="AF244" s="6"/>
      <c r="AG244" s="6"/>
      <c r="AH244" s="6"/>
      <c r="AI244" s="26"/>
      <c r="AJ244" s="26"/>
      <c r="AK244" s="26"/>
      <c r="AL244" s="27"/>
    </row>
    <row r="245" spans="30:38" x14ac:dyDescent="0.3">
      <c r="AD245" s="6"/>
      <c r="AE245" s="6"/>
      <c r="AF245" s="6"/>
      <c r="AG245" s="6"/>
      <c r="AH245" s="6"/>
      <c r="AI245" s="26"/>
      <c r="AJ245" s="26"/>
      <c r="AK245" s="26"/>
      <c r="AL245" s="27"/>
    </row>
    <row r="246" spans="30:38" x14ac:dyDescent="0.3">
      <c r="AD246" s="6"/>
      <c r="AE246" s="6"/>
      <c r="AF246" s="6"/>
      <c r="AG246" s="6"/>
      <c r="AH246" s="6"/>
      <c r="AI246" s="26"/>
      <c r="AJ246" s="26"/>
      <c r="AK246" s="26"/>
      <c r="AL246" s="27"/>
    </row>
    <row r="247" spans="30:38" x14ac:dyDescent="0.3">
      <c r="AD247" s="6"/>
      <c r="AE247" s="6"/>
      <c r="AF247" s="6"/>
      <c r="AG247" s="6"/>
      <c r="AH247" s="6"/>
      <c r="AI247" s="26"/>
      <c r="AJ247" s="26"/>
      <c r="AK247" s="26"/>
      <c r="AL247" s="27"/>
    </row>
    <row r="248" spans="30:38" x14ac:dyDescent="0.3">
      <c r="AD248" s="6"/>
      <c r="AE248" s="6"/>
      <c r="AF248" s="6"/>
      <c r="AG248" s="6"/>
      <c r="AH248" s="6"/>
      <c r="AI248" s="26"/>
      <c r="AJ248" s="26"/>
      <c r="AK248" s="26"/>
      <c r="AL248" s="27"/>
    </row>
    <row r="249" spans="30:38" x14ac:dyDescent="0.3">
      <c r="AD249" s="6"/>
      <c r="AE249" s="6"/>
      <c r="AF249" s="6"/>
      <c r="AG249" s="6"/>
      <c r="AH249" s="6"/>
      <c r="AI249" s="26"/>
      <c r="AJ249" s="26"/>
      <c r="AK249" s="26"/>
      <c r="AL249" s="27"/>
    </row>
    <row r="250" spans="30:38" x14ac:dyDescent="0.3">
      <c r="AD250" s="6"/>
      <c r="AE250" s="6"/>
      <c r="AF250" s="6"/>
      <c r="AG250" s="6"/>
      <c r="AH250" s="6"/>
      <c r="AI250" s="26"/>
      <c r="AJ250" s="26"/>
      <c r="AK250" s="26"/>
      <c r="AL250" s="27"/>
    </row>
    <row r="251" spans="30:38" x14ac:dyDescent="0.3">
      <c r="AD251" s="6"/>
      <c r="AE251" s="6"/>
      <c r="AF251" s="6"/>
      <c r="AG251" s="6"/>
      <c r="AH251" s="6"/>
      <c r="AI251" s="26"/>
      <c r="AJ251" s="26"/>
      <c r="AK251" s="26"/>
      <c r="AL251" s="27"/>
    </row>
    <row r="252" spans="30:38" x14ac:dyDescent="0.3">
      <c r="AD252" s="6"/>
      <c r="AE252" s="6"/>
      <c r="AF252" s="6"/>
      <c r="AG252" s="6"/>
      <c r="AH252" s="6"/>
      <c r="AI252" s="26"/>
      <c r="AJ252" s="26"/>
      <c r="AK252" s="26"/>
      <c r="AL252" s="27"/>
    </row>
    <row r="253" spans="30:38" x14ac:dyDescent="0.3">
      <c r="AD253" s="6"/>
      <c r="AE253" s="6"/>
      <c r="AF253" s="6"/>
      <c r="AG253" s="6"/>
      <c r="AH253" s="6"/>
      <c r="AI253" s="26"/>
      <c r="AJ253" s="26"/>
      <c r="AK253" s="26"/>
      <c r="AL253" s="27"/>
    </row>
    <row r="254" spans="30:38" x14ac:dyDescent="0.3">
      <c r="AD254" s="6"/>
      <c r="AE254" s="6"/>
      <c r="AF254" s="6"/>
      <c r="AG254" s="6"/>
      <c r="AH254" s="6"/>
      <c r="AI254" s="26"/>
      <c r="AJ254" s="26"/>
      <c r="AK254" s="26"/>
      <c r="AL254" s="27"/>
    </row>
    <row r="255" spans="30:38" x14ac:dyDescent="0.3">
      <c r="AD255" s="6"/>
      <c r="AE255" s="6"/>
      <c r="AF255" s="6"/>
      <c r="AG255" s="6"/>
      <c r="AH255" s="6"/>
      <c r="AI255" s="26"/>
      <c r="AJ255" s="26"/>
      <c r="AK255" s="26"/>
      <c r="AL255" s="27"/>
    </row>
    <row r="256" spans="30:38" x14ac:dyDescent="0.3">
      <c r="AD256" s="6"/>
      <c r="AE256" s="6"/>
      <c r="AF256" s="6"/>
      <c r="AG256" s="6"/>
      <c r="AL256" s="27"/>
    </row>
    <row r="257" spans="30:33" x14ac:dyDescent="0.3">
      <c r="AD257" s="6"/>
      <c r="AE257" s="6"/>
      <c r="AF257" s="6"/>
      <c r="AG257" s="6"/>
    </row>
    <row r="258" spans="30:33" x14ac:dyDescent="0.3">
      <c r="AD258" s="6"/>
      <c r="AE258" s="6"/>
      <c r="AF258" s="6"/>
      <c r="AG258" s="6"/>
    </row>
    <row r="259" spans="30:33" x14ac:dyDescent="0.3">
      <c r="AD259" s="6"/>
      <c r="AE259" s="6"/>
      <c r="AF259" s="6"/>
      <c r="AG259" s="6"/>
    </row>
    <row r="260" spans="30:33" x14ac:dyDescent="0.3">
      <c r="AD260" s="6"/>
      <c r="AE260" s="6"/>
      <c r="AF260" s="6"/>
      <c r="AG260" s="6"/>
    </row>
    <row r="261" spans="30:33" x14ac:dyDescent="0.3">
      <c r="AD261" s="6"/>
      <c r="AE261" s="6"/>
      <c r="AF261" s="6"/>
      <c r="AG261" s="6"/>
    </row>
    <row r="262" spans="30:33" x14ac:dyDescent="0.3">
      <c r="AD262" s="6"/>
      <c r="AE262" s="6"/>
      <c r="AF262" s="6"/>
      <c r="AG262" s="6"/>
    </row>
    <row r="263" spans="30:33" x14ac:dyDescent="0.3">
      <c r="AD263" s="6"/>
      <c r="AE263" s="6"/>
      <c r="AF263" s="6"/>
      <c r="AG263" s="6"/>
    </row>
    <row r="264" spans="30:33" x14ac:dyDescent="0.3">
      <c r="AD264" s="6"/>
      <c r="AE264" s="6"/>
      <c r="AF264" s="6"/>
      <c r="AG264" s="6"/>
    </row>
    <row r="265" spans="30:33" x14ac:dyDescent="0.3">
      <c r="AD265" s="6"/>
      <c r="AE265" s="6"/>
      <c r="AF265" s="6"/>
      <c r="AG265" s="6"/>
    </row>
    <row r="266" spans="30:33" x14ac:dyDescent="0.3">
      <c r="AD266" s="6"/>
      <c r="AE266" s="6"/>
      <c r="AF266" s="6"/>
      <c r="AG266" s="6"/>
    </row>
    <row r="267" spans="30:33" x14ac:dyDescent="0.3">
      <c r="AD267" s="6"/>
      <c r="AE267" s="6"/>
      <c r="AF267" s="6"/>
      <c r="AG267" s="6"/>
    </row>
    <row r="268" spans="30:33" x14ac:dyDescent="0.3">
      <c r="AD268" s="6"/>
      <c r="AE268" s="6"/>
      <c r="AF268" s="6"/>
      <c r="AG268" s="6"/>
    </row>
    <row r="269" spans="30:33" x14ac:dyDescent="0.3">
      <c r="AD269" s="6"/>
      <c r="AE269" s="6"/>
      <c r="AF269" s="6"/>
      <c r="AG269" s="6"/>
    </row>
    <row r="270" spans="30:33" x14ac:dyDescent="0.3">
      <c r="AD270" s="6"/>
      <c r="AE270" s="6"/>
      <c r="AF270" s="6"/>
      <c r="AG270" s="6"/>
    </row>
    <row r="271" spans="30:33" x14ac:dyDescent="0.3">
      <c r="AD271" s="6"/>
      <c r="AE271" s="6"/>
      <c r="AF271" s="6"/>
      <c r="AG271" s="6"/>
    </row>
    <row r="272" spans="30:33" x14ac:dyDescent="0.3">
      <c r="AD272" s="6"/>
      <c r="AE272" s="6"/>
      <c r="AF272" s="6"/>
      <c r="AG272" s="6"/>
    </row>
    <row r="273" spans="30:33" x14ac:dyDescent="0.3">
      <c r="AD273" s="6"/>
      <c r="AE273" s="6"/>
      <c r="AF273" s="6"/>
      <c r="AG273" s="6"/>
    </row>
    <row r="274" spans="30:33" x14ac:dyDescent="0.3">
      <c r="AD274" s="6"/>
      <c r="AE274" s="6"/>
      <c r="AF274" s="6"/>
      <c r="AG274" s="6"/>
    </row>
    <row r="275" spans="30:33" x14ac:dyDescent="0.3">
      <c r="AD275" s="6"/>
      <c r="AE275" s="6"/>
      <c r="AF275" s="6"/>
      <c r="AG275" s="6"/>
    </row>
    <row r="276" spans="30:33" x14ac:dyDescent="0.3">
      <c r="AD276" s="6"/>
      <c r="AE276" s="6"/>
      <c r="AF276" s="6"/>
      <c r="AG276" s="6"/>
    </row>
    <row r="277" spans="30:33" x14ac:dyDescent="0.3">
      <c r="AD277" s="6"/>
      <c r="AE277" s="6"/>
      <c r="AF277" s="6"/>
      <c r="AG277" s="6"/>
    </row>
    <row r="278" spans="30:33" x14ac:dyDescent="0.3">
      <c r="AD278" s="6"/>
      <c r="AE278" s="6"/>
      <c r="AF278" s="6"/>
      <c r="AG278" s="6"/>
    </row>
    <row r="279" spans="30:33" x14ac:dyDescent="0.3">
      <c r="AD279" s="6"/>
      <c r="AE279" s="6"/>
      <c r="AF279" s="6"/>
      <c r="AG279" s="6"/>
    </row>
    <row r="280" spans="30:33" x14ac:dyDescent="0.3">
      <c r="AD280" s="6"/>
      <c r="AE280" s="6"/>
      <c r="AF280" s="6"/>
      <c r="AG280" s="6"/>
    </row>
    <row r="281" spans="30:33" x14ac:dyDescent="0.3">
      <c r="AD281" s="6"/>
      <c r="AE281" s="6"/>
      <c r="AF281" s="6"/>
      <c r="AG281" s="6"/>
    </row>
    <row r="282" spans="30:33" x14ac:dyDescent="0.3">
      <c r="AD282" s="6"/>
      <c r="AE282" s="6"/>
      <c r="AF282" s="6"/>
      <c r="AG282" s="6"/>
    </row>
    <row r="283" spans="30:33" x14ac:dyDescent="0.3">
      <c r="AD283" s="6"/>
      <c r="AE283" s="6"/>
      <c r="AF283" s="6"/>
      <c r="AG283" s="6"/>
    </row>
    <row r="284" spans="30:33" x14ac:dyDescent="0.3">
      <c r="AD284" s="6"/>
      <c r="AE284" s="6"/>
      <c r="AF284" s="6"/>
      <c r="AG284" s="6"/>
    </row>
    <row r="285" spans="30:33" x14ac:dyDescent="0.3">
      <c r="AD285" s="6"/>
      <c r="AE285" s="6"/>
      <c r="AF285" s="6"/>
      <c r="AG285" s="6"/>
    </row>
    <row r="286" spans="30:33" x14ac:dyDescent="0.3">
      <c r="AD286" s="6"/>
      <c r="AE286" s="6"/>
      <c r="AF286" s="6"/>
      <c r="AG286" s="6"/>
    </row>
    <row r="287" spans="30:33" x14ac:dyDescent="0.3">
      <c r="AD287" s="6"/>
      <c r="AE287" s="6"/>
      <c r="AF287" s="6"/>
      <c r="AG287" s="6"/>
    </row>
    <row r="288" spans="30:33" x14ac:dyDescent="0.3">
      <c r="AD288" s="6"/>
      <c r="AE288" s="6"/>
      <c r="AF288" s="6"/>
      <c r="AG288" s="6"/>
    </row>
    <row r="289" spans="30:33" x14ac:dyDescent="0.3">
      <c r="AD289" s="6"/>
      <c r="AE289" s="6"/>
      <c r="AF289" s="6"/>
      <c r="AG289" s="6"/>
    </row>
    <row r="290" spans="30:33" x14ac:dyDescent="0.3">
      <c r="AD290" s="6"/>
      <c r="AE290" s="6"/>
      <c r="AF290" s="6"/>
      <c r="AG290" s="6"/>
    </row>
    <row r="291" spans="30:33" x14ac:dyDescent="0.3">
      <c r="AD291" s="6"/>
      <c r="AE291" s="6"/>
      <c r="AF291" s="6"/>
      <c r="AG291" s="6"/>
    </row>
    <row r="292" spans="30:33" x14ac:dyDescent="0.3">
      <c r="AD292" s="6"/>
      <c r="AE292" s="6"/>
      <c r="AF292" s="6"/>
      <c r="AG292" s="6"/>
    </row>
    <row r="293" spans="30:33" x14ac:dyDescent="0.3">
      <c r="AD293" s="6"/>
      <c r="AE293" s="6"/>
      <c r="AF293" s="6"/>
      <c r="AG293" s="6"/>
    </row>
    <row r="294" spans="30:33" x14ac:dyDescent="0.3">
      <c r="AD294" s="6"/>
      <c r="AE294" s="6"/>
      <c r="AF294" s="6"/>
      <c r="AG294" s="6"/>
    </row>
    <row r="295" spans="30:33" x14ac:dyDescent="0.3">
      <c r="AD295" s="6"/>
      <c r="AE295" s="6"/>
      <c r="AF295" s="6"/>
      <c r="AG295" s="6"/>
    </row>
    <row r="296" spans="30:33" x14ac:dyDescent="0.3">
      <c r="AD296" s="6"/>
      <c r="AE296" s="6"/>
      <c r="AF296" s="6"/>
      <c r="AG296" s="6"/>
    </row>
    <row r="297" spans="30:33" x14ac:dyDescent="0.3">
      <c r="AD297" s="6"/>
      <c r="AE297" s="6"/>
      <c r="AF297" s="6"/>
      <c r="AG297" s="6"/>
    </row>
    <row r="298" spans="30:33" x14ac:dyDescent="0.3">
      <c r="AD298" s="6"/>
      <c r="AE298" s="6"/>
      <c r="AF298" s="6"/>
      <c r="AG298" s="6"/>
    </row>
    <row r="299" spans="30:33" x14ac:dyDescent="0.3">
      <c r="AD299" s="6"/>
      <c r="AE299" s="6"/>
      <c r="AF299" s="6"/>
      <c r="AG299" s="6"/>
    </row>
    <row r="300" spans="30:33" x14ac:dyDescent="0.3">
      <c r="AD300" s="6"/>
      <c r="AE300" s="6"/>
      <c r="AF300" s="6"/>
      <c r="AG300" s="6"/>
    </row>
    <row r="301" spans="30:33" x14ac:dyDescent="0.3">
      <c r="AD301" s="6"/>
      <c r="AE301" s="6"/>
      <c r="AF301" s="6"/>
      <c r="AG301" s="6"/>
    </row>
    <row r="302" spans="30:33" x14ac:dyDescent="0.3">
      <c r="AD302" s="6"/>
      <c r="AE302" s="6"/>
      <c r="AF302" s="6"/>
      <c r="AG302" s="6"/>
    </row>
    <row r="303" spans="30:33" x14ac:dyDescent="0.3">
      <c r="AD303" s="6"/>
      <c r="AE303" s="6"/>
      <c r="AF303" s="6"/>
      <c r="AG303" s="6"/>
    </row>
    <row r="304" spans="30:33" x14ac:dyDescent="0.3">
      <c r="AD304" s="6"/>
      <c r="AE304" s="6"/>
      <c r="AF304" s="6"/>
      <c r="AG304" s="6"/>
    </row>
    <row r="305" spans="30:33" x14ac:dyDescent="0.3">
      <c r="AD305" s="6"/>
      <c r="AE305" s="6"/>
      <c r="AF305" s="6"/>
      <c r="AG305" s="6"/>
    </row>
    <row r="306" spans="30:33" x14ac:dyDescent="0.3">
      <c r="AD306" s="6"/>
      <c r="AE306" s="6"/>
      <c r="AF306" s="6"/>
      <c r="AG306" s="6"/>
    </row>
    <row r="307" spans="30:33" x14ac:dyDescent="0.3">
      <c r="AD307" s="6"/>
      <c r="AE307" s="6"/>
      <c r="AF307" s="6"/>
      <c r="AG307" s="6"/>
    </row>
    <row r="308" spans="30:33" x14ac:dyDescent="0.3">
      <c r="AD308" s="6"/>
      <c r="AE308" s="6"/>
      <c r="AF308" s="6"/>
      <c r="AG308" s="6"/>
    </row>
    <row r="309" spans="30:33" x14ac:dyDescent="0.3">
      <c r="AD309" s="6"/>
      <c r="AE309" s="6"/>
      <c r="AF309" s="6"/>
      <c r="AG309" s="6"/>
    </row>
    <row r="310" spans="30:33" x14ac:dyDescent="0.3">
      <c r="AD310" s="6"/>
      <c r="AE310" s="6"/>
      <c r="AF310" s="6"/>
      <c r="AG310" s="6"/>
    </row>
    <row r="311" spans="30:33" x14ac:dyDescent="0.3">
      <c r="AD311" s="6"/>
      <c r="AE311" s="6"/>
      <c r="AF311" s="6"/>
      <c r="AG311" s="6"/>
    </row>
    <row r="312" spans="30:33" x14ac:dyDescent="0.3">
      <c r="AD312" s="6"/>
      <c r="AE312" s="6"/>
      <c r="AF312" s="6"/>
      <c r="AG312" s="6"/>
    </row>
    <row r="313" spans="30:33" x14ac:dyDescent="0.3">
      <c r="AD313" s="6"/>
      <c r="AE313" s="6"/>
      <c r="AF313" s="6"/>
      <c r="AG313" s="6"/>
    </row>
    <row r="314" spans="30:33" x14ac:dyDescent="0.3">
      <c r="AD314" s="6"/>
      <c r="AE314" s="6"/>
      <c r="AF314" s="6"/>
      <c r="AG314" s="6"/>
    </row>
    <row r="315" spans="30:33" x14ac:dyDescent="0.3">
      <c r="AD315" s="6"/>
      <c r="AE315" s="6"/>
      <c r="AF315" s="6"/>
      <c r="AG315" s="6"/>
    </row>
    <row r="316" spans="30:33" x14ac:dyDescent="0.3">
      <c r="AD316" s="6"/>
      <c r="AE316" s="6"/>
      <c r="AF316" s="6"/>
      <c r="AG316" s="6"/>
    </row>
    <row r="317" spans="30:33" x14ac:dyDescent="0.3">
      <c r="AD317" s="6"/>
      <c r="AE317" s="6"/>
      <c r="AF317" s="6"/>
      <c r="AG317" s="6"/>
    </row>
    <row r="318" spans="30:33" x14ac:dyDescent="0.3">
      <c r="AD318" s="6"/>
      <c r="AE318" s="6"/>
      <c r="AF318" s="6"/>
      <c r="AG318" s="6"/>
    </row>
    <row r="319" spans="30:33" x14ac:dyDescent="0.3">
      <c r="AD319" s="6"/>
      <c r="AE319" s="6"/>
      <c r="AF319" s="6"/>
      <c r="AG319" s="6"/>
    </row>
    <row r="320" spans="30:33" x14ac:dyDescent="0.3">
      <c r="AD320" s="6"/>
      <c r="AE320" s="6"/>
      <c r="AF320" s="6"/>
      <c r="AG320" s="6"/>
    </row>
    <row r="321" spans="30:33" x14ac:dyDescent="0.3">
      <c r="AD321" s="6"/>
      <c r="AE321" s="6"/>
      <c r="AF321" s="6"/>
      <c r="AG321" s="6"/>
    </row>
    <row r="322" spans="30:33" x14ac:dyDescent="0.3">
      <c r="AD322" s="6"/>
      <c r="AE322" s="6"/>
      <c r="AF322" s="6"/>
      <c r="AG322" s="6"/>
    </row>
    <row r="323" spans="30:33" x14ac:dyDescent="0.3">
      <c r="AD323" s="6"/>
      <c r="AE323" s="6"/>
      <c r="AF323" s="6"/>
      <c r="AG323" s="6"/>
    </row>
    <row r="324" spans="30:33" x14ac:dyDescent="0.3">
      <c r="AD324" s="6"/>
      <c r="AE324" s="6"/>
      <c r="AF324" s="6"/>
      <c r="AG324" s="6"/>
    </row>
    <row r="325" spans="30:33" x14ac:dyDescent="0.3">
      <c r="AD325" s="6"/>
      <c r="AE325" s="6"/>
      <c r="AF325" s="6"/>
      <c r="AG325" s="6"/>
    </row>
    <row r="326" spans="30:33" x14ac:dyDescent="0.3">
      <c r="AD326" s="6"/>
      <c r="AE326" s="6"/>
      <c r="AF326" s="6"/>
      <c r="AG326" s="6"/>
    </row>
    <row r="327" spans="30:33" x14ac:dyDescent="0.3">
      <c r="AD327" s="6"/>
      <c r="AE327" s="6"/>
      <c r="AF327" s="6"/>
      <c r="AG327" s="6"/>
    </row>
    <row r="328" spans="30:33" x14ac:dyDescent="0.3">
      <c r="AD328" s="6"/>
      <c r="AE328" s="6"/>
      <c r="AF328" s="6"/>
      <c r="AG328" s="6"/>
    </row>
    <row r="329" spans="30:33" x14ac:dyDescent="0.3">
      <c r="AD329" s="6"/>
      <c r="AE329" s="6"/>
      <c r="AF329" s="6"/>
      <c r="AG329" s="6"/>
    </row>
    <row r="330" spans="30:33" x14ac:dyDescent="0.3">
      <c r="AD330" s="6"/>
      <c r="AE330" s="6"/>
      <c r="AF330" s="6"/>
      <c r="AG330" s="6"/>
    </row>
    <row r="331" spans="30:33" x14ac:dyDescent="0.3">
      <c r="AD331" s="6"/>
      <c r="AE331" s="6"/>
      <c r="AF331" s="6"/>
      <c r="AG331" s="6"/>
    </row>
    <row r="332" spans="30:33" x14ac:dyDescent="0.3">
      <c r="AD332" s="6"/>
      <c r="AE332" s="6"/>
      <c r="AF332" s="6"/>
      <c r="AG332" s="6"/>
    </row>
    <row r="333" spans="30:33" x14ac:dyDescent="0.3">
      <c r="AD333" s="6"/>
      <c r="AE333" s="6"/>
      <c r="AF333" s="6"/>
      <c r="AG333" s="6"/>
    </row>
    <row r="334" spans="30:33" x14ac:dyDescent="0.3">
      <c r="AD334" s="6"/>
      <c r="AE334" s="6"/>
      <c r="AF334" s="6"/>
      <c r="AG334" s="6"/>
    </row>
    <row r="335" spans="30:33" x14ac:dyDescent="0.3">
      <c r="AD335" s="6"/>
      <c r="AE335" s="6"/>
      <c r="AF335" s="6"/>
      <c r="AG335" s="6"/>
    </row>
    <row r="336" spans="30:33" x14ac:dyDescent="0.3">
      <c r="AD336" s="6"/>
      <c r="AE336" s="6"/>
      <c r="AF336" s="6"/>
      <c r="AG336" s="6"/>
    </row>
    <row r="337" spans="30:33" x14ac:dyDescent="0.3">
      <c r="AD337" s="6"/>
      <c r="AE337" s="6"/>
      <c r="AF337" s="6"/>
      <c r="AG337" s="6"/>
    </row>
    <row r="338" spans="30:33" x14ac:dyDescent="0.3">
      <c r="AD338" s="6"/>
      <c r="AE338" s="6"/>
      <c r="AF338" s="6"/>
      <c r="AG338" s="6"/>
    </row>
    <row r="339" spans="30:33" x14ac:dyDescent="0.3">
      <c r="AD339" s="6"/>
      <c r="AE339" s="6"/>
      <c r="AF339" s="6"/>
      <c r="AG339" s="6"/>
    </row>
    <row r="340" spans="30:33" x14ac:dyDescent="0.3">
      <c r="AD340" s="6"/>
      <c r="AE340" s="6"/>
      <c r="AF340" s="6"/>
      <c r="AG340" s="6"/>
    </row>
    <row r="341" spans="30:33" x14ac:dyDescent="0.3">
      <c r="AD341" s="6"/>
      <c r="AE341" s="6"/>
      <c r="AF341" s="6"/>
      <c r="AG341" s="6"/>
    </row>
    <row r="342" spans="30:33" x14ac:dyDescent="0.3">
      <c r="AD342" s="6"/>
      <c r="AE342" s="6"/>
      <c r="AF342" s="6"/>
      <c r="AG342" s="6"/>
    </row>
    <row r="343" spans="30:33" x14ac:dyDescent="0.3">
      <c r="AD343" s="6"/>
      <c r="AE343" s="6"/>
      <c r="AF343" s="6"/>
      <c r="AG343" s="6"/>
    </row>
    <row r="344" spans="30:33" x14ac:dyDescent="0.3">
      <c r="AD344" s="6"/>
      <c r="AE344" s="6"/>
      <c r="AF344" s="6"/>
      <c r="AG344" s="6"/>
    </row>
  </sheetData>
  <phoneticPr fontId="2" type="noConversion"/>
  <conditionalFormatting sqref="J34">
    <cfRule type="expression" dxfId="11" priority="12">
      <formula>LEN($F34)&lt;&gt;0</formula>
    </cfRule>
  </conditionalFormatting>
  <conditionalFormatting sqref="G34:I34">
    <cfRule type="expression" dxfId="10" priority="11">
      <formula>LEN($F34)&lt;&gt;0</formula>
    </cfRule>
  </conditionalFormatting>
  <conditionalFormatting sqref="F34">
    <cfRule type="expression" dxfId="9" priority="10">
      <formula>LEN($F34)&lt;&gt;0</formula>
    </cfRule>
  </conditionalFormatting>
  <conditionalFormatting sqref="J35:J47">
    <cfRule type="expression" dxfId="8" priority="9">
      <formula>LEN($F35)&lt;&gt;0</formula>
    </cfRule>
  </conditionalFormatting>
  <conditionalFormatting sqref="G35:I47">
    <cfRule type="expression" dxfId="7" priority="8">
      <formula>LEN($F35)&lt;&gt;0</formula>
    </cfRule>
  </conditionalFormatting>
  <conditionalFormatting sqref="F35:F47">
    <cfRule type="expression" dxfId="6" priority="7">
      <formula>LEN($F35)&lt;&gt;0</formula>
    </cfRule>
  </conditionalFormatting>
  <conditionalFormatting sqref="J29:J33">
    <cfRule type="expression" dxfId="5" priority="6">
      <formula>LEN($F29)&lt;&gt;0</formula>
    </cfRule>
  </conditionalFormatting>
  <conditionalFormatting sqref="G29:I33">
    <cfRule type="expression" dxfId="4" priority="5">
      <formula>LEN($F29)&lt;&gt;0</formula>
    </cfRule>
  </conditionalFormatting>
  <conditionalFormatting sqref="F29:F33">
    <cfRule type="expression" dxfId="3" priority="4">
      <formula>LEN($F29)&lt;&gt;0</formula>
    </cfRule>
  </conditionalFormatting>
  <conditionalFormatting sqref="J48:J49">
    <cfRule type="expression" dxfId="2" priority="3">
      <formula>LEN($F48)&lt;&gt;0</formula>
    </cfRule>
  </conditionalFormatting>
  <conditionalFormatting sqref="G48:I49">
    <cfRule type="expression" dxfId="1" priority="2">
      <formula>LEN($F48)&lt;&gt;0</formula>
    </cfRule>
  </conditionalFormatting>
  <conditionalFormatting sqref="F48:F49">
    <cfRule type="expression" dxfId="0" priority="1">
      <formula>LEN($F48)&lt;&gt;0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Main4">
                <anchor moveWithCells="1" sizeWithCells="1">
                  <from>
                    <xdr:col>11</xdr:col>
                    <xdr:colOff>28575</xdr:colOff>
                    <xdr:row>0</xdr:row>
                    <xdr:rowOff>19050</xdr:rowOff>
                  </from>
                  <to>
                    <xdr:col>12</xdr:col>
                    <xdr:colOff>304800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7"/>
  <sheetViews>
    <sheetView showGridLines="0" workbookViewId="0">
      <pane xSplit="3" ySplit="14" topLeftCell="D15" activePane="bottomRight" state="frozen"/>
      <selection pane="topRight" activeCell="D1" sqref="D1"/>
      <selection pane="bottomLeft" activeCell="A15" sqref="A15"/>
      <selection pane="bottomRight"/>
    </sheetView>
  </sheetViews>
  <sheetFormatPr defaultColWidth="9" defaultRowHeight="12" x14ac:dyDescent="0.3"/>
  <cols>
    <col min="1" max="4" width="14.625" style="95" customWidth="1"/>
    <col min="5" max="16384" width="9" style="95"/>
  </cols>
  <sheetData>
    <row r="1" spans="1:5" ht="15" customHeight="1" x14ac:dyDescent="0.3">
      <c r="A1" s="93" t="s">
        <v>3</v>
      </c>
      <c r="B1" s="95" t="s">
        <v>7857</v>
      </c>
    </row>
    <row r="3" spans="1:5" x14ac:dyDescent="0.3">
      <c r="A3" s="3" t="s">
        <v>7860</v>
      </c>
      <c r="C3" s="115" t="s">
        <v>7834</v>
      </c>
    </row>
    <row r="4" spans="1:5" x14ac:dyDescent="0.3">
      <c r="A4" s="96" t="s">
        <v>7835</v>
      </c>
      <c r="B4" s="116" t="str">
        <f>최종!B2</f>
        <v>A097950</v>
      </c>
      <c r="C4" s="96" t="s">
        <v>3589</v>
      </c>
    </row>
    <row r="5" spans="1:5" x14ac:dyDescent="0.3">
      <c r="A5" s="99" t="s">
        <v>7836</v>
      </c>
      <c r="B5" s="117" t="str">
        <f ca="1">최종!O3</f>
        <v>20130801</v>
      </c>
      <c r="C5" s="99" t="s">
        <v>2</v>
      </c>
    </row>
    <row r="7" spans="1:5" x14ac:dyDescent="0.3">
      <c r="A7" s="118"/>
      <c r="B7" s="118"/>
      <c r="C7" s="118"/>
      <c r="D7" s="118" t="s">
        <v>3590</v>
      </c>
    </row>
    <row r="8" spans="1:5" x14ac:dyDescent="0.3">
      <c r="A8" s="102"/>
      <c r="B8" s="102"/>
      <c r="C8" s="102"/>
      <c r="D8" s="98">
        <f>Main!B4</f>
        <v>201306</v>
      </c>
    </row>
    <row r="9" spans="1:5" x14ac:dyDescent="0.3">
      <c r="A9" s="119"/>
      <c r="B9" s="120">
        <v>20130729</v>
      </c>
      <c r="C9" s="119"/>
      <c r="D9" s="102" t="s">
        <v>12</v>
      </c>
    </row>
    <row r="10" spans="1:5" x14ac:dyDescent="0.3">
      <c r="A10" s="121"/>
      <c r="B10" s="121" t="s">
        <v>7839</v>
      </c>
      <c r="C10" s="121"/>
      <c r="D10" s="122">
        <v>148528563</v>
      </c>
    </row>
    <row r="11" spans="1:5" x14ac:dyDescent="0.3">
      <c r="A11" s="123"/>
      <c r="B11" s="123" t="s">
        <v>7840</v>
      </c>
      <c r="C11" s="123"/>
      <c r="D11" s="124">
        <v>169200000</v>
      </c>
    </row>
    <row r="12" spans="1:5" x14ac:dyDescent="0.3">
      <c r="A12" s="123"/>
      <c r="B12" s="123" t="s">
        <v>7841</v>
      </c>
      <c r="C12" s="123"/>
      <c r="D12" s="124">
        <f>MEDIAN($D$15:$D$33)</f>
        <v>146050000</v>
      </c>
    </row>
    <row r="13" spans="1:5" x14ac:dyDescent="0.3">
      <c r="A13" s="123"/>
      <c r="B13" s="123" t="s">
        <v>7842</v>
      </c>
      <c r="C13" s="123"/>
      <c r="D13" s="124">
        <v>137000000</v>
      </c>
    </row>
    <row r="14" spans="1:5" x14ac:dyDescent="0.3">
      <c r="A14" s="125" t="s">
        <v>13</v>
      </c>
      <c r="B14" s="126" t="s">
        <v>14</v>
      </c>
      <c r="C14" s="126" t="s">
        <v>15</v>
      </c>
      <c r="D14" s="127"/>
    </row>
    <row r="15" spans="1:5" x14ac:dyDescent="0.3">
      <c r="A15" s="128">
        <v>41484</v>
      </c>
      <c r="B15" s="129" t="s">
        <v>3672</v>
      </c>
      <c r="C15" s="130" t="s">
        <v>7861</v>
      </c>
      <c r="D15" s="124">
        <v>145700000</v>
      </c>
      <c r="E15" s="95">
        <f>D15/1000000</f>
        <v>145.69999999999999</v>
      </c>
    </row>
    <row r="16" spans="1:5" x14ac:dyDescent="0.3">
      <c r="A16" s="128">
        <v>41484</v>
      </c>
      <c r="B16" s="129" t="s">
        <v>7838</v>
      </c>
      <c r="C16" s="130" t="s">
        <v>7862</v>
      </c>
      <c r="D16" s="124">
        <v>156000000</v>
      </c>
    </row>
    <row r="17" spans="1:4" x14ac:dyDescent="0.3">
      <c r="A17" s="128">
        <v>41481</v>
      </c>
      <c r="B17" s="129" t="s">
        <v>3718</v>
      </c>
      <c r="C17" s="130" t="s">
        <v>7863</v>
      </c>
      <c r="D17" s="124">
        <v>139000000</v>
      </c>
    </row>
    <row r="18" spans="1:4" x14ac:dyDescent="0.3">
      <c r="A18" s="128">
        <v>41474</v>
      </c>
      <c r="B18" s="129" t="s">
        <v>1590</v>
      </c>
      <c r="C18" s="130" t="s">
        <v>7864</v>
      </c>
      <c r="D18" s="124">
        <v>145600000</v>
      </c>
    </row>
    <row r="19" spans="1:4" x14ac:dyDescent="0.3">
      <c r="A19" s="128">
        <v>41474</v>
      </c>
      <c r="B19" s="129" t="s">
        <v>7</v>
      </c>
      <c r="C19" s="130" t="s">
        <v>7865</v>
      </c>
      <c r="D19" s="124">
        <v>145000000</v>
      </c>
    </row>
    <row r="20" spans="1:4" x14ac:dyDescent="0.3">
      <c r="A20" s="128">
        <v>41474</v>
      </c>
      <c r="B20" s="129" t="s">
        <v>9</v>
      </c>
      <c r="C20" s="130" t="s">
        <v>7866</v>
      </c>
      <c r="D20" s="124">
        <v>158000000</v>
      </c>
    </row>
    <row r="21" spans="1:4" x14ac:dyDescent="0.3">
      <c r="A21" s="128">
        <v>41474</v>
      </c>
      <c r="B21" s="129" t="s">
        <v>11</v>
      </c>
      <c r="C21" s="130" t="s">
        <v>7867</v>
      </c>
      <c r="D21" s="124">
        <v>146400000</v>
      </c>
    </row>
    <row r="22" spans="1:4" x14ac:dyDescent="0.3">
      <c r="A22" s="128">
        <v>41474</v>
      </c>
      <c r="B22" s="129" t="s">
        <v>8</v>
      </c>
      <c r="C22" s="130" t="s">
        <v>7868</v>
      </c>
      <c r="D22" s="124">
        <v>144400000</v>
      </c>
    </row>
    <row r="23" spans="1:4" x14ac:dyDescent="0.3">
      <c r="A23" s="128">
        <v>41474</v>
      </c>
      <c r="B23" s="129" t="s">
        <v>17</v>
      </c>
      <c r="C23" s="130" t="s">
        <v>7869</v>
      </c>
      <c r="D23" s="124">
        <v>154000000</v>
      </c>
    </row>
    <row r="24" spans="1:4" x14ac:dyDescent="0.3">
      <c r="A24" s="128">
        <v>41473</v>
      </c>
      <c r="B24" s="129" t="s">
        <v>1698</v>
      </c>
      <c r="C24" s="130" t="s">
        <v>7870</v>
      </c>
      <c r="D24" s="124">
        <v>141000000</v>
      </c>
    </row>
    <row r="25" spans="1:4" x14ac:dyDescent="0.3">
      <c r="A25" s="128">
        <v>41473</v>
      </c>
      <c r="B25" s="129" t="s">
        <v>2033</v>
      </c>
      <c r="C25" s="130" t="s">
        <v>7871</v>
      </c>
      <c r="D25" s="124">
        <v>148800000</v>
      </c>
    </row>
    <row r="26" spans="1:4" x14ac:dyDescent="0.3">
      <c r="A26" s="128">
        <v>41472</v>
      </c>
      <c r="B26" s="129" t="s">
        <v>1608</v>
      </c>
      <c r="C26" s="130" t="s">
        <v>7872</v>
      </c>
      <c r="D26" s="124">
        <v>147600000</v>
      </c>
    </row>
    <row r="27" spans="1:4" x14ac:dyDescent="0.3">
      <c r="A27" s="128">
        <v>41471</v>
      </c>
      <c r="B27" s="129" t="s">
        <v>19</v>
      </c>
      <c r="C27" s="130" t="s">
        <v>7873</v>
      </c>
      <c r="D27" s="124">
        <v>145400000</v>
      </c>
    </row>
    <row r="28" spans="1:4" x14ac:dyDescent="0.3">
      <c r="A28" s="128">
        <v>41467</v>
      </c>
      <c r="B28" s="129" t="s">
        <v>10</v>
      </c>
      <c r="C28" s="130" t="s">
        <v>7874</v>
      </c>
      <c r="D28" s="124">
        <v>142000000</v>
      </c>
    </row>
    <row r="29" spans="1:4" x14ac:dyDescent="0.3">
      <c r="A29" s="128">
        <v>41464</v>
      </c>
      <c r="B29" s="129" t="s">
        <v>20</v>
      </c>
      <c r="C29" s="130" t="s">
        <v>7875</v>
      </c>
      <c r="D29" s="124">
        <v>169200000</v>
      </c>
    </row>
    <row r="30" spans="1:4" x14ac:dyDescent="0.3">
      <c r="A30" s="128">
        <v>41460</v>
      </c>
      <c r="B30" s="129" t="s">
        <v>18</v>
      </c>
      <c r="C30" s="130" t="s">
        <v>7876</v>
      </c>
      <c r="D30" s="124">
        <v>137000000</v>
      </c>
    </row>
    <row r="31" spans="1:4" x14ac:dyDescent="0.3">
      <c r="A31" s="128">
        <v>41460</v>
      </c>
      <c r="B31" s="129" t="s">
        <v>2728</v>
      </c>
      <c r="C31" s="130" t="s">
        <v>7877</v>
      </c>
      <c r="D31" s="124"/>
    </row>
    <row r="32" spans="1:4" x14ac:dyDescent="0.3">
      <c r="A32" s="128">
        <v>41457</v>
      </c>
      <c r="B32" s="129" t="s">
        <v>6</v>
      </c>
      <c r="C32" s="130" t="s">
        <v>7878</v>
      </c>
      <c r="D32" s="124">
        <v>152714140</v>
      </c>
    </row>
    <row r="33" spans="1:4" x14ac:dyDescent="0.3">
      <c r="A33" s="128">
        <v>41446</v>
      </c>
      <c r="B33" s="129" t="s">
        <v>7837</v>
      </c>
      <c r="C33" s="130" t="s">
        <v>7879</v>
      </c>
      <c r="D33" s="124">
        <v>155700000</v>
      </c>
    </row>
    <row r="34" spans="1:4" x14ac:dyDescent="0.3">
      <c r="A34" s="131"/>
      <c r="B34" s="129"/>
      <c r="C34" s="130"/>
      <c r="D34" s="124"/>
    </row>
    <row r="35" spans="1:4" x14ac:dyDescent="0.3">
      <c r="A35" s="131"/>
      <c r="B35" s="129"/>
      <c r="C35" s="130"/>
      <c r="D35" s="124"/>
    </row>
    <row r="36" spans="1:4" x14ac:dyDescent="0.3">
      <c r="A36" s="131"/>
      <c r="B36" s="129"/>
      <c r="C36" s="130"/>
      <c r="D36" s="124"/>
    </row>
    <row r="37" spans="1:4" x14ac:dyDescent="0.3">
      <c r="A37" s="131"/>
      <c r="B37" s="129"/>
      <c r="C37" s="130"/>
      <c r="D37" s="124"/>
    </row>
    <row r="38" spans="1:4" x14ac:dyDescent="0.3">
      <c r="A38" s="131"/>
      <c r="B38" s="129"/>
      <c r="C38" s="130"/>
      <c r="D38" s="124"/>
    </row>
    <row r="39" spans="1:4" x14ac:dyDescent="0.3">
      <c r="A39" s="131"/>
      <c r="B39" s="129"/>
      <c r="C39" s="130"/>
      <c r="D39" s="124"/>
    </row>
    <row r="40" spans="1:4" x14ac:dyDescent="0.3">
      <c r="A40" s="131"/>
      <c r="B40" s="129"/>
      <c r="C40" s="130"/>
      <c r="D40" s="124"/>
    </row>
    <row r="41" spans="1:4" x14ac:dyDescent="0.3">
      <c r="A41" s="131"/>
      <c r="B41" s="129"/>
      <c r="C41" s="130"/>
      <c r="D41" s="124"/>
    </row>
    <row r="42" spans="1:4" x14ac:dyDescent="0.3">
      <c r="A42" s="131"/>
      <c r="B42" s="129"/>
      <c r="C42" s="130"/>
      <c r="D42" s="124"/>
    </row>
    <row r="43" spans="1:4" x14ac:dyDescent="0.3">
      <c r="A43" s="131"/>
      <c r="B43" s="129"/>
      <c r="C43" s="130"/>
      <c r="D43" s="124"/>
    </row>
    <row r="44" spans="1:4" x14ac:dyDescent="0.3">
      <c r="A44" s="131"/>
      <c r="B44" s="129"/>
      <c r="C44" s="130"/>
      <c r="D44" s="124"/>
    </row>
    <row r="45" spans="1:4" x14ac:dyDescent="0.3">
      <c r="A45" s="131"/>
      <c r="B45" s="129"/>
      <c r="C45" s="130"/>
      <c r="D45" s="124"/>
    </row>
    <row r="46" spans="1:4" x14ac:dyDescent="0.3">
      <c r="A46" s="131"/>
      <c r="B46" s="129"/>
      <c r="C46" s="130"/>
      <c r="D46" s="124"/>
    </row>
    <row r="47" spans="1:4" x14ac:dyDescent="0.3">
      <c r="A47" s="131"/>
      <c r="B47" s="129"/>
      <c r="C47" s="130"/>
      <c r="D47" s="124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RefreshBtn1">
          <controlPr defaultSize="0" autoLine="0" autoPict="0" r:id="rId5">
            <anchor mov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647700</xdr:colOff>
                <xdr:row>1</xdr:row>
                <xdr:rowOff>9525</xdr:rowOff>
              </to>
            </anchor>
          </controlPr>
        </control>
      </mc:Choice>
      <mc:Fallback>
        <control shapeId="1025" r:id="rId4" name="RefreshBt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46"/>
  <sheetViews>
    <sheetView showGridLines="0" workbookViewId="0">
      <pane xSplit="3" ySplit="14" topLeftCell="D15" activePane="bottomRight" state="frozen"/>
      <selection pane="topRight" activeCell="D1" sqref="D1"/>
      <selection pane="bottomLeft" activeCell="A15" sqref="A15"/>
      <selection pane="bottomRight" activeCell="D7" sqref="D7:D9"/>
    </sheetView>
  </sheetViews>
  <sheetFormatPr defaultColWidth="9" defaultRowHeight="12" x14ac:dyDescent="0.3"/>
  <cols>
    <col min="1" max="4" width="14.625" style="95" customWidth="1"/>
    <col min="5" max="16384" width="9" style="95"/>
  </cols>
  <sheetData>
    <row r="1" spans="1:4" ht="15" customHeight="1" x14ac:dyDescent="0.3">
      <c r="A1" s="93" t="s">
        <v>3</v>
      </c>
      <c r="B1" s="95" t="s">
        <v>7857</v>
      </c>
    </row>
    <row r="3" spans="1:4" x14ac:dyDescent="0.3">
      <c r="A3" s="3" t="s">
        <v>7860</v>
      </c>
      <c r="C3" s="115" t="s">
        <v>7834</v>
      </c>
    </row>
    <row r="4" spans="1:4" x14ac:dyDescent="0.3">
      <c r="A4" s="96" t="s">
        <v>7835</v>
      </c>
      <c r="B4" s="116" t="str">
        <f>'W1'!B4</f>
        <v>A097950</v>
      </c>
      <c r="C4" s="96" t="s">
        <v>3589</v>
      </c>
    </row>
    <row r="5" spans="1:4" x14ac:dyDescent="0.3">
      <c r="A5" s="99" t="s">
        <v>7836</v>
      </c>
      <c r="B5" s="117" t="str">
        <f ca="1">최종!S3</f>
        <v>20130718</v>
      </c>
      <c r="C5" s="99" t="s">
        <v>2</v>
      </c>
    </row>
    <row r="7" spans="1:4" x14ac:dyDescent="0.3">
      <c r="A7" s="118"/>
      <c r="B7" s="118"/>
      <c r="C7" s="118"/>
      <c r="D7" s="118" t="s">
        <v>3590</v>
      </c>
    </row>
    <row r="8" spans="1:4" x14ac:dyDescent="0.3">
      <c r="A8" s="102"/>
      <c r="B8" s="102"/>
      <c r="C8" s="102"/>
      <c r="D8" s="98">
        <f>Main!B4</f>
        <v>201306</v>
      </c>
    </row>
    <row r="9" spans="1:4" x14ac:dyDescent="0.3">
      <c r="A9" s="119"/>
      <c r="B9" s="120">
        <v>20130715</v>
      </c>
      <c r="C9" s="119"/>
      <c r="D9" s="102" t="s">
        <v>12</v>
      </c>
    </row>
    <row r="10" spans="1:4" x14ac:dyDescent="0.3">
      <c r="A10" s="121"/>
      <c r="B10" s="121" t="s">
        <v>7839</v>
      </c>
      <c r="C10" s="121"/>
      <c r="D10" s="122">
        <v>152736936</v>
      </c>
    </row>
    <row r="11" spans="1:4" x14ac:dyDescent="0.3">
      <c r="A11" s="123"/>
      <c r="B11" s="123" t="s">
        <v>7840</v>
      </c>
      <c r="C11" s="123"/>
      <c r="D11" s="124">
        <v>177000000</v>
      </c>
    </row>
    <row r="12" spans="1:4" x14ac:dyDescent="0.3">
      <c r="A12" s="123"/>
      <c r="B12" s="123" t="s">
        <v>7841</v>
      </c>
      <c r="C12" s="123"/>
      <c r="D12" s="124">
        <f>MEDIAN($D$15:$D$33)</f>
        <v>152378547</v>
      </c>
    </row>
    <row r="13" spans="1:4" x14ac:dyDescent="0.3">
      <c r="A13" s="123"/>
      <c r="B13" s="123" t="s">
        <v>7842</v>
      </c>
      <c r="C13" s="123"/>
      <c r="D13" s="124">
        <v>137000000</v>
      </c>
    </row>
    <row r="14" spans="1:4" x14ac:dyDescent="0.3">
      <c r="A14" s="125" t="s">
        <v>13</v>
      </c>
      <c r="B14" s="126" t="s">
        <v>14</v>
      </c>
      <c r="C14" s="126" t="s">
        <v>15</v>
      </c>
      <c r="D14" s="127"/>
    </row>
    <row r="15" spans="1:4" x14ac:dyDescent="0.3">
      <c r="A15" s="128">
        <v>41470</v>
      </c>
      <c r="B15" s="129" t="s">
        <v>19</v>
      </c>
      <c r="C15" s="130" t="s">
        <v>7873</v>
      </c>
      <c r="D15" s="124">
        <v>145359784</v>
      </c>
    </row>
    <row r="16" spans="1:4" x14ac:dyDescent="0.3">
      <c r="A16" s="128">
        <v>41470</v>
      </c>
      <c r="B16" s="129" t="s">
        <v>11</v>
      </c>
      <c r="C16" s="130" t="s">
        <v>7867</v>
      </c>
      <c r="D16" s="124">
        <v>146400000</v>
      </c>
    </row>
    <row r="17" spans="1:4" x14ac:dyDescent="0.3">
      <c r="A17" s="128">
        <v>41470</v>
      </c>
      <c r="B17" s="129" t="s">
        <v>1590</v>
      </c>
      <c r="C17" s="130" t="s">
        <v>7880</v>
      </c>
      <c r="D17" s="124">
        <v>145636055</v>
      </c>
    </row>
    <row r="18" spans="1:4" x14ac:dyDescent="0.3">
      <c r="A18" s="128">
        <v>41467</v>
      </c>
      <c r="B18" s="129" t="s">
        <v>3718</v>
      </c>
      <c r="C18" s="130" t="s">
        <v>7863</v>
      </c>
      <c r="D18" s="124">
        <v>173000000</v>
      </c>
    </row>
    <row r="19" spans="1:4" x14ac:dyDescent="0.3">
      <c r="A19" s="128">
        <v>41467</v>
      </c>
      <c r="B19" s="129" t="s">
        <v>10</v>
      </c>
      <c r="C19" s="130" t="s">
        <v>7874</v>
      </c>
      <c r="D19" s="124">
        <v>142000000</v>
      </c>
    </row>
    <row r="20" spans="1:4" x14ac:dyDescent="0.3">
      <c r="A20" s="128">
        <v>41464</v>
      </c>
      <c r="B20" s="129" t="s">
        <v>20</v>
      </c>
      <c r="C20" s="130" t="s">
        <v>7875</v>
      </c>
      <c r="D20" s="124">
        <v>169200000</v>
      </c>
    </row>
    <row r="21" spans="1:4" x14ac:dyDescent="0.3">
      <c r="A21" s="128">
        <v>41460</v>
      </c>
      <c r="B21" s="129" t="s">
        <v>18</v>
      </c>
      <c r="C21" s="130" t="s">
        <v>7876</v>
      </c>
      <c r="D21" s="124">
        <v>137000000</v>
      </c>
    </row>
    <row r="22" spans="1:4" x14ac:dyDescent="0.3">
      <c r="A22" s="128">
        <v>41460</v>
      </c>
      <c r="B22" s="129" t="s">
        <v>2728</v>
      </c>
      <c r="C22" s="130" t="s">
        <v>7877</v>
      </c>
      <c r="D22" s="124"/>
    </row>
    <row r="23" spans="1:4" x14ac:dyDescent="0.3">
      <c r="A23" s="128">
        <v>41457</v>
      </c>
      <c r="B23" s="129" t="s">
        <v>8</v>
      </c>
      <c r="C23" s="130" t="s">
        <v>7881</v>
      </c>
      <c r="D23" s="124">
        <v>161919670</v>
      </c>
    </row>
    <row r="24" spans="1:4" x14ac:dyDescent="0.3">
      <c r="A24" s="128">
        <v>41457</v>
      </c>
      <c r="B24" s="129" t="s">
        <v>6</v>
      </c>
      <c r="C24" s="130" t="s">
        <v>7878</v>
      </c>
      <c r="D24" s="124">
        <v>152714140</v>
      </c>
    </row>
    <row r="25" spans="1:4" x14ac:dyDescent="0.3">
      <c r="A25" s="128">
        <v>41453</v>
      </c>
      <c r="B25" s="129" t="s">
        <v>3672</v>
      </c>
      <c r="C25" s="130" t="s">
        <v>7882</v>
      </c>
      <c r="D25" s="124">
        <v>152042954</v>
      </c>
    </row>
    <row r="26" spans="1:4" x14ac:dyDescent="0.3">
      <c r="A26" s="128">
        <v>41452</v>
      </c>
      <c r="B26" s="129" t="s">
        <v>7</v>
      </c>
      <c r="C26" s="130" t="s">
        <v>7865</v>
      </c>
      <c r="D26" s="124">
        <v>141792245</v>
      </c>
    </row>
    <row r="27" spans="1:4" x14ac:dyDescent="0.3">
      <c r="A27" s="128">
        <v>41451</v>
      </c>
      <c r="B27" s="129" t="s">
        <v>1698</v>
      </c>
      <c r="C27" s="130" t="s">
        <v>7870</v>
      </c>
      <c r="D27" s="124">
        <v>153900000</v>
      </c>
    </row>
    <row r="28" spans="1:4" x14ac:dyDescent="0.3">
      <c r="A28" s="128">
        <v>41450</v>
      </c>
      <c r="B28" s="129" t="s">
        <v>2033</v>
      </c>
      <c r="C28" s="130" t="s">
        <v>7871</v>
      </c>
      <c r="D28" s="124">
        <v>152900000</v>
      </c>
    </row>
    <row r="29" spans="1:4" x14ac:dyDescent="0.3">
      <c r="A29" s="128">
        <v>41446</v>
      </c>
      <c r="B29" s="129" t="s">
        <v>7837</v>
      </c>
      <c r="C29" s="130" t="s">
        <v>7879</v>
      </c>
      <c r="D29" s="124">
        <v>155700000</v>
      </c>
    </row>
    <row r="30" spans="1:4" x14ac:dyDescent="0.3">
      <c r="A30" s="128">
        <v>41445</v>
      </c>
      <c r="B30" s="129" t="s">
        <v>1608</v>
      </c>
      <c r="C30" s="130" t="s">
        <v>7883</v>
      </c>
      <c r="D30" s="124">
        <v>148700000</v>
      </c>
    </row>
    <row r="31" spans="1:4" x14ac:dyDescent="0.3">
      <c r="A31" s="128">
        <v>41436</v>
      </c>
      <c r="B31" s="129" t="s">
        <v>17</v>
      </c>
      <c r="C31" s="130" t="s">
        <v>7869</v>
      </c>
      <c r="D31" s="124">
        <v>177000000</v>
      </c>
    </row>
    <row r="32" spans="1:4" x14ac:dyDescent="0.3">
      <c r="A32" s="128">
        <v>41435</v>
      </c>
      <c r="B32" s="129" t="s">
        <v>7838</v>
      </c>
      <c r="C32" s="130" t="s">
        <v>7862</v>
      </c>
      <c r="D32" s="124">
        <v>156000000</v>
      </c>
    </row>
    <row r="33" spans="1:4" x14ac:dyDescent="0.3">
      <c r="A33" s="128">
        <v>41394</v>
      </c>
      <c r="B33" s="129" t="s">
        <v>9</v>
      </c>
      <c r="C33" s="130" t="s">
        <v>7884</v>
      </c>
      <c r="D33" s="124">
        <v>138000000</v>
      </c>
    </row>
    <row r="34" spans="1:4" x14ac:dyDescent="0.3">
      <c r="A34" s="131"/>
      <c r="B34" s="129"/>
      <c r="C34" s="130"/>
      <c r="D34" s="124"/>
    </row>
    <row r="35" spans="1:4" x14ac:dyDescent="0.3">
      <c r="A35" s="131"/>
      <c r="B35" s="129"/>
      <c r="C35" s="130"/>
      <c r="D35" s="124"/>
    </row>
    <row r="36" spans="1:4" x14ac:dyDescent="0.3">
      <c r="A36" s="131"/>
      <c r="B36" s="129"/>
      <c r="C36" s="130"/>
      <c r="D36" s="124"/>
    </row>
    <row r="37" spans="1:4" x14ac:dyDescent="0.3">
      <c r="A37" s="131"/>
      <c r="B37" s="129"/>
      <c r="C37" s="130"/>
      <c r="D37" s="124"/>
    </row>
    <row r="38" spans="1:4" x14ac:dyDescent="0.3">
      <c r="A38" s="131"/>
      <c r="B38" s="129"/>
      <c r="C38" s="130"/>
      <c r="D38" s="124"/>
    </row>
    <row r="39" spans="1:4" x14ac:dyDescent="0.3">
      <c r="A39" s="131"/>
      <c r="B39" s="129"/>
      <c r="C39" s="130"/>
      <c r="D39" s="124"/>
    </row>
    <row r="40" spans="1:4" x14ac:dyDescent="0.3">
      <c r="A40" s="131"/>
      <c r="B40" s="129"/>
      <c r="C40" s="130"/>
      <c r="D40" s="124"/>
    </row>
    <row r="41" spans="1:4" x14ac:dyDescent="0.3">
      <c r="A41" s="131"/>
      <c r="B41" s="129"/>
      <c r="C41" s="130"/>
      <c r="D41" s="124"/>
    </row>
    <row r="42" spans="1:4" x14ac:dyDescent="0.3">
      <c r="A42" s="131"/>
      <c r="B42" s="129"/>
      <c r="C42" s="130"/>
      <c r="D42" s="124"/>
    </row>
    <row r="43" spans="1:4" x14ac:dyDescent="0.3">
      <c r="A43" s="131"/>
      <c r="B43" s="129"/>
      <c r="C43" s="130"/>
      <c r="D43" s="124"/>
    </row>
    <row r="44" spans="1:4" x14ac:dyDescent="0.3">
      <c r="A44" s="131"/>
      <c r="B44" s="129"/>
      <c r="C44" s="130"/>
      <c r="D44" s="124"/>
    </row>
    <row r="45" spans="1:4" x14ac:dyDescent="0.3">
      <c r="A45" s="131"/>
      <c r="B45" s="129"/>
      <c r="C45" s="130"/>
      <c r="D45" s="124"/>
    </row>
    <row r="46" spans="1:4" x14ac:dyDescent="0.3">
      <c r="A46" s="131"/>
      <c r="B46" s="129"/>
      <c r="C46" s="130"/>
      <c r="D46" s="124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RefreshBtn1">
          <controlPr defaultSize="0" autoLine="0" autoPict="0" r:id="rId5">
            <anchor mov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647700</xdr:colOff>
                <xdr:row>1</xdr:row>
                <xdr:rowOff>9525</xdr:rowOff>
              </to>
            </anchor>
          </controlPr>
        </control>
      </mc:Choice>
      <mc:Fallback>
        <control shapeId="2049" r:id="rId4" name="RefreshBt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D33"/>
  <sheetViews>
    <sheetView showGridLines="0" workbookViewId="0">
      <pane xSplit="3" ySplit="14" topLeftCell="D15" activePane="bottomRight" state="frozen"/>
      <selection pane="topRight" activeCell="D1" sqref="D1"/>
      <selection pane="bottomLeft" activeCell="A15" sqref="A15"/>
      <selection pane="bottomRight" activeCell="B15" sqref="B15:B33"/>
    </sheetView>
  </sheetViews>
  <sheetFormatPr defaultColWidth="9" defaultRowHeight="12" x14ac:dyDescent="0.3"/>
  <cols>
    <col min="1" max="4" width="14.625" style="95" customWidth="1"/>
    <col min="5" max="16384" width="9" style="95"/>
  </cols>
  <sheetData>
    <row r="1" spans="1:4" ht="15" customHeight="1" x14ac:dyDescent="0.3">
      <c r="A1" s="93" t="s">
        <v>3</v>
      </c>
      <c r="B1" s="95" t="s">
        <v>7934</v>
      </c>
    </row>
    <row r="3" spans="1:4" x14ac:dyDescent="0.3">
      <c r="A3" s="3" t="s">
        <v>7917</v>
      </c>
      <c r="C3" s="115" t="s">
        <v>7918</v>
      </c>
    </row>
    <row r="4" spans="1:4" x14ac:dyDescent="0.3">
      <c r="A4" s="96" t="s">
        <v>7919</v>
      </c>
      <c r="B4" s="116" t="str">
        <f>'W1'!B4</f>
        <v>A097950</v>
      </c>
      <c r="C4" s="96" t="s">
        <v>7912</v>
      </c>
    </row>
    <row r="5" spans="1:4" x14ac:dyDescent="0.3">
      <c r="A5" s="99" t="s">
        <v>7920</v>
      </c>
      <c r="B5" s="117" t="str">
        <f ca="1">최종!W3</f>
        <v>20130711</v>
      </c>
      <c r="C5" s="99" t="s">
        <v>2</v>
      </c>
    </row>
    <row r="7" spans="1:4" x14ac:dyDescent="0.3">
      <c r="A7" s="118"/>
      <c r="B7" s="118"/>
      <c r="C7" s="118"/>
      <c r="D7" s="118" t="s">
        <v>3590</v>
      </c>
    </row>
    <row r="8" spans="1:4" x14ac:dyDescent="0.3">
      <c r="A8" s="102"/>
      <c r="B8" s="102"/>
      <c r="C8" s="102"/>
      <c r="D8" s="98">
        <f>Main!B4</f>
        <v>201306</v>
      </c>
    </row>
    <row r="9" spans="1:4" x14ac:dyDescent="0.3">
      <c r="A9" s="119"/>
      <c r="B9" s="120">
        <v>20130708</v>
      </c>
      <c r="C9" s="119"/>
      <c r="D9" s="102" t="s">
        <v>12</v>
      </c>
    </row>
    <row r="10" spans="1:4" x14ac:dyDescent="0.3">
      <c r="A10" s="121"/>
      <c r="B10" s="121" t="s">
        <v>7913</v>
      </c>
      <c r="C10" s="121"/>
      <c r="D10" s="122">
        <v>156134923</v>
      </c>
    </row>
    <row r="11" spans="1:4" x14ac:dyDescent="0.3">
      <c r="A11" s="123"/>
      <c r="B11" s="123" t="s">
        <v>7914</v>
      </c>
      <c r="C11" s="123"/>
      <c r="D11" s="124">
        <v>189000000</v>
      </c>
    </row>
    <row r="12" spans="1:4" x14ac:dyDescent="0.3">
      <c r="A12" s="123"/>
      <c r="B12" s="123" t="s">
        <v>7915</v>
      </c>
      <c r="C12" s="123"/>
      <c r="D12" s="124">
        <f>MEDIAN($D$15:$D$33)</f>
        <v>153900000</v>
      </c>
    </row>
    <row r="13" spans="1:4" x14ac:dyDescent="0.3">
      <c r="A13" s="123"/>
      <c r="B13" s="123" t="s">
        <v>7916</v>
      </c>
      <c r="C13" s="123"/>
      <c r="D13" s="124">
        <v>137000000</v>
      </c>
    </row>
    <row r="14" spans="1:4" x14ac:dyDescent="0.3">
      <c r="A14" s="125" t="s">
        <v>13</v>
      </c>
      <c r="B14" s="126" t="s">
        <v>14</v>
      </c>
      <c r="C14" s="126" t="s">
        <v>15</v>
      </c>
      <c r="D14" s="127"/>
    </row>
    <row r="15" spans="1:4" x14ac:dyDescent="0.3">
      <c r="A15" s="128">
        <v>41460</v>
      </c>
      <c r="B15" s="129" t="s">
        <v>18</v>
      </c>
      <c r="C15" s="130" t="s">
        <v>7876</v>
      </c>
      <c r="D15" s="124">
        <v>137000000</v>
      </c>
    </row>
    <row r="16" spans="1:4" x14ac:dyDescent="0.3">
      <c r="A16" s="128">
        <v>41460</v>
      </c>
      <c r="B16" s="129" t="s">
        <v>2728</v>
      </c>
      <c r="C16" s="130" t="s">
        <v>7877</v>
      </c>
      <c r="D16" s="124"/>
    </row>
    <row r="17" spans="1:4" x14ac:dyDescent="0.3">
      <c r="A17" s="128">
        <v>41457</v>
      </c>
      <c r="B17" s="129" t="s">
        <v>6</v>
      </c>
      <c r="C17" s="130" t="s">
        <v>7878</v>
      </c>
      <c r="D17" s="124">
        <v>152714140</v>
      </c>
    </row>
    <row r="18" spans="1:4" x14ac:dyDescent="0.3">
      <c r="A18" s="128">
        <v>41457</v>
      </c>
      <c r="B18" s="129" t="s">
        <v>8</v>
      </c>
      <c r="C18" s="130" t="s">
        <v>7881</v>
      </c>
      <c r="D18" s="124">
        <v>161919670</v>
      </c>
    </row>
    <row r="19" spans="1:4" x14ac:dyDescent="0.3">
      <c r="A19" s="128">
        <v>41456</v>
      </c>
      <c r="B19" s="129" t="s">
        <v>19</v>
      </c>
      <c r="C19" s="130" t="s">
        <v>7873</v>
      </c>
      <c r="D19" s="124">
        <v>138024679</v>
      </c>
    </row>
    <row r="20" spans="1:4" x14ac:dyDescent="0.3">
      <c r="A20" s="128">
        <v>41456</v>
      </c>
      <c r="B20" s="129" t="s">
        <v>1590</v>
      </c>
      <c r="C20" s="130" t="s">
        <v>7864</v>
      </c>
      <c r="D20" s="124">
        <v>157600000</v>
      </c>
    </row>
    <row r="21" spans="1:4" x14ac:dyDescent="0.3">
      <c r="A21" s="128">
        <v>41453</v>
      </c>
      <c r="B21" s="129" t="s">
        <v>3672</v>
      </c>
      <c r="C21" s="130" t="s">
        <v>7882</v>
      </c>
      <c r="D21" s="124">
        <v>152042954</v>
      </c>
    </row>
    <row r="22" spans="1:4" x14ac:dyDescent="0.3">
      <c r="A22" s="128">
        <v>41453</v>
      </c>
      <c r="B22" s="129" t="s">
        <v>3718</v>
      </c>
      <c r="C22" s="130" t="s">
        <v>7863</v>
      </c>
      <c r="D22" s="124">
        <v>173000000</v>
      </c>
    </row>
    <row r="23" spans="1:4" x14ac:dyDescent="0.3">
      <c r="A23" s="128">
        <v>41453</v>
      </c>
      <c r="B23" s="129" t="s">
        <v>11</v>
      </c>
      <c r="C23" s="130" t="s">
        <v>7867</v>
      </c>
      <c r="D23" s="124">
        <v>189000000</v>
      </c>
    </row>
    <row r="24" spans="1:4" x14ac:dyDescent="0.3">
      <c r="A24" s="128">
        <v>41452</v>
      </c>
      <c r="B24" s="129" t="s">
        <v>7</v>
      </c>
      <c r="C24" s="130" t="s">
        <v>7865</v>
      </c>
      <c r="D24" s="124">
        <v>141792245</v>
      </c>
    </row>
    <row r="25" spans="1:4" x14ac:dyDescent="0.3">
      <c r="A25" s="128">
        <v>41451</v>
      </c>
      <c r="B25" s="129" t="s">
        <v>1698</v>
      </c>
      <c r="C25" s="130" t="s">
        <v>7870</v>
      </c>
      <c r="D25" s="124">
        <v>153900000</v>
      </c>
    </row>
    <row r="26" spans="1:4" x14ac:dyDescent="0.3">
      <c r="A26" s="128">
        <v>41450</v>
      </c>
      <c r="B26" s="129" t="s">
        <v>2033</v>
      </c>
      <c r="C26" s="130" t="s">
        <v>7871</v>
      </c>
      <c r="D26" s="124">
        <v>152900000</v>
      </c>
    </row>
    <row r="27" spans="1:4" x14ac:dyDescent="0.3">
      <c r="A27" s="128">
        <v>41446</v>
      </c>
      <c r="B27" s="129" t="s">
        <v>7837</v>
      </c>
      <c r="C27" s="130" t="s">
        <v>7879</v>
      </c>
      <c r="D27" s="124">
        <v>155700000</v>
      </c>
    </row>
    <row r="28" spans="1:4" x14ac:dyDescent="0.3">
      <c r="A28" s="128">
        <v>41445</v>
      </c>
      <c r="B28" s="129" t="s">
        <v>1608</v>
      </c>
      <c r="C28" s="130" t="s">
        <v>7883</v>
      </c>
      <c r="D28" s="124">
        <v>148700000</v>
      </c>
    </row>
    <row r="29" spans="1:4" x14ac:dyDescent="0.3">
      <c r="A29" s="128">
        <v>41436</v>
      </c>
      <c r="B29" s="129" t="s">
        <v>17</v>
      </c>
      <c r="C29" s="130" t="s">
        <v>7869</v>
      </c>
      <c r="D29" s="124">
        <v>177000000</v>
      </c>
    </row>
    <row r="30" spans="1:4" x14ac:dyDescent="0.3">
      <c r="A30" s="128">
        <v>41435</v>
      </c>
      <c r="B30" s="129" t="s">
        <v>7838</v>
      </c>
      <c r="C30" s="130" t="s">
        <v>7862</v>
      </c>
      <c r="D30" s="124">
        <v>156000000</v>
      </c>
    </row>
    <row r="31" spans="1:4" x14ac:dyDescent="0.3">
      <c r="A31" s="128">
        <v>41401</v>
      </c>
      <c r="B31" s="129" t="s">
        <v>10</v>
      </c>
      <c r="C31" s="130" t="s">
        <v>7874</v>
      </c>
      <c r="D31" s="124"/>
    </row>
    <row r="32" spans="1:4" x14ac:dyDescent="0.3">
      <c r="A32" s="128">
        <v>41396</v>
      </c>
      <c r="B32" s="129" t="s">
        <v>20</v>
      </c>
      <c r="C32" s="130" t="s">
        <v>7875</v>
      </c>
      <c r="D32" s="124">
        <v>169000000</v>
      </c>
    </row>
    <row r="33" spans="1:4" x14ac:dyDescent="0.3">
      <c r="A33" s="128">
        <v>41394</v>
      </c>
      <c r="B33" s="129" t="s">
        <v>9</v>
      </c>
      <c r="C33" s="130" t="s">
        <v>7884</v>
      </c>
      <c r="D33" s="124">
        <v>138000000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2273" r:id="rId4" name="RefreshBtn1">
          <controlPr defaultSize="0" autoLine="0" autoPict="0" r:id="rId5">
            <anchor mov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647700</xdr:colOff>
                <xdr:row>1</xdr:row>
                <xdr:rowOff>9525</xdr:rowOff>
              </to>
            </anchor>
          </controlPr>
        </control>
      </mc:Choice>
      <mc:Fallback>
        <control shapeId="182273" r:id="rId4" name="RefreshBt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47"/>
  <sheetViews>
    <sheetView showGridLines="0" workbookViewId="0">
      <pane xSplit="3" ySplit="14" topLeftCell="D15" activePane="bottomRight" state="frozen"/>
      <selection pane="topRight" activeCell="D1" sqref="D1"/>
      <selection pane="bottomLeft" activeCell="A15" sqref="A15"/>
      <selection pane="bottomRight" activeCell="C16" sqref="C16"/>
    </sheetView>
  </sheetViews>
  <sheetFormatPr defaultColWidth="9" defaultRowHeight="12" x14ac:dyDescent="0.3"/>
  <cols>
    <col min="1" max="4" width="14.625" style="95" customWidth="1"/>
    <col min="5" max="16384" width="9" style="95"/>
  </cols>
  <sheetData>
    <row r="1" spans="1:4" ht="15" customHeight="1" x14ac:dyDescent="0.3">
      <c r="A1" s="93" t="s">
        <v>3</v>
      </c>
      <c r="B1" s="95" t="s">
        <v>7857</v>
      </c>
    </row>
    <row r="3" spans="1:4" x14ac:dyDescent="0.3">
      <c r="A3" s="3" t="s">
        <v>7885</v>
      </c>
      <c r="C3" s="115" t="s">
        <v>7834</v>
      </c>
    </row>
    <row r="4" spans="1:4" x14ac:dyDescent="0.3">
      <c r="A4" s="96" t="s">
        <v>7835</v>
      </c>
      <c r="B4" s="116" t="str">
        <f>'W1'!B4</f>
        <v>A097950</v>
      </c>
      <c r="C4" s="96" t="s">
        <v>3589</v>
      </c>
    </row>
    <row r="5" spans="1:4" x14ac:dyDescent="0.3">
      <c r="A5" s="99" t="s">
        <v>7836</v>
      </c>
      <c r="B5" s="117" t="str">
        <f ca="1">최종!AA3</f>
        <v>20130704</v>
      </c>
      <c r="C5" s="99" t="s">
        <v>2</v>
      </c>
    </row>
    <row r="7" spans="1:4" x14ac:dyDescent="0.3">
      <c r="A7" s="118"/>
      <c r="B7" s="118"/>
      <c r="C7" s="118"/>
      <c r="D7" s="118" t="s">
        <v>3590</v>
      </c>
    </row>
    <row r="8" spans="1:4" x14ac:dyDescent="0.3">
      <c r="A8" s="102"/>
      <c r="B8" s="102"/>
      <c r="C8" s="102"/>
      <c r="D8" s="98">
        <f>Main!B4</f>
        <v>201306</v>
      </c>
    </row>
    <row r="9" spans="1:4" x14ac:dyDescent="0.3">
      <c r="A9" s="119"/>
      <c r="B9" s="120">
        <v>20130701</v>
      </c>
      <c r="C9" s="119"/>
      <c r="D9" s="102" t="s">
        <v>12</v>
      </c>
    </row>
    <row r="10" spans="1:4" x14ac:dyDescent="0.3">
      <c r="A10" s="121"/>
      <c r="B10" s="121" t="s">
        <v>7839</v>
      </c>
      <c r="C10" s="121"/>
      <c r="D10" s="122">
        <v>157597424</v>
      </c>
    </row>
    <row r="11" spans="1:4" x14ac:dyDescent="0.3">
      <c r="A11" s="123"/>
      <c r="B11" s="123" t="s">
        <v>7840</v>
      </c>
      <c r="C11" s="123"/>
      <c r="D11" s="124">
        <v>189000000</v>
      </c>
    </row>
    <row r="12" spans="1:4" x14ac:dyDescent="0.3">
      <c r="A12" s="123"/>
      <c r="B12" s="123" t="s">
        <v>7841</v>
      </c>
      <c r="C12" s="123"/>
      <c r="D12" s="124">
        <f>MEDIAN($D$15:$D$33)</f>
        <v>154800000</v>
      </c>
    </row>
    <row r="13" spans="1:4" x14ac:dyDescent="0.3">
      <c r="A13" s="123"/>
      <c r="B13" s="123" t="s">
        <v>7842</v>
      </c>
      <c r="C13" s="123"/>
      <c r="D13" s="124">
        <v>138000000</v>
      </c>
    </row>
    <row r="14" spans="1:4" x14ac:dyDescent="0.3">
      <c r="A14" s="125" t="s">
        <v>13</v>
      </c>
      <c r="B14" s="126" t="s">
        <v>14</v>
      </c>
      <c r="C14" s="126" t="s">
        <v>15</v>
      </c>
      <c r="D14" s="127"/>
    </row>
    <row r="15" spans="1:4" x14ac:dyDescent="0.3">
      <c r="A15" s="128">
        <v>41456</v>
      </c>
      <c r="B15" s="129" t="s">
        <v>19</v>
      </c>
      <c r="C15" s="130" t="s">
        <v>7873</v>
      </c>
      <c r="D15" s="124">
        <v>138024679</v>
      </c>
    </row>
    <row r="16" spans="1:4" x14ac:dyDescent="0.3">
      <c r="A16" s="128">
        <v>41456</v>
      </c>
      <c r="B16" s="129" t="s">
        <v>1590</v>
      </c>
      <c r="C16" s="130" t="s">
        <v>7864</v>
      </c>
      <c r="D16" s="124">
        <v>157600000</v>
      </c>
    </row>
    <row r="17" spans="1:4" x14ac:dyDescent="0.3">
      <c r="A17" s="128">
        <v>41456</v>
      </c>
      <c r="B17" s="129" t="s">
        <v>6</v>
      </c>
      <c r="C17" s="130" t="s">
        <v>7878</v>
      </c>
      <c r="D17" s="124">
        <v>152714140</v>
      </c>
    </row>
    <row r="18" spans="1:4" x14ac:dyDescent="0.3">
      <c r="A18" s="128">
        <v>41453</v>
      </c>
      <c r="B18" s="129" t="s">
        <v>3672</v>
      </c>
      <c r="C18" s="130" t="s">
        <v>7882</v>
      </c>
      <c r="D18" s="124">
        <v>152042954</v>
      </c>
    </row>
    <row r="19" spans="1:4" x14ac:dyDescent="0.3">
      <c r="A19" s="128">
        <v>41453</v>
      </c>
      <c r="B19" s="129" t="s">
        <v>3718</v>
      </c>
      <c r="C19" s="130" t="s">
        <v>7863</v>
      </c>
      <c r="D19" s="124">
        <v>173000000</v>
      </c>
    </row>
    <row r="20" spans="1:4" x14ac:dyDescent="0.3">
      <c r="A20" s="128">
        <v>41453</v>
      </c>
      <c r="B20" s="129" t="s">
        <v>11</v>
      </c>
      <c r="C20" s="130" t="s">
        <v>7867</v>
      </c>
      <c r="D20" s="124">
        <v>189000000</v>
      </c>
    </row>
    <row r="21" spans="1:4" x14ac:dyDescent="0.3">
      <c r="A21" s="128">
        <v>41452</v>
      </c>
      <c r="B21" s="129" t="s">
        <v>7</v>
      </c>
      <c r="C21" s="130" t="s">
        <v>7865</v>
      </c>
      <c r="D21" s="124">
        <v>141792245</v>
      </c>
    </row>
    <row r="22" spans="1:4" x14ac:dyDescent="0.3">
      <c r="A22" s="128">
        <v>41451</v>
      </c>
      <c r="B22" s="129" t="s">
        <v>1698</v>
      </c>
      <c r="C22" s="130" t="s">
        <v>7870</v>
      </c>
      <c r="D22" s="124">
        <v>153900000</v>
      </c>
    </row>
    <row r="23" spans="1:4" x14ac:dyDescent="0.3">
      <c r="A23" s="128">
        <v>41450</v>
      </c>
      <c r="B23" s="129" t="s">
        <v>2033</v>
      </c>
      <c r="C23" s="130" t="s">
        <v>7871</v>
      </c>
      <c r="D23" s="124">
        <v>152900000</v>
      </c>
    </row>
    <row r="24" spans="1:4" x14ac:dyDescent="0.3">
      <c r="A24" s="128">
        <v>41446</v>
      </c>
      <c r="B24" s="129" t="s">
        <v>7837</v>
      </c>
      <c r="C24" s="130" t="s">
        <v>7879</v>
      </c>
      <c r="D24" s="124">
        <v>155700000</v>
      </c>
    </row>
    <row r="25" spans="1:4" x14ac:dyDescent="0.3">
      <c r="A25" s="128">
        <v>41446</v>
      </c>
      <c r="B25" s="129" t="s">
        <v>8</v>
      </c>
      <c r="C25" s="130" t="s">
        <v>7868</v>
      </c>
      <c r="D25" s="124">
        <v>166184770</v>
      </c>
    </row>
    <row r="26" spans="1:4" x14ac:dyDescent="0.3">
      <c r="A26" s="128">
        <v>41445</v>
      </c>
      <c r="B26" s="129" t="s">
        <v>1608</v>
      </c>
      <c r="C26" s="130" t="s">
        <v>7883</v>
      </c>
      <c r="D26" s="124">
        <v>148700000</v>
      </c>
    </row>
    <row r="27" spans="1:4" x14ac:dyDescent="0.3">
      <c r="A27" s="128">
        <v>41436</v>
      </c>
      <c r="B27" s="129" t="s">
        <v>17</v>
      </c>
      <c r="C27" s="130" t="s">
        <v>7869</v>
      </c>
      <c r="D27" s="124">
        <v>177000000</v>
      </c>
    </row>
    <row r="28" spans="1:4" x14ac:dyDescent="0.3">
      <c r="A28" s="128">
        <v>41435</v>
      </c>
      <c r="B28" s="129" t="s">
        <v>7838</v>
      </c>
      <c r="C28" s="130" t="s">
        <v>7862</v>
      </c>
      <c r="D28" s="124">
        <v>156000000</v>
      </c>
    </row>
    <row r="29" spans="1:4" x14ac:dyDescent="0.3">
      <c r="A29" s="128">
        <v>41401</v>
      </c>
      <c r="B29" s="129" t="s">
        <v>10</v>
      </c>
      <c r="C29" s="130" t="s">
        <v>7874</v>
      </c>
      <c r="D29" s="124"/>
    </row>
    <row r="30" spans="1:4" x14ac:dyDescent="0.3">
      <c r="A30" s="128">
        <v>41396</v>
      </c>
      <c r="B30" s="129" t="s">
        <v>20</v>
      </c>
      <c r="C30" s="130" t="s">
        <v>7875</v>
      </c>
      <c r="D30" s="124">
        <v>169000000</v>
      </c>
    </row>
    <row r="31" spans="1:4" x14ac:dyDescent="0.3">
      <c r="A31" s="128">
        <v>41396</v>
      </c>
      <c r="B31" s="129" t="s">
        <v>2728</v>
      </c>
      <c r="C31" s="130" t="s">
        <v>7877</v>
      </c>
      <c r="D31" s="124"/>
    </row>
    <row r="32" spans="1:4" x14ac:dyDescent="0.3">
      <c r="A32" s="128">
        <v>41394</v>
      </c>
      <c r="B32" s="129" t="s">
        <v>9</v>
      </c>
      <c r="C32" s="130" t="s">
        <v>7884</v>
      </c>
      <c r="D32" s="124">
        <v>138000000</v>
      </c>
    </row>
    <row r="33" spans="1:4" x14ac:dyDescent="0.3">
      <c r="A33" s="128">
        <v>41376</v>
      </c>
      <c r="B33" s="129" t="s">
        <v>18</v>
      </c>
      <c r="C33" s="130" t="s">
        <v>7876</v>
      </c>
      <c r="D33" s="124"/>
    </row>
    <row r="34" spans="1:4" x14ac:dyDescent="0.3">
      <c r="A34" s="131"/>
      <c r="B34" s="129"/>
      <c r="C34" s="130"/>
      <c r="D34" s="124"/>
    </row>
    <row r="35" spans="1:4" x14ac:dyDescent="0.3">
      <c r="A35" s="131"/>
      <c r="B35" s="129"/>
      <c r="C35" s="130"/>
      <c r="D35" s="124"/>
    </row>
    <row r="36" spans="1:4" x14ac:dyDescent="0.3">
      <c r="A36" s="131"/>
      <c r="B36" s="129"/>
      <c r="C36" s="130"/>
      <c r="D36" s="124"/>
    </row>
    <row r="37" spans="1:4" x14ac:dyDescent="0.3">
      <c r="A37" s="131"/>
      <c r="B37" s="129"/>
      <c r="C37" s="130"/>
      <c r="D37" s="124"/>
    </row>
    <row r="38" spans="1:4" x14ac:dyDescent="0.3">
      <c r="A38" s="131"/>
      <c r="B38" s="129"/>
      <c r="C38" s="130"/>
      <c r="D38" s="124"/>
    </row>
    <row r="39" spans="1:4" x14ac:dyDescent="0.3">
      <c r="A39" s="131"/>
      <c r="B39" s="129"/>
      <c r="C39" s="130"/>
      <c r="D39" s="124"/>
    </row>
    <row r="40" spans="1:4" x14ac:dyDescent="0.3">
      <c r="A40" s="131"/>
      <c r="B40" s="129"/>
      <c r="C40" s="130"/>
      <c r="D40" s="124"/>
    </row>
    <row r="41" spans="1:4" x14ac:dyDescent="0.3">
      <c r="A41" s="131"/>
      <c r="B41" s="129"/>
      <c r="C41" s="130"/>
      <c r="D41" s="124"/>
    </row>
    <row r="42" spans="1:4" x14ac:dyDescent="0.3">
      <c r="A42" s="131"/>
      <c r="B42" s="129"/>
      <c r="C42" s="130"/>
      <c r="D42" s="124"/>
    </row>
    <row r="43" spans="1:4" x14ac:dyDescent="0.3">
      <c r="A43" s="131"/>
      <c r="B43" s="129"/>
      <c r="C43" s="130"/>
      <c r="D43" s="124"/>
    </row>
    <row r="44" spans="1:4" x14ac:dyDescent="0.3">
      <c r="A44" s="131"/>
      <c r="B44" s="129"/>
      <c r="C44" s="130"/>
      <c r="D44" s="124"/>
    </row>
    <row r="45" spans="1:4" x14ac:dyDescent="0.3">
      <c r="A45" s="131"/>
      <c r="B45" s="129"/>
      <c r="C45" s="130"/>
      <c r="D45" s="124"/>
    </row>
    <row r="46" spans="1:4" x14ac:dyDescent="0.3">
      <c r="A46" s="131"/>
      <c r="B46" s="129"/>
      <c r="C46" s="130"/>
      <c r="D46" s="124"/>
    </row>
    <row r="47" spans="1:4" x14ac:dyDescent="0.3">
      <c r="A47" s="131"/>
      <c r="B47" s="129"/>
      <c r="C47" s="130"/>
      <c r="D47" s="124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RefreshBtn1">
          <controlPr defaultSize="0" autoLine="0" autoPict="0" r:id="rId5">
            <anchor mov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647700</xdr:colOff>
                <xdr:row>1</xdr:row>
                <xdr:rowOff>9525</xdr:rowOff>
              </to>
            </anchor>
          </controlPr>
        </control>
      </mc:Choice>
      <mc:Fallback>
        <control shapeId="3073" r:id="rId4" name="RefreshBt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357"/>
  <sheetViews>
    <sheetView showGridLines="0" workbookViewId="0">
      <pane xSplit="1" ySplit="14" topLeftCell="B15" activePane="bottomRight" state="frozen"/>
      <selection pane="topRight" activeCell="B1" sqref="B1"/>
      <selection pane="bottomLeft" activeCell="A15" sqref="A15"/>
      <selection pane="bottomRight" activeCell="B16" sqref="B16"/>
    </sheetView>
  </sheetViews>
  <sheetFormatPr defaultColWidth="9" defaultRowHeight="12" x14ac:dyDescent="0.3"/>
  <cols>
    <col min="1" max="3" width="14.625" style="95" customWidth="1"/>
    <col min="4" max="16384" width="9" style="95"/>
  </cols>
  <sheetData>
    <row r="1" spans="1:4" ht="15" customHeight="1" x14ac:dyDescent="0.3">
      <c r="A1" s="93" t="s">
        <v>23</v>
      </c>
      <c r="B1" s="94" t="s">
        <v>7857</v>
      </c>
    </row>
    <row r="2" spans="1:4" x14ac:dyDescent="0.3">
      <c r="A2" s="93">
        <v>0</v>
      </c>
    </row>
    <row r="3" spans="1:4" x14ac:dyDescent="0.3">
      <c r="A3" s="3" t="s">
        <v>21</v>
      </c>
    </row>
    <row r="4" spans="1:4" x14ac:dyDescent="0.3">
      <c r="A4" s="96" t="s">
        <v>7843</v>
      </c>
      <c r="B4" s="96" t="s">
        <v>22</v>
      </c>
      <c r="C4" s="96" t="s">
        <v>3118</v>
      </c>
      <c r="D4" s="93">
        <v>0</v>
      </c>
    </row>
    <row r="5" spans="1:4" x14ac:dyDescent="0.3">
      <c r="A5" s="97" t="s">
        <v>7844</v>
      </c>
      <c r="B5" s="132" t="str">
        <f ca="1">최종!AC3</f>
        <v>20130403</v>
      </c>
      <c r="C5" s="97" t="s">
        <v>2</v>
      </c>
      <c r="D5" s="93">
        <v>0</v>
      </c>
    </row>
    <row r="6" spans="1:4" x14ac:dyDescent="0.3">
      <c r="A6" s="99" t="s">
        <v>7845</v>
      </c>
      <c r="B6" s="133" t="str">
        <f ca="1">최종!AD3</f>
        <v>20130801</v>
      </c>
      <c r="C6" s="99"/>
      <c r="D6" s="93">
        <v>0</v>
      </c>
    </row>
    <row r="8" spans="1:4" x14ac:dyDescent="0.3">
      <c r="A8" s="134" t="s">
        <v>3729</v>
      </c>
      <c r="B8" s="135" t="str">
        <f>'W1'!B4</f>
        <v>A097950</v>
      </c>
      <c r="C8" s="135" t="str">
        <f>B8</f>
        <v>A097950</v>
      </c>
    </row>
    <row r="9" spans="1:4" x14ac:dyDescent="0.3">
      <c r="A9" s="136" t="s">
        <v>7847</v>
      </c>
      <c r="B9" s="137" t="s">
        <v>7860</v>
      </c>
      <c r="C9" s="137" t="s">
        <v>7887</v>
      </c>
    </row>
    <row r="10" spans="1:4" x14ac:dyDescent="0.3">
      <c r="A10" s="138" t="s">
        <v>7848</v>
      </c>
      <c r="B10" s="95" t="s">
        <v>16</v>
      </c>
      <c r="C10" s="95" t="s">
        <v>7936</v>
      </c>
    </row>
    <row r="11" spans="1:4" x14ac:dyDescent="0.3">
      <c r="A11" s="138" t="s">
        <v>7849</v>
      </c>
      <c r="B11" s="95" t="s">
        <v>3024</v>
      </c>
      <c r="C11" s="95" t="s">
        <v>3024</v>
      </c>
    </row>
    <row r="12" spans="1:4" x14ac:dyDescent="0.3">
      <c r="A12" s="138" t="s">
        <v>7850</v>
      </c>
      <c r="B12" s="97">
        <f>Main!B4</f>
        <v>201306</v>
      </c>
      <c r="C12" s="97">
        <f>Main!G4</f>
        <v>201309</v>
      </c>
    </row>
    <row r="13" spans="1:4" x14ac:dyDescent="0.3">
      <c r="A13" s="138"/>
      <c r="B13" s="139"/>
      <c r="C13" s="140"/>
    </row>
    <row r="14" spans="1:4" x14ac:dyDescent="0.3">
      <c r="A14" s="104" t="s">
        <v>7886</v>
      </c>
      <c r="B14" s="137" t="s">
        <v>7851</v>
      </c>
      <c r="C14" s="137" t="s">
        <v>7851</v>
      </c>
    </row>
    <row r="15" spans="1:4" x14ac:dyDescent="0.3">
      <c r="A15" s="141">
        <v>41484</v>
      </c>
      <c r="B15" s="142">
        <v>148.53</v>
      </c>
      <c r="C15" s="142">
        <v>147.61000000000001</v>
      </c>
    </row>
    <row r="16" spans="1:4" x14ac:dyDescent="0.3">
      <c r="A16" s="141">
        <v>41481</v>
      </c>
      <c r="B16" s="142">
        <v>148.53</v>
      </c>
      <c r="C16" s="142">
        <v>147.61000000000001</v>
      </c>
    </row>
    <row r="17" spans="1:3" x14ac:dyDescent="0.3">
      <c r="A17" s="141">
        <v>41480</v>
      </c>
      <c r="B17" s="142">
        <v>148.53</v>
      </c>
      <c r="C17" s="142">
        <v>147.61000000000001</v>
      </c>
    </row>
    <row r="18" spans="1:3" x14ac:dyDescent="0.3">
      <c r="A18" s="141">
        <v>41479</v>
      </c>
      <c r="B18" s="142">
        <v>148.53</v>
      </c>
      <c r="C18" s="142">
        <v>147.61000000000001</v>
      </c>
    </row>
    <row r="19" spans="1:3" x14ac:dyDescent="0.3">
      <c r="A19" s="141">
        <v>41478</v>
      </c>
      <c r="B19" s="142">
        <v>148.53</v>
      </c>
      <c r="C19" s="142">
        <v>147.61000000000001</v>
      </c>
    </row>
    <row r="20" spans="1:3" x14ac:dyDescent="0.3">
      <c r="A20" s="141">
        <v>41477</v>
      </c>
      <c r="B20" s="142">
        <v>148.53</v>
      </c>
      <c r="C20" s="142">
        <v>147.61000000000001</v>
      </c>
    </row>
    <row r="21" spans="1:3" x14ac:dyDescent="0.3">
      <c r="A21" s="141">
        <v>41474</v>
      </c>
      <c r="B21" s="142">
        <v>148.53</v>
      </c>
      <c r="C21" s="142">
        <v>148.09</v>
      </c>
    </row>
    <row r="22" spans="1:3" x14ac:dyDescent="0.3">
      <c r="A22" s="141">
        <v>41473</v>
      </c>
      <c r="B22" s="142">
        <v>148.69999999999999</v>
      </c>
      <c r="C22" s="142">
        <v>147.03</v>
      </c>
    </row>
    <row r="23" spans="1:3" x14ac:dyDescent="0.3">
      <c r="A23" s="141">
        <v>41472</v>
      </c>
      <c r="B23" s="142">
        <v>149.41999999999999</v>
      </c>
      <c r="C23" s="142">
        <v>147.47</v>
      </c>
    </row>
    <row r="24" spans="1:3" x14ac:dyDescent="0.3">
      <c r="A24" s="141">
        <v>41471</v>
      </c>
      <c r="B24" s="142">
        <v>151.12</v>
      </c>
      <c r="C24" s="142">
        <v>148.38</v>
      </c>
    </row>
    <row r="25" spans="1:3" x14ac:dyDescent="0.3">
      <c r="A25" s="141">
        <v>41470</v>
      </c>
      <c r="B25" s="142">
        <v>152.74</v>
      </c>
      <c r="C25" s="142">
        <v>150.46</v>
      </c>
    </row>
    <row r="26" spans="1:3" x14ac:dyDescent="0.3">
      <c r="A26" s="141">
        <v>41467</v>
      </c>
      <c r="B26" s="142">
        <v>155.36000000000001</v>
      </c>
      <c r="C26" s="142">
        <v>152.41</v>
      </c>
    </row>
    <row r="27" spans="1:3" x14ac:dyDescent="0.3">
      <c r="A27" s="141">
        <v>41466</v>
      </c>
      <c r="B27" s="142">
        <v>156.15</v>
      </c>
      <c r="C27" s="142">
        <v>153.9</v>
      </c>
    </row>
    <row r="28" spans="1:3" x14ac:dyDescent="0.3">
      <c r="A28" s="141">
        <v>41465</v>
      </c>
      <c r="B28" s="142">
        <v>156.15</v>
      </c>
      <c r="C28" s="142">
        <v>156.78</v>
      </c>
    </row>
    <row r="29" spans="1:3" x14ac:dyDescent="0.3">
      <c r="A29" s="141">
        <v>41464</v>
      </c>
      <c r="B29" s="142">
        <v>156.15</v>
      </c>
      <c r="C29" s="142">
        <v>156.78</v>
      </c>
    </row>
    <row r="30" spans="1:3" x14ac:dyDescent="0.3">
      <c r="A30" s="141">
        <v>41463</v>
      </c>
      <c r="B30" s="142">
        <v>156.13</v>
      </c>
      <c r="C30" s="142">
        <v>155.01</v>
      </c>
    </row>
    <row r="31" spans="1:3" x14ac:dyDescent="0.3">
      <c r="A31" s="141">
        <v>41460</v>
      </c>
      <c r="B31" s="142">
        <v>156.13</v>
      </c>
      <c r="C31" s="142">
        <v>155.01</v>
      </c>
    </row>
    <row r="32" spans="1:3" x14ac:dyDescent="0.3">
      <c r="A32" s="141">
        <v>41459</v>
      </c>
      <c r="B32" s="142">
        <v>156.11000000000001</v>
      </c>
      <c r="C32" s="142">
        <v>154.96</v>
      </c>
    </row>
    <row r="33" spans="1:3" x14ac:dyDescent="0.3">
      <c r="A33" s="141">
        <v>41458</v>
      </c>
      <c r="B33" s="142">
        <v>156.11000000000001</v>
      </c>
      <c r="C33" s="142">
        <v>154.96</v>
      </c>
    </row>
    <row r="34" spans="1:3" x14ac:dyDescent="0.3">
      <c r="A34" s="141">
        <v>41457</v>
      </c>
      <c r="B34" s="142">
        <v>157.33000000000001</v>
      </c>
      <c r="C34" s="142">
        <v>158.01</v>
      </c>
    </row>
    <row r="35" spans="1:3" x14ac:dyDescent="0.3">
      <c r="A35" s="141">
        <v>41456</v>
      </c>
      <c r="B35" s="142">
        <v>157.6</v>
      </c>
      <c r="C35" s="142">
        <v>158.72</v>
      </c>
    </row>
    <row r="36" spans="1:3" x14ac:dyDescent="0.3">
      <c r="A36" s="141">
        <v>41453</v>
      </c>
      <c r="B36" s="142">
        <v>157.6</v>
      </c>
      <c r="C36" s="142">
        <v>163.05000000000001</v>
      </c>
    </row>
    <row r="37" spans="1:3" x14ac:dyDescent="0.3">
      <c r="A37" s="141">
        <v>41452</v>
      </c>
      <c r="B37" s="142">
        <v>157.6</v>
      </c>
      <c r="C37" s="142">
        <v>162.37</v>
      </c>
    </row>
    <row r="38" spans="1:3" x14ac:dyDescent="0.3">
      <c r="A38" s="141">
        <v>41451</v>
      </c>
      <c r="B38" s="142">
        <v>158.69</v>
      </c>
      <c r="C38" s="142">
        <v>163.6</v>
      </c>
    </row>
    <row r="39" spans="1:3" x14ac:dyDescent="0.3">
      <c r="A39" s="141">
        <v>41450</v>
      </c>
      <c r="B39" s="142">
        <v>158.97</v>
      </c>
      <c r="C39" s="142">
        <v>162.78</v>
      </c>
    </row>
    <row r="40" spans="1:3" x14ac:dyDescent="0.3">
      <c r="A40" s="141">
        <v>41449</v>
      </c>
      <c r="B40" s="142">
        <v>158.97</v>
      </c>
      <c r="C40" s="142">
        <v>162.78</v>
      </c>
    </row>
    <row r="41" spans="1:3" x14ac:dyDescent="0.3">
      <c r="A41" s="141">
        <v>41446</v>
      </c>
      <c r="B41" s="142">
        <v>158.97</v>
      </c>
      <c r="C41" s="142">
        <v>161.68</v>
      </c>
    </row>
    <row r="42" spans="1:3" x14ac:dyDescent="0.3">
      <c r="A42" s="141">
        <v>41445</v>
      </c>
      <c r="B42" s="142">
        <v>158.85</v>
      </c>
      <c r="C42" s="142">
        <v>161.47</v>
      </c>
    </row>
    <row r="43" spans="1:3" x14ac:dyDescent="0.3">
      <c r="A43" s="141">
        <v>41444</v>
      </c>
      <c r="B43" s="142">
        <v>158.08000000000001</v>
      </c>
      <c r="C43" s="142">
        <v>159.72</v>
      </c>
    </row>
    <row r="44" spans="1:3" x14ac:dyDescent="0.3">
      <c r="A44" s="141">
        <v>41443</v>
      </c>
      <c r="B44" s="142">
        <v>158.69999999999999</v>
      </c>
      <c r="C44" s="142">
        <v>160.83000000000001</v>
      </c>
    </row>
    <row r="45" spans="1:3" x14ac:dyDescent="0.3">
      <c r="A45" s="141">
        <v>41442</v>
      </c>
      <c r="B45" s="142">
        <v>158.69999999999999</v>
      </c>
      <c r="C45" s="142">
        <v>160.83000000000001</v>
      </c>
    </row>
    <row r="46" spans="1:3" x14ac:dyDescent="0.3">
      <c r="A46" s="141">
        <v>41439</v>
      </c>
      <c r="B46" s="142">
        <v>158.69999999999999</v>
      </c>
      <c r="C46" s="142">
        <v>160.83000000000001</v>
      </c>
    </row>
    <row r="47" spans="1:3" x14ac:dyDescent="0.3">
      <c r="A47" s="141">
        <v>41438</v>
      </c>
      <c r="B47" s="142">
        <v>159.16</v>
      </c>
      <c r="C47" s="142">
        <v>161.63</v>
      </c>
    </row>
    <row r="48" spans="1:3" x14ac:dyDescent="0.3">
      <c r="A48" s="141">
        <v>41437</v>
      </c>
      <c r="B48" s="142">
        <v>159.16</v>
      </c>
      <c r="C48" s="142">
        <v>161.63</v>
      </c>
    </row>
    <row r="49" spans="1:3" x14ac:dyDescent="0.3">
      <c r="A49" s="141">
        <v>41436</v>
      </c>
      <c r="B49" s="142">
        <v>159.16</v>
      </c>
      <c r="C49" s="142">
        <v>161.63</v>
      </c>
    </row>
    <row r="50" spans="1:3" x14ac:dyDescent="0.3">
      <c r="A50" s="141">
        <v>41435</v>
      </c>
      <c r="B50" s="142">
        <v>157.97</v>
      </c>
      <c r="C50" s="142">
        <v>159.71</v>
      </c>
    </row>
    <row r="51" spans="1:3" x14ac:dyDescent="0.3">
      <c r="A51" s="141">
        <v>41432</v>
      </c>
      <c r="B51" s="142">
        <v>157.97</v>
      </c>
      <c r="C51" s="142">
        <v>159.71</v>
      </c>
    </row>
    <row r="52" spans="1:3" x14ac:dyDescent="0.3">
      <c r="A52" s="141">
        <v>41430</v>
      </c>
      <c r="B52" s="142">
        <v>157.97</v>
      </c>
      <c r="C52" s="142">
        <v>157.72</v>
      </c>
    </row>
    <row r="53" spans="1:3" x14ac:dyDescent="0.3">
      <c r="A53" s="141">
        <v>41429</v>
      </c>
      <c r="B53" s="142">
        <v>157.97</v>
      </c>
      <c r="C53" s="142">
        <v>157.72</v>
      </c>
    </row>
    <row r="54" spans="1:3" x14ac:dyDescent="0.3">
      <c r="A54" s="141">
        <v>41428</v>
      </c>
      <c r="B54" s="142">
        <v>157.97999999999999</v>
      </c>
      <c r="C54" s="142">
        <v>156.66</v>
      </c>
    </row>
    <row r="55" spans="1:3" x14ac:dyDescent="0.3">
      <c r="A55" s="141">
        <v>41425</v>
      </c>
      <c r="B55" s="142">
        <v>157.97999999999999</v>
      </c>
      <c r="C55" s="142">
        <v>160.79</v>
      </c>
    </row>
    <row r="56" spans="1:3" x14ac:dyDescent="0.3">
      <c r="A56" s="141">
        <v>41424</v>
      </c>
      <c r="B56" s="142">
        <v>157.91999999999999</v>
      </c>
      <c r="C56" s="142">
        <v>159.11000000000001</v>
      </c>
    </row>
    <row r="57" spans="1:3" x14ac:dyDescent="0.3">
      <c r="A57" s="141">
        <v>41423</v>
      </c>
      <c r="B57" s="142">
        <v>157.91999999999999</v>
      </c>
      <c r="C57" s="142">
        <v>159.11000000000001</v>
      </c>
    </row>
    <row r="58" spans="1:3" x14ac:dyDescent="0.3">
      <c r="A58" s="141">
        <v>41422</v>
      </c>
      <c r="B58" s="142">
        <v>157.27000000000001</v>
      </c>
      <c r="C58" s="142">
        <v>157.27000000000001</v>
      </c>
    </row>
    <row r="59" spans="1:3" x14ac:dyDescent="0.3">
      <c r="A59" s="141">
        <v>41421</v>
      </c>
      <c r="B59" s="142">
        <v>157.27000000000001</v>
      </c>
      <c r="C59" s="142">
        <v>157.27000000000001</v>
      </c>
    </row>
    <row r="60" spans="1:3" x14ac:dyDescent="0.3">
      <c r="A60" s="141">
        <v>41418</v>
      </c>
      <c r="B60" s="142">
        <v>157.30000000000001</v>
      </c>
      <c r="C60" s="142">
        <v>157.30000000000001</v>
      </c>
    </row>
    <row r="61" spans="1:3" x14ac:dyDescent="0.3">
      <c r="A61" s="141">
        <v>41417</v>
      </c>
      <c r="B61" s="142">
        <v>157.30000000000001</v>
      </c>
      <c r="C61" s="142">
        <v>157.30000000000001</v>
      </c>
    </row>
    <row r="62" spans="1:3" x14ac:dyDescent="0.3">
      <c r="A62" s="141">
        <v>41416</v>
      </c>
      <c r="B62" s="142">
        <v>156.06</v>
      </c>
      <c r="C62" s="142">
        <v>156.06</v>
      </c>
    </row>
    <row r="63" spans="1:3" x14ac:dyDescent="0.3">
      <c r="A63" s="141">
        <v>41415</v>
      </c>
      <c r="B63" s="142">
        <v>156.06</v>
      </c>
      <c r="C63" s="142">
        <v>156.06</v>
      </c>
    </row>
    <row r="64" spans="1:3" x14ac:dyDescent="0.3">
      <c r="A64" s="141">
        <v>41414</v>
      </c>
      <c r="B64" s="142">
        <v>156.06</v>
      </c>
      <c r="C64" s="142">
        <v>156.06</v>
      </c>
    </row>
    <row r="65" spans="1:3" x14ac:dyDescent="0.3">
      <c r="A65" s="141">
        <v>41410</v>
      </c>
      <c r="B65" s="142">
        <v>158.13999999999999</v>
      </c>
      <c r="C65" s="142">
        <v>158.13999999999999</v>
      </c>
    </row>
    <row r="66" spans="1:3" x14ac:dyDescent="0.3">
      <c r="A66" s="141">
        <v>41409</v>
      </c>
      <c r="B66" s="142">
        <v>158.13999999999999</v>
      </c>
      <c r="C66" s="142">
        <v>158.13999999999999</v>
      </c>
    </row>
    <row r="67" spans="1:3" x14ac:dyDescent="0.3">
      <c r="A67" s="141">
        <v>41408</v>
      </c>
      <c r="B67" s="142">
        <v>158.13999999999999</v>
      </c>
      <c r="C67" s="142">
        <v>158.13999999999999</v>
      </c>
    </row>
    <row r="68" spans="1:3" x14ac:dyDescent="0.3">
      <c r="A68" s="141">
        <v>41407</v>
      </c>
      <c r="B68" s="142">
        <v>157.53</v>
      </c>
      <c r="C68" s="142">
        <v>157.53</v>
      </c>
    </row>
    <row r="69" spans="1:3" x14ac:dyDescent="0.3">
      <c r="A69" s="141">
        <v>41404</v>
      </c>
      <c r="B69" s="142">
        <v>157.53</v>
      </c>
      <c r="C69" s="142">
        <v>157.53</v>
      </c>
    </row>
    <row r="70" spans="1:3" x14ac:dyDescent="0.3">
      <c r="A70" s="141">
        <v>41403</v>
      </c>
      <c r="B70" s="142">
        <v>157.53</v>
      </c>
      <c r="C70" s="142">
        <v>157.53</v>
      </c>
    </row>
    <row r="71" spans="1:3" x14ac:dyDescent="0.3">
      <c r="A71" s="141">
        <v>41402</v>
      </c>
      <c r="B71" s="142">
        <v>157.53</v>
      </c>
      <c r="C71" s="142">
        <v>157.53</v>
      </c>
    </row>
    <row r="72" spans="1:3" x14ac:dyDescent="0.3">
      <c r="A72" s="141">
        <v>41401</v>
      </c>
      <c r="B72" s="142">
        <v>157.53</v>
      </c>
      <c r="C72" s="142">
        <v>157.53</v>
      </c>
    </row>
    <row r="73" spans="1:3" x14ac:dyDescent="0.3">
      <c r="A73" s="141">
        <v>41400</v>
      </c>
      <c r="B73" s="142">
        <v>157.55000000000001</v>
      </c>
      <c r="C73" s="142">
        <v>157.55000000000001</v>
      </c>
    </row>
    <row r="74" spans="1:3" x14ac:dyDescent="0.3">
      <c r="A74" s="141">
        <v>41397</v>
      </c>
      <c r="B74" s="142">
        <v>157.55000000000001</v>
      </c>
      <c r="C74" s="142">
        <v>157.55000000000001</v>
      </c>
    </row>
    <row r="75" spans="1:3" x14ac:dyDescent="0.3">
      <c r="A75" s="141">
        <v>41396</v>
      </c>
      <c r="B75" s="142">
        <v>157.53</v>
      </c>
      <c r="C75" s="142">
        <v>157.53</v>
      </c>
    </row>
    <row r="76" spans="1:3" x14ac:dyDescent="0.3">
      <c r="A76" s="141">
        <v>41394</v>
      </c>
      <c r="B76" s="142">
        <v>145.05000000000001</v>
      </c>
      <c r="C76" s="142">
        <v>149.22999999999999</v>
      </c>
    </row>
    <row r="77" spans="1:3" x14ac:dyDescent="0.3">
      <c r="A77" s="141">
        <v>41393</v>
      </c>
      <c r="B77" s="142">
        <v>136.78</v>
      </c>
      <c r="C77" s="142">
        <v>143.65</v>
      </c>
    </row>
    <row r="78" spans="1:3" x14ac:dyDescent="0.3">
      <c r="A78" s="141">
        <v>41390</v>
      </c>
      <c r="B78" s="142">
        <v>135.31</v>
      </c>
      <c r="C78" s="142">
        <v>141.44</v>
      </c>
    </row>
    <row r="79" spans="1:3" x14ac:dyDescent="0.3">
      <c r="A79" s="141">
        <v>41389</v>
      </c>
      <c r="B79" s="142">
        <v>135.31</v>
      </c>
      <c r="C79" s="142">
        <v>141.72999999999999</v>
      </c>
    </row>
    <row r="80" spans="1:3" x14ac:dyDescent="0.3">
      <c r="A80" s="141">
        <v>41388</v>
      </c>
      <c r="B80" s="142">
        <v>135.31</v>
      </c>
      <c r="C80" s="142">
        <v>139.16999999999999</v>
      </c>
    </row>
    <row r="81" spans="1:3" x14ac:dyDescent="0.3">
      <c r="A81" s="141">
        <v>41387</v>
      </c>
      <c r="B81" s="142">
        <v>135.31</v>
      </c>
      <c r="C81" s="142">
        <v>139.16999999999999</v>
      </c>
    </row>
    <row r="82" spans="1:3" x14ac:dyDescent="0.3">
      <c r="A82" s="141">
        <v>41386</v>
      </c>
      <c r="B82" s="142">
        <v>135.31</v>
      </c>
      <c r="C82" s="142">
        <v>139.16999999999999</v>
      </c>
    </row>
    <row r="83" spans="1:3" x14ac:dyDescent="0.3">
      <c r="A83" s="141">
        <v>41383</v>
      </c>
      <c r="B83" s="142">
        <v>135.31</v>
      </c>
      <c r="C83" s="142">
        <v>138.47999999999999</v>
      </c>
    </row>
    <row r="84" spans="1:3" x14ac:dyDescent="0.3">
      <c r="A84" s="141">
        <v>41382</v>
      </c>
      <c r="B84" s="142">
        <v>135.31</v>
      </c>
      <c r="C84" s="142">
        <v>138.47999999999999</v>
      </c>
    </row>
    <row r="85" spans="1:3" x14ac:dyDescent="0.3">
      <c r="A85" s="141">
        <v>41381</v>
      </c>
      <c r="B85" s="142">
        <v>135.31</v>
      </c>
      <c r="C85" s="142">
        <v>138.49</v>
      </c>
    </row>
    <row r="86" spans="1:3" x14ac:dyDescent="0.3">
      <c r="A86" s="141">
        <v>41380</v>
      </c>
      <c r="B86" s="142">
        <v>135.31</v>
      </c>
      <c r="C86" s="142">
        <v>138.49</v>
      </c>
    </row>
    <row r="87" spans="1:3" x14ac:dyDescent="0.3">
      <c r="A87" s="141">
        <v>41379</v>
      </c>
      <c r="B87" s="142">
        <v>132.66999999999999</v>
      </c>
      <c r="C87" s="142">
        <v>137.76</v>
      </c>
    </row>
    <row r="88" spans="1:3" x14ac:dyDescent="0.3">
      <c r="A88" s="141">
        <v>41376</v>
      </c>
      <c r="B88" s="142">
        <v>130.9</v>
      </c>
      <c r="C88" s="142">
        <v>135.54</v>
      </c>
    </row>
    <row r="89" spans="1:3" x14ac:dyDescent="0.3">
      <c r="A89" s="141">
        <v>41375</v>
      </c>
      <c r="B89" s="142">
        <v>130.9</v>
      </c>
      <c r="C89" s="142">
        <v>133.59</v>
      </c>
    </row>
    <row r="90" spans="1:3" x14ac:dyDescent="0.3">
      <c r="A90" s="141">
        <v>41374</v>
      </c>
      <c r="B90" s="142">
        <v>132.69999999999999</v>
      </c>
      <c r="C90" s="142">
        <v>132.32</v>
      </c>
    </row>
    <row r="91" spans="1:3" x14ac:dyDescent="0.3">
      <c r="A91" s="141">
        <v>41373</v>
      </c>
      <c r="B91" s="142">
        <v>132.69999999999999</v>
      </c>
      <c r="C91" s="142">
        <v>132.32</v>
      </c>
    </row>
    <row r="92" spans="1:3" x14ac:dyDescent="0.3">
      <c r="A92" s="141">
        <v>41372</v>
      </c>
      <c r="B92" s="142">
        <v>132.69999999999999</v>
      </c>
      <c r="C92" s="142">
        <v>132.32</v>
      </c>
    </row>
    <row r="93" spans="1:3" x14ac:dyDescent="0.3">
      <c r="A93" s="141">
        <v>41369</v>
      </c>
      <c r="B93" s="142">
        <v>132.69999999999999</v>
      </c>
      <c r="C93" s="142">
        <v>132.32</v>
      </c>
    </row>
    <row r="94" spans="1:3" x14ac:dyDescent="0.3">
      <c r="A94" s="141">
        <v>41368</v>
      </c>
      <c r="B94" s="142">
        <v>132.69999999999999</v>
      </c>
      <c r="C94" s="142">
        <v>132.32</v>
      </c>
    </row>
    <row r="95" spans="1:3" x14ac:dyDescent="0.3">
      <c r="A95" s="141">
        <v>41367</v>
      </c>
      <c r="B95" s="142">
        <v>132.33000000000001</v>
      </c>
      <c r="C95" s="142">
        <v>131.86000000000001</v>
      </c>
    </row>
    <row r="96" spans="1:3" x14ac:dyDescent="0.3">
      <c r="A96" s="141">
        <v>41366</v>
      </c>
      <c r="B96" s="142">
        <v>132.13</v>
      </c>
      <c r="C96" s="142">
        <v>131.6</v>
      </c>
    </row>
    <row r="97" spans="1:3" x14ac:dyDescent="0.3">
      <c r="A97" s="141">
        <v>41365</v>
      </c>
      <c r="B97" s="142">
        <v>132.21</v>
      </c>
      <c r="C97" s="142">
        <v>129.78</v>
      </c>
    </row>
    <row r="98" spans="1:3" x14ac:dyDescent="0.3">
      <c r="A98" s="141">
        <v>41362</v>
      </c>
      <c r="B98" s="142">
        <v>130.66999999999999</v>
      </c>
      <c r="C98" s="142">
        <v>129.81</v>
      </c>
    </row>
    <row r="99" spans="1:3" x14ac:dyDescent="0.3">
      <c r="A99" s="141"/>
      <c r="B99" s="142"/>
      <c r="C99" s="142"/>
    </row>
    <row r="100" spans="1:3" x14ac:dyDescent="0.3">
      <c r="A100" s="141"/>
      <c r="B100" s="142"/>
      <c r="C100" s="142"/>
    </row>
    <row r="101" spans="1:3" x14ac:dyDescent="0.3">
      <c r="A101" s="141"/>
      <c r="B101" s="142"/>
      <c r="C101" s="142"/>
    </row>
    <row r="102" spans="1:3" x14ac:dyDescent="0.3">
      <c r="A102" s="141"/>
      <c r="B102" s="142"/>
      <c r="C102" s="142"/>
    </row>
    <row r="103" spans="1:3" x14ac:dyDescent="0.3">
      <c r="A103" s="141"/>
      <c r="B103" s="142"/>
      <c r="C103" s="142"/>
    </row>
    <row r="104" spans="1:3" x14ac:dyDescent="0.3">
      <c r="A104" s="141"/>
      <c r="B104" s="142"/>
      <c r="C104" s="142"/>
    </row>
    <row r="105" spans="1:3" x14ac:dyDescent="0.3">
      <c r="A105" s="141"/>
      <c r="B105" s="142"/>
      <c r="C105" s="142"/>
    </row>
    <row r="106" spans="1:3" x14ac:dyDescent="0.3">
      <c r="A106" s="141"/>
      <c r="B106" s="142"/>
      <c r="C106" s="142"/>
    </row>
    <row r="107" spans="1:3" x14ac:dyDescent="0.3">
      <c r="A107" s="141"/>
      <c r="B107" s="142"/>
      <c r="C107" s="142"/>
    </row>
    <row r="108" spans="1:3" x14ac:dyDescent="0.3">
      <c r="A108" s="141"/>
      <c r="B108" s="142"/>
      <c r="C108" s="142"/>
    </row>
    <row r="109" spans="1:3" x14ac:dyDescent="0.3">
      <c r="A109" s="141"/>
      <c r="B109" s="142"/>
      <c r="C109" s="142"/>
    </row>
    <row r="110" spans="1:3" x14ac:dyDescent="0.3">
      <c r="A110" s="141"/>
      <c r="B110" s="142"/>
      <c r="C110" s="142"/>
    </row>
    <row r="111" spans="1:3" x14ac:dyDescent="0.3">
      <c r="A111" s="141"/>
      <c r="B111" s="142"/>
      <c r="C111" s="142"/>
    </row>
    <row r="112" spans="1:3" x14ac:dyDescent="0.3">
      <c r="A112" s="141"/>
      <c r="B112" s="142"/>
      <c r="C112" s="142"/>
    </row>
    <row r="113" spans="1:3" x14ac:dyDescent="0.3">
      <c r="A113" s="141"/>
      <c r="B113" s="142"/>
      <c r="C113" s="142"/>
    </row>
    <row r="114" spans="1:3" x14ac:dyDescent="0.3">
      <c r="A114" s="141"/>
      <c r="B114" s="142"/>
      <c r="C114" s="142"/>
    </row>
    <row r="115" spans="1:3" x14ac:dyDescent="0.3">
      <c r="A115" s="141"/>
      <c r="B115" s="142"/>
      <c r="C115" s="142"/>
    </row>
    <row r="116" spans="1:3" x14ac:dyDescent="0.3">
      <c r="A116" s="141"/>
      <c r="B116" s="142"/>
      <c r="C116" s="142"/>
    </row>
    <row r="117" spans="1:3" x14ac:dyDescent="0.3">
      <c r="A117" s="141"/>
      <c r="B117" s="142"/>
      <c r="C117" s="142"/>
    </row>
    <row r="118" spans="1:3" x14ac:dyDescent="0.3">
      <c r="A118" s="141"/>
      <c r="B118" s="142"/>
      <c r="C118" s="142"/>
    </row>
    <row r="119" spans="1:3" x14ac:dyDescent="0.3">
      <c r="A119" s="141"/>
      <c r="B119" s="142"/>
      <c r="C119" s="142"/>
    </row>
    <row r="120" spans="1:3" x14ac:dyDescent="0.3">
      <c r="A120" s="141"/>
      <c r="B120" s="142"/>
      <c r="C120" s="142"/>
    </row>
    <row r="121" spans="1:3" x14ac:dyDescent="0.3">
      <c r="A121" s="141"/>
      <c r="B121" s="142"/>
      <c r="C121" s="142"/>
    </row>
    <row r="122" spans="1:3" x14ac:dyDescent="0.3">
      <c r="A122" s="141"/>
      <c r="B122" s="142"/>
      <c r="C122" s="142"/>
    </row>
    <row r="123" spans="1:3" x14ac:dyDescent="0.3">
      <c r="A123" s="141"/>
      <c r="B123" s="142"/>
      <c r="C123" s="142"/>
    </row>
    <row r="124" spans="1:3" x14ac:dyDescent="0.3">
      <c r="A124" s="141"/>
      <c r="B124" s="142"/>
      <c r="C124" s="142"/>
    </row>
    <row r="125" spans="1:3" x14ac:dyDescent="0.3">
      <c r="A125" s="141"/>
      <c r="B125" s="142"/>
      <c r="C125" s="142"/>
    </row>
    <row r="126" spans="1:3" x14ac:dyDescent="0.3">
      <c r="A126" s="141"/>
      <c r="B126" s="142"/>
      <c r="C126" s="142"/>
    </row>
    <row r="127" spans="1:3" x14ac:dyDescent="0.3">
      <c r="A127" s="141"/>
      <c r="B127" s="142"/>
      <c r="C127" s="142"/>
    </row>
    <row r="128" spans="1:3" x14ac:dyDescent="0.3">
      <c r="A128" s="141"/>
      <c r="B128" s="142"/>
      <c r="C128" s="142"/>
    </row>
    <row r="129" spans="1:3" x14ac:dyDescent="0.3">
      <c r="A129" s="141"/>
      <c r="B129" s="142"/>
      <c r="C129" s="142"/>
    </row>
    <row r="130" spans="1:3" x14ac:dyDescent="0.3">
      <c r="A130" s="141"/>
      <c r="B130" s="142"/>
      <c r="C130" s="142"/>
    </row>
    <row r="131" spans="1:3" x14ac:dyDescent="0.3">
      <c r="A131" s="141"/>
      <c r="B131" s="142"/>
      <c r="C131" s="142"/>
    </row>
    <row r="132" spans="1:3" x14ac:dyDescent="0.3">
      <c r="A132" s="141"/>
      <c r="B132" s="142"/>
      <c r="C132" s="142"/>
    </row>
    <row r="133" spans="1:3" x14ac:dyDescent="0.3">
      <c r="A133" s="141"/>
      <c r="B133" s="142"/>
      <c r="C133" s="142"/>
    </row>
    <row r="134" spans="1:3" x14ac:dyDescent="0.3">
      <c r="A134" s="141"/>
      <c r="B134" s="142"/>
      <c r="C134" s="142"/>
    </row>
    <row r="135" spans="1:3" x14ac:dyDescent="0.3">
      <c r="A135" s="141"/>
      <c r="B135" s="142"/>
      <c r="C135" s="142"/>
    </row>
    <row r="136" spans="1:3" x14ac:dyDescent="0.3">
      <c r="A136" s="141"/>
      <c r="B136" s="142"/>
      <c r="C136" s="142"/>
    </row>
    <row r="137" spans="1:3" x14ac:dyDescent="0.3">
      <c r="A137" s="141"/>
      <c r="B137" s="142"/>
      <c r="C137" s="142"/>
    </row>
    <row r="138" spans="1:3" x14ac:dyDescent="0.3">
      <c r="A138" s="141"/>
      <c r="B138" s="142"/>
      <c r="C138" s="142"/>
    </row>
    <row r="139" spans="1:3" x14ac:dyDescent="0.3">
      <c r="A139" s="141"/>
      <c r="B139" s="142"/>
      <c r="C139" s="142"/>
    </row>
    <row r="140" spans="1:3" x14ac:dyDescent="0.3">
      <c r="A140" s="141"/>
      <c r="B140" s="142"/>
      <c r="C140" s="142"/>
    </row>
    <row r="141" spans="1:3" x14ac:dyDescent="0.3">
      <c r="A141" s="141"/>
      <c r="B141" s="142"/>
      <c r="C141" s="142"/>
    </row>
    <row r="142" spans="1:3" x14ac:dyDescent="0.3">
      <c r="A142" s="141"/>
      <c r="B142" s="142"/>
      <c r="C142" s="142"/>
    </row>
    <row r="143" spans="1:3" x14ac:dyDescent="0.3">
      <c r="A143" s="141"/>
      <c r="B143" s="142"/>
      <c r="C143" s="142"/>
    </row>
    <row r="144" spans="1:3" x14ac:dyDescent="0.3">
      <c r="A144" s="141"/>
      <c r="B144" s="142"/>
      <c r="C144" s="142"/>
    </row>
    <row r="145" spans="1:3" x14ac:dyDescent="0.3">
      <c r="A145" s="141"/>
      <c r="B145" s="142"/>
      <c r="C145" s="142"/>
    </row>
    <row r="146" spans="1:3" x14ac:dyDescent="0.3">
      <c r="A146" s="141"/>
      <c r="B146" s="142"/>
      <c r="C146" s="142"/>
    </row>
    <row r="147" spans="1:3" x14ac:dyDescent="0.3">
      <c r="A147" s="141"/>
      <c r="B147" s="142"/>
      <c r="C147" s="142"/>
    </row>
    <row r="148" spans="1:3" x14ac:dyDescent="0.3">
      <c r="A148" s="141"/>
      <c r="B148" s="142"/>
      <c r="C148" s="142"/>
    </row>
    <row r="149" spans="1:3" x14ac:dyDescent="0.3">
      <c r="A149" s="141"/>
      <c r="B149" s="142"/>
      <c r="C149" s="142"/>
    </row>
    <row r="150" spans="1:3" x14ac:dyDescent="0.3">
      <c r="A150" s="141"/>
      <c r="B150" s="142"/>
      <c r="C150" s="142"/>
    </row>
    <row r="151" spans="1:3" x14ac:dyDescent="0.3">
      <c r="A151" s="141"/>
      <c r="B151" s="142"/>
      <c r="C151" s="142"/>
    </row>
    <row r="152" spans="1:3" x14ac:dyDescent="0.3">
      <c r="A152" s="141"/>
      <c r="B152" s="142"/>
      <c r="C152" s="142"/>
    </row>
    <row r="153" spans="1:3" x14ac:dyDescent="0.3">
      <c r="A153" s="141"/>
      <c r="B153" s="142"/>
      <c r="C153" s="142"/>
    </row>
    <row r="154" spans="1:3" x14ac:dyDescent="0.3">
      <c r="A154" s="141"/>
      <c r="B154" s="142"/>
      <c r="C154" s="142"/>
    </row>
    <row r="155" spans="1:3" x14ac:dyDescent="0.3">
      <c r="A155" s="141"/>
      <c r="B155" s="142"/>
      <c r="C155" s="142"/>
    </row>
    <row r="156" spans="1:3" x14ac:dyDescent="0.3">
      <c r="A156" s="141"/>
      <c r="B156" s="142"/>
      <c r="C156" s="142"/>
    </row>
    <row r="157" spans="1:3" x14ac:dyDescent="0.3">
      <c r="A157" s="141"/>
      <c r="B157" s="142"/>
      <c r="C157" s="142"/>
    </row>
    <row r="158" spans="1:3" x14ac:dyDescent="0.3">
      <c r="A158" s="141"/>
      <c r="B158" s="142"/>
      <c r="C158" s="142"/>
    </row>
    <row r="159" spans="1:3" x14ac:dyDescent="0.3">
      <c r="A159" s="141"/>
      <c r="B159" s="142"/>
      <c r="C159" s="142"/>
    </row>
    <row r="160" spans="1:3" x14ac:dyDescent="0.3">
      <c r="A160" s="141"/>
      <c r="B160" s="142"/>
      <c r="C160" s="142"/>
    </row>
    <row r="161" spans="1:3" x14ac:dyDescent="0.3">
      <c r="A161" s="141"/>
      <c r="B161" s="142"/>
      <c r="C161" s="142"/>
    </row>
    <row r="162" spans="1:3" x14ac:dyDescent="0.3">
      <c r="A162" s="141"/>
      <c r="B162" s="142"/>
      <c r="C162" s="142"/>
    </row>
    <row r="163" spans="1:3" x14ac:dyDescent="0.3">
      <c r="A163" s="141"/>
      <c r="B163" s="142"/>
      <c r="C163" s="142"/>
    </row>
    <row r="164" spans="1:3" x14ac:dyDescent="0.3">
      <c r="A164" s="141"/>
      <c r="B164" s="142"/>
      <c r="C164" s="142"/>
    </row>
    <row r="165" spans="1:3" x14ac:dyDescent="0.3">
      <c r="A165" s="141"/>
      <c r="B165" s="142"/>
      <c r="C165" s="142"/>
    </row>
    <row r="166" spans="1:3" x14ac:dyDescent="0.3">
      <c r="A166" s="141"/>
      <c r="B166" s="142"/>
      <c r="C166" s="142"/>
    </row>
    <row r="167" spans="1:3" x14ac:dyDescent="0.3">
      <c r="A167" s="141"/>
      <c r="B167" s="142"/>
      <c r="C167" s="142"/>
    </row>
    <row r="168" spans="1:3" x14ac:dyDescent="0.3">
      <c r="A168" s="141"/>
      <c r="B168" s="142"/>
      <c r="C168" s="142"/>
    </row>
    <row r="169" spans="1:3" x14ac:dyDescent="0.3">
      <c r="A169" s="141"/>
      <c r="B169" s="142"/>
      <c r="C169" s="142"/>
    </row>
    <row r="170" spans="1:3" x14ac:dyDescent="0.3">
      <c r="A170" s="141"/>
      <c r="B170" s="142"/>
      <c r="C170" s="142"/>
    </row>
    <row r="171" spans="1:3" x14ac:dyDescent="0.3">
      <c r="A171" s="141"/>
      <c r="B171" s="142"/>
      <c r="C171" s="142"/>
    </row>
    <row r="172" spans="1:3" x14ac:dyDescent="0.3">
      <c r="A172" s="141"/>
      <c r="B172" s="142"/>
      <c r="C172" s="142"/>
    </row>
    <row r="173" spans="1:3" x14ac:dyDescent="0.3">
      <c r="A173" s="141"/>
      <c r="B173" s="142"/>
      <c r="C173" s="142"/>
    </row>
    <row r="174" spans="1:3" x14ac:dyDescent="0.3">
      <c r="A174" s="141"/>
      <c r="B174" s="142"/>
      <c r="C174" s="142"/>
    </row>
    <row r="175" spans="1:3" x14ac:dyDescent="0.3">
      <c r="A175" s="141"/>
      <c r="B175" s="142"/>
      <c r="C175" s="142"/>
    </row>
    <row r="176" spans="1:3" x14ac:dyDescent="0.3">
      <c r="A176" s="141"/>
      <c r="B176" s="142"/>
      <c r="C176" s="142"/>
    </row>
    <row r="177" spans="1:3" x14ac:dyDescent="0.3">
      <c r="A177" s="141"/>
      <c r="B177" s="142"/>
      <c r="C177" s="142"/>
    </row>
    <row r="178" spans="1:3" x14ac:dyDescent="0.3">
      <c r="A178" s="141"/>
      <c r="B178" s="142"/>
      <c r="C178" s="142"/>
    </row>
    <row r="179" spans="1:3" x14ac:dyDescent="0.3">
      <c r="A179" s="141"/>
      <c r="B179" s="142"/>
      <c r="C179" s="142"/>
    </row>
    <row r="180" spans="1:3" x14ac:dyDescent="0.3">
      <c r="A180" s="141"/>
      <c r="B180" s="142"/>
      <c r="C180" s="142"/>
    </row>
    <row r="181" spans="1:3" x14ac:dyDescent="0.3">
      <c r="A181" s="141"/>
      <c r="B181" s="142"/>
      <c r="C181" s="142"/>
    </row>
    <row r="182" spans="1:3" x14ac:dyDescent="0.3">
      <c r="A182" s="141"/>
      <c r="B182" s="142"/>
      <c r="C182" s="142"/>
    </row>
    <row r="183" spans="1:3" x14ac:dyDescent="0.3">
      <c r="A183" s="141"/>
      <c r="B183" s="142"/>
      <c r="C183" s="142"/>
    </row>
    <row r="184" spans="1:3" x14ac:dyDescent="0.3">
      <c r="A184" s="141"/>
      <c r="B184" s="142"/>
      <c r="C184" s="142"/>
    </row>
    <row r="185" spans="1:3" x14ac:dyDescent="0.3">
      <c r="A185" s="141"/>
      <c r="B185" s="142"/>
      <c r="C185" s="142"/>
    </row>
    <row r="186" spans="1:3" x14ac:dyDescent="0.3">
      <c r="A186" s="141"/>
      <c r="B186" s="142"/>
      <c r="C186" s="142"/>
    </row>
    <row r="187" spans="1:3" x14ac:dyDescent="0.3">
      <c r="A187" s="141"/>
      <c r="B187" s="142"/>
      <c r="C187" s="142"/>
    </row>
    <row r="188" spans="1:3" x14ac:dyDescent="0.3">
      <c r="A188" s="141"/>
      <c r="B188" s="142"/>
      <c r="C188" s="142"/>
    </row>
    <row r="189" spans="1:3" x14ac:dyDescent="0.3">
      <c r="A189" s="141"/>
      <c r="B189" s="142"/>
      <c r="C189" s="142"/>
    </row>
    <row r="190" spans="1:3" x14ac:dyDescent="0.3">
      <c r="A190" s="141"/>
      <c r="B190" s="142"/>
      <c r="C190" s="142"/>
    </row>
    <row r="191" spans="1:3" x14ac:dyDescent="0.3">
      <c r="A191" s="141"/>
      <c r="B191" s="142"/>
      <c r="C191" s="142"/>
    </row>
    <row r="192" spans="1:3" x14ac:dyDescent="0.3">
      <c r="A192" s="141"/>
      <c r="B192" s="142"/>
      <c r="C192" s="142"/>
    </row>
    <row r="193" spans="1:3" x14ac:dyDescent="0.3">
      <c r="A193" s="141"/>
      <c r="B193" s="142"/>
      <c r="C193" s="142"/>
    </row>
    <row r="194" spans="1:3" x14ac:dyDescent="0.3">
      <c r="A194" s="141"/>
      <c r="B194" s="142"/>
      <c r="C194" s="142"/>
    </row>
    <row r="195" spans="1:3" x14ac:dyDescent="0.3">
      <c r="A195" s="141"/>
      <c r="B195" s="142"/>
      <c r="C195" s="142"/>
    </row>
    <row r="196" spans="1:3" x14ac:dyDescent="0.3">
      <c r="A196" s="141"/>
      <c r="B196" s="142"/>
      <c r="C196" s="142"/>
    </row>
    <row r="197" spans="1:3" x14ac:dyDescent="0.3">
      <c r="A197" s="141"/>
      <c r="B197" s="142"/>
      <c r="C197" s="142"/>
    </row>
    <row r="198" spans="1:3" x14ac:dyDescent="0.3">
      <c r="A198" s="141"/>
      <c r="B198" s="142"/>
      <c r="C198" s="142"/>
    </row>
    <row r="199" spans="1:3" x14ac:dyDescent="0.3">
      <c r="A199" s="141"/>
      <c r="B199" s="142"/>
      <c r="C199" s="142"/>
    </row>
    <row r="200" spans="1:3" x14ac:dyDescent="0.3">
      <c r="A200" s="141"/>
      <c r="B200" s="142"/>
      <c r="C200" s="142"/>
    </row>
    <row r="201" spans="1:3" x14ac:dyDescent="0.3">
      <c r="A201" s="141"/>
      <c r="B201" s="142"/>
      <c r="C201" s="142"/>
    </row>
    <row r="202" spans="1:3" x14ac:dyDescent="0.3">
      <c r="A202" s="141"/>
      <c r="B202" s="142"/>
      <c r="C202" s="142"/>
    </row>
    <row r="203" spans="1:3" x14ac:dyDescent="0.3">
      <c r="A203" s="141"/>
      <c r="B203" s="142"/>
      <c r="C203" s="142"/>
    </row>
    <row r="204" spans="1:3" x14ac:dyDescent="0.3">
      <c r="A204" s="141"/>
      <c r="B204" s="142"/>
      <c r="C204" s="142"/>
    </row>
    <row r="205" spans="1:3" x14ac:dyDescent="0.3">
      <c r="A205" s="141"/>
      <c r="B205" s="142"/>
      <c r="C205" s="142"/>
    </row>
    <row r="206" spans="1:3" x14ac:dyDescent="0.3">
      <c r="A206" s="141"/>
      <c r="B206" s="142"/>
      <c r="C206" s="142"/>
    </row>
    <row r="207" spans="1:3" x14ac:dyDescent="0.3">
      <c r="A207" s="141"/>
      <c r="B207" s="142"/>
      <c r="C207" s="142"/>
    </row>
    <row r="208" spans="1:3" x14ac:dyDescent="0.3">
      <c r="A208" s="141"/>
      <c r="B208" s="142"/>
      <c r="C208" s="142"/>
    </row>
    <row r="209" spans="1:3" x14ac:dyDescent="0.3">
      <c r="A209" s="141"/>
      <c r="B209" s="142"/>
      <c r="C209" s="142"/>
    </row>
    <row r="210" spans="1:3" x14ac:dyDescent="0.3">
      <c r="A210" s="141"/>
      <c r="B210" s="142"/>
      <c r="C210" s="142"/>
    </row>
    <row r="211" spans="1:3" x14ac:dyDescent="0.3">
      <c r="A211" s="141"/>
      <c r="B211" s="142"/>
      <c r="C211" s="142"/>
    </row>
    <row r="212" spans="1:3" x14ac:dyDescent="0.3">
      <c r="A212" s="141"/>
      <c r="B212" s="142"/>
      <c r="C212" s="142"/>
    </row>
    <row r="213" spans="1:3" x14ac:dyDescent="0.3">
      <c r="A213" s="141"/>
      <c r="B213" s="142"/>
      <c r="C213" s="142"/>
    </row>
    <row r="214" spans="1:3" x14ac:dyDescent="0.3">
      <c r="A214" s="141"/>
      <c r="B214" s="142"/>
      <c r="C214" s="142"/>
    </row>
    <row r="215" spans="1:3" x14ac:dyDescent="0.3">
      <c r="A215" s="141"/>
      <c r="B215" s="142"/>
      <c r="C215" s="142"/>
    </row>
    <row r="216" spans="1:3" x14ac:dyDescent="0.3">
      <c r="A216" s="141"/>
      <c r="B216" s="142"/>
      <c r="C216" s="142"/>
    </row>
    <row r="217" spans="1:3" x14ac:dyDescent="0.3">
      <c r="A217" s="141"/>
      <c r="B217" s="142"/>
      <c r="C217" s="142"/>
    </row>
    <row r="218" spans="1:3" x14ac:dyDescent="0.3">
      <c r="A218" s="141"/>
      <c r="B218" s="142"/>
      <c r="C218" s="142"/>
    </row>
    <row r="219" spans="1:3" x14ac:dyDescent="0.3">
      <c r="A219" s="141"/>
      <c r="B219" s="142"/>
      <c r="C219" s="142"/>
    </row>
    <row r="220" spans="1:3" x14ac:dyDescent="0.3">
      <c r="A220" s="141"/>
      <c r="B220" s="142"/>
      <c r="C220" s="142"/>
    </row>
    <row r="221" spans="1:3" x14ac:dyDescent="0.3">
      <c r="A221" s="141"/>
      <c r="B221" s="142"/>
      <c r="C221" s="142"/>
    </row>
    <row r="222" spans="1:3" x14ac:dyDescent="0.3">
      <c r="A222" s="141"/>
      <c r="B222" s="142"/>
      <c r="C222" s="142"/>
    </row>
    <row r="223" spans="1:3" x14ac:dyDescent="0.3">
      <c r="A223" s="141"/>
      <c r="B223" s="142"/>
      <c r="C223" s="142"/>
    </row>
    <row r="224" spans="1:3" x14ac:dyDescent="0.3">
      <c r="A224" s="141"/>
      <c r="B224" s="142"/>
      <c r="C224" s="142"/>
    </row>
    <row r="225" spans="1:3" x14ac:dyDescent="0.3">
      <c r="A225" s="141"/>
      <c r="B225" s="142"/>
      <c r="C225" s="142"/>
    </row>
    <row r="226" spans="1:3" x14ac:dyDescent="0.3">
      <c r="A226" s="141"/>
      <c r="B226" s="142"/>
      <c r="C226" s="142"/>
    </row>
    <row r="227" spans="1:3" x14ac:dyDescent="0.3">
      <c r="A227" s="141"/>
      <c r="B227" s="142"/>
      <c r="C227" s="142"/>
    </row>
    <row r="228" spans="1:3" x14ac:dyDescent="0.3">
      <c r="A228" s="141"/>
      <c r="B228" s="142"/>
      <c r="C228" s="142"/>
    </row>
    <row r="229" spans="1:3" x14ac:dyDescent="0.3">
      <c r="A229" s="141"/>
      <c r="B229" s="142"/>
      <c r="C229" s="142"/>
    </row>
    <row r="230" spans="1:3" x14ac:dyDescent="0.3">
      <c r="A230" s="141"/>
      <c r="B230" s="142"/>
      <c r="C230" s="142"/>
    </row>
    <row r="231" spans="1:3" x14ac:dyDescent="0.3">
      <c r="A231" s="141"/>
      <c r="B231" s="142"/>
      <c r="C231" s="142"/>
    </row>
    <row r="232" spans="1:3" x14ac:dyDescent="0.3">
      <c r="A232" s="141"/>
      <c r="B232" s="142"/>
      <c r="C232" s="142"/>
    </row>
    <row r="233" spans="1:3" x14ac:dyDescent="0.3">
      <c r="A233" s="141"/>
      <c r="B233" s="142"/>
      <c r="C233" s="142"/>
    </row>
    <row r="234" spans="1:3" x14ac:dyDescent="0.3">
      <c r="A234" s="141"/>
      <c r="B234" s="142"/>
      <c r="C234" s="142"/>
    </row>
    <row r="235" spans="1:3" x14ac:dyDescent="0.3">
      <c r="A235" s="141"/>
      <c r="B235" s="142"/>
      <c r="C235" s="142"/>
    </row>
    <row r="236" spans="1:3" x14ac:dyDescent="0.3">
      <c r="A236" s="141"/>
      <c r="B236" s="142"/>
      <c r="C236" s="142"/>
    </row>
    <row r="237" spans="1:3" x14ac:dyDescent="0.3">
      <c r="A237" s="141"/>
      <c r="B237" s="142"/>
      <c r="C237" s="142"/>
    </row>
    <row r="238" spans="1:3" x14ac:dyDescent="0.3">
      <c r="A238" s="141"/>
      <c r="B238" s="142"/>
      <c r="C238" s="142"/>
    </row>
    <row r="239" spans="1:3" x14ac:dyDescent="0.3">
      <c r="A239" s="141"/>
      <c r="B239" s="142"/>
      <c r="C239" s="142"/>
    </row>
    <row r="240" spans="1:3" x14ac:dyDescent="0.3">
      <c r="A240" s="141"/>
      <c r="B240" s="142"/>
      <c r="C240" s="142"/>
    </row>
    <row r="241" spans="1:3" x14ac:dyDescent="0.3">
      <c r="A241" s="141"/>
      <c r="B241" s="142"/>
      <c r="C241" s="142"/>
    </row>
    <row r="242" spans="1:3" x14ac:dyDescent="0.3">
      <c r="A242" s="141"/>
      <c r="B242" s="142"/>
      <c r="C242" s="142"/>
    </row>
    <row r="243" spans="1:3" x14ac:dyDescent="0.3">
      <c r="A243" s="141"/>
      <c r="B243" s="142"/>
      <c r="C243" s="142"/>
    </row>
    <row r="244" spans="1:3" x14ac:dyDescent="0.3">
      <c r="A244" s="141"/>
      <c r="B244" s="142"/>
      <c r="C244" s="142"/>
    </row>
    <row r="245" spans="1:3" x14ac:dyDescent="0.3">
      <c r="A245" s="141"/>
      <c r="B245" s="142"/>
      <c r="C245" s="142"/>
    </row>
    <row r="246" spans="1:3" x14ac:dyDescent="0.3">
      <c r="A246" s="141"/>
      <c r="B246" s="142"/>
      <c r="C246" s="142"/>
    </row>
    <row r="247" spans="1:3" x14ac:dyDescent="0.3">
      <c r="A247" s="141"/>
      <c r="B247" s="142"/>
      <c r="C247" s="142"/>
    </row>
    <row r="248" spans="1:3" x14ac:dyDescent="0.3">
      <c r="A248" s="141"/>
      <c r="B248" s="142"/>
      <c r="C248" s="142"/>
    </row>
    <row r="249" spans="1:3" x14ac:dyDescent="0.3">
      <c r="A249" s="141"/>
      <c r="B249" s="142"/>
      <c r="C249" s="142"/>
    </row>
    <row r="250" spans="1:3" x14ac:dyDescent="0.3">
      <c r="A250" s="141"/>
      <c r="B250" s="142"/>
      <c r="C250" s="142"/>
    </row>
    <row r="251" spans="1:3" x14ac:dyDescent="0.3">
      <c r="A251" s="141"/>
      <c r="B251" s="142"/>
      <c r="C251" s="142"/>
    </row>
    <row r="252" spans="1:3" x14ac:dyDescent="0.3">
      <c r="A252" s="141"/>
      <c r="B252" s="142"/>
      <c r="C252" s="142"/>
    </row>
    <row r="253" spans="1:3" x14ac:dyDescent="0.3">
      <c r="A253" s="141"/>
      <c r="B253" s="142"/>
      <c r="C253" s="142"/>
    </row>
    <row r="254" spans="1:3" x14ac:dyDescent="0.3">
      <c r="A254" s="141"/>
      <c r="B254" s="142"/>
      <c r="C254" s="142"/>
    </row>
    <row r="255" spans="1:3" x14ac:dyDescent="0.3">
      <c r="A255" s="141"/>
      <c r="B255" s="142"/>
      <c r="C255" s="142"/>
    </row>
    <row r="256" spans="1:3" x14ac:dyDescent="0.3">
      <c r="A256" s="141"/>
      <c r="B256" s="142"/>
      <c r="C256" s="142"/>
    </row>
    <row r="257" spans="1:3" x14ac:dyDescent="0.3">
      <c r="A257" s="141"/>
      <c r="B257" s="142"/>
      <c r="C257" s="142"/>
    </row>
    <row r="258" spans="1:3" x14ac:dyDescent="0.3">
      <c r="A258" s="141"/>
      <c r="B258" s="142"/>
      <c r="C258" s="142"/>
    </row>
    <row r="259" spans="1:3" x14ac:dyDescent="0.3">
      <c r="A259" s="141"/>
      <c r="B259" s="142"/>
      <c r="C259" s="142"/>
    </row>
    <row r="260" spans="1:3" x14ac:dyDescent="0.3">
      <c r="A260" s="141"/>
      <c r="B260" s="142"/>
      <c r="C260" s="142"/>
    </row>
    <row r="261" spans="1:3" x14ac:dyDescent="0.3">
      <c r="A261" s="141"/>
      <c r="B261" s="142"/>
      <c r="C261" s="142"/>
    </row>
    <row r="262" spans="1:3" x14ac:dyDescent="0.3">
      <c r="A262" s="141"/>
      <c r="B262" s="142"/>
      <c r="C262" s="142"/>
    </row>
    <row r="263" spans="1:3" x14ac:dyDescent="0.3">
      <c r="A263" s="141"/>
      <c r="B263" s="142"/>
      <c r="C263" s="142"/>
    </row>
    <row r="264" spans="1:3" x14ac:dyDescent="0.3">
      <c r="A264" s="141"/>
      <c r="B264" s="142"/>
      <c r="C264" s="142"/>
    </row>
    <row r="265" spans="1:3" x14ac:dyDescent="0.3">
      <c r="A265" s="141"/>
      <c r="B265" s="142"/>
      <c r="C265" s="142"/>
    </row>
    <row r="266" spans="1:3" x14ac:dyDescent="0.3">
      <c r="A266" s="141"/>
      <c r="B266" s="142"/>
      <c r="C266" s="142"/>
    </row>
    <row r="267" spans="1:3" x14ac:dyDescent="0.3">
      <c r="A267" s="141"/>
      <c r="B267" s="142"/>
      <c r="C267" s="142"/>
    </row>
    <row r="268" spans="1:3" x14ac:dyDescent="0.3">
      <c r="A268" s="141"/>
      <c r="B268" s="142"/>
      <c r="C268" s="142"/>
    </row>
    <row r="269" spans="1:3" x14ac:dyDescent="0.3">
      <c r="A269" s="141"/>
      <c r="B269" s="142"/>
      <c r="C269" s="142"/>
    </row>
    <row r="270" spans="1:3" x14ac:dyDescent="0.3">
      <c r="A270" s="141"/>
      <c r="B270" s="142"/>
      <c r="C270" s="142"/>
    </row>
    <row r="271" spans="1:3" x14ac:dyDescent="0.3">
      <c r="A271" s="141"/>
      <c r="B271" s="142"/>
      <c r="C271" s="142"/>
    </row>
    <row r="272" spans="1:3" x14ac:dyDescent="0.3">
      <c r="A272" s="141"/>
      <c r="B272" s="142"/>
      <c r="C272" s="142"/>
    </row>
    <row r="273" spans="1:3" x14ac:dyDescent="0.3">
      <c r="A273" s="141"/>
      <c r="B273" s="142"/>
      <c r="C273" s="142"/>
    </row>
    <row r="274" spans="1:3" x14ac:dyDescent="0.3">
      <c r="A274" s="141"/>
      <c r="B274" s="142"/>
      <c r="C274" s="142"/>
    </row>
    <row r="275" spans="1:3" x14ac:dyDescent="0.3">
      <c r="A275" s="141"/>
      <c r="B275" s="142"/>
      <c r="C275" s="142"/>
    </row>
    <row r="276" spans="1:3" x14ac:dyDescent="0.3">
      <c r="A276" s="141"/>
      <c r="B276" s="142"/>
      <c r="C276" s="142"/>
    </row>
    <row r="277" spans="1:3" x14ac:dyDescent="0.3">
      <c r="A277" s="141"/>
      <c r="B277" s="142"/>
      <c r="C277" s="142"/>
    </row>
    <row r="278" spans="1:3" x14ac:dyDescent="0.3">
      <c r="A278" s="141"/>
      <c r="B278" s="142"/>
      <c r="C278" s="142"/>
    </row>
    <row r="279" spans="1:3" x14ac:dyDescent="0.3">
      <c r="A279" s="141"/>
      <c r="B279" s="142"/>
      <c r="C279" s="142"/>
    </row>
    <row r="280" spans="1:3" x14ac:dyDescent="0.3">
      <c r="A280" s="141"/>
      <c r="B280" s="142"/>
      <c r="C280" s="142"/>
    </row>
    <row r="281" spans="1:3" x14ac:dyDescent="0.3">
      <c r="A281" s="141"/>
      <c r="B281" s="142"/>
      <c r="C281" s="142"/>
    </row>
    <row r="282" spans="1:3" x14ac:dyDescent="0.3">
      <c r="A282" s="141"/>
      <c r="B282" s="142"/>
      <c r="C282" s="142"/>
    </row>
    <row r="283" spans="1:3" x14ac:dyDescent="0.3">
      <c r="A283" s="141"/>
      <c r="B283" s="142"/>
      <c r="C283" s="142"/>
    </row>
    <row r="284" spans="1:3" x14ac:dyDescent="0.3">
      <c r="A284" s="141"/>
      <c r="B284" s="142"/>
      <c r="C284" s="142"/>
    </row>
    <row r="285" spans="1:3" x14ac:dyDescent="0.3">
      <c r="A285" s="141"/>
      <c r="B285" s="142"/>
      <c r="C285" s="142"/>
    </row>
    <row r="286" spans="1:3" x14ac:dyDescent="0.3">
      <c r="A286" s="141"/>
      <c r="B286" s="142"/>
      <c r="C286" s="142"/>
    </row>
    <row r="287" spans="1:3" x14ac:dyDescent="0.3">
      <c r="A287" s="141"/>
      <c r="B287" s="142"/>
      <c r="C287" s="142"/>
    </row>
    <row r="288" spans="1:3" x14ac:dyDescent="0.3">
      <c r="A288" s="141"/>
      <c r="B288" s="142"/>
      <c r="C288" s="142"/>
    </row>
    <row r="289" spans="1:3" x14ac:dyDescent="0.3">
      <c r="A289" s="141"/>
      <c r="B289" s="142"/>
      <c r="C289" s="142"/>
    </row>
    <row r="290" spans="1:3" x14ac:dyDescent="0.3">
      <c r="A290" s="141"/>
      <c r="B290" s="142"/>
      <c r="C290" s="142"/>
    </row>
    <row r="291" spans="1:3" x14ac:dyDescent="0.3">
      <c r="A291" s="141"/>
      <c r="B291" s="142"/>
      <c r="C291" s="142"/>
    </row>
    <row r="292" spans="1:3" x14ac:dyDescent="0.3">
      <c r="A292" s="141"/>
      <c r="B292" s="142"/>
      <c r="C292" s="142"/>
    </row>
    <row r="293" spans="1:3" x14ac:dyDescent="0.3">
      <c r="A293" s="141"/>
      <c r="B293" s="142"/>
      <c r="C293" s="142"/>
    </row>
    <row r="294" spans="1:3" x14ac:dyDescent="0.3">
      <c r="A294" s="141"/>
      <c r="B294" s="142"/>
      <c r="C294" s="142"/>
    </row>
    <row r="295" spans="1:3" x14ac:dyDescent="0.3">
      <c r="A295" s="141"/>
      <c r="B295" s="142"/>
      <c r="C295" s="142"/>
    </row>
    <row r="296" spans="1:3" x14ac:dyDescent="0.3">
      <c r="A296" s="141"/>
      <c r="B296" s="142"/>
      <c r="C296" s="142"/>
    </row>
    <row r="297" spans="1:3" x14ac:dyDescent="0.3">
      <c r="A297" s="141"/>
      <c r="B297" s="142"/>
      <c r="C297" s="142"/>
    </row>
    <row r="298" spans="1:3" x14ac:dyDescent="0.3">
      <c r="A298" s="141"/>
      <c r="B298" s="142"/>
      <c r="C298" s="142"/>
    </row>
    <row r="299" spans="1:3" x14ac:dyDescent="0.3">
      <c r="A299" s="141"/>
      <c r="B299" s="142"/>
      <c r="C299" s="142"/>
    </row>
    <row r="300" spans="1:3" x14ac:dyDescent="0.3">
      <c r="A300" s="141"/>
      <c r="B300" s="142"/>
      <c r="C300" s="142"/>
    </row>
    <row r="301" spans="1:3" x14ac:dyDescent="0.3">
      <c r="A301" s="141"/>
      <c r="B301" s="142"/>
      <c r="C301" s="142"/>
    </row>
    <row r="302" spans="1:3" x14ac:dyDescent="0.3">
      <c r="A302" s="141"/>
      <c r="B302" s="142"/>
      <c r="C302" s="142"/>
    </row>
    <row r="303" spans="1:3" x14ac:dyDescent="0.3">
      <c r="A303" s="141"/>
      <c r="B303" s="142"/>
      <c r="C303" s="142"/>
    </row>
    <row r="304" spans="1:3" x14ac:dyDescent="0.3">
      <c r="A304" s="141"/>
      <c r="B304" s="142"/>
      <c r="C304" s="142"/>
    </row>
    <row r="305" spans="1:3" x14ac:dyDescent="0.3">
      <c r="A305" s="141"/>
      <c r="B305" s="142"/>
      <c r="C305" s="142"/>
    </row>
    <row r="306" spans="1:3" x14ac:dyDescent="0.3">
      <c r="A306" s="141"/>
      <c r="B306" s="142"/>
      <c r="C306" s="142"/>
    </row>
    <row r="307" spans="1:3" x14ac:dyDescent="0.3">
      <c r="A307" s="141"/>
      <c r="B307" s="142"/>
      <c r="C307" s="142"/>
    </row>
    <row r="308" spans="1:3" x14ac:dyDescent="0.3">
      <c r="A308" s="141"/>
      <c r="B308" s="142"/>
      <c r="C308" s="142"/>
    </row>
    <row r="309" spans="1:3" x14ac:dyDescent="0.3">
      <c r="A309" s="141"/>
      <c r="B309" s="142"/>
      <c r="C309" s="142"/>
    </row>
    <row r="310" spans="1:3" x14ac:dyDescent="0.3">
      <c r="A310" s="141"/>
      <c r="B310" s="142"/>
      <c r="C310" s="142"/>
    </row>
    <row r="311" spans="1:3" x14ac:dyDescent="0.3">
      <c r="A311" s="141"/>
      <c r="B311" s="142"/>
      <c r="C311" s="142"/>
    </row>
    <row r="312" spans="1:3" x14ac:dyDescent="0.3">
      <c r="A312" s="141"/>
      <c r="B312" s="142"/>
      <c r="C312" s="142"/>
    </row>
    <row r="313" spans="1:3" x14ac:dyDescent="0.3">
      <c r="A313" s="141"/>
      <c r="B313" s="142"/>
      <c r="C313" s="142"/>
    </row>
    <row r="314" spans="1:3" x14ac:dyDescent="0.3">
      <c r="A314" s="141"/>
      <c r="B314" s="142"/>
      <c r="C314" s="142"/>
    </row>
    <row r="315" spans="1:3" x14ac:dyDescent="0.3">
      <c r="A315" s="141"/>
      <c r="B315" s="142"/>
      <c r="C315" s="142"/>
    </row>
    <row r="316" spans="1:3" x14ac:dyDescent="0.3">
      <c r="A316" s="141"/>
      <c r="B316" s="142"/>
      <c r="C316" s="142"/>
    </row>
    <row r="317" spans="1:3" x14ac:dyDescent="0.3">
      <c r="A317" s="141"/>
      <c r="B317" s="142"/>
      <c r="C317" s="142"/>
    </row>
    <row r="318" spans="1:3" x14ac:dyDescent="0.3">
      <c r="A318" s="141"/>
      <c r="B318" s="142"/>
      <c r="C318" s="142"/>
    </row>
    <row r="319" spans="1:3" x14ac:dyDescent="0.3">
      <c r="A319" s="141"/>
      <c r="B319" s="142"/>
      <c r="C319" s="142"/>
    </row>
    <row r="320" spans="1:3" x14ac:dyDescent="0.3">
      <c r="A320" s="141"/>
      <c r="B320" s="142"/>
      <c r="C320" s="142"/>
    </row>
    <row r="321" spans="1:3" x14ac:dyDescent="0.3">
      <c r="A321" s="141"/>
      <c r="B321" s="142"/>
      <c r="C321" s="142"/>
    </row>
    <row r="322" spans="1:3" x14ac:dyDescent="0.3">
      <c r="A322" s="141"/>
      <c r="B322" s="142"/>
      <c r="C322" s="142"/>
    </row>
    <row r="323" spans="1:3" x14ac:dyDescent="0.3">
      <c r="A323" s="141"/>
      <c r="B323" s="142"/>
      <c r="C323" s="142"/>
    </row>
    <row r="324" spans="1:3" x14ac:dyDescent="0.3">
      <c r="A324" s="141"/>
      <c r="B324" s="142"/>
      <c r="C324" s="142"/>
    </row>
    <row r="325" spans="1:3" x14ac:dyDescent="0.3">
      <c r="A325" s="141"/>
      <c r="B325" s="142"/>
      <c r="C325" s="142"/>
    </row>
    <row r="326" spans="1:3" x14ac:dyDescent="0.3">
      <c r="A326" s="141"/>
      <c r="B326" s="142"/>
      <c r="C326" s="142"/>
    </row>
    <row r="327" spans="1:3" x14ac:dyDescent="0.3">
      <c r="A327" s="141"/>
      <c r="B327" s="142"/>
      <c r="C327" s="142"/>
    </row>
    <row r="328" spans="1:3" x14ac:dyDescent="0.3">
      <c r="A328" s="141"/>
      <c r="B328" s="142"/>
      <c r="C328" s="142"/>
    </row>
    <row r="329" spans="1:3" x14ac:dyDescent="0.3">
      <c r="A329" s="141"/>
      <c r="B329" s="142"/>
      <c r="C329" s="142"/>
    </row>
    <row r="330" spans="1:3" x14ac:dyDescent="0.3">
      <c r="A330" s="141"/>
      <c r="B330" s="142"/>
      <c r="C330" s="142"/>
    </row>
    <row r="331" spans="1:3" x14ac:dyDescent="0.3">
      <c r="A331" s="141"/>
      <c r="B331" s="142"/>
      <c r="C331" s="142"/>
    </row>
    <row r="332" spans="1:3" x14ac:dyDescent="0.3">
      <c r="A332" s="141"/>
      <c r="B332" s="142"/>
      <c r="C332" s="142"/>
    </row>
    <row r="333" spans="1:3" x14ac:dyDescent="0.3">
      <c r="A333" s="141"/>
      <c r="B333" s="142"/>
      <c r="C333" s="142"/>
    </row>
    <row r="334" spans="1:3" x14ac:dyDescent="0.3">
      <c r="A334" s="141"/>
      <c r="B334" s="142"/>
      <c r="C334" s="142"/>
    </row>
    <row r="335" spans="1:3" x14ac:dyDescent="0.3">
      <c r="A335" s="141"/>
      <c r="B335" s="142"/>
      <c r="C335" s="142"/>
    </row>
    <row r="336" spans="1:3" x14ac:dyDescent="0.3">
      <c r="A336" s="141"/>
      <c r="B336" s="142"/>
      <c r="C336" s="142"/>
    </row>
    <row r="337" spans="1:3" x14ac:dyDescent="0.3">
      <c r="A337" s="141"/>
      <c r="B337" s="142"/>
      <c r="C337" s="142"/>
    </row>
    <row r="338" spans="1:3" x14ac:dyDescent="0.3">
      <c r="A338" s="141"/>
      <c r="B338" s="142"/>
      <c r="C338" s="142"/>
    </row>
    <row r="339" spans="1:3" x14ac:dyDescent="0.3">
      <c r="A339" s="141"/>
      <c r="B339" s="142"/>
      <c r="C339" s="142"/>
    </row>
    <row r="340" spans="1:3" x14ac:dyDescent="0.3">
      <c r="A340" s="141"/>
      <c r="B340" s="142"/>
      <c r="C340" s="142"/>
    </row>
    <row r="341" spans="1:3" x14ac:dyDescent="0.3">
      <c r="A341" s="141"/>
      <c r="B341" s="142"/>
      <c r="C341" s="142"/>
    </row>
    <row r="342" spans="1:3" x14ac:dyDescent="0.3">
      <c r="A342" s="141"/>
      <c r="B342" s="142"/>
      <c r="C342" s="142"/>
    </row>
    <row r="343" spans="1:3" x14ac:dyDescent="0.3">
      <c r="A343" s="141"/>
      <c r="B343" s="142"/>
      <c r="C343" s="142"/>
    </row>
    <row r="344" spans="1:3" x14ac:dyDescent="0.3">
      <c r="A344" s="141"/>
      <c r="B344" s="142"/>
      <c r="C344" s="142"/>
    </row>
    <row r="345" spans="1:3" x14ac:dyDescent="0.3">
      <c r="A345" s="141"/>
      <c r="B345" s="142"/>
      <c r="C345" s="142"/>
    </row>
    <row r="346" spans="1:3" x14ac:dyDescent="0.3">
      <c r="A346" s="141"/>
      <c r="B346" s="142"/>
      <c r="C346" s="142"/>
    </row>
    <row r="347" spans="1:3" x14ac:dyDescent="0.3">
      <c r="A347" s="141"/>
      <c r="B347" s="142"/>
      <c r="C347" s="142"/>
    </row>
    <row r="348" spans="1:3" x14ac:dyDescent="0.3">
      <c r="A348" s="141"/>
      <c r="B348" s="142"/>
      <c r="C348" s="142"/>
    </row>
    <row r="349" spans="1:3" x14ac:dyDescent="0.3">
      <c r="A349" s="141"/>
      <c r="B349" s="142"/>
      <c r="C349" s="142"/>
    </row>
    <row r="350" spans="1:3" x14ac:dyDescent="0.3">
      <c r="A350" s="141"/>
      <c r="B350" s="142"/>
      <c r="C350" s="142"/>
    </row>
    <row r="351" spans="1:3" x14ac:dyDescent="0.3">
      <c r="A351" s="141"/>
      <c r="B351" s="142"/>
      <c r="C351" s="142"/>
    </row>
    <row r="352" spans="1:3" x14ac:dyDescent="0.3">
      <c r="A352" s="141"/>
      <c r="B352" s="142"/>
      <c r="C352" s="142"/>
    </row>
    <row r="353" spans="1:3" x14ac:dyDescent="0.3">
      <c r="A353" s="141"/>
      <c r="B353" s="142"/>
      <c r="C353" s="142"/>
    </row>
    <row r="354" spans="1:3" x14ac:dyDescent="0.3">
      <c r="A354" s="141"/>
      <c r="B354" s="142"/>
      <c r="C354" s="142"/>
    </row>
    <row r="355" spans="1:3" x14ac:dyDescent="0.3">
      <c r="A355" s="141"/>
      <c r="B355" s="142"/>
      <c r="C355" s="142"/>
    </row>
    <row r="356" spans="1:3" x14ac:dyDescent="0.3">
      <c r="A356" s="141"/>
      <c r="B356" s="142"/>
      <c r="C356" s="142"/>
    </row>
    <row r="357" spans="1:3" x14ac:dyDescent="0.3">
      <c r="B357" s="143"/>
      <c r="C357" s="14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RefreshBtn1">
          <controlPr defaultSize="0" autoLine="0" autoPict="0" r:id="rId5">
            <anchor mov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647700</xdr:colOff>
                <xdr:row>1</xdr:row>
                <xdr:rowOff>9525</xdr:rowOff>
              </to>
            </anchor>
          </controlPr>
        </control>
      </mc:Choice>
      <mc:Fallback>
        <control shapeId="4097" r:id="rId4" name="RefreshBt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M268"/>
  <sheetViews>
    <sheetView showGridLines="0" workbookViewId="0">
      <pane xSplit="7" ySplit="14" topLeftCell="H15" activePane="bottomRight" state="frozen"/>
      <selection pane="topRight" activeCell="B1" sqref="B1"/>
      <selection pane="bottomLeft" activeCell="A15" sqref="A15"/>
      <selection pane="bottomRight" activeCell="A14" sqref="A14:F14"/>
    </sheetView>
  </sheetViews>
  <sheetFormatPr defaultColWidth="9" defaultRowHeight="12" x14ac:dyDescent="0.3"/>
  <cols>
    <col min="1" max="1" width="11.125" style="58" bestFit="1" customWidth="1"/>
    <col min="2" max="2" width="11.125" style="58" customWidth="1"/>
    <col min="3" max="3" width="13" style="58" bestFit="1" customWidth="1"/>
    <col min="4" max="5" width="15.125" style="58" bestFit="1" customWidth="1"/>
    <col min="6" max="6" width="14" style="58" bestFit="1" customWidth="1"/>
    <col min="7" max="12" width="14.625" style="58" customWidth="1"/>
    <col min="13" max="16384" width="9" style="58"/>
  </cols>
  <sheetData>
    <row r="1" spans="1:13" ht="15" customHeight="1" x14ac:dyDescent="0.3">
      <c r="G1" s="93" t="s">
        <v>29</v>
      </c>
      <c r="H1" s="94" t="s">
        <v>7857</v>
      </c>
    </row>
    <row r="2" spans="1:13" x14ac:dyDescent="0.3">
      <c r="G2" s="93">
        <v>0</v>
      </c>
    </row>
    <row r="3" spans="1:13" x14ac:dyDescent="0.3">
      <c r="G3" s="3" t="s">
        <v>24</v>
      </c>
    </row>
    <row r="4" spans="1:13" x14ac:dyDescent="0.3">
      <c r="G4" s="96" t="s">
        <v>7843</v>
      </c>
      <c r="H4" s="96" t="s">
        <v>22</v>
      </c>
      <c r="I4" s="96" t="s">
        <v>3118</v>
      </c>
    </row>
    <row r="5" spans="1:13" x14ac:dyDescent="0.3">
      <c r="G5" s="97" t="s">
        <v>7844</v>
      </c>
      <c r="H5" s="132" t="str">
        <f ca="1">최종!AI3</f>
        <v>20130403</v>
      </c>
      <c r="I5" s="97" t="s">
        <v>2</v>
      </c>
    </row>
    <row r="6" spans="1:13" x14ac:dyDescent="0.3">
      <c r="G6" s="99" t="s">
        <v>7845</v>
      </c>
      <c r="H6" s="133" t="str">
        <f ca="1">최종!AJ3</f>
        <v>20130801</v>
      </c>
      <c r="I6" s="99"/>
    </row>
    <row r="8" spans="1:13" x14ac:dyDescent="0.3">
      <c r="G8" s="134" t="s">
        <v>7846</v>
      </c>
      <c r="H8" s="144" t="str">
        <f>'W1'!B4</f>
        <v>A097950</v>
      </c>
      <c r="I8" s="145" t="str">
        <f>H8</f>
        <v>A097950</v>
      </c>
      <c r="J8" s="145" t="str">
        <f>H8</f>
        <v>A097950</v>
      </c>
      <c r="K8" s="145" t="str">
        <f>H8</f>
        <v>A097950</v>
      </c>
      <c r="L8" s="145" t="str">
        <f>H8</f>
        <v>A097950</v>
      </c>
      <c r="M8" s="146"/>
    </row>
    <row r="9" spans="1:13" x14ac:dyDescent="0.3">
      <c r="G9" s="136" t="s">
        <v>7847</v>
      </c>
      <c r="H9" s="137" t="s">
        <v>7860</v>
      </c>
      <c r="I9" s="105" t="s">
        <v>7888</v>
      </c>
      <c r="J9" s="105" t="s">
        <v>7860</v>
      </c>
      <c r="K9" s="105" t="s">
        <v>7889</v>
      </c>
      <c r="L9" s="105" t="s">
        <v>7890</v>
      </c>
    </row>
    <row r="10" spans="1:13" x14ac:dyDescent="0.3">
      <c r="G10" s="138" t="s">
        <v>7848</v>
      </c>
      <c r="H10" s="58" t="s">
        <v>25</v>
      </c>
      <c r="I10" s="58" t="s">
        <v>27</v>
      </c>
      <c r="J10" s="58" t="s">
        <v>28</v>
      </c>
      <c r="K10" s="58" t="s">
        <v>30</v>
      </c>
      <c r="L10" s="58" t="s">
        <v>47</v>
      </c>
    </row>
    <row r="11" spans="1:13" x14ac:dyDescent="0.3">
      <c r="G11" s="138" t="s">
        <v>7849</v>
      </c>
      <c r="H11" s="58" t="s">
        <v>26</v>
      </c>
      <c r="I11" s="58" t="s">
        <v>3024</v>
      </c>
      <c r="J11" s="58" t="s">
        <v>3024</v>
      </c>
      <c r="K11" s="58" t="s">
        <v>3024</v>
      </c>
      <c r="L11" s="58" t="s">
        <v>3024</v>
      </c>
    </row>
    <row r="12" spans="1:13" x14ac:dyDescent="0.3">
      <c r="G12" s="138" t="s">
        <v>7850</v>
      </c>
    </row>
    <row r="13" spans="1:13" x14ac:dyDescent="0.3">
      <c r="G13" s="138"/>
      <c r="H13" s="140"/>
      <c r="I13" s="102"/>
      <c r="J13" s="102"/>
      <c r="K13" s="102"/>
      <c r="L13" s="102"/>
    </row>
    <row r="14" spans="1:13" x14ac:dyDescent="0.3">
      <c r="A14" s="103" t="s">
        <v>3084</v>
      </c>
      <c r="B14" s="103" t="s">
        <v>3083</v>
      </c>
      <c r="C14" s="103" t="s">
        <v>3006</v>
      </c>
      <c r="D14" s="103" t="s">
        <v>3591</v>
      </c>
      <c r="E14" s="103" t="s">
        <v>3592</v>
      </c>
      <c r="F14" s="103" t="s">
        <v>3593</v>
      </c>
      <c r="G14" s="104" t="s">
        <v>7886</v>
      </c>
      <c r="H14" s="137" t="s">
        <v>7852</v>
      </c>
      <c r="I14" s="105" t="s">
        <v>7853</v>
      </c>
      <c r="J14" s="105" t="s">
        <v>7854</v>
      </c>
      <c r="K14" s="105" t="s">
        <v>7855</v>
      </c>
      <c r="L14" s="105" t="s">
        <v>7856</v>
      </c>
    </row>
    <row r="15" spans="1:13" x14ac:dyDescent="0.3">
      <c r="A15" s="59">
        <f>G15</f>
        <v>41484</v>
      </c>
      <c r="B15" s="143">
        <f>H15</f>
        <v>13200</v>
      </c>
      <c r="C15" s="58">
        <f>I15</f>
        <v>200.36</v>
      </c>
      <c r="D15" s="58">
        <f>J15</f>
        <v>-35.840000000000003</v>
      </c>
      <c r="E15" s="58">
        <f>K15</f>
        <v>68.33</v>
      </c>
      <c r="F15" s="58">
        <f>D15+E15</f>
        <v>32.489999999999995</v>
      </c>
      <c r="G15" s="141">
        <v>41484</v>
      </c>
      <c r="H15" s="142">
        <v>13200</v>
      </c>
      <c r="I15" s="142">
        <v>200.36</v>
      </c>
      <c r="J15" s="142">
        <v>-35.840000000000003</v>
      </c>
      <c r="K15" s="142">
        <v>68.33</v>
      </c>
      <c r="L15" s="142">
        <v>5763.27</v>
      </c>
    </row>
    <row r="16" spans="1:13" x14ac:dyDescent="0.3">
      <c r="A16" s="59">
        <f t="shared" ref="A16:A79" si="0">G16</f>
        <v>41481</v>
      </c>
      <c r="B16" s="143">
        <f t="shared" ref="B16:B79" si="1">H16</f>
        <v>12550</v>
      </c>
      <c r="C16" s="58">
        <f t="shared" ref="C16:C79" si="2">I16</f>
        <v>185.1</v>
      </c>
      <c r="D16" s="58">
        <f t="shared" ref="D16:D79" si="3">J16</f>
        <v>-55.08</v>
      </c>
      <c r="E16" s="58">
        <f t="shared" ref="E16:E79" si="4">K16</f>
        <v>73.05</v>
      </c>
      <c r="F16" s="58">
        <f t="shared" ref="F16:F79" si="5">D16+E16</f>
        <v>17.97</v>
      </c>
      <c r="G16" s="141">
        <v>41481</v>
      </c>
      <c r="H16" s="142">
        <v>12550</v>
      </c>
      <c r="I16" s="142">
        <v>185.1</v>
      </c>
      <c r="J16" s="142">
        <v>-55.08</v>
      </c>
      <c r="K16" s="142">
        <v>73.05</v>
      </c>
      <c r="L16" s="142">
        <v>5479.47</v>
      </c>
    </row>
    <row r="17" spans="1:12" x14ac:dyDescent="0.3">
      <c r="A17" s="59">
        <f t="shared" si="0"/>
        <v>41480</v>
      </c>
      <c r="B17" s="143">
        <f t="shared" si="1"/>
        <v>12750</v>
      </c>
      <c r="C17" s="58">
        <f t="shared" si="2"/>
        <v>186.23</v>
      </c>
      <c r="D17" s="58">
        <f t="shared" si="3"/>
        <v>-53.39</v>
      </c>
      <c r="E17" s="58">
        <f t="shared" si="4"/>
        <v>76.61</v>
      </c>
      <c r="F17" s="58">
        <f t="shared" si="5"/>
        <v>23.22</v>
      </c>
      <c r="G17" s="141">
        <v>41480</v>
      </c>
      <c r="H17" s="142">
        <v>12750</v>
      </c>
      <c r="I17" s="142">
        <v>186.23</v>
      </c>
      <c r="J17" s="142">
        <v>-53.39</v>
      </c>
      <c r="K17" s="142">
        <v>76.61</v>
      </c>
      <c r="L17" s="142">
        <v>5566.79</v>
      </c>
    </row>
    <row r="18" spans="1:12" x14ac:dyDescent="0.3">
      <c r="A18" s="59">
        <f t="shared" si="0"/>
        <v>41479</v>
      </c>
      <c r="B18" s="143">
        <f t="shared" si="1"/>
        <v>12700</v>
      </c>
      <c r="C18" s="58">
        <f t="shared" si="2"/>
        <v>170.78</v>
      </c>
      <c r="D18" s="58">
        <f t="shared" si="3"/>
        <v>-50.35</v>
      </c>
      <c r="E18" s="58">
        <f t="shared" si="4"/>
        <v>78.42</v>
      </c>
      <c r="F18" s="58">
        <f t="shared" si="5"/>
        <v>28.07</v>
      </c>
      <c r="G18" s="141">
        <v>41479</v>
      </c>
      <c r="H18" s="142">
        <v>12700</v>
      </c>
      <c r="I18" s="142">
        <v>170.78</v>
      </c>
      <c r="J18" s="142">
        <v>-50.35</v>
      </c>
      <c r="K18" s="142">
        <v>78.42</v>
      </c>
      <c r="L18" s="142">
        <v>5544.96</v>
      </c>
    </row>
    <row r="19" spans="1:12" x14ac:dyDescent="0.3">
      <c r="A19" s="59">
        <f t="shared" si="0"/>
        <v>41478</v>
      </c>
      <c r="B19" s="143">
        <f t="shared" si="1"/>
        <v>13050</v>
      </c>
      <c r="C19" s="58">
        <f t="shared" si="2"/>
        <v>175.27</v>
      </c>
      <c r="D19" s="58">
        <f t="shared" si="3"/>
        <v>-47.2</v>
      </c>
      <c r="E19" s="58">
        <f t="shared" si="4"/>
        <v>80.38</v>
      </c>
      <c r="F19" s="58">
        <f t="shared" si="5"/>
        <v>33.179999999999993</v>
      </c>
      <c r="G19" s="141">
        <v>41478</v>
      </c>
      <c r="H19" s="142">
        <v>13050</v>
      </c>
      <c r="I19" s="142">
        <v>175.27</v>
      </c>
      <c r="J19" s="142">
        <v>-47.2</v>
      </c>
      <c r="K19" s="142">
        <v>80.38</v>
      </c>
      <c r="L19" s="142">
        <v>5697.78</v>
      </c>
    </row>
    <row r="20" spans="1:12" x14ac:dyDescent="0.3">
      <c r="A20" s="59">
        <f t="shared" si="0"/>
        <v>41477</v>
      </c>
      <c r="B20" s="143">
        <f t="shared" si="1"/>
        <v>12750</v>
      </c>
      <c r="C20" s="58">
        <f t="shared" si="2"/>
        <v>172.34</v>
      </c>
      <c r="D20" s="58">
        <f t="shared" si="3"/>
        <v>-48.18</v>
      </c>
      <c r="E20" s="58">
        <f t="shared" si="4"/>
        <v>76.33</v>
      </c>
      <c r="F20" s="58">
        <f t="shared" si="5"/>
        <v>28.15</v>
      </c>
      <c r="G20" s="141">
        <v>41477</v>
      </c>
      <c r="H20" s="142">
        <v>12750</v>
      </c>
      <c r="I20" s="142">
        <v>172.34</v>
      </c>
      <c r="J20" s="142">
        <v>-48.18</v>
      </c>
      <c r="K20" s="142">
        <v>76.33</v>
      </c>
      <c r="L20" s="142">
        <v>5566.79</v>
      </c>
    </row>
    <row r="21" spans="1:12" x14ac:dyDescent="0.3">
      <c r="A21" s="59">
        <f t="shared" si="0"/>
        <v>41474</v>
      </c>
      <c r="B21" s="143">
        <f t="shared" si="1"/>
        <v>13000</v>
      </c>
      <c r="C21" s="58">
        <f t="shared" si="2"/>
        <v>176.07</v>
      </c>
      <c r="D21" s="58">
        <f t="shared" si="3"/>
        <v>-37.08</v>
      </c>
      <c r="E21" s="58">
        <f t="shared" si="4"/>
        <v>77.709999999999994</v>
      </c>
      <c r="F21" s="58">
        <f t="shared" si="5"/>
        <v>40.629999999999995</v>
      </c>
      <c r="G21" s="141">
        <v>41474</v>
      </c>
      <c r="H21" s="142">
        <v>13000</v>
      </c>
      <c r="I21" s="142">
        <v>176.07</v>
      </c>
      <c r="J21" s="142">
        <v>-37.08</v>
      </c>
      <c r="K21" s="142">
        <v>77.709999999999994</v>
      </c>
      <c r="L21" s="142">
        <v>5675.95</v>
      </c>
    </row>
    <row r="22" spans="1:12" x14ac:dyDescent="0.3">
      <c r="A22" s="59">
        <f t="shared" si="0"/>
        <v>41473</v>
      </c>
      <c r="B22" s="143">
        <f t="shared" si="1"/>
        <v>13000</v>
      </c>
      <c r="C22" s="58">
        <f t="shared" si="2"/>
        <v>176.11</v>
      </c>
      <c r="D22" s="58">
        <f t="shared" si="3"/>
        <v>-32.17</v>
      </c>
      <c r="E22" s="58">
        <f t="shared" si="4"/>
        <v>75.44</v>
      </c>
      <c r="F22" s="58">
        <f t="shared" si="5"/>
        <v>43.269999999999996</v>
      </c>
      <c r="G22" s="141">
        <v>41473</v>
      </c>
      <c r="H22" s="142">
        <v>13000</v>
      </c>
      <c r="I22" s="142">
        <v>176.11</v>
      </c>
      <c r="J22" s="142">
        <v>-32.17</v>
      </c>
      <c r="K22" s="142">
        <v>75.44</v>
      </c>
      <c r="L22" s="142">
        <v>5675.95</v>
      </c>
    </row>
    <row r="23" spans="1:12" x14ac:dyDescent="0.3">
      <c r="A23" s="59">
        <f t="shared" si="0"/>
        <v>41472</v>
      </c>
      <c r="B23" s="143">
        <f t="shared" si="1"/>
        <v>13000</v>
      </c>
      <c r="C23" s="58">
        <f t="shared" si="2"/>
        <v>159.66</v>
      </c>
      <c r="D23" s="58">
        <f t="shared" si="3"/>
        <v>-30.85</v>
      </c>
      <c r="E23" s="58">
        <f t="shared" si="4"/>
        <v>70.66</v>
      </c>
      <c r="F23" s="58">
        <f t="shared" si="5"/>
        <v>39.809999999999995</v>
      </c>
      <c r="G23" s="141">
        <v>41472</v>
      </c>
      <c r="H23" s="142">
        <v>13000</v>
      </c>
      <c r="I23" s="142">
        <v>159.66</v>
      </c>
      <c r="J23" s="142">
        <v>-30.85</v>
      </c>
      <c r="K23" s="142">
        <v>70.66</v>
      </c>
      <c r="L23" s="142">
        <v>5675.95</v>
      </c>
    </row>
    <row r="24" spans="1:12" x14ac:dyDescent="0.3">
      <c r="A24" s="59">
        <f t="shared" si="0"/>
        <v>41471</v>
      </c>
      <c r="B24" s="143">
        <f t="shared" si="1"/>
        <v>12400</v>
      </c>
      <c r="C24" s="58">
        <f t="shared" si="2"/>
        <v>151.97999999999999</v>
      </c>
      <c r="D24" s="58">
        <f t="shared" si="3"/>
        <v>-23.6</v>
      </c>
      <c r="E24" s="58">
        <f t="shared" si="4"/>
        <v>62.54</v>
      </c>
      <c r="F24" s="58">
        <f t="shared" si="5"/>
        <v>38.94</v>
      </c>
      <c r="G24" s="141">
        <v>41471</v>
      </c>
      <c r="H24" s="142">
        <v>12400</v>
      </c>
      <c r="I24" s="142">
        <v>151.97999999999999</v>
      </c>
      <c r="J24" s="142">
        <v>-23.6</v>
      </c>
      <c r="K24" s="142">
        <v>62.54</v>
      </c>
      <c r="L24" s="142">
        <v>5413.98</v>
      </c>
    </row>
    <row r="25" spans="1:12" x14ac:dyDescent="0.3">
      <c r="A25" s="59">
        <f t="shared" si="0"/>
        <v>41470</v>
      </c>
      <c r="B25" s="143">
        <f t="shared" si="1"/>
        <v>12500</v>
      </c>
      <c r="C25" s="58">
        <f t="shared" si="2"/>
        <v>151.52000000000001</v>
      </c>
      <c r="D25" s="58">
        <f t="shared" si="3"/>
        <v>-21.12</v>
      </c>
      <c r="E25" s="58">
        <f t="shared" si="4"/>
        <v>61.07</v>
      </c>
      <c r="F25" s="58">
        <f t="shared" si="5"/>
        <v>39.950000000000003</v>
      </c>
      <c r="G25" s="141">
        <v>41470</v>
      </c>
      <c r="H25" s="142">
        <v>12500</v>
      </c>
      <c r="I25" s="142">
        <v>151.52000000000001</v>
      </c>
      <c r="J25" s="142">
        <v>-21.12</v>
      </c>
      <c r="K25" s="142">
        <v>61.07</v>
      </c>
      <c r="L25" s="142">
        <v>5457.64</v>
      </c>
    </row>
    <row r="26" spans="1:12" x14ac:dyDescent="0.3">
      <c r="A26" s="59">
        <f t="shared" si="0"/>
        <v>41467</v>
      </c>
      <c r="B26" s="143">
        <f t="shared" si="1"/>
        <v>12850</v>
      </c>
      <c r="C26" s="58">
        <f t="shared" si="2"/>
        <v>156.19999999999999</v>
      </c>
      <c r="D26" s="58">
        <f t="shared" si="3"/>
        <v>13.92</v>
      </c>
      <c r="E26" s="58">
        <f t="shared" si="4"/>
        <v>49.29</v>
      </c>
      <c r="F26" s="58">
        <f t="shared" si="5"/>
        <v>63.21</v>
      </c>
      <c r="G26" s="141">
        <v>41467</v>
      </c>
      <c r="H26" s="142">
        <v>12850</v>
      </c>
      <c r="I26" s="142">
        <v>156.19999999999999</v>
      </c>
      <c r="J26" s="142">
        <v>13.92</v>
      </c>
      <c r="K26" s="142">
        <v>49.29</v>
      </c>
      <c r="L26" s="142">
        <v>5610.46</v>
      </c>
    </row>
    <row r="27" spans="1:12" x14ac:dyDescent="0.3">
      <c r="A27" s="59">
        <f t="shared" si="0"/>
        <v>41466</v>
      </c>
      <c r="B27" s="143">
        <f t="shared" si="1"/>
        <v>12500</v>
      </c>
      <c r="C27" s="58">
        <f t="shared" si="2"/>
        <v>159.72999999999999</v>
      </c>
      <c r="D27" s="58">
        <f t="shared" si="3"/>
        <v>16.75</v>
      </c>
      <c r="E27" s="58">
        <f t="shared" si="4"/>
        <v>54.26</v>
      </c>
      <c r="F27" s="58">
        <f t="shared" si="5"/>
        <v>71.009999999999991</v>
      </c>
      <c r="G27" s="141">
        <v>41466</v>
      </c>
      <c r="H27" s="142">
        <v>12500</v>
      </c>
      <c r="I27" s="142">
        <v>159.72999999999999</v>
      </c>
      <c r="J27" s="142">
        <v>16.75</v>
      </c>
      <c r="K27" s="142">
        <v>54.26</v>
      </c>
      <c r="L27" s="142">
        <v>5457.64</v>
      </c>
    </row>
    <row r="28" spans="1:12" x14ac:dyDescent="0.3">
      <c r="A28" s="59">
        <f t="shared" si="0"/>
        <v>41465</v>
      </c>
      <c r="B28" s="143">
        <f t="shared" si="1"/>
        <v>12400</v>
      </c>
      <c r="C28" s="58">
        <f t="shared" si="2"/>
        <v>143.30000000000001</v>
      </c>
      <c r="D28" s="58">
        <f t="shared" si="3"/>
        <v>27.12</v>
      </c>
      <c r="E28" s="58">
        <f t="shared" si="4"/>
        <v>51.06</v>
      </c>
      <c r="F28" s="58">
        <f t="shared" si="5"/>
        <v>78.180000000000007</v>
      </c>
      <c r="G28" s="141">
        <v>41465</v>
      </c>
      <c r="H28" s="142">
        <v>12400</v>
      </c>
      <c r="I28" s="142">
        <v>143.30000000000001</v>
      </c>
      <c r="J28" s="142">
        <v>27.12</v>
      </c>
      <c r="K28" s="142">
        <v>51.06</v>
      </c>
      <c r="L28" s="142">
        <v>5413.98</v>
      </c>
    </row>
    <row r="29" spans="1:12" x14ac:dyDescent="0.3">
      <c r="A29" s="59">
        <f t="shared" si="0"/>
        <v>41464</v>
      </c>
      <c r="B29" s="143">
        <f t="shared" si="1"/>
        <v>12200</v>
      </c>
      <c r="C29" s="58">
        <f t="shared" si="2"/>
        <v>142.34</v>
      </c>
      <c r="D29" s="58">
        <f t="shared" si="3"/>
        <v>32.15</v>
      </c>
      <c r="E29" s="58">
        <f t="shared" si="4"/>
        <v>50.7</v>
      </c>
      <c r="F29" s="58">
        <f t="shared" si="5"/>
        <v>82.85</v>
      </c>
      <c r="G29" s="141">
        <v>41464</v>
      </c>
      <c r="H29" s="142">
        <v>12200</v>
      </c>
      <c r="I29" s="142">
        <v>142.34</v>
      </c>
      <c r="J29" s="142">
        <v>32.15</v>
      </c>
      <c r="K29" s="142">
        <v>50.7</v>
      </c>
      <c r="L29" s="142">
        <v>5326.66</v>
      </c>
    </row>
    <row r="30" spans="1:12" x14ac:dyDescent="0.3">
      <c r="A30" s="59">
        <f t="shared" si="0"/>
        <v>41463</v>
      </c>
      <c r="B30" s="143">
        <f t="shared" si="1"/>
        <v>12700</v>
      </c>
      <c r="C30" s="58">
        <f t="shared" si="2"/>
        <v>121.74</v>
      </c>
      <c r="D30" s="58">
        <f t="shared" si="3"/>
        <v>42.17</v>
      </c>
      <c r="E30" s="58">
        <f t="shared" si="4"/>
        <v>47.97</v>
      </c>
      <c r="F30" s="58">
        <f t="shared" si="5"/>
        <v>90.14</v>
      </c>
      <c r="G30" s="141">
        <v>41463</v>
      </c>
      <c r="H30" s="142">
        <v>12700</v>
      </c>
      <c r="I30" s="142">
        <v>121.74</v>
      </c>
      <c r="J30" s="142">
        <v>42.17</v>
      </c>
      <c r="K30" s="142">
        <v>47.97</v>
      </c>
      <c r="L30" s="142">
        <v>5544.96</v>
      </c>
    </row>
    <row r="31" spans="1:12" x14ac:dyDescent="0.3">
      <c r="A31" s="59">
        <f t="shared" si="0"/>
        <v>41460</v>
      </c>
      <c r="B31" s="143">
        <f t="shared" si="1"/>
        <v>13250</v>
      </c>
      <c r="C31" s="58">
        <f t="shared" si="2"/>
        <v>126.1</v>
      </c>
      <c r="D31" s="58">
        <f t="shared" si="3"/>
        <v>51.3</v>
      </c>
      <c r="E31" s="58">
        <f t="shared" si="4"/>
        <v>50.61</v>
      </c>
      <c r="F31" s="58">
        <f t="shared" si="5"/>
        <v>101.91</v>
      </c>
      <c r="G31" s="141">
        <v>41460</v>
      </c>
      <c r="H31" s="142">
        <v>13250</v>
      </c>
      <c r="I31" s="142">
        <v>126.1</v>
      </c>
      <c r="J31" s="142">
        <v>51.3</v>
      </c>
      <c r="K31" s="142">
        <v>50.61</v>
      </c>
      <c r="L31" s="142">
        <v>5785.1</v>
      </c>
    </row>
    <row r="32" spans="1:12" x14ac:dyDescent="0.3">
      <c r="A32" s="59">
        <f t="shared" si="0"/>
        <v>41459</v>
      </c>
      <c r="B32" s="143">
        <f t="shared" si="1"/>
        <v>12650</v>
      </c>
      <c r="C32" s="58">
        <f t="shared" si="2"/>
        <v>118.41</v>
      </c>
      <c r="D32" s="58">
        <f t="shared" si="3"/>
        <v>49.63</v>
      </c>
      <c r="E32" s="58">
        <f t="shared" si="4"/>
        <v>35.57</v>
      </c>
      <c r="F32" s="58">
        <f t="shared" si="5"/>
        <v>85.2</v>
      </c>
      <c r="G32" s="141">
        <v>41459</v>
      </c>
      <c r="H32" s="142">
        <v>12650</v>
      </c>
      <c r="I32" s="142">
        <v>118.41</v>
      </c>
      <c r="J32" s="142">
        <v>49.63</v>
      </c>
      <c r="K32" s="142">
        <v>35.57</v>
      </c>
      <c r="L32" s="142">
        <v>5523.13</v>
      </c>
    </row>
    <row r="33" spans="1:12" x14ac:dyDescent="0.3">
      <c r="A33" s="59">
        <f t="shared" si="0"/>
        <v>41458</v>
      </c>
      <c r="B33" s="143">
        <f t="shared" si="1"/>
        <v>12250</v>
      </c>
      <c r="C33" s="58">
        <f t="shared" si="2"/>
        <v>114.6</v>
      </c>
      <c r="D33" s="58">
        <f t="shared" si="3"/>
        <v>51.68</v>
      </c>
      <c r="E33" s="58">
        <f t="shared" si="4"/>
        <v>23.95</v>
      </c>
      <c r="F33" s="58">
        <f t="shared" si="5"/>
        <v>75.63</v>
      </c>
      <c r="G33" s="141">
        <v>41458</v>
      </c>
      <c r="H33" s="142">
        <v>12250</v>
      </c>
      <c r="I33" s="142">
        <v>114.6</v>
      </c>
      <c r="J33" s="142">
        <v>51.68</v>
      </c>
      <c r="K33" s="142">
        <v>23.95</v>
      </c>
      <c r="L33" s="142">
        <v>5348.49</v>
      </c>
    </row>
    <row r="34" spans="1:12" x14ac:dyDescent="0.3">
      <c r="A34" s="59">
        <f t="shared" si="0"/>
        <v>41457</v>
      </c>
      <c r="B34" s="143">
        <f t="shared" si="1"/>
        <v>11950</v>
      </c>
      <c r="C34" s="58">
        <f t="shared" si="2"/>
        <v>108.54</v>
      </c>
      <c r="D34" s="58">
        <f t="shared" si="3"/>
        <v>48.27</v>
      </c>
      <c r="E34" s="58">
        <f t="shared" si="4"/>
        <v>17.559999999999999</v>
      </c>
      <c r="F34" s="58">
        <f t="shared" si="5"/>
        <v>65.83</v>
      </c>
      <c r="G34" s="141">
        <v>41457</v>
      </c>
      <c r="H34" s="142">
        <v>11950</v>
      </c>
      <c r="I34" s="142">
        <v>108.54</v>
      </c>
      <c r="J34" s="142">
        <v>48.27</v>
      </c>
      <c r="K34" s="142">
        <v>17.559999999999999</v>
      </c>
      <c r="L34" s="142">
        <v>5217.51</v>
      </c>
    </row>
    <row r="35" spans="1:12" x14ac:dyDescent="0.3">
      <c r="A35" s="59">
        <f t="shared" si="0"/>
        <v>41456</v>
      </c>
      <c r="B35" s="143">
        <f t="shared" si="1"/>
        <v>11800</v>
      </c>
      <c r="C35" s="58">
        <f t="shared" si="2"/>
        <v>110.25</v>
      </c>
      <c r="D35" s="58">
        <f t="shared" si="3"/>
        <v>49.72</v>
      </c>
      <c r="E35" s="58">
        <f t="shared" si="4"/>
        <v>15.3</v>
      </c>
      <c r="F35" s="58">
        <f t="shared" si="5"/>
        <v>65.02</v>
      </c>
      <c r="G35" s="141">
        <v>41456</v>
      </c>
      <c r="H35" s="142">
        <v>11800</v>
      </c>
      <c r="I35" s="142">
        <v>110.25</v>
      </c>
      <c r="J35" s="142">
        <v>49.72</v>
      </c>
      <c r="K35" s="142">
        <v>15.3</v>
      </c>
      <c r="L35" s="142">
        <v>5152.01</v>
      </c>
    </row>
    <row r="36" spans="1:12" x14ac:dyDescent="0.3">
      <c r="A36" s="59">
        <f t="shared" si="0"/>
        <v>41453</v>
      </c>
      <c r="B36" s="143">
        <f t="shared" si="1"/>
        <v>11950</v>
      </c>
      <c r="C36" s="58">
        <f t="shared" si="2"/>
        <v>112.38</v>
      </c>
      <c r="D36" s="58">
        <f t="shared" si="3"/>
        <v>38.97</v>
      </c>
      <c r="E36" s="58">
        <f t="shared" si="4"/>
        <v>23.71</v>
      </c>
      <c r="F36" s="58">
        <f t="shared" si="5"/>
        <v>62.68</v>
      </c>
      <c r="G36" s="141">
        <v>41453</v>
      </c>
      <c r="H36" s="142">
        <v>11950</v>
      </c>
      <c r="I36" s="142">
        <v>112.38</v>
      </c>
      <c r="J36" s="142">
        <v>38.97</v>
      </c>
      <c r="K36" s="142">
        <v>23.71</v>
      </c>
      <c r="L36" s="142">
        <v>5217.51</v>
      </c>
    </row>
    <row r="37" spans="1:12" x14ac:dyDescent="0.3">
      <c r="A37" s="59">
        <f t="shared" si="0"/>
        <v>41452</v>
      </c>
      <c r="B37" s="143">
        <f t="shared" si="1"/>
        <v>11600</v>
      </c>
      <c r="C37" s="58">
        <f t="shared" si="2"/>
        <v>109.99</v>
      </c>
      <c r="D37" s="58">
        <f t="shared" si="3"/>
        <v>49.07</v>
      </c>
      <c r="E37" s="58">
        <f t="shared" si="4"/>
        <v>14.27</v>
      </c>
      <c r="F37" s="58">
        <f t="shared" si="5"/>
        <v>63.34</v>
      </c>
      <c r="G37" s="141">
        <v>41452</v>
      </c>
      <c r="H37" s="142">
        <v>11600</v>
      </c>
      <c r="I37" s="142">
        <v>109.99</v>
      </c>
      <c r="J37" s="142">
        <v>49.07</v>
      </c>
      <c r="K37" s="142">
        <v>14.27</v>
      </c>
      <c r="L37" s="142">
        <v>5064.6899999999996</v>
      </c>
    </row>
    <row r="38" spans="1:12" x14ac:dyDescent="0.3">
      <c r="A38" s="59">
        <f t="shared" si="0"/>
        <v>41451</v>
      </c>
      <c r="B38" s="143">
        <f t="shared" si="1"/>
        <v>11300</v>
      </c>
      <c r="C38" s="58">
        <f t="shared" si="2"/>
        <v>114.19</v>
      </c>
      <c r="D38" s="58">
        <f t="shared" si="3"/>
        <v>51.01</v>
      </c>
      <c r="E38" s="58">
        <f t="shared" si="4"/>
        <v>9.5</v>
      </c>
      <c r="F38" s="58">
        <f t="shared" si="5"/>
        <v>60.51</v>
      </c>
      <c r="G38" s="141">
        <v>41451</v>
      </c>
      <c r="H38" s="142">
        <v>11300</v>
      </c>
      <c r="I38" s="142">
        <v>114.19</v>
      </c>
      <c r="J38" s="142">
        <v>51.01</v>
      </c>
      <c r="K38" s="142">
        <v>9.5</v>
      </c>
      <c r="L38" s="142">
        <v>4933.71</v>
      </c>
    </row>
    <row r="39" spans="1:12" x14ac:dyDescent="0.3">
      <c r="A39" s="59">
        <f t="shared" si="0"/>
        <v>41450</v>
      </c>
      <c r="B39" s="143">
        <f t="shared" si="1"/>
        <v>11500</v>
      </c>
      <c r="C39" s="58">
        <f t="shared" si="2"/>
        <v>114.7</v>
      </c>
      <c r="D39" s="58">
        <f t="shared" si="3"/>
        <v>50.67</v>
      </c>
      <c r="E39" s="58">
        <f t="shared" si="4"/>
        <v>8.34</v>
      </c>
      <c r="F39" s="58">
        <f t="shared" si="5"/>
        <v>59.010000000000005</v>
      </c>
      <c r="G39" s="141">
        <v>41450</v>
      </c>
      <c r="H39" s="142">
        <v>11500</v>
      </c>
      <c r="I39" s="142">
        <v>114.7</v>
      </c>
      <c r="J39" s="142">
        <v>50.67</v>
      </c>
      <c r="K39" s="142">
        <v>8.34</v>
      </c>
      <c r="L39" s="142">
        <v>5021.03</v>
      </c>
    </row>
    <row r="40" spans="1:12" x14ac:dyDescent="0.3">
      <c r="A40" s="59">
        <f t="shared" si="0"/>
        <v>41449</v>
      </c>
      <c r="B40" s="143">
        <f t="shared" si="1"/>
        <v>11250</v>
      </c>
      <c r="C40" s="58">
        <f t="shared" si="2"/>
        <v>100.05</v>
      </c>
      <c r="D40" s="58">
        <f t="shared" si="3"/>
        <v>50.96</v>
      </c>
      <c r="E40" s="58">
        <f t="shared" si="4"/>
        <v>4.2699999999999996</v>
      </c>
      <c r="F40" s="58">
        <f t="shared" si="5"/>
        <v>55.230000000000004</v>
      </c>
      <c r="G40" s="141">
        <v>41449</v>
      </c>
      <c r="H40" s="142">
        <v>11250</v>
      </c>
      <c r="I40" s="142">
        <v>100.05</v>
      </c>
      <c r="J40" s="142">
        <v>50.96</v>
      </c>
      <c r="K40" s="142">
        <v>4.2699999999999996</v>
      </c>
      <c r="L40" s="142">
        <v>4911.88</v>
      </c>
    </row>
    <row r="41" spans="1:12" x14ac:dyDescent="0.3">
      <c r="A41" s="59">
        <f t="shared" si="0"/>
        <v>41446</v>
      </c>
      <c r="B41" s="143">
        <f t="shared" si="1"/>
        <v>12750</v>
      </c>
      <c r="C41" s="58">
        <f t="shared" si="2"/>
        <v>122.71</v>
      </c>
      <c r="D41" s="58">
        <f t="shared" si="3"/>
        <v>70.22</v>
      </c>
      <c r="E41" s="58">
        <f t="shared" si="4"/>
        <v>-5.37</v>
      </c>
      <c r="F41" s="58">
        <f t="shared" si="5"/>
        <v>64.849999999999994</v>
      </c>
      <c r="G41" s="141">
        <v>41446</v>
      </c>
      <c r="H41" s="142">
        <v>12750</v>
      </c>
      <c r="I41" s="142">
        <v>122.71</v>
      </c>
      <c r="J41" s="142">
        <v>70.22</v>
      </c>
      <c r="K41" s="142">
        <v>-5.37</v>
      </c>
      <c r="L41" s="142">
        <v>5566.79</v>
      </c>
    </row>
    <row r="42" spans="1:12" x14ac:dyDescent="0.3">
      <c r="A42" s="59">
        <f t="shared" si="0"/>
        <v>41445</v>
      </c>
      <c r="B42" s="143">
        <f t="shared" si="1"/>
        <v>12650</v>
      </c>
      <c r="C42" s="58">
        <f t="shared" si="2"/>
        <v>120.83</v>
      </c>
      <c r="D42" s="58">
        <f t="shared" si="3"/>
        <v>74.31</v>
      </c>
      <c r="E42" s="58">
        <f t="shared" si="4"/>
        <v>-10.5</v>
      </c>
      <c r="F42" s="58">
        <f t="shared" si="5"/>
        <v>63.81</v>
      </c>
      <c r="G42" s="141">
        <v>41445</v>
      </c>
      <c r="H42" s="142">
        <v>12650</v>
      </c>
      <c r="I42" s="142">
        <v>120.83</v>
      </c>
      <c r="J42" s="142">
        <v>74.31</v>
      </c>
      <c r="K42" s="142">
        <v>-10.5</v>
      </c>
      <c r="L42" s="142">
        <v>5523.13</v>
      </c>
    </row>
    <row r="43" spans="1:12" x14ac:dyDescent="0.3">
      <c r="A43" s="59">
        <f t="shared" si="0"/>
        <v>41444</v>
      </c>
      <c r="B43" s="143">
        <f t="shared" si="1"/>
        <v>12850</v>
      </c>
      <c r="C43" s="58">
        <f t="shared" si="2"/>
        <v>88.64</v>
      </c>
      <c r="D43" s="58">
        <f t="shared" si="3"/>
        <v>62.14</v>
      </c>
      <c r="E43" s="58">
        <f t="shared" si="4"/>
        <v>-7.67</v>
      </c>
      <c r="F43" s="58">
        <f t="shared" si="5"/>
        <v>54.47</v>
      </c>
      <c r="G43" s="141">
        <v>41444</v>
      </c>
      <c r="H43" s="142">
        <v>12850</v>
      </c>
      <c r="I43" s="142">
        <v>88.64</v>
      </c>
      <c r="J43" s="142">
        <v>62.14</v>
      </c>
      <c r="K43" s="142">
        <v>-7.67</v>
      </c>
      <c r="L43" s="142">
        <v>5610.46</v>
      </c>
    </row>
    <row r="44" spans="1:12" x14ac:dyDescent="0.3">
      <c r="A44" s="59">
        <f t="shared" si="0"/>
        <v>41443</v>
      </c>
      <c r="B44" s="143">
        <f t="shared" si="1"/>
        <v>12650</v>
      </c>
      <c r="C44" s="58">
        <f t="shared" si="2"/>
        <v>87.25</v>
      </c>
      <c r="D44" s="58">
        <f t="shared" si="3"/>
        <v>56.12</v>
      </c>
      <c r="E44" s="58">
        <f t="shared" si="4"/>
        <v>-4.87</v>
      </c>
      <c r="F44" s="58">
        <f t="shared" si="5"/>
        <v>51.25</v>
      </c>
      <c r="G44" s="141">
        <v>41443</v>
      </c>
      <c r="H44" s="142">
        <v>12650</v>
      </c>
      <c r="I44" s="142">
        <v>87.25</v>
      </c>
      <c r="J44" s="142">
        <v>56.12</v>
      </c>
      <c r="K44" s="142">
        <v>-4.87</v>
      </c>
      <c r="L44" s="142">
        <v>5523.13</v>
      </c>
    </row>
    <row r="45" spans="1:12" x14ac:dyDescent="0.3">
      <c r="A45" s="59">
        <f t="shared" si="0"/>
        <v>41442</v>
      </c>
      <c r="B45" s="143">
        <f t="shared" si="1"/>
        <v>12950</v>
      </c>
      <c r="C45" s="58">
        <f t="shared" si="2"/>
        <v>86.79</v>
      </c>
      <c r="D45" s="58">
        <f t="shared" si="3"/>
        <v>57.07</v>
      </c>
      <c r="E45" s="58">
        <f t="shared" si="4"/>
        <v>-4.04</v>
      </c>
      <c r="F45" s="58">
        <f t="shared" si="5"/>
        <v>53.03</v>
      </c>
      <c r="G45" s="141">
        <v>41442</v>
      </c>
      <c r="H45" s="142">
        <v>12950</v>
      </c>
      <c r="I45" s="142">
        <v>86.79</v>
      </c>
      <c r="J45" s="142">
        <v>57.07</v>
      </c>
      <c r="K45" s="142">
        <v>-4.04</v>
      </c>
      <c r="L45" s="142">
        <v>5654.12</v>
      </c>
    </row>
    <row r="46" spans="1:12" x14ac:dyDescent="0.3">
      <c r="A46" s="59">
        <f t="shared" si="0"/>
        <v>41439</v>
      </c>
      <c r="B46" s="143">
        <f t="shared" si="1"/>
        <v>12500</v>
      </c>
      <c r="C46" s="58">
        <f t="shared" si="2"/>
        <v>81.89</v>
      </c>
      <c r="D46" s="58">
        <f t="shared" si="3"/>
        <v>30.22</v>
      </c>
      <c r="E46" s="58">
        <f t="shared" si="4"/>
        <v>7.26</v>
      </c>
      <c r="F46" s="58">
        <f t="shared" si="5"/>
        <v>37.479999999999997</v>
      </c>
      <c r="G46" s="141">
        <v>41439</v>
      </c>
      <c r="H46" s="142">
        <v>12500</v>
      </c>
      <c r="I46" s="142">
        <v>81.89</v>
      </c>
      <c r="J46" s="142">
        <v>30.22</v>
      </c>
      <c r="K46" s="142">
        <v>7.26</v>
      </c>
      <c r="L46" s="142">
        <v>5457.64</v>
      </c>
    </row>
    <row r="47" spans="1:12" x14ac:dyDescent="0.3">
      <c r="A47" s="59">
        <f t="shared" si="0"/>
        <v>41438</v>
      </c>
      <c r="B47" s="143">
        <f t="shared" si="1"/>
        <v>12900</v>
      </c>
      <c r="C47" s="58">
        <f t="shared" si="2"/>
        <v>90.75</v>
      </c>
      <c r="D47" s="58">
        <f t="shared" si="3"/>
        <v>17.5</v>
      </c>
      <c r="E47" s="58">
        <f t="shared" si="4"/>
        <v>25.08</v>
      </c>
      <c r="F47" s="58">
        <f t="shared" si="5"/>
        <v>42.58</v>
      </c>
      <c r="G47" s="141">
        <v>41438</v>
      </c>
      <c r="H47" s="142">
        <v>12900</v>
      </c>
      <c r="I47" s="142">
        <v>90.75</v>
      </c>
      <c r="J47" s="142">
        <v>17.5</v>
      </c>
      <c r="K47" s="142">
        <v>25.08</v>
      </c>
      <c r="L47" s="142">
        <v>5632.29</v>
      </c>
    </row>
    <row r="48" spans="1:12" x14ac:dyDescent="0.3">
      <c r="A48" s="59">
        <f t="shared" si="0"/>
        <v>41437</v>
      </c>
      <c r="B48" s="143">
        <f t="shared" si="1"/>
        <v>12350</v>
      </c>
      <c r="C48" s="58">
        <f t="shared" si="2"/>
        <v>93.22</v>
      </c>
      <c r="D48" s="58">
        <f t="shared" si="3"/>
        <v>-5.34</v>
      </c>
      <c r="E48" s="58">
        <f t="shared" si="4"/>
        <v>24.8</v>
      </c>
      <c r="F48" s="58">
        <f t="shared" si="5"/>
        <v>19.46</v>
      </c>
      <c r="G48" s="141">
        <v>41437</v>
      </c>
      <c r="H48" s="142">
        <v>12350</v>
      </c>
      <c r="I48" s="142">
        <v>93.22</v>
      </c>
      <c r="J48" s="142">
        <v>-5.34</v>
      </c>
      <c r="K48" s="142">
        <v>24.8</v>
      </c>
      <c r="L48" s="142">
        <v>5392.15</v>
      </c>
    </row>
    <row r="49" spans="1:12" x14ac:dyDescent="0.3">
      <c r="A49" s="59">
        <f t="shared" si="0"/>
        <v>41436</v>
      </c>
      <c r="B49" s="143">
        <f t="shared" si="1"/>
        <v>11900</v>
      </c>
      <c r="C49" s="58">
        <f t="shared" si="2"/>
        <v>91.14</v>
      </c>
      <c r="D49" s="58">
        <f t="shared" si="3"/>
        <v>-9.5500000000000007</v>
      </c>
      <c r="E49" s="58">
        <f t="shared" si="4"/>
        <v>19.010000000000002</v>
      </c>
      <c r="F49" s="58">
        <f t="shared" si="5"/>
        <v>9.4600000000000009</v>
      </c>
      <c r="G49" s="141">
        <v>41436</v>
      </c>
      <c r="H49" s="142">
        <v>11900</v>
      </c>
      <c r="I49" s="142">
        <v>91.14</v>
      </c>
      <c r="J49" s="142">
        <v>-9.5500000000000007</v>
      </c>
      <c r="K49" s="142">
        <v>19.010000000000002</v>
      </c>
      <c r="L49" s="142">
        <v>5195.68</v>
      </c>
    </row>
    <row r="50" spans="1:12" x14ac:dyDescent="0.3">
      <c r="A50" s="59">
        <f t="shared" si="0"/>
        <v>41435</v>
      </c>
      <c r="B50" s="143">
        <f t="shared" si="1"/>
        <v>11600</v>
      </c>
      <c r="C50" s="58">
        <f t="shared" si="2"/>
        <v>89.35</v>
      </c>
      <c r="D50" s="58">
        <f t="shared" si="3"/>
        <v>-19.61</v>
      </c>
      <c r="E50" s="58">
        <f t="shared" si="4"/>
        <v>21.56</v>
      </c>
      <c r="F50" s="58">
        <f t="shared" si="5"/>
        <v>1.9499999999999993</v>
      </c>
      <c r="G50" s="141">
        <v>41435</v>
      </c>
      <c r="H50" s="142">
        <v>11600</v>
      </c>
      <c r="I50" s="142">
        <v>89.35</v>
      </c>
      <c r="J50" s="142">
        <v>-19.61</v>
      </c>
      <c r="K50" s="142">
        <v>21.56</v>
      </c>
      <c r="L50" s="142">
        <v>5064.6899999999996</v>
      </c>
    </row>
    <row r="51" spans="1:12" x14ac:dyDescent="0.3">
      <c r="A51" s="59">
        <f t="shared" si="0"/>
        <v>41432</v>
      </c>
      <c r="B51" s="143">
        <f t="shared" si="1"/>
        <v>11350</v>
      </c>
      <c r="C51" s="58">
        <f t="shared" si="2"/>
        <v>87.21</v>
      </c>
      <c r="D51" s="58">
        <f t="shared" si="3"/>
        <v>-29.23</v>
      </c>
      <c r="E51" s="58">
        <f t="shared" si="4"/>
        <v>35.78</v>
      </c>
      <c r="F51" s="58">
        <f t="shared" si="5"/>
        <v>6.5500000000000007</v>
      </c>
      <c r="G51" s="141">
        <v>41432</v>
      </c>
      <c r="H51" s="142">
        <v>11350</v>
      </c>
      <c r="I51" s="142">
        <v>87.21</v>
      </c>
      <c r="J51" s="142">
        <v>-29.23</v>
      </c>
      <c r="K51" s="142">
        <v>35.78</v>
      </c>
      <c r="L51" s="142">
        <v>4955.54</v>
      </c>
    </row>
    <row r="52" spans="1:12" x14ac:dyDescent="0.3">
      <c r="A52" s="59">
        <f t="shared" si="0"/>
        <v>41430</v>
      </c>
      <c r="B52" s="143">
        <f t="shared" si="1"/>
        <v>11100</v>
      </c>
      <c r="C52" s="58">
        <f t="shared" si="2"/>
        <v>87.04</v>
      </c>
      <c r="D52" s="58">
        <f t="shared" si="3"/>
        <v>-44.24</v>
      </c>
      <c r="E52" s="58">
        <f t="shared" si="4"/>
        <v>39.380000000000003</v>
      </c>
      <c r="F52" s="58">
        <f t="shared" si="5"/>
        <v>-4.8599999999999994</v>
      </c>
      <c r="G52" s="141">
        <v>41430</v>
      </c>
      <c r="H52" s="142">
        <v>11100</v>
      </c>
      <c r="I52" s="142">
        <v>87.04</v>
      </c>
      <c r="J52" s="142">
        <v>-44.24</v>
      </c>
      <c r="K52" s="142">
        <v>39.380000000000003</v>
      </c>
      <c r="L52" s="142">
        <v>4846.3900000000003</v>
      </c>
    </row>
    <row r="53" spans="1:12" x14ac:dyDescent="0.3">
      <c r="A53" s="59">
        <f t="shared" si="0"/>
        <v>41429</v>
      </c>
      <c r="B53" s="143">
        <f t="shared" si="1"/>
        <v>11300</v>
      </c>
      <c r="C53" s="58">
        <f t="shared" si="2"/>
        <v>88.71</v>
      </c>
      <c r="D53" s="58">
        <f t="shared" si="3"/>
        <v>-42.1</v>
      </c>
      <c r="E53" s="58">
        <f t="shared" si="4"/>
        <v>38.729999999999997</v>
      </c>
      <c r="F53" s="58">
        <f t="shared" si="5"/>
        <v>-3.3700000000000045</v>
      </c>
      <c r="G53" s="141">
        <v>41429</v>
      </c>
      <c r="H53" s="142">
        <v>11300</v>
      </c>
      <c r="I53" s="142">
        <v>88.71</v>
      </c>
      <c r="J53" s="142">
        <v>-42.1</v>
      </c>
      <c r="K53" s="142">
        <v>38.729999999999997</v>
      </c>
      <c r="L53" s="142">
        <v>4933.71</v>
      </c>
    </row>
    <row r="54" spans="1:12" x14ac:dyDescent="0.3">
      <c r="A54" s="59">
        <f t="shared" si="0"/>
        <v>41428</v>
      </c>
      <c r="B54" s="143">
        <f t="shared" si="1"/>
        <v>11550</v>
      </c>
      <c r="C54" s="58">
        <f t="shared" si="2"/>
        <v>87.42</v>
      </c>
      <c r="D54" s="58">
        <f t="shared" si="3"/>
        <v>-40.119999999999997</v>
      </c>
      <c r="E54" s="58">
        <f t="shared" si="4"/>
        <v>39.56</v>
      </c>
      <c r="F54" s="58">
        <f t="shared" si="5"/>
        <v>-0.55999999999999517</v>
      </c>
      <c r="G54" s="141">
        <v>41428</v>
      </c>
      <c r="H54" s="142">
        <v>11550</v>
      </c>
      <c r="I54" s="142">
        <v>87.42</v>
      </c>
      <c r="J54" s="142">
        <v>-40.119999999999997</v>
      </c>
      <c r="K54" s="142">
        <v>39.56</v>
      </c>
      <c r="L54" s="142">
        <v>5042.8599999999997</v>
      </c>
    </row>
    <row r="55" spans="1:12" x14ac:dyDescent="0.3">
      <c r="A55" s="59">
        <f t="shared" si="0"/>
        <v>41425</v>
      </c>
      <c r="B55" s="143">
        <f t="shared" si="1"/>
        <v>11700</v>
      </c>
      <c r="C55" s="58">
        <f t="shared" si="2"/>
        <v>84.85</v>
      </c>
      <c r="D55" s="58">
        <f t="shared" si="3"/>
        <v>-55.07</v>
      </c>
      <c r="E55" s="58">
        <f t="shared" si="4"/>
        <v>75.069999999999993</v>
      </c>
      <c r="F55" s="58">
        <f t="shared" si="5"/>
        <v>19.999999999999993</v>
      </c>
      <c r="G55" s="141">
        <v>41425</v>
      </c>
      <c r="H55" s="142">
        <v>11700</v>
      </c>
      <c r="I55" s="142">
        <v>84.85</v>
      </c>
      <c r="J55" s="142">
        <v>-55.07</v>
      </c>
      <c r="K55" s="142">
        <v>75.069999999999993</v>
      </c>
      <c r="L55" s="142">
        <v>5108.3500000000004</v>
      </c>
    </row>
    <row r="56" spans="1:12" x14ac:dyDescent="0.3">
      <c r="A56" s="59">
        <f t="shared" si="0"/>
        <v>41424</v>
      </c>
      <c r="B56" s="143">
        <f t="shared" si="1"/>
        <v>11550</v>
      </c>
      <c r="C56" s="58">
        <f t="shared" si="2"/>
        <v>83.78</v>
      </c>
      <c r="D56" s="58">
        <f t="shared" si="3"/>
        <v>-58.33</v>
      </c>
      <c r="E56" s="58">
        <f t="shared" si="4"/>
        <v>71.930000000000007</v>
      </c>
      <c r="F56" s="58">
        <f t="shared" si="5"/>
        <v>13.600000000000009</v>
      </c>
      <c r="G56" s="141">
        <v>41424</v>
      </c>
      <c r="H56" s="142">
        <v>11550</v>
      </c>
      <c r="I56" s="142">
        <v>83.78</v>
      </c>
      <c r="J56" s="142">
        <v>-58.33</v>
      </c>
      <c r="K56" s="142">
        <v>71.930000000000007</v>
      </c>
      <c r="L56" s="142">
        <v>5042.8599999999997</v>
      </c>
    </row>
    <row r="57" spans="1:12" x14ac:dyDescent="0.3">
      <c r="A57" s="59">
        <f t="shared" si="0"/>
        <v>41423</v>
      </c>
      <c r="B57" s="143">
        <f t="shared" si="1"/>
        <v>11700</v>
      </c>
      <c r="C57" s="58">
        <f t="shared" si="2"/>
        <v>81.56</v>
      </c>
      <c r="D57" s="58">
        <f t="shared" si="3"/>
        <v>-75.23</v>
      </c>
      <c r="E57" s="58">
        <f t="shared" si="4"/>
        <v>96.19</v>
      </c>
      <c r="F57" s="58">
        <f t="shared" si="5"/>
        <v>20.959999999999994</v>
      </c>
      <c r="G57" s="141">
        <v>41423</v>
      </c>
      <c r="H57" s="142">
        <v>11700</v>
      </c>
      <c r="I57" s="142">
        <v>81.56</v>
      </c>
      <c r="J57" s="142">
        <v>-75.23</v>
      </c>
      <c r="K57" s="142">
        <v>96.19</v>
      </c>
      <c r="L57" s="142">
        <v>5108.3500000000004</v>
      </c>
    </row>
    <row r="58" spans="1:12" x14ac:dyDescent="0.3">
      <c r="A58" s="59">
        <f t="shared" si="0"/>
        <v>41422</v>
      </c>
      <c r="B58" s="143">
        <f t="shared" si="1"/>
        <v>12150</v>
      </c>
      <c r="C58" s="58">
        <f t="shared" si="2"/>
        <v>69.81</v>
      </c>
      <c r="D58" s="58">
        <f t="shared" si="3"/>
        <v>-61.06</v>
      </c>
      <c r="E58" s="58">
        <f t="shared" si="4"/>
        <v>100.02</v>
      </c>
      <c r="F58" s="58">
        <f t="shared" si="5"/>
        <v>38.959999999999994</v>
      </c>
      <c r="G58" s="141">
        <v>41422</v>
      </c>
      <c r="H58" s="142">
        <v>12150</v>
      </c>
      <c r="I58" s="142">
        <v>69.81</v>
      </c>
      <c r="J58" s="142">
        <v>-61.06</v>
      </c>
      <c r="K58" s="142">
        <v>100.02</v>
      </c>
      <c r="L58" s="142">
        <v>5304.83</v>
      </c>
    </row>
    <row r="59" spans="1:12" x14ac:dyDescent="0.3">
      <c r="A59" s="59">
        <f t="shared" si="0"/>
        <v>41421</v>
      </c>
      <c r="B59" s="143">
        <f t="shared" si="1"/>
        <v>11950</v>
      </c>
      <c r="C59" s="58">
        <f t="shared" si="2"/>
        <v>70.98</v>
      </c>
      <c r="D59" s="58">
        <f t="shared" si="3"/>
        <v>-64.62</v>
      </c>
      <c r="E59" s="58">
        <f t="shared" si="4"/>
        <v>101.64</v>
      </c>
      <c r="F59" s="58">
        <f t="shared" si="5"/>
        <v>37.019999999999996</v>
      </c>
      <c r="G59" s="141">
        <v>41421</v>
      </c>
      <c r="H59" s="142">
        <v>11950</v>
      </c>
      <c r="I59" s="142">
        <v>70.98</v>
      </c>
      <c r="J59" s="142">
        <v>-64.62</v>
      </c>
      <c r="K59" s="142">
        <v>101.64</v>
      </c>
      <c r="L59" s="142">
        <v>5217.51</v>
      </c>
    </row>
    <row r="60" spans="1:12" x14ac:dyDescent="0.3">
      <c r="A60" s="59">
        <f t="shared" si="0"/>
        <v>41418</v>
      </c>
      <c r="B60" s="143">
        <f t="shared" si="1"/>
        <v>12100</v>
      </c>
      <c r="C60" s="58">
        <f t="shared" si="2"/>
        <v>76.69</v>
      </c>
      <c r="D60" s="58">
        <f t="shared" si="3"/>
        <v>-56.78</v>
      </c>
      <c r="E60" s="58">
        <f t="shared" si="4"/>
        <v>98.29</v>
      </c>
      <c r="F60" s="58">
        <f t="shared" si="5"/>
        <v>41.510000000000005</v>
      </c>
      <c r="G60" s="141">
        <v>41418</v>
      </c>
      <c r="H60" s="142">
        <v>12100</v>
      </c>
      <c r="I60" s="142">
        <v>76.69</v>
      </c>
      <c r="J60" s="142">
        <v>-56.78</v>
      </c>
      <c r="K60" s="142">
        <v>98.29</v>
      </c>
      <c r="L60" s="142">
        <v>5283</v>
      </c>
    </row>
    <row r="61" spans="1:12" x14ac:dyDescent="0.3">
      <c r="A61" s="59">
        <f t="shared" si="0"/>
        <v>41417</v>
      </c>
      <c r="B61" s="143">
        <f t="shared" si="1"/>
        <v>12300</v>
      </c>
      <c r="C61" s="58">
        <f t="shared" si="2"/>
        <v>78.05</v>
      </c>
      <c r="D61" s="58">
        <f t="shared" si="3"/>
        <v>-51.41</v>
      </c>
      <c r="E61" s="58">
        <f t="shared" si="4"/>
        <v>99.7</v>
      </c>
      <c r="F61" s="58">
        <f t="shared" si="5"/>
        <v>48.290000000000006</v>
      </c>
      <c r="G61" s="141">
        <v>41417</v>
      </c>
      <c r="H61" s="142">
        <v>12300</v>
      </c>
      <c r="I61" s="142">
        <v>78.05</v>
      </c>
      <c r="J61" s="142">
        <v>-51.41</v>
      </c>
      <c r="K61" s="142">
        <v>99.7</v>
      </c>
      <c r="L61" s="142">
        <v>5370.32</v>
      </c>
    </row>
    <row r="62" spans="1:12" x14ac:dyDescent="0.3">
      <c r="A62" s="59">
        <f t="shared" si="0"/>
        <v>41416</v>
      </c>
      <c r="B62" s="143">
        <f t="shared" si="1"/>
        <v>11700</v>
      </c>
      <c r="C62" s="58">
        <f t="shared" si="2"/>
        <v>73.13</v>
      </c>
      <c r="D62" s="58">
        <f t="shared" si="3"/>
        <v>-49.85</v>
      </c>
      <c r="E62" s="58">
        <f t="shared" si="4"/>
        <v>92.63</v>
      </c>
      <c r="F62" s="58">
        <f t="shared" si="5"/>
        <v>42.779999999999994</v>
      </c>
      <c r="G62" s="141">
        <v>41416</v>
      </c>
      <c r="H62" s="142">
        <v>11700</v>
      </c>
      <c r="I62" s="142">
        <v>73.13</v>
      </c>
      <c r="J62" s="142">
        <v>-49.85</v>
      </c>
      <c r="K62" s="142">
        <v>92.63</v>
      </c>
      <c r="L62" s="142">
        <v>5108.3500000000004</v>
      </c>
    </row>
    <row r="63" spans="1:12" x14ac:dyDescent="0.3">
      <c r="A63" s="59">
        <f t="shared" si="0"/>
        <v>41415</v>
      </c>
      <c r="B63" s="143">
        <f t="shared" si="1"/>
        <v>11950</v>
      </c>
      <c r="C63" s="58">
        <f t="shared" si="2"/>
        <v>73.400000000000006</v>
      </c>
      <c r="D63" s="58">
        <f t="shared" si="3"/>
        <v>-56.36</v>
      </c>
      <c r="E63" s="58">
        <f t="shared" si="4"/>
        <v>100.87</v>
      </c>
      <c r="F63" s="58">
        <f t="shared" si="5"/>
        <v>44.510000000000005</v>
      </c>
      <c r="G63" s="141">
        <v>41415</v>
      </c>
      <c r="H63" s="142">
        <v>11950</v>
      </c>
      <c r="I63" s="142">
        <v>73.400000000000006</v>
      </c>
      <c r="J63" s="142">
        <v>-56.36</v>
      </c>
      <c r="K63" s="142">
        <v>100.87</v>
      </c>
      <c r="L63" s="142">
        <v>5217.51</v>
      </c>
    </row>
    <row r="64" spans="1:12" x14ac:dyDescent="0.3">
      <c r="A64" s="59">
        <f t="shared" si="0"/>
        <v>41414</v>
      </c>
      <c r="B64" s="143">
        <f t="shared" si="1"/>
        <v>11650</v>
      </c>
      <c r="C64" s="58">
        <f t="shared" si="2"/>
        <v>71.88</v>
      </c>
      <c r="D64" s="58">
        <f t="shared" si="3"/>
        <v>-59.59</v>
      </c>
      <c r="E64" s="58">
        <f t="shared" si="4"/>
        <v>101.24</v>
      </c>
      <c r="F64" s="58">
        <f t="shared" si="5"/>
        <v>41.649999999999991</v>
      </c>
      <c r="G64" s="141">
        <v>41414</v>
      </c>
      <c r="H64" s="142">
        <v>11650</v>
      </c>
      <c r="I64" s="142">
        <v>71.88</v>
      </c>
      <c r="J64" s="142">
        <v>-59.59</v>
      </c>
      <c r="K64" s="142">
        <v>101.24</v>
      </c>
      <c r="L64" s="142">
        <v>5086.5200000000004</v>
      </c>
    </row>
    <row r="65" spans="1:12" x14ac:dyDescent="0.3">
      <c r="A65" s="59">
        <f t="shared" si="0"/>
        <v>41410</v>
      </c>
      <c r="B65" s="143">
        <f t="shared" si="1"/>
        <v>11900</v>
      </c>
      <c r="C65" s="58">
        <f t="shared" si="2"/>
        <v>77.319999999999993</v>
      </c>
      <c r="D65" s="58">
        <f t="shared" si="3"/>
        <v>-34.549999999999997</v>
      </c>
      <c r="E65" s="58">
        <f t="shared" si="4"/>
        <v>100.08</v>
      </c>
      <c r="F65" s="58">
        <f t="shared" si="5"/>
        <v>65.53</v>
      </c>
      <c r="G65" s="141">
        <v>41410</v>
      </c>
      <c r="H65" s="142">
        <v>11900</v>
      </c>
      <c r="I65" s="142">
        <v>77.319999999999993</v>
      </c>
      <c r="J65" s="142">
        <v>-34.549999999999997</v>
      </c>
      <c r="K65" s="142">
        <v>100.08</v>
      </c>
      <c r="L65" s="142">
        <v>5195.68</v>
      </c>
    </row>
    <row r="66" spans="1:12" x14ac:dyDescent="0.3">
      <c r="A66" s="59">
        <f t="shared" si="0"/>
        <v>41409</v>
      </c>
      <c r="B66" s="143">
        <f t="shared" si="1"/>
        <v>12600</v>
      </c>
      <c r="C66" s="58">
        <f t="shared" si="2"/>
        <v>74.489999999999995</v>
      </c>
      <c r="D66" s="58">
        <f t="shared" si="3"/>
        <v>2.04</v>
      </c>
      <c r="E66" s="58">
        <f t="shared" si="4"/>
        <v>87.88</v>
      </c>
      <c r="F66" s="58">
        <f t="shared" si="5"/>
        <v>89.92</v>
      </c>
      <c r="G66" s="141">
        <v>41409</v>
      </c>
      <c r="H66" s="142">
        <v>12600</v>
      </c>
      <c r="I66" s="142">
        <v>74.489999999999995</v>
      </c>
      <c r="J66" s="142">
        <v>2.04</v>
      </c>
      <c r="K66" s="142">
        <v>87.88</v>
      </c>
      <c r="L66" s="142">
        <v>5501.3</v>
      </c>
    </row>
    <row r="67" spans="1:12" x14ac:dyDescent="0.3">
      <c r="A67" s="59">
        <f t="shared" si="0"/>
        <v>41408</v>
      </c>
      <c r="B67" s="143">
        <f t="shared" si="1"/>
        <v>12650</v>
      </c>
      <c r="C67" s="58">
        <f t="shared" si="2"/>
        <v>77.069999999999993</v>
      </c>
      <c r="D67" s="58">
        <f t="shared" si="3"/>
        <v>27.06</v>
      </c>
      <c r="E67" s="58">
        <f t="shared" si="4"/>
        <v>67.930000000000007</v>
      </c>
      <c r="F67" s="58">
        <f t="shared" si="5"/>
        <v>94.990000000000009</v>
      </c>
      <c r="G67" s="141">
        <v>41408</v>
      </c>
      <c r="H67" s="142">
        <v>12650</v>
      </c>
      <c r="I67" s="142">
        <v>77.069999999999993</v>
      </c>
      <c r="J67" s="142">
        <v>27.06</v>
      </c>
      <c r="K67" s="142">
        <v>67.930000000000007</v>
      </c>
      <c r="L67" s="142">
        <v>5523.13</v>
      </c>
    </row>
    <row r="68" spans="1:12" x14ac:dyDescent="0.3">
      <c r="A68" s="59">
        <f t="shared" si="0"/>
        <v>41407</v>
      </c>
      <c r="B68" s="143">
        <f t="shared" si="1"/>
        <v>12300</v>
      </c>
      <c r="C68" s="58">
        <f t="shared" si="2"/>
        <v>73.59</v>
      </c>
      <c r="D68" s="58">
        <f t="shared" si="3"/>
        <v>36.5</v>
      </c>
      <c r="E68" s="58">
        <f t="shared" si="4"/>
        <v>53.83</v>
      </c>
      <c r="F68" s="58">
        <f t="shared" si="5"/>
        <v>90.33</v>
      </c>
      <c r="G68" s="141">
        <v>41407</v>
      </c>
      <c r="H68" s="142">
        <v>12300</v>
      </c>
      <c r="I68" s="142">
        <v>73.59</v>
      </c>
      <c r="J68" s="142">
        <v>36.5</v>
      </c>
      <c r="K68" s="142">
        <v>53.83</v>
      </c>
      <c r="L68" s="142">
        <v>5370.32</v>
      </c>
    </row>
    <row r="69" spans="1:12" x14ac:dyDescent="0.3">
      <c r="A69" s="59">
        <f t="shared" si="0"/>
        <v>41404</v>
      </c>
      <c r="B69" s="143">
        <f t="shared" si="1"/>
        <v>12100</v>
      </c>
      <c r="C69" s="58">
        <f t="shared" si="2"/>
        <v>72.78</v>
      </c>
      <c r="D69" s="58">
        <f t="shared" si="3"/>
        <v>47.14</v>
      </c>
      <c r="E69" s="58">
        <f t="shared" si="4"/>
        <v>53.83</v>
      </c>
      <c r="F69" s="58">
        <f t="shared" si="5"/>
        <v>100.97</v>
      </c>
      <c r="G69" s="141">
        <v>41404</v>
      </c>
      <c r="H69" s="142">
        <v>12100</v>
      </c>
      <c r="I69" s="142">
        <v>72.78</v>
      </c>
      <c r="J69" s="142">
        <v>47.14</v>
      </c>
      <c r="K69" s="142">
        <v>53.83</v>
      </c>
      <c r="L69" s="142">
        <v>5283</v>
      </c>
    </row>
    <row r="70" spans="1:12" x14ac:dyDescent="0.3">
      <c r="A70" s="59">
        <f t="shared" si="0"/>
        <v>41403</v>
      </c>
      <c r="B70" s="143">
        <f t="shared" si="1"/>
        <v>11800</v>
      </c>
      <c r="C70" s="58">
        <f t="shared" si="2"/>
        <v>73.27</v>
      </c>
      <c r="D70" s="58">
        <f t="shared" si="3"/>
        <v>47</v>
      </c>
      <c r="E70" s="58">
        <f t="shared" si="4"/>
        <v>41.7</v>
      </c>
      <c r="F70" s="58">
        <f t="shared" si="5"/>
        <v>88.7</v>
      </c>
      <c r="G70" s="141">
        <v>41403</v>
      </c>
      <c r="H70" s="142">
        <v>11800</v>
      </c>
      <c r="I70" s="142">
        <v>73.27</v>
      </c>
      <c r="J70" s="142">
        <v>47</v>
      </c>
      <c r="K70" s="142">
        <v>41.7</v>
      </c>
      <c r="L70" s="142">
        <v>5152.01</v>
      </c>
    </row>
    <row r="71" spans="1:12" x14ac:dyDescent="0.3">
      <c r="A71" s="59">
        <f t="shared" si="0"/>
        <v>41402</v>
      </c>
      <c r="B71" s="143">
        <f t="shared" si="1"/>
        <v>12000</v>
      </c>
      <c r="C71" s="58">
        <f t="shared" si="2"/>
        <v>63.14</v>
      </c>
      <c r="D71" s="58">
        <f t="shared" si="3"/>
        <v>54.39</v>
      </c>
      <c r="E71" s="58">
        <f t="shared" si="4"/>
        <v>37.06</v>
      </c>
      <c r="F71" s="58">
        <f t="shared" si="5"/>
        <v>91.45</v>
      </c>
      <c r="G71" s="141">
        <v>41402</v>
      </c>
      <c r="H71" s="142">
        <v>12000</v>
      </c>
      <c r="I71" s="142">
        <v>63.14</v>
      </c>
      <c r="J71" s="142">
        <v>54.39</v>
      </c>
      <c r="K71" s="142">
        <v>37.06</v>
      </c>
      <c r="L71" s="142">
        <v>5239.34</v>
      </c>
    </row>
    <row r="72" spans="1:12" x14ac:dyDescent="0.3">
      <c r="A72" s="59">
        <f t="shared" si="0"/>
        <v>41401</v>
      </c>
      <c r="B72" s="143">
        <f t="shared" si="1"/>
        <v>11950</v>
      </c>
      <c r="C72" s="58">
        <f t="shared" si="2"/>
        <v>54.97</v>
      </c>
      <c r="D72" s="58">
        <f t="shared" si="3"/>
        <v>55.11</v>
      </c>
      <c r="E72" s="58">
        <f t="shared" si="4"/>
        <v>38.24</v>
      </c>
      <c r="F72" s="58">
        <f t="shared" si="5"/>
        <v>93.35</v>
      </c>
      <c r="G72" s="141">
        <v>41401</v>
      </c>
      <c r="H72" s="142">
        <v>11950</v>
      </c>
      <c r="I72" s="142">
        <v>54.97</v>
      </c>
      <c r="J72" s="142">
        <v>55.11</v>
      </c>
      <c r="K72" s="142">
        <v>38.24</v>
      </c>
      <c r="L72" s="142">
        <v>5217.51</v>
      </c>
    </row>
    <row r="73" spans="1:12" x14ac:dyDescent="0.3">
      <c r="A73" s="59">
        <f t="shared" si="0"/>
        <v>41400</v>
      </c>
      <c r="B73" s="143">
        <f t="shared" si="1"/>
        <v>11550</v>
      </c>
      <c r="C73" s="58">
        <f t="shared" si="2"/>
        <v>54.31</v>
      </c>
      <c r="D73" s="58">
        <f t="shared" si="3"/>
        <v>59.84</v>
      </c>
      <c r="E73" s="58">
        <f t="shared" si="4"/>
        <v>39.33</v>
      </c>
      <c r="F73" s="58">
        <f t="shared" si="5"/>
        <v>99.17</v>
      </c>
      <c r="G73" s="141">
        <v>41400</v>
      </c>
      <c r="H73" s="142">
        <v>11550</v>
      </c>
      <c r="I73" s="142">
        <v>54.31</v>
      </c>
      <c r="J73" s="142">
        <v>59.84</v>
      </c>
      <c r="K73" s="142">
        <v>39.33</v>
      </c>
      <c r="L73" s="142">
        <v>5042.8599999999997</v>
      </c>
    </row>
    <row r="74" spans="1:12" x14ac:dyDescent="0.3">
      <c r="A74" s="59">
        <f t="shared" si="0"/>
        <v>41397</v>
      </c>
      <c r="B74" s="143">
        <f t="shared" si="1"/>
        <v>11800</v>
      </c>
      <c r="C74" s="58">
        <f t="shared" si="2"/>
        <v>56.26</v>
      </c>
      <c r="D74" s="58">
        <f t="shared" si="3"/>
        <v>83.09</v>
      </c>
      <c r="E74" s="58">
        <f t="shared" si="4"/>
        <v>24.94</v>
      </c>
      <c r="F74" s="58">
        <f t="shared" si="5"/>
        <v>108.03</v>
      </c>
      <c r="G74" s="141">
        <v>41397</v>
      </c>
      <c r="H74" s="142">
        <v>11800</v>
      </c>
      <c r="I74" s="142">
        <v>56.26</v>
      </c>
      <c r="J74" s="142">
        <v>83.09</v>
      </c>
      <c r="K74" s="142">
        <v>24.94</v>
      </c>
      <c r="L74" s="142">
        <v>5152.01</v>
      </c>
    </row>
    <row r="75" spans="1:12" x14ac:dyDescent="0.3">
      <c r="A75" s="59">
        <f t="shared" si="0"/>
        <v>41396</v>
      </c>
      <c r="B75" s="143">
        <f t="shared" si="1"/>
        <v>11950</v>
      </c>
      <c r="C75" s="58">
        <f t="shared" si="2"/>
        <v>56.13</v>
      </c>
      <c r="D75" s="58">
        <f t="shared" si="3"/>
        <v>98.95</v>
      </c>
      <c r="E75" s="58">
        <f t="shared" si="4"/>
        <v>22.51</v>
      </c>
      <c r="F75" s="58">
        <f t="shared" si="5"/>
        <v>121.46000000000001</v>
      </c>
      <c r="G75" s="141">
        <v>41396</v>
      </c>
      <c r="H75" s="142">
        <v>11950</v>
      </c>
      <c r="I75" s="142">
        <v>56.13</v>
      </c>
      <c r="J75" s="142">
        <v>98.95</v>
      </c>
      <c r="K75" s="142">
        <v>22.51</v>
      </c>
      <c r="L75" s="142">
        <v>5217.51</v>
      </c>
    </row>
    <row r="76" spans="1:12" x14ac:dyDescent="0.3">
      <c r="A76" s="59">
        <f t="shared" si="0"/>
        <v>41394</v>
      </c>
      <c r="B76" s="143">
        <f t="shared" si="1"/>
        <v>10400</v>
      </c>
      <c r="C76" s="58">
        <f t="shared" si="2"/>
        <v>47</v>
      </c>
      <c r="D76" s="58">
        <f t="shared" si="3"/>
        <v>107.54</v>
      </c>
      <c r="E76" s="58">
        <f t="shared" si="4"/>
        <v>-12</v>
      </c>
      <c r="F76" s="58">
        <f t="shared" si="5"/>
        <v>95.54</v>
      </c>
      <c r="G76" s="141">
        <v>41394</v>
      </c>
      <c r="H76" s="142">
        <v>10400</v>
      </c>
      <c r="I76" s="142">
        <v>47</v>
      </c>
      <c r="J76" s="142">
        <v>107.54</v>
      </c>
      <c r="K76" s="142">
        <v>-12</v>
      </c>
      <c r="L76" s="142">
        <v>4540.76</v>
      </c>
    </row>
    <row r="77" spans="1:12" x14ac:dyDescent="0.3">
      <c r="A77" s="59">
        <f t="shared" si="0"/>
        <v>41393</v>
      </c>
      <c r="B77" s="143">
        <f t="shared" si="1"/>
        <v>9830</v>
      </c>
      <c r="C77" s="58">
        <f t="shared" si="2"/>
        <v>36.270000000000003</v>
      </c>
      <c r="D77" s="58">
        <f t="shared" si="3"/>
        <v>127.94</v>
      </c>
      <c r="E77" s="58">
        <f t="shared" si="4"/>
        <v>-36.72</v>
      </c>
      <c r="F77" s="58">
        <f t="shared" si="5"/>
        <v>91.22</v>
      </c>
      <c r="G77" s="141">
        <v>41393</v>
      </c>
      <c r="H77" s="142">
        <v>9830</v>
      </c>
      <c r="I77" s="142">
        <v>36.270000000000003</v>
      </c>
      <c r="J77" s="142">
        <v>127.94</v>
      </c>
      <c r="K77" s="142">
        <v>-36.72</v>
      </c>
      <c r="L77" s="142">
        <v>4291.8900000000003</v>
      </c>
    </row>
    <row r="78" spans="1:12" x14ac:dyDescent="0.3">
      <c r="A78" s="59">
        <f t="shared" si="0"/>
        <v>41390</v>
      </c>
      <c r="B78" s="143">
        <f t="shared" si="1"/>
        <v>9430</v>
      </c>
      <c r="C78" s="58">
        <f t="shared" si="2"/>
        <v>36.04</v>
      </c>
      <c r="D78" s="58">
        <f t="shared" si="3"/>
        <v>123.21</v>
      </c>
      <c r="E78" s="58">
        <f t="shared" si="4"/>
        <v>-42.85</v>
      </c>
      <c r="F78" s="58">
        <f t="shared" si="5"/>
        <v>80.359999999999985</v>
      </c>
      <c r="G78" s="141">
        <v>41390</v>
      </c>
      <c r="H78" s="142">
        <v>9430</v>
      </c>
      <c r="I78" s="142">
        <v>36.04</v>
      </c>
      <c r="J78" s="142">
        <v>123.21</v>
      </c>
      <c r="K78" s="142">
        <v>-42.85</v>
      </c>
      <c r="L78" s="142">
        <v>4117.25</v>
      </c>
    </row>
    <row r="79" spans="1:12" x14ac:dyDescent="0.3">
      <c r="A79" s="59">
        <f t="shared" si="0"/>
        <v>41389</v>
      </c>
      <c r="B79" s="143">
        <f t="shared" si="1"/>
        <v>9310</v>
      </c>
      <c r="C79" s="58">
        <f t="shared" si="2"/>
        <v>39.04</v>
      </c>
      <c r="D79" s="58">
        <f t="shared" si="3"/>
        <v>118.26</v>
      </c>
      <c r="E79" s="58">
        <f t="shared" si="4"/>
        <v>-42.07</v>
      </c>
      <c r="F79" s="58">
        <f t="shared" si="5"/>
        <v>76.19</v>
      </c>
      <c r="G79" s="141">
        <v>41389</v>
      </c>
      <c r="H79" s="142">
        <v>9310</v>
      </c>
      <c r="I79" s="142">
        <v>39.04</v>
      </c>
      <c r="J79" s="142">
        <v>118.26</v>
      </c>
      <c r="K79" s="142">
        <v>-42.07</v>
      </c>
      <c r="L79" s="142">
        <v>4064.85</v>
      </c>
    </row>
    <row r="80" spans="1:12" x14ac:dyDescent="0.3">
      <c r="A80" s="59">
        <f t="shared" ref="A80:A143" si="6">G80</f>
        <v>41388</v>
      </c>
      <c r="B80" s="143">
        <f t="shared" ref="B80:B143" si="7">H80</f>
        <v>9400</v>
      </c>
      <c r="C80" s="58">
        <f t="shared" ref="C80:C143" si="8">I80</f>
        <v>38.42</v>
      </c>
      <c r="D80" s="58">
        <f t="shared" ref="D80:D143" si="9">J80</f>
        <v>118.67</v>
      </c>
      <c r="E80" s="58">
        <f t="shared" ref="E80:E143" si="10">K80</f>
        <v>-50.11</v>
      </c>
      <c r="F80" s="58">
        <f t="shared" ref="F80:F143" si="11">D80+E80</f>
        <v>68.56</v>
      </c>
      <c r="G80" s="141">
        <v>41388</v>
      </c>
      <c r="H80" s="142">
        <v>9400</v>
      </c>
      <c r="I80" s="142">
        <v>38.42</v>
      </c>
      <c r="J80" s="142">
        <v>118.67</v>
      </c>
      <c r="K80" s="142">
        <v>-50.11</v>
      </c>
      <c r="L80" s="142">
        <v>4104.1499999999996</v>
      </c>
    </row>
    <row r="81" spans="1:12" x14ac:dyDescent="0.3">
      <c r="A81" s="59">
        <f t="shared" si="6"/>
        <v>41387</v>
      </c>
      <c r="B81" s="143">
        <f t="shared" si="7"/>
        <v>9410</v>
      </c>
      <c r="C81" s="58">
        <f t="shared" si="8"/>
        <v>39.630000000000003</v>
      </c>
      <c r="D81" s="58">
        <f t="shared" si="9"/>
        <v>113.4</v>
      </c>
      <c r="E81" s="58">
        <f t="shared" si="10"/>
        <v>-48.69</v>
      </c>
      <c r="F81" s="58">
        <f t="shared" si="11"/>
        <v>64.710000000000008</v>
      </c>
      <c r="G81" s="141">
        <v>41387</v>
      </c>
      <c r="H81" s="142">
        <v>9410</v>
      </c>
      <c r="I81" s="142">
        <v>39.630000000000003</v>
      </c>
      <c r="J81" s="142">
        <v>113.4</v>
      </c>
      <c r="K81" s="142">
        <v>-48.69</v>
      </c>
      <c r="L81" s="142">
        <v>4108.51</v>
      </c>
    </row>
    <row r="82" spans="1:12" x14ac:dyDescent="0.3">
      <c r="A82" s="59">
        <f t="shared" si="6"/>
        <v>41386</v>
      </c>
      <c r="B82" s="143">
        <f t="shared" si="7"/>
        <v>9330</v>
      </c>
      <c r="C82" s="58">
        <f t="shared" si="8"/>
        <v>39.42</v>
      </c>
      <c r="D82" s="58">
        <f t="shared" si="9"/>
        <v>105.09</v>
      </c>
      <c r="E82" s="58">
        <f t="shared" si="10"/>
        <v>-45.26</v>
      </c>
      <c r="F82" s="58">
        <f t="shared" si="11"/>
        <v>59.830000000000005</v>
      </c>
      <c r="G82" s="141">
        <v>41386</v>
      </c>
      <c r="H82" s="142">
        <v>9330</v>
      </c>
      <c r="I82" s="142">
        <v>39.42</v>
      </c>
      <c r="J82" s="142">
        <v>105.09</v>
      </c>
      <c r="K82" s="142">
        <v>-45.26</v>
      </c>
      <c r="L82" s="142">
        <v>4073.58</v>
      </c>
    </row>
    <row r="83" spans="1:12" x14ac:dyDescent="0.3">
      <c r="A83" s="59">
        <f t="shared" si="6"/>
        <v>41383</v>
      </c>
      <c r="B83" s="143">
        <f t="shared" si="7"/>
        <v>9270</v>
      </c>
      <c r="C83" s="58">
        <f t="shared" si="8"/>
        <v>45.34</v>
      </c>
      <c r="D83" s="58">
        <f t="shared" si="9"/>
        <v>110.32</v>
      </c>
      <c r="E83" s="58">
        <f t="shared" si="10"/>
        <v>-56.81</v>
      </c>
      <c r="F83" s="58">
        <f t="shared" si="11"/>
        <v>53.509999999999991</v>
      </c>
      <c r="G83" s="141">
        <v>41383</v>
      </c>
      <c r="H83" s="142">
        <v>9270</v>
      </c>
      <c r="I83" s="142">
        <v>45.34</v>
      </c>
      <c r="J83" s="142">
        <v>110.32</v>
      </c>
      <c r="K83" s="142">
        <v>-56.81</v>
      </c>
      <c r="L83" s="142">
        <v>4047.39</v>
      </c>
    </row>
    <row r="84" spans="1:12" x14ac:dyDescent="0.3">
      <c r="A84" s="59">
        <f t="shared" si="6"/>
        <v>41382</v>
      </c>
      <c r="B84" s="143">
        <f t="shared" si="7"/>
        <v>9030</v>
      </c>
      <c r="C84" s="58">
        <f t="shared" si="8"/>
        <v>46.39</v>
      </c>
      <c r="D84" s="58">
        <f t="shared" si="9"/>
        <v>108.84</v>
      </c>
      <c r="E84" s="58">
        <f t="shared" si="10"/>
        <v>-61.02</v>
      </c>
      <c r="F84" s="58">
        <f t="shared" si="11"/>
        <v>47.82</v>
      </c>
      <c r="G84" s="141">
        <v>41382</v>
      </c>
      <c r="H84" s="142">
        <v>9030</v>
      </c>
      <c r="I84" s="142">
        <v>46.39</v>
      </c>
      <c r="J84" s="142">
        <v>108.84</v>
      </c>
      <c r="K84" s="142">
        <v>-61.02</v>
      </c>
      <c r="L84" s="142">
        <v>3942.6</v>
      </c>
    </row>
    <row r="85" spans="1:12" x14ac:dyDescent="0.3">
      <c r="A85" s="59">
        <f t="shared" si="6"/>
        <v>41381</v>
      </c>
      <c r="B85" s="143">
        <f t="shared" si="7"/>
        <v>9360</v>
      </c>
      <c r="C85" s="58">
        <f t="shared" si="8"/>
        <v>49.18</v>
      </c>
      <c r="D85" s="58">
        <f t="shared" si="9"/>
        <v>107.49</v>
      </c>
      <c r="E85" s="58">
        <f t="shared" si="10"/>
        <v>-58.85</v>
      </c>
      <c r="F85" s="58">
        <f t="shared" si="11"/>
        <v>48.639999999999993</v>
      </c>
      <c r="G85" s="141">
        <v>41381</v>
      </c>
      <c r="H85" s="142">
        <v>9360</v>
      </c>
      <c r="I85" s="142">
        <v>49.18</v>
      </c>
      <c r="J85" s="142">
        <v>107.49</v>
      </c>
      <c r="K85" s="142">
        <v>-58.85</v>
      </c>
      <c r="L85" s="142">
        <v>4086.68</v>
      </c>
    </row>
    <row r="86" spans="1:12" x14ac:dyDescent="0.3">
      <c r="A86" s="59">
        <f t="shared" si="6"/>
        <v>41380</v>
      </c>
      <c r="B86" s="143">
        <f t="shared" si="7"/>
        <v>8910</v>
      </c>
      <c r="C86" s="58">
        <f t="shared" si="8"/>
        <v>47.04</v>
      </c>
      <c r="D86" s="58">
        <f t="shared" si="9"/>
        <v>93.07</v>
      </c>
      <c r="E86" s="58">
        <f t="shared" si="10"/>
        <v>-59.79</v>
      </c>
      <c r="F86" s="58">
        <f t="shared" si="11"/>
        <v>33.279999999999994</v>
      </c>
      <c r="G86" s="141">
        <v>41380</v>
      </c>
      <c r="H86" s="142">
        <v>8910</v>
      </c>
      <c r="I86" s="142">
        <v>47.04</v>
      </c>
      <c r="J86" s="142">
        <v>93.07</v>
      </c>
      <c r="K86" s="142">
        <v>-59.79</v>
      </c>
      <c r="L86" s="142">
        <v>3890.21</v>
      </c>
    </row>
    <row r="87" spans="1:12" x14ac:dyDescent="0.3">
      <c r="A87" s="59">
        <f t="shared" si="6"/>
        <v>41379</v>
      </c>
      <c r="B87" s="143">
        <f t="shared" si="7"/>
        <v>8730</v>
      </c>
      <c r="C87" s="58">
        <f t="shared" si="8"/>
        <v>46.45</v>
      </c>
      <c r="D87" s="58">
        <f t="shared" si="9"/>
        <v>71.36</v>
      </c>
      <c r="E87" s="58">
        <f t="shared" si="10"/>
        <v>-52.25</v>
      </c>
      <c r="F87" s="58">
        <f t="shared" si="11"/>
        <v>19.11</v>
      </c>
      <c r="G87" s="141">
        <v>41379</v>
      </c>
      <c r="H87" s="142">
        <v>8730</v>
      </c>
      <c r="I87" s="142">
        <v>46.45</v>
      </c>
      <c r="J87" s="142">
        <v>71.36</v>
      </c>
      <c r="K87" s="142">
        <v>-52.25</v>
      </c>
      <c r="L87" s="142">
        <v>3811.62</v>
      </c>
    </row>
    <row r="88" spans="1:12" x14ac:dyDescent="0.3">
      <c r="A88" s="59">
        <f t="shared" si="6"/>
        <v>41376</v>
      </c>
      <c r="B88" s="143">
        <f t="shared" si="7"/>
        <v>8480</v>
      </c>
      <c r="C88" s="58">
        <f t="shared" si="8"/>
        <v>44.1</v>
      </c>
      <c r="D88" s="58">
        <f t="shared" si="9"/>
        <v>55.77</v>
      </c>
      <c r="E88" s="58">
        <f t="shared" si="10"/>
        <v>-41.52</v>
      </c>
      <c r="F88" s="58">
        <f t="shared" si="11"/>
        <v>14.25</v>
      </c>
      <c r="G88" s="141">
        <v>41376</v>
      </c>
      <c r="H88" s="142">
        <v>8480</v>
      </c>
      <c r="I88" s="142">
        <v>44.1</v>
      </c>
      <c r="J88" s="142">
        <v>55.77</v>
      </c>
      <c r="K88" s="142">
        <v>-41.52</v>
      </c>
      <c r="L88" s="142">
        <v>3702.46</v>
      </c>
    </row>
    <row r="89" spans="1:12" x14ac:dyDescent="0.3">
      <c r="A89" s="59">
        <f t="shared" si="6"/>
        <v>41375</v>
      </c>
      <c r="B89" s="143">
        <f t="shared" si="7"/>
        <v>8490</v>
      </c>
      <c r="C89" s="58">
        <f t="shared" si="8"/>
        <v>41.09</v>
      </c>
      <c r="D89" s="58">
        <f t="shared" si="9"/>
        <v>49.73</v>
      </c>
      <c r="E89" s="58">
        <f t="shared" si="10"/>
        <v>-36.65</v>
      </c>
      <c r="F89" s="58">
        <f t="shared" si="11"/>
        <v>13.079999999999998</v>
      </c>
      <c r="G89" s="141">
        <v>41375</v>
      </c>
      <c r="H89" s="142">
        <v>8490</v>
      </c>
      <c r="I89" s="142">
        <v>41.09</v>
      </c>
      <c r="J89" s="142">
        <v>49.73</v>
      </c>
      <c r="K89" s="142">
        <v>-36.65</v>
      </c>
      <c r="L89" s="142">
        <v>3706.83</v>
      </c>
    </row>
    <row r="90" spans="1:12" x14ac:dyDescent="0.3">
      <c r="A90" s="59">
        <f t="shared" si="6"/>
        <v>41374</v>
      </c>
      <c r="B90" s="143">
        <f t="shared" si="7"/>
        <v>8080</v>
      </c>
      <c r="C90" s="58">
        <f t="shared" si="8"/>
        <v>38.020000000000003</v>
      </c>
      <c r="D90" s="58">
        <f t="shared" si="9"/>
        <v>47.56</v>
      </c>
      <c r="E90" s="58">
        <f t="shared" si="10"/>
        <v>-41.63</v>
      </c>
      <c r="F90" s="58">
        <f t="shared" si="11"/>
        <v>5.93</v>
      </c>
      <c r="G90" s="141">
        <v>41374</v>
      </c>
      <c r="H90" s="142">
        <v>8080</v>
      </c>
      <c r="I90" s="142">
        <v>38.020000000000003</v>
      </c>
      <c r="J90" s="142">
        <v>47.56</v>
      </c>
      <c r="K90" s="142">
        <v>-41.63</v>
      </c>
      <c r="L90" s="142">
        <v>3527.82</v>
      </c>
    </row>
    <row r="91" spans="1:12" x14ac:dyDescent="0.3">
      <c r="A91" s="59">
        <f t="shared" si="6"/>
        <v>41373</v>
      </c>
      <c r="B91" s="143">
        <f t="shared" si="7"/>
        <v>8510</v>
      </c>
      <c r="C91" s="58">
        <f t="shared" si="8"/>
        <v>28.14</v>
      </c>
      <c r="D91" s="58">
        <f t="shared" si="9"/>
        <v>49.85</v>
      </c>
      <c r="E91" s="58">
        <f t="shared" si="10"/>
        <v>-38.49</v>
      </c>
      <c r="F91" s="58">
        <f t="shared" si="11"/>
        <v>11.36</v>
      </c>
      <c r="G91" s="141">
        <v>41373</v>
      </c>
      <c r="H91" s="142">
        <v>8510</v>
      </c>
      <c r="I91" s="142">
        <v>28.14</v>
      </c>
      <c r="J91" s="142">
        <v>49.85</v>
      </c>
      <c r="K91" s="142">
        <v>-38.49</v>
      </c>
      <c r="L91" s="142">
        <v>3715.56</v>
      </c>
    </row>
    <row r="92" spans="1:12" x14ac:dyDescent="0.3">
      <c r="A92" s="59">
        <f t="shared" si="6"/>
        <v>41372</v>
      </c>
      <c r="B92" s="143">
        <f t="shared" si="7"/>
        <v>8580</v>
      </c>
      <c r="C92" s="58">
        <f t="shared" si="8"/>
        <v>27.72</v>
      </c>
      <c r="D92" s="58">
        <f t="shared" si="9"/>
        <v>49.59</v>
      </c>
      <c r="E92" s="58">
        <f t="shared" si="10"/>
        <v>-38.880000000000003</v>
      </c>
      <c r="F92" s="58">
        <f t="shared" si="11"/>
        <v>10.71</v>
      </c>
      <c r="G92" s="141">
        <v>41372</v>
      </c>
      <c r="H92" s="142">
        <v>8580</v>
      </c>
      <c r="I92" s="142">
        <v>27.72</v>
      </c>
      <c r="J92" s="142">
        <v>49.59</v>
      </c>
      <c r="K92" s="142">
        <v>-38.880000000000003</v>
      </c>
      <c r="L92" s="142">
        <v>3746.13</v>
      </c>
    </row>
    <row r="93" spans="1:12" x14ac:dyDescent="0.3">
      <c r="A93" s="59">
        <f t="shared" si="6"/>
        <v>41369</v>
      </c>
      <c r="B93" s="143">
        <f t="shared" si="7"/>
        <v>8340</v>
      </c>
      <c r="C93" s="58">
        <f t="shared" si="8"/>
        <v>24.26</v>
      </c>
      <c r="D93" s="58">
        <f t="shared" si="9"/>
        <v>50.05</v>
      </c>
      <c r="E93" s="58">
        <f t="shared" si="10"/>
        <v>-42.64</v>
      </c>
      <c r="F93" s="58">
        <f t="shared" si="11"/>
        <v>7.4099999999999966</v>
      </c>
      <c r="G93" s="141">
        <v>41369</v>
      </c>
      <c r="H93" s="142">
        <v>8340</v>
      </c>
      <c r="I93" s="142">
        <v>24.26</v>
      </c>
      <c r="J93" s="142">
        <v>50.05</v>
      </c>
      <c r="K93" s="142">
        <v>-42.64</v>
      </c>
      <c r="L93" s="142">
        <v>3641.34</v>
      </c>
    </row>
    <row r="94" spans="1:12" x14ac:dyDescent="0.3">
      <c r="A94" s="59">
        <f t="shared" si="6"/>
        <v>41368</v>
      </c>
      <c r="B94" s="143">
        <f t="shared" si="7"/>
        <v>8340</v>
      </c>
      <c r="C94" s="58">
        <f t="shared" si="8"/>
        <v>28.28</v>
      </c>
      <c r="D94" s="58">
        <f t="shared" si="9"/>
        <v>39.51</v>
      </c>
      <c r="E94" s="58">
        <f t="shared" si="10"/>
        <v>-34.64</v>
      </c>
      <c r="F94" s="58">
        <f t="shared" si="11"/>
        <v>4.8699999999999974</v>
      </c>
      <c r="G94" s="141">
        <v>41368</v>
      </c>
      <c r="H94" s="142">
        <v>8340</v>
      </c>
      <c r="I94" s="142">
        <v>28.28</v>
      </c>
      <c r="J94" s="142">
        <v>39.51</v>
      </c>
      <c r="K94" s="142">
        <v>-34.64</v>
      </c>
      <c r="L94" s="142">
        <v>3641.34</v>
      </c>
    </row>
    <row r="95" spans="1:12" x14ac:dyDescent="0.3">
      <c r="A95" s="59">
        <f t="shared" si="6"/>
        <v>41367</v>
      </c>
      <c r="B95" s="143">
        <f t="shared" si="7"/>
        <v>8310</v>
      </c>
      <c r="C95" s="58">
        <f t="shared" si="8"/>
        <v>28.5</v>
      </c>
      <c r="D95" s="58">
        <f t="shared" si="9"/>
        <v>33.92</v>
      </c>
      <c r="E95" s="58">
        <f t="shared" si="10"/>
        <v>-30.88</v>
      </c>
      <c r="F95" s="58">
        <f t="shared" si="11"/>
        <v>3.0400000000000027</v>
      </c>
      <c r="G95" s="141">
        <v>41367</v>
      </c>
      <c r="H95" s="142">
        <v>8310</v>
      </c>
      <c r="I95" s="142">
        <v>28.5</v>
      </c>
      <c r="J95" s="142">
        <v>33.92</v>
      </c>
      <c r="K95" s="142">
        <v>-30.88</v>
      </c>
      <c r="L95" s="142">
        <v>3628.24</v>
      </c>
    </row>
    <row r="96" spans="1:12" x14ac:dyDescent="0.3">
      <c r="A96" s="59">
        <f t="shared" si="6"/>
        <v>41366</v>
      </c>
      <c r="B96" s="143">
        <f t="shared" si="7"/>
        <v>8090</v>
      </c>
      <c r="C96" s="58">
        <f t="shared" si="8"/>
        <v>27.57</v>
      </c>
      <c r="D96" s="58">
        <f t="shared" si="9"/>
        <v>27.22</v>
      </c>
      <c r="E96" s="58">
        <f t="shared" si="10"/>
        <v>-29.71</v>
      </c>
      <c r="F96" s="58">
        <f t="shared" si="11"/>
        <v>-2.490000000000002</v>
      </c>
      <c r="G96" s="141">
        <v>41366</v>
      </c>
      <c r="H96" s="142">
        <v>8090</v>
      </c>
      <c r="I96" s="142">
        <v>27.57</v>
      </c>
      <c r="J96" s="142">
        <v>27.22</v>
      </c>
      <c r="K96" s="142">
        <v>-29.71</v>
      </c>
      <c r="L96" s="142">
        <v>3532.19</v>
      </c>
    </row>
    <row r="97" spans="1:12" x14ac:dyDescent="0.3">
      <c r="A97" s="59">
        <f t="shared" si="6"/>
        <v>41365</v>
      </c>
      <c r="B97" s="143">
        <f t="shared" si="7"/>
        <v>8030</v>
      </c>
      <c r="C97" s="58">
        <f t="shared" si="8"/>
        <v>27.68</v>
      </c>
      <c r="D97" s="58">
        <f t="shared" si="9"/>
        <v>25.5</v>
      </c>
      <c r="E97" s="58">
        <f t="shared" si="10"/>
        <v>-30.9</v>
      </c>
      <c r="F97" s="58">
        <f t="shared" si="11"/>
        <v>-5.3999999999999986</v>
      </c>
      <c r="G97" s="141">
        <v>41365</v>
      </c>
      <c r="H97" s="142">
        <v>8030</v>
      </c>
      <c r="I97" s="142">
        <v>27.68</v>
      </c>
      <c r="J97" s="142">
        <v>25.5</v>
      </c>
      <c r="K97" s="142">
        <v>-30.9</v>
      </c>
      <c r="L97" s="142">
        <v>3505.99</v>
      </c>
    </row>
    <row r="98" spans="1:12" x14ac:dyDescent="0.3">
      <c r="A98" s="59">
        <f t="shared" si="6"/>
        <v>41362</v>
      </c>
      <c r="B98" s="143">
        <f t="shared" si="7"/>
        <v>8160</v>
      </c>
      <c r="C98" s="58">
        <f t="shared" si="8"/>
        <v>28.4</v>
      </c>
      <c r="D98" s="58">
        <f t="shared" si="9"/>
        <v>24.69</v>
      </c>
      <c r="E98" s="58">
        <f t="shared" si="10"/>
        <v>-29.19</v>
      </c>
      <c r="F98" s="58">
        <f t="shared" si="11"/>
        <v>-4.5</v>
      </c>
      <c r="G98" s="141">
        <v>41362</v>
      </c>
      <c r="H98" s="142">
        <v>8160</v>
      </c>
      <c r="I98" s="142">
        <v>28.4</v>
      </c>
      <c r="J98" s="142">
        <v>24.69</v>
      </c>
      <c r="K98" s="142">
        <v>-29.19</v>
      </c>
      <c r="L98" s="142">
        <v>3562.75</v>
      </c>
    </row>
    <row r="99" spans="1:12" x14ac:dyDescent="0.3">
      <c r="A99" s="59">
        <f t="shared" si="6"/>
        <v>0</v>
      </c>
      <c r="B99" s="143">
        <f t="shared" si="7"/>
        <v>0</v>
      </c>
      <c r="C99" s="58">
        <f t="shared" si="8"/>
        <v>0</v>
      </c>
      <c r="D99" s="58">
        <f t="shared" si="9"/>
        <v>0</v>
      </c>
      <c r="E99" s="58">
        <f t="shared" si="10"/>
        <v>0</v>
      </c>
      <c r="F99" s="58">
        <f t="shared" si="11"/>
        <v>0</v>
      </c>
      <c r="G99" s="141"/>
      <c r="H99" s="142"/>
      <c r="I99" s="142"/>
      <c r="J99" s="142"/>
      <c r="K99" s="142"/>
      <c r="L99" s="142"/>
    </row>
    <row r="100" spans="1:12" x14ac:dyDescent="0.3">
      <c r="A100" s="59">
        <f t="shared" si="6"/>
        <v>0</v>
      </c>
      <c r="B100" s="143">
        <f t="shared" si="7"/>
        <v>0</v>
      </c>
      <c r="C100" s="58">
        <f t="shared" si="8"/>
        <v>0</v>
      </c>
      <c r="D100" s="58">
        <f t="shared" si="9"/>
        <v>0</v>
      </c>
      <c r="E100" s="58">
        <f t="shared" si="10"/>
        <v>0</v>
      </c>
      <c r="F100" s="58">
        <f t="shared" si="11"/>
        <v>0</v>
      </c>
      <c r="G100" s="141"/>
      <c r="H100" s="142"/>
      <c r="I100" s="142"/>
      <c r="J100" s="142"/>
      <c r="K100" s="142"/>
      <c r="L100" s="142"/>
    </row>
    <row r="101" spans="1:12" x14ac:dyDescent="0.3">
      <c r="A101" s="59">
        <f t="shared" si="6"/>
        <v>0</v>
      </c>
      <c r="B101" s="143">
        <f t="shared" si="7"/>
        <v>0</v>
      </c>
      <c r="C101" s="58">
        <f t="shared" si="8"/>
        <v>0</v>
      </c>
      <c r="D101" s="58">
        <f t="shared" si="9"/>
        <v>0</v>
      </c>
      <c r="E101" s="58">
        <f t="shared" si="10"/>
        <v>0</v>
      </c>
      <c r="F101" s="58">
        <f t="shared" si="11"/>
        <v>0</v>
      </c>
      <c r="G101" s="141"/>
      <c r="H101" s="142"/>
      <c r="I101" s="142"/>
      <c r="J101" s="142"/>
      <c r="K101" s="142"/>
      <c r="L101" s="142"/>
    </row>
    <row r="102" spans="1:12" x14ac:dyDescent="0.3">
      <c r="A102" s="59">
        <f t="shared" si="6"/>
        <v>0</v>
      </c>
      <c r="B102" s="143">
        <f t="shared" si="7"/>
        <v>0</v>
      </c>
      <c r="C102" s="58">
        <f t="shared" si="8"/>
        <v>0</v>
      </c>
      <c r="D102" s="58">
        <f t="shared" si="9"/>
        <v>0</v>
      </c>
      <c r="E102" s="58">
        <f t="shared" si="10"/>
        <v>0</v>
      </c>
      <c r="F102" s="58">
        <f t="shared" si="11"/>
        <v>0</v>
      </c>
      <c r="G102" s="141"/>
      <c r="H102" s="142"/>
      <c r="I102" s="142"/>
      <c r="J102" s="142"/>
      <c r="K102" s="142"/>
      <c r="L102" s="142"/>
    </row>
    <row r="103" spans="1:12" x14ac:dyDescent="0.3">
      <c r="A103" s="59">
        <f t="shared" si="6"/>
        <v>0</v>
      </c>
      <c r="B103" s="143">
        <f t="shared" si="7"/>
        <v>0</v>
      </c>
      <c r="C103" s="58">
        <f t="shared" si="8"/>
        <v>0</v>
      </c>
      <c r="D103" s="58">
        <f t="shared" si="9"/>
        <v>0</v>
      </c>
      <c r="E103" s="58">
        <f t="shared" si="10"/>
        <v>0</v>
      </c>
      <c r="F103" s="58">
        <f t="shared" si="11"/>
        <v>0</v>
      </c>
      <c r="G103" s="141"/>
      <c r="H103" s="142"/>
      <c r="I103" s="142"/>
      <c r="J103" s="142"/>
      <c r="K103" s="142"/>
      <c r="L103" s="142"/>
    </row>
    <row r="104" spans="1:12" x14ac:dyDescent="0.3">
      <c r="A104" s="59">
        <f t="shared" si="6"/>
        <v>0</v>
      </c>
      <c r="B104" s="143">
        <f t="shared" si="7"/>
        <v>0</v>
      </c>
      <c r="C104" s="58">
        <f t="shared" si="8"/>
        <v>0</v>
      </c>
      <c r="D104" s="58">
        <f t="shared" si="9"/>
        <v>0</v>
      </c>
      <c r="E104" s="58">
        <f t="shared" si="10"/>
        <v>0</v>
      </c>
      <c r="F104" s="58">
        <f t="shared" si="11"/>
        <v>0</v>
      </c>
      <c r="G104" s="141"/>
      <c r="H104" s="142"/>
      <c r="I104" s="142"/>
      <c r="J104" s="142"/>
      <c r="K104" s="142"/>
      <c r="L104" s="142"/>
    </row>
    <row r="105" spans="1:12" x14ac:dyDescent="0.3">
      <c r="A105" s="59">
        <f t="shared" si="6"/>
        <v>0</v>
      </c>
      <c r="B105" s="143">
        <f t="shared" si="7"/>
        <v>0</v>
      </c>
      <c r="C105" s="58">
        <f t="shared" si="8"/>
        <v>0</v>
      </c>
      <c r="D105" s="58">
        <f t="shared" si="9"/>
        <v>0</v>
      </c>
      <c r="E105" s="58">
        <f t="shared" si="10"/>
        <v>0</v>
      </c>
      <c r="F105" s="58">
        <f t="shared" si="11"/>
        <v>0</v>
      </c>
      <c r="G105" s="141"/>
      <c r="H105" s="142"/>
      <c r="I105" s="142"/>
      <c r="J105" s="142"/>
      <c r="K105" s="142"/>
      <c r="L105" s="142"/>
    </row>
    <row r="106" spans="1:12" x14ac:dyDescent="0.3">
      <c r="A106" s="59">
        <f t="shared" si="6"/>
        <v>0</v>
      </c>
      <c r="B106" s="143">
        <f t="shared" si="7"/>
        <v>0</v>
      </c>
      <c r="C106" s="58">
        <f t="shared" si="8"/>
        <v>0</v>
      </c>
      <c r="D106" s="58">
        <f t="shared" si="9"/>
        <v>0</v>
      </c>
      <c r="E106" s="58">
        <f t="shared" si="10"/>
        <v>0</v>
      </c>
      <c r="F106" s="58">
        <f t="shared" si="11"/>
        <v>0</v>
      </c>
      <c r="G106" s="141"/>
      <c r="H106" s="142"/>
      <c r="I106" s="142"/>
      <c r="J106" s="142"/>
      <c r="K106" s="142"/>
      <c r="L106" s="142"/>
    </row>
    <row r="107" spans="1:12" x14ac:dyDescent="0.3">
      <c r="A107" s="59">
        <f t="shared" si="6"/>
        <v>0</v>
      </c>
      <c r="B107" s="143">
        <f t="shared" si="7"/>
        <v>0</v>
      </c>
      <c r="C107" s="58">
        <f t="shared" si="8"/>
        <v>0</v>
      </c>
      <c r="D107" s="58">
        <f t="shared" si="9"/>
        <v>0</v>
      </c>
      <c r="E107" s="58">
        <f t="shared" si="10"/>
        <v>0</v>
      </c>
      <c r="F107" s="58">
        <f t="shared" si="11"/>
        <v>0</v>
      </c>
      <c r="G107" s="141"/>
      <c r="H107" s="142"/>
      <c r="I107" s="142"/>
      <c r="J107" s="142"/>
      <c r="K107" s="142"/>
      <c r="L107" s="142"/>
    </row>
    <row r="108" spans="1:12" x14ac:dyDescent="0.3">
      <c r="A108" s="59">
        <f t="shared" si="6"/>
        <v>0</v>
      </c>
      <c r="B108" s="143">
        <f t="shared" si="7"/>
        <v>0</v>
      </c>
      <c r="C108" s="58">
        <f t="shared" si="8"/>
        <v>0</v>
      </c>
      <c r="D108" s="58">
        <f t="shared" si="9"/>
        <v>0</v>
      </c>
      <c r="E108" s="58">
        <f t="shared" si="10"/>
        <v>0</v>
      </c>
      <c r="F108" s="58">
        <f t="shared" si="11"/>
        <v>0</v>
      </c>
      <c r="G108" s="141"/>
      <c r="H108" s="142"/>
      <c r="I108" s="142"/>
      <c r="J108" s="142"/>
      <c r="K108" s="142"/>
      <c r="L108" s="142"/>
    </row>
    <row r="109" spans="1:12" x14ac:dyDescent="0.3">
      <c r="A109" s="59">
        <f t="shared" si="6"/>
        <v>0</v>
      </c>
      <c r="B109" s="143">
        <f t="shared" si="7"/>
        <v>0</v>
      </c>
      <c r="C109" s="58">
        <f t="shared" si="8"/>
        <v>0</v>
      </c>
      <c r="D109" s="58">
        <f t="shared" si="9"/>
        <v>0</v>
      </c>
      <c r="E109" s="58">
        <f t="shared" si="10"/>
        <v>0</v>
      </c>
      <c r="F109" s="58">
        <f t="shared" si="11"/>
        <v>0</v>
      </c>
      <c r="G109" s="141"/>
      <c r="H109" s="142"/>
      <c r="I109" s="142"/>
      <c r="J109" s="142"/>
      <c r="K109" s="142"/>
      <c r="L109" s="142"/>
    </row>
    <row r="110" spans="1:12" x14ac:dyDescent="0.3">
      <c r="A110" s="59">
        <f t="shared" si="6"/>
        <v>0</v>
      </c>
      <c r="B110" s="143">
        <f t="shared" si="7"/>
        <v>0</v>
      </c>
      <c r="C110" s="58">
        <f t="shared" si="8"/>
        <v>0</v>
      </c>
      <c r="D110" s="58">
        <f t="shared" si="9"/>
        <v>0</v>
      </c>
      <c r="E110" s="58">
        <f t="shared" si="10"/>
        <v>0</v>
      </c>
      <c r="F110" s="58">
        <f t="shared" si="11"/>
        <v>0</v>
      </c>
      <c r="G110" s="141"/>
      <c r="H110" s="142"/>
      <c r="I110" s="142"/>
      <c r="J110" s="142"/>
      <c r="K110" s="142"/>
      <c r="L110" s="142"/>
    </row>
    <row r="111" spans="1:12" x14ac:dyDescent="0.3">
      <c r="A111" s="59">
        <f t="shared" si="6"/>
        <v>0</v>
      </c>
      <c r="B111" s="143">
        <f t="shared" si="7"/>
        <v>0</v>
      </c>
      <c r="C111" s="58">
        <f t="shared" si="8"/>
        <v>0</v>
      </c>
      <c r="D111" s="58">
        <f t="shared" si="9"/>
        <v>0</v>
      </c>
      <c r="E111" s="58">
        <f t="shared" si="10"/>
        <v>0</v>
      </c>
      <c r="F111" s="58">
        <f t="shared" si="11"/>
        <v>0</v>
      </c>
      <c r="G111" s="141"/>
      <c r="H111" s="142"/>
      <c r="I111" s="142"/>
      <c r="J111" s="142"/>
      <c r="K111" s="142"/>
      <c r="L111" s="142"/>
    </row>
    <row r="112" spans="1:12" x14ac:dyDescent="0.3">
      <c r="A112" s="59">
        <f t="shared" si="6"/>
        <v>0</v>
      </c>
      <c r="B112" s="143">
        <f t="shared" si="7"/>
        <v>0</v>
      </c>
      <c r="C112" s="58">
        <f t="shared" si="8"/>
        <v>0</v>
      </c>
      <c r="D112" s="58">
        <f t="shared" si="9"/>
        <v>0</v>
      </c>
      <c r="E112" s="58">
        <f t="shared" si="10"/>
        <v>0</v>
      </c>
      <c r="F112" s="58">
        <f t="shared" si="11"/>
        <v>0</v>
      </c>
      <c r="G112" s="141"/>
      <c r="H112" s="142"/>
      <c r="I112" s="142"/>
      <c r="J112" s="142"/>
      <c r="K112" s="142"/>
      <c r="L112" s="142"/>
    </row>
    <row r="113" spans="1:12" x14ac:dyDescent="0.3">
      <c r="A113" s="59">
        <f t="shared" si="6"/>
        <v>0</v>
      </c>
      <c r="B113" s="143">
        <f t="shared" si="7"/>
        <v>0</v>
      </c>
      <c r="C113" s="58">
        <f t="shared" si="8"/>
        <v>0</v>
      </c>
      <c r="D113" s="58">
        <f t="shared" si="9"/>
        <v>0</v>
      </c>
      <c r="E113" s="58">
        <f t="shared" si="10"/>
        <v>0</v>
      </c>
      <c r="F113" s="58">
        <f t="shared" si="11"/>
        <v>0</v>
      </c>
      <c r="G113" s="141"/>
      <c r="H113" s="142"/>
      <c r="I113" s="142"/>
      <c r="J113" s="142"/>
      <c r="K113" s="142"/>
      <c r="L113" s="142"/>
    </row>
    <row r="114" spans="1:12" x14ac:dyDescent="0.3">
      <c r="A114" s="59">
        <f t="shared" si="6"/>
        <v>0</v>
      </c>
      <c r="B114" s="143">
        <f t="shared" si="7"/>
        <v>0</v>
      </c>
      <c r="C114" s="58">
        <f t="shared" si="8"/>
        <v>0</v>
      </c>
      <c r="D114" s="58">
        <f t="shared" si="9"/>
        <v>0</v>
      </c>
      <c r="E114" s="58">
        <f t="shared" si="10"/>
        <v>0</v>
      </c>
      <c r="F114" s="58">
        <f t="shared" si="11"/>
        <v>0</v>
      </c>
      <c r="G114" s="141"/>
      <c r="H114" s="142"/>
      <c r="I114" s="142"/>
      <c r="J114" s="142"/>
      <c r="K114" s="142"/>
      <c r="L114" s="142"/>
    </row>
    <row r="115" spans="1:12" x14ac:dyDescent="0.3">
      <c r="A115" s="59">
        <f t="shared" si="6"/>
        <v>0</v>
      </c>
      <c r="B115" s="143">
        <f t="shared" si="7"/>
        <v>0</v>
      </c>
      <c r="C115" s="58">
        <f t="shared" si="8"/>
        <v>0</v>
      </c>
      <c r="D115" s="58">
        <f t="shared" si="9"/>
        <v>0</v>
      </c>
      <c r="E115" s="58">
        <f t="shared" si="10"/>
        <v>0</v>
      </c>
      <c r="F115" s="58">
        <f t="shared" si="11"/>
        <v>0</v>
      </c>
      <c r="G115" s="141"/>
      <c r="H115" s="142"/>
      <c r="I115" s="142"/>
      <c r="J115" s="142"/>
      <c r="K115" s="142"/>
      <c r="L115" s="142"/>
    </row>
    <row r="116" spans="1:12" x14ac:dyDescent="0.3">
      <c r="A116" s="59">
        <f t="shared" si="6"/>
        <v>0</v>
      </c>
      <c r="B116" s="143">
        <f t="shared" si="7"/>
        <v>0</v>
      </c>
      <c r="C116" s="58">
        <f t="shared" si="8"/>
        <v>0</v>
      </c>
      <c r="D116" s="58">
        <f t="shared" si="9"/>
        <v>0</v>
      </c>
      <c r="E116" s="58">
        <f t="shared" si="10"/>
        <v>0</v>
      </c>
      <c r="F116" s="58">
        <f t="shared" si="11"/>
        <v>0</v>
      </c>
      <c r="G116" s="141"/>
      <c r="H116" s="142"/>
      <c r="I116" s="142"/>
      <c r="J116" s="142"/>
      <c r="K116" s="142"/>
      <c r="L116" s="142"/>
    </row>
    <row r="117" spans="1:12" x14ac:dyDescent="0.3">
      <c r="A117" s="59">
        <f t="shared" si="6"/>
        <v>0</v>
      </c>
      <c r="B117" s="143">
        <f t="shared" si="7"/>
        <v>0</v>
      </c>
      <c r="C117" s="58">
        <f t="shared" si="8"/>
        <v>0</v>
      </c>
      <c r="D117" s="58">
        <f t="shared" si="9"/>
        <v>0</v>
      </c>
      <c r="E117" s="58">
        <f t="shared" si="10"/>
        <v>0</v>
      </c>
      <c r="F117" s="58">
        <f t="shared" si="11"/>
        <v>0</v>
      </c>
      <c r="G117" s="141"/>
      <c r="H117" s="142"/>
      <c r="I117" s="142"/>
      <c r="J117" s="142"/>
      <c r="K117" s="142"/>
      <c r="L117" s="142"/>
    </row>
    <row r="118" spans="1:12" x14ac:dyDescent="0.3">
      <c r="A118" s="59">
        <f t="shared" si="6"/>
        <v>0</v>
      </c>
      <c r="B118" s="143">
        <f t="shared" si="7"/>
        <v>0</v>
      </c>
      <c r="C118" s="58">
        <f t="shared" si="8"/>
        <v>0</v>
      </c>
      <c r="D118" s="58">
        <f t="shared" si="9"/>
        <v>0</v>
      </c>
      <c r="E118" s="58">
        <f t="shared" si="10"/>
        <v>0</v>
      </c>
      <c r="F118" s="58">
        <f t="shared" si="11"/>
        <v>0</v>
      </c>
      <c r="G118" s="141"/>
      <c r="H118" s="142"/>
      <c r="I118" s="142"/>
      <c r="J118" s="142"/>
      <c r="K118" s="142"/>
      <c r="L118" s="142"/>
    </row>
    <row r="119" spans="1:12" x14ac:dyDescent="0.3">
      <c r="A119" s="59">
        <f t="shared" si="6"/>
        <v>0</v>
      </c>
      <c r="B119" s="143">
        <f t="shared" si="7"/>
        <v>0</v>
      </c>
      <c r="C119" s="58">
        <f t="shared" si="8"/>
        <v>0</v>
      </c>
      <c r="D119" s="58">
        <f t="shared" si="9"/>
        <v>0</v>
      </c>
      <c r="E119" s="58">
        <f t="shared" si="10"/>
        <v>0</v>
      </c>
      <c r="F119" s="58">
        <f t="shared" si="11"/>
        <v>0</v>
      </c>
      <c r="G119" s="141"/>
      <c r="H119" s="142"/>
      <c r="I119" s="142"/>
      <c r="J119" s="142"/>
      <c r="K119" s="142"/>
      <c r="L119" s="142"/>
    </row>
    <row r="120" spans="1:12" x14ac:dyDescent="0.3">
      <c r="A120" s="59">
        <f t="shared" si="6"/>
        <v>0</v>
      </c>
      <c r="B120" s="143">
        <f t="shared" si="7"/>
        <v>0</v>
      </c>
      <c r="C120" s="58">
        <f t="shared" si="8"/>
        <v>0</v>
      </c>
      <c r="D120" s="58">
        <f t="shared" si="9"/>
        <v>0</v>
      </c>
      <c r="E120" s="58">
        <f t="shared" si="10"/>
        <v>0</v>
      </c>
      <c r="F120" s="58">
        <f t="shared" si="11"/>
        <v>0</v>
      </c>
      <c r="G120" s="141"/>
      <c r="H120" s="142"/>
      <c r="I120" s="142"/>
      <c r="J120" s="142"/>
      <c r="K120" s="142"/>
      <c r="L120" s="142"/>
    </row>
    <row r="121" spans="1:12" x14ac:dyDescent="0.3">
      <c r="A121" s="59">
        <f t="shared" si="6"/>
        <v>0</v>
      </c>
      <c r="B121" s="143">
        <f t="shared" si="7"/>
        <v>0</v>
      </c>
      <c r="C121" s="58">
        <f t="shared" si="8"/>
        <v>0</v>
      </c>
      <c r="D121" s="58">
        <f t="shared" si="9"/>
        <v>0</v>
      </c>
      <c r="E121" s="58">
        <f t="shared" si="10"/>
        <v>0</v>
      </c>
      <c r="F121" s="58">
        <f t="shared" si="11"/>
        <v>0</v>
      </c>
      <c r="G121" s="141"/>
      <c r="H121" s="142"/>
      <c r="I121" s="142"/>
      <c r="J121" s="142"/>
      <c r="K121" s="142"/>
      <c r="L121" s="142"/>
    </row>
    <row r="122" spans="1:12" x14ac:dyDescent="0.3">
      <c r="A122" s="59">
        <f t="shared" si="6"/>
        <v>0</v>
      </c>
      <c r="B122" s="143">
        <f t="shared" si="7"/>
        <v>0</v>
      </c>
      <c r="C122" s="58">
        <f t="shared" si="8"/>
        <v>0</v>
      </c>
      <c r="D122" s="58">
        <f t="shared" si="9"/>
        <v>0</v>
      </c>
      <c r="E122" s="58">
        <f t="shared" si="10"/>
        <v>0</v>
      </c>
      <c r="F122" s="58">
        <f t="shared" si="11"/>
        <v>0</v>
      </c>
      <c r="G122" s="141"/>
      <c r="H122" s="142"/>
      <c r="I122" s="142"/>
      <c r="J122" s="142"/>
      <c r="K122" s="142"/>
      <c r="L122" s="142"/>
    </row>
    <row r="123" spans="1:12" x14ac:dyDescent="0.3">
      <c r="A123" s="59">
        <f t="shared" si="6"/>
        <v>0</v>
      </c>
      <c r="B123" s="143">
        <f t="shared" si="7"/>
        <v>0</v>
      </c>
      <c r="C123" s="58">
        <f t="shared" si="8"/>
        <v>0</v>
      </c>
      <c r="D123" s="58">
        <f t="shared" si="9"/>
        <v>0</v>
      </c>
      <c r="E123" s="58">
        <f t="shared" si="10"/>
        <v>0</v>
      </c>
      <c r="F123" s="58">
        <f t="shared" si="11"/>
        <v>0</v>
      </c>
      <c r="G123" s="141"/>
      <c r="H123" s="142"/>
      <c r="I123" s="142"/>
      <c r="J123" s="142"/>
      <c r="K123" s="142"/>
      <c r="L123" s="142"/>
    </row>
    <row r="124" spans="1:12" x14ac:dyDescent="0.3">
      <c r="A124" s="59">
        <f t="shared" si="6"/>
        <v>0</v>
      </c>
      <c r="B124" s="143">
        <f t="shared" si="7"/>
        <v>0</v>
      </c>
      <c r="C124" s="58">
        <f t="shared" si="8"/>
        <v>0</v>
      </c>
      <c r="D124" s="58">
        <f t="shared" si="9"/>
        <v>0</v>
      </c>
      <c r="E124" s="58">
        <f t="shared" si="10"/>
        <v>0</v>
      </c>
      <c r="F124" s="58">
        <f t="shared" si="11"/>
        <v>0</v>
      </c>
      <c r="G124" s="141"/>
      <c r="H124" s="142"/>
      <c r="I124" s="142"/>
      <c r="J124" s="142"/>
      <c r="K124" s="142"/>
      <c r="L124" s="142"/>
    </row>
    <row r="125" spans="1:12" x14ac:dyDescent="0.3">
      <c r="A125" s="59">
        <f t="shared" si="6"/>
        <v>0</v>
      </c>
      <c r="B125" s="143">
        <f t="shared" si="7"/>
        <v>0</v>
      </c>
      <c r="C125" s="58">
        <f t="shared" si="8"/>
        <v>0</v>
      </c>
      <c r="D125" s="58">
        <f t="shared" si="9"/>
        <v>0</v>
      </c>
      <c r="E125" s="58">
        <f t="shared" si="10"/>
        <v>0</v>
      </c>
      <c r="F125" s="58">
        <f t="shared" si="11"/>
        <v>0</v>
      </c>
      <c r="G125" s="141"/>
      <c r="H125" s="142"/>
      <c r="I125" s="142"/>
      <c r="J125" s="142"/>
      <c r="K125" s="142"/>
      <c r="L125" s="142"/>
    </row>
    <row r="126" spans="1:12" x14ac:dyDescent="0.3">
      <c r="A126" s="59">
        <f t="shared" si="6"/>
        <v>0</v>
      </c>
      <c r="B126" s="143">
        <f t="shared" si="7"/>
        <v>0</v>
      </c>
      <c r="C126" s="58">
        <f t="shared" si="8"/>
        <v>0</v>
      </c>
      <c r="D126" s="58">
        <f t="shared" si="9"/>
        <v>0</v>
      </c>
      <c r="E126" s="58">
        <f t="shared" si="10"/>
        <v>0</v>
      </c>
      <c r="F126" s="58">
        <f t="shared" si="11"/>
        <v>0</v>
      </c>
      <c r="G126" s="141"/>
      <c r="H126" s="142"/>
      <c r="I126" s="142"/>
      <c r="J126" s="142"/>
      <c r="K126" s="142"/>
      <c r="L126" s="142"/>
    </row>
    <row r="127" spans="1:12" x14ac:dyDescent="0.3">
      <c r="A127" s="59">
        <f t="shared" si="6"/>
        <v>0</v>
      </c>
      <c r="B127" s="143">
        <f t="shared" si="7"/>
        <v>0</v>
      </c>
      <c r="C127" s="58">
        <f t="shared" si="8"/>
        <v>0</v>
      </c>
      <c r="D127" s="58">
        <f t="shared" si="9"/>
        <v>0</v>
      </c>
      <c r="E127" s="58">
        <f t="shared" si="10"/>
        <v>0</v>
      </c>
      <c r="F127" s="58">
        <f t="shared" si="11"/>
        <v>0</v>
      </c>
      <c r="G127" s="141"/>
      <c r="H127" s="142"/>
      <c r="I127" s="142"/>
      <c r="J127" s="142"/>
      <c r="K127" s="142"/>
      <c r="L127" s="142"/>
    </row>
    <row r="128" spans="1:12" x14ac:dyDescent="0.3">
      <c r="A128" s="59">
        <f t="shared" si="6"/>
        <v>0</v>
      </c>
      <c r="B128" s="143">
        <f t="shared" si="7"/>
        <v>0</v>
      </c>
      <c r="C128" s="58">
        <f t="shared" si="8"/>
        <v>0</v>
      </c>
      <c r="D128" s="58">
        <f t="shared" si="9"/>
        <v>0</v>
      </c>
      <c r="E128" s="58">
        <f t="shared" si="10"/>
        <v>0</v>
      </c>
      <c r="F128" s="58">
        <f t="shared" si="11"/>
        <v>0</v>
      </c>
      <c r="G128" s="141"/>
      <c r="H128" s="142"/>
      <c r="I128" s="142"/>
      <c r="J128" s="142"/>
      <c r="K128" s="142"/>
      <c r="L128" s="142"/>
    </row>
    <row r="129" spans="1:12" x14ac:dyDescent="0.3">
      <c r="A129" s="59">
        <f t="shared" si="6"/>
        <v>0</v>
      </c>
      <c r="B129" s="143">
        <f t="shared" si="7"/>
        <v>0</v>
      </c>
      <c r="C129" s="58">
        <f t="shared" si="8"/>
        <v>0</v>
      </c>
      <c r="D129" s="58">
        <f t="shared" si="9"/>
        <v>0</v>
      </c>
      <c r="E129" s="58">
        <f t="shared" si="10"/>
        <v>0</v>
      </c>
      <c r="F129" s="58">
        <f t="shared" si="11"/>
        <v>0</v>
      </c>
      <c r="G129" s="141"/>
      <c r="H129" s="142"/>
      <c r="I129" s="142"/>
      <c r="J129" s="142"/>
      <c r="K129" s="142"/>
      <c r="L129" s="142"/>
    </row>
    <row r="130" spans="1:12" x14ac:dyDescent="0.3">
      <c r="A130" s="59">
        <f t="shared" si="6"/>
        <v>0</v>
      </c>
      <c r="B130" s="143">
        <f t="shared" si="7"/>
        <v>0</v>
      </c>
      <c r="C130" s="58">
        <f t="shared" si="8"/>
        <v>0</v>
      </c>
      <c r="D130" s="58">
        <f t="shared" si="9"/>
        <v>0</v>
      </c>
      <c r="E130" s="58">
        <f t="shared" si="10"/>
        <v>0</v>
      </c>
      <c r="F130" s="58">
        <f t="shared" si="11"/>
        <v>0</v>
      </c>
      <c r="G130" s="141"/>
      <c r="H130" s="142"/>
      <c r="I130" s="142"/>
      <c r="J130" s="142"/>
      <c r="K130" s="142"/>
      <c r="L130" s="142"/>
    </row>
    <row r="131" spans="1:12" x14ac:dyDescent="0.3">
      <c r="A131" s="59">
        <f t="shared" si="6"/>
        <v>0</v>
      </c>
      <c r="B131" s="143">
        <f t="shared" si="7"/>
        <v>0</v>
      </c>
      <c r="C131" s="58">
        <f t="shared" si="8"/>
        <v>0</v>
      </c>
      <c r="D131" s="58">
        <f t="shared" si="9"/>
        <v>0</v>
      </c>
      <c r="E131" s="58">
        <f t="shared" si="10"/>
        <v>0</v>
      </c>
      <c r="F131" s="58">
        <f t="shared" si="11"/>
        <v>0</v>
      </c>
      <c r="G131" s="141"/>
      <c r="H131" s="142"/>
      <c r="I131" s="142"/>
      <c r="J131" s="142"/>
      <c r="K131" s="142"/>
      <c r="L131" s="142"/>
    </row>
    <row r="132" spans="1:12" x14ac:dyDescent="0.3">
      <c r="A132" s="59">
        <f t="shared" si="6"/>
        <v>0</v>
      </c>
      <c r="B132" s="143">
        <f t="shared" si="7"/>
        <v>0</v>
      </c>
      <c r="C132" s="58">
        <f t="shared" si="8"/>
        <v>0</v>
      </c>
      <c r="D132" s="58">
        <f t="shared" si="9"/>
        <v>0</v>
      </c>
      <c r="E132" s="58">
        <f t="shared" si="10"/>
        <v>0</v>
      </c>
      <c r="F132" s="58">
        <f t="shared" si="11"/>
        <v>0</v>
      </c>
      <c r="G132" s="141"/>
      <c r="H132" s="142"/>
      <c r="I132" s="142"/>
      <c r="J132" s="142"/>
      <c r="K132" s="142"/>
      <c r="L132" s="142"/>
    </row>
    <row r="133" spans="1:12" x14ac:dyDescent="0.3">
      <c r="A133" s="59">
        <f t="shared" si="6"/>
        <v>0</v>
      </c>
      <c r="B133" s="143">
        <f t="shared" si="7"/>
        <v>0</v>
      </c>
      <c r="C133" s="58">
        <f t="shared" si="8"/>
        <v>0</v>
      </c>
      <c r="D133" s="58">
        <f t="shared" si="9"/>
        <v>0</v>
      </c>
      <c r="E133" s="58">
        <f t="shared" si="10"/>
        <v>0</v>
      </c>
      <c r="F133" s="58">
        <f t="shared" si="11"/>
        <v>0</v>
      </c>
      <c r="G133" s="141"/>
      <c r="H133" s="142"/>
      <c r="I133" s="142"/>
      <c r="J133" s="142"/>
      <c r="K133" s="142"/>
      <c r="L133" s="142"/>
    </row>
    <row r="134" spans="1:12" x14ac:dyDescent="0.3">
      <c r="A134" s="59">
        <f t="shared" si="6"/>
        <v>0</v>
      </c>
      <c r="B134" s="143">
        <f t="shared" si="7"/>
        <v>0</v>
      </c>
      <c r="C134" s="58">
        <f t="shared" si="8"/>
        <v>0</v>
      </c>
      <c r="D134" s="58">
        <f t="shared" si="9"/>
        <v>0</v>
      </c>
      <c r="E134" s="58">
        <f t="shared" si="10"/>
        <v>0</v>
      </c>
      <c r="F134" s="58">
        <f t="shared" si="11"/>
        <v>0</v>
      </c>
      <c r="G134" s="141"/>
      <c r="H134" s="142"/>
      <c r="I134" s="142"/>
      <c r="J134" s="142"/>
      <c r="K134" s="142"/>
      <c r="L134" s="142"/>
    </row>
    <row r="135" spans="1:12" x14ac:dyDescent="0.3">
      <c r="A135" s="59">
        <f t="shared" si="6"/>
        <v>0</v>
      </c>
      <c r="B135" s="143">
        <f t="shared" si="7"/>
        <v>0</v>
      </c>
      <c r="C135" s="58">
        <f t="shared" si="8"/>
        <v>0</v>
      </c>
      <c r="D135" s="58">
        <f t="shared" si="9"/>
        <v>0</v>
      </c>
      <c r="E135" s="58">
        <f t="shared" si="10"/>
        <v>0</v>
      </c>
      <c r="F135" s="58">
        <f t="shared" si="11"/>
        <v>0</v>
      </c>
      <c r="G135" s="141"/>
      <c r="H135" s="142"/>
      <c r="I135" s="142"/>
      <c r="J135" s="142"/>
      <c r="K135" s="142"/>
      <c r="L135" s="142"/>
    </row>
    <row r="136" spans="1:12" x14ac:dyDescent="0.3">
      <c r="A136" s="59">
        <f t="shared" si="6"/>
        <v>0</v>
      </c>
      <c r="B136" s="143">
        <f t="shared" si="7"/>
        <v>0</v>
      </c>
      <c r="C136" s="58">
        <f t="shared" si="8"/>
        <v>0</v>
      </c>
      <c r="D136" s="58">
        <f t="shared" si="9"/>
        <v>0</v>
      </c>
      <c r="E136" s="58">
        <f t="shared" si="10"/>
        <v>0</v>
      </c>
      <c r="F136" s="58">
        <f t="shared" si="11"/>
        <v>0</v>
      </c>
      <c r="G136" s="141"/>
      <c r="H136" s="142"/>
      <c r="I136" s="142"/>
      <c r="J136" s="142"/>
      <c r="K136" s="142"/>
      <c r="L136" s="142"/>
    </row>
    <row r="137" spans="1:12" x14ac:dyDescent="0.3">
      <c r="A137" s="59">
        <f t="shared" si="6"/>
        <v>0</v>
      </c>
      <c r="B137" s="143">
        <f t="shared" si="7"/>
        <v>0</v>
      </c>
      <c r="C137" s="58">
        <f t="shared" si="8"/>
        <v>0</v>
      </c>
      <c r="D137" s="58">
        <f t="shared" si="9"/>
        <v>0</v>
      </c>
      <c r="E137" s="58">
        <f t="shared" si="10"/>
        <v>0</v>
      </c>
      <c r="F137" s="58">
        <f t="shared" si="11"/>
        <v>0</v>
      </c>
      <c r="G137" s="141"/>
      <c r="H137" s="142"/>
      <c r="I137" s="142"/>
      <c r="J137" s="142"/>
      <c r="K137" s="142"/>
      <c r="L137" s="142"/>
    </row>
    <row r="138" spans="1:12" x14ac:dyDescent="0.3">
      <c r="A138" s="59">
        <f t="shared" si="6"/>
        <v>0</v>
      </c>
      <c r="B138" s="143">
        <f t="shared" si="7"/>
        <v>0</v>
      </c>
      <c r="C138" s="58">
        <f t="shared" si="8"/>
        <v>0</v>
      </c>
      <c r="D138" s="58">
        <f t="shared" si="9"/>
        <v>0</v>
      </c>
      <c r="E138" s="58">
        <f t="shared" si="10"/>
        <v>0</v>
      </c>
      <c r="F138" s="58">
        <f t="shared" si="11"/>
        <v>0</v>
      </c>
      <c r="G138" s="141"/>
      <c r="H138" s="142"/>
      <c r="I138" s="142"/>
      <c r="J138" s="142"/>
      <c r="K138" s="142"/>
      <c r="L138" s="142"/>
    </row>
    <row r="139" spans="1:12" x14ac:dyDescent="0.3">
      <c r="A139" s="59">
        <f t="shared" si="6"/>
        <v>0</v>
      </c>
      <c r="B139" s="143">
        <f t="shared" si="7"/>
        <v>0</v>
      </c>
      <c r="C139" s="58">
        <f t="shared" si="8"/>
        <v>0</v>
      </c>
      <c r="D139" s="58">
        <f t="shared" si="9"/>
        <v>0</v>
      </c>
      <c r="E139" s="58">
        <f t="shared" si="10"/>
        <v>0</v>
      </c>
      <c r="F139" s="58">
        <f t="shared" si="11"/>
        <v>0</v>
      </c>
      <c r="G139" s="141"/>
      <c r="H139" s="142"/>
      <c r="I139" s="142"/>
      <c r="J139" s="142"/>
      <c r="K139" s="142"/>
      <c r="L139" s="142"/>
    </row>
    <row r="140" spans="1:12" x14ac:dyDescent="0.3">
      <c r="A140" s="59">
        <f t="shared" si="6"/>
        <v>0</v>
      </c>
      <c r="B140" s="143">
        <f t="shared" si="7"/>
        <v>0</v>
      </c>
      <c r="C140" s="58">
        <f t="shared" si="8"/>
        <v>0</v>
      </c>
      <c r="D140" s="58">
        <f t="shared" si="9"/>
        <v>0</v>
      </c>
      <c r="E140" s="58">
        <f t="shared" si="10"/>
        <v>0</v>
      </c>
      <c r="F140" s="58">
        <f t="shared" si="11"/>
        <v>0</v>
      </c>
      <c r="G140" s="141"/>
      <c r="H140" s="142"/>
      <c r="I140" s="142"/>
      <c r="J140" s="142"/>
      <c r="K140" s="142"/>
      <c r="L140" s="142"/>
    </row>
    <row r="141" spans="1:12" x14ac:dyDescent="0.3">
      <c r="A141" s="59">
        <f t="shared" si="6"/>
        <v>0</v>
      </c>
      <c r="B141" s="143">
        <f t="shared" si="7"/>
        <v>0</v>
      </c>
      <c r="C141" s="58">
        <f t="shared" si="8"/>
        <v>0</v>
      </c>
      <c r="D141" s="58">
        <f t="shared" si="9"/>
        <v>0</v>
      </c>
      <c r="E141" s="58">
        <f t="shared" si="10"/>
        <v>0</v>
      </c>
      <c r="F141" s="58">
        <f t="shared" si="11"/>
        <v>0</v>
      </c>
      <c r="G141" s="141"/>
      <c r="H141" s="142"/>
      <c r="I141" s="142"/>
      <c r="J141" s="142"/>
      <c r="K141" s="142"/>
      <c r="L141" s="142"/>
    </row>
    <row r="142" spans="1:12" x14ac:dyDescent="0.3">
      <c r="A142" s="59">
        <f t="shared" si="6"/>
        <v>0</v>
      </c>
      <c r="B142" s="143">
        <f t="shared" si="7"/>
        <v>0</v>
      </c>
      <c r="C142" s="58">
        <f t="shared" si="8"/>
        <v>0</v>
      </c>
      <c r="D142" s="58">
        <f t="shared" si="9"/>
        <v>0</v>
      </c>
      <c r="E142" s="58">
        <f t="shared" si="10"/>
        <v>0</v>
      </c>
      <c r="F142" s="58">
        <f t="shared" si="11"/>
        <v>0</v>
      </c>
      <c r="G142" s="141"/>
      <c r="H142" s="142"/>
      <c r="I142" s="142"/>
      <c r="J142" s="142"/>
      <c r="K142" s="142"/>
      <c r="L142" s="142"/>
    </row>
    <row r="143" spans="1:12" x14ac:dyDescent="0.3">
      <c r="A143" s="59">
        <f t="shared" si="6"/>
        <v>0</v>
      </c>
      <c r="B143" s="143">
        <f t="shared" si="7"/>
        <v>0</v>
      </c>
      <c r="C143" s="58">
        <f t="shared" si="8"/>
        <v>0</v>
      </c>
      <c r="D143" s="58">
        <f t="shared" si="9"/>
        <v>0</v>
      </c>
      <c r="E143" s="58">
        <f t="shared" si="10"/>
        <v>0</v>
      </c>
      <c r="F143" s="58">
        <f t="shared" si="11"/>
        <v>0</v>
      </c>
      <c r="G143" s="141"/>
      <c r="H143" s="142"/>
      <c r="I143" s="142"/>
      <c r="J143" s="142"/>
      <c r="K143" s="142"/>
      <c r="L143" s="142"/>
    </row>
    <row r="144" spans="1:12" x14ac:dyDescent="0.3">
      <c r="A144" s="59">
        <f t="shared" ref="A144:A207" si="12">G144</f>
        <v>0</v>
      </c>
      <c r="B144" s="143">
        <f t="shared" ref="B144:B207" si="13">H144</f>
        <v>0</v>
      </c>
      <c r="C144" s="58">
        <f t="shared" ref="C144:C207" si="14">I144</f>
        <v>0</v>
      </c>
      <c r="D144" s="58">
        <f t="shared" ref="D144:D207" si="15">J144</f>
        <v>0</v>
      </c>
      <c r="E144" s="58">
        <f t="shared" ref="E144:E207" si="16">K144</f>
        <v>0</v>
      </c>
      <c r="F144" s="58">
        <f t="shared" ref="F144:F207" si="17">D144+E144</f>
        <v>0</v>
      </c>
      <c r="G144" s="141"/>
      <c r="H144" s="142"/>
      <c r="I144" s="142"/>
      <c r="J144" s="142"/>
      <c r="K144" s="142"/>
      <c r="L144" s="142"/>
    </row>
    <row r="145" spans="1:12" x14ac:dyDescent="0.3">
      <c r="A145" s="59">
        <f t="shared" si="12"/>
        <v>0</v>
      </c>
      <c r="B145" s="143">
        <f t="shared" si="13"/>
        <v>0</v>
      </c>
      <c r="C145" s="58">
        <f t="shared" si="14"/>
        <v>0</v>
      </c>
      <c r="D145" s="58">
        <f t="shared" si="15"/>
        <v>0</v>
      </c>
      <c r="E145" s="58">
        <f t="shared" si="16"/>
        <v>0</v>
      </c>
      <c r="F145" s="58">
        <f t="shared" si="17"/>
        <v>0</v>
      </c>
      <c r="G145" s="141"/>
      <c r="H145" s="142"/>
      <c r="I145" s="142"/>
      <c r="J145" s="142"/>
      <c r="K145" s="142"/>
      <c r="L145" s="142"/>
    </row>
    <row r="146" spans="1:12" x14ac:dyDescent="0.3">
      <c r="A146" s="59">
        <f t="shared" si="12"/>
        <v>0</v>
      </c>
      <c r="B146" s="143">
        <f t="shared" si="13"/>
        <v>0</v>
      </c>
      <c r="C146" s="58">
        <f t="shared" si="14"/>
        <v>0</v>
      </c>
      <c r="D146" s="58">
        <f t="shared" si="15"/>
        <v>0</v>
      </c>
      <c r="E146" s="58">
        <f t="shared" si="16"/>
        <v>0</v>
      </c>
      <c r="F146" s="58">
        <f t="shared" si="17"/>
        <v>0</v>
      </c>
      <c r="G146" s="141"/>
      <c r="H146" s="142"/>
      <c r="I146" s="142"/>
      <c r="J146" s="142"/>
      <c r="K146" s="142"/>
      <c r="L146" s="142"/>
    </row>
    <row r="147" spans="1:12" x14ac:dyDescent="0.3">
      <c r="A147" s="59">
        <f t="shared" si="12"/>
        <v>0</v>
      </c>
      <c r="B147" s="143">
        <f t="shared" si="13"/>
        <v>0</v>
      </c>
      <c r="C147" s="58">
        <f t="shared" si="14"/>
        <v>0</v>
      </c>
      <c r="D147" s="58">
        <f t="shared" si="15"/>
        <v>0</v>
      </c>
      <c r="E147" s="58">
        <f t="shared" si="16"/>
        <v>0</v>
      </c>
      <c r="F147" s="58">
        <f t="shared" si="17"/>
        <v>0</v>
      </c>
      <c r="G147" s="141"/>
      <c r="H147" s="142"/>
      <c r="I147" s="142"/>
      <c r="J147" s="142"/>
      <c r="K147" s="142"/>
      <c r="L147" s="142"/>
    </row>
    <row r="148" spans="1:12" x14ac:dyDescent="0.3">
      <c r="A148" s="59">
        <f t="shared" si="12"/>
        <v>0</v>
      </c>
      <c r="B148" s="143">
        <f t="shared" si="13"/>
        <v>0</v>
      </c>
      <c r="C148" s="58">
        <f t="shared" si="14"/>
        <v>0</v>
      </c>
      <c r="D148" s="58">
        <f t="shared" si="15"/>
        <v>0</v>
      </c>
      <c r="E148" s="58">
        <f t="shared" si="16"/>
        <v>0</v>
      </c>
      <c r="F148" s="58">
        <f t="shared" si="17"/>
        <v>0</v>
      </c>
      <c r="G148" s="141"/>
      <c r="H148" s="142"/>
      <c r="I148" s="142"/>
      <c r="J148" s="142"/>
      <c r="K148" s="142"/>
      <c r="L148" s="142"/>
    </row>
    <row r="149" spans="1:12" x14ac:dyDescent="0.3">
      <c r="A149" s="59">
        <f t="shared" si="12"/>
        <v>0</v>
      </c>
      <c r="B149" s="143">
        <f t="shared" si="13"/>
        <v>0</v>
      </c>
      <c r="C149" s="58">
        <f t="shared" si="14"/>
        <v>0</v>
      </c>
      <c r="D149" s="58">
        <f t="shared" si="15"/>
        <v>0</v>
      </c>
      <c r="E149" s="58">
        <f t="shared" si="16"/>
        <v>0</v>
      </c>
      <c r="F149" s="58">
        <f t="shared" si="17"/>
        <v>0</v>
      </c>
      <c r="G149" s="141"/>
      <c r="H149" s="142"/>
      <c r="I149" s="142"/>
      <c r="J149" s="142"/>
      <c r="K149" s="142"/>
      <c r="L149" s="142"/>
    </row>
    <row r="150" spans="1:12" x14ac:dyDescent="0.3">
      <c r="A150" s="59">
        <f t="shared" si="12"/>
        <v>0</v>
      </c>
      <c r="B150" s="143">
        <f t="shared" si="13"/>
        <v>0</v>
      </c>
      <c r="C150" s="58">
        <f t="shared" si="14"/>
        <v>0</v>
      </c>
      <c r="D150" s="58">
        <f t="shared" si="15"/>
        <v>0</v>
      </c>
      <c r="E150" s="58">
        <f t="shared" si="16"/>
        <v>0</v>
      </c>
      <c r="F150" s="58">
        <f t="shared" si="17"/>
        <v>0</v>
      </c>
      <c r="G150" s="141"/>
      <c r="H150" s="142"/>
      <c r="I150" s="142"/>
      <c r="J150" s="142"/>
      <c r="K150" s="142"/>
      <c r="L150" s="142"/>
    </row>
    <row r="151" spans="1:12" x14ac:dyDescent="0.3">
      <c r="A151" s="59">
        <f t="shared" si="12"/>
        <v>0</v>
      </c>
      <c r="B151" s="143">
        <f t="shared" si="13"/>
        <v>0</v>
      </c>
      <c r="C151" s="58">
        <f t="shared" si="14"/>
        <v>0</v>
      </c>
      <c r="D151" s="58">
        <f t="shared" si="15"/>
        <v>0</v>
      </c>
      <c r="E151" s="58">
        <f t="shared" si="16"/>
        <v>0</v>
      </c>
      <c r="F151" s="58">
        <f t="shared" si="17"/>
        <v>0</v>
      </c>
      <c r="G151" s="141"/>
      <c r="H151" s="142"/>
      <c r="I151" s="142"/>
      <c r="J151" s="142"/>
      <c r="K151" s="142"/>
      <c r="L151" s="142"/>
    </row>
    <row r="152" spans="1:12" x14ac:dyDescent="0.3">
      <c r="A152" s="59">
        <f t="shared" si="12"/>
        <v>0</v>
      </c>
      <c r="B152" s="143">
        <f t="shared" si="13"/>
        <v>0</v>
      </c>
      <c r="C152" s="58">
        <f t="shared" si="14"/>
        <v>0</v>
      </c>
      <c r="D152" s="58">
        <f t="shared" si="15"/>
        <v>0</v>
      </c>
      <c r="E152" s="58">
        <f t="shared" si="16"/>
        <v>0</v>
      </c>
      <c r="F152" s="58">
        <f t="shared" si="17"/>
        <v>0</v>
      </c>
      <c r="G152" s="141"/>
      <c r="H152" s="142"/>
      <c r="I152" s="142"/>
      <c r="J152" s="142"/>
      <c r="K152" s="142"/>
      <c r="L152" s="142"/>
    </row>
    <row r="153" spans="1:12" x14ac:dyDescent="0.3">
      <c r="A153" s="59">
        <f t="shared" si="12"/>
        <v>0</v>
      </c>
      <c r="B153" s="143">
        <f t="shared" si="13"/>
        <v>0</v>
      </c>
      <c r="C153" s="58">
        <f t="shared" si="14"/>
        <v>0</v>
      </c>
      <c r="D153" s="58">
        <f t="shared" si="15"/>
        <v>0</v>
      </c>
      <c r="E153" s="58">
        <f t="shared" si="16"/>
        <v>0</v>
      </c>
      <c r="F153" s="58">
        <f t="shared" si="17"/>
        <v>0</v>
      </c>
      <c r="G153" s="141"/>
      <c r="H153" s="142"/>
      <c r="I153" s="142"/>
      <c r="J153" s="142"/>
      <c r="K153" s="142"/>
      <c r="L153" s="142"/>
    </row>
    <row r="154" spans="1:12" x14ac:dyDescent="0.3">
      <c r="A154" s="59">
        <f t="shared" si="12"/>
        <v>0</v>
      </c>
      <c r="B154" s="143">
        <f t="shared" si="13"/>
        <v>0</v>
      </c>
      <c r="C154" s="58">
        <f t="shared" si="14"/>
        <v>0</v>
      </c>
      <c r="D154" s="58">
        <f t="shared" si="15"/>
        <v>0</v>
      </c>
      <c r="E154" s="58">
        <f t="shared" si="16"/>
        <v>0</v>
      </c>
      <c r="F154" s="58">
        <f t="shared" si="17"/>
        <v>0</v>
      </c>
      <c r="G154" s="141"/>
      <c r="H154" s="142"/>
      <c r="I154" s="142"/>
      <c r="J154" s="142"/>
      <c r="K154" s="142"/>
      <c r="L154" s="142"/>
    </row>
    <row r="155" spans="1:12" x14ac:dyDescent="0.3">
      <c r="A155" s="59">
        <f t="shared" si="12"/>
        <v>0</v>
      </c>
      <c r="B155" s="143">
        <f t="shared" si="13"/>
        <v>0</v>
      </c>
      <c r="C155" s="58">
        <f t="shared" si="14"/>
        <v>0</v>
      </c>
      <c r="D155" s="58">
        <f t="shared" si="15"/>
        <v>0</v>
      </c>
      <c r="E155" s="58">
        <f t="shared" si="16"/>
        <v>0</v>
      </c>
      <c r="F155" s="58">
        <f t="shared" si="17"/>
        <v>0</v>
      </c>
      <c r="G155" s="141"/>
      <c r="H155" s="142"/>
      <c r="I155" s="142"/>
      <c r="J155" s="142"/>
      <c r="K155" s="142"/>
      <c r="L155" s="142"/>
    </row>
    <row r="156" spans="1:12" x14ac:dyDescent="0.3">
      <c r="A156" s="59">
        <f t="shared" si="12"/>
        <v>0</v>
      </c>
      <c r="B156" s="143">
        <f t="shared" si="13"/>
        <v>0</v>
      </c>
      <c r="C156" s="58">
        <f t="shared" si="14"/>
        <v>0</v>
      </c>
      <c r="D156" s="58">
        <f t="shared" si="15"/>
        <v>0</v>
      </c>
      <c r="E156" s="58">
        <f t="shared" si="16"/>
        <v>0</v>
      </c>
      <c r="F156" s="58">
        <f t="shared" si="17"/>
        <v>0</v>
      </c>
      <c r="G156" s="141"/>
      <c r="H156" s="142"/>
      <c r="I156" s="142"/>
      <c r="J156" s="142"/>
      <c r="K156" s="142"/>
      <c r="L156" s="142"/>
    </row>
    <row r="157" spans="1:12" x14ac:dyDescent="0.3">
      <c r="A157" s="59">
        <f t="shared" si="12"/>
        <v>0</v>
      </c>
      <c r="B157" s="143">
        <f t="shared" si="13"/>
        <v>0</v>
      </c>
      <c r="C157" s="58">
        <f t="shared" si="14"/>
        <v>0</v>
      </c>
      <c r="D157" s="58">
        <f t="shared" si="15"/>
        <v>0</v>
      </c>
      <c r="E157" s="58">
        <f t="shared" si="16"/>
        <v>0</v>
      </c>
      <c r="F157" s="58">
        <f t="shared" si="17"/>
        <v>0</v>
      </c>
      <c r="G157" s="141"/>
      <c r="H157" s="142"/>
      <c r="I157" s="142"/>
      <c r="J157" s="142"/>
      <c r="K157" s="142"/>
      <c r="L157" s="142"/>
    </row>
    <row r="158" spans="1:12" x14ac:dyDescent="0.3">
      <c r="A158" s="59">
        <f t="shared" si="12"/>
        <v>0</v>
      </c>
      <c r="B158" s="143">
        <f t="shared" si="13"/>
        <v>0</v>
      </c>
      <c r="C158" s="58">
        <f t="shared" si="14"/>
        <v>0</v>
      </c>
      <c r="D158" s="58">
        <f t="shared" si="15"/>
        <v>0</v>
      </c>
      <c r="E158" s="58">
        <f t="shared" si="16"/>
        <v>0</v>
      </c>
      <c r="F158" s="58">
        <f t="shared" si="17"/>
        <v>0</v>
      </c>
      <c r="G158" s="141"/>
      <c r="H158" s="142"/>
      <c r="I158" s="142"/>
      <c r="J158" s="142"/>
      <c r="K158" s="142"/>
      <c r="L158" s="142"/>
    </row>
    <row r="159" spans="1:12" x14ac:dyDescent="0.3">
      <c r="A159" s="59">
        <f t="shared" si="12"/>
        <v>0</v>
      </c>
      <c r="B159" s="143">
        <f t="shared" si="13"/>
        <v>0</v>
      </c>
      <c r="C159" s="58">
        <f t="shared" si="14"/>
        <v>0</v>
      </c>
      <c r="D159" s="58">
        <f t="shared" si="15"/>
        <v>0</v>
      </c>
      <c r="E159" s="58">
        <f t="shared" si="16"/>
        <v>0</v>
      </c>
      <c r="F159" s="58">
        <f t="shared" si="17"/>
        <v>0</v>
      </c>
      <c r="G159" s="141"/>
      <c r="H159" s="142"/>
      <c r="I159" s="142"/>
      <c r="J159" s="142"/>
      <c r="K159" s="142"/>
      <c r="L159" s="142"/>
    </row>
    <row r="160" spans="1:12" x14ac:dyDescent="0.3">
      <c r="A160" s="59">
        <f t="shared" si="12"/>
        <v>0</v>
      </c>
      <c r="B160" s="143">
        <f t="shared" si="13"/>
        <v>0</v>
      </c>
      <c r="C160" s="58">
        <f t="shared" si="14"/>
        <v>0</v>
      </c>
      <c r="D160" s="58">
        <f t="shared" si="15"/>
        <v>0</v>
      </c>
      <c r="E160" s="58">
        <f t="shared" si="16"/>
        <v>0</v>
      </c>
      <c r="F160" s="58">
        <f t="shared" si="17"/>
        <v>0</v>
      </c>
      <c r="G160" s="141"/>
      <c r="H160" s="142"/>
      <c r="I160" s="142"/>
      <c r="J160" s="142"/>
      <c r="K160" s="142"/>
      <c r="L160" s="142"/>
    </row>
    <row r="161" spans="1:12" x14ac:dyDescent="0.3">
      <c r="A161" s="59">
        <f t="shared" si="12"/>
        <v>0</v>
      </c>
      <c r="B161" s="143">
        <f t="shared" si="13"/>
        <v>0</v>
      </c>
      <c r="C161" s="58">
        <f t="shared" si="14"/>
        <v>0</v>
      </c>
      <c r="D161" s="58">
        <f t="shared" si="15"/>
        <v>0</v>
      </c>
      <c r="E161" s="58">
        <f t="shared" si="16"/>
        <v>0</v>
      </c>
      <c r="F161" s="58">
        <f t="shared" si="17"/>
        <v>0</v>
      </c>
      <c r="G161" s="141"/>
      <c r="H161" s="142"/>
      <c r="I161" s="142"/>
      <c r="J161" s="142"/>
      <c r="K161" s="142"/>
      <c r="L161" s="142"/>
    </row>
    <row r="162" spans="1:12" x14ac:dyDescent="0.3">
      <c r="A162" s="59">
        <f t="shared" si="12"/>
        <v>0</v>
      </c>
      <c r="B162" s="143">
        <f t="shared" si="13"/>
        <v>0</v>
      </c>
      <c r="C162" s="58">
        <f t="shared" si="14"/>
        <v>0</v>
      </c>
      <c r="D162" s="58">
        <f t="shared" si="15"/>
        <v>0</v>
      </c>
      <c r="E162" s="58">
        <f t="shared" si="16"/>
        <v>0</v>
      </c>
      <c r="F162" s="58">
        <f t="shared" si="17"/>
        <v>0</v>
      </c>
      <c r="G162" s="141"/>
      <c r="H162" s="142"/>
      <c r="I162" s="142"/>
      <c r="J162" s="142"/>
      <c r="K162" s="142"/>
      <c r="L162" s="142"/>
    </row>
    <row r="163" spans="1:12" x14ac:dyDescent="0.3">
      <c r="A163" s="59">
        <f t="shared" si="12"/>
        <v>0</v>
      </c>
      <c r="B163" s="143">
        <f t="shared" si="13"/>
        <v>0</v>
      </c>
      <c r="C163" s="58">
        <f t="shared" si="14"/>
        <v>0</v>
      </c>
      <c r="D163" s="58">
        <f t="shared" si="15"/>
        <v>0</v>
      </c>
      <c r="E163" s="58">
        <f t="shared" si="16"/>
        <v>0</v>
      </c>
      <c r="F163" s="58">
        <f t="shared" si="17"/>
        <v>0</v>
      </c>
      <c r="G163" s="141"/>
      <c r="H163" s="142"/>
      <c r="I163" s="142"/>
      <c r="J163" s="142"/>
      <c r="K163" s="142"/>
      <c r="L163" s="142"/>
    </row>
    <row r="164" spans="1:12" x14ac:dyDescent="0.3">
      <c r="A164" s="59">
        <f t="shared" si="12"/>
        <v>0</v>
      </c>
      <c r="B164" s="143">
        <f t="shared" si="13"/>
        <v>0</v>
      </c>
      <c r="C164" s="58">
        <f t="shared" si="14"/>
        <v>0</v>
      </c>
      <c r="D164" s="58">
        <f t="shared" si="15"/>
        <v>0</v>
      </c>
      <c r="E164" s="58">
        <f t="shared" si="16"/>
        <v>0</v>
      </c>
      <c r="F164" s="58">
        <f t="shared" si="17"/>
        <v>0</v>
      </c>
      <c r="G164" s="141"/>
      <c r="H164" s="142"/>
      <c r="I164" s="142"/>
      <c r="J164" s="142"/>
      <c r="K164" s="142"/>
      <c r="L164" s="142"/>
    </row>
    <row r="165" spans="1:12" x14ac:dyDescent="0.3">
      <c r="A165" s="59">
        <f t="shared" si="12"/>
        <v>0</v>
      </c>
      <c r="B165" s="143">
        <f t="shared" si="13"/>
        <v>0</v>
      </c>
      <c r="C165" s="58">
        <f t="shared" si="14"/>
        <v>0</v>
      </c>
      <c r="D165" s="58">
        <f t="shared" si="15"/>
        <v>0</v>
      </c>
      <c r="E165" s="58">
        <f t="shared" si="16"/>
        <v>0</v>
      </c>
      <c r="F165" s="58">
        <f t="shared" si="17"/>
        <v>0</v>
      </c>
      <c r="G165" s="141"/>
      <c r="H165" s="142"/>
      <c r="I165" s="142"/>
      <c r="J165" s="142"/>
      <c r="K165" s="142"/>
      <c r="L165" s="142"/>
    </row>
    <row r="166" spans="1:12" x14ac:dyDescent="0.3">
      <c r="A166" s="59">
        <f t="shared" si="12"/>
        <v>0</v>
      </c>
      <c r="B166" s="143">
        <f t="shared" si="13"/>
        <v>0</v>
      </c>
      <c r="C166" s="58">
        <f t="shared" si="14"/>
        <v>0</v>
      </c>
      <c r="D166" s="58">
        <f t="shared" si="15"/>
        <v>0</v>
      </c>
      <c r="E166" s="58">
        <f t="shared" si="16"/>
        <v>0</v>
      </c>
      <c r="F166" s="58">
        <f t="shared" si="17"/>
        <v>0</v>
      </c>
      <c r="G166" s="141"/>
      <c r="H166" s="142"/>
      <c r="I166" s="142"/>
      <c r="J166" s="142"/>
      <c r="K166" s="142"/>
      <c r="L166" s="142"/>
    </row>
    <row r="167" spans="1:12" x14ac:dyDescent="0.3">
      <c r="A167" s="59">
        <f t="shared" si="12"/>
        <v>0</v>
      </c>
      <c r="B167" s="143">
        <f t="shared" si="13"/>
        <v>0</v>
      </c>
      <c r="C167" s="58">
        <f t="shared" si="14"/>
        <v>0</v>
      </c>
      <c r="D167" s="58">
        <f t="shared" si="15"/>
        <v>0</v>
      </c>
      <c r="E167" s="58">
        <f t="shared" si="16"/>
        <v>0</v>
      </c>
      <c r="F167" s="58">
        <f t="shared" si="17"/>
        <v>0</v>
      </c>
      <c r="G167" s="141"/>
      <c r="H167" s="142"/>
      <c r="I167" s="142"/>
      <c r="J167" s="142"/>
      <c r="K167" s="142"/>
      <c r="L167" s="142"/>
    </row>
    <row r="168" spans="1:12" x14ac:dyDescent="0.3">
      <c r="A168" s="59">
        <f t="shared" si="12"/>
        <v>0</v>
      </c>
      <c r="B168" s="143">
        <f t="shared" si="13"/>
        <v>0</v>
      </c>
      <c r="C168" s="58">
        <f t="shared" si="14"/>
        <v>0</v>
      </c>
      <c r="D168" s="58">
        <f t="shared" si="15"/>
        <v>0</v>
      </c>
      <c r="E168" s="58">
        <f t="shared" si="16"/>
        <v>0</v>
      </c>
      <c r="F168" s="58">
        <f t="shared" si="17"/>
        <v>0</v>
      </c>
      <c r="G168" s="141"/>
      <c r="H168" s="142"/>
      <c r="I168" s="142"/>
      <c r="J168" s="142"/>
      <c r="K168" s="142"/>
      <c r="L168" s="142"/>
    </row>
    <row r="169" spans="1:12" x14ac:dyDescent="0.3">
      <c r="A169" s="59">
        <f t="shared" si="12"/>
        <v>0</v>
      </c>
      <c r="B169" s="143">
        <f t="shared" si="13"/>
        <v>0</v>
      </c>
      <c r="C169" s="58">
        <f t="shared" si="14"/>
        <v>0</v>
      </c>
      <c r="D169" s="58">
        <f t="shared" si="15"/>
        <v>0</v>
      </c>
      <c r="E169" s="58">
        <f t="shared" si="16"/>
        <v>0</v>
      </c>
      <c r="F169" s="58">
        <f t="shared" si="17"/>
        <v>0</v>
      </c>
      <c r="G169" s="141"/>
      <c r="H169" s="142"/>
      <c r="I169" s="142"/>
      <c r="J169" s="142"/>
      <c r="K169" s="142"/>
      <c r="L169" s="142"/>
    </row>
    <row r="170" spans="1:12" x14ac:dyDescent="0.3">
      <c r="A170" s="59">
        <f t="shared" si="12"/>
        <v>0</v>
      </c>
      <c r="B170" s="143">
        <f t="shared" si="13"/>
        <v>0</v>
      </c>
      <c r="C170" s="58">
        <f t="shared" si="14"/>
        <v>0</v>
      </c>
      <c r="D170" s="58">
        <f t="shared" si="15"/>
        <v>0</v>
      </c>
      <c r="E170" s="58">
        <f t="shared" si="16"/>
        <v>0</v>
      </c>
      <c r="F170" s="58">
        <f t="shared" si="17"/>
        <v>0</v>
      </c>
      <c r="G170" s="141"/>
      <c r="H170" s="142"/>
      <c r="I170" s="142"/>
      <c r="J170" s="142"/>
      <c r="K170" s="142"/>
      <c r="L170" s="142"/>
    </row>
    <row r="171" spans="1:12" x14ac:dyDescent="0.3">
      <c r="A171" s="59">
        <f t="shared" si="12"/>
        <v>0</v>
      </c>
      <c r="B171" s="143">
        <f t="shared" si="13"/>
        <v>0</v>
      </c>
      <c r="C171" s="58">
        <f t="shared" si="14"/>
        <v>0</v>
      </c>
      <c r="D171" s="58">
        <f t="shared" si="15"/>
        <v>0</v>
      </c>
      <c r="E171" s="58">
        <f t="shared" si="16"/>
        <v>0</v>
      </c>
      <c r="F171" s="58">
        <f t="shared" si="17"/>
        <v>0</v>
      </c>
      <c r="G171" s="141"/>
      <c r="H171" s="142"/>
      <c r="I171" s="142"/>
      <c r="J171" s="142"/>
      <c r="K171" s="142"/>
      <c r="L171" s="142"/>
    </row>
    <row r="172" spans="1:12" x14ac:dyDescent="0.3">
      <c r="A172" s="59">
        <f t="shared" si="12"/>
        <v>0</v>
      </c>
      <c r="B172" s="143">
        <f t="shared" si="13"/>
        <v>0</v>
      </c>
      <c r="C172" s="58">
        <f t="shared" si="14"/>
        <v>0</v>
      </c>
      <c r="D172" s="58">
        <f t="shared" si="15"/>
        <v>0</v>
      </c>
      <c r="E172" s="58">
        <f t="shared" si="16"/>
        <v>0</v>
      </c>
      <c r="F172" s="58">
        <f t="shared" si="17"/>
        <v>0</v>
      </c>
      <c r="G172" s="141"/>
      <c r="H172" s="142"/>
      <c r="I172" s="142"/>
      <c r="J172" s="142"/>
      <c r="K172" s="142"/>
      <c r="L172" s="142"/>
    </row>
    <row r="173" spans="1:12" x14ac:dyDescent="0.3">
      <c r="A173" s="59">
        <f t="shared" si="12"/>
        <v>0</v>
      </c>
      <c r="B173" s="143">
        <f t="shared" si="13"/>
        <v>0</v>
      </c>
      <c r="C173" s="58">
        <f t="shared" si="14"/>
        <v>0</v>
      </c>
      <c r="D173" s="58">
        <f t="shared" si="15"/>
        <v>0</v>
      </c>
      <c r="E173" s="58">
        <f t="shared" si="16"/>
        <v>0</v>
      </c>
      <c r="F173" s="58">
        <f t="shared" si="17"/>
        <v>0</v>
      </c>
      <c r="G173" s="141"/>
      <c r="H173" s="142"/>
      <c r="I173" s="142"/>
      <c r="J173" s="142"/>
      <c r="K173" s="142"/>
      <c r="L173" s="142"/>
    </row>
    <row r="174" spans="1:12" x14ac:dyDescent="0.3">
      <c r="A174" s="59">
        <f t="shared" si="12"/>
        <v>0</v>
      </c>
      <c r="B174" s="143">
        <f t="shared" si="13"/>
        <v>0</v>
      </c>
      <c r="C174" s="58">
        <f t="shared" si="14"/>
        <v>0</v>
      </c>
      <c r="D174" s="58">
        <f t="shared" si="15"/>
        <v>0</v>
      </c>
      <c r="E174" s="58">
        <f t="shared" si="16"/>
        <v>0</v>
      </c>
      <c r="F174" s="58">
        <f t="shared" si="17"/>
        <v>0</v>
      </c>
      <c r="G174" s="141"/>
      <c r="H174" s="142"/>
      <c r="I174" s="142"/>
      <c r="J174" s="142"/>
      <c r="K174" s="142"/>
      <c r="L174" s="142"/>
    </row>
    <row r="175" spans="1:12" x14ac:dyDescent="0.3">
      <c r="A175" s="59">
        <f t="shared" si="12"/>
        <v>0</v>
      </c>
      <c r="B175" s="143">
        <f t="shared" si="13"/>
        <v>0</v>
      </c>
      <c r="C175" s="58">
        <f t="shared" si="14"/>
        <v>0</v>
      </c>
      <c r="D175" s="58">
        <f t="shared" si="15"/>
        <v>0</v>
      </c>
      <c r="E175" s="58">
        <f t="shared" si="16"/>
        <v>0</v>
      </c>
      <c r="F175" s="58">
        <f t="shared" si="17"/>
        <v>0</v>
      </c>
      <c r="G175" s="141"/>
      <c r="H175" s="142"/>
      <c r="I175" s="142"/>
      <c r="J175" s="142"/>
      <c r="K175" s="142"/>
      <c r="L175" s="142"/>
    </row>
    <row r="176" spans="1:12" x14ac:dyDescent="0.3">
      <c r="A176" s="59">
        <f t="shared" si="12"/>
        <v>0</v>
      </c>
      <c r="B176" s="143">
        <f t="shared" si="13"/>
        <v>0</v>
      </c>
      <c r="C176" s="58">
        <f t="shared" si="14"/>
        <v>0</v>
      </c>
      <c r="D176" s="58">
        <f t="shared" si="15"/>
        <v>0</v>
      </c>
      <c r="E176" s="58">
        <f t="shared" si="16"/>
        <v>0</v>
      </c>
      <c r="F176" s="58">
        <f t="shared" si="17"/>
        <v>0</v>
      </c>
      <c r="G176" s="141"/>
      <c r="H176" s="142"/>
      <c r="I176" s="142"/>
      <c r="J176" s="142"/>
      <c r="K176" s="142"/>
      <c r="L176" s="142"/>
    </row>
    <row r="177" spans="1:12" x14ac:dyDescent="0.3">
      <c r="A177" s="59">
        <f t="shared" si="12"/>
        <v>0</v>
      </c>
      <c r="B177" s="143">
        <f t="shared" si="13"/>
        <v>0</v>
      </c>
      <c r="C177" s="58">
        <f t="shared" si="14"/>
        <v>0</v>
      </c>
      <c r="D177" s="58">
        <f t="shared" si="15"/>
        <v>0</v>
      </c>
      <c r="E177" s="58">
        <f t="shared" si="16"/>
        <v>0</v>
      </c>
      <c r="F177" s="58">
        <f t="shared" si="17"/>
        <v>0</v>
      </c>
      <c r="G177" s="141"/>
      <c r="H177" s="142"/>
      <c r="I177" s="142"/>
      <c r="J177" s="142"/>
      <c r="K177" s="142"/>
      <c r="L177" s="142"/>
    </row>
    <row r="178" spans="1:12" x14ac:dyDescent="0.3">
      <c r="A178" s="59">
        <f t="shared" si="12"/>
        <v>0</v>
      </c>
      <c r="B178" s="143">
        <f t="shared" si="13"/>
        <v>0</v>
      </c>
      <c r="C178" s="58">
        <f t="shared" si="14"/>
        <v>0</v>
      </c>
      <c r="D178" s="58">
        <f t="shared" si="15"/>
        <v>0</v>
      </c>
      <c r="E178" s="58">
        <f t="shared" si="16"/>
        <v>0</v>
      </c>
      <c r="F178" s="58">
        <f t="shared" si="17"/>
        <v>0</v>
      </c>
      <c r="G178" s="141"/>
      <c r="H178" s="142"/>
      <c r="I178" s="142"/>
      <c r="J178" s="142"/>
      <c r="K178" s="142"/>
      <c r="L178" s="142"/>
    </row>
    <row r="179" spans="1:12" x14ac:dyDescent="0.3">
      <c r="A179" s="59">
        <f t="shared" si="12"/>
        <v>0</v>
      </c>
      <c r="B179" s="143">
        <f t="shared" si="13"/>
        <v>0</v>
      </c>
      <c r="C179" s="58">
        <f t="shared" si="14"/>
        <v>0</v>
      </c>
      <c r="D179" s="58">
        <f t="shared" si="15"/>
        <v>0</v>
      </c>
      <c r="E179" s="58">
        <f t="shared" si="16"/>
        <v>0</v>
      </c>
      <c r="F179" s="58">
        <f t="shared" si="17"/>
        <v>0</v>
      </c>
      <c r="G179" s="141"/>
      <c r="H179" s="142"/>
      <c r="I179" s="142"/>
      <c r="J179" s="142"/>
      <c r="K179" s="142"/>
      <c r="L179" s="142"/>
    </row>
    <row r="180" spans="1:12" x14ac:dyDescent="0.3">
      <c r="A180" s="59">
        <f t="shared" si="12"/>
        <v>0</v>
      </c>
      <c r="B180" s="143">
        <f t="shared" si="13"/>
        <v>0</v>
      </c>
      <c r="C180" s="58">
        <f t="shared" si="14"/>
        <v>0</v>
      </c>
      <c r="D180" s="58">
        <f t="shared" si="15"/>
        <v>0</v>
      </c>
      <c r="E180" s="58">
        <f t="shared" si="16"/>
        <v>0</v>
      </c>
      <c r="F180" s="58">
        <f t="shared" si="17"/>
        <v>0</v>
      </c>
      <c r="G180" s="141"/>
      <c r="H180" s="142"/>
      <c r="I180" s="142"/>
      <c r="J180" s="142"/>
      <c r="K180" s="142"/>
      <c r="L180" s="142"/>
    </row>
    <row r="181" spans="1:12" x14ac:dyDescent="0.3">
      <c r="A181" s="59">
        <f t="shared" si="12"/>
        <v>0</v>
      </c>
      <c r="B181" s="143">
        <f t="shared" si="13"/>
        <v>0</v>
      </c>
      <c r="C181" s="58">
        <f t="shared" si="14"/>
        <v>0</v>
      </c>
      <c r="D181" s="58">
        <f t="shared" si="15"/>
        <v>0</v>
      </c>
      <c r="E181" s="58">
        <f t="shared" si="16"/>
        <v>0</v>
      </c>
      <c r="F181" s="58">
        <f t="shared" si="17"/>
        <v>0</v>
      </c>
      <c r="G181" s="141"/>
      <c r="H181" s="142"/>
      <c r="I181" s="142"/>
      <c r="J181" s="142"/>
      <c r="K181" s="142"/>
      <c r="L181" s="142"/>
    </row>
    <row r="182" spans="1:12" x14ac:dyDescent="0.3">
      <c r="A182" s="59">
        <f t="shared" si="12"/>
        <v>0</v>
      </c>
      <c r="B182" s="143">
        <f t="shared" si="13"/>
        <v>0</v>
      </c>
      <c r="C182" s="58">
        <f t="shared" si="14"/>
        <v>0</v>
      </c>
      <c r="D182" s="58">
        <f t="shared" si="15"/>
        <v>0</v>
      </c>
      <c r="E182" s="58">
        <f t="shared" si="16"/>
        <v>0</v>
      </c>
      <c r="F182" s="58">
        <f t="shared" si="17"/>
        <v>0</v>
      </c>
      <c r="G182" s="141"/>
      <c r="H182" s="142"/>
      <c r="I182" s="142"/>
      <c r="J182" s="142"/>
      <c r="K182" s="142"/>
      <c r="L182" s="142"/>
    </row>
    <row r="183" spans="1:12" x14ac:dyDescent="0.3">
      <c r="A183" s="59">
        <f t="shared" si="12"/>
        <v>0</v>
      </c>
      <c r="B183" s="143">
        <f t="shared" si="13"/>
        <v>0</v>
      </c>
      <c r="C183" s="58">
        <f t="shared" si="14"/>
        <v>0</v>
      </c>
      <c r="D183" s="58">
        <f t="shared" si="15"/>
        <v>0</v>
      </c>
      <c r="E183" s="58">
        <f t="shared" si="16"/>
        <v>0</v>
      </c>
      <c r="F183" s="58">
        <f t="shared" si="17"/>
        <v>0</v>
      </c>
      <c r="G183" s="141"/>
      <c r="H183" s="142"/>
      <c r="I183" s="142"/>
      <c r="J183" s="142"/>
      <c r="K183" s="142"/>
      <c r="L183" s="142"/>
    </row>
    <row r="184" spans="1:12" x14ac:dyDescent="0.3">
      <c r="A184" s="59">
        <f t="shared" si="12"/>
        <v>0</v>
      </c>
      <c r="B184" s="143">
        <f t="shared" si="13"/>
        <v>0</v>
      </c>
      <c r="C184" s="58">
        <f t="shared" si="14"/>
        <v>0</v>
      </c>
      <c r="D184" s="58">
        <f t="shared" si="15"/>
        <v>0</v>
      </c>
      <c r="E184" s="58">
        <f t="shared" si="16"/>
        <v>0</v>
      </c>
      <c r="F184" s="58">
        <f t="shared" si="17"/>
        <v>0</v>
      </c>
      <c r="G184" s="141"/>
      <c r="H184" s="142"/>
      <c r="I184" s="142"/>
      <c r="J184" s="142"/>
      <c r="K184" s="142"/>
      <c r="L184" s="142"/>
    </row>
    <row r="185" spans="1:12" x14ac:dyDescent="0.3">
      <c r="A185" s="59">
        <f t="shared" si="12"/>
        <v>0</v>
      </c>
      <c r="B185" s="143">
        <f t="shared" si="13"/>
        <v>0</v>
      </c>
      <c r="C185" s="58">
        <f t="shared" si="14"/>
        <v>0</v>
      </c>
      <c r="D185" s="58">
        <f t="shared" si="15"/>
        <v>0</v>
      </c>
      <c r="E185" s="58">
        <f t="shared" si="16"/>
        <v>0</v>
      </c>
      <c r="F185" s="58">
        <f t="shared" si="17"/>
        <v>0</v>
      </c>
      <c r="G185" s="141"/>
      <c r="H185" s="142"/>
      <c r="I185" s="142"/>
      <c r="J185" s="142"/>
      <c r="K185" s="142"/>
      <c r="L185" s="142"/>
    </row>
    <row r="186" spans="1:12" x14ac:dyDescent="0.3">
      <c r="A186" s="59">
        <f t="shared" si="12"/>
        <v>0</v>
      </c>
      <c r="B186" s="143">
        <f t="shared" si="13"/>
        <v>0</v>
      </c>
      <c r="C186" s="58">
        <f t="shared" si="14"/>
        <v>0</v>
      </c>
      <c r="D186" s="58">
        <f t="shared" si="15"/>
        <v>0</v>
      </c>
      <c r="E186" s="58">
        <f t="shared" si="16"/>
        <v>0</v>
      </c>
      <c r="F186" s="58">
        <f t="shared" si="17"/>
        <v>0</v>
      </c>
      <c r="G186" s="141"/>
      <c r="H186" s="142"/>
      <c r="I186" s="142"/>
      <c r="J186" s="142"/>
      <c r="K186" s="142"/>
      <c r="L186" s="142"/>
    </row>
    <row r="187" spans="1:12" x14ac:dyDescent="0.3">
      <c r="A187" s="59">
        <f t="shared" si="12"/>
        <v>0</v>
      </c>
      <c r="B187" s="143">
        <f t="shared" si="13"/>
        <v>0</v>
      </c>
      <c r="C187" s="58">
        <f t="shared" si="14"/>
        <v>0</v>
      </c>
      <c r="D187" s="58">
        <f t="shared" si="15"/>
        <v>0</v>
      </c>
      <c r="E187" s="58">
        <f t="shared" si="16"/>
        <v>0</v>
      </c>
      <c r="F187" s="58">
        <f t="shared" si="17"/>
        <v>0</v>
      </c>
      <c r="G187" s="141"/>
      <c r="H187" s="142"/>
      <c r="I187" s="142"/>
      <c r="J187" s="142"/>
      <c r="K187" s="142"/>
      <c r="L187" s="142"/>
    </row>
    <row r="188" spans="1:12" x14ac:dyDescent="0.3">
      <c r="A188" s="59">
        <f t="shared" si="12"/>
        <v>0</v>
      </c>
      <c r="B188" s="143">
        <f t="shared" si="13"/>
        <v>0</v>
      </c>
      <c r="C188" s="58">
        <f t="shared" si="14"/>
        <v>0</v>
      </c>
      <c r="D188" s="58">
        <f t="shared" si="15"/>
        <v>0</v>
      </c>
      <c r="E188" s="58">
        <f t="shared" si="16"/>
        <v>0</v>
      </c>
      <c r="F188" s="58">
        <f t="shared" si="17"/>
        <v>0</v>
      </c>
      <c r="G188" s="141"/>
      <c r="H188" s="142"/>
      <c r="I188" s="142"/>
      <c r="J188" s="142"/>
      <c r="K188" s="142"/>
      <c r="L188" s="142"/>
    </row>
    <row r="189" spans="1:12" x14ac:dyDescent="0.3">
      <c r="A189" s="59">
        <f t="shared" si="12"/>
        <v>0</v>
      </c>
      <c r="B189" s="143">
        <f t="shared" si="13"/>
        <v>0</v>
      </c>
      <c r="C189" s="58">
        <f t="shared" si="14"/>
        <v>0</v>
      </c>
      <c r="D189" s="58">
        <f t="shared" si="15"/>
        <v>0</v>
      </c>
      <c r="E189" s="58">
        <f t="shared" si="16"/>
        <v>0</v>
      </c>
      <c r="F189" s="58">
        <f t="shared" si="17"/>
        <v>0</v>
      </c>
      <c r="G189" s="141"/>
      <c r="H189" s="142"/>
      <c r="I189" s="142"/>
      <c r="J189" s="142"/>
      <c r="K189" s="142"/>
      <c r="L189" s="142"/>
    </row>
    <row r="190" spans="1:12" x14ac:dyDescent="0.3">
      <c r="A190" s="59">
        <f t="shared" si="12"/>
        <v>0</v>
      </c>
      <c r="B190" s="143">
        <f t="shared" si="13"/>
        <v>0</v>
      </c>
      <c r="C190" s="58">
        <f t="shared" si="14"/>
        <v>0</v>
      </c>
      <c r="D190" s="58">
        <f t="shared" si="15"/>
        <v>0</v>
      </c>
      <c r="E190" s="58">
        <f t="shared" si="16"/>
        <v>0</v>
      </c>
      <c r="F190" s="58">
        <f t="shared" si="17"/>
        <v>0</v>
      </c>
      <c r="G190" s="141"/>
      <c r="H190" s="142"/>
      <c r="I190" s="142"/>
      <c r="J190" s="142"/>
      <c r="K190" s="142"/>
      <c r="L190" s="142"/>
    </row>
    <row r="191" spans="1:12" x14ac:dyDescent="0.3">
      <c r="A191" s="59">
        <f t="shared" si="12"/>
        <v>0</v>
      </c>
      <c r="B191" s="143">
        <f t="shared" si="13"/>
        <v>0</v>
      </c>
      <c r="C191" s="58">
        <f t="shared" si="14"/>
        <v>0</v>
      </c>
      <c r="D191" s="58">
        <f t="shared" si="15"/>
        <v>0</v>
      </c>
      <c r="E191" s="58">
        <f t="shared" si="16"/>
        <v>0</v>
      </c>
      <c r="F191" s="58">
        <f t="shared" si="17"/>
        <v>0</v>
      </c>
      <c r="G191" s="141"/>
      <c r="H191" s="142"/>
      <c r="I191" s="142"/>
      <c r="J191" s="142"/>
      <c r="K191" s="142"/>
      <c r="L191" s="142"/>
    </row>
    <row r="192" spans="1:12" x14ac:dyDescent="0.3">
      <c r="A192" s="59">
        <f t="shared" si="12"/>
        <v>0</v>
      </c>
      <c r="B192" s="143">
        <f t="shared" si="13"/>
        <v>0</v>
      </c>
      <c r="C192" s="58">
        <f t="shared" si="14"/>
        <v>0</v>
      </c>
      <c r="D192" s="58">
        <f t="shared" si="15"/>
        <v>0</v>
      </c>
      <c r="E192" s="58">
        <f t="shared" si="16"/>
        <v>0</v>
      </c>
      <c r="F192" s="58">
        <f t="shared" si="17"/>
        <v>0</v>
      </c>
      <c r="G192" s="141"/>
      <c r="H192" s="142"/>
      <c r="I192" s="142"/>
      <c r="J192" s="142"/>
      <c r="K192" s="142"/>
      <c r="L192" s="142"/>
    </row>
    <row r="193" spans="1:12" x14ac:dyDescent="0.3">
      <c r="A193" s="59">
        <f t="shared" si="12"/>
        <v>0</v>
      </c>
      <c r="B193" s="143">
        <f t="shared" si="13"/>
        <v>0</v>
      </c>
      <c r="C193" s="58">
        <f t="shared" si="14"/>
        <v>0</v>
      </c>
      <c r="D193" s="58">
        <f t="shared" si="15"/>
        <v>0</v>
      </c>
      <c r="E193" s="58">
        <f t="shared" si="16"/>
        <v>0</v>
      </c>
      <c r="F193" s="58">
        <f t="shared" si="17"/>
        <v>0</v>
      </c>
      <c r="G193" s="141"/>
      <c r="H193" s="142"/>
      <c r="I193" s="142"/>
      <c r="J193" s="142"/>
      <c r="K193" s="142"/>
      <c r="L193" s="142"/>
    </row>
    <row r="194" spans="1:12" x14ac:dyDescent="0.3">
      <c r="A194" s="59">
        <f t="shared" si="12"/>
        <v>0</v>
      </c>
      <c r="B194" s="143">
        <f t="shared" si="13"/>
        <v>0</v>
      </c>
      <c r="C194" s="58">
        <f t="shared" si="14"/>
        <v>0</v>
      </c>
      <c r="D194" s="58">
        <f t="shared" si="15"/>
        <v>0</v>
      </c>
      <c r="E194" s="58">
        <f t="shared" si="16"/>
        <v>0</v>
      </c>
      <c r="F194" s="58">
        <f t="shared" si="17"/>
        <v>0</v>
      </c>
      <c r="G194" s="141"/>
      <c r="H194" s="142"/>
      <c r="I194" s="142"/>
      <c r="J194" s="142"/>
      <c r="K194" s="142"/>
      <c r="L194" s="142"/>
    </row>
    <row r="195" spans="1:12" x14ac:dyDescent="0.3">
      <c r="A195" s="59">
        <f t="shared" si="12"/>
        <v>0</v>
      </c>
      <c r="B195" s="143">
        <f t="shared" si="13"/>
        <v>0</v>
      </c>
      <c r="C195" s="58">
        <f t="shared" si="14"/>
        <v>0</v>
      </c>
      <c r="D195" s="58">
        <f t="shared" si="15"/>
        <v>0</v>
      </c>
      <c r="E195" s="58">
        <f t="shared" si="16"/>
        <v>0</v>
      </c>
      <c r="F195" s="58">
        <f t="shared" si="17"/>
        <v>0</v>
      </c>
      <c r="G195" s="141"/>
      <c r="H195" s="142"/>
      <c r="I195" s="142"/>
      <c r="J195" s="142"/>
      <c r="K195" s="142"/>
      <c r="L195" s="142"/>
    </row>
    <row r="196" spans="1:12" x14ac:dyDescent="0.3">
      <c r="A196" s="59">
        <f t="shared" si="12"/>
        <v>0</v>
      </c>
      <c r="B196" s="143">
        <f t="shared" si="13"/>
        <v>0</v>
      </c>
      <c r="C196" s="58">
        <f t="shared" si="14"/>
        <v>0</v>
      </c>
      <c r="D196" s="58">
        <f t="shared" si="15"/>
        <v>0</v>
      </c>
      <c r="E196" s="58">
        <f t="shared" si="16"/>
        <v>0</v>
      </c>
      <c r="F196" s="58">
        <f t="shared" si="17"/>
        <v>0</v>
      </c>
      <c r="G196" s="141"/>
      <c r="H196" s="142"/>
      <c r="I196" s="142"/>
      <c r="J196" s="142"/>
      <c r="K196" s="142"/>
      <c r="L196" s="142"/>
    </row>
    <row r="197" spans="1:12" x14ac:dyDescent="0.3">
      <c r="A197" s="59">
        <f t="shared" si="12"/>
        <v>0</v>
      </c>
      <c r="B197" s="143">
        <f t="shared" si="13"/>
        <v>0</v>
      </c>
      <c r="C197" s="58">
        <f t="shared" si="14"/>
        <v>0</v>
      </c>
      <c r="D197" s="58">
        <f t="shared" si="15"/>
        <v>0</v>
      </c>
      <c r="E197" s="58">
        <f t="shared" si="16"/>
        <v>0</v>
      </c>
      <c r="F197" s="58">
        <f t="shared" si="17"/>
        <v>0</v>
      </c>
      <c r="G197" s="141"/>
      <c r="H197" s="142"/>
      <c r="I197" s="142"/>
      <c r="J197" s="142"/>
      <c r="K197" s="142"/>
      <c r="L197" s="142"/>
    </row>
    <row r="198" spans="1:12" x14ac:dyDescent="0.3">
      <c r="A198" s="59">
        <f t="shared" si="12"/>
        <v>0</v>
      </c>
      <c r="B198" s="143">
        <f t="shared" si="13"/>
        <v>0</v>
      </c>
      <c r="C198" s="58">
        <f t="shared" si="14"/>
        <v>0</v>
      </c>
      <c r="D198" s="58">
        <f t="shared" si="15"/>
        <v>0</v>
      </c>
      <c r="E198" s="58">
        <f t="shared" si="16"/>
        <v>0</v>
      </c>
      <c r="F198" s="58">
        <f t="shared" si="17"/>
        <v>0</v>
      </c>
      <c r="G198" s="141"/>
      <c r="H198" s="142"/>
      <c r="I198" s="142"/>
      <c r="J198" s="142"/>
      <c r="K198" s="142"/>
      <c r="L198" s="142"/>
    </row>
    <row r="199" spans="1:12" x14ac:dyDescent="0.3">
      <c r="A199" s="59">
        <f t="shared" si="12"/>
        <v>0</v>
      </c>
      <c r="B199" s="143">
        <f t="shared" si="13"/>
        <v>0</v>
      </c>
      <c r="C199" s="58">
        <f t="shared" si="14"/>
        <v>0</v>
      </c>
      <c r="D199" s="58">
        <f t="shared" si="15"/>
        <v>0</v>
      </c>
      <c r="E199" s="58">
        <f t="shared" si="16"/>
        <v>0</v>
      </c>
      <c r="F199" s="58">
        <f t="shared" si="17"/>
        <v>0</v>
      </c>
      <c r="G199" s="141"/>
      <c r="H199" s="142"/>
      <c r="I199" s="142"/>
      <c r="J199" s="142"/>
      <c r="K199" s="142"/>
      <c r="L199" s="142"/>
    </row>
    <row r="200" spans="1:12" x14ac:dyDescent="0.3">
      <c r="A200" s="59">
        <f t="shared" si="12"/>
        <v>0</v>
      </c>
      <c r="B200" s="143">
        <f t="shared" si="13"/>
        <v>0</v>
      </c>
      <c r="C200" s="58">
        <f t="shared" si="14"/>
        <v>0</v>
      </c>
      <c r="D200" s="58">
        <f t="shared" si="15"/>
        <v>0</v>
      </c>
      <c r="E200" s="58">
        <f t="shared" si="16"/>
        <v>0</v>
      </c>
      <c r="F200" s="58">
        <f t="shared" si="17"/>
        <v>0</v>
      </c>
      <c r="G200" s="141"/>
      <c r="H200" s="142"/>
      <c r="I200" s="142"/>
      <c r="J200" s="142"/>
      <c r="K200" s="142"/>
      <c r="L200" s="142"/>
    </row>
    <row r="201" spans="1:12" x14ac:dyDescent="0.3">
      <c r="A201" s="59">
        <f t="shared" si="12"/>
        <v>0</v>
      </c>
      <c r="B201" s="143">
        <f t="shared" si="13"/>
        <v>0</v>
      </c>
      <c r="C201" s="58">
        <f t="shared" si="14"/>
        <v>0</v>
      </c>
      <c r="D201" s="58">
        <f t="shared" si="15"/>
        <v>0</v>
      </c>
      <c r="E201" s="58">
        <f t="shared" si="16"/>
        <v>0</v>
      </c>
      <c r="F201" s="58">
        <f t="shared" si="17"/>
        <v>0</v>
      </c>
      <c r="G201" s="141"/>
      <c r="H201" s="142"/>
      <c r="I201" s="142"/>
      <c r="J201" s="142"/>
      <c r="K201" s="142"/>
      <c r="L201" s="142"/>
    </row>
    <row r="202" spans="1:12" x14ac:dyDescent="0.3">
      <c r="A202" s="59">
        <f t="shared" si="12"/>
        <v>0</v>
      </c>
      <c r="B202" s="143">
        <f t="shared" si="13"/>
        <v>0</v>
      </c>
      <c r="C202" s="58">
        <f t="shared" si="14"/>
        <v>0</v>
      </c>
      <c r="D202" s="58">
        <f t="shared" si="15"/>
        <v>0</v>
      </c>
      <c r="E202" s="58">
        <f t="shared" si="16"/>
        <v>0</v>
      </c>
      <c r="F202" s="58">
        <f t="shared" si="17"/>
        <v>0</v>
      </c>
      <c r="G202" s="141"/>
      <c r="H202" s="142"/>
      <c r="I202" s="142"/>
      <c r="J202" s="142"/>
      <c r="K202" s="142"/>
      <c r="L202" s="142"/>
    </row>
    <row r="203" spans="1:12" x14ac:dyDescent="0.3">
      <c r="A203" s="59">
        <f t="shared" si="12"/>
        <v>0</v>
      </c>
      <c r="B203" s="143">
        <f t="shared" si="13"/>
        <v>0</v>
      </c>
      <c r="C203" s="58">
        <f t="shared" si="14"/>
        <v>0</v>
      </c>
      <c r="D203" s="58">
        <f t="shared" si="15"/>
        <v>0</v>
      </c>
      <c r="E203" s="58">
        <f t="shared" si="16"/>
        <v>0</v>
      </c>
      <c r="F203" s="58">
        <f t="shared" si="17"/>
        <v>0</v>
      </c>
      <c r="G203" s="141"/>
      <c r="H203" s="142"/>
      <c r="I203" s="142"/>
      <c r="J203" s="142"/>
      <c r="K203" s="142"/>
      <c r="L203" s="142"/>
    </row>
    <row r="204" spans="1:12" x14ac:dyDescent="0.3">
      <c r="A204" s="59">
        <f t="shared" si="12"/>
        <v>0</v>
      </c>
      <c r="B204" s="143">
        <f t="shared" si="13"/>
        <v>0</v>
      </c>
      <c r="C204" s="58">
        <f t="shared" si="14"/>
        <v>0</v>
      </c>
      <c r="D204" s="58">
        <f t="shared" si="15"/>
        <v>0</v>
      </c>
      <c r="E204" s="58">
        <f t="shared" si="16"/>
        <v>0</v>
      </c>
      <c r="F204" s="58">
        <f t="shared" si="17"/>
        <v>0</v>
      </c>
      <c r="G204" s="141"/>
      <c r="H204" s="142"/>
      <c r="I204" s="142"/>
      <c r="J204" s="142"/>
      <c r="K204" s="142"/>
      <c r="L204" s="142"/>
    </row>
    <row r="205" spans="1:12" x14ac:dyDescent="0.3">
      <c r="A205" s="59">
        <f t="shared" si="12"/>
        <v>0</v>
      </c>
      <c r="B205" s="143">
        <f t="shared" si="13"/>
        <v>0</v>
      </c>
      <c r="C205" s="58">
        <f t="shared" si="14"/>
        <v>0</v>
      </c>
      <c r="D205" s="58">
        <f t="shared" si="15"/>
        <v>0</v>
      </c>
      <c r="E205" s="58">
        <f t="shared" si="16"/>
        <v>0</v>
      </c>
      <c r="F205" s="58">
        <f t="shared" si="17"/>
        <v>0</v>
      </c>
      <c r="G205" s="141"/>
      <c r="H205" s="142"/>
      <c r="I205" s="142"/>
      <c r="J205" s="142"/>
      <c r="K205" s="142"/>
      <c r="L205" s="142"/>
    </row>
    <row r="206" spans="1:12" x14ac:dyDescent="0.3">
      <c r="A206" s="59">
        <f t="shared" si="12"/>
        <v>0</v>
      </c>
      <c r="B206" s="143">
        <f t="shared" si="13"/>
        <v>0</v>
      </c>
      <c r="C206" s="58">
        <f t="shared" si="14"/>
        <v>0</v>
      </c>
      <c r="D206" s="58">
        <f t="shared" si="15"/>
        <v>0</v>
      </c>
      <c r="E206" s="58">
        <f t="shared" si="16"/>
        <v>0</v>
      </c>
      <c r="F206" s="58">
        <f t="shared" si="17"/>
        <v>0</v>
      </c>
      <c r="G206" s="141"/>
      <c r="H206" s="142"/>
      <c r="I206" s="142"/>
      <c r="J206" s="142"/>
      <c r="K206" s="142"/>
      <c r="L206" s="142"/>
    </row>
    <row r="207" spans="1:12" x14ac:dyDescent="0.3">
      <c r="A207" s="59">
        <f t="shared" si="12"/>
        <v>0</v>
      </c>
      <c r="B207" s="143">
        <f t="shared" si="13"/>
        <v>0</v>
      </c>
      <c r="C207" s="58">
        <f t="shared" si="14"/>
        <v>0</v>
      </c>
      <c r="D207" s="58">
        <f t="shared" si="15"/>
        <v>0</v>
      </c>
      <c r="E207" s="58">
        <f t="shared" si="16"/>
        <v>0</v>
      </c>
      <c r="F207" s="58">
        <f t="shared" si="17"/>
        <v>0</v>
      </c>
      <c r="G207" s="141"/>
      <c r="H207" s="142"/>
      <c r="I207" s="142"/>
      <c r="J207" s="142"/>
      <c r="K207" s="142"/>
      <c r="L207" s="142"/>
    </row>
    <row r="208" spans="1:12" x14ac:dyDescent="0.3">
      <c r="A208" s="59">
        <f t="shared" ref="A208:A265" si="18">G208</f>
        <v>0</v>
      </c>
      <c r="B208" s="143">
        <f t="shared" ref="B208:B265" si="19">H208</f>
        <v>0</v>
      </c>
      <c r="C208" s="58">
        <f t="shared" ref="C208:C265" si="20">I208</f>
        <v>0</v>
      </c>
      <c r="D208" s="58">
        <f t="shared" ref="D208:D265" si="21">J208</f>
        <v>0</v>
      </c>
      <c r="E208" s="58">
        <f t="shared" ref="E208:E265" si="22">K208</f>
        <v>0</v>
      </c>
      <c r="F208" s="58">
        <f t="shared" ref="F208:F265" si="23">D208+E208</f>
        <v>0</v>
      </c>
      <c r="G208" s="141"/>
      <c r="H208" s="142"/>
      <c r="I208" s="142"/>
      <c r="J208" s="142"/>
      <c r="K208" s="142"/>
      <c r="L208" s="142"/>
    </row>
    <row r="209" spans="1:12" x14ac:dyDescent="0.3">
      <c r="A209" s="59">
        <f t="shared" si="18"/>
        <v>0</v>
      </c>
      <c r="B209" s="143">
        <f t="shared" si="19"/>
        <v>0</v>
      </c>
      <c r="C209" s="58">
        <f t="shared" si="20"/>
        <v>0</v>
      </c>
      <c r="D209" s="58">
        <f t="shared" si="21"/>
        <v>0</v>
      </c>
      <c r="E209" s="58">
        <f t="shared" si="22"/>
        <v>0</v>
      </c>
      <c r="F209" s="58">
        <f t="shared" si="23"/>
        <v>0</v>
      </c>
      <c r="G209" s="141"/>
      <c r="H209" s="142"/>
      <c r="I209" s="142"/>
      <c r="J209" s="142"/>
      <c r="K209" s="142"/>
      <c r="L209" s="142"/>
    </row>
    <row r="210" spans="1:12" x14ac:dyDescent="0.3">
      <c r="A210" s="59">
        <f t="shared" si="18"/>
        <v>0</v>
      </c>
      <c r="B210" s="143">
        <f t="shared" si="19"/>
        <v>0</v>
      </c>
      <c r="C210" s="58">
        <f t="shared" si="20"/>
        <v>0</v>
      </c>
      <c r="D210" s="58">
        <f t="shared" si="21"/>
        <v>0</v>
      </c>
      <c r="E210" s="58">
        <f t="shared" si="22"/>
        <v>0</v>
      </c>
      <c r="F210" s="58">
        <f t="shared" si="23"/>
        <v>0</v>
      </c>
      <c r="G210" s="141"/>
      <c r="H210" s="142"/>
      <c r="I210" s="142"/>
      <c r="J210" s="142"/>
      <c r="K210" s="142"/>
      <c r="L210" s="142"/>
    </row>
    <row r="211" spans="1:12" x14ac:dyDescent="0.3">
      <c r="A211" s="59">
        <f t="shared" si="18"/>
        <v>0</v>
      </c>
      <c r="B211" s="143">
        <f t="shared" si="19"/>
        <v>0</v>
      </c>
      <c r="C211" s="58">
        <f t="shared" si="20"/>
        <v>0</v>
      </c>
      <c r="D211" s="58">
        <f t="shared" si="21"/>
        <v>0</v>
      </c>
      <c r="E211" s="58">
        <f t="shared" si="22"/>
        <v>0</v>
      </c>
      <c r="F211" s="58">
        <f t="shared" si="23"/>
        <v>0</v>
      </c>
      <c r="G211" s="141"/>
      <c r="H211" s="142"/>
      <c r="I211" s="142"/>
      <c r="J211" s="142"/>
      <c r="K211" s="142"/>
      <c r="L211" s="142"/>
    </row>
    <row r="212" spans="1:12" x14ac:dyDescent="0.3">
      <c r="A212" s="59">
        <f t="shared" si="18"/>
        <v>0</v>
      </c>
      <c r="B212" s="143">
        <f t="shared" si="19"/>
        <v>0</v>
      </c>
      <c r="C212" s="58">
        <f t="shared" si="20"/>
        <v>0</v>
      </c>
      <c r="D212" s="58">
        <f t="shared" si="21"/>
        <v>0</v>
      </c>
      <c r="E212" s="58">
        <f t="shared" si="22"/>
        <v>0</v>
      </c>
      <c r="F212" s="58">
        <f t="shared" si="23"/>
        <v>0</v>
      </c>
      <c r="G212" s="141"/>
      <c r="H212" s="142"/>
      <c r="I212" s="142"/>
      <c r="J212" s="142"/>
      <c r="K212" s="142"/>
      <c r="L212" s="142"/>
    </row>
    <row r="213" spans="1:12" x14ac:dyDescent="0.3">
      <c r="A213" s="59">
        <f t="shared" si="18"/>
        <v>0</v>
      </c>
      <c r="B213" s="143">
        <f t="shared" si="19"/>
        <v>0</v>
      </c>
      <c r="C213" s="58">
        <f t="shared" si="20"/>
        <v>0</v>
      </c>
      <c r="D213" s="58">
        <f t="shared" si="21"/>
        <v>0</v>
      </c>
      <c r="E213" s="58">
        <f t="shared" si="22"/>
        <v>0</v>
      </c>
      <c r="F213" s="58">
        <f t="shared" si="23"/>
        <v>0</v>
      </c>
      <c r="G213" s="141"/>
      <c r="H213" s="142"/>
      <c r="I213" s="142"/>
      <c r="J213" s="142"/>
      <c r="K213" s="142"/>
      <c r="L213" s="142"/>
    </row>
    <row r="214" spans="1:12" x14ac:dyDescent="0.3">
      <c r="A214" s="59">
        <f t="shared" si="18"/>
        <v>0</v>
      </c>
      <c r="B214" s="143">
        <f t="shared" si="19"/>
        <v>0</v>
      </c>
      <c r="C214" s="58">
        <f t="shared" si="20"/>
        <v>0</v>
      </c>
      <c r="D214" s="58">
        <f t="shared" si="21"/>
        <v>0</v>
      </c>
      <c r="E214" s="58">
        <f t="shared" si="22"/>
        <v>0</v>
      </c>
      <c r="F214" s="58">
        <f t="shared" si="23"/>
        <v>0</v>
      </c>
      <c r="G214" s="141"/>
      <c r="H214" s="142"/>
      <c r="I214" s="142"/>
      <c r="J214" s="142"/>
      <c r="K214" s="142"/>
      <c r="L214" s="142"/>
    </row>
    <row r="215" spans="1:12" x14ac:dyDescent="0.3">
      <c r="A215" s="59">
        <f t="shared" si="18"/>
        <v>0</v>
      </c>
      <c r="B215" s="143">
        <f t="shared" si="19"/>
        <v>0</v>
      </c>
      <c r="C215" s="58">
        <f t="shared" si="20"/>
        <v>0</v>
      </c>
      <c r="D215" s="58">
        <f t="shared" si="21"/>
        <v>0</v>
      </c>
      <c r="E215" s="58">
        <f t="shared" si="22"/>
        <v>0</v>
      </c>
      <c r="F215" s="58">
        <f t="shared" si="23"/>
        <v>0</v>
      </c>
      <c r="G215" s="141"/>
      <c r="H215" s="142"/>
      <c r="I215" s="142"/>
      <c r="J215" s="142"/>
      <c r="K215" s="142"/>
      <c r="L215" s="142"/>
    </row>
    <row r="216" spans="1:12" x14ac:dyDescent="0.3">
      <c r="A216" s="59">
        <f t="shared" si="18"/>
        <v>0</v>
      </c>
      <c r="B216" s="143">
        <f t="shared" si="19"/>
        <v>0</v>
      </c>
      <c r="C216" s="58">
        <f t="shared" si="20"/>
        <v>0</v>
      </c>
      <c r="D216" s="58">
        <f t="shared" si="21"/>
        <v>0</v>
      </c>
      <c r="E216" s="58">
        <f t="shared" si="22"/>
        <v>0</v>
      </c>
      <c r="F216" s="58">
        <f t="shared" si="23"/>
        <v>0</v>
      </c>
      <c r="G216" s="141"/>
      <c r="H216" s="142"/>
      <c r="I216" s="142"/>
      <c r="J216" s="142"/>
      <c r="K216" s="142"/>
      <c r="L216" s="142"/>
    </row>
    <row r="217" spans="1:12" x14ac:dyDescent="0.3">
      <c r="A217" s="59">
        <f t="shared" si="18"/>
        <v>0</v>
      </c>
      <c r="B217" s="143">
        <f t="shared" si="19"/>
        <v>0</v>
      </c>
      <c r="C217" s="58">
        <f t="shared" si="20"/>
        <v>0</v>
      </c>
      <c r="D217" s="58">
        <f t="shared" si="21"/>
        <v>0</v>
      </c>
      <c r="E217" s="58">
        <f t="shared" si="22"/>
        <v>0</v>
      </c>
      <c r="F217" s="58">
        <f t="shared" si="23"/>
        <v>0</v>
      </c>
      <c r="G217" s="141"/>
      <c r="H217" s="142"/>
      <c r="I217" s="142"/>
      <c r="J217" s="142"/>
      <c r="K217" s="142"/>
      <c r="L217" s="142"/>
    </row>
    <row r="218" spans="1:12" x14ac:dyDescent="0.3">
      <c r="A218" s="59">
        <f t="shared" si="18"/>
        <v>0</v>
      </c>
      <c r="B218" s="143">
        <f t="shared" si="19"/>
        <v>0</v>
      </c>
      <c r="C218" s="58">
        <f t="shared" si="20"/>
        <v>0</v>
      </c>
      <c r="D218" s="58">
        <f t="shared" si="21"/>
        <v>0</v>
      </c>
      <c r="E218" s="58">
        <f t="shared" si="22"/>
        <v>0</v>
      </c>
      <c r="F218" s="58">
        <f t="shared" si="23"/>
        <v>0</v>
      </c>
      <c r="G218" s="141"/>
      <c r="H218" s="142"/>
      <c r="I218" s="142"/>
      <c r="J218" s="142"/>
      <c r="K218" s="142"/>
      <c r="L218" s="142"/>
    </row>
    <row r="219" spans="1:12" x14ac:dyDescent="0.3">
      <c r="A219" s="59">
        <f t="shared" si="18"/>
        <v>0</v>
      </c>
      <c r="B219" s="143">
        <f t="shared" si="19"/>
        <v>0</v>
      </c>
      <c r="C219" s="58">
        <f t="shared" si="20"/>
        <v>0</v>
      </c>
      <c r="D219" s="58">
        <f t="shared" si="21"/>
        <v>0</v>
      </c>
      <c r="E219" s="58">
        <f t="shared" si="22"/>
        <v>0</v>
      </c>
      <c r="F219" s="58">
        <f t="shared" si="23"/>
        <v>0</v>
      </c>
      <c r="G219" s="141"/>
      <c r="H219" s="142"/>
      <c r="I219" s="142"/>
      <c r="J219" s="142"/>
      <c r="K219" s="142"/>
      <c r="L219" s="142"/>
    </row>
    <row r="220" spans="1:12" x14ac:dyDescent="0.3">
      <c r="A220" s="59">
        <f t="shared" si="18"/>
        <v>0</v>
      </c>
      <c r="B220" s="143">
        <f t="shared" si="19"/>
        <v>0</v>
      </c>
      <c r="C220" s="58">
        <f t="shared" si="20"/>
        <v>0</v>
      </c>
      <c r="D220" s="58">
        <f t="shared" si="21"/>
        <v>0</v>
      </c>
      <c r="E220" s="58">
        <f t="shared" si="22"/>
        <v>0</v>
      </c>
      <c r="F220" s="58">
        <f t="shared" si="23"/>
        <v>0</v>
      </c>
      <c r="G220" s="141"/>
      <c r="H220" s="142"/>
      <c r="I220" s="142"/>
      <c r="J220" s="142"/>
      <c r="K220" s="142"/>
      <c r="L220" s="142"/>
    </row>
    <row r="221" spans="1:12" x14ac:dyDescent="0.3">
      <c r="A221" s="59">
        <f t="shared" si="18"/>
        <v>0</v>
      </c>
      <c r="B221" s="143">
        <f t="shared" si="19"/>
        <v>0</v>
      </c>
      <c r="C221" s="58">
        <f t="shared" si="20"/>
        <v>0</v>
      </c>
      <c r="D221" s="58">
        <f t="shared" si="21"/>
        <v>0</v>
      </c>
      <c r="E221" s="58">
        <f t="shared" si="22"/>
        <v>0</v>
      </c>
      <c r="F221" s="58">
        <f t="shared" si="23"/>
        <v>0</v>
      </c>
      <c r="G221" s="141"/>
      <c r="H221" s="142"/>
      <c r="I221" s="142"/>
      <c r="J221" s="142"/>
      <c r="K221" s="142"/>
      <c r="L221" s="142"/>
    </row>
    <row r="222" spans="1:12" x14ac:dyDescent="0.3">
      <c r="A222" s="59">
        <f t="shared" si="18"/>
        <v>0</v>
      </c>
      <c r="B222" s="143">
        <f t="shared" si="19"/>
        <v>0</v>
      </c>
      <c r="C222" s="58">
        <f t="shared" si="20"/>
        <v>0</v>
      </c>
      <c r="D222" s="58">
        <f t="shared" si="21"/>
        <v>0</v>
      </c>
      <c r="E222" s="58">
        <f t="shared" si="22"/>
        <v>0</v>
      </c>
      <c r="F222" s="58">
        <f t="shared" si="23"/>
        <v>0</v>
      </c>
      <c r="G222" s="141"/>
      <c r="H222" s="142"/>
      <c r="I222" s="142"/>
      <c r="J222" s="142"/>
      <c r="K222" s="142"/>
      <c r="L222" s="142"/>
    </row>
    <row r="223" spans="1:12" x14ac:dyDescent="0.3">
      <c r="A223" s="59">
        <f t="shared" si="18"/>
        <v>0</v>
      </c>
      <c r="B223" s="143">
        <f t="shared" si="19"/>
        <v>0</v>
      </c>
      <c r="C223" s="58">
        <f t="shared" si="20"/>
        <v>0</v>
      </c>
      <c r="D223" s="58">
        <f t="shared" si="21"/>
        <v>0</v>
      </c>
      <c r="E223" s="58">
        <f t="shared" si="22"/>
        <v>0</v>
      </c>
      <c r="F223" s="58">
        <f t="shared" si="23"/>
        <v>0</v>
      </c>
      <c r="G223" s="141"/>
      <c r="H223" s="142"/>
      <c r="I223" s="142"/>
      <c r="J223" s="142"/>
      <c r="K223" s="142"/>
      <c r="L223" s="142"/>
    </row>
    <row r="224" spans="1:12" x14ac:dyDescent="0.3">
      <c r="A224" s="59">
        <f t="shared" si="18"/>
        <v>0</v>
      </c>
      <c r="B224" s="143">
        <f t="shared" si="19"/>
        <v>0</v>
      </c>
      <c r="C224" s="58">
        <f t="shared" si="20"/>
        <v>0</v>
      </c>
      <c r="D224" s="58">
        <f t="shared" si="21"/>
        <v>0</v>
      </c>
      <c r="E224" s="58">
        <f t="shared" si="22"/>
        <v>0</v>
      </c>
      <c r="F224" s="58">
        <f t="shared" si="23"/>
        <v>0</v>
      </c>
      <c r="G224" s="141"/>
      <c r="H224" s="142"/>
      <c r="I224" s="142"/>
      <c r="J224" s="142"/>
      <c r="K224" s="142"/>
      <c r="L224" s="142"/>
    </row>
    <row r="225" spans="1:12" x14ac:dyDescent="0.3">
      <c r="A225" s="59">
        <f t="shared" si="18"/>
        <v>0</v>
      </c>
      <c r="B225" s="143">
        <f t="shared" si="19"/>
        <v>0</v>
      </c>
      <c r="C225" s="58">
        <f t="shared" si="20"/>
        <v>0</v>
      </c>
      <c r="D225" s="58">
        <f t="shared" si="21"/>
        <v>0</v>
      </c>
      <c r="E225" s="58">
        <f t="shared" si="22"/>
        <v>0</v>
      </c>
      <c r="F225" s="58">
        <f t="shared" si="23"/>
        <v>0</v>
      </c>
      <c r="G225" s="141"/>
      <c r="H225" s="142"/>
      <c r="I225" s="142"/>
      <c r="J225" s="142"/>
      <c r="K225" s="142"/>
      <c r="L225" s="142"/>
    </row>
    <row r="226" spans="1:12" x14ac:dyDescent="0.3">
      <c r="A226" s="59">
        <f t="shared" si="18"/>
        <v>0</v>
      </c>
      <c r="B226" s="143">
        <f t="shared" si="19"/>
        <v>0</v>
      </c>
      <c r="C226" s="58">
        <f t="shared" si="20"/>
        <v>0</v>
      </c>
      <c r="D226" s="58">
        <f t="shared" si="21"/>
        <v>0</v>
      </c>
      <c r="E226" s="58">
        <f t="shared" si="22"/>
        <v>0</v>
      </c>
      <c r="F226" s="58">
        <f t="shared" si="23"/>
        <v>0</v>
      </c>
      <c r="G226" s="141"/>
      <c r="H226" s="142"/>
      <c r="I226" s="142"/>
      <c r="J226" s="142"/>
      <c r="K226" s="142"/>
      <c r="L226" s="142"/>
    </row>
    <row r="227" spans="1:12" x14ac:dyDescent="0.3">
      <c r="A227" s="59">
        <f t="shared" si="18"/>
        <v>0</v>
      </c>
      <c r="B227" s="143">
        <f t="shared" si="19"/>
        <v>0</v>
      </c>
      <c r="C227" s="58">
        <f t="shared" si="20"/>
        <v>0</v>
      </c>
      <c r="D227" s="58">
        <f t="shared" si="21"/>
        <v>0</v>
      </c>
      <c r="E227" s="58">
        <f t="shared" si="22"/>
        <v>0</v>
      </c>
      <c r="F227" s="58">
        <f t="shared" si="23"/>
        <v>0</v>
      </c>
      <c r="G227" s="141"/>
      <c r="H227" s="142"/>
      <c r="I227" s="142"/>
      <c r="J227" s="142"/>
      <c r="K227" s="142"/>
      <c r="L227" s="142"/>
    </row>
    <row r="228" spans="1:12" x14ac:dyDescent="0.3">
      <c r="A228" s="59">
        <f t="shared" si="18"/>
        <v>0</v>
      </c>
      <c r="B228" s="143">
        <f t="shared" si="19"/>
        <v>0</v>
      </c>
      <c r="C228" s="58">
        <f t="shared" si="20"/>
        <v>0</v>
      </c>
      <c r="D228" s="58">
        <f t="shared" si="21"/>
        <v>0</v>
      </c>
      <c r="E228" s="58">
        <f t="shared" si="22"/>
        <v>0</v>
      </c>
      <c r="F228" s="58">
        <f t="shared" si="23"/>
        <v>0</v>
      </c>
      <c r="G228" s="141"/>
      <c r="H228" s="142"/>
      <c r="I228" s="142"/>
      <c r="J228" s="142"/>
      <c r="K228" s="142"/>
      <c r="L228" s="142"/>
    </row>
    <row r="229" spans="1:12" x14ac:dyDescent="0.3">
      <c r="A229" s="59">
        <f t="shared" si="18"/>
        <v>0</v>
      </c>
      <c r="B229" s="143">
        <f t="shared" si="19"/>
        <v>0</v>
      </c>
      <c r="C229" s="58">
        <f t="shared" si="20"/>
        <v>0</v>
      </c>
      <c r="D229" s="58">
        <f t="shared" si="21"/>
        <v>0</v>
      </c>
      <c r="E229" s="58">
        <f t="shared" si="22"/>
        <v>0</v>
      </c>
      <c r="F229" s="58">
        <f t="shared" si="23"/>
        <v>0</v>
      </c>
      <c r="G229" s="141"/>
      <c r="H229" s="142"/>
      <c r="I229" s="142"/>
      <c r="J229" s="142"/>
      <c r="K229" s="142"/>
      <c r="L229" s="142"/>
    </row>
    <row r="230" spans="1:12" x14ac:dyDescent="0.3">
      <c r="A230" s="59">
        <f t="shared" si="18"/>
        <v>0</v>
      </c>
      <c r="B230" s="143">
        <f t="shared" si="19"/>
        <v>0</v>
      </c>
      <c r="C230" s="58">
        <f t="shared" si="20"/>
        <v>0</v>
      </c>
      <c r="D230" s="58">
        <f t="shared" si="21"/>
        <v>0</v>
      </c>
      <c r="E230" s="58">
        <f t="shared" si="22"/>
        <v>0</v>
      </c>
      <c r="F230" s="58">
        <f t="shared" si="23"/>
        <v>0</v>
      </c>
      <c r="G230" s="141"/>
      <c r="H230" s="142"/>
      <c r="I230" s="142"/>
      <c r="J230" s="142"/>
      <c r="K230" s="142"/>
      <c r="L230" s="142"/>
    </row>
    <row r="231" spans="1:12" x14ac:dyDescent="0.3">
      <c r="A231" s="59">
        <f t="shared" si="18"/>
        <v>0</v>
      </c>
      <c r="B231" s="143">
        <f t="shared" si="19"/>
        <v>0</v>
      </c>
      <c r="C231" s="58">
        <f t="shared" si="20"/>
        <v>0</v>
      </c>
      <c r="D231" s="58">
        <f t="shared" si="21"/>
        <v>0</v>
      </c>
      <c r="E231" s="58">
        <f t="shared" si="22"/>
        <v>0</v>
      </c>
      <c r="F231" s="58">
        <f t="shared" si="23"/>
        <v>0</v>
      </c>
      <c r="G231" s="141"/>
      <c r="H231" s="142"/>
      <c r="I231" s="142"/>
      <c r="J231" s="142"/>
      <c r="K231" s="142"/>
      <c r="L231" s="142"/>
    </row>
    <row r="232" spans="1:12" x14ac:dyDescent="0.3">
      <c r="A232" s="59">
        <f t="shared" si="18"/>
        <v>0</v>
      </c>
      <c r="B232" s="143">
        <f t="shared" si="19"/>
        <v>0</v>
      </c>
      <c r="C232" s="58">
        <f t="shared" si="20"/>
        <v>0</v>
      </c>
      <c r="D232" s="58">
        <f t="shared" si="21"/>
        <v>0</v>
      </c>
      <c r="E232" s="58">
        <f t="shared" si="22"/>
        <v>0</v>
      </c>
      <c r="F232" s="58">
        <f t="shared" si="23"/>
        <v>0</v>
      </c>
      <c r="G232" s="141"/>
      <c r="H232" s="142"/>
      <c r="I232" s="142"/>
      <c r="J232" s="142"/>
      <c r="K232" s="142"/>
      <c r="L232" s="142"/>
    </row>
    <row r="233" spans="1:12" x14ac:dyDescent="0.3">
      <c r="A233" s="59">
        <f t="shared" si="18"/>
        <v>0</v>
      </c>
      <c r="B233" s="143">
        <f t="shared" si="19"/>
        <v>0</v>
      </c>
      <c r="C233" s="58">
        <f t="shared" si="20"/>
        <v>0</v>
      </c>
      <c r="D233" s="58">
        <f t="shared" si="21"/>
        <v>0</v>
      </c>
      <c r="E233" s="58">
        <f t="shared" si="22"/>
        <v>0</v>
      </c>
      <c r="F233" s="58">
        <f t="shared" si="23"/>
        <v>0</v>
      </c>
      <c r="G233" s="141"/>
      <c r="H233" s="142"/>
      <c r="I233" s="142"/>
      <c r="J233" s="142"/>
      <c r="K233" s="142"/>
      <c r="L233" s="142"/>
    </row>
    <row r="234" spans="1:12" x14ac:dyDescent="0.3">
      <c r="A234" s="59">
        <f t="shared" si="18"/>
        <v>0</v>
      </c>
      <c r="B234" s="143">
        <f t="shared" si="19"/>
        <v>0</v>
      </c>
      <c r="C234" s="58">
        <f t="shared" si="20"/>
        <v>0</v>
      </c>
      <c r="D234" s="58">
        <f t="shared" si="21"/>
        <v>0</v>
      </c>
      <c r="E234" s="58">
        <f t="shared" si="22"/>
        <v>0</v>
      </c>
      <c r="F234" s="58">
        <f t="shared" si="23"/>
        <v>0</v>
      </c>
      <c r="G234" s="141"/>
      <c r="H234" s="142"/>
      <c r="I234" s="142"/>
      <c r="J234" s="142"/>
      <c r="K234" s="142"/>
      <c r="L234" s="142"/>
    </row>
    <row r="235" spans="1:12" x14ac:dyDescent="0.3">
      <c r="A235" s="59">
        <f t="shared" si="18"/>
        <v>0</v>
      </c>
      <c r="B235" s="143">
        <f t="shared" si="19"/>
        <v>0</v>
      </c>
      <c r="C235" s="58">
        <f t="shared" si="20"/>
        <v>0</v>
      </c>
      <c r="D235" s="58">
        <f t="shared" si="21"/>
        <v>0</v>
      </c>
      <c r="E235" s="58">
        <f t="shared" si="22"/>
        <v>0</v>
      </c>
      <c r="F235" s="58">
        <f t="shared" si="23"/>
        <v>0</v>
      </c>
      <c r="G235" s="141"/>
      <c r="H235" s="142"/>
      <c r="I235" s="142"/>
      <c r="J235" s="142"/>
      <c r="K235" s="142"/>
      <c r="L235" s="142"/>
    </row>
    <row r="236" spans="1:12" x14ac:dyDescent="0.3">
      <c r="A236" s="59">
        <f t="shared" si="18"/>
        <v>0</v>
      </c>
      <c r="B236" s="143">
        <f t="shared" si="19"/>
        <v>0</v>
      </c>
      <c r="C236" s="58">
        <f t="shared" si="20"/>
        <v>0</v>
      </c>
      <c r="D236" s="58">
        <f t="shared" si="21"/>
        <v>0</v>
      </c>
      <c r="E236" s="58">
        <f t="shared" si="22"/>
        <v>0</v>
      </c>
      <c r="F236" s="58">
        <f t="shared" si="23"/>
        <v>0</v>
      </c>
      <c r="G236" s="141"/>
      <c r="H236" s="142"/>
      <c r="I236" s="142"/>
      <c r="J236" s="142"/>
      <c r="K236" s="142"/>
      <c r="L236" s="142"/>
    </row>
    <row r="237" spans="1:12" x14ac:dyDescent="0.3">
      <c r="A237" s="59">
        <f t="shared" si="18"/>
        <v>0</v>
      </c>
      <c r="B237" s="143">
        <f t="shared" si="19"/>
        <v>0</v>
      </c>
      <c r="C237" s="58">
        <f t="shared" si="20"/>
        <v>0</v>
      </c>
      <c r="D237" s="58">
        <f t="shared" si="21"/>
        <v>0</v>
      </c>
      <c r="E237" s="58">
        <f t="shared" si="22"/>
        <v>0</v>
      </c>
      <c r="F237" s="58">
        <f t="shared" si="23"/>
        <v>0</v>
      </c>
      <c r="G237" s="141"/>
      <c r="H237" s="142"/>
      <c r="I237" s="142"/>
      <c r="J237" s="142"/>
      <c r="K237" s="142"/>
      <c r="L237" s="142"/>
    </row>
    <row r="238" spans="1:12" x14ac:dyDescent="0.3">
      <c r="A238" s="59">
        <f t="shared" si="18"/>
        <v>0</v>
      </c>
      <c r="B238" s="143">
        <f t="shared" si="19"/>
        <v>0</v>
      </c>
      <c r="C238" s="58">
        <f t="shared" si="20"/>
        <v>0</v>
      </c>
      <c r="D238" s="58">
        <f t="shared" si="21"/>
        <v>0</v>
      </c>
      <c r="E238" s="58">
        <f t="shared" si="22"/>
        <v>0</v>
      </c>
      <c r="F238" s="58">
        <f t="shared" si="23"/>
        <v>0</v>
      </c>
      <c r="G238" s="141"/>
      <c r="H238" s="142"/>
      <c r="I238" s="142"/>
      <c r="J238" s="142"/>
      <c r="K238" s="142"/>
      <c r="L238" s="142"/>
    </row>
    <row r="239" spans="1:12" x14ac:dyDescent="0.3">
      <c r="A239" s="59">
        <f t="shared" si="18"/>
        <v>0</v>
      </c>
      <c r="B239" s="143">
        <f t="shared" si="19"/>
        <v>0</v>
      </c>
      <c r="C239" s="58">
        <f t="shared" si="20"/>
        <v>0</v>
      </c>
      <c r="D239" s="58">
        <f t="shared" si="21"/>
        <v>0</v>
      </c>
      <c r="E239" s="58">
        <f t="shared" si="22"/>
        <v>0</v>
      </c>
      <c r="F239" s="58">
        <f t="shared" si="23"/>
        <v>0</v>
      </c>
      <c r="G239" s="141"/>
      <c r="H239" s="142"/>
      <c r="I239" s="142"/>
      <c r="J239" s="142"/>
      <c r="K239" s="142"/>
      <c r="L239" s="142"/>
    </row>
    <row r="240" spans="1:12" x14ac:dyDescent="0.3">
      <c r="A240" s="59">
        <f t="shared" si="18"/>
        <v>0</v>
      </c>
      <c r="B240" s="143">
        <f t="shared" si="19"/>
        <v>0</v>
      </c>
      <c r="C240" s="58">
        <f t="shared" si="20"/>
        <v>0</v>
      </c>
      <c r="D240" s="58">
        <f t="shared" si="21"/>
        <v>0</v>
      </c>
      <c r="E240" s="58">
        <f t="shared" si="22"/>
        <v>0</v>
      </c>
      <c r="F240" s="58">
        <f t="shared" si="23"/>
        <v>0</v>
      </c>
      <c r="G240" s="141"/>
      <c r="H240" s="142"/>
      <c r="I240" s="142"/>
      <c r="J240" s="142"/>
      <c r="K240" s="142"/>
      <c r="L240" s="142"/>
    </row>
    <row r="241" spans="1:12" x14ac:dyDescent="0.3">
      <c r="A241" s="59">
        <f t="shared" si="18"/>
        <v>0</v>
      </c>
      <c r="B241" s="143">
        <f t="shared" si="19"/>
        <v>0</v>
      </c>
      <c r="C241" s="58">
        <f t="shared" si="20"/>
        <v>0</v>
      </c>
      <c r="D241" s="58">
        <f t="shared" si="21"/>
        <v>0</v>
      </c>
      <c r="E241" s="58">
        <f t="shared" si="22"/>
        <v>0</v>
      </c>
      <c r="F241" s="58">
        <f t="shared" si="23"/>
        <v>0</v>
      </c>
      <c r="G241" s="141"/>
      <c r="H241" s="142"/>
      <c r="I241" s="142"/>
      <c r="J241" s="142"/>
      <c r="K241" s="142"/>
      <c r="L241" s="142"/>
    </row>
    <row r="242" spans="1:12" x14ac:dyDescent="0.3">
      <c r="A242" s="59">
        <f t="shared" si="18"/>
        <v>0</v>
      </c>
      <c r="B242" s="143">
        <f t="shared" si="19"/>
        <v>0</v>
      </c>
      <c r="C242" s="58">
        <f t="shared" si="20"/>
        <v>0</v>
      </c>
      <c r="D242" s="58">
        <f t="shared" si="21"/>
        <v>0</v>
      </c>
      <c r="E242" s="58">
        <f t="shared" si="22"/>
        <v>0</v>
      </c>
      <c r="F242" s="58">
        <f t="shared" si="23"/>
        <v>0</v>
      </c>
      <c r="G242" s="141"/>
      <c r="H242" s="142"/>
      <c r="I242" s="142"/>
      <c r="J242" s="142"/>
      <c r="K242" s="142"/>
      <c r="L242" s="142"/>
    </row>
    <row r="243" spans="1:12" x14ac:dyDescent="0.3">
      <c r="A243" s="59">
        <f t="shared" si="18"/>
        <v>0</v>
      </c>
      <c r="B243" s="143">
        <f t="shared" si="19"/>
        <v>0</v>
      </c>
      <c r="C243" s="58">
        <f t="shared" si="20"/>
        <v>0</v>
      </c>
      <c r="D243" s="58">
        <f t="shared" si="21"/>
        <v>0</v>
      </c>
      <c r="E243" s="58">
        <f t="shared" si="22"/>
        <v>0</v>
      </c>
      <c r="F243" s="58">
        <f t="shared" si="23"/>
        <v>0</v>
      </c>
      <c r="G243" s="141"/>
      <c r="H243" s="142"/>
      <c r="I243" s="142"/>
      <c r="J243" s="142"/>
      <c r="K243" s="142"/>
      <c r="L243" s="142"/>
    </row>
    <row r="244" spans="1:12" x14ac:dyDescent="0.3">
      <c r="A244" s="59">
        <f t="shared" si="18"/>
        <v>0</v>
      </c>
      <c r="B244" s="143">
        <f t="shared" si="19"/>
        <v>0</v>
      </c>
      <c r="C244" s="58">
        <f t="shared" si="20"/>
        <v>0</v>
      </c>
      <c r="D244" s="58">
        <f t="shared" si="21"/>
        <v>0</v>
      </c>
      <c r="E244" s="58">
        <f t="shared" si="22"/>
        <v>0</v>
      </c>
      <c r="F244" s="58">
        <f t="shared" si="23"/>
        <v>0</v>
      </c>
      <c r="G244" s="141"/>
      <c r="H244" s="142"/>
      <c r="I244" s="142"/>
      <c r="J244" s="142"/>
      <c r="K244" s="142"/>
      <c r="L244" s="142"/>
    </row>
    <row r="245" spans="1:12" x14ac:dyDescent="0.3">
      <c r="A245" s="59">
        <f t="shared" si="18"/>
        <v>0</v>
      </c>
      <c r="B245" s="143">
        <f t="shared" si="19"/>
        <v>0</v>
      </c>
      <c r="C245" s="58">
        <f t="shared" si="20"/>
        <v>0</v>
      </c>
      <c r="D245" s="58">
        <f t="shared" si="21"/>
        <v>0</v>
      </c>
      <c r="E245" s="58">
        <f t="shared" si="22"/>
        <v>0</v>
      </c>
      <c r="F245" s="58">
        <f t="shared" si="23"/>
        <v>0</v>
      </c>
      <c r="G245" s="141"/>
      <c r="H245" s="142"/>
      <c r="I245" s="142"/>
      <c r="J245" s="142"/>
      <c r="K245" s="142"/>
      <c r="L245" s="142"/>
    </row>
    <row r="246" spans="1:12" x14ac:dyDescent="0.3">
      <c r="A246" s="59">
        <f t="shared" si="18"/>
        <v>0</v>
      </c>
      <c r="B246" s="143">
        <f t="shared" si="19"/>
        <v>0</v>
      </c>
      <c r="C246" s="58">
        <f t="shared" si="20"/>
        <v>0</v>
      </c>
      <c r="D246" s="58">
        <f t="shared" si="21"/>
        <v>0</v>
      </c>
      <c r="E246" s="58">
        <f t="shared" si="22"/>
        <v>0</v>
      </c>
      <c r="F246" s="58">
        <f t="shared" si="23"/>
        <v>0</v>
      </c>
      <c r="G246" s="141"/>
      <c r="H246" s="142"/>
      <c r="I246" s="142"/>
      <c r="J246" s="142"/>
      <c r="K246" s="142"/>
      <c r="L246" s="142"/>
    </row>
    <row r="247" spans="1:12" x14ac:dyDescent="0.3">
      <c r="A247" s="59">
        <f t="shared" si="18"/>
        <v>0</v>
      </c>
      <c r="B247" s="143">
        <f t="shared" si="19"/>
        <v>0</v>
      </c>
      <c r="C247" s="58">
        <f t="shared" si="20"/>
        <v>0</v>
      </c>
      <c r="D247" s="58">
        <f t="shared" si="21"/>
        <v>0</v>
      </c>
      <c r="E247" s="58">
        <f t="shared" si="22"/>
        <v>0</v>
      </c>
      <c r="F247" s="58">
        <f t="shared" si="23"/>
        <v>0</v>
      </c>
      <c r="G247" s="141"/>
      <c r="H247" s="142"/>
      <c r="I247" s="142"/>
      <c r="J247" s="142"/>
      <c r="K247" s="142"/>
      <c r="L247" s="142"/>
    </row>
    <row r="248" spans="1:12" x14ac:dyDescent="0.3">
      <c r="A248" s="59">
        <f t="shared" si="18"/>
        <v>0</v>
      </c>
      <c r="B248" s="143">
        <f t="shared" si="19"/>
        <v>0</v>
      </c>
      <c r="C248" s="58">
        <f t="shared" si="20"/>
        <v>0</v>
      </c>
      <c r="D248" s="58">
        <f t="shared" si="21"/>
        <v>0</v>
      </c>
      <c r="E248" s="58">
        <f t="shared" si="22"/>
        <v>0</v>
      </c>
      <c r="F248" s="58">
        <f t="shared" si="23"/>
        <v>0</v>
      </c>
      <c r="G248" s="141"/>
      <c r="H248" s="142"/>
      <c r="I248" s="142"/>
      <c r="J248" s="142"/>
      <c r="K248" s="142"/>
      <c r="L248" s="142"/>
    </row>
    <row r="249" spans="1:12" x14ac:dyDescent="0.3">
      <c r="A249" s="59">
        <f t="shared" si="18"/>
        <v>0</v>
      </c>
      <c r="B249" s="143">
        <f t="shared" si="19"/>
        <v>0</v>
      </c>
      <c r="C249" s="58">
        <f t="shared" si="20"/>
        <v>0</v>
      </c>
      <c r="D249" s="58">
        <f t="shared" si="21"/>
        <v>0</v>
      </c>
      <c r="E249" s="58">
        <f t="shared" si="22"/>
        <v>0</v>
      </c>
      <c r="F249" s="58">
        <f t="shared" si="23"/>
        <v>0</v>
      </c>
      <c r="G249" s="141"/>
      <c r="H249" s="142"/>
      <c r="I249" s="142"/>
      <c r="J249" s="142"/>
      <c r="K249" s="142"/>
      <c r="L249" s="142"/>
    </row>
    <row r="250" spans="1:12" x14ac:dyDescent="0.3">
      <c r="A250" s="59">
        <f t="shared" si="18"/>
        <v>0</v>
      </c>
      <c r="B250" s="143">
        <f t="shared" si="19"/>
        <v>0</v>
      </c>
      <c r="C250" s="58">
        <f t="shared" si="20"/>
        <v>0</v>
      </c>
      <c r="D250" s="58">
        <f t="shared" si="21"/>
        <v>0</v>
      </c>
      <c r="E250" s="58">
        <f t="shared" si="22"/>
        <v>0</v>
      </c>
      <c r="F250" s="58">
        <f t="shared" si="23"/>
        <v>0</v>
      </c>
      <c r="G250" s="141"/>
      <c r="H250" s="142"/>
      <c r="I250" s="142"/>
      <c r="J250" s="142"/>
      <c r="K250" s="142"/>
      <c r="L250" s="142"/>
    </row>
    <row r="251" spans="1:12" x14ac:dyDescent="0.3">
      <c r="A251" s="59">
        <f t="shared" si="18"/>
        <v>0</v>
      </c>
      <c r="B251" s="143">
        <f t="shared" si="19"/>
        <v>0</v>
      </c>
      <c r="C251" s="58">
        <f t="shared" si="20"/>
        <v>0</v>
      </c>
      <c r="D251" s="58">
        <f t="shared" si="21"/>
        <v>0</v>
      </c>
      <c r="E251" s="58">
        <f t="shared" si="22"/>
        <v>0</v>
      </c>
      <c r="F251" s="58">
        <f t="shared" si="23"/>
        <v>0</v>
      </c>
      <c r="G251" s="141"/>
      <c r="H251" s="142"/>
      <c r="I251" s="142"/>
      <c r="J251" s="142"/>
      <c r="K251" s="142"/>
      <c r="L251" s="142"/>
    </row>
    <row r="252" spans="1:12" x14ac:dyDescent="0.3">
      <c r="A252" s="59">
        <f t="shared" si="18"/>
        <v>0</v>
      </c>
      <c r="B252" s="143">
        <f t="shared" si="19"/>
        <v>0</v>
      </c>
      <c r="C252" s="58">
        <f t="shared" si="20"/>
        <v>0</v>
      </c>
      <c r="D252" s="58">
        <f t="shared" si="21"/>
        <v>0</v>
      </c>
      <c r="E252" s="58">
        <f t="shared" si="22"/>
        <v>0</v>
      </c>
      <c r="F252" s="58">
        <f t="shared" si="23"/>
        <v>0</v>
      </c>
      <c r="G252" s="141"/>
      <c r="H252" s="142"/>
      <c r="I252" s="142"/>
      <c r="J252" s="142"/>
      <c r="K252" s="142"/>
      <c r="L252" s="142"/>
    </row>
    <row r="253" spans="1:12" x14ac:dyDescent="0.3">
      <c r="A253" s="59">
        <f t="shared" si="18"/>
        <v>0</v>
      </c>
      <c r="B253" s="143">
        <f t="shared" si="19"/>
        <v>0</v>
      </c>
      <c r="C253" s="58">
        <f t="shared" si="20"/>
        <v>0</v>
      </c>
      <c r="D253" s="58">
        <f t="shared" si="21"/>
        <v>0</v>
      </c>
      <c r="E253" s="58">
        <f t="shared" si="22"/>
        <v>0</v>
      </c>
      <c r="F253" s="58">
        <f t="shared" si="23"/>
        <v>0</v>
      </c>
      <c r="G253" s="141"/>
      <c r="H253" s="142"/>
      <c r="I253" s="142"/>
      <c r="J253" s="142"/>
      <c r="K253" s="142"/>
      <c r="L253" s="142"/>
    </row>
    <row r="254" spans="1:12" x14ac:dyDescent="0.3">
      <c r="A254" s="59">
        <f t="shared" si="18"/>
        <v>0</v>
      </c>
      <c r="B254" s="143">
        <f t="shared" si="19"/>
        <v>0</v>
      </c>
      <c r="C254" s="58">
        <f t="shared" si="20"/>
        <v>0</v>
      </c>
      <c r="D254" s="58">
        <f t="shared" si="21"/>
        <v>0</v>
      </c>
      <c r="E254" s="58">
        <f t="shared" si="22"/>
        <v>0</v>
      </c>
      <c r="F254" s="58">
        <f t="shared" si="23"/>
        <v>0</v>
      </c>
      <c r="G254" s="141"/>
      <c r="H254" s="142"/>
      <c r="I254" s="142"/>
      <c r="J254" s="142"/>
      <c r="K254" s="142"/>
      <c r="L254" s="142"/>
    </row>
    <row r="255" spans="1:12" x14ac:dyDescent="0.3">
      <c r="A255" s="59">
        <f t="shared" si="18"/>
        <v>0</v>
      </c>
      <c r="B255" s="143">
        <f t="shared" si="19"/>
        <v>0</v>
      </c>
      <c r="C255" s="58">
        <f t="shared" si="20"/>
        <v>0</v>
      </c>
      <c r="D255" s="58">
        <f t="shared" si="21"/>
        <v>0</v>
      </c>
      <c r="E255" s="58">
        <f t="shared" si="22"/>
        <v>0</v>
      </c>
      <c r="F255" s="58">
        <f t="shared" si="23"/>
        <v>0</v>
      </c>
      <c r="G255" s="141"/>
      <c r="H255" s="142"/>
      <c r="I255" s="142"/>
      <c r="J255" s="142"/>
      <c r="K255" s="142"/>
      <c r="L255" s="142"/>
    </row>
    <row r="256" spans="1:12" x14ac:dyDescent="0.3">
      <c r="A256" s="59">
        <f t="shared" si="18"/>
        <v>0</v>
      </c>
      <c r="B256" s="143">
        <f t="shared" si="19"/>
        <v>0</v>
      </c>
      <c r="C256" s="58">
        <f t="shared" si="20"/>
        <v>0</v>
      </c>
      <c r="D256" s="58">
        <f t="shared" si="21"/>
        <v>0</v>
      </c>
      <c r="E256" s="58">
        <f t="shared" si="22"/>
        <v>0</v>
      </c>
      <c r="F256" s="58">
        <f t="shared" si="23"/>
        <v>0</v>
      </c>
      <c r="G256" s="141"/>
      <c r="H256" s="142"/>
      <c r="I256" s="142"/>
      <c r="J256" s="142"/>
      <c r="K256" s="142"/>
      <c r="L256" s="142"/>
    </row>
    <row r="257" spans="1:12" x14ac:dyDescent="0.3">
      <c r="A257" s="59">
        <f t="shared" si="18"/>
        <v>0</v>
      </c>
      <c r="B257" s="143">
        <f t="shared" si="19"/>
        <v>0</v>
      </c>
      <c r="C257" s="58">
        <f t="shared" si="20"/>
        <v>0</v>
      </c>
      <c r="D257" s="58">
        <f t="shared" si="21"/>
        <v>0</v>
      </c>
      <c r="E257" s="58">
        <f t="shared" si="22"/>
        <v>0</v>
      </c>
      <c r="F257" s="58">
        <f t="shared" si="23"/>
        <v>0</v>
      </c>
      <c r="G257" s="141"/>
      <c r="H257" s="142"/>
      <c r="I257" s="142"/>
      <c r="J257" s="142"/>
      <c r="K257" s="142"/>
      <c r="L257" s="142"/>
    </row>
    <row r="258" spans="1:12" x14ac:dyDescent="0.3">
      <c r="A258" s="59">
        <f t="shared" si="18"/>
        <v>0</v>
      </c>
      <c r="B258" s="143">
        <f t="shared" si="19"/>
        <v>0</v>
      </c>
      <c r="C258" s="58">
        <f t="shared" si="20"/>
        <v>0</v>
      </c>
      <c r="D258" s="58">
        <f t="shared" si="21"/>
        <v>0</v>
      </c>
      <c r="E258" s="58">
        <f t="shared" si="22"/>
        <v>0</v>
      </c>
      <c r="F258" s="58">
        <f t="shared" si="23"/>
        <v>0</v>
      </c>
      <c r="G258" s="141"/>
      <c r="H258" s="142"/>
      <c r="I258" s="142"/>
      <c r="J258" s="142"/>
      <c r="K258" s="142"/>
      <c r="L258" s="142"/>
    </row>
    <row r="259" spans="1:12" x14ac:dyDescent="0.3">
      <c r="A259" s="59">
        <f t="shared" si="18"/>
        <v>0</v>
      </c>
      <c r="B259" s="143">
        <f t="shared" si="19"/>
        <v>0</v>
      </c>
      <c r="C259" s="58">
        <f t="shared" si="20"/>
        <v>0</v>
      </c>
      <c r="D259" s="58">
        <f t="shared" si="21"/>
        <v>0</v>
      </c>
      <c r="E259" s="58">
        <f t="shared" si="22"/>
        <v>0</v>
      </c>
      <c r="F259" s="58">
        <f t="shared" si="23"/>
        <v>0</v>
      </c>
      <c r="G259" s="141"/>
      <c r="H259" s="142"/>
      <c r="I259" s="142"/>
      <c r="J259" s="142"/>
      <c r="K259" s="142"/>
      <c r="L259" s="142"/>
    </row>
    <row r="260" spans="1:12" x14ac:dyDescent="0.3">
      <c r="A260" s="59">
        <f t="shared" si="18"/>
        <v>0</v>
      </c>
      <c r="B260" s="143">
        <f t="shared" si="19"/>
        <v>0</v>
      </c>
      <c r="C260" s="58">
        <f t="shared" si="20"/>
        <v>0</v>
      </c>
      <c r="D260" s="58">
        <f t="shared" si="21"/>
        <v>0</v>
      </c>
      <c r="E260" s="58">
        <f t="shared" si="22"/>
        <v>0</v>
      </c>
      <c r="F260" s="58">
        <f t="shared" si="23"/>
        <v>0</v>
      </c>
      <c r="G260" s="141"/>
      <c r="H260" s="142"/>
      <c r="I260" s="142"/>
      <c r="J260" s="142"/>
      <c r="K260" s="142"/>
      <c r="L260" s="142"/>
    </row>
    <row r="261" spans="1:12" x14ac:dyDescent="0.3">
      <c r="A261" s="59">
        <f t="shared" si="18"/>
        <v>0</v>
      </c>
      <c r="B261" s="143">
        <f t="shared" si="19"/>
        <v>0</v>
      </c>
      <c r="C261" s="58">
        <f t="shared" si="20"/>
        <v>0</v>
      </c>
      <c r="D261" s="58">
        <f t="shared" si="21"/>
        <v>0</v>
      </c>
      <c r="E261" s="58">
        <f t="shared" si="22"/>
        <v>0</v>
      </c>
      <c r="F261" s="58">
        <f t="shared" si="23"/>
        <v>0</v>
      </c>
      <c r="G261" s="141"/>
      <c r="H261" s="142"/>
      <c r="I261" s="142"/>
      <c r="J261" s="142"/>
      <c r="K261" s="142"/>
      <c r="L261" s="142"/>
    </row>
    <row r="262" spans="1:12" x14ac:dyDescent="0.3">
      <c r="A262" s="59">
        <f t="shared" si="18"/>
        <v>0</v>
      </c>
      <c r="B262" s="143">
        <f t="shared" si="19"/>
        <v>0</v>
      </c>
      <c r="C262" s="58">
        <f t="shared" si="20"/>
        <v>0</v>
      </c>
      <c r="D262" s="58">
        <f t="shared" si="21"/>
        <v>0</v>
      </c>
      <c r="E262" s="58">
        <f t="shared" si="22"/>
        <v>0</v>
      </c>
      <c r="F262" s="58">
        <f t="shared" si="23"/>
        <v>0</v>
      </c>
      <c r="G262" s="141"/>
      <c r="H262" s="142"/>
      <c r="I262" s="142"/>
      <c r="J262" s="142"/>
      <c r="K262" s="142"/>
      <c r="L262" s="142"/>
    </row>
    <row r="263" spans="1:12" x14ac:dyDescent="0.3">
      <c r="A263" s="59">
        <f t="shared" si="18"/>
        <v>0</v>
      </c>
      <c r="B263" s="143">
        <f t="shared" si="19"/>
        <v>0</v>
      </c>
      <c r="C263" s="58">
        <f t="shared" si="20"/>
        <v>0</v>
      </c>
      <c r="D263" s="58">
        <f t="shared" si="21"/>
        <v>0</v>
      </c>
      <c r="E263" s="58">
        <f t="shared" si="22"/>
        <v>0</v>
      </c>
      <c r="F263" s="58">
        <f t="shared" si="23"/>
        <v>0</v>
      </c>
      <c r="G263" s="141"/>
      <c r="H263" s="142"/>
      <c r="I263" s="142"/>
      <c r="J263" s="142"/>
      <c r="K263" s="142"/>
      <c r="L263" s="142"/>
    </row>
    <row r="264" spans="1:12" x14ac:dyDescent="0.3">
      <c r="A264" s="59">
        <f t="shared" si="18"/>
        <v>0</v>
      </c>
      <c r="B264" s="143">
        <f t="shared" si="19"/>
        <v>0</v>
      </c>
      <c r="C264" s="58">
        <f t="shared" si="20"/>
        <v>0</v>
      </c>
      <c r="D264" s="58">
        <f t="shared" si="21"/>
        <v>0</v>
      </c>
      <c r="E264" s="58">
        <f t="shared" si="22"/>
        <v>0</v>
      </c>
      <c r="F264" s="58">
        <f t="shared" si="23"/>
        <v>0</v>
      </c>
      <c r="G264" s="141"/>
      <c r="H264" s="142"/>
      <c r="I264" s="142"/>
      <c r="J264" s="142"/>
      <c r="K264" s="142"/>
      <c r="L264" s="142"/>
    </row>
    <row r="265" spans="1:12" x14ac:dyDescent="0.3">
      <c r="A265" s="59">
        <f t="shared" si="18"/>
        <v>0</v>
      </c>
      <c r="B265" s="143">
        <f t="shared" si="19"/>
        <v>0</v>
      </c>
      <c r="C265" s="58">
        <f t="shared" si="20"/>
        <v>0</v>
      </c>
      <c r="D265" s="58">
        <f t="shared" si="21"/>
        <v>0</v>
      </c>
      <c r="E265" s="58">
        <f t="shared" si="22"/>
        <v>0</v>
      </c>
      <c r="F265" s="58">
        <f t="shared" si="23"/>
        <v>0</v>
      </c>
      <c r="G265" s="141"/>
      <c r="H265" s="142"/>
      <c r="I265" s="142"/>
      <c r="J265" s="142"/>
      <c r="K265" s="142"/>
      <c r="L265" s="142"/>
    </row>
    <row r="266" spans="1:12" x14ac:dyDescent="0.3">
      <c r="A266" s="59">
        <f t="shared" ref="A266:A267" si="24">G266</f>
        <v>0</v>
      </c>
      <c r="B266" s="143">
        <f t="shared" ref="B266:B267" si="25">H266</f>
        <v>0</v>
      </c>
      <c r="C266" s="58">
        <f t="shared" ref="C266:C267" si="26">I266</f>
        <v>0</v>
      </c>
      <c r="D266" s="58">
        <f t="shared" ref="D266:D267" si="27">J266</f>
        <v>0</v>
      </c>
      <c r="E266" s="58">
        <f t="shared" ref="E266:E267" si="28">K266</f>
        <v>0</v>
      </c>
      <c r="F266" s="58">
        <f t="shared" ref="F266:F267" si="29">D266+E266</f>
        <v>0</v>
      </c>
      <c r="G266" s="141"/>
      <c r="H266" s="142"/>
      <c r="I266" s="142"/>
      <c r="J266" s="142"/>
      <c r="K266" s="142"/>
      <c r="L266" s="142"/>
    </row>
    <row r="267" spans="1:12" x14ac:dyDescent="0.3">
      <c r="A267" s="59">
        <f t="shared" si="24"/>
        <v>0</v>
      </c>
      <c r="B267" s="143">
        <f t="shared" si="25"/>
        <v>0</v>
      </c>
      <c r="C267" s="58">
        <f t="shared" si="26"/>
        <v>0</v>
      </c>
      <c r="D267" s="58">
        <f t="shared" si="27"/>
        <v>0</v>
      </c>
      <c r="E267" s="58">
        <f t="shared" si="28"/>
        <v>0</v>
      </c>
      <c r="F267" s="58">
        <f t="shared" si="29"/>
        <v>0</v>
      </c>
      <c r="G267" s="141"/>
      <c r="H267" s="142"/>
      <c r="I267" s="142"/>
      <c r="J267" s="142"/>
      <c r="K267" s="142"/>
      <c r="L267" s="142"/>
    </row>
    <row r="268" spans="1:12" x14ac:dyDescent="0.3">
      <c r="H268" s="143"/>
      <c r="I268" s="143"/>
      <c r="J268" s="143"/>
      <c r="K268" s="143"/>
      <c r="L268" s="14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RefreshBtn1">
          <controlPr defaultSize="0" autoLine="0" autoPict="0" r:id="rId5">
            <anchor moveWithCells="1">
              <from>
                <xdr:col>6</xdr:col>
                <xdr:colOff>9525</xdr:colOff>
                <xdr:row>0</xdr:row>
                <xdr:rowOff>9525</xdr:rowOff>
              </from>
              <to>
                <xdr:col>6</xdr:col>
                <xdr:colOff>647700</xdr:colOff>
                <xdr:row>1</xdr:row>
                <xdr:rowOff>9525</xdr:rowOff>
              </to>
            </anchor>
          </controlPr>
        </control>
      </mc:Choice>
      <mc:Fallback>
        <control shapeId="6145" r:id="rId4" name="RefreshBt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D265"/>
  <sheetViews>
    <sheetView showGridLines="0" workbookViewId="0">
      <pane xSplit="1" ySplit="14" topLeftCell="B15" activePane="bottomRight" state="frozen"/>
      <selection pane="topRight" activeCell="B1" sqref="B1"/>
      <selection pane="bottomLeft" activeCell="A15" sqref="A15"/>
      <selection pane="bottomRight"/>
    </sheetView>
  </sheetViews>
  <sheetFormatPr defaultColWidth="9" defaultRowHeight="12" x14ac:dyDescent="0.3"/>
  <cols>
    <col min="1" max="3" width="14.625" style="95" customWidth="1"/>
    <col min="4" max="16384" width="9" style="95"/>
  </cols>
  <sheetData>
    <row r="1" spans="1:4" ht="15" customHeight="1" x14ac:dyDescent="0.3">
      <c r="A1" s="93" t="s">
        <v>29</v>
      </c>
      <c r="B1" s="94" t="s">
        <v>7857</v>
      </c>
    </row>
    <row r="2" spans="1:4" x14ac:dyDescent="0.3">
      <c r="A2" s="93">
        <v>0</v>
      </c>
    </row>
    <row r="3" spans="1:4" x14ac:dyDescent="0.3">
      <c r="A3" s="3" t="s">
        <v>24</v>
      </c>
    </row>
    <row r="4" spans="1:4" x14ac:dyDescent="0.3">
      <c r="A4" s="96" t="s">
        <v>7843</v>
      </c>
      <c r="B4" s="96" t="s">
        <v>22</v>
      </c>
      <c r="C4" s="96" t="s">
        <v>3045</v>
      </c>
      <c r="D4" s="93">
        <v>0</v>
      </c>
    </row>
    <row r="5" spans="1:4" x14ac:dyDescent="0.3">
      <c r="A5" s="97" t="s">
        <v>7844</v>
      </c>
      <c r="B5" s="132" t="str">
        <f ca="1">최종!AN3</f>
        <v>20130622</v>
      </c>
      <c r="C5" s="97" t="s">
        <v>2</v>
      </c>
      <c r="D5" s="93">
        <v>0</v>
      </c>
    </row>
    <row r="6" spans="1:4" x14ac:dyDescent="0.3">
      <c r="A6" s="99" t="s">
        <v>7845</v>
      </c>
      <c r="B6" s="133" t="str">
        <f ca="1">최종!AO3</f>
        <v>20130801</v>
      </c>
      <c r="C6" s="99"/>
      <c r="D6" s="93">
        <v>0</v>
      </c>
    </row>
    <row r="8" spans="1:4" x14ac:dyDescent="0.3">
      <c r="A8" s="134" t="s">
        <v>7892</v>
      </c>
      <c r="B8" s="144" t="str">
        <f>최종!B2</f>
        <v>A097950</v>
      </c>
      <c r="C8" s="147" t="s">
        <v>7893</v>
      </c>
    </row>
    <row r="9" spans="1:4" x14ac:dyDescent="0.3">
      <c r="A9" s="136" t="s">
        <v>7847</v>
      </c>
      <c r="B9" s="137" t="s">
        <v>7860</v>
      </c>
      <c r="C9" s="105" t="s">
        <v>7858</v>
      </c>
    </row>
    <row r="10" spans="1:4" x14ac:dyDescent="0.3">
      <c r="A10" s="138" t="s">
        <v>7848</v>
      </c>
      <c r="B10" s="95" t="s">
        <v>25</v>
      </c>
      <c r="C10" s="95" t="s">
        <v>3121</v>
      </c>
    </row>
    <row r="11" spans="1:4" x14ac:dyDescent="0.3">
      <c r="A11" s="138" t="s">
        <v>7849</v>
      </c>
      <c r="B11" s="95" t="s">
        <v>26</v>
      </c>
      <c r="C11" s="95" t="s">
        <v>26</v>
      </c>
    </row>
    <row r="12" spans="1:4" x14ac:dyDescent="0.3">
      <c r="A12" s="138" t="s">
        <v>7850</v>
      </c>
    </row>
    <row r="13" spans="1:4" x14ac:dyDescent="0.3">
      <c r="A13" s="138"/>
      <c r="B13" s="140"/>
      <c r="C13" s="102"/>
    </row>
    <row r="14" spans="1:4" x14ac:dyDescent="0.3">
      <c r="A14" s="104" t="s">
        <v>7891</v>
      </c>
      <c r="B14" s="137" t="s">
        <v>7852</v>
      </c>
      <c r="C14" s="105" t="s">
        <v>7859</v>
      </c>
    </row>
    <row r="15" spans="1:4" x14ac:dyDescent="0.3">
      <c r="A15" s="141">
        <v>41444</v>
      </c>
      <c r="B15" s="142">
        <v>12850</v>
      </c>
      <c r="C15" s="142">
        <v>1888.31</v>
      </c>
    </row>
    <row r="16" spans="1:4" x14ac:dyDescent="0.3">
      <c r="A16" s="141">
        <v>41445</v>
      </c>
      <c r="B16" s="142">
        <v>12650</v>
      </c>
      <c r="C16" s="142">
        <v>1850.49</v>
      </c>
    </row>
    <row r="17" spans="1:3" x14ac:dyDescent="0.3">
      <c r="A17" s="141">
        <v>41446</v>
      </c>
      <c r="B17" s="142">
        <v>12750</v>
      </c>
      <c r="C17" s="142">
        <v>1822.83</v>
      </c>
    </row>
    <row r="18" spans="1:3" x14ac:dyDescent="0.3">
      <c r="A18" s="141">
        <v>41449</v>
      </c>
      <c r="B18" s="142">
        <v>11250</v>
      </c>
      <c r="C18" s="142">
        <v>1799.01</v>
      </c>
    </row>
    <row r="19" spans="1:3" x14ac:dyDescent="0.3">
      <c r="A19" s="141">
        <v>41450</v>
      </c>
      <c r="B19" s="142">
        <v>11500</v>
      </c>
      <c r="C19" s="142">
        <v>1780.63</v>
      </c>
    </row>
    <row r="20" spans="1:3" x14ac:dyDescent="0.3">
      <c r="A20" s="141">
        <v>41451</v>
      </c>
      <c r="B20" s="142">
        <v>11300</v>
      </c>
      <c r="C20" s="142">
        <v>1783.45</v>
      </c>
    </row>
    <row r="21" spans="1:3" x14ac:dyDescent="0.3">
      <c r="A21" s="141">
        <v>41452</v>
      </c>
      <c r="B21" s="142">
        <v>11600</v>
      </c>
      <c r="C21" s="142">
        <v>1834.7</v>
      </c>
    </row>
    <row r="22" spans="1:3" x14ac:dyDescent="0.3">
      <c r="A22" s="141">
        <v>41453</v>
      </c>
      <c r="B22" s="142">
        <v>11950</v>
      </c>
      <c r="C22" s="142">
        <v>1863.32</v>
      </c>
    </row>
    <row r="23" spans="1:3" x14ac:dyDescent="0.3">
      <c r="A23" s="141">
        <v>41456</v>
      </c>
      <c r="B23" s="142">
        <v>11800</v>
      </c>
      <c r="C23" s="142">
        <v>1855.73</v>
      </c>
    </row>
    <row r="24" spans="1:3" x14ac:dyDescent="0.3">
      <c r="A24" s="141">
        <v>41457</v>
      </c>
      <c r="B24" s="142">
        <v>11950</v>
      </c>
      <c r="C24" s="142">
        <v>1855.02</v>
      </c>
    </row>
    <row r="25" spans="1:3" x14ac:dyDescent="0.3">
      <c r="A25" s="141">
        <v>41458</v>
      </c>
      <c r="B25" s="142">
        <v>12250</v>
      </c>
      <c r="C25" s="142">
        <v>1824.66</v>
      </c>
    </row>
    <row r="26" spans="1:3" x14ac:dyDescent="0.3">
      <c r="A26" s="141">
        <v>41459</v>
      </c>
      <c r="B26" s="142">
        <v>12650</v>
      </c>
      <c r="C26" s="142">
        <v>1839.14</v>
      </c>
    </row>
    <row r="27" spans="1:3" x14ac:dyDescent="0.3">
      <c r="A27" s="141">
        <v>41460</v>
      </c>
      <c r="B27" s="142">
        <v>13250</v>
      </c>
      <c r="C27" s="142">
        <v>1833.31</v>
      </c>
    </row>
    <row r="28" spans="1:3" x14ac:dyDescent="0.3">
      <c r="A28" s="141">
        <v>41463</v>
      </c>
      <c r="B28" s="142">
        <v>12700</v>
      </c>
      <c r="C28" s="142">
        <v>1816.85</v>
      </c>
    </row>
    <row r="29" spans="1:3" x14ac:dyDescent="0.3">
      <c r="A29" s="141">
        <v>41464</v>
      </c>
      <c r="B29" s="142">
        <v>12200</v>
      </c>
      <c r="C29" s="142">
        <v>1830.35</v>
      </c>
    </row>
    <row r="30" spans="1:3" x14ac:dyDescent="0.3">
      <c r="A30" s="141">
        <v>41465</v>
      </c>
      <c r="B30" s="142">
        <v>12400</v>
      </c>
      <c r="C30" s="142">
        <v>1824.16</v>
      </c>
    </row>
    <row r="31" spans="1:3" x14ac:dyDescent="0.3">
      <c r="A31" s="141">
        <v>41466</v>
      </c>
      <c r="B31" s="142">
        <v>12500</v>
      </c>
      <c r="C31" s="142">
        <v>1877.6</v>
      </c>
    </row>
    <row r="32" spans="1:3" x14ac:dyDescent="0.3">
      <c r="A32" s="141">
        <v>41467</v>
      </c>
      <c r="B32" s="142">
        <v>12850</v>
      </c>
      <c r="C32" s="142">
        <v>1869.98</v>
      </c>
    </row>
    <row r="33" spans="1:3" x14ac:dyDescent="0.3">
      <c r="A33" s="141">
        <v>41470</v>
      </c>
      <c r="B33" s="142">
        <v>12500</v>
      </c>
      <c r="C33" s="142">
        <v>1875.16</v>
      </c>
    </row>
    <row r="34" spans="1:3" x14ac:dyDescent="0.3">
      <c r="A34" s="141">
        <v>41471</v>
      </c>
      <c r="B34" s="142">
        <v>12400</v>
      </c>
      <c r="C34" s="142">
        <v>1866.36</v>
      </c>
    </row>
    <row r="35" spans="1:3" x14ac:dyDescent="0.3">
      <c r="A35" s="141">
        <v>41472</v>
      </c>
      <c r="B35" s="142">
        <v>13000</v>
      </c>
      <c r="C35" s="142">
        <v>1887.49</v>
      </c>
    </row>
    <row r="36" spans="1:3" x14ac:dyDescent="0.3">
      <c r="A36" s="141">
        <v>41473</v>
      </c>
      <c r="B36" s="142">
        <v>13000</v>
      </c>
      <c r="C36" s="142">
        <v>1875.48</v>
      </c>
    </row>
    <row r="37" spans="1:3" x14ac:dyDescent="0.3">
      <c r="A37" s="141">
        <v>41474</v>
      </c>
      <c r="B37" s="142">
        <v>13000</v>
      </c>
      <c r="C37" s="142">
        <v>1871.41</v>
      </c>
    </row>
    <row r="38" spans="1:3" x14ac:dyDescent="0.3">
      <c r="A38" s="141">
        <v>41477</v>
      </c>
      <c r="B38" s="142">
        <v>12750</v>
      </c>
      <c r="C38" s="142">
        <v>1880.35</v>
      </c>
    </row>
    <row r="39" spans="1:3" x14ac:dyDescent="0.3">
      <c r="A39" s="141">
        <v>41478</v>
      </c>
      <c r="B39" s="142">
        <v>13050</v>
      </c>
      <c r="C39" s="142">
        <v>1904.15</v>
      </c>
    </row>
    <row r="40" spans="1:3" x14ac:dyDescent="0.3">
      <c r="A40" s="141">
        <v>41479</v>
      </c>
      <c r="B40" s="142">
        <v>12700</v>
      </c>
      <c r="C40" s="142">
        <v>1912.08</v>
      </c>
    </row>
    <row r="41" spans="1:3" x14ac:dyDescent="0.3">
      <c r="A41" s="141">
        <v>41480</v>
      </c>
      <c r="B41" s="142">
        <v>12750</v>
      </c>
      <c r="C41" s="142">
        <v>1909.61</v>
      </c>
    </row>
    <row r="42" spans="1:3" x14ac:dyDescent="0.3">
      <c r="A42" s="141">
        <v>41481</v>
      </c>
      <c r="B42" s="142">
        <v>12550</v>
      </c>
      <c r="C42" s="142">
        <v>1910.81</v>
      </c>
    </row>
    <row r="43" spans="1:3" x14ac:dyDescent="0.3">
      <c r="A43" s="141">
        <v>41484</v>
      </c>
      <c r="B43" s="142">
        <v>13200</v>
      </c>
      <c r="C43" s="142">
        <v>1899.89</v>
      </c>
    </row>
    <row r="44" spans="1:3" x14ac:dyDescent="0.3">
      <c r="A44" s="141"/>
      <c r="B44" s="142"/>
      <c r="C44" s="142"/>
    </row>
    <row r="45" spans="1:3" x14ac:dyDescent="0.3">
      <c r="A45" s="141"/>
      <c r="B45" s="142"/>
      <c r="C45" s="142"/>
    </row>
    <row r="46" spans="1:3" x14ac:dyDescent="0.3">
      <c r="A46" s="141"/>
      <c r="B46" s="142"/>
      <c r="C46" s="143"/>
    </row>
    <row r="47" spans="1:3" x14ac:dyDescent="0.3">
      <c r="A47" s="141"/>
      <c r="B47" s="142"/>
    </row>
    <row r="48" spans="1:3" x14ac:dyDescent="0.3">
      <c r="A48" s="141"/>
      <c r="B48" s="142"/>
    </row>
    <row r="49" spans="1:2" x14ac:dyDescent="0.3">
      <c r="A49" s="141"/>
      <c r="B49" s="142"/>
    </row>
    <row r="50" spans="1:2" x14ac:dyDescent="0.3">
      <c r="A50" s="141"/>
      <c r="B50" s="142"/>
    </row>
    <row r="51" spans="1:2" x14ac:dyDescent="0.3">
      <c r="A51" s="141"/>
      <c r="B51" s="142"/>
    </row>
    <row r="52" spans="1:2" x14ac:dyDescent="0.3">
      <c r="A52" s="141"/>
      <c r="B52" s="142"/>
    </row>
    <row r="53" spans="1:2" x14ac:dyDescent="0.3">
      <c r="A53" s="141"/>
      <c r="B53" s="142"/>
    </row>
    <row r="54" spans="1:2" x14ac:dyDescent="0.3">
      <c r="A54" s="141"/>
      <c r="B54" s="142"/>
    </row>
    <row r="55" spans="1:2" x14ac:dyDescent="0.3">
      <c r="A55" s="141"/>
      <c r="B55" s="142"/>
    </row>
    <row r="56" spans="1:2" x14ac:dyDescent="0.3">
      <c r="A56" s="141"/>
      <c r="B56" s="142"/>
    </row>
    <row r="57" spans="1:2" x14ac:dyDescent="0.3">
      <c r="A57" s="141"/>
      <c r="B57" s="142"/>
    </row>
    <row r="58" spans="1:2" x14ac:dyDescent="0.3">
      <c r="A58" s="141"/>
      <c r="B58" s="142"/>
    </row>
    <row r="59" spans="1:2" x14ac:dyDescent="0.3">
      <c r="A59" s="141"/>
      <c r="B59" s="142"/>
    </row>
    <row r="60" spans="1:2" x14ac:dyDescent="0.3">
      <c r="A60" s="141"/>
      <c r="B60" s="142"/>
    </row>
    <row r="61" spans="1:2" x14ac:dyDescent="0.3">
      <c r="A61" s="141"/>
      <c r="B61" s="142"/>
    </row>
    <row r="62" spans="1:2" x14ac:dyDescent="0.3">
      <c r="A62" s="141"/>
      <c r="B62" s="142"/>
    </row>
    <row r="63" spans="1:2" x14ac:dyDescent="0.3">
      <c r="A63" s="141"/>
      <c r="B63" s="142"/>
    </row>
    <row r="64" spans="1:2" x14ac:dyDescent="0.3">
      <c r="A64" s="141"/>
      <c r="B64" s="142"/>
    </row>
    <row r="65" spans="1:2" x14ac:dyDescent="0.3">
      <c r="A65" s="141"/>
      <c r="B65" s="142"/>
    </row>
    <row r="66" spans="1:2" x14ac:dyDescent="0.3">
      <c r="A66" s="141"/>
      <c r="B66" s="142"/>
    </row>
    <row r="67" spans="1:2" x14ac:dyDescent="0.3">
      <c r="A67" s="141"/>
      <c r="B67" s="142"/>
    </row>
    <row r="68" spans="1:2" x14ac:dyDescent="0.3">
      <c r="A68" s="141"/>
      <c r="B68" s="142"/>
    </row>
    <row r="69" spans="1:2" x14ac:dyDescent="0.3">
      <c r="A69" s="141"/>
      <c r="B69" s="142"/>
    </row>
    <row r="70" spans="1:2" x14ac:dyDescent="0.3">
      <c r="A70" s="141"/>
      <c r="B70" s="142"/>
    </row>
    <row r="71" spans="1:2" x14ac:dyDescent="0.3">
      <c r="A71" s="141"/>
      <c r="B71" s="142"/>
    </row>
    <row r="72" spans="1:2" x14ac:dyDescent="0.3">
      <c r="A72" s="141"/>
      <c r="B72" s="142"/>
    </row>
    <row r="73" spans="1:2" x14ac:dyDescent="0.3">
      <c r="A73" s="141"/>
      <c r="B73" s="142"/>
    </row>
    <row r="74" spans="1:2" x14ac:dyDescent="0.3">
      <c r="A74" s="141"/>
      <c r="B74" s="142"/>
    </row>
    <row r="75" spans="1:2" x14ac:dyDescent="0.3">
      <c r="A75" s="141"/>
      <c r="B75" s="142"/>
    </row>
    <row r="76" spans="1:2" x14ac:dyDescent="0.3">
      <c r="A76" s="141"/>
      <c r="B76" s="142"/>
    </row>
    <row r="77" spans="1:2" x14ac:dyDescent="0.3">
      <c r="A77" s="141"/>
      <c r="B77" s="142"/>
    </row>
    <row r="78" spans="1:2" x14ac:dyDescent="0.3">
      <c r="A78" s="141"/>
      <c r="B78" s="142"/>
    </row>
    <row r="79" spans="1:2" x14ac:dyDescent="0.3">
      <c r="A79" s="141"/>
      <c r="B79" s="142"/>
    </row>
    <row r="80" spans="1:2" x14ac:dyDescent="0.3">
      <c r="A80" s="141"/>
      <c r="B80" s="142"/>
    </row>
    <row r="81" spans="1:2" x14ac:dyDescent="0.3">
      <c r="A81" s="141"/>
      <c r="B81" s="142"/>
    </row>
    <row r="82" spans="1:2" x14ac:dyDescent="0.3">
      <c r="A82" s="141"/>
      <c r="B82" s="142"/>
    </row>
    <row r="83" spans="1:2" x14ac:dyDescent="0.3">
      <c r="A83" s="141"/>
      <c r="B83" s="142"/>
    </row>
    <row r="84" spans="1:2" x14ac:dyDescent="0.3">
      <c r="A84" s="141"/>
      <c r="B84" s="142"/>
    </row>
    <row r="85" spans="1:2" x14ac:dyDescent="0.3">
      <c r="A85" s="141"/>
      <c r="B85" s="142"/>
    </row>
    <row r="86" spans="1:2" x14ac:dyDescent="0.3">
      <c r="A86" s="141"/>
      <c r="B86" s="142"/>
    </row>
    <row r="87" spans="1:2" x14ac:dyDescent="0.3">
      <c r="A87" s="141"/>
      <c r="B87" s="142"/>
    </row>
    <row r="88" spans="1:2" x14ac:dyDescent="0.3">
      <c r="A88" s="141"/>
      <c r="B88" s="142"/>
    </row>
    <row r="89" spans="1:2" x14ac:dyDescent="0.3">
      <c r="A89" s="141"/>
      <c r="B89" s="142"/>
    </row>
    <row r="90" spans="1:2" x14ac:dyDescent="0.3">
      <c r="A90" s="141"/>
      <c r="B90" s="142"/>
    </row>
    <row r="91" spans="1:2" x14ac:dyDescent="0.3">
      <c r="A91" s="141"/>
      <c r="B91" s="142"/>
    </row>
    <row r="92" spans="1:2" x14ac:dyDescent="0.3">
      <c r="A92" s="141"/>
      <c r="B92" s="142"/>
    </row>
    <row r="93" spans="1:2" x14ac:dyDescent="0.3">
      <c r="A93" s="141"/>
      <c r="B93" s="142"/>
    </row>
    <row r="94" spans="1:2" x14ac:dyDescent="0.3">
      <c r="A94" s="141"/>
      <c r="B94" s="142"/>
    </row>
    <row r="95" spans="1:2" x14ac:dyDescent="0.3">
      <c r="A95" s="141"/>
      <c r="B95" s="142"/>
    </row>
    <row r="96" spans="1:2" x14ac:dyDescent="0.3">
      <c r="A96" s="141"/>
      <c r="B96" s="142"/>
    </row>
    <row r="97" spans="1:2" x14ac:dyDescent="0.3">
      <c r="A97" s="141"/>
      <c r="B97" s="142"/>
    </row>
    <row r="98" spans="1:2" x14ac:dyDescent="0.3">
      <c r="A98" s="141"/>
      <c r="B98" s="142"/>
    </row>
    <row r="99" spans="1:2" x14ac:dyDescent="0.3">
      <c r="A99" s="141"/>
      <c r="B99" s="142"/>
    </row>
    <row r="100" spans="1:2" x14ac:dyDescent="0.3">
      <c r="A100" s="141"/>
      <c r="B100" s="142"/>
    </row>
    <row r="101" spans="1:2" x14ac:dyDescent="0.3">
      <c r="A101" s="141"/>
      <c r="B101" s="142"/>
    </row>
    <row r="102" spans="1:2" x14ac:dyDescent="0.3">
      <c r="A102" s="141"/>
      <c r="B102" s="142"/>
    </row>
    <row r="103" spans="1:2" x14ac:dyDescent="0.3">
      <c r="A103" s="141"/>
      <c r="B103" s="142"/>
    </row>
    <row r="104" spans="1:2" x14ac:dyDescent="0.3">
      <c r="A104" s="141"/>
      <c r="B104" s="142"/>
    </row>
    <row r="105" spans="1:2" x14ac:dyDescent="0.3">
      <c r="A105" s="141"/>
      <c r="B105" s="142"/>
    </row>
    <row r="106" spans="1:2" x14ac:dyDescent="0.3">
      <c r="A106" s="141"/>
      <c r="B106" s="142"/>
    </row>
    <row r="107" spans="1:2" x14ac:dyDescent="0.3">
      <c r="A107" s="141"/>
      <c r="B107" s="142"/>
    </row>
    <row r="108" spans="1:2" x14ac:dyDescent="0.3">
      <c r="A108" s="141"/>
      <c r="B108" s="142"/>
    </row>
    <row r="109" spans="1:2" x14ac:dyDescent="0.3">
      <c r="A109" s="141"/>
      <c r="B109" s="142"/>
    </row>
    <row r="110" spans="1:2" x14ac:dyDescent="0.3">
      <c r="A110" s="141"/>
      <c r="B110" s="142"/>
    </row>
    <row r="111" spans="1:2" x14ac:dyDescent="0.3">
      <c r="A111" s="141"/>
      <c r="B111" s="142"/>
    </row>
    <row r="112" spans="1:2" x14ac:dyDescent="0.3">
      <c r="A112" s="141"/>
      <c r="B112" s="142"/>
    </row>
    <row r="113" spans="1:2" x14ac:dyDescent="0.3">
      <c r="A113" s="141"/>
      <c r="B113" s="142"/>
    </row>
    <row r="114" spans="1:2" x14ac:dyDescent="0.3">
      <c r="A114" s="141"/>
      <c r="B114" s="142"/>
    </row>
    <row r="115" spans="1:2" x14ac:dyDescent="0.3">
      <c r="A115" s="141"/>
      <c r="B115" s="142"/>
    </row>
    <row r="116" spans="1:2" x14ac:dyDescent="0.3">
      <c r="A116" s="141"/>
      <c r="B116" s="142"/>
    </row>
    <row r="117" spans="1:2" x14ac:dyDescent="0.3">
      <c r="A117" s="141"/>
      <c r="B117" s="142"/>
    </row>
    <row r="118" spans="1:2" x14ac:dyDescent="0.3">
      <c r="A118" s="141"/>
      <c r="B118" s="142"/>
    </row>
    <row r="119" spans="1:2" x14ac:dyDescent="0.3">
      <c r="A119" s="141"/>
      <c r="B119" s="142"/>
    </row>
    <row r="120" spans="1:2" x14ac:dyDescent="0.3">
      <c r="A120" s="141"/>
      <c r="B120" s="142"/>
    </row>
    <row r="121" spans="1:2" x14ac:dyDescent="0.3">
      <c r="A121" s="141"/>
      <c r="B121" s="142"/>
    </row>
    <row r="122" spans="1:2" x14ac:dyDescent="0.3">
      <c r="A122" s="141"/>
      <c r="B122" s="142"/>
    </row>
    <row r="123" spans="1:2" x14ac:dyDescent="0.3">
      <c r="A123" s="141"/>
      <c r="B123" s="142"/>
    </row>
    <row r="124" spans="1:2" x14ac:dyDescent="0.3">
      <c r="A124" s="141"/>
      <c r="B124" s="142"/>
    </row>
    <row r="125" spans="1:2" x14ac:dyDescent="0.3">
      <c r="A125" s="141"/>
      <c r="B125" s="142"/>
    </row>
    <row r="126" spans="1:2" x14ac:dyDescent="0.3">
      <c r="A126" s="141"/>
      <c r="B126" s="142"/>
    </row>
    <row r="127" spans="1:2" x14ac:dyDescent="0.3">
      <c r="A127" s="141"/>
      <c r="B127" s="142"/>
    </row>
    <row r="128" spans="1:2" x14ac:dyDescent="0.3">
      <c r="A128" s="141"/>
      <c r="B128" s="142"/>
    </row>
    <row r="129" spans="1:2" x14ac:dyDescent="0.3">
      <c r="A129" s="141"/>
      <c r="B129" s="142"/>
    </row>
    <row r="130" spans="1:2" x14ac:dyDescent="0.3">
      <c r="A130" s="141"/>
      <c r="B130" s="142"/>
    </row>
    <row r="131" spans="1:2" x14ac:dyDescent="0.3">
      <c r="A131" s="141"/>
      <c r="B131" s="142"/>
    </row>
    <row r="132" spans="1:2" x14ac:dyDescent="0.3">
      <c r="A132" s="141"/>
      <c r="B132" s="142"/>
    </row>
    <row r="133" spans="1:2" x14ac:dyDescent="0.3">
      <c r="A133" s="141"/>
      <c r="B133" s="142"/>
    </row>
    <row r="134" spans="1:2" x14ac:dyDescent="0.3">
      <c r="A134" s="141"/>
      <c r="B134" s="142"/>
    </row>
    <row r="135" spans="1:2" x14ac:dyDescent="0.3">
      <c r="A135" s="141"/>
      <c r="B135" s="142"/>
    </row>
    <row r="136" spans="1:2" x14ac:dyDescent="0.3">
      <c r="A136" s="141"/>
      <c r="B136" s="142"/>
    </row>
    <row r="137" spans="1:2" x14ac:dyDescent="0.3">
      <c r="A137" s="141"/>
      <c r="B137" s="142"/>
    </row>
    <row r="138" spans="1:2" x14ac:dyDescent="0.3">
      <c r="A138" s="141"/>
      <c r="B138" s="142"/>
    </row>
    <row r="139" spans="1:2" x14ac:dyDescent="0.3">
      <c r="A139" s="141"/>
      <c r="B139" s="142"/>
    </row>
    <row r="140" spans="1:2" x14ac:dyDescent="0.3">
      <c r="A140" s="141"/>
      <c r="B140" s="142"/>
    </row>
    <row r="141" spans="1:2" x14ac:dyDescent="0.3">
      <c r="A141" s="141"/>
      <c r="B141" s="142"/>
    </row>
    <row r="142" spans="1:2" x14ac:dyDescent="0.3">
      <c r="A142" s="141"/>
      <c r="B142" s="142"/>
    </row>
    <row r="143" spans="1:2" x14ac:dyDescent="0.3">
      <c r="A143" s="141"/>
      <c r="B143" s="142"/>
    </row>
    <row r="144" spans="1:2" x14ac:dyDescent="0.3">
      <c r="A144" s="141"/>
      <c r="B144" s="142"/>
    </row>
    <row r="145" spans="1:2" x14ac:dyDescent="0.3">
      <c r="A145" s="141"/>
      <c r="B145" s="142"/>
    </row>
    <row r="146" spans="1:2" x14ac:dyDescent="0.3">
      <c r="A146" s="141"/>
      <c r="B146" s="142"/>
    </row>
    <row r="147" spans="1:2" x14ac:dyDescent="0.3">
      <c r="A147" s="141"/>
      <c r="B147" s="142"/>
    </row>
    <row r="148" spans="1:2" x14ac:dyDescent="0.3">
      <c r="A148" s="141"/>
      <c r="B148" s="142"/>
    </row>
    <row r="149" spans="1:2" x14ac:dyDescent="0.3">
      <c r="A149" s="141"/>
      <c r="B149" s="142"/>
    </row>
    <row r="150" spans="1:2" x14ac:dyDescent="0.3">
      <c r="A150" s="141"/>
      <c r="B150" s="142"/>
    </row>
    <row r="151" spans="1:2" x14ac:dyDescent="0.3">
      <c r="A151" s="141"/>
      <c r="B151" s="142"/>
    </row>
    <row r="152" spans="1:2" x14ac:dyDescent="0.3">
      <c r="A152" s="141"/>
      <c r="B152" s="142"/>
    </row>
    <row r="153" spans="1:2" x14ac:dyDescent="0.3">
      <c r="A153" s="141"/>
      <c r="B153" s="142"/>
    </row>
    <row r="154" spans="1:2" x14ac:dyDescent="0.3">
      <c r="A154" s="141"/>
      <c r="B154" s="142"/>
    </row>
    <row r="155" spans="1:2" x14ac:dyDescent="0.3">
      <c r="A155" s="141"/>
      <c r="B155" s="142"/>
    </row>
    <row r="156" spans="1:2" x14ac:dyDescent="0.3">
      <c r="A156" s="141"/>
      <c r="B156" s="142"/>
    </row>
    <row r="157" spans="1:2" x14ac:dyDescent="0.3">
      <c r="A157" s="141"/>
      <c r="B157" s="142"/>
    </row>
    <row r="158" spans="1:2" x14ac:dyDescent="0.3">
      <c r="A158" s="141"/>
      <c r="B158" s="142"/>
    </row>
    <row r="159" spans="1:2" x14ac:dyDescent="0.3">
      <c r="A159" s="141"/>
      <c r="B159" s="142"/>
    </row>
    <row r="160" spans="1:2" x14ac:dyDescent="0.3">
      <c r="A160" s="141"/>
      <c r="B160" s="142"/>
    </row>
    <row r="161" spans="1:2" x14ac:dyDescent="0.3">
      <c r="A161" s="141"/>
      <c r="B161" s="142"/>
    </row>
    <row r="162" spans="1:2" x14ac:dyDescent="0.3">
      <c r="A162" s="141"/>
      <c r="B162" s="142"/>
    </row>
    <row r="163" spans="1:2" x14ac:dyDescent="0.3">
      <c r="A163" s="141"/>
      <c r="B163" s="142"/>
    </row>
    <row r="164" spans="1:2" x14ac:dyDescent="0.3">
      <c r="A164" s="141"/>
      <c r="B164" s="142"/>
    </row>
    <row r="165" spans="1:2" x14ac:dyDescent="0.3">
      <c r="A165" s="141"/>
      <c r="B165" s="142"/>
    </row>
    <row r="166" spans="1:2" x14ac:dyDescent="0.3">
      <c r="A166" s="141"/>
      <c r="B166" s="142"/>
    </row>
    <row r="167" spans="1:2" x14ac:dyDescent="0.3">
      <c r="A167" s="141"/>
      <c r="B167" s="142"/>
    </row>
    <row r="168" spans="1:2" x14ac:dyDescent="0.3">
      <c r="A168" s="141"/>
      <c r="B168" s="142"/>
    </row>
    <row r="169" spans="1:2" x14ac:dyDescent="0.3">
      <c r="A169" s="141"/>
      <c r="B169" s="142"/>
    </row>
    <row r="170" spans="1:2" x14ac:dyDescent="0.3">
      <c r="A170" s="141"/>
      <c r="B170" s="142"/>
    </row>
    <row r="171" spans="1:2" x14ac:dyDescent="0.3">
      <c r="A171" s="141"/>
      <c r="B171" s="142"/>
    </row>
    <row r="172" spans="1:2" x14ac:dyDescent="0.3">
      <c r="A172" s="141"/>
      <c r="B172" s="142"/>
    </row>
    <row r="173" spans="1:2" x14ac:dyDescent="0.3">
      <c r="A173" s="141"/>
      <c r="B173" s="142"/>
    </row>
    <row r="174" spans="1:2" x14ac:dyDescent="0.3">
      <c r="A174" s="141"/>
      <c r="B174" s="142"/>
    </row>
    <row r="175" spans="1:2" x14ac:dyDescent="0.3">
      <c r="A175" s="141"/>
      <c r="B175" s="142"/>
    </row>
    <row r="176" spans="1:2" x14ac:dyDescent="0.3">
      <c r="A176" s="141"/>
      <c r="B176" s="142"/>
    </row>
    <row r="177" spans="1:2" x14ac:dyDescent="0.3">
      <c r="A177" s="141"/>
      <c r="B177" s="142"/>
    </row>
    <row r="178" spans="1:2" x14ac:dyDescent="0.3">
      <c r="A178" s="141"/>
      <c r="B178" s="142"/>
    </row>
    <row r="179" spans="1:2" x14ac:dyDescent="0.3">
      <c r="A179" s="141"/>
      <c r="B179" s="142"/>
    </row>
    <row r="180" spans="1:2" x14ac:dyDescent="0.3">
      <c r="A180" s="141"/>
      <c r="B180" s="142"/>
    </row>
    <row r="181" spans="1:2" x14ac:dyDescent="0.3">
      <c r="A181" s="141"/>
      <c r="B181" s="142"/>
    </row>
    <row r="182" spans="1:2" x14ac:dyDescent="0.3">
      <c r="A182" s="141"/>
      <c r="B182" s="142"/>
    </row>
    <row r="183" spans="1:2" x14ac:dyDescent="0.3">
      <c r="A183" s="141"/>
      <c r="B183" s="142"/>
    </row>
    <row r="184" spans="1:2" x14ac:dyDescent="0.3">
      <c r="A184" s="141"/>
      <c r="B184" s="142"/>
    </row>
    <row r="185" spans="1:2" x14ac:dyDescent="0.3">
      <c r="A185" s="141"/>
      <c r="B185" s="142"/>
    </row>
    <row r="186" spans="1:2" x14ac:dyDescent="0.3">
      <c r="A186" s="141"/>
      <c r="B186" s="142"/>
    </row>
    <row r="187" spans="1:2" x14ac:dyDescent="0.3">
      <c r="A187" s="141"/>
      <c r="B187" s="142"/>
    </row>
    <row r="188" spans="1:2" x14ac:dyDescent="0.3">
      <c r="A188" s="141"/>
      <c r="B188" s="142"/>
    </row>
    <row r="189" spans="1:2" x14ac:dyDescent="0.3">
      <c r="A189" s="141"/>
      <c r="B189" s="142"/>
    </row>
    <row r="190" spans="1:2" x14ac:dyDescent="0.3">
      <c r="A190" s="141"/>
      <c r="B190" s="142"/>
    </row>
    <row r="191" spans="1:2" x14ac:dyDescent="0.3">
      <c r="A191" s="141"/>
      <c r="B191" s="142"/>
    </row>
    <row r="192" spans="1:2" x14ac:dyDescent="0.3">
      <c r="A192" s="141"/>
      <c r="B192" s="142"/>
    </row>
    <row r="193" spans="1:2" x14ac:dyDescent="0.3">
      <c r="A193" s="141"/>
      <c r="B193" s="142"/>
    </row>
    <row r="194" spans="1:2" x14ac:dyDescent="0.3">
      <c r="A194" s="141"/>
      <c r="B194" s="142"/>
    </row>
    <row r="195" spans="1:2" x14ac:dyDescent="0.3">
      <c r="A195" s="141"/>
      <c r="B195" s="142"/>
    </row>
    <row r="196" spans="1:2" x14ac:dyDescent="0.3">
      <c r="A196" s="141"/>
      <c r="B196" s="142"/>
    </row>
    <row r="197" spans="1:2" x14ac:dyDescent="0.3">
      <c r="A197" s="141"/>
      <c r="B197" s="142"/>
    </row>
    <row r="198" spans="1:2" x14ac:dyDescent="0.3">
      <c r="A198" s="141"/>
      <c r="B198" s="142"/>
    </row>
    <row r="199" spans="1:2" x14ac:dyDescent="0.3">
      <c r="A199" s="141"/>
      <c r="B199" s="142"/>
    </row>
    <row r="200" spans="1:2" x14ac:dyDescent="0.3">
      <c r="A200" s="141"/>
      <c r="B200" s="142"/>
    </row>
    <row r="201" spans="1:2" x14ac:dyDescent="0.3">
      <c r="A201" s="141"/>
      <c r="B201" s="142"/>
    </row>
    <row r="202" spans="1:2" x14ac:dyDescent="0.3">
      <c r="A202" s="141"/>
      <c r="B202" s="142"/>
    </row>
    <row r="203" spans="1:2" x14ac:dyDescent="0.3">
      <c r="A203" s="141"/>
      <c r="B203" s="142"/>
    </row>
    <row r="204" spans="1:2" x14ac:dyDescent="0.3">
      <c r="A204" s="141"/>
      <c r="B204" s="142"/>
    </row>
    <row r="205" spans="1:2" x14ac:dyDescent="0.3">
      <c r="A205" s="141"/>
      <c r="B205" s="142"/>
    </row>
    <row r="206" spans="1:2" x14ac:dyDescent="0.3">
      <c r="A206" s="141"/>
      <c r="B206" s="142"/>
    </row>
    <row r="207" spans="1:2" x14ac:dyDescent="0.3">
      <c r="A207" s="141"/>
      <c r="B207" s="142"/>
    </row>
    <row r="208" spans="1:2" x14ac:dyDescent="0.3">
      <c r="A208" s="141"/>
      <c r="B208" s="142"/>
    </row>
    <row r="209" spans="1:2" x14ac:dyDescent="0.3">
      <c r="A209" s="141"/>
      <c r="B209" s="142"/>
    </row>
    <row r="210" spans="1:2" x14ac:dyDescent="0.3">
      <c r="A210" s="141"/>
      <c r="B210" s="142"/>
    </row>
    <row r="211" spans="1:2" x14ac:dyDescent="0.3">
      <c r="A211" s="141"/>
      <c r="B211" s="142"/>
    </row>
    <row r="212" spans="1:2" x14ac:dyDescent="0.3">
      <c r="A212" s="141"/>
      <c r="B212" s="142"/>
    </row>
    <row r="213" spans="1:2" x14ac:dyDescent="0.3">
      <c r="A213" s="141"/>
      <c r="B213" s="142"/>
    </row>
    <row r="214" spans="1:2" x14ac:dyDescent="0.3">
      <c r="A214" s="141"/>
      <c r="B214" s="142"/>
    </row>
    <row r="215" spans="1:2" x14ac:dyDescent="0.3">
      <c r="A215" s="141"/>
      <c r="B215" s="142"/>
    </row>
    <row r="216" spans="1:2" x14ac:dyDescent="0.3">
      <c r="A216" s="141"/>
      <c r="B216" s="142"/>
    </row>
    <row r="217" spans="1:2" x14ac:dyDescent="0.3">
      <c r="A217" s="141"/>
      <c r="B217" s="142"/>
    </row>
    <row r="218" spans="1:2" x14ac:dyDescent="0.3">
      <c r="A218" s="141"/>
      <c r="B218" s="142"/>
    </row>
    <row r="219" spans="1:2" x14ac:dyDescent="0.3">
      <c r="A219" s="141"/>
      <c r="B219" s="142"/>
    </row>
    <row r="220" spans="1:2" x14ac:dyDescent="0.3">
      <c r="A220" s="141"/>
      <c r="B220" s="142"/>
    </row>
    <row r="221" spans="1:2" x14ac:dyDescent="0.3">
      <c r="A221" s="141"/>
      <c r="B221" s="142"/>
    </row>
    <row r="222" spans="1:2" x14ac:dyDescent="0.3">
      <c r="A222" s="141"/>
      <c r="B222" s="142"/>
    </row>
    <row r="223" spans="1:2" x14ac:dyDescent="0.3">
      <c r="A223" s="141"/>
      <c r="B223" s="142"/>
    </row>
    <row r="224" spans="1:2" x14ac:dyDescent="0.3">
      <c r="A224" s="141"/>
      <c r="B224" s="142"/>
    </row>
    <row r="225" spans="1:2" x14ac:dyDescent="0.3">
      <c r="A225" s="141"/>
      <c r="B225" s="142"/>
    </row>
    <row r="226" spans="1:2" x14ac:dyDescent="0.3">
      <c r="A226" s="141"/>
      <c r="B226" s="142"/>
    </row>
    <row r="227" spans="1:2" x14ac:dyDescent="0.3">
      <c r="A227" s="141"/>
      <c r="B227" s="142"/>
    </row>
    <row r="228" spans="1:2" x14ac:dyDescent="0.3">
      <c r="A228" s="141"/>
      <c r="B228" s="142"/>
    </row>
    <row r="229" spans="1:2" x14ac:dyDescent="0.3">
      <c r="A229" s="141"/>
      <c r="B229" s="142"/>
    </row>
    <row r="230" spans="1:2" x14ac:dyDescent="0.3">
      <c r="A230" s="141"/>
      <c r="B230" s="142"/>
    </row>
    <row r="231" spans="1:2" x14ac:dyDescent="0.3">
      <c r="A231" s="141"/>
      <c r="B231" s="142"/>
    </row>
    <row r="232" spans="1:2" x14ac:dyDescent="0.3">
      <c r="A232" s="141"/>
      <c r="B232" s="142"/>
    </row>
    <row r="233" spans="1:2" x14ac:dyDescent="0.3">
      <c r="A233" s="141"/>
      <c r="B233" s="142"/>
    </row>
    <row r="234" spans="1:2" x14ac:dyDescent="0.3">
      <c r="A234" s="141"/>
      <c r="B234" s="142"/>
    </row>
    <row r="235" spans="1:2" x14ac:dyDescent="0.3">
      <c r="A235" s="141"/>
      <c r="B235" s="142"/>
    </row>
    <row r="236" spans="1:2" x14ac:dyDescent="0.3">
      <c r="A236" s="141"/>
      <c r="B236" s="142"/>
    </row>
    <row r="237" spans="1:2" x14ac:dyDescent="0.3">
      <c r="A237" s="141"/>
      <c r="B237" s="142"/>
    </row>
    <row r="238" spans="1:2" x14ac:dyDescent="0.3">
      <c r="A238" s="141"/>
      <c r="B238" s="142"/>
    </row>
    <row r="239" spans="1:2" x14ac:dyDescent="0.3">
      <c r="A239" s="141"/>
      <c r="B239" s="142"/>
    </row>
    <row r="240" spans="1:2" x14ac:dyDescent="0.3">
      <c r="A240" s="141"/>
      <c r="B240" s="142"/>
    </row>
    <row r="241" spans="1:2" x14ac:dyDescent="0.3">
      <c r="A241" s="141"/>
      <c r="B241" s="142"/>
    </row>
    <row r="242" spans="1:2" x14ac:dyDescent="0.3">
      <c r="A242" s="141"/>
      <c r="B242" s="142"/>
    </row>
    <row r="243" spans="1:2" x14ac:dyDescent="0.3">
      <c r="A243" s="141"/>
      <c r="B243" s="142"/>
    </row>
    <row r="244" spans="1:2" x14ac:dyDescent="0.3">
      <c r="A244" s="141"/>
      <c r="B244" s="142"/>
    </row>
    <row r="245" spans="1:2" x14ac:dyDescent="0.3">
      <c r="A245" s="141"/>
      <c r="B245" s="142"/>
    </row>
    <row r="246" spans="1:2" x14ac:dyDescent="0.3">
      <c r="A246" s="141"/>
      <c r="B246" s="142"/>
    </row>
    <row r="247" spans="1:2" x14ac:dyDescent="0.3">
      <c r="A247" s="141"/>
      <c r="B247" s="142"/>
    </row>
    <row r="248" spans="1:2" x14ac:dyDescent="0.3">
      <c r="A248" s="141"/>
      <c r="B248" s="142"/>
    </row>
    <row r="249" spans="1:2" x14ac:dyDescent="0.3">
      <c r="A249" s="141"/>
      <c r="B249" s="142"/>
    </row>
    <row r="250" spans="1:2" x14ac:dyDescent="0.3">
      <c r="A250" s="141"/>
      <c r="B250" s="142"/>
    </row>
    <row r="251" spans="1:2" x14ac:dyDescent="0.3">
      <c r="A251" s="141"/>
      <c r="B251" s="142"/>
    </row>
    <row r="252" spans="1:2" x14ac:dyDescent="0.3">
      <c r="A252" s="141"/>
      <c r="B252" s="142"/>
    </row>
    <row r="253" spans="1:2" x14ac:dyDescent="0.3">
      <c r="A253" s="141"/>
      <c r="B253" s="142"/>
    </row>
    <row r="254" spans="1:2" x14ac:dyDescent="0.3">
      <c r="A254" s="141"/>
      <c r="B254" s="142"/>
    </row>
    <row r="255" spans="1:2" x14ac:dyDescent="0.3">
      <c r="A255" s="141"/>
      <c r="B255" s="142"/>
    </row>
    <row r="256" spans="1:2" x14ac:dyDescent="0.3">
      <c r="A256" s="141"/>
      <c r="B256" s="142"/>
    </row>
    <row r="257" spans="1:2" x14ac:dyDescent="0.3">
      <c r="A257" s="141"/>
      <c r="B257" s="142"/>
    </row>
    <row r="258" spans="1:2" x14ac:dyDescent="0.3">
      <c r="A258" s="141"/>
      <c r="B258" s="142"/>
    </row>
    <row r="259" spans="1:2" x14ac:dyDescent="0.3">
      <c r="A259" s="141"/>
      <c r="B259" s="142"/>
    </row>
    <row r="260" spans="1:2" x14ac:dyDescent="0.3">
      <c r="A260" s="141"/>
      <c r="B260" s="142"/>
    </row>
    <row r="261" spans="1:2" x14ac:dyDescent="0.3">
      <c r="A261" s="141"/>
      <c r="B261" s="142"/>
    </row>
    <row r="262" spans="1:2" x14ac:dyDescent="0.3">
      <c r="A262" s="141"/>
      <c r="B262" s="142"/>
    </row>
    <row r="263" spans="1:2" x14ac:dyDescent="0.3">
      <c r="A263" s="141"/>
      <c r="B263" s="142"/>
    </row>
    <row r="264" spans="1:2" x14ac:dyDescent="0.3">
      <c r="A264" s="141"/>
      <c r="B264" s="142"/>
    </row>
    <row r="265" spans="1:2" x14ac:dyDescent="0.3">
      <c r="B265" s="14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RefreshBtn1">
          <controlPr defaultSize="0" autoLine="0" autoPict="0" r:id="rId5">
            <anchor mov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647700</xdr:colOff>
                <xdr:row>1</xdr:row>
                <xdr:rowOff>9525</xdr:rowOff>
              </to>
            </anchor>
          </controlPr>
        </control>
      </mc:Choice>
      <mc:Fallback>
        <control shapeId="26625" r:id="rId4" name="RefreshBt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265"/>
  <sheetViews>
    <sheetView showGridLines="0" workbookViewId="0">
      <pane xSplit="1" ySplit="14" topLeftCell="B15" activePane="bottomRight" state="frozen"/>
      <selection pane="topRight" activeCell="B1" sqref="B1"/>
      <selection pane="bottomLeft" activeCell="A15" sqref="A15"/>
      <selection pane="bottomRight"/>
    </sheetView>
  </sheetViews>
  <sheetFormatPr defaultColWidth="9" defaultRowHeight="12" x14ac:dyDescent="0.3"/>
  <cols>
    <col min="1" max="3" width="14.625" style="95" customWidth="1"/>
    <col min="4" max="16384" width="9" style="95"/>
  </cols>
  <sheetData>
    <row r="1" spans="1:4" ht="15" customHeight="1" x14ac:dyDescent="0.3">
      <c r="A1" s="93" t="s">
        <v>29</v>
      </c>
      <c r="B1" s="94" t="s">
        <v>7857</v>
      </c>
    </row>
    <row r="2" spans="1:4" x14ac:dyDescent="0.3">
      <c r="A2" s="93">
        <v>0</v>
      </c>
    </row>
    <row r="3" spans="1:4" x14ac:dyDescent="0.3">
      <c r="A3" s="3" t="s">
        <v>24</v>
      </c>
    </row>
    <row r="4" spans="1:4" x14ac:dyDescent="0.3">
      <c r="A4" s="96" t="s">
        <v>7843</v>
      </c>
      <c r="B4" s="96" t="s">
        <v>22</v>
      </c>
      <c r="C4" s="96" t="s">
        <v>3045</v>
      </c>
      <c r="D4" s="93">
        <v>0</v>
      </c>
    </row>
    <row r="5" spans="1:4" x14ac:dyDescent="0.3">
      <c r="A5" s="97" t="s">
        <v>7844</v>
      </c>
      <c r="B5" s="132" t="str">
        <f ca="1">최종!AQ3</f>
        <v>20130802</v>
      </c>
      <c r="C5" s="97" t="s">
        <v>2</v>
      </c>
      <c r="D5" s="93">
        <v>0</v>
      </c>
    </row>
    <row r="6" spans="1:4" x14ac:dyDescent="0.3">
      <c r="A6" s="99" t="s">
        <v>7845</v>
      </c>
      <c r="B6" s="133" t="str">
        <f ca="1">최종!AS3</f>
        <v>20130906</v>
      </c>
      <c r="C6" s="99"/>
      <c r="D6" s="93">
        <v>0</v>
      </c>
    </row>
    <row r="8" spans="1:4" x14ac:dyDescent="0.3">
      <c r="A8" s="134" t="s">
        <v>3729</v>
      </c>
      <c r="B8" s="144" t="str">
        <f>최종!B2</f>
        <v>A097950</v>
      </c>
      <c r="C8" s="147" t="s">
        <v>7894</v>
      </c>
    </row>
    <row r="9" spans="1:4" x14ac:dyDescent="0.3">
      <c r="A9" s="136" t="s">
        <v>7847</v>
      </c>
      <c r="B9" s="137" t="s">
        <v>7890</v>
      </c>
      <c r="C9" s="105" t="s">
        <v>7858</v>
      </c>
    </row>
    <row r="10" spans="1:4" x14ac:dyDescent="0.3">
      <c r="A10" s="138" t="s">
        <v>7848</v>
      </c>
      <c r="B10" s="95" t="s">
        <v>25</v>
      </c>
      <c r="C10" s="95" t="s">
        <v>3121</v>
      </c>
    </row>
    <row r="11" spans="1:4" x14ac:dyDescent="0.3">
      <c r="A11" s="138" t="s">
        <v>7849</v>
      </c>
      <c r="B11" s="95" t="s">
        <v>26</v>
      </c>
      <c r="C11" s="95" t="s">
        <v>26</v>
      </c>
    </row>
    <row r="12" spans="1:4" x14ac:dyDescent="0.3">
      <c r="A12" s="138" t="s">
        <v>7850</v>
      </c>
    </row>
    <row r="13" spans="1:4" x14ac:dyDescent="0.3">
      <c r="A13" s="138"/>
      <c r="B13" s="140"/>
      <c r="C13" s="102"/>
    </row>
    <row r="14" spans="1:4" x14ac:dyDescent="0.3">
      <c r="A14" s="104" t="s">
        <v>7891</v>
      </c>
      <c r="B14" s="137" t="s">
        <v>7852</v>
      </c>
      <c r="C14" s="105" t="s">
        <v>7859</v>
      </c>
    </row>
    <row r="15" spans="1:4" x14ac:dyDescent="0.3">
      <c r="A15" s="141">
        <v>41485</v>
      </c>
      <c r="B15" s="142">
        <v>13050</v>
      </c>
      <c r="C15" s="142">
        <v>1917.05</v>
      </c>
    </row>
    <row r="16" spans="1:4" x14ac:dyDescent="0.3">
      <c r="A16" s="141"/>
      <c r="B16" s="142"/>
      <c r="C16" s="142"/>
    </row>
    <row r="17" spans="1:3" x14ac:dyDescent="0.3">
      <c r="A17" s="141"/>
      <c r="B17" s="142"/>
      <c r="C17" s="142"/>
    </row>
    <row r="18" spans="1:3" x14ac:dyDescent="0.3">
      <c r="A18" s="141"/>
      <c r="B18" s="142"/>
      <c r="C18" s="142"/>
    </row>
    <row r="19" spans="1:3" x14ac:dyDescent="0.3">
      <c r="A19" s="141"/>
      <c r="B19" s="142"/>
      <c r="C19" s="142"/>
    </row>
    <row r="20" spans="1:3" x14ac:dyDescent="0.3">
      <c r="A20" s="141"/>
      <c r="B20" s="142"/>
      <c r="C20" s="142"/>
    </row>
    <row r="21" spans="1:3" x14ac:dyDescent="0.3">
      <c r="A21" s="141"/>
      <c r="B21" s="142"/>
      <c r="C21" s="142"/>
    </row>
    <row r="22" spans="1:3" x14ac:dyDescent="0.3">
      <c r="A22" s="141"/>
      <c r="B22" s="142"/>
      <c r="C22" s="142"/>
    </row>
    <row r="23" spans="1:3" x14ac:dyDescent="0.3">
      <c r="A23" s="141"/>
      <c r="B23" s="142"/>
      <c r="C23" s="142"/>
    </row>
    <row r="24" spans="1:3" x14ac:dyDescent="0.3">
      <c r="A24" s="141"/>
      <c r="B24" s="142"/>
      <c r="C24" s="142"/>
    </row>
    <row r="25" spans="1:3" x14ac:dyDescent="0.3">
      <c r="A25" s="141"/>
      <c r="B25" s="142"/>
      <c r="C25" s="142"/>
    </row>
    <row r="26" spans="1:3" x14ac:dyDescent="0.3">
      <c r="A26" s="141"/>
      <c r="B26" s="142"/>
      <c r="C26" s="142"/>
    </row>
    <row r="27" spans="1:3" x14ac:dyDescent="0.3">
      <c r="A27" s="141"/>
      <c r="B27" s="142"/>
      <c r="C27" s="142"/>
    </row>
    <row r="28" spans="1:3" x14ac:dyDescent="0.3">
      <c r="A28" s="141"/>
      <c r="B28" s="142"/>
      <c r="C28" s="142"/>
    </row>
    <row r="29" spans="1:3" x14ac:dyDescent="0.3">
      <c r="A29" s="141"/>
      <c r="B29" s="142"/>
      <c r="C29" s="142"/>
    </row>
    <row r="30" spans="1:3" x14ac:dyDescent="0.3">
      <c r="A30" s="141"/>
      <c r="B30" s="142"/>
      <c r="C30" s="142"/>
    </row>
    <row r="31" spans="1:3" x14ac:dyDescent="0.3">
      <c r="A31" s="141"/>
      <c r="B31" s="142"/>
      <c r="C31" s="142"/>
    </row>
    <row r="32" spans="1:3" x14ac:dyDescent="0.3">
      <c r="A32" s="141"/>
      <c r="B32" s="142"/>
      <c r="C32" s="142"/>
    </row>
    <row r="33" spans="1:3" x14ac:dyDescent="0.3">
      <c r="A33" s="141"/>
      <c r="B33" s="142"/>
      <c r="C33" s="142"/>
    </row>
    <row r="34" spans="1:3" x14ac:dyDescent="0.3">
      <c r="A34" s="141"/>
      <c r="B34" s="142"/>
      <c r="C34" s="142"/>
    </row>
    <row r="35" spans="1:3" x14ac:dyDescent="0.3">
      <c r="A35" s="141"/>
      <c r="B35" s="142"/>
      <c r="C35" s="142"/>
    </row>
    <row r="36" spans="1:3" x14ac:dyDescent="0.3">
      <c r="A36" s="141"/>
      <c r="B36" s="142"/>
      <c r="C36" s="142"/>
    </row>
    <row r="37" spans="1:3" x14ac:dyDescent="0.3">
      <c r="A37" s="141"/>
      <c r="B37" s="142"/>
      <c r="C37" s="142"/>
    </row>
    <row r="38" spans="1:3" x14ac:dyDescent="0.3">
      <c r="A38" s="141"/>
      <c r="B38" s="142"/>
      <c r="C38" s="142"/>
    </row>
    <row r="39" spans="1:3" x14ac:dyDescent="0.3">
      <c r="A39" s="141"/>
      <c r="B39" s="142"/>
      <c r="C39" s="142"/>
    </row>
    <row r="40" spans="1:3" x14ac:dyDescent="0.3">
      <c r="A40" s="141"/>
      <c r="B40" s="142"/>
      <c r="C40" s="142"/>
    </row>
    <row r="41" spans="1:3" x14ac:dyDescent="0.3">
      <c r="A41" s="141"/>
      <c r="B41" s="142"/>
      <c r="C41" s="142"/>
    </row>
    <row r="42" spans="1:3" x14ac:dyDescent="0.3">
      <c r="A42" s="141"/>
      <c r="B42" s="142"/>
      <c r="C42" s="142"/>
    </row>
    <row r="43" spans="1:3" x14ac:dyDescent="0.3">
      <c r="A43" s="141"/>
      <c r="B43" s="142"/>
      <c r="C43" s="142"/>
    </row>
    <row r="44" spans="1:3" x14ac:dyDescent="0.3">
      <c r="A44" s="141"/>
      <c r="B44" s="142"/>
      <c r="C44" s="142"/>
    </row>
    <row r="45" spans="1:3" x14ac:dyDescent="0.3">
      <c r="A45" s="141"/>
      <c r="B45" s="142"/>
      <c r="C45" s="142"/>
    </row>
    <row r="46" spans="1:3" x14ac:dyDescent="0.3">
      <c r="A46" s="141"/>
      <c r="B46" s="142"/>
      <c r="C46" s="142"/>
    </row>
    <row r="47" spans="1:3" x14ac:dyDescent="0.3">
      <c r="A47" s="141"/>
      <c r="B47" s="142"/>
      <c r="C47" s="143"/>
    </row>
    <row r="48" spans="1:3" x14ac:dyDescent="0.3">
      <c r="A48" s="141"/>
      <c r="B48" s="142"/>
    </row>
    <row r="49" spans="1:2" x14ac:dyDescent="0.3">
      <c r="A49" s="141"/>
      <c r="B49" s="142"/>
    </row>
    <row r="50" spans="1:2" x14ac:dyDescent="0.3">
      <c r="A50" s="141"/>
      <c r="B50" s="142"/>
    </row>
    <row r="51" spans="1:2" x14ac:dyDescent="0.3">
      <c r="A51" s="141"/>
      <c r="B51" s="142"/>
    </row>
    <row r="52" spans="1:2" x14ac:dyDescent="0.3">
      <c r="A52" s="141"/>
      <c r="B52" s="142"/>
    </row>
    <row r="53" spans="1:2" x14ac:dyDescent="0.3">
      <c r="A53" s="141"/>
      <c r="B53" s="142"/>
    </row>
    <row r="54" spans="1:2" x14ac:dyDescent="0.3">
      <c r="A54" s="141"/>
      <c r="B54" s="142"/>
    </row>
    <row r="55" spans="1:2" x14ac:dyDescent="0.3">
      <c r="A55" s="141"/>
      <c r="B55" s="142"/>
    </row>
    <row r="56" spans="1:2" x14ac:dyDescent="0.3">
      <c r="A56" s="141"/>
      <c r="B56" s="142"/>
    </row>
    <row r="57" spans="1:2" x14ac:dyDescent="0.3">
      <c r="A57" s="141"/>
      <c r="B57" s="142"/>
    </row>
    <row r="58" spans="1:2" x14ac:dyDescent="0.3">
      <c r="A58" s="141"/>
      <c r="B58" s="142"/>
    </row>
    <row r="59" spans="1:2" x14ac:dyDescent="0.3">
      <c r="A59" s="141"/>
      <c r="B59" s="142"/>
    </row>
    <row r="60" spans="1:2" x14ac:dyDescent="0.3">
      <c r="A60" s="141"/>
      <c r="B60" s="142"/>
    </row>
    <row r="61" spans="1:2" x14ac:dyDescent="0.3">
      <c r="A61" s="141"/>
      <c r="B61" s="142"/>
    </row>
    <row r="62" spans="1:2" x14ac:dyDescent="0.3">
      <c r="A62" s="141"/>
      <c r="B62" s="142"/>
    </row>
    <row r="63" spans="1:2" x14ac:dyDescent="0.3">
      <c r="A63" s="141"/>
      <c r="B63" s="142"/>
    </row>
    <row r="64" spans="1:2" x14ac:dyDescent="0.3">
      <c r="A64" s="141"/>
      <c r="B64" s="142"/>
    </row>
    <row r="65" spans="1:2" x14ac:dyDescent="0.3">
      <c r="A65" s="141"/>
      <c r="B65" s="142"/>
    </row>
    <row r="66" spans="1:2" x14ac:dyDescent="0.3">
      <c r="A66" s="141"/>
      <c r="B66" s="142"/>
    </row>
    <row r="67" spans="1:2" x14ac:dyDescent="0.3">
      <c r="A67" s="141"/>
      <c r="B67" s="142"/>
    </row>
    <row r="68" spans="1:2" x14ac:dyDescent="0.3">
      <c r="A68" s="141"/>
      <c r="B68" s="142"/>
    </row>
    <row r="69" spans="1:2" x14ac:dyDescent="0.3">
      <c r="A69" s="141"/>
      <c r="B69" s="142"/>
    </row>
    <row r="70" spans="1:2" x14ac:dyDescent="0.3">
      <c r="A70" s="141"/>
      <c r="B70" s="142"/>
    </row>
    <row r="71" spans="1:2" x14ac:dyDescent="0.3">
      <c r="A71" s="141"/>
      <c r="B71" s="142"/>
    </row>
    <row r="72" spans="1:2" x14ac:dyDescent="0.3">
      <c r="A72" s="141"/>
      <c r="B72" s="142"/>
    </row>
    <row r="73" spans="1:2" x14ac:dyDescent="0.3">
      <c r="A73" s="141"/>
      <c r="B73" s="142"/>
    </row>
    <row r="74" spans="1:2" x14ac:dyDescent="0.3">
      <c r="A74" s="141"/>
      <c r="B74" s="142"/>
    </row>
    <row r="75" spans="1:2" x14ac:dyDescent="0.3">
      <c r="A75" s="141"/>
      <c r="B75" s="142"/>
    </row>
    <row r="76" spans="1:2" x14ac:dyDescent="0.3">
      <c r="A76" s="141"/>
      <c r="B76" s="142"/>
    </row>
    <row r="77" spans="1:2" x14ac:dyDescent="0.3">
      <c r="A77" s="141"/>
      <c r="B77" s="142"/>
    </row>
    <row r="78" spans="1:2" x14ac:dyDescent="0.3">
      <c r="A78" s="141"/>
      <c r="B78" s="142"/>
    </row>
    <row r="79" spans="1:2" x14ac:dyDescent="0.3">
      <c r="A79" s="141"/>
      <c r="B79" s="142"/>
    </row>
    <row r="80" spans="1:2" x14ac:dyDescent="0.3">
      <c r="A80" s="141"/>
      <c r="B80" s="142"/>
    </row>
    <row r="81" spans="1:2" x14ac:dyDescent="0.3">
      <c r="A81" s="141"/>
      <c r="B81" s="142"/>
    </row>
    <row r="82" spans="1:2" x14ac:dyDescent="0.3">
      <c r="A82" s="141"/>
      <c r="B82" s="142"/>
    </row>
    <row r="83" spans="1:2" x14ac:dyDescent="0.3">
      <c r="A83" s="141"/>
      <c r="B83" s="142"/>
    </row>
    <row r="84" spans="1:2" x14ac:dyDescent="0.3">
      <c r="A84" s="141"/>
      <c r="B84" s="142"/>
    </row>
    <row r="85" spans="1:2" x14ac:dyDescent="0.3">
      <c r="A85" s="141"/>
      <c r="B85" s="142"/>
    </row>
    <row r="86" spans="1:2" x14ac:dyDescent="0.3">
      <c r="A86" s="141"/>
      <c r="B86" s="142"/>
    </row>
    <row r="87" spans="1:2" x14ac:dyDescent="0.3">
      <c r="A87" s="141"/>
      <c r="B87" s="142"/>
    </row>
    <row r="88" spans="1:2" x14ac:dyDescent="0.3">
      <c r="A88" s="141"/>
      <c r="B88" s="142"/>
    </row>
    <row r="89" spans="1:2" x14ac:dyDescent="0.3">
      <c r="A89" s="141"/>
      <c r="B89" s="142"/>
    </row>
    <row r="90" spans="1:2" x14ac:dyDescent="0.3">
      <c r="A90" s="141"/>
      <c r="B90" s="142"/>
    </row>
    <row r="91" spans="1:2" x14ac:dyDescent="0.3">
      <c r="A91" s="141"/>
      <c r="B91" s="142"/>
    </row>
    <row r="92" spans="1:2" x14ac:dyDescent="0.3">
      <c r="A92" s="141"/>
      <c r="B92" s="142"/>
    </row>
    <row r="93" spans="1:2" x14ac:dyDescent="0.3">
      <c r="A93" s="141"/>
      <c r="B93" s="142"/>
    </row>
    <row r="94" spans="1:2" x14ac:dyDescent="0.3">
      <c r="A94" s="141"/>
      <c r="B94" s="142"/>
    </row>
    <row r="95" spans="1:2" x14ac:dyDescent="0.3">
      <c r="A95" s="141"/>
      <c r="B95" s="142"/>
    </row>
    <row r="96" spans="1:2" x14ac:dyDescent="0.3">
      <c r="A96" s="141"/>
      <c r="B96" s="142"/>
    </row>
    <row r="97" spans="1:2" x14ac:dyDescent="0.3">
      <c r="A97" s="141"/>
      <c r="B97" s="142"/>
    </row>
    <row r="98" spans="1:2" x14ac:dyDescent="0.3">
      <c r="A98" s="141"/>
      <c r="B98" s="142"/>
    </row>
    <row r="99" spans="1:2" x14ac:dyDescent="0.3">
      <c r="A99" s="141"/>
      <c r="B99" s="142"/>
    </row>
    <row r="100" spans="1:2" x14ac:dyDescent="0.3">
      <c r="A100" s="141"/>
      <c r="B100" s="142"/>
    </row>
    <row r="101" spans="1:2" x14ac:dyDescent="0.3">
      <c r="A101" s="141"/>
      <c r="B101" s="142"/>
    </row>
    <row r="102" spans="1:2" x14ac:dyDescent="0.3">
      <c r="A102" s="141"/>
      <c r="B102" s="142"/>
    </row>
    <row r="103" spans="1:2" x14ac:dyDescent="0.3">
      <c r="A103" s="141"/>
      <c r="B103" s="142"/>
    </row>
    <row r="104" spans="1:2" x14ac:dyDescent="0.3">
      <c r="A104" s="141"/>
      <c r="B104" s="142"/>
    </row>
    <row r="105" spans="1:2" x14ac:dyDescent="0.3">
      <c r="A105" s="141"/>
      <c r="B105" s="142"/>
    </row>
    <row r="106" spans="1:2" x14ac:dyDescent="0.3">
      <c r="A106" s="141"/>
      <c r="B106" s="142"/>
    </row>
    <row r="107" spans="1:2" x14ac:dyDescent="0.3">
      <c r="A107" s="141"/>
      <c r="B107" s="142"/>
    </row>
    <row r="108" spans="1:2" x14ac:dyDescent="0.3">
      <c r="A108" s="141"/>
      <c r="B108" s="142"/>
    </row>
    <row r="109" spans="1:2" x14ac:dyDescent="0.3">
      <c r="A109" s="141"/>
      <c r="B109" s="142"/>
    </row>
    <row r="110" spans="1:2" x14ac:dyDescent="0.3">
      <c r="A110" s="141"/>
      <c r="B110" s="142"/>
    </row>
    <row r="111" spans="1:2" x14ac:dyDescent="0.3">
      <c r="A111" s="141"/>
      <c r="B111" s="142"/>
    </row>
    <row r="112" spans="1:2" x14ac:dyDescent="0.3">
      <c r="A112" s="141"/>
      <c r="B112" s="142"/>
    </row>
    <row r="113" spans="1:2" x14ac:dyDescent="0.3">
      <c r="A113" s="141"/>
      <c r="B113" s="142"/>
    </row>
    <row r="114" spans="1:2" x14ac:dyDescent="0.3">
      <c r="A114" s="141"/>
      <c r="B114" s="142"/>
    </row>
    <row r="115" spans="1:2" x14ac:dyDescent="0.3">
      <c r="A115" s="141"/>
      <c r="B115" s="142"/>
    </row>
    <row r="116" spans="1:2" x14ac:dyDescent="0.3">
      <c r="A116" s="141"/>
      <c r="B116" s="142"/>
    </row>
    <row r="117" spans="1:2" x14ac:dyDescent="0.3">
      <c r="A117" s="141"/>
      <c r="B117" s="142"/>
    </row>
    <row r="118" spans="1:2" x14ac:dyDescent="0.3">
      <c r="A118" s="141"/>
      <c r="B118" s="142"/>
    </row>
    <row r="119" spans="1:2" x14ac:dyDescent="0.3">
      <c r="A119" s="141"/>
      <c r="B119" s="142"/>
    </row>
    <row r="120" spans="1:2" x14ac:dyDescent="0.3">
      <c r="A120" s="141"/>
      <c r="B120" s="142"/>
    </row>
    <row r="121" spans="1:2" x14ac:dyDescent="0.3">
      <c r="A121" s="141"/>
      <c r="B121" s="142"/>
    </row>
    <row r="122" spans="1:2" x14ac:dyDescent="0.3">
      <c r="A122" s="141"/>
      <c r="B122" s="142"/>
    </row>
    <row r="123" spans="1:2" x14ac:dyDescent="0.3">
      <c r="A123" s="141"/>
      <c r="B123" s="142"/>
    </row>
    <row r="124" spans="1:2" x14ac:dyDescent="0.3">
      <c r="A124" s="141"/>
      <c r="B124" s="142"/>
    </row>
    <row r="125" spans="1:2" x14ac:dyDescent="0.3">
      <c r="A125" s="141"/>
      <c r="B125" s="142"/>
    </row>
    <row r="126" spans="1:2" x14ac:dyDescent="0.3">
      <c r="A126" s="141"/>
      <c r="B126" s="142"/>
    </row>
    <row r="127" spans="1:2" x14ac:dyDescent="0.3">
      <c r="A127" s="141"/>
      <c r="B127" s="142"/>
    </row>
    <row r="128" spans="1:2" x14ac:dyDescent="0.3">
      <c r="A128" s="141"/>
      <c r="B128" s="142"/>
    </row>
    <row r="129" spans="1:2" x14ac:dyDescent="0.3">
      <c r="A129" s="141"/>
      <c r="B129" s="142"/>
    </row>
    <row r="130" spans="1:2" x14ac:dyDescent="0.3">
      <c r="A130" s="141"/>
      <c r="B130" s="142"/>
    </row>
    <row r="131" spans="1:2" x14ac:dyDescent="0.3">
      <c r="A131" s="141"/>
      <c r="B131" s="142"/>
    </row>
    <row r="132" spans="1:2" x14ac:dyDescent="0.3">
      <c r="A132" s="141"/>
      <c r="B132" s="142"/>
    </row>
    <row r="133" spans="1:2" x14ac:dyDescent="0.3">
      <c r="A133" s="141"/>
      <c r="B133" s="142"/>
    </row>
    <row r="134" spans="1:2" x14ac:dyDescent="0.3">
      <c r="A134" s="141"/>
      <c r="B134" s="142"/>
    </row>
    <row r="135" spans="1:2" x14ac:dyDescent="0.3">
      <c r="A135" s="141"/>
      <c r="B135" s="142"/>
    </row>
    <row r="136" spans="1:2" x14ac:dyDescent="0.3">
      <c r="A136" s="141"/>
      <c r="B136" s="142"/>
    </row>
    <row r="137" spans="1:2" x14ac:dyDescent="0.3">
      <c r="A137" s="141"/>
      <c r="B137" s="142"/>
    </row>
    <row r="138" spans="1:2" x14ac:dyDescent="0.3">
      <c r="A138" s="141"/>
      <c r="B138" s="142"/>
    </row>
    <row r="139" spans="1:2" x14ac:dyDescent="0.3">
      <c r="A139" s="141"/>
      <c r="B139" s="142"/>
    </row>
    <row r="140" spans="1:2" x14ac:dyDescent="0.3">
      <c r="A140" s="141"/>
      <c r="B140" s="142"/>
    </row>
    <row r="141" spans="1:2" x14ac:dyDescent="0.3">
      <c r="A141" s="141"/>
      <c r="B141" s="142"/>
    </row>
    <row r="142" spans="1:2" x14ac:dyDescent="0.3">
      <c r="A142" s="141"/>
      <c r="B142" s="142"/>
    </row>
    <row r="143" spans="1:2" x14ac:dyDescent="0.3">
      <c r="A143" s="141"/>
      <c r="B143" s="142"/>
    </row>
    <row r="144" spans="1:2" x14ac:dyDescent="0.3">
      <c r="A144" s="141"/>
      <c r="B144" s="142"/>
    </row>
    <row r="145" spans="1:2" x14ac:dyDescent="0.3">
      <c r="A145" s="141"/>
      <c r="B145" s="142"/>
    </row>
    <row r="146" spans="1:2" x14ac:dyDescent="0.3">
      <c r="A146" s="141"/>
      <c r="B146" s="142"/>
    </row>
    <row r="147" spans="1:2" x14ac:dyDescent="0.3">
      <c r="A147" s="141"/>
      <c r="B147" s="142"/>
    </row>
    <row r="148" spans="1:2" x14ac:dyDescent="0.3">
      <c r="A148" s="141"/>
      <c r="B148" s="142"/>
    </row>
    <row r="149" spans="1:2" x14ac:dyDescent="0.3">
      <c r="A149" s="141"/>
      <c r="B149" s="142"/>
    </row>
    <row r="150" spans="1:2" x14ac:dyDescent="0.3">
      <c r="A150" s="141"/>
      <c r="B150" s="142"/>
    </row>
    <row r="151" spans="1:2" x14ac:dyDescent="0.3">
      <c r="A151" s="141"/>
      <c r="B151" s="142"/>
    </row>
    <row r="152" spans="1:2" x14ac:dyDescent="0.3">
      <c r="A152" s="141"/>
      <c r="B152" s="142"/>
    </row>
    <row r="153" spans="1:2" x14ac:dyDescent="0.3">
      <c r="A153" s="141"/>
      <c r="B153" s="142"/>
    </row>
    <row r="154" spans="1:2" x14ac:dyDescent="0.3">
      <c r="A154" s="141"/>
      <c r="B154" s="142"/>
    </row>
    <row r="155" spans="1:2" x14ac:dyDescent="0.3">
      <c r="A155" s="141"/>
      <c r="B155" s="142"/>
    </row>
    <row r="156" spans="1:2" x14ac:dyDescent="0.3">
      <c r="A156" s="141"/>
      <c r="B156" s="142"/>
    </row>
    <row r="157" spans="1:2" x14ac:dyDescent="0.3">
      <c r="A157" s="141"/>
      <c r="B157" s="142"/>
    </row>
    <row r="158" spans="1:2" x14ac:dyDescent="0.3">
      <c r="A158" s="141"/>
      <c r="B158" s="142"/>
    </row>
    <row r="159" spans="1:2" x14ac:dyDescent="0.3">
      <c r="A159" s="141"/>
      <c r="B159" s="142"/>
    </row>
    <row r="160" spans="1:2" x14ac:dyDescent="0.3">
      <c r="A160" s="141"/>
      <c r="B160" s="142"/>
    </row>
    <row r="161" spans="1:2" x14ac:dyDescent="0.3">
      <c r="A161" s="141"/>
      <c r="B161" s="142"/>
    </row>
    <row r="162" spans="1:2" x14ac:dyDescent="0.3">
      <c r="A162" s="141"/>
      <c r="B162" s="142"/>
    </row>
    <row r="163" spans="1:2" x14ac:dyDescent="0.3">
      <c r="A163" s="141"/>
      <c r="B163" s="142"/>
    </row>
    <row r="164" spans="1:2" x14ac:dyDescent="0.3">
      <c r="A164" s="141"/>
      <c r="B164" s="142"/>
    </row>
    <row r="165" spans="1:2" x14ac:dyDescent="0.3">
      <c r="A165" s="141"/>
      <c r="B165" s="142"/>
    </row>
    <row r="166" spans="1:2" x14ac:dyDescent="0.3">
      <c r="A166" s="141"/>
      <c r="B166" s="142"/>
    </row>
    <row r="167" spans="1:2" x14ac:dyDescent="0.3">
      <c r="A167" s="141"/>
      <c r="B167" s="142"/>
    </row>
    <row r="168" spans="1:2" x14ac:dyDescent="0.3">
      <c r="A168" s="141"/>
      <c r="B168" s="142"/>
    </row>
    <row r="169" spans="1:2" x14ac:dyDescent="0.3">
      <c r="A169" s="141"/>
      <c r="B169" s="142"/>
    </row>
    <row r="170" spans="1:2" x14ac:dyDescent="0.3">
      <c r="A170" s="141"/>
      <c r="B170" s="142"/>
    </row>
    <row r="171" spans="1:2" x14ac:dyDescent="0.3">
      <c r="A171" s="141"/>
      <c r="B171" s="142"/>
    </row>
    <row r="172" spans="1:2" x14ac:dyDescent="0.3">
      <c r="A172" s="141"/>
      <c r="B172" s="142"/>
    </row>
    <row r="173" spans="1:2" x14ac:dyDescent="0.3">
      <c r="A173" s="141"/>
      <c r="B173" s="142"/>
    </row>
    <row r="174" spans="1:2" x14ac:dyDescent="0.3">
      <c r="A174" s="141"/>
      <c r="B174" s="142"/>
    </row>
    <row r="175" spans="1:2" x14ac:dyDescent="0.3">
      <c r="A175" s="141"/>
      <c r="B175" s="142"/>
    </row>
    <row r="176" spans="1:2" x14ac:dyDescent="0.3">
      <c r="A176" s="141"/>
      <c r="B176" s="142"/>
    </row>
    <row r="177" spans="1:2" x14ac:dyDescent="0.3">
      <c r="A177" s="141"/>
      <c r="B177" s="142"/>
    </row>
    <row r="178" spans="1:2" x14ac:dyDescent="0.3">
      <c r="A178" s="141"/>
      <c r="B178" s="142"/>
    </row>
    <row r="179" spans="1:2" x14ac:dyDescent="0.3">
      <c r="A179" s="141"/>
      <c r="B179" s="142"/>
    </row>
    <row r="180" spans="1:2" x14ac:dyDescent="0.3">
      <c r="A180" s="141"/>
      <c r="B180" s="142"/>
    </row>
    <row r="181" spans="1:2" x14ac:dyDescent="0.3">
      <c r="A181" s="141"/>
      <c r="B181" s="142"/>
    </row>
    <row r="182" spans="1:2" x14ac:dyDescent="0.3">
      <c r="A182" s="141"/>
      <c r="B182" s="142"/>
    </row>
    <row r="183" spans="1:2" x14ac:dyDescent="0.3">
      <c r="A183" s="141"/>
      <c r="B183" s="142"/>
    </row>
    <row r="184" spans="1:2" x14ac:dyDescent="0.3">
      <c r="A184" s="141"/>
      <c r="B184" s="142"/>
    </row>
    <row r="185" spans="1:2" x14ac:dyDescent="0.3">
      <c r="A185" s="141"/>
      <c r="B185" s="142"/>
    </row>
    <row r="186" spans="1:2" x14ac:dyDescent="0.3">
      <c r="A186" s="141"/>
      <c r="B186" s="142"/>
    </row>
    <row r="187" spans="1:2" x14ac:dyDescent="0.3">
      <c r="A187" s="141"/>
      <c r="B187" s="142"/>
    </row>
    <row r="188" spans="1:2" x14ac:dyDescent="0.3">
      <c r="A188" s="141"/>
      <c r="B188" s="142"/>
    </row>
    <row r="189" spans="1:2" x14ac:dyDescent="0.3">
      <c r="A189" s="141"/>
      <c r="B189" s="142"/>
    </row>
    <row r="190" spans="1:2" x14ac:dyDescent="0.3">
      <c r="A190" s="141"/>
      <c r="B190" s="142"/>
    </row>
    <row r="191" spans="1:2" x14ac:dyDescent="0.3">
      <c r="A191" s="141"/>
      <c r="B191" s="142"/>
    </row>
    <row r="192" spans="1:2" x14ac:dyDescent="0.3">
      <c r="A192" s="141"/>
      <c r="B192" s="142"/>
    </row>
    <row r="193" spans="1:2" x14ac:dyDescent="0.3">
      <c r="A193" s="141"/>
      <c r="B193" s="142"/>
    </row>
    <row r="194" spans="1:2" x14ac:dyDescent="0.3">
      <c r="A194" s="141"/>
      <c r="B194" s="142"/>
    </row>
    <row r="195" spans="1:2" x14ac:dyDescent="0.3">
      <c r="A195" s="141"/>
      <c r="B195" s="142"/>
    </row>
    <row r="196" spans="1:2" x14ac:dyDescent="0.3">
      <c r="A196" s="141"/>
      <c r="B196" s="142"/>
    </row>
    <row r="197" spans="1:2" x14ac:dyDescent="0.3">
      <c r="A197" s="141"/>
      <c r="B197" s="142"/>
    </row>
    <row r="198" spans="1:2" x14ac:dyDescent="0.3">
      <c r="A198" s="141"/>
      <c r="B198" s="142"/>
    </row>
    <row r="199" spans="1:2" x14ac:dyDescent="0.3">
      <c r="A199" s="141"/>
      <c r="B199" s="142"/>
    </row>
    <row r="200" spans="1:2" x14ac:dyDescent="0.3">
      <c r="A200" s="141"/>
      <c r="B200" s="142"/>
    </row>
    <row r="201" spans="1:2" x14ac:dyDescent="0.3">
      <c r="A201" s="141"/>
      <c r="B201" s="142"/>
    </row>
    <row r="202" spans="1:2" x14ac:dyDescent="0.3">
      <c r="A202" s="141"/>
      <c r="B202" s="142"/>
    </row>
    <row r="203" spans="1:2" x14ac:dyDescent="0.3">
      <c r="A203" s="141"/>
      <c r="B203" s="142"/>
    </row>
    <row r="204" spans="1:2" x14ac:dyDescent="0.3">
      <c r="A204" s="141"/>
      <c r="B204" s="142"/>
    </row>
    <row r="205" spans="1:2" x14ac:dyDescent="0.3">
      <c r="A205" s="141"/>
      <c r="B205" s="142"/>
    </row>
    <row r="206" spans="1:2" x14ac:dyDescent="0.3">
      <c r="A206" s="141"/>
      <c r="B206" s="142"/>
    </row>
    <row r="207" spans="1:2" x14ac:dyDescent="0.3">
      <c r="A207" s="141"/>
      <c r="B207" s="142"/>
    </row>
    <row r="208" spans="1:2" x14ac:dyDescent="0.3">
      <c r="A208" s="141"/>
      <c r="B208" s="142"/>
    </row>
    <row r="209" spans="1:2" x14ac:dyDescent="0.3">
      <c r="A209" s="141"/>
      <c r="B209" s="142"/>
    </row>
    <row r="210" spans="1:2" x14ac:dyDescent="0.3">
      <c r="A210" s="141"/>
      <c r="B210" s="142"/>
    </row>
    <row r="211" spans="1:2" x14ac:dyDescent="0.3">
      <c r="A211" s="141"/>
      <c r="B211" s="142"/>
    </row>
    <row r="212" spans="1:2" x14ac:dyDescent="0.3">
      <c r="A212" s="141"/>
      <c r="B212" s="142"/>
    </row>
    <row r="213" spans="1:2" x14ac:dyDescent="0.3">
      <c r="A213" s="141"/>
      <c r="B213" s="142"/>
    </row>
    <row r="214" spans="1:2" x14ac:dyDescent="0.3">
      <c r="A214" s="141"/>
      <c r="B214" s="142"/>
    </row>
    <row r="215" spans="1:2" x14ac:dyDescent="0.3">
      <c r="A215" s="141"/>
      <c r="B215" s="142"/>
    </row>
    <row r="216" spans="1:2" x14ac:dyDescent="0.3">
      <c r="A216" s="141"/>
      <c r="B216" s="142"/>
    </row>
    <row r="217" spans="1:2" x14ac:dyDescent="0.3">
      <c r="A217" s="141"/>
      <c r="B217" s="142"/>
    </row>
    <row r="218" spans="1:2" x14ac:dyDescent="0.3">
      <c r="A218" s="141"/>
      <c r="B218" s="142"/>
    </row>
    <row r="219" spans="1:2" x14ac:dyDescent="0.3">
      <c r="A219" s="141"/>
      <c r="B219" s="142"/>
    </row>
    <row r="220" spans="1:2" x14ac:dyDescent="0.3">
      <c r="A220" s="141"/>
      <c r="B220" s="142"/>
    </row>
    <row r="221" spans="1:2" x14ac:dyDescent="0.3">
      <c r="A221" s="141"/>
      <c r="B221" s="142"/>
    </row>
    <row r="222" spans="1:2" x14ac:dyDescent="0.3">
      <c r="A222" s="141"/>
      <c r="B222" s="142"/>
    </row>
    <row r="223" spans="1:2" x14ac:dyDescent="0.3">
      <c r="A223" s="141"/>
      <c r="B223" s="142"/>
    </row>
    <row r="224" spans="1:2" x14ac:dyDescent="0.3">
      <c r="A224" s="141"/>
      <c r="B224" s="142"/>
    </row>
    <row r="225" spans="1:2" x14ac:dyDescent="0.3">
      <c r="A225" s="141"/>
      <c r="B225" s="142"/>
    </row>
    <row r="226" spans="1:2" x14ac:dyDescent="0.3">
      <c r="A226" s="141"/>
      <c r="B226" s="142"/>
    </row>
    <row r="227" spans="1:2" x14ac:dyDescent="0.3">
      <c r="A227" s="141"/>
      <c r="B227" s="142"/>
    </row>
    <row r="228" spans="1:2" x14ac:dyDescent="0.3">
      <c r="A228" s="141"/>
      <c r="B228" s="142"/>
    </row>
    <row r="229" spans="1:2" x14ac:dyDescent="0.3">
      <c r="A229" s="141"/>
      <c r="B229" s="142"/>
    </row>
    <row r="230" spans="1:2" x14ac:dyDescent="0.3">
      <c r="A230" s="141"/>
      <c r="B230" s="142"/>
    </row>
    <row r="231" spans="1:2" x14ac:dyDescent="0.3">
      <c r="A231" s="141"/>
      <c r="B231" s="142"/>
    </row>
    <row r="232" spans="1:2" x14ac:dyDescent="0.3">
      <c r="A232" s="141"/>
      <c r="B232" s="142"/>
    </row>
    <row r="233" spans="1:2" x14ac:dyDescent="0.3">
      <c r="A233" s="141"/>
      <c r="B233" s="142"/>
    </row>
    <row r="234" spans="1:2" x14ac:dyDescent="0.3">
      <c r="A234" s="141"/>
      <c r="B234" s="142"/>
    </row>
    <row r="235" spans="1:2" x14ac:dyDescent="0.3">
      <c r="A235" s="141"/>
      <c r="B235" s="142"/>
    </row>
    <row r="236" spans="1:2" x14ac:dyDescent="0.3">
      <c r="A236" s="141"/>
      <c r="B236" s="142"/>
    </row>
    <row r="237" spans="1:2" x14ac:dyDescent="0.3">
      <c r="A237" s="141"/>
      <c r="B237" s="142"/>
    </row>
    <row r="238" spans="1:2" x14ac:dyDescent="0.3">
      <c r="A238" s="141"/>
      <c r="B238" s="142"/>
    </row>
    <row r="239" spans="1:2" x14ac:dyDescent="0.3">
      <c r="A239" s="141"/>
      <c r="B239" s="142"/>
    </row>
    <row r="240" spans="1:2" x14ac:dyDescent="0.3">
      <c r="A240" s="141"/>
      <c r="B240" s="142"/>
    </row>
    <row r="241" spans="1:2" x14ac:dyDescent="0.3">
      <c r="A241" s="141"/>
      <c r="B241" s="142"/>
    </row>
    <row r="242" spans="1:2" x14ac:dyDescent="0.3">
      <c r="A242" s="141"/>
      <c r="B242" s="142"/>
    </row>
    <row r="243" spans="1:2" x14ac:dyDescent="0.3">
      <c r="A243" s="141"/>
      <c r="B243" s="142"/>
    </row>
    <row r="244" spans="1:2" x14ac:dyDescent="0.3">
      <c r="A244" s="141"/>
      <c r="B244" s="142"/>
    </row>
    <row r="245" spans="1:2" x14ac:dyDescent="0.3">
      <c r="A245" s="141"/>
      <c r="B245" s="142"/>
    </row>
    <row r="246" spans="1:2" x14ac:dyDescent="0.3">
      <c r="A246" s="141"/>
      <c r="B246" s="142"/>
    </row>
    <row r="247" spans="1:2" x14ac:dyDescent="0.3">
      <c r="A247" s="141"/>
      <c r="B247" s="142"/>
    </row>
    <row r="248" spans="1:2" x14ac:dyDescent="0.3">
      <c r="A248" s="141"/>
      <c r="B248" s="142"/>
    </row>
    <row r="249" spans="1:2" x14ac:dyDescent="0.3">
      <c r="A249" s="141"/>
      <c r="B249" s="142"/>
    </row>
    <row r="250" spans="1:2" x14ac:dyDescent="0.3">
      <c r="A250" s="141"/>
      <c r="B250" s="142"/>
    </row>
    <row r="251" spans="1:2" x14ac:dyDescent="0.3">
      <c r="A251" s="141"/>
      <c r="B251" s="142"/>
    </row>
    <row r="252" spans="1:2" x14ac:dyDescent="0.3">
      <c r="A252" s="141"/>
      <c r="B252" s="142"/>
    </row>
    <row r="253" spans="1:2" x14ac:dyDescent="0.3">
      <c r="A253" s="141"/>
      <c r="B253" s="142"/>
    </row>
    <row r="254" spans="1:2" x14ac:dyDescent="0.3">
      <c r="A254" s="141"/>
      <c r="B254" s="142"/>
    </row>
    <row r="255" spans="1:2" x14ac:dyDescent="0.3">
      <c r="A255" s="141"/>
      <c r="B255" s="142"/>
    </row>
    <row r="256" spans="1:2" x14ac:dyDescent="0.3">
      <c r="A256" s="141"/>
      <c r="B256" s="142"/>
    </row>
    <row r="257" spans="1:2" x14ac:dyDescent="0.3">
      <c r="A257" s="141"/>
      <c r="B257" s="142"/>
    </row>
    <row r="258" spans="1:2" x14ac:dyDescent="0.3">
      <c r="A258" s="141"/>
      <c r="B258" s="142"/>
    </row>
    <row r="259" spans="1:2" x14ac:dyDescent="0.3">
      <c r="A259" s="141"/>
      <c r="B259" s="142"/>
    </row>
    <row r="260" spans="1:2" x14ac:dyDescent="0.3">
      <c r="A260" s="141"/>
      <c r="B260" s="142"/>
    </row>
    <row r="261" spans="1:2" x14ac:dyDescent="0.3">
      <c r="A261" s="141"/>
      <c r="B261" s="142"/>
    </row>
    <row r="262" spans="1:2" x14ac:dyDescent="0.3">
      <c r="A262" s="141"/>
      <c r="B262" s="142"/>
    </row>
    <row r="263" spans="1:2" x14ac:dyDescent="0.3">
      <c r="A263" s="141"/>
      <c r="B263" s="142"/>
    </row>
    <row r="264" spans="1:2" x14ac:dyDescent="0.3">
      <c r="A264" s="141"/>
      <c r="B264" s="142"/>
    </row>
    <row r="265" spans="1:2" x14ac:dyDescent="0.3">
      <c r="B265" s="14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9" r:id="rId4" name="RefreshBtn1">
          <controlPr defaultSize="0" autoLine="0" autoPict="0" r:id="rId5">
            <anchor mov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647700</xdr:colOff>
                <xdr:row>1</xdr:row>
                <xdr:rowOff>9525</xdr:rowOff>
              </to>
            </anchor>
          </controlPr>
        </control>
      </mc:Choice>
      <mc:Fallback>
        <control shapeId="27649" r:id="rId4" name="RefreshBt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129"/>
  <sheetViews>
    <sheetView workbookViewId="0">
      <selection activeCell="M5" sqref="M5"/>
    </sheetView>
  </sheetViews>
  <sheetFormatPr defaultRowHeight="16.5" x14ac:dyDescent="0.3"/>
  <cols>
    <col min="1" max="1" width="11.625" bestFit="1" customWidth="1"/>
    <col min="2" max="2" width="19.25" bestFit="1" customWidth="1"/>
    <col min="3" max="3" width="15.125" bestFit="1" customWidth="1"/>
    <col min="4" max="4" width="14.375" bestFit="1" customWidth="1"/>
    <col min="5" max="5" width="18" bestFit="1" customWidth="1"/>
    <col min="11" max="11" width="10.375" bestFit="1" customWidth="1"/>
    <col min="12" max="12" width="18" bestFit="1" customWidth="1"/>
    <col min="13" max="13" width="11.125" bestFit="1" customWidth="1"/>
  </cols>
  <sheetData>
    <row r="1" spans="1:13" ht="27" customHeight="1" x14ac:dyDescent="0.3">
      <c r="A1" s="178" t="s">
        <v>7950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7">
        <f ca="1">TODAY()</f>
        <v>42867</v>
      </c>
    </row>
    <row r="3" spans="1:13" x14ac:dyDescent="0.3">
      <c r="A3" s="33" t="s">
        <v>3015</v>
      </c>
      <c r="B3" s="33" t="s">
        <v>3016</v>
      </c>
      <c r="C3" s="33" t="s">
        <v>3017</v>
      </c>
      <c r="D3" s="33" t="s">
        <v>7942</v>
      </c>
      <c r="E3" s="33" t="s">
        <v>7943</v>
      </c>
      <c r="F3" s="33" t="s">
        <v>7944</v>
      </c>
      <c r="G3" s="33" t="s">
        <v>7945</v>
      </c>
      <c r="H3" s="175" t="s">
        <v>7946</v>
      </c>
      <c r="I3" s="175" t="s">
        <v>7947</v>
      </c>
      <c r="J3" s="175" t="s">
        <v>7948</v>
      </c>
      <c r="K3" s="175" t="s">
        <v>7949</v>
      </c>
      <c r="L3" s="33" t="s">
        <v>3596</v>
      </c>
      <c r="M3" s="33" t="s">
        <v>7941</v>
      </c>
    </row>
    <row r="4" spans="1:13" x14ac:dyDescent="0.3">
      <c r="A4" s="156" t="s">
        <v>454</v>
      </c>
      <c r="B4" s="2" t="s">
        <v>1918</v>
      </c>
      <c r="C4" s="2" t="s">
        <v>2964</v>
      </c>
      <c r="D4">
        <v>148.52856333333332</v>
      </c>
      <c r="E4">
        <v>145.60782487840606</v>
      </c>
      <c r="F4" t="s">
        <v>2997</v>
      </c>
      <c r="G4" t="s">
        <v>7960</v>
      </c>
      <c r="H4" t="s">
        <v>7960</v>
      </c>
      <c r="I4" t="s">
        <v>7960</v>
      </c>
      <c r="J4" t="s">
        <v>7960</v>
      </c>
      <c r="K4" t="s">
        <v>7962</v>
      </c>
      <c r="L4" s="1">
        <v>41487</v>
      </c>
      <c r="M4" t="s">
        <v>3527</v>
      </c>
    </row>
    <row r="5" spans="1:13" x14ac:dyDescent="0.3">
      <c r="A5" s="156" t="s">
        <v>221</v>
      </c>
      <c r="B5" s="2" t="s">
        <v>1696</v>
      </c>
      <c r="C5" s="2" t="s">
        <v>2964</v>
      </c>
      <c r="D5">
        <v>148.52856333333332</v>
      </c>
      <c r="E5">
        <v>145.60782487840606</v>
      </c>
      <c r="F5" t="s">
        <v>2997</v>
      </c>
      <c r="G5" t="s">
        <v>7960</v>
      </c>
      <c r="H5" t="s">
        <v>7960</v>
      </c>
      <c r="I5" t="s">
        <v>7960</v>
      </c>
      <c r="J5" t="s">
        <v>7960</v>
      </c>
      <c r="K5" t="s">
        <v>7962</v>
      </c>
      <c r="L5" s="1">
        <v>41487</v>
      </c>
      <c r="M5" t="s">
        <v>3527</v>
      </c>
    </row>
    <row r="6" spans="1:13" x14ac:dyDescent="0.3">
      <c r="A6" s="156" t="s">
        <v>57</v>
      </c>
      <c r="B6" s="2" t="s">
        <v>1538</v>
      </c>
      <c r="C6" s="2" t="s">
        <v>2964</v>
      </c>
      <c r="D6">
        <v>148.52856333333332</v>
      </c>
      <c r="E6">
        <v>145.60782487840606</v>
      </c>
      <c r="F6" t="s">
        <v>2997</v>
      </c>
      <c r="G6" t="s">
        <v>7960</v>
      </c>
      <c r="H6" t="s">
        <v>7960</v>
      </c>
      <c r="I6" t="s">
        <v>7960</v>
      </c>
      <c r="J6" t="s">
        <v>7960</v>
      </c>
      <c r="K6" t="s">
        <v>7962</v>
      </c>
      <c r="L6" s="1">
        <v>41487</v>
      </c>
      <c r="M6" t="s">
        <v>3527</v>
      </c>
    </row>
    <row r="7" spans="1:13" x14ac:dyDescent="0.3">
      <c r="A7" s="156" t="s">
        <v>140</v>
      </c>
      <c r="B7" s="2" t="s">
        <v>1618</v>
      </c>
      <c r="C7" s="2" t="s">
        <v>2964</v>
      </c>
      <c r="D7">
        <v>148.52856333333332</v>
      </c>
      <c r="E7">
        <v>145.60782487840606</v>
      </c>
      <c r="F7" t="s">
        <v>2997</v>
      </c>
      <c r="G7" t="s">
        <v>7960</v>
      </c>
      <c r="H7" t="s">
        <v>7960</v>
      </c>
      <c r="I7" t="s">
        <v>7960</v>
      </c>
      <c r="J7" t="s">
        <v>7960</v>
      </c>
      <c r="K7" t="s">
        <v>7962</v>
      </c>
      <c r="L7" s="157"/>
      <c r="M7" t="s">
        <v>3527</v>
      </c>
    </row>
    <row r="8" spans="1:13" x14ac:dyDescent="0.3">
      <c r="A8" s="156" t="s">
        <v>3235</v>
      </c>
      <c r="B8" s="2" t="s">
        <v>3432</v>
      </c>
      <c r="C8" s="2" t="s">
        <v>2964</v>
      </c>
      <c r="D8">
        <v>148.52856333333332</v>
      </c>
      <c r="E8">
        <v>145.60782487840606</v>
      </c>
      <c r="F8" t="s">
        <v>2997</v>
      </c>
      <c r="G8" t="s">
        <v>7960</v>
      </c>
      <c r="H8" t="s">
        <v>7960</v>
      </c>
      <c r="I8" t="s">
        <v>7960</v>
      </c>
      <c r="J8" t="s">
        <v>7960</v>
      </c>
      <c r="K8" t="s">
        <v>7962</v>
      </c>
      <c r="L8" s="157"/>
      <c r="M8" t="s">
        <v>3527</v>
      </c>
    </row>
    <row r="9" spans="1:13" x14ac:dyDescent="0.3">
      <c r="A9" s="156" t="s">
        <v>1469</v>
      </c>
      <c r="B9" s="2" t="s">
        <v>2896</v>
      </c>
      <c r="C9" s="2" t="s">
        <v>2963</v>
      </c>
      <c r="D9">
        <v>148.52856333333332</v>
      </c>
      <c r="E9">
        <v>145.60782487840606</v>
      </c>
      <c r="F9" t="s">
        <v>2997</v>
      </c>
      <c r="G9" t="s">
        <v>7960</v>
      </c>
      <c r="H9" t="s">
        <v>7960</v>
      </c>
      <c r="I9" t="s">
        <v>7960</v>
      </c>
      <c r="J9" t="s">
        <v>7960</v>
      </c>
      <c r="K9" s="1" t="s">
        <v>7962</v>
      </c>
      <c r="L9" s="157">
        <v>41487</v>
      </c>
      <c r="M9" t="s">
        <v>3527</v>
      </c>
    </row>
    <row r="10" spans="1:13" x14ac:dyDescent="0.3">
      <c r="A10" s="156"/>
      <c r="B10" s="2"/>
      <c r="C10" s="2"/>
      <c r="L10" s="157"/>
    </row>
    <row r="11" spans="1:13" x14ac:dyDescent="0.3">
      <c r="A11" s="156"/>
      <c r="B11" s="2"/>
      <c r="C11" s="2"/>
      <c r="L11" s="157"/>
    </row>
    <row r="12" spans="1:13" x14ac:dyDescent="0.3">
      <c r="A12" s="156"/>
      <c r="B12" s="2"/>
      <c r="C12" s="2"/>
      <c r="L12" s="157"/>
    </row>
    <row r="13" spans="1:13" x14ac:dyDescent="0.3">
      <c r="A13" s="156"/>
      <c r="B13" s="2"/>
      <c r="C13" s="2"/>
      <c r="L13" s="157"/>
    </row>
    <row r="14" spans="1:13" x14ac:dyDescent="0.3">
      <c r="A14" s="156"/>
      <c r="B14" s="2"/>
      <c r="C14" s="2"/>
      <c r="L14" s="157"/>
    </row>
    <row r="15" spans="1:13" x14ac:dyDescent="0.3">
      <c r="A15" s="156"/>
      <c r="B15" s="2"/>
      <c r="C15" s="2"/>
      <c r="L15" s="157"/>
    </row>
    <row r="16" spans="1:13" x14ac:dyDescent="0.3">
      <c r="A16" s="156"/>
      <c r="B16" s="2"/>
      <c r="C16" s="2"/>
      <c r="L16" s="157"/>
    </row>
    <row r="17" spans="1:12" x14ac:dyDescent="0.3">
      <c r="A17" s="156"/>
      <c r="B17" s="2"/>
      <c r="C17" s="2"/>
      <c r="L17" s="157"/>
    </row>
    <row r="18" spans="1:12" x14ac:dyDescent="0.3">
      <c r="A18" s="156"/>
      <c r="B18" s="2"/>
      <c r="C18" s="2"/>
      <c r="L18" s="157"/>
    </row>
    <row r="19" spans="1:12" x14ac:dyDescent="0.3">
      <c r="A19" s="156"/>
      <c r="B19" s="2"/>
      <c r="C19" s="2"/>
      <c r="L19" s="157"/>
    </row>
    <row r="20" spans="1:12" x14ac:dyDescent="0.3">
      <c r="A20" s="156"/>
      <c r="B20" s="2"/>
      <c r="C20" s="2"/>
      <c r="L20" s="157"/>
    </row>
    <row r="21" spans="1:12" x14ac:dyDescent="0.3">
      <c r="A21" s="156"/>
      <c r="B21" s="2"/>
      <c r="C21" s="2"/>
      <c r="L21" s="157"/>
    </row>
    <row r="22" spans="1:12" x14ac:dyDescent="0.3">
      <c r="A22" s="4"/>
      <c r="L22" s="1"/>
    </row>
    <row r="23" spans="1:12" x14ac:dyDescent="0.3">
      <c r="A23" s="156"/>
      <c r="B23" s="2"/>
      <c r="C23" s="2"/>
      <c r="L23" s="157"/>
    </row>
    <row r="24" spans="1:12" x14ac:dyDescent="0.3">
      <c r="A24" s="156"/>
      <c r="B24" s="2"/>
      <c r="C24" s="2"/>
      <c r="L24" s="157"/>
    </row>
    <row r="25" spans="1:12" x14ac:dyDescent="0.3">
      <c r="A25" s="156"/>
      <c r="B25" s="2"/>
      <c r="C25" s="2"/>
      <c r="L25" s="157"/>
    </row>
    <row r="26" spans="1:12" x14ac:dyDescent="0.3">
      <c r="A26" s="156"/>
      <c r="B26" s="2"/>
      <c r="C26" s="2"/>
      <c r="L26" s="157"/>
    </row>
    <row r="27" spans="1:12" x14ac:dyDescent="0.3">
      <c r="A27" s="156"/>
      <c r="B27" s="2"/>
      <c r="C27" s="2"/>
      <c r="L27" s="157"/>
    </row>
    <row r="28" spans="1:12" x14ac:dyDescent="0.3">
      <c r="A28" s="156"/>
      <c r="B28" s="2"/>
      <c r="C28" s="2"/>
      <c r="L28" s="157"/>
    </row>
    <row r="29" spans="1:12" x14ac:dyDescent="0.3">
      <c r="A29" s="160"/>
      <c r="B29" s="5"/>
      <c r="C29" s="5"/>
      <c r="L29" s="162"/>
    </row>
    <row r="30" spans="1:12" x14ac:dyDescent="0.3">
      <c r="A30" s="156"/>
      <c r="B30" s="2"/>
      <c r="C30" s="2"/>
      <c r="L30" s="157"/>
    </row>
    <row r="31" spans="1:12" x14ac:dyDescent="0.3">
      <c r="A31" s="156"/>
      <c r="B31" s="2"/>
      <c r="C31" s="2"/>
      <c r="L31" s="157"/>
    </row>
    <row r="32" spans="1:12" x14ac:dyDescent="0.3">
      <c r="A32" s="156"/>
      <c r="B32" s="2"/>
      <c r="C32" s="2"/>
      <c r="L32" s="157"/>
    </row>
    <row r="33" spans="1:12" x14ac:dyDescent="0.3">
      <c r="A33" s="4"/>
      <c r="L33" s="1"/>
    </row>
    <row r="34" spans="1:12" x14ac:dyDescent="0.3">
      <c r="A34" s="156"/>
      <c r="B34" s="2"/>
      <c r="C34" s="2"/>
      <c r="L34" s="157"/>
    </row>
    <row r="35" spans="1:12" x14ac:dyDescent="0.3">
      <c r="A35" s="156"/>
      <c r="B35" s="2"/>
      <c r="C35" s="2"/>
      <c r="L35" s="157"/>
    </row>
    <row r="36" spans="1:12" x14ac:dyDescent="0.3">
      <c r="A36" s="156"/>
      <c r="B36" s="2"/>
      <c r="C36" s="2"/>
      <c r="L36" s="157"/>
    </row>
    <row r="37" spans="1:12" x14ac:dyDescent="0.3">
      <c r="A37" s="156"/>
      <c r="B37" s="2"/>
      <c r="C37" s="2"/>
      <c r="L37" s="157"/>
    </row>
    <row r="38" spans="1:12" x14ac:dyDescent="0.3">
      <c r="A38" s="156"/>
      <c r="B38" s="2"/>
      <c r="C38" s="2"/>
      <c r="L38" s="157"/>
    </row>
    <row r="39" spans="1:12" x14ac:dyDescent="0.3">
      <c r="A39" s="156"/>
      <c r="B39" s="2"/>
      <c r="C39" s="2"/>
      <c r="L39" s="157"/>
    </row>
    <row r="40" spans="1:12" x14ac:dyDescent="0.3">
      <c r="A40" s="156"/>
      <c r="B40" s="2"/>
      <c r="C40" s="2"/>
      <c r="L40" s="157"/>
    </row>
    <row r="41" spans="1:12" x14ac:dyDescent="0.3">
      <c r="A41" s="156"/>
      <c r="B41" s="2"/>
      <c r="C41" s="2"/>
      <c r="L41" s="157"/>
    </row>
    <row r="42" spans="1:12" x14ac:dyDescent="0.3">
      <c r="A42" s="156"/>
      <c r="B42" s="2"/>
      <c r="C42" s="2"/>
      <c r="L42" s="157"/>
    </row>
    <row r="43" spans="1:12" x14ac:dyDescent="0.3">
      <c r="A43" s="156"/>
      <c r="B43" s="2"/>
      <c r="C43" s="2"/>
      <c r="L43" s="157"/>
    </row>
    <row r="44" spans="1:12" x14ac:dyDescent="0.3">
      <c r="A44" s="156"/>
      <c r="B44" s="2"/>
      <c r="C44" s="2"/>
      <c r="L44" s="157"/>
    </row>
    <row r="45" spans="1:12" x14ac:dyDescent="0.3">
      <c r="A45" s="156"/>
      <c r="B45" s="2"/>
      <c r="C45" s="2"/>
      <c r="L45" s="157"/>
    </row>
    <row r="46" spans="1:12" x14ac:dyDescent="0.3">
      <c r="A46" s="156"/>
      <c r="B46" s="2"/>
      <c r="C46" s="2"/>
      <c r="L46" s="157"/>
    </row>
    <row r="47" spans="1:12" x14ac:dyDescent="0.3">
      <c r="A47" s="156"/>
      <c r="B47" s="2"/>
      <c r="C47" s="2"/>
      <c r="L47" s="157"/>
    </row>
    <row r="48" spans="1:12" x14ac:dyDescent="0.3">
      <c r="A48" s="156"/>
      <c r="B48" s="2"/>
      <c r="C48" s="2"/>
      <c r="L48" s="157"/>
    </row>
    <row r="49" spans="1:12" x14ac:dyDescent="0.3">
      <c r="A49" s="156"/>
      <c r="B49" s="2"/>
      <c r="C49" s="2"/>
      <c r="L49" s="157"/>
    </row>
    <row r="50" spans="1:12" x14ac:dyDescent="0.3">
      <c r="A50" s="4"/>
      <c r="L50" s="1"/>
    </row>
    <row r="51" spans="1:12" x14ac:dyDescent="0.3">
      <c r="A51" s="156"/>
      <c r="B51" s="2"/>
      <c r="C51" s="2"/>
      <c r="L51" s="157"/>
    </row>
    <row r="52" spans="1:12" x14ac:dyDescent="0.3">
      <c r="A52" s="156"/>
      <c r="B52" s="2"/>
      <c r="C52" s="2"/>
      <c r="L52" s="157"/>
    </row>
    <row r="53" spans="1:12" x14ac:dyDescent="0.3">
      <c r="A53" s="156"/>
      <c r="B53" s="2"/>
      <c r="C53" s="2"/>
      <c r="L53" s="157"/>
    </row>
    <row r="54" spans="1:12" x14ac:dyDescent="0.3">
      <c r="A54" s="156"/>
      <c r="B54" s="2"/>
      <c r="C54" s="2"/>
      <c r="L54" s="157"/>
    </row>
    <row r="55" spans="1:12" x14ac:dyDescent="0.3">
      <c r="A55" s="156"/>
      <c r="B55" s="2"/>
      <c r="C55" s="2"/>
      <c r="L55" s="157"/>
    </row>
    <row r="56" spans="1:12" x14ac:dyDescent="0.3">
      <c r="A56" s="156"/>
      <c r="B56" s="2"/>
      <c r="C56" s="2"/>
      <c r="L56" s="157"/>
    </row>
    <row r="57" spans="1:12" x14ac:dyDescent="0.3">
      <c r="A57" s="156"/>
      <c r="B57" s="2"/>
      <c r="C57" s="2"/>
      <c r="L57" s="157"/>
    </row>
    <row r="58" spans="1:12" x14ac:dyDescent="0.3">
      <c r="A58" s="156"/>
      <c r="B58" s="2"/>
      <c r="C58" s="2"/>
      <c r="L58" s="157"/>
    </row>
    <row r="59" spans="1:12" x14ac:dyDescent="0.3">
      <c r="A59" s="156"/>
      <c r="B59" s="2"/>
      <c r="C59" s="2"/>
      <c r="L59" s="157"/>
    </row>
    <row r="60" spans="1:12" x14ac:dyDescent="0.3">
      <c r="A60" s="156"/>
      <c r="B60" s="2"/>
      <c r="C60" s="2"/>
      <c r="L60" s="157"/>
    </row>
    <row r="61" spans="1:12" x14ac:dyDescent="0.3">
      <c r="A61" s="156"/>
      <c r="B61" s="2"/>
      <c r="C61" s="2"/>
      <c r="L61" s="157"/>
    </row>
    <row r="62" spans="1:12" x14ac:dyDescent="0.3">
      <c r="A62" s="156"/>
      <c r="B62" s="2"/>
      <c r="C62" s="2"/>
      <c r="L62" s="157"/>
    </row>
    <row r="63" spans="1:12" x14ac:dyDescent="0.3">
      <c r="A63" s="156"/>
      <c r="B63" s="2"/>
      <c r="C63" s="2"/>
      <c r="L63" s="157"/>
    </row>
    <row r="64" spans="1:12" x14ac:dyDescent="0.3">
      <c r="A64" s="156"/>
      <c r="B64" s="2"/>
      <c r="C64" s="2"/>
      <c r="L64" s="157"/>
    </row>
    <row r="65" spans="1:12" x14ac:dyDescent="0.3">
      <c r="A65" s="156"/>
      <c r="B65" s="2"/>
      <c r="C65" s="2"/>
      <c r="L65" s="157"/>
    </row>
    <row r="66" spans="1:12" x14ac:dyDescent="0.3">
      <c r="A66" s="156"/>
      <c r="B66" s="2"/>
      <c r="C66" s="2"/>
      <c r="L66" s="157"/>
    </row>
    <row r="67" spans="1:12" x14ac:dyDescent="0.3">
      <c r="A67" s="156"/>
      <c r="B67" s="2"/>
      <c r="C67" s="2"/>
      <c r="L67" s="157"/>
    </row>
    <row r="68" spans="1:12" x14ac:dyDescent="0.3">
      <c r="A68" s="156"/>
      <c r="B68" s="2"/>
      <c r="C68" s="2"/>
      <c r="L68" s="157"/>
    </row>
    <row r="69" spans="1:12" x14ac:dyDescent="0.3">
      <c r="A69" s="156"/>
      <c r="B69" s="2"/>
      <c r="C69" s="2"/>
      <c r="L69" s="157"/>
    </row>
    <row r="70" spans="1:12" x14ac:dyDescent="0.3">
      <c r="A70" s="156"/>
      <c r="B70" s="2"/>
      <c r="C70" s="2"/>
      <c r="L70" s="157"/>
    </row>
    <row r="71" spans="1:12" x14ac:dyDescent="0.3">
      <c r="A71" s="156"/>
      <c r="B71" s="2"/>
      <c r="C71" s="2"/>
      <c r="L71" s="157"/>
    </row>
    <row r="72" spans="1:12" x14ac:dyDescent="0.3">
      <c r="A72" s="156"/>
      <c r="B72" s="2"/>
      <c r="C72" s="2"/>
      <c r="L72" s="157"/>
    </row>
    <row r="73" spans="1:12" x14ac:dyDescent="0.3">
      <c r="A73" s="156"/>
      <c r="B73" s="2"/>
      <c r="C73" s="2"/>
      <c r="L73" s="157"/>
    </row>
    <row r="74" spans="1:12" x14ac:dyDescent="0.3">
      <c r="A74" s="156"/>
      <c r="B74" s="2"/>
      <c r="C74" s="2"/>
      <c r="L74" s="157"/>
    </row>
    <row r="75" spans="1:12" x14ac:dyDescent="0.3">
      <c r="A75" s="156"/>
      <c r="B75" s="2"/>
      <c r="C75" s="2"/>
      <c r="L75" s="157"/>
    </row>
    <row r="76" spans="1:12" x14ac:dyDescent="0.3">
      <c r="A76" s="156"/>
      <c r="B76" s="2"/>
      <c r="C76" s="2"/>
      <c r="L76" s="157"/>
    </row>
    <row r="77" spans="1:12" x14ac:dyDescent="0.3">
      <c r="A77" s="156"/>
      <c r="B77" s="2"/>
      <c r="C77" s="2"/>
      <c r="L77" s="157"/>
    </row>
    <row r="78" spans="1:12" x14ac:dyDescent="0.3">
      <c r="A78" s="156"/>
      <c r="B78" s="2"/>
      <c r="C78" s="2"/>
      <c r="L78" s="157"/>
    </row>
    <row r="79" spans="1:12" x14ac:dyDescent="0.3">
      <c r="A79" s="156"/>
      <c r="B79" s="2"/>
      <c r="C79" s="2"/>
      <c r="L79" s="157"/>
    </row>
    <row r="80" spans="1:12" x14ac:dyDescent="0.3">
      <c r="A80" s="156"/>
      <c r="B80" s="2"/>
      <c r="C80" s="2"/>
      <c r="L80" s="157"/>
    </row>
    <row r="81" spans="1:12" x14ac:dyDescent="0.3">
      <c r="A81" s="156"/>
      <c r="B81" s="2"/>
      <c r="C81" s="2"/>
      <c r="L81" s="157"/>
    </row>
    <row r="82" spans="1:12" x14ac:dyDescent="0.3">
      <c r="A82" s="156"/>
      <c r="B82" s="2"/>
      <c r="C82" s="2"/>
      <c r="L82" s="157"/>
    </row>
    <row r="83" spans="1:12" x14ac:dyDescent="0.3">
      <c r="A83" s="156"/>
      <c r="B83" s="2"/>
      <c r="C83" s="2"/>
      <c r="L83" s="157"/>
    </row>
    <row r="84" spans="1:12" x14ac:dyDescent="0.3">
      <c r="A84" s="156"/>
      <c r="B84" s="2"/>
      <c r="C84" s="2"/>
      <c r="L84" s="157"/>
    </row>
    <row r="85" spans="1:12" x14ac:dyDescent="0.3">
      <c r="A85" s="156"/>
      <c r="B85" s="2"/>
      <c r="C85" s="2"/>
      <c r="L85" s="157"/>
    </row>
    <row r="86" spans="1:12" x14ac:dyDescent="0.3">
      <c r="A86" s="156"/>
      <c r="B86" s="2"/>
      <c r="C86" s="2"/>
      <c r="L86" s="157"/>
    </row>
    <row r="87" spans="1:12" x14ac:dyDescent="0.3">
      <c r="A87" s="156"/>
      <c r="B87" s="2"/>
      <c r="C87" s="2"/>
      <c r="L87" s="157"/>
    </row>
    <row r="88" spans="1:12" x14ac:dyDescent="0.3">
      <c r="A88" s="156"/>
      <c r="B88" s="2"/>
      <c r="C88" s="2"/>
      <c r="L88" s="157"/>
    </row>
    <row r="89" spans="1:12" x14ac:dyDescent="0.3">
      <c r="A89" s="156"/>
      <c r="B89" s="2"/>
      <c r="C89" s="2"/>
      <c r="L89" s="157"/>
    </row>
    <row r="90" spans="1:12" x14ac:dyDescent="0.3">
      <c r="A90" s="156"/>
      <c r="B90" s="2"/>
      <c r="C90" s="2"/>
      <c r="L90" s="157"/>
    </row>
    <row r="91" spans="1:12" x14ac:dyDescent="0.3">
      <c r="A91" s="156"/>
      <c r="B91" s="2"/>
      <c r="C91" s="2"/>
      <c r="L91" s="157"/>
    </row>
    <row r="92" spans="1:12" x14ac:dyDescent="0.3">
      <c r="A92" s="156"/>
      <c r="B92" s="2"/>
      <c r="C92" s="2"/>
      <c r="L92" s="157"/>
    </row>
    <row r="93" spans="1:12" x14ac:dyDescent="0.3">
      <c r="A93" s="156"/>
      <c r="B93" s="2"/>
      <c r="C93" s="2"/>
      <c r="L93" s="157"/>
    </row>
    <row r="94" spans="1:12" x14ac:dyDescent="0.3">
      <c r="A94" s="156"/>
      <c r="B94" s="2"/>
      <c r="C94" s="2"/>
      <c r="L94" s="157"/>
    </row>
    <row r="95" spans="1:12" x14ac:dyDescent="0.3">
      <c r="A95" s="156"/>
      <c r="B95" s="2"/>
      <c r="C95" s="2"/>
      <c r="L95" s="157"/>
    </row>
    <row r="96" spans="1:12" x14ac:dyDescent="0.3">
      <c r="A96" s="156"/>
      <c r="B96" s="2"/>
      <c r="C96" s="2"/>
      <c r="L96" s="157"/>
    </row>
    <row r="97" spans="1:12" x14ac:dyDescent="0.3">
      <c r="A97" s="156"/>
      <c r="B97" s="2"/>
      <c r="C97" s="2"/>
      <c r="L97" s="157"/>
    </row>
    <row r="98" spans="1:12" x14ac:dyDescent="0.3">
      <c r="A98" s="156"/>
      <c r="B98" s="2"/>
      <c r="C98" s="2"/>
      <c r="L98" s="157"/>
    </row>
    <row r="99" spans="1:12" x14ac:dyDescent="0.3">
      <c r="A99" s="156"/>
      <c r="B99" s="2"/>
      <c r="C99" s="2"/>
      <c r="L99" s="157"/>
    </row>
    <row r="100" spans="1:12" x14ac:dyDescent="0.3">
      <c r="A100" s="156"/>
      <c r="B100" s="2"/>
      <c r="C100" s="2"/>
      <c r="L100" s="157"/>
    </row>
    <row r="101" spans="1:12" x14ac:dyDescent="0.3">
      <c r="A101" s="156"/>
      <c r="B101" s="2"/>
      <c r="C101" s="2"/>
      <c r="L101" s="157"/>
    </row>
    <row r="102" spans="1:12" x14ac:dyDescent="0.3">
      <c r="A102" s="156"/>
      <c r="B102" s="2"/>
      <c r="C102" s="2"/>
      <c r="L102" s="157"/>
    </row>
    <row r="103" spans="1:12" x14ac:dyDescent="0.3">
      <c r="A103" s="156"/>
      <c r="B103" s="2"/>
      <c r="C103" s="2"/>
      <c r="L103" s="157"/>
    </row>
    <row r="104" spans="1:12" x14ac:dyDescent="0.3">
      <c r="A104" s="156"/>
      <c r="B104" s="2"/>
      <c r="C104" s="2"/>
      <c r="L104" s="157"/>
    </row>
    <row r="105" spans="1:12" x14ac:dyDescent="0.3">
      <c r="A105" s="156"/>
      <c r="B105" s="2"/>
      <c r="C105" s="2"/>
      <c r="L105" s="157"/>
    </row>
    <row r="106" spans="1:12" x14ac:dyDescent="0.3">
      <c r="A106" s="156"/>
      <c r="B106" s="2"/>
      <c r="C106" s="2"/>
      <c r="L106" s="157"/>
    </row>
    <row r="107" spans="1:12" x14ac:dyDescent="0.3">
      <c r="A107" s="156"/>
      <c r="B107" s="2"/>
      <c r="C107" s="2"/>
      <c r="L107" s="157"/>
    </row>
    <row r="108" spans="1:12" x14ac:dyDescent="0.3">
      <c r="A108" s="156"/>
      <c r="B108" s="2"/>
      <c r="C108" s="2"/>
      <c r="L108" s="157"/>
    </row>
    <row r="109" spans="1:12" x14ac:dyDescent="0.3">
      <c r="A109" s="156"/>
      <c r="B109" s="2"/>
      <c r="C109" s="2"/>
      <c r="L109" s="157"/>
    </row>
    <row r="110" spans="1:12" x14ac:dyDescent="0.3">
      <c r="A110" s="156"/>
      <c r="B110" s="2"/>
      <c r="C110" s="2"/>
      <c r="L110" s="157"/>
    </row>
    <row r="111" spans="1:12" x14ac:dyDescent="0.3">
      <c r="A111" s="156"/>
      <c r="B111" s="2"/>
      <c r="C111" s="2"/>
      <c r="L111" s="157"/>
    </row>
    <row r="112" spans="1:12" x14ac:dyDescent="0.3">
      <c r="A112" s="156"/>
      <c r="B112" s="2"/>
      <c r="C112" s="2"/>
      <c r="L112" s="157"/>
    </row>
    <row r="113" spans="1:12" x14ac:dyDescent="0.3">
      <c r="A113" s="156"/>
      <c r="B113" s="2"/>
      <c r="C113" s="2"/>
      <c r="L113" s="157"/>
    </row>
    <row r="114" spans="1:12" x14ac:dyDescent="0.3">
      <c r="A114" s="156"/>
      <c r="B114" s="2"/>
      <c r="C114" s="2"/>
      <c r="L114" s="157"/>
    </row>
    <row r="115" spans="1:12" x14ac:dyDescent="0.3">
      <c r="A115" s="156"/>
      <c r="B115" s="2"/>
      <c r="C115" s="2"/>
      <c r="L115" s="157"/>
    </row>
    <row r="116" spans="1:12" x14ac:dyDescent="0.3">
      <c r="A116" s="156"/>
      <c r="B116" s="2"/>
      <c r="C116" s="2"/>
      <c r="L116" s="157"/>
    </row>
    <row r="117" spans="1:12" x14ac:dyDescent="0.3">
      <c r="A117" s="156"/>
      <c r="B117" s="2"/>
      <c r="C117" s="2"/>
      <c r="L117" s="157"/>
    </row>
    <row r="118" spans="1:12" x14ac:dyDescent="0.3">
      <c r="A118" s="156"/>
      <c r="B118" s="2"/>
      <c r="C118" s="2"/>
      <c r="L118" s="157"/>
    </row>
    <row r="119" spans="1:12" x14ac:dyDescent="0.3">
      <c r="A119" s="156"/>
      <c r="B119" s="2"/>
      <c r="C119" s="2"/>
      <c r="L119" s="157"/>
    </row>
    <row r="120" spans="1:12" x14ac:dyDescent="0.3">
      <c r="A120" s="156"/>
      <c r="B120" s="2"/>
      <c r="C120" s="2"/>
      <c r="L120" s="157"/>
    </row>
    <row r="121" spans="1:12" x14ac:dyDescent="0.3">
      <c r="A121" s="156"/>
      <c r="B121" s="2"/>
      <c r="C121" s="2"/>
      <c r="L121" s="157"/>
    </row>
    <row r="122" spans="1:12" x14ac:dyDescent="0.3">
      <c r="A122" s="156"/>
      <c r="B122" s="2"/>
      <c r="C122" s="2"/>
      <c r="L122" s="157"/>
    </row>
    <row r="123" spans="1:12" x14ac:dyDescent="0.3">
      <c r="A123" s="156"/>
      <c r="B123" s="2"/>
      <c r="C123" s="2"/>
      <c r="L123" s="157"/>
    </row>
    <row r="124" spans="1:12" x14ac:dyDescent="0.3">
      <c r="A124" s="156"/>
      <c r="B124" s="2"/>
      <c r="C124" s="2"/>
      <c r="L124" s="157"/>
    </row>
    <row r="125" spans="1:12" x14ac:dyDescent="0.3">
      <c r="A125" s="156"/>
      <c r="B125" s="2"/>
      <c r="C125" s="2"/>
      <c r="L125" s="157"/>
    </row>
    <row r="126" spans="1:12" x14ac:dyDescent="0.3">
      <c r="A126" s="156"/>
      <c r="B126" s="2"/>
      <c r="C126" s="2"/>
      <c r="L126" s="157"/>
    </row>
    <row r="127" spans="1:12" x14ac:dyDescent="0.3">
      <c r="A127" s="156"/>
      <c r="B127" s="2"/>
      <c r="C127" s="2"/>
      <c r="L127" s="157"/>
    </row>
    <row r="128" spans="1:12" x14ac:dyDescent="0.3">
      <c r="A128" s="156"/>
      <c r="B128" s="2"/>
      <c r="C128" s="2"/>
      <c r="L128" s="157"/>
    </row>
    <row r="129" spans="1:12" x14ac:dyDescent="0.3">
      <c r="A129" s="156"/>
      <c r="B129" s="2"/>
      <c r="C129" s="2"/>
      <c r="L129" s="157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1</vt:i4>
      </vt:variant>
    </vt:vector>
  </HeadingPairs>
  <TitlesOfParts>
    <vt:vector size="17" baseType="lpstr">
      <vt:lpstr>Main</vt:lpstr>
      <vt:lpstr>Universe</vt:lpstr>
      <vt:lpstr>Schedule</vt:lpstr>
      <vt:lpstr>Schedule2</vt:lpstr>
      <vt:lpstr>Earing_s</vt:lpstr>
      <vt:lpstr>Bookvalue&amp;OP</vt:lpstr>
      <vt:lpstr>최종</vt:lpstr>
      <vt:lpstr>W1</vt:lpstr>
      <vt:lpstr>W2</vt:lpstr>
      <vt:lpstr>W3</vt:lpstr>
      <vt:lpstr>W4</vt:lpstr>
      <vt:lpstr>Trend</vt:lpstr>
      <vt:lpstr>liquidity</vt:lpstr>
      <vt:lpstr>Before</vt:lpstr>
      <vt:lpstr>After</vt:lpstr>
      <vt:lpstr>EMS</vt:lpstr>
      <vt:lpstr>quantwise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EMP20120626</dc:creator>
  <cp:lastModifiedBy>Jim Sjoo Kwag</cp:lastModifiedBy>
  <cp:lastPrinted>2012-10-18T00:56:35Z</cp:lastPrinted>
  <dcterms:created xsi:type="dcterms:W3CDTF">2012-10-17T23:03:27Z</dcterms:created>
  <dcterms:modified xsi:type="dcterms:W3CDTF">2017-05-12T13:22:23Z</dcterms:modified>
</cp:coreProperties>
</file>