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1cb6e67d8734bf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모두의 오피스\"/>
    </mc:Choice>
  </mc:AlternateContent>
  <bookViews>
    <workbookView xWindow="105" yWindow="105" windowWidth="9000" windowHeight="7995" xr2:uid="{00000000-000D-0000-FFFF-FFFF00000000}"/>
  </bookViews>
  <sheets>
    <sheet name="재산상이익현황(승인용)" sheetId="2" r:id="rId1"/>
    <sheet name="연간제공한도관리" sheetId="3" r:id="rId2"/>
    <sheet name="관계법령" sheetId="10" r:id="rId3"/>
  </sheets>
  <definedNames>
    <definedName name="_xlnm.Print_Area" localSheetId="0">'재산상이익현황(승인용)'!$B$2:$I$106</definedName>
    <definedName name="인별합계">OFFSET(연간제공한도관리!C1,0,0,1,COUNTA(연간제공한도관리!C1:XFC1))</definedName>
  </definedNames>
  <calcPr calcId="171027"/>
</workbook>
</file>

<file path=xl/calcChain.xml><?xml version="1.0" encoding="utf-8"?>
<calcChain xmlns="http://schemas.openxmlformats.org/spreadsheetml/2006/main">
  <c r="E86" i="2" l="1"/>
  <c r="E85" i="2"/>
  <c r="E84" i="2"/>
  <c r="E83" i="2"/>
  <c r="E82" i="2"/>
  <c r="E81" i="2"/>
  <c r="E80" i="2"/>
  <c r="E79" i="2"/>
  <c r="E78" i="2"/>
  <c r="E77" i="2"/>
  <c r="E73" i="2"/>
  <c r="E72" i="2"/>
  <c r="E71" i="2"/>
  <c r="E70" i="2"/>
  <c r="E69" i="2"/>
  <c r="E67" i="2"/>
  <c r="E66" i="2"/>
  <c r="E65" i="2"/>
  <c r="E62" i="2"/>
  <c r="E61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B11" i="3" l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10" i="3"/>
  <c r="B9" i="3"/>
  <c r="B8" i="3"/>
  <c r="B7" i="3"/>
  <c r="B6" i="3"/>
  <c r="B5" i="3"/>
  <c r="N5" i="2" l="1"/>
  <c r="B4" i="3" l="1"/>
</calcChain>
</file>

<file path=xl/sharedStrings.xml><?xml version="1.0" encoding="utf-8"?>
<sst xmlns="http://schemas.openxmlformats.org/spreadsheetml/2006/main" count="773" uniqueCount="438">
  <si>
    <t>일자</t>
  </si>
  <si>
    <t>사용내용</t>
  </si>
  <si>
    <t>제공목적</t>
  </si>
  <si>
    <t>제공금액</t>
  </si>
  <si>
    <t>사용자</t>
  </si>
  <si>
    <t>수령자</t>
  </si>
  <si>
    <t>장소</t>
  </si>
  <si>
    <t>식사</t>
    <phoneticPr fontId="4" type="noConversion"/>
  </si>
  <si>
    <t>수령기관</t>
    <phoneticPr fontId="4" type="noConversion"/>
  </si>
  <si>
    <t>식사</t>
    <phoneticPr fontId="4" type="noConversion"/>
  </si>
  <si>
    <t>식사</t>
    <phoneticPr fontId="4" type="noConversion"/>
  </si>
  <si>
    <t>피에스텍</t>
    <phoneticPr fontId="4" type="noConversion"/>
  </si>
  <si>
    <t>식사</t>
    <phoneticPr fontId="4" type="noConversion"/>
  </si>
  <si>
    <t>정성엽</t>
    <phoneticPr fontId="4" type="noConversion"/>
  </si>
  <si>
    <t>식사</t>
    <phoneticPr fontId="4" type="noConversion"/>
  </si>
  <si>
    <t>식사</t>
    <phoneticPr fontId="4" type="noConversion"/>
  </si>
  <si>
    <t>현희승</t>
    <phoneticPr fontId="4" type="noConversion"/>
  </si>
  <si>
    <t>식사</t>
    <phoneticPr fontId="4" type="noConversion"/>
  </si>
  <si>
    <t>식사</t>
    <phoneticPr fontId="4" type="noConversion"/>
  </si>
  <si>
    <t>식사</t>
    <phoneticPr fontId="4" type="noConversion"/>
  </si>
  <si>
    <t>식사</t>
    <phoneticPr fontId="4" type="noConversion"/>
  </si>
  <si>
    <t>최규형</t>
    <phoneticPr fontId="4" type="noConversion"/>
  </si>
  <si>
    <t>식사</t>
    <phoneticPr fontId="4" type="noConversion"/>
  </si>
  <si>
    <t>한수길</t>
    <phoneticPr fontId="4" type="noConversion"/>
  </si>
  <si>
    <t>이창민</t>
    <phoneticPr fontId="4" type="noConversion"/>
  </si>
  <si>
    <t>업무협조</t>
    <phoneticPr fontId="4" type="noConversion"/>
  </si>
  <si>
    <t>전현진 외4</t>
    <phoneticPr fontId="4" type="noConversion"/>
  </si>
  <si>
    <t>합계</t>
    <phoneticPr fontId="4" type="noConversion"/>
  </si>
  <si>
    <t>홍준표</t>
    <phoneticPr fontId="4" type="noConversion"/>
  </si>
  <si>
    <t>최규형</t>
  </si>
  <si>
    <t>황현일</t>
  </si>
  <si>
    <t>황재호</t>
    <phoneticPr fontId="4" type="noConversion"/>
  </si>
  <si>
    <t>제5장 재산상 이익의 제공 및 수령</t>
  </si>
  <si>
    <t>①</t>
  </si>
  <si>
    <t>이 장의 규정은 금융투자업규정 제4-18조, 제4-61조, 제4-62조, 제4-76조, 제4-92조 및 제8-19조의10에 따라 금융투자회사 및 신용평가회사(이하 이 항에서 "금융투자회사등"이라 한다)가 해당 거래상대방(금융투자업규정에 의하여 금융투자회사등으로부터 재산상 이익을 제공받거나 금융투자회사등에 제공하는 자를 말한다. 이하 이 장에서 같다)에게 업무와 관련하여 금전, 물품, 편익 등(이하 이 장에서“재산상 이익”이라 한다)을 제공하거나 제공받는 경우 준수하여야 할 절차 및 한도 등을 정함을 목적으로 한다. &lt;개정 2009.10.27, 2013.9.27&gt;</t>
  </si>
  <si>
    <t>②</t>
  </si>
  <si>
    <t>제1항에 불구하고 다음 각 호의 어느 하나에 해당하는 경우에는 재산상 이익으로 보지 아니한다. &lt;개정 2009.10.27&gt;</t>
  </si>
  <si>
    <t>금융투자상품에 대한 가치분석·매매정보 또는 주문의 집행 등을 위하여 자체적으로 개발한 소프트웨어 및 해당 소프트웨어의 활용에 불가피한 컴퓨터 등 전산기기</t>
  </si>
  <si>
    <t>금융투자회사가 자체적으로 작성한 조사분석자료 &lt;개정 2009.10.27&gt;</t>
  </si>
  <si>
    <t>경제적 가치가 3만원 이하의 물품 또는 식사 &lt;개정 2009.10.27&gt;</t>
  </si>
  <si>
    <t>20만원 이하의 경조비 및 조화ㆍ화환 &lt;개정 2009.10.27&gt;</t>
  </si>
  <si>
    <t>국내에서 불특정 다수를 대상으로 하여 개최되는 세미나 또는 설명회로서 1인당 재산상 이익의 제공금액을 산정하기 곤란한 경우 그 비용. 이 경우 대표이사 또는 준법감시인은 그 비용의 적정성 등을 사전에 확인하여야 한다. &lt;신설 2009.10.27&gt;</t>
  </si>
  <si>
    <t> 제2-64조(재산상 이익의 가치 산정)</t>
  </si>
  <si>
    <t>재산상 이익의 가치는 다음과 같이 산정한다. &lt;개정 2009.10.27&gt;</t>
  </si>
  <si>
    <t>금전의 경우 해당 금액</t>
  </si>
  <si>
    <t>물품의 경우 구입비용</t>
  </si>
  <si>
    <t>접대의 경우 해당 접대에 소요된 비용. 다만, 금융투자회사 임직원과 거래상대방이 공동으로 참석한 경우 해당 비용은 전체 소요경비 중 거래상대방이 점유한 비율에 따라 산정된 금액으로 한다. &lt;개정 2009.10.27&gt;</t>
  </si>
  <si>
    <t>연수ㆍ기업설명회·기업탐방·세미나의 경우 거래상대방에게 직접적으로 제공되었거나 제공받은 비용</t>
  </si>
  <si>
    <t>제1호부터 제4호까지에 해당하지 아니하는 재산상 이익의 경우 해당 재산상 이익의 구입 또는 제공에 소요된 실비</t>
  </si>
  <si>
    <t> 제2-65조(재산상 이익의 제공한도)</t>
  </si>
  <si>
    <t>금융투자회사가 동일 거래상대방에게 1회당 제공할 수 있는 재산상 이익은 20만원을 초과할 수 없다. &lt;개정 2009.10.27&gt;</t>
  </si>
  <si>
    <t>금융투자회사가 연간 또는 동일 회계연도 기간 중 동일 거래상대방에게 제공할 수 있는 재산상 이익은 100만원을 초과할 수 없다. &lt;개정 2009.10.27&gt;</t>
  </si>
  <si>
    <t>③</t>
  </si>
  <si>
    <t>제1항 및 제2항에 불구하고 대표이사 또는 준법감시인의 사전승인을 받은 경우에는 제1항 및 제2항의 한도를 초과하여 재산상 이익을 제공할 수 있으며, 이 경우 금융투자회사가 연간 또는 동일 회계연도 기간 중 동일 거래상대방에게 제공할 수 있는 재산상 이익 한도는 다음 각 호와 같다. 다만, 부득이한 사유로 사전승인이 곤란한 경우에는 사후보고로 대체할 수 있다. &lt;개정 2013.3.29&gt;</t>
  </si>
  <si>
    <t>거래상대방이 투자자가 아닌 경우 500만원. 다만, 집합투자업자가 금융투자업규정 제4-61조제1항에 따라 집합투자증권의 판매와 관련하여 투자매매업자 또는 투자중개업자(그 임직원 및 투자권유대행인은 제외한다)에 제공하는 경우에는 대표이사 또는 준법감시인의 확인을 받아 한도 산정시 이를 제외할 수 있다. &lt;신설 2013.3.29&gt;</t>
  </si>
  <si>
    <t>거래상대방이 투자자인 경우 직전 또는 당해 회계연도 기간 중 금융투자회사가 당해 투자자로부터 받은 수수료 및 보수 등 합계액의 100분의 10과 500만원 중 큰 금액. 다만, 투자자가 법인, 그 밖의 단체인 경우 그 임직원에 대해서는 제1호에 따른 한도를 적용한다. &lt;신설 2013.3.29&gt;</t>
  </si>
  <si>
    <t>④</t>
  </si>
  <si>
    <t>영업수익이 1천억원 이하인 경우 100분의3과 10억원 중 큰 금액 &lt;신설 2009.10.27&gt;</t>
  </si>
  <si>
    <t>영업수익이 1천억원을 초과하는 경우 영업수익의 100분의1 또는 30억원 중 큰 금액 &lt;신설 2009.10.27&gt;</t>
  </si>
  <si>
    <t>⑤</t>
  </si>
  <si>
    <t>⑥</t>
  </si>
  <si>
    <t>신탁회사(신탁업을 영위하는 금융투자회사를 말한다. 이하 같다)가 토지신탁(신탁의 인수시에 신탁재산으로 토지 등을 수탁하고 신탁계약에 따라 토지 등에 건물, 택지, 공장용지 등의 유효시설을 조성하여 처분·임대 등 부동산 사업을 시행하고 그 성과를 수익자에게 교부하여 주는 신탁을 말한다. 이하 같다) 업무와 관련하여 신탁수익(토지비 및 사업이익을 말한다. 이하 같다)을 수익자에게 선지급할 경우에는 별표 15의 "토지신탁수익의 신탁종료 전 지급 기준"에 의한 선지급 금액을 초과할 수 없다. 이 경우 제1항부터 제5항까지의 규정은 적용하지 아니한다. &lt;신설 2009.12.14&gt;</t>
  </si>
  <si>
    <t> 제2-66조(재산상 이익의 수령한도)</t>
  </si>
  <si>
    <t>금융투자회사는 거래상대방으로부터 1회당 및 연간 또는 동일 회계연도 기간 중 제공받을 수 있는 재산상 이익의 한도를 정하여야 한다. 이 경우 해당 재산상 이익의 한도는 일반적으로 용인되는 사회적 상규를 초과하여서는 아니 된다. &lt;개정 2009.10.27&gt;</t>
  </si>
  <si>
    <t>제1항에 불구하고 연수ㆍ기업설명회·기업탐방·세미나 참석과 관련하여 거래상대방으로부터 제공받은 교통비 및 숙박비는 대표이사 또는 준법감시인의 확인을 받아 재산상 이익의 한도 산정시 이를 제외할 수 있다. &lt;개정 2009.10.27&gt;</t>
  </si>
  <si>
    <t> 제2-67조(재산상 이익의 제공 및 수령절차)</t>
  </si>
  <si>
    <t>금융투자회사가 거래상대방에게 재산상 이익을 제공하거나 제공받고자 하는 경우 제공목적, 제공내용, 제공일자, 거래상대방, 경제적 가치 등이 기재된 문서를 미리 준법감시인에게 보고하여야 한다. 다만, 부득이한 사유로 사전보고가 곤란한 경우에는 사후에 보고할 수 있다.</t>
  </si>
  <si>
    <t>금융투자회사는 거래상대방에게 제공하였거나 거래상대방으로부터 제공받은 재산상 이익의 내역을 5년 이상의 기간 동안 기록ㆍ보관하여야 하며, 거래상대방 소속 기관의 장이 서면에 의하여 소속 임직원 및 투자권유대행인에 대한 재산상 이익의 제공 내역을 요청하는 경우 이에 응하여야 한다. &lt;개정 2009.10.27&gt;</t>
  </si>
  <si>
    <t> 제2-68조(부당한 재산상 이익의 제공 및 수령금지)</t>
  </si>
  <si>
    <t>금융투자회사는 다음 각 호의 어느 하나에 해당하는 경우 재산상 이익을 제공하거나 제공받아서는 아니 된다. &lt;개정 2009.10.27&gt;</t>
  </si>
  <si>
    <t>경제적 가치의 크기가 일반인이 통상적으로 이해하는 수준을 초과하는 경우</t>
  </si>
  <si>
    <t>재산상 이익의 내용이 사회적 상규에 반하거나 거래상대방의 공정한 업무수행을 저해하는 경우</t>
  </si>
  <si>
    <t>재산상 이익의 제공 또는 수령이 비정상적인 조건의 금융투자상품 매매거래, 투자자문계약, 투자일임계약 또는 신탁계약의 체결 등의 방법으로 이루어지는 경우</t>
  </si>
  <si>
    <t>다음 각 목의 어느 하나에 해당하는 경우로서 거래상대방에게 금전, 상품권, 금융투자상품을 제공하는 경우. 다만, 사용범위가 공연ㆍ운동경기 관람, 도서ㆍ음반 구입 등 문화활동으로 한정된 상품권을 제공하는 경우는 제외한다. &lt;개정 2009.10.27&gt;</t>
  </si>
  <si>
    <t>가.</t>
  </si>
  <si>
    <t>집합투자회사, 투자일임회사 또는 신탁회사 등 타인의 재산을 일임받아 이를 금융투자회사가 취급하는 금융투자상품 등에 운용하는 것을 업무로 영위하는 자(그 임원 및 재산의 운용에 관하여 의사결정을 하는 자를 포함한다)에게 제공하는 경우 &lt;개정 2009.10.27, 2009.12.14, 2015.2.5&gt;</t>
  </si>
  <si>
    <t>나.</t>
  </si>
  <si>
    <t>법인 기타 단체의 고유재산관리업무를 수행하는 자에게 제공하는 경우 &lt;개정 2009.10.27&gt;</t>
  </si>
  <si>
    <t>다.</t>
  </si>
  <si>
    <t>집합투자회사가 자신이 운용하는 집합투자기구의 집합투자증권을 판매하는 투자매매회사(투자매매업을 영위하는 금융투자회사를 말한다. 이하 같다), 투자중개회사(투자중개업을 영위하는 금융투자회사를 말한다. 이하 같다) 및 그 임직원과 투자권유대행인에게 제공하는 경우 &lt;개정 2009.10.27&gt;</t>
  </si>
  <si>
    <t>재산상 이익의 제공 또는 수령이 위법ㆍ부당행위의 은닉 또는 그 대가를 목적으로 하는 경우</t>
  </si>
  <si>
    <t>거래상대방만 참석한 여가 및 오락활동 등에 수반되는 비용을 제공하는 경우</t>
  </si>
  <si>
    <t>금융투자상품 및 경제정보 등과 관련된 전산기기의 구입이나 통신서비스 이용에 소요되는 비용을 제공하거나 제공받는 경우. 다만, 제2-63조제2항제1호에 해당하는 경우는 제외한다.</t>
  </si>
  <si>
    <t>집합투자회사가 자신이 운용하는 집합투자기구의 집합투자증권의 판매실적에 연동하여 이를 판매하는 투자매매회사ㆍ투자중개회사(그 임직원 및 투자권유대행인을 포함한다)에게 재산상 이익을 제공하는 경우 &lt;신설 2009.10.27&gt;</t>
  </si>
  <si>
    <t>투자매매회사 또는 투자중개회사가 판매회사의 변경 또는 변경에 따른 이동액을 조건으로 하여 재산상 이익을 제공하는 경우 &lt;신설 2010.1.29&gt;</t>
  </si>
  <si>
    <t>금융투자회사는 재산상 이익의 제공과 관련하여 거래상대방에게 비정상적인 조건의 금융투자상품의 매매거래나 투자자문계약, 투자일임계약 또는 신탁계약의 체결 등을 요구하여서는 아니 된다.</t>
  </si>
  <si>
    <t>금융투자회사는 임직원 및 투자권유대행인이 이 장의 규정을 위반하여 제공한 재산상 이익을 보전하여 주어서는 아니 된다. &lt;개정 2009.10.27&gt;</t>
  </si>
  <si>
    <t> 제2-63조(목적 등)</t>
    <phoneticPr fontId="4" type="noConversion"/>
  </si>
  <si>
    <t>제1호 및 제2호에 불구하고 해외에서 이루어지는 외국인투자자를 상대로 한 기업설명회와 관련하여 투자대상기업의 임직원에게 제공하는 교통비 및 숙박비는 대표이사 또는 준법감시인의 확인을 받아 한도 산정시 이를 제외할 수 있다. &lt;신설 2013.3.29&gt;</t>
    <phoneticPr fontId="4" type="noConversion"/>
  </si>
  <si>
    <t>금융투자회사가 연간 또는 동일 회계연도 기간 중 모든 거래상대방에게 제공할 수 있는 재산상 이익의 합계액은 해당 금융투자회사가 금융투자업 영위와 관련하여 직전 연간 또는 직전 회계연도 기간 중 실현한 영업수익의 규모에 따라 다음 각 호에서 정한 금액을 초과하여서는 아니 된다. 이 경우 금융투자업을 개시한 후 1년이 경과하지 아니한 금융투자회사의 영업수익은 인가신청서에 첨부된 사업계획서상의 1년간 추정 영업수익으로 하며, 금융위원회 등록업무만을 영위하는 금융투자회사의 영업수익은 등록신청서에 첨부된 재무제표상의 자기자본으로 한다. &lt;개정 2009.2.26, 2009.10.27&gt;</t>
    <phoneticPr fontId="4" type="noConversion"/>
  </si>
  <si>
    <t>추첨 기타 우연성을 이용하는 방법 또는 특정행위의 우열이나 정오의 방법(이하 이 항에서 "추첨등"이라 한다)으로 선정된 거래상대방에 대하여 제공하는 재산상 이익에 대하여는 제1항부터 제3항까지의 규정을 적용하지 아니한다. 다만, 파생상품(유사해외통화선물을 제외한다)과 관련하여 추첨등의 방법으로 선정된 동일 일반투자자에게 1회당 제공할 수 있는 재산상 이익은 300만원을 초과할 수 없으며, 유사해외통화선물 및 주식워런트증권과 관련하여 추첨등의 방법으로 선정된 일반투자자에 대하여는 재산상 이익을 제공할 수 없다. &lt;신설 2009.10.27, 개정 2011.12.19&gt;</t>
    <phoneticPr fontId="4" type="noConversion"/>
  </si>
  <si>
    <t>식사</t>
    <phoneticPr fontId="4" type="noConversion"/>
  </si>
  <si>
    <t>업무협조</t>
    <phoneticPr fontId="4" type="noConversion"/>
  </si>
  <si>
    <t>황현일</t>
    <phoneticPr fontId="4" type="noConversion"/>
  </si>
  <si>
    <t>골프</t>
    <phoneticPr fontId="4" type="noConversion"/>
  </si>
  <si>
    <t>식사</t>
    <phoneticPr fontId="4" type="noConversion"/>
  </si>
  <si>
    <t>10인</t>
    <phoneticPr fontId="4" type="noConversion"/>
  </si>
  <si>
    <t>임율표</t>
    <phoneticPr fontId="4" type="noConversion"/>
  </si>
  <si>
    <t>임정미</t>
  </si>
  <si>
    <t>임정미</t>
    <phoneticPr fontId="4" type="noConversion"/>
  </si>
  <si>
    <t>황재호</t>
  </si>
  <si>
    <t>이승재 외7</t>
    <phoneticPr fontId="4" type="noConversion"/>
  </si>
  <si>
    <t>황재문</t>
    <phoneticPr fontId="4" type="noConversion"/>
  </si>
  <si>
    <t>이지바이오</t>
    <phoneticPr fontId="4" type="noConversion"/>
  </si>
  <si>
    <t>이진수</t>
    <phoneticPr fontId="4" type="noConversion"/>
  </si>
  <si>
    <t>이지훈</t>
    <phoneticPr fontId="4" type="noConversion"/>
  </si>
  <si>
    <t>이현준</t>
    <phoneticPr fontId="4" type="noConversion"/>
  </si>
  <si>
    <t>홍승일</t>
    <phoneticPr fontId="4" type="noConversion"/>
  </si>
  <si>
    <t>정덕수</t>
  </si>
  <si>
    <t>이정민</t>
  </si>
  <si>
    <t>조남훈</t>
  </si>
  <si>
    <t>이영창</t>
  </si>
  <si>
    <t>한현철</t>
  </si>
  <si>
    <t>허필석</t>
  </si>
  <si>
    <t>선물</t>
    <phoneticPr fontId="4" type="noConversion"/>
  </si>
  <si>
    <t>단체</t>
    <phoneticPr fontId="4" type="noConversion"/>
  </si>
  <si>
    <t>한송이</t>
    <phoneticPr fontId="4" type="noConversion"/>
  </si>
  <si>
    <t>선물</t>
    <phoneticPr fontId="4" type="noConversion"/>
  </si>
  <si>
    <t>단체</t>
    <phoneticPr fontId="4" type="noConversion"/>
  </si>
  <si>
    <t>조현정</t>
    <phoneticPr fontId="4" type="noConversion"/>
  </si>
  <si>
    <t>정영인</t>
    <phoneticPr fontId="4" type="noConversion"/>
  </si>
  <si>
    <t>설명회</t>
    <phoneticPr fontId="4" type="noConversion"/>
  </si>
  <si>
    <t>정상호 외2</t>
    <phoneticPr fontId="4" type="noConversion"/>
  </si>
  <si>
    <t>* 금융투자업규정</t>
    <phoneticPr fontId="4" type="noConversion"/>
  </si>
  <si>
    <t>*금융투자회사의 영업 및 업무에 관한 규정</t>
    <phoneticPr fontId="4" type="noConversion"/>
  </si>
  <si>
    <t>제4-61조(집합투자업자의 이익제공 기준) ① 영 제87조제4항제3호에서 "금융위원회가 정하여 고시하는 기준"이란 집합투자업자(그 임직원을 포함한다. 이하 이 조에서 같다)가 집합투자증권의 판매와 관련하여 판매수수료·판매보수 외에 투자매매업자 또는 투자중개업자(그 임직원 및 법 제51조제9항의 투자권유대행인을 포함한다. 이하 이 조에서 같다)에 제공할 수 있는 금전·물품·편익 등의 범위가 다음 각 호의 어느 하나에 해당하는 것으로서 일반인이 통상적으로 이해하는 수준에 반하지 않는 것을 말한다.</t>
  </si>
  <si>
    <t>1. 집합투자증권에 대한 설명·교육 또는 판매촉진을 위하여 제공되는 것</t>
  </si>
  <si>
    <t>2. 집합투자증권 판매와 관련된 투자매매업자·투자중개업자의 광고·인쇄비의 일부를 부담하는 것</t>
  </si>
  <si>
    <t>② 제1항에 따른 금전·물품·편익 등은 협회가 정하는 한도를 초과할 수 없다.</t>
  </si>
  <si>
    <t>③ 집합투자업자는 제1항에 따른 금전·물품·편익 등을 투자매매업자·투자중개업자에 제공하는 경우 제공목적, 제공내용, 제공일자 및 제공받는 자 등에 대한 기록을 유지하고 미리 준법감시인(준법감시인이 없는 경우에는 감사 등 이에 준하는 자를 말한다. 이 항에서 같다)에게 보고하여야 한다. 다만, 준법감시인에게 미리 보고하기 곤란한 경우에는 사후에 보고할 수 있다.</t>
  </si>
  <si>
    <t>④ 협회는 제1항부터 제3항까지의 시행을 위하여 필요한 구체적 기준을 정할 수 있으며, 제2항에 따른 한도는 일정금액 범위 이내로 정하여야 한다.</t>
  </si>
  <si>
    <t>제4-62조(집합투자업자의 이익수령 기준) ① 영 제87조제4항제4호에서 "금융위원회가 정하여 고시하는 기준"이란 집합투자업자(그 임직원을 포함한다. 이하 이 조에서 같다)가 집합투자재산의 운용과 관련하여 투자매매업자·투자중개업자(그 임직원 및 법 제51조제9항의 투자권유대행인을 포함한다. 이하 이 조에서 같다)로부터 제공받는 금전·물품·편익 등의 범위가 일반인이 통상적으로 이해하는 수준에 반하지 않는 것을 말한다.</t>
  </si>
  <si>
    <t>③ 집합투자업자는 제1항에 따른 금전·물품·편익 등을 투자매매업자·투자중개업자로부터 제공받는 경우 제공목적, 제공내용, 제공일자 및 제공받는 자 등에 대한 기록을 유지하고 미리 준법감시인(준법감시인이 없는 경우에는 감사 등 이에 준하는 자를 말한다. 이 항에서 같다)에게 보고하여야 한다. 다만, 준법감시인에게 미리 보고하기 곤란한 경우에는 사후에 보고할 수 있다.</t>
  </si>
  <si>
    <t>작성자</t>
    <phoneticPr fontId="4" type="noConversion"/>
  </si>
  <si>
    <t>준법감시인</t>
    <phoneticPr fontId="4" type="noConversion"/>
  </si>
  <si>
    <t>피에스텍</t>
  </si>
  <si>
    <t>정성엽</t>
  </si>
  <si>
    <t>현희승</t>
  </si>
  <si>
    <t>홍준표</t>
  </si>
  <si>
    <t>한수길</t>
  </si>
  <si>
    <t>이창민</t>
  </si>
  <si>
    <t>전현진</t>
  </si>
  <si>
    <t>이승재</t>
  </si>
  <si>
    <t>황재문</t>
  </si>
  <si>
    <t>이지바이오</t>
  </si>
  <si>
    <t>이진수</t>
  </si>
  <si>
    <t>이지훈</t>
  </si>
  <si>
    <t>이현준</t>
  </si>
  <si>
    <t>홍승일</t>
  </si>
  <si>
    <t>조현정</t>
  </si>
  <si>
    <t>정영인</t>
  </si>
  <si>
    <t>한송이</t>
  </si>
  <si>
    <t>10인</t>
  </si>
  <si>
    <t>임율표</t>
  </si>
  <si>
    <t>정상호</t>
  </si>
  <si>
    <t>재산상이익제공현황</t>
    <phoneticPr fontId="3" type="noConversion"/>
  </si>
  <si>
    <t>한남운용</t>
    <phoneticPr fontId="4" type="noConversion"/>
  </si>
  <si>
    <t>종로너스</t>
    <phoneticPr fontId="4" type="noConversion"/>
  </si>
  <si>
    <t>광진증권</t>
    <phoneticPr fontId="4" type="noConversion"/>
  </si>
  <si>
    <t>서광증권</t>
    <phoneticPr fontId="4" type="noConversion"/>
  </si>
  <si>
    <t>보타증권</t>
    <phoneticPr fontId="4" type="noConversion"/>
  </si>
  <si>
    <t>서광증권</t>
    <phoneticPr fontId="4" type="noConversion"/>
  </si>
  <si>
    <t>현대개인</t>
    <phoneticPr fontId="4" type="noConversion"/>
  </si>
  <si>
    <t>대청사업</t>
    <phoneticPr fontId="4" type="noConversion"/>
  </si>
  <si>
    <t>한명학교</t>
    <phoneticPr fontId="4" type="noConversion"/>
  </si>
  <si>
    <t>지에운용</t>
    <phoneticPr fontId="4" type="noConversion"/>
  </si>
  <si>
    <t>지에운용</t>
    <phoneticPr fontId="4" type="noConversion"/>
  </si>
  <si>
    <t>중양건설</t>
    <phoneticPr fontId="4" type="noConversion"/>
  </si>
  <si>
    <t>알루증권</t>
    <phoneticPr fontId="4" type="noConversion"/>
  </si>
  <si>
    <t>유한운용</t>
    <phoneticPr fontId="4" type="noConversion"/>
  </si>
  <si>
    <t>규원운용</t>
    <phoneticPr fontId="4" type="noConversion"/>
  </si>
  <si>
    <t>대성운용</t>
    <phoneticPr fontId="4" type="noConversion"/>
  </si>
  <si>
    <t>대신증권</t>
    <phoneticPr fontId="4" type="noConversion"/>
  </si>
  <si>
    <t>대신증권</t>
    <phoneticPr fontId="4" type="noConversion"/>
  </si>
  <si>
    <t>대신증권</t>
    <phoneticPr fontId="4" type="noConversion"/>
  </si>
  <si>
    <t>부강증권</t>
    <phoneticPr fontId="4" type="noConversion"/>
  </si>
  <si>
    <t>부강증권</t>
    <phoneticPr fontId="4" type="noConversion"/>
  </si>
  <si>
    <t>헥스증권</t>
    <phoneticPr fontId="4" type="noConversion"/>
  </si>
  <si>
    <t>썬전세종</t>
    <phoneticPr fontId="4" type="noConversion"/>
  </si>
  <si>
    <t>주왕고객</t>
    <phoneticPr fontId="4" type="noConversion"/>
  </si>
  <si>
    <t>거창운용</t>
    <phoneticPr fontId="4" type="noConversion"/>
  </si>
  <si>
    <t>한신운용</t>
    <phoneticPr fontId="4" type="noConversion"/>
  </si>
  <si>
    <t>지에증권</t>
    <phoneticPr fontId="4" type="noConversion"/>
  </si>
  <si>
    <t>지에증권</t>
    <phoneticPr fontId="4" type="noConversion"/>
  </si>
  <si>
    <t>온정경제</t>
    <phoneticPr fontId="4" type="noConversion"/>
  </si>
  <si>
    <t>한국자문</t>
    <phoneticPr fontId="4" type="noConversion"/>
  </si>
  <si>
    <t>한라투자</t>
    <phoneticPr fontId="4" type="noConversion"/>
  </si>
  <si>
    <t>한라투자</t>
    <phoneticPr fontId="4" type="noConversion"/>
  </si>
  <si>
    <t>삼화증권</t>
    <phoneticPr fontId="4" type="noConversion"/>
  </si>
  <si>
    <t>대한운용</t>
    <phoneticPr fontId="4" type="noConversion"/>
  </si>
  <si>
    <t>도암운용</t>
    <phoneticPr fontId="4" type="noConversion"/>
  </si>
  <si>
    <t>농심오텍</t>
    <phoneticPr fontId="4" type="noConversion"/>
  </si>
  <si>
    <t>럭스운용</t>
    <phoneticPr fontId="4" type="noConversion"/>
  </si>
  <si>
    <t>부광운용</t>
    <phoneticPr fontId="4" type="noConversion"/>
  </si>
  <si>
    <t>에어먼트</t>
    <phoneticPr fontId="4" type="noConversion"/>
  </si>
  <si>
    <t>탑솔스트</t>
    <phoneticPr fontId="4" type="noConversion"/>
  </si>
  <si>
    <t>동양증권</t>
    <phoneticPr fontId="4" type="noConversion"/>
  </si>
  <si>
    <t>동양증권</t>
    <phoneticPr fontId="4" type="noConversion"/>
  </si>
  <si>
    <t>유니증권</t>
    <phoneticPr fontId="4" type="noConversion"/>
  </si>
  <si>
    <t>서부자문</t>
    <phoneticPr fontId="4" type="noConversion"/>
  </si>
  <si>
    <t>플러증권</t>
    <phoneticPr fontId="4" type="noConversion"/>
  </si>
  <si>
    <t>비앤운용</t>
    <phoneticPr fontId="4" type="noConversion"/>
  </si>
  <si>
    <t>동호메가</t>
    <phoneticPr fontId="4" type="noConversion"/>
  </si>
  <si>
    <t>성익먼트</t>
    <phoneticPr fontId="4" type="noConversion"/>
  </si>
  <si>
    <t>대경운용</t>
    <phoneticPr fontId="4" type="noConversion"/>
  </si>
  <si>
    <t>성림태광</t>
    <phoneticPr fontId="4" type="noConversion"/>
  </si>
  <si>
    <t>우진운용</t>
    <phoneticPr fontId="4" type="noConversion"/>
  </si>
  <si>
    <t>삼미운용</t>
    <phoneticPr fontId="4" type="noConversion"/>
  </si>
  <si>
    <t>한길운용</t>
    <phoneticPr fontId="4" type="noConversion"/>
  </si>
  <si>
    <t>합자스텍</t>
    <phoneticPr fontId="4" type="noConversion"/>
  </si>
  <si>
    <t>조은증권</t>
    <phoneticPr fontId="4" type="noConversion"/>
  </si>
  <si>
    <t>영동증권</t>
    <phoneticPr fontId="4" type="noConversion"/>
  </si>
  <si>
    <t>엔지증권</t>
    <phoneticPr fontId="4" type="noConversion"/>
  </si>
  <si>
    <t>제이너스</t>
    <phoneticPr fontId="4" type="noConversion"/>
  </si>
  <si>
    <t>고산증권</t>
    <phoneticPr fontId="4" type="noConversion"/>
  </si>
  <si>
    <t>경동스트</t>
    <phoneticPr fontId="4" type="noConversion"/>
  </si>
  <si>
    <t>예서증권</t>
    <phoneticPr fontId="4" type="noConversion"/>
  </si>
  <si>
    <t>안선기</t>
  </si>
  <si>
    <t>임경빈</t>
  </si>
  <si>
    <t>이현호</t>
  </si>
  <si>
    <t>박재민</t>
  </si>
  <si>
    <t>김흥래</t>
  </si>
  <si>
    <t>김갑영</t>
  </si>
  <si>
    <t>오태일</t>
  </si>
  <si>
    <t>이두순</t>
  </si>
  <si>
    <t>최근영</t>
  </si>
  <si>
    <t>조태업</t>
  </si>
  <si>
    <t>이근우</t>
  </si>
  <si>
    <t>강원선</t>
  </si>
  <si>
    <t>이한식</t>
  </si>
  <si>
    <t>강영선</t>
  </si>
  <si>
    <t>최석준</t>
  </si>
  <si>
    <t>윤강섭</t>
  </si>
  <si>
    <t>오현규</t>
  </si>
  <si>
    <t>공태석</t>
  </si>
  <si>
    <t>서대양</t>
  </si>
  <si>
    <t>남정국</t>
  </si>
  <si>
    <t>김근태</t>
  </si>
  <si>
    <t>서창원</t>
  </si>
  <si>
    <t>홍정민</t>
  </si>
  <si>
    <t>신정섭</t>
  </si>
  <si>
    <t>김동호</t>
  </si>
  <si>
    <t>고삼석</t>
  </si>
  <si>
    <t>강신범</t>
  </si>
  <si>
    <t>박찬석</t>
  </si>
  <si>
    <t>정홍기</t>
  </si>
  <si>
    <t>허성우</t>
  </si>
  <si>
    <t>윤보식</t>
  </si>
  <si>
    <t>민성기</t>
  </si>
  <si>
    <t>김철호</t>
  </si>
  <si>
    <t>고원준</t>
  </si>
  <si>
    <t>임원일</t>
  </si>
  <si>
    <t>송영길</t>
  </si>
  <si>
    <t>서희동</t>
  </si>
  <si>
    <t>임헌원</t>
  </si>
  <si>
    <t>이경호</t>
  </si>
  <si>
    <t>김홍걸</t>
  </si>
  <si>
    <t>이승우</t>
  </si>
  <si>
    <t>구제병</t>
  </si>
  <si>
    <t>이정규</t>
  </si>
  <si>
    <t>장영훈</t>
  </si>
  <si>
    <t>정운화</t>
  </si>
  <si>
    <t>김덕배</t>
  </si>
  <si>
    <t>정복균</t>
  </si>
  <si>
    <t>김형일</t>
  </si>
  <si>
    <t>김신경</t>
  </si>
  <si>
    <t>박영주,이경봉</t>
  </si>
  <si>
    <t>한명실</t>
  </si>
  <si>
    <t>김종선</t>
  </si>
  <si>
    <t>정광수</t>
  </si>
  <si>
    <t>정양기</t>
  </si>
  <si>
    <t>김윤배</t>
  </si>
  <si>
    <t>조영팔</t>
  </si>
  <si>
    <t>김근철</t>
  </si>
  <si>
    <t>지순용</t>
  </si>
  <si>
    <t>심의림</t>
  </si>
  <si>
    <t>배기만</t>
  </si>
  <si>
    <t>오태일</t>
    <phoneticPr fontId="4" type="noConversion"/>
  </si>
  <si>
    <t>이두순</t>
    <phoneticPr fontId="4" type="noConversion"/>
  </si>
  <si>
    <t>최근영</t>
    <phoneticPr fontId="4" type="noConversion"/>
  </si>
  <si>
    <t>최근영</t>
    <phoneticPr fontId="4" type="noConversion"/>
  </si>
  <si>
    <t>조태업</t>
    <phoneticPr fontId="4" type="noConversion"/>
  </si>
  <si>
    <t>이근우</t>
    <phoneticPr fontId="4" type="noConversion"/>
  </si>
  <si>
    <t>강원선</t>
    <phoneticPr fontId="4" type="noConversion"/>
  </si>
  <si>
    <t>이한식</t>
    <phoneticPr fontId="4" type="noConversion"/>
  </si>
  <si>
    <t>강영선</t>
    <phoneticPr fontId="4" type="noConversion"/>
  </si>
  <si>
    <t>최석준</t>
    <phoneticPr fontId="4" type="noConversion"/>
  </si>
  <si>
    <t>윤강섭</t>
    <phoneticPr fontId="4" type="noConversion"/>
  </si>
  <si>
    <t>오현규</t>
    <phoneticPr fontId="4" type="noConversion"/>
  </si>
  <si>
    <t>공태석</t>
    <phoneticPr fontId="4" type="noConversion"/>
  </si>
  <si>
    <t>서대양</t>
    <phoneticPr fontId="4" type="noConversion"/>
  </si>
  <si>
    <t>남정국</t>
    <phoneticPr fontId="4" type="noConversion"/>
  </si>
  <si>
    <t>김근태</t>
    <phoneticPr fontId="4" type="noConversion"/>
  </si>
  <si>
    <t>서창원</t>
    <phoneticPr fontId="4" type="noConversion"/>
  </si>
  <si>
    <t>홍정민</t>
    <phoneticPr fontId="4" type="noConversion"/>
  </si>
  <si>
    <t>신정섭</t>
    <phoneticPr fontId="4" type="noConversion"/>
  </si>
  <si>
    <t>김동호</t>
    <phoneticPr fontId="4" type="noConversion"/>
  </si>
  <si>
    <t>고삼석</t>
    <phoneticPr fontId="4" type="noConversion"/>
  </si>
  <si>
    <t>강신범</t>
    <phoneticPr fontId="4" type="noConversion"/>
  </si>
  <si>
    <t>박찬석</t>
    <phoneticPr fontId="4" type="noConversion"/>
  </si>
  <si>
    <t>정홍기</t>
    <phoneticPr fontId="4" type="noConversion"/>
  </si>
  <si>
    <t>허성우</t>
    <phoneticPr fontId="4" type="noConversion"/>
  </si>
  <si>
    <t>윤보식</t>
    <phoneticPr fontId="4" type="noConversion"/>
  </si>
  <si>
    <t>민성기</t>
    <phoneticPr fontId="4" type="noConversion"/>
  </si>
  <si>
    <t>김철호</t>
    <phoneticPr fontId="4" type="noConversion"/>
  </si>
  <si>
    <t>고원준</t>
    <phoneticPr fontId="4" type="noConversion"/>
  </si>
  <si>
    <t>고원준</t>
    <phoneticPr fontId="4" type="noConversion"/>
  </si>
  <si>
    <t>임원일</t>
    <phoneticPr fontId="4" type="noConversion"/>
  </si>
  <si>
    <t>송영길</t>
    <phoneticPr fontId="4" type="noConversion"/>
  </si>
  <si>
    <t>서희동</t>
    <phoneticPr fontId="4" type="noConversion"/>
  </si>
  <si>
    <t>임헌원</t>
    <phoneticPr fontId="4" type="noConversion"/>
  </si>
  <si>
    <t>이경호</t>
    <phoneticPr fontId="4" type="noConversion"/>
  </si>
  <si>
    <t>김홍걸</t>
    <phoneticPr fontId="4" type="noConversion"/>
  </si>
  <si>
    <t>이승우</t>
    <phoneticPr fontId="4" type="noConversion"/>
  </si>
  <si>
    <t>구제병</t>
    <phoneticPr fontId="4" type="noConversion"/>
  </si>
  <si>
    <t>이정규</t>
    <phoneticPr fontId="4" type="noConversion"/>
  </si>
  <si>
    <t>장영훈</t>
    <phoneticPr fontId="4" type="noConversion"/>
  </si>
  <si>
    <t>장영훈</t>
    <phoneticPr fontId="4" type="noConversion"/>
  </si>
  <si>
    <t>정운화</t>
    <phoneticPr fontId="4" type="noConversion"/>
  </si>
  <si>
    <t>김덕배</t>
    <phoneticPr fontId="4" type="noConversion"/>
  </si>
  <si>
    <t>정복균</t>
    <phoneticPr fontId="4" type="noConversion"/>
  </si>
  <si>
    <t>김형일</t>
    <phoneticPr fontId="4" type="noConversion"/>
  </si>
  <si>
    <t>김신경</t>
    <phoneticPr fontId="4" type="noConversion"/>
  </si>
  <si>
    <t>박영주,이경봉</t>
    <phoneticPr fontId="4" type="noConversion"/>
  </si>
  <si>
    <t>한명실</t>
    <phoneticPr fontId="4" type="noConversion"/>
  </si>
  <si>
    <t>김종선</t>
    <phoneticPr fontId="4" type="noConversion"/>
  </si>
  <si>
    <t>정광수</t>
    <phoneticPr fontId="4" type="noConversion"/>
  </si>
  <si>
    <t>정양기</t>
    <phoneticPr fontId="4" type="noConversion"/>
  </si>
  <si>
    <t>김윤배</t>
    <phoneticPr fontId="4" type="noConversion"/>
  </si>
  <si>
    <t>조영팔</t>
    <phoneticPr fontId="4" type="noConversion"/>
  </si>
  <si>
    <t>조영팔</t>
    <phoneticPr fontId="4" type="noConversion"/>
  </si>
  <si>
    <t>김근철</t>
    <phoneticPr fontId="4" type="noConversion"/>
  </si>
  <si>
    <t>지순용</t>
    <phoneticPr fontId="4" type="noConversion"/>
  </si>
  <si>
    <t>심의림</t>
    <phoneticPr fontId="4" type="noConversion"/>
  </si>
  <si>
    <t>배기만</t>
    <phoneticPr fontId="4" type="noConversion"/>
  </si>
  <si>
    <t>얌샘</t>
  </si>
  <si>
    <t>행복반점</t>
  </si>
  <si>
    <t>포마토</t>
  </si>
  <si>
    <t>얌샘영등포역점</t>
  </si>
  <si>
    <t>맘마킹도시락영등포역점</t>
  </si>
  <si>
    <t>파리바게뜨영등포대우점</t>
  </si>
  <si>
    <t>짜우리아</t>
  </si>
  <si>
    <t>동순각</t>
  </si>
  <si>
    <t>홍콩</t>
  </si>
  <si>
    <t>김밥천국</t>
  </si>
  <si>
    <t>둥지분식(고향식당)</t>
  </si>
  <si>
    <t>마마다무과자점</t>
  </si>
  <si>
    <t>푸드2900</t>
  </si>
  <si>
    <t>유성용과자점 (베이커리)</t>
  </si>
  <si>
    <t>만다린</t>
  </si>
  <si>
    <t>까치분식</t>
  </si>
  <si>
    <t>한솥당산역점</t>
  </si>
  <si>
    <t>파리바게뜨카페 (당산동행복점)</t>
  </si>
  <si>
    <t>새벽닭</t>
  </si>
  <si>
    <t>사천성</t>
  </si>
  <si>
    <t>국빈성</t>
  </si>
  <si>
    <t>덕수관</t>
  </si>
  <si>
    <t>만두일번지</t>
  </si>
  <si>
    <t>아딸</t>
  </si>
  <si>
    <t>뚜레쥬르 (문래역점)</t>
  </si>
  <si>
    <t>한솥도시락</t>
  </si>
  <si>
    <t>브레첼 과자점</t>
  </si>
  <si>
    <t>토마토김밥</t>
  </si>
  <si>
    <t>영일관</t>
  </si>
  <si>
    <t>뚜레쥬르 (선유도역점)</t>
  </si>
  <si>
    <t>짜장마을</t>
  </si>
  <si>
    <t>김밥365</t>
  </si>
  <si>
    <t>안동장</t>
  </si>
  <si>
    <t>광동성</t>
  </si>
  <si>
    <t>파리바게뜨 (신길대신점)</t>
  </si>
  <si>
    <t>케익하우스 강고집</t>
  </si>
  <si>
    <t>명가김밥천국</t>
  </si>
  <si>
    <t>동해루</t>
  </si>
  <si>
    <t>파리바게뜨 (사러가)</t>
  </si>
  <si>
    <t>파리바게뜨 (도림사거리점)</t>
  </si>
  <si>
    <t>얌샘 사러가점</t>
  </si>
  <si>
    <t>김밥타운</t>
  </si>
  <si>
    <t>짜장명가</t>
  </si>
  <si>
    <t>대박김밥</t>
  </si>
  <si>
    <t>대학당빵집</t>
  </si>
  <si>
    <t>또순이</t>
  </si>
  <si>
    <t>아리산</t>
  </si>
  <si>
    <t>양자강</t>
  </si>
  <si>
    <t>김밥친구</t>
  </si>
  <si>
    <t>금수원</t>
  </si>
  <si>
    <t>파리바게뜨 (신풍역점)</t>
  </si>
  <si>
    <t>김밥세상</t>
  </si>
  <si>
    <t>천지</t>
  </si>
  <si>
    <t>중국관</t>
  </si>
  <si>
    <t>천년약속</t>
  </si>
  <si>
    <t>태복반점</t>
  </si>
  <si>
    <t>그루터기</t>
  </si>
  <si>
    <t>파리바게뜨 (대방시장점)</t>
  </si>
  <si>
    <t>꼬치랑밥상</t>
  </si>
  <si>
    <t>전통옛날짜장</t>
  </si>
  <si>
    <t>한솥</t>
  </si>
  <si>
    <t>자매식당</t>
  </si>
  <si>
    <t>김밥먹자</t>
  </si>
  <si>
    <t>로또반점</t>
  </si>
  <si>
    <t>신동기사식당</t>
  </si>
  <si>
    <t>김밥마을</t>
  </si>
  <si>
    <t>대성각</t>
  </si>
  <si>
    <t>뚜레쥬르(대림우성점)</t>
  </si>
  <si>
    <t>빵굼터</t>
  </si>
  <si>
    <t>태화루서울쟁반짜장</t>
  </si>
  <si>
    <t>궁</t>
  </si>
  <si>
    <t>시온김밥</t>
  </si>
  <si>
    <t>반도루</t>
  </si>
  <si>
    <t>신영분식</t>
  </si>
  <si>
    <t>누나김밥</t>
  </si>
  <si>
    <t>자금성</t>
  </si>
  <si>
    <t>자이언트피자 대림점</t>
  </si>
  <si>
    <t>코데코</t>
  </si>
  <si>
    <t>어화원수타왕손짜장</t>
  </si>
  <si>
    <t>백두산횟집</t>
  </si>
  <si>
    <t>복동이숯불갈비</t>
  </si>
  <si>
    <t>홍천뚝배기</t>
  </si>
  <si>
    <t>중앙식육식당</t>
  </si>
  <si>
    <t>송이식당</t>
  </si>
  <si>
    <t>영남식육식당</t>
  </si>
  <si>
    <t>가실마을</t>
  </si>
  <si>
    <t>진가희명품복국</t>
  </si>
  <si>
    <t>합천식육식당</t>
  </si>
  <si>
    <t>미주식당</t>
  </si>
  <si>
    <t>선물</t>
  </si>
  <si>
    <t>감사선물</t>
  </si>
  <si>
    <t>설명회</t>
    <phoneticPr fontId="4" type="noConversion"/>
  </si>
  <si>
    <t>업무협조</t>
    <phoneticPr fontId="4" type="noConversion"/>
  </si>
  <si>
    <t>정보획득</t>
  </si>
  <si>
    <t>2016-12</t>
    <phoneticPr fontId="4" type="noConversion"/>
  </si>
  <si>
    <t>2017-01</t>
    <phoneticPr fontId="4" type="noConversion"/>
  </si>
  <si>
    <t>2017-02</t>
    <phoneticPr fontId="4" type="noConversion"/>
  </si>
  <si>
    <t>2016-07</t>
    <phoneticPr fontId="4" type="noConversion"/>
  </si>
  <si>
    <t>2016-08</t>
    <phoneticPr fontId="4" type="noConversion"/>
  </si>
  <si>
    <t>2016-09</t>
    <phoneticPr fontId="4" type="noConversion"/>
  </si>
  <si>
    <t>2016-11</t>
    <phoneticPr fontId="4" type="noConversion"/>
  </si>
  <si>
    <t>2016-10</t>
    <phoneticPr fontId="4" type="noConversion"/>
  </si>
  <si>
    <t>월별 인별 재산상 이익제공 현황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</si>
</sst>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&quot;-&quot;m&quot;-&quot;d;@"/>
    <numFmt numFmtId="177" formatCode="#,##0_ "/>
  </numFmts>
  <fonts count="20">
    <font>
      <sz val="9"/>
      <color indexed="8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indexed="8"/>
      <name val="굴림체"/>
      <family val="3"/>
      <charset val="129"/>
    </font>
    <font>
      <sz val="8"/>
      <name val="돋움"/>
      <family val="3"/>
      <charset val="129"/>
    </font>
    <font>
      <sz val="8"/>
      <name val="굴림체"/>
      <family val="3"/>
      <charset val="129"/>
    </font>
    <font>
      <b/>
      <sz val="11"/>
      <color indexed="8"/>
      <name val="굴림체"/>
      <family val="3"/>
      <charset val="129"/>
    </font>
    <font>
      <b/>
      <sz val="10"/>
      <color indexed="8"/>
      <name val="굴림체"/>
      <family val="3"/>
      <charset val="129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9"/>
      <color rgb="FF006100"/>
      <name val="맑은 고딕"/>
      <family val="3"/>
      <charset val="129"/>
      <scheme val="minor"/>
    </font>
    <font>
      <u/>
      <sz val="9"/>
      <color theme="10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2"/>
      <color indexed="8"/>
      <name val="굴림체"/>
      <family val="3"/>
      <charset val="129"/>
    </font>
    <font>
      <sz val="22"/>
      <color indexed="8"/>
      <name val="굴림체"/>
      <family val="3"/>
      <charset val="129"/>
    </font>
    <font>
      <b/>
      <sz val="12"/>
      <color indexed="8"/>
      <name val="굴림체"/>
      <family val="3"/>
      <charset val="129"/>
    </font>
    <font>
      <u/>
      <sz val="12"/>
      <color theme="10"/>
      <name val="굴림체"/>
      <family val="3"/>
      <charset val="129"/>
    </font>
    <font>
      <sz val="12"/>
      <color rgb="FF444444"/>
      <name val="Tahoma"/>
      <family val="2"/>
    </font>
    <font>
      <b/>
      <sz val="12"/>
      <color rgb="FF007886"/>
      <name val="Dotum"/>
      <family val="3"/>
    </font>
    <font>
      <b/>
      <sz val="12"/>
      <color rgb="FF31659C"/>
      <name val="Dotum"/>
      <family val="3"/>
    </font>
    <font>
      <sz val="12"/>
      <color rgb="FF000000"/>
      <name val="Dotum"/>
      <family val="3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7" fillId="2" borderId="0" applyNumberFormat="0" applyBorder="0" applyAlignment="0" applyProtection="0">
      <alignment vertical="center"/>
    </xf>
    <xf numFmtId="41" fontId="2" fillId="0" borderId="0" applyFont="0" applyFill="0" applyBorder="0" applyAlignment="0" applyProtection="0"/>
    <xf numFmtId="0" fontId="8" fillId="3" borderId="0" applyNumberFormat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59">
    <xf numFmtId="0" fontId="0" fillId="0" borderId="0" xfId="0" applyNumberFormat="1" applyFont="1" applyFill="1" applyBorder="1" applyAlignment="1" applyProtection="1"/>
    <xf numFmtId="41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center"/>
    </xf>
    <xf numFmtId="176" fontId="0" fillId="0" borderId="0" xfId="0" applyNumberFormat="1" applyFont="1" applyFill="1" applyBorder="1" applyAlignment="1" applyProtection="1"/>
    <xf numFmtId="0" fontId="0" fillId="0" borderId="2" xfId="0" applyNumberFormat="1" applyFont="1" applyFill="1" applyBorder="1" applyAlignment="1" applyProtection="1">
      <alignment horizontal="center"/>
    </xf>
    <xf numFmtId="41" fontId="0" fillId="0" borderId="2" xfId="2" applyFont="1" applyFill="1" applyBorder="1" applyAlignment="1" applyProtection="1"/>
    <xf numFmtId="41" fontId="0" fillId="0" borderId="0" xfId="2" applyFont="1" applyFill="1" applyBorder="1" applyAlignment="1" applyProtection="1"/>
    <xf numFmtId="176" fontId="7" fillId="2" borderId="0" xfId="1" applyNumberFormat="1" applyBorder="1" applyAlignment="1">
      <alignment horizontal="center" vertic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3" xfId="0" applyFont="1" applyFill="1" applyBorder="1" applyAlignment="1" applyProtection="1">
      <alignment horizontal="center" vertical="center"/>
    </xf>
    <xf numFmtId="0" fontId="0" fillId="0" borderId="6" xfId="0" applyNumberFormat="1" applyFont="1" applyFill="1" applyBorder="1" applyAlignment="1" applyProtection="1">
      <alignment horizontal="center"/>
    </xf>
    <xf numFmtId="41" fontId="0" fillId="0" borderId="6" xfId="2" applyFont="1" applyFill="1" applyBorder="1" applyAlignment="1" applyProtection="1"/>
    <xf numFmtId="0" fontId="0" fillId="0" borderId="7" xfId="0" applyNumberFormat="1" applyFont="1" applyFill="1" applyBorder="1" applyAlignment="1" applyProtection="1">
      <alignment horizontal="center"/>
    </xf>
    <xf numFmtId="176" fontId="9" fillId="3" borderId="8" xfId="3" applyNumberFormat="1" applyFont="1" applyBorder="1" applyAlignment="1">
      <alignment horizontal="center" vertical="center"/>
    </xf>
    <xf numFmtId="0" fontId="9" fillId="3" borderId="9" xfId="3" applyFont="1" applyBorder="1" applyAlignment="1">
      <alignment horizontal="center" vertical="center"/>
    </xf>
    <xf numFmtId="41" fontId="9" fillId="3" borderId="9" xfId="2" applyFont="1" applyFill="1" applyBorder="1" applyAlignment="1">
      <alignment horizontal="center" vertical="center"/>
    </xf>
    <xf numFmtId="0" fontId="9" fillId="3" borderId="10" xfId="3" applyFont="1" applyBorder="1" applyAlignment="1">
      <alignment horizontal="center" vertical="center"/>
    </xf>
    <xf numFmtId="0" fontId="11" fillId="0" borderId="0" xfId="0" applyNumberFormat="1" applyFont="1" applyFill="1" applyBorder="1" applyAlignment="1" applyProtection="1"/>
    <xf numFmtId="41" fontId="11" fillId="0" borderId="0" xfId="2" applyFont="1" applyFill="1" applyBorder="1" applyAlignment="1" applyProtection="1"/>
    <xf numFmtId="0" fontId="0" fillId="0" borderId="12" xfId="0" applyNumberFormat="1" applyFont="1" applyFill="1" applyBorder="1" applyAlignment="1" applyProtection="1">
      <alignment horizontal="center"/>
    </xf>
    <xf numFmtId="176" fontId="9" fillId="3" borderId="13" xfId="3" applyNumberFormat="1" applyFont="1" applyBorder="1" applyAlignment="1">
      <alignment horizontal="center" vertical="center"/>
    </xf>
    <xf numFmtId="0" fontId="9" fillId="3" borderId="14" xfId="3" applyFont="1" applyBorder="1" applyAlignment="1">
      <alignment horizontal="center" vertical="center"/>
    </xf>
    <xf numFmtId="41" fontId="9" fillId="3" borderId="14" xfId="2" applyFont="1" applyFill="1" applyBorder="1" applyAlignment="1">
      <alignment horizontal="center" vertical="center"/>
    </xf>
    <xf numFmtId="0" fontId="9" fillId="3" borderId="15" xfId="3" applyFont="1" applyBorder="1" applyAlignment="1">
      <alignment horizontal="center" vertical="center"/>
    </xf>
    <xf numFmtId="0" fontId="11" fillId="0" borderId="4" xfId="0" applyNumberFormat="1" applyFont="1" applyFill="1" applyBorder="1" applyAlignment="1" applyProtection="1"/>
    <xf numFmtId="0" fontId="11" fillId="0" borderId="4" xfId="0" applyNumberFormat="1" applyFont="1" applyFill="1" applyBorder="1" applyAlignment="1" applyProtection="1">
      <alignment horizontal="center"/>
    </xf>
    <xf numFmtId="0" fontId="6" fillId="0" borderId="4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vertical="center"/>
    </xf>
    <xf numFmtId="41" fontId="5" fillId="0" borderId="0" xfId="2" applyFont="1" applyFill="1" applyBorder="1" applyAlignment="1" applyProtection="1">
      <alignment vertical="center"/>
    </xf>
    <xf numFmtId="41" fontId="7" fillId="5" borderId="0" xfId="2" applyFont="1" applyFill="1" applyBorder="1" applyAlignment="1" applyProtection="1"/>
    <xf numFmtId="41" fontId="7" fillId="4" borderId="0" xfId="2" applyFont="1" applyFill="1" applyBorder="1" applyAlignment="1" applyProtection="1"/>
    <xf numFmtId="41" fontId="7" fillId="5" borderId="0" xfId="2" applyFont="1" applyFill="1" applyBorder="1" applyAlignment="1">
      <alignment horizontal="center" vertical="center"/>
    </xf>
    <xf numFmtId="41" fontId="7" fillId="5" borderId="0" xfId="2" applyFont="1" applyFill="1" applyBorder="1" applyAlignment="1" applyProtection="1">
      <alignment horizontal="center"/>
    </xf>
    <xf numFmtId="41" fontId="0" fillId="5" borderId="0" xfId="2" applyFont="1" applyFill="1" applyBorder="1" applyAlignment="1" applyProtection="1">
      <alignment horizontal="center"/>
    </xf>
    <xf numFmtId="0" fontId="0" fillId="5" borderId="0" xfId="0" applyNumberFormat="1" applyFont="1" applyFill="1" applyBorder="1" applyAlignment="1" applyProtection="1">
      <alignment horizontal="center"/>
    </xf>
    <xf numFmtId="176" fontId="7" fillId="0" borderId="0" xfId="1" applyNumberFormat="1" applyFill="1" applyBorder="1" applyAlignment="1">
      <alignment horizontal="center" vertical="center"/>
    </xf>
    <xf numFmtId="41" fontId="7" fillId="0" borderId="0" xfId="2" applyFont="1" applyFill="1" applyBorder="1" applyAlignment="1" applyProtection="1"/>
    <xf numFmtId="177" fontId="7" fillId="4" borderId="0" xfId="1" applyNumberFormat="1" applyFill="1" applyBorder="1" applyAlignment="1" applyProtection="1">
      <alignment horizontal="right"/>
    </xf>
    <xf numFmtId="0" fontId="0" fillId="4" borderId="0" xfId="0" applyNumberFormat="1" applyFont="1" applyFill="1" applyBorder="1" applyAlignment="1" applyProtection="1">
      <alignment horizontal="right"/>
    </xf>
    <xf numFmtId="176" fontId="11" fillId="0" borderId="0" xfId="0" applyNumberFormat="1" applyFont="1" applyFill="1" applyBorder="1" applyAlignment="1" applyProtection="1">
      <alignment horizontal="centerContinuous" vertical="center"/>
    </xf>
    <xf numFmtId="0" fontId="11" fillId="0" borderId="0" xfId="0" applyNumberFormat="1" applyFont="1" applyFill="1" applyBorder="1" applyAlignment="1" applyProtection="1">
      <alignment horizontal="centerContinuous"/>
    </xf>
    <xf numFmtId="176" fontId="5" fillId="0" borderId="0" xfId="0" applyNumberFormat="1" applyFont="1" applyFill="1" applyBorder="1" applyAlignment="1" applyProtection="1">
      <alignment horizontal="centerContinuous" vertical="center"/>
    </xf>
    <xf numFmtId="0" fontId="5" fillId="0" borderId="0" xfId="0" applyNumberFormat="1" applyFont="1" applyFill="1" applyBorder="1" applyAlignment="1" applyProtection="1">
      <alignment horizontal="centerContinuous" vertical="center"/>
    </xf>
    <xf numFmtId="14" fontId="0" fillId="0" borderId="5" xfId="0" applyNumberFormat="1" applyFont="1" applyFill="1" applyBorder="1" applyAlignment="1" applyProtection="1">
      <alignment horizontal="center"/>
    </xf>
    <xf numFmtId="14" fontId="0" fillId="0" borderId="1" xfId="0" applyNumberFormat="1" applyFont="1" applyFill="1" applyBorder="1" applyAlignment="1" applyProtection="1">
      <alignment horizontal="center"/>
    </xf>
    <xf numFmtId="14" fontId="0" fillId="0" borderId="11" xfId="0" applyNumberFormat="1" applyFont="1" applyFill="1" applyBorder="1" applyAlignment="1" applyProtection="1"/>
    <xf numFmtId="41" fontId="13" fillId="0" borderId="0" xfId="2" applyFont="1" applyFill="1" applyBorder="1" applyAlignment="1" applyProtection="1"/>
    <xf numFmtId="0" fontId="14" fillId="0" borderId="0" xfId="0" applyNumberFormat="1" applyFont="1" applyFill="1" applyBorder="1" applyAlignment="1" applyProtection="1"/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6" applyNumberFormat="1" applyFont="1" applyFill="1" applyBorder="1" applyAlignment="1" applyProtection="1">
      <alignment horizontal="left" vertical="center" indent="1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/>
    <xf numFmtId="0" fontId="16" fillId="0" borderId="0" xfId="0" applyNumberFormat="1" applyFont="1" applyFill="1" applyBorder="1" applyAlignment="1" applyProtection="1">
      <alignment horizontal="left" vertical="center" indent="3"/>
    </xf>
    <xf numFmtId="0" fontId="16" fillId="0" borderId="0" xfId="0" applyNumberFormat="1" applyFont="1" applyFill="1" applyBorder="1" applyAlignment="1" applyProtection="1">
      <alignment horizontal="left" vertical="center" indent="4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Border="1" applyAlignment="1" applyProtection="1">
      <alignment horizontal="center" vertical="center" wrapText="1"/>
    </xf>
    <xf numFmtId="0" fontId="19" fillId="0" borderId="0" xfId="0" applyNumberFormat="1" applyFont="1" applyFill="1" applyBorder="1" applyAlignment="1" applyProtection="1">
      <alignment vertical="center" wrapText="1"/>
    </xf>
    <xf numFmtId="0" fontId="19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left" vertical="center" wrapText="1"/>
    </xf>
  </cellXfs>
  <cellStyles count="7">
    <cellStyle name="강조색1" xfId="1" builtinId="29"/>
    <cellStyle name="쉼표 [0]" xfId="2" builtinId="6"/>
    <cellStyle name="쉼표 [0] 2" xfId="5" xr:uid="{00000000-0005-0000-0000-000002000000}"/>
    <cellStyle name="좋음" xfId="3" builtinId="26"/>
    <cellStyle name="표준" xfId="0" builtinId="0"/>
    <cellStyle name="표준 2" xfId="4" xr:uid="{00000000-0005-0000-0000-000005000000}"/>
    <cellStyle name="하이퍼링크" xfId="6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www.law.go.kr/admRulInfoP.do?admRulSeq=2200000056493&amp;chrClsCd=010201" TargetMode="External"/><Relationship Id="rId1" Type="http://schemas.openxmlformats.org/officeDocument/2006/relationships/hyperlink" Target="http://www.law.go.kr/admRulInfoP.do?admRulSeq=2200000056493&amp;chrClsCd=01020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10"/>
  <sheetViews>
    <sheetView tabSelected="1" view="pageBreakPreview" zoomScale="120" zoomScaleNormal="100" zoomScaleSheetLayoutView="120" workbookViewId="0">
      <selection activeCell="E1" sqref="E1"/>
    </sheetView>
  </sheetViews>
  <sheetFormatPr defaultColWidth="13" defaultRowHeight="14.25" customHeight="1"/>
  <cols>
    <col min="1" max="1" width="3.33203125" customWidth="1"/>
    <col min="2" max="2" width="12.33203125" style="3" customWidth="1"/>
    <col min="3" max="3" width="11.5" customWidth="1"/>
    <col min="4" max="4" width="19.83203125" customWidth="1"/>
    <col min="5" max="5" width="15.83203125" customWidth="1"/>
    <col min="6" max="6" width="14.33203125" customWidth="1"/>
    <col min="7" max="7" width="22.5" style="2" bestFit="1" customWidth="1"/>
    <col min="8" max="8" width="16" style="2" customWidth="1"/>
    <col min="9" max="9" width="27.1640625" style="2" bestFit="1" customWidth="1"/>
    <col min="10" max="10" width="43.5" customWidth="1"/>
    <col min="11" max="11" width="22.5" bestFit="1" customWidth="1"/>
    <col min="12" max="14" width="13" style="6"/>
  </cols>
  <sheetData>
    <row r="1" spans="2:14" ht="11.25"/>
    <row r="2" spans="2:14" s="27" customFormat="1" ht="13.5">
      <c r="B2" s="41"/>
      <c r="C2" s="42"/>
      <c r="D2" s="42"/>
      <c r="E2" s="42"/>
      <c r="F2" s="42"/>
      <c r="G2" s="42"/>
      <c r="H2" s="26" t="s">
        <v>133</v>
      </c>
      <c r="I2" s="26" t="s">
        <v>134</v>
      </c>
      <c r="L2" s="28"/>
      <c r="M2" s="28"/>
      <c r="N2" s="28"/>
    </row>
    <row r="3" spans="2:14" s="17" customFormat="1" ht="53.25" customHeight="1">
      <c r="B3" s="39" t="s">
        <v>155</v>
      </c>
      <c r="C3" s="40"/>
      <c r="D3" s="40"/>
      <c r="E3" s="40"/>
      <c r="F3" s="40"/>
      <c r="G3" s="40"/>
      <c r="H3" s="24"/>
      <c r="I3" s="25"/>
      <c r="L3" s="18"/>
      <c r="M3" s="18"/>
      <c r="N3" s="18"/>
    </row>
    <row r="4" spans="2:14" ht="13.5" customHeight="1" thickBot="1">
      <c r="F4" s="1"/>
    </row>
    <row r="5" spans="2:14" ht="14.25" customHeight="1">
      <c r="B5" s="13" t="s">
        <v>0</v>
      </c>
      <c r="C5" s="14" t="s">
        <v>1</v>
      </c>
      <c r="D5" s="14" t="s">
        <v>2</v>
      </c>
      <c r="E5" s="15" t="s">
        <v>3</v>
      </c>
      <c r="F5" s="14" t="s">
        <v>4</v>
      </c>
      <c r="G5" s="14" t="s">
        <v>8</v>
      </c>
      <c r="H5" s="14" t="s">
        <v>5</v>
      </c>
      <c r="I5" s="16" t="s">
        <v>6</v>
      </c>
      <c r="N5" s="6">
        <f>+N6+N7</f>
        <v>0</v>
      </c>
    </row>
    <row r="6" spans="2:14" ht="11.25">
      <c r="B6" s="43">
        <v>42580</v>
      </c>
      <c r="C6" s="10" t="s">
        <v>7</v>
      </c>
      <c r="D6" s="10" t="s">
        <v>426</v>
      </c>
      <c r="E6" s="11">
        <v>28950</v>
      </c>
      <c r="F6" s="10" t="s">
        <v>217</v>
      </c>
      <c r="G6" s="10" t="s">
        <v>171</v>
      </c>
      <c r="H6" s="10" t="s">
        <v>245</v>
      </c>
      <c r="I6" s="12" t="s">
        <v>335</v>
      </c>
      <c r="J6" s="1"/>
    </row>
    <row r="7" spans="2:14" ht="11.25">
      <c r="B7" s="44">
        <v>42580</v>
      </c>
      <c r="C7" s="4" t="s">
        <v>9</v>
      </c>
      <c r="D7" s="4" t="s">
        <v>425</v>
      </c>
      <c r="E7" s="5">
        <v>59700</v>
      </c>
      <c r="F7" s="4" t="s">
        <v>217</v>
      </c>
      <c r="G7" s="4" t="s">
        <v>186</v>
      </c>
      <c r="H7" s="4" t="s">
        <v>316</v>
      </c>
      <c r="I7" s="8" t="s">
        <v>336</v>
      </c>
      <c r="J7" s="1"/>
    </row>
    <row r="8" spans="2:14" ht="11.25">
      <c r="B8" s="44">
        <v>42580</v>
      </c>
      <c r="C8" s="4" t="s">
        <v>10</v>
      </c>
      <c r="D8" s="4" t="s">
        <v>424</v>
      </c>
      <c r="E8" s="5">
        <v>59700</v>
      </c>
      <c r="F8" s="4" t="s">
        <v>217</v>
      </c>
      <c r="G8" s="4" t="s">
        <v>209</v>
      </c>
      <c r="H8" s="4" t="s">
        <v>11</v>
      </c>
      <c r="I8" s="8" t="s">
        <v>337</v>
      </c>
      <c r="J8" s="1"/>
    </row>
    <row r="9" spans="2:14" ht="11.25">
      <c r="B9" s="44">
        <v>42582</v>
      </c>
      <c r="C9" s="4" t="s">
        <v>12</v>
      </c>
      <c r="D9" s="4" t="s">
        <v>427</v>
      </c>
      <c r="E9" s="5">
        <v>38033</v>
      </c>
      <c r="F9" s="4" t="s">
        <v>217</v>
      </c>
      <c r="G9" s="4" t="s">
        <v>167</v>
      </c>
      <c r="H9" s="4" t="s">
        <v>13</v>
      </c>
      <c r="I9" s="8" t="s">
        <v>338</v>
      </c>
      <c r="J9" s="1"/>
    </row>
    <row r="10" spans="2:14" ht="11.25">
      <c r="B10" s="44">
        <v>42582</v>
      </c>
      <c r="C10" s="4" t="s">
        <v>14</v>
      </c>
      <c r="D10" s="4" t="s">
        <v>428</v>
      </c>
      <c r="E10" s="5">
        <v>35700</v>
      </c>
      <c r="F10" s="4" t="s">
        <v>217</v>
      </c>
      <c r="G10" s="4" t="s">
        <v>198</v>
      </c>
      <c r="H10" s="4" t="s">
        <v>328</v>
      </c>
      <c r="I10" s="8" t="s">
        <v>339</v>
      </c>
      <c r="J10" s="1"/>
    </row>
    <row r="11" spans="2:14" ht="11.25">
      <c r="B11" s="44">
        <v>42582</v>
      </c>
      <c r="C11" s="4" t="s">
        <v>15</v>
      </c>
      <c r="D11" s="4" t="s">
        <v>428</v>
      </c>
      <c r="E11" s="5">
        <v>35700</v>
      </c>
      <c r="F11" s="4" t="s">
        <v>217</v>
      </c>
      <c r="G11" s="4" t="s">
        <v>198</v>
      </c>
      <c r="H11" s="4" t="s">
        <v>16</v>
      </c>
      <c r="I11" s="8" t="s">
        <v>340</v>
      </c>
      <c r="J11" s="1"/>
    </row>
    <row r="12" spans="2:14" ht="11.25">
      <c r="B12" s="44">
        <v>42595</v>
      </c>
      <c r="C12" s="4" t="s">
        <v>17</v>
      </c>
      <c r="D12" s="4" t="s">
        <v>428</v>
      </c>
      <c r="E12" s="5">
        <v>88700</v>
      </c>
      <c r="F12" s="4" t="s">
        <v>217</v>
      </c>
      <c r="G12" s="4" t="s">
        <v>190</v>
      </c>
      <c r="H12" s="4" t="s">
        <v>28</v>
      </c>
      <c r="I12" s="8" t="s">
        <v>341</v>
      </c>
      <c r="J12" s="1"/>
    </row>
    <row r="13" spans="2:14" ht="11.25">
      <c r="B13" s="44">
        <v>42601</v>
      </c>
      <c r="C13" s="4" t="s">
        <v>18</v>
      </c>
      <c r="D13" s="4" t="s">
        <v>428</v>
      </c>
      <c r="E13" s="5">
        <v>33843</v>
      </c>
      <c r="F13" s="4" t="s">
        <v>218</v>
      </c>
      <c r="G13" s="4" t="s">
        <v>202</v>
      </c>
      <c r="H13" s="4" t="s">
        <v>293</v>
      </c>
      <c r="I13" s="8" t="s">
        <v>342</v>
      </c>
      <c r="J13" s="1"/>
    </row>
    <row r="14" spans="2:14" ht="11.25">
      <c r="B14" s="44">
        <v>42601</v>
      </c>
      <c r="C14" s="4" t="s">
        <v>9</v>
      </c>
      <c r="D14" s="4" t="s">
        <v>428</v>
      </c>
      <c r="E14" s="5">
        <v>33843</v>
      </c>
      <c r="F14" s="4" t="s">
        <v>218</v>
      </c>
      <c r="G14" s="4" t="s">
        <v>195</v>
      </c>
      <c r="H14" s="4" t="s">
        <v>284</v>
      </c>
      <c r="I14" s="8" t="s">
        <v>343</v>
      </c>
      <c r="J14" s="1"/>
    </row>
    <row r="15" spans="2:14" ht="11.25">
      <c r="B15" s="44">
        <v>42601</v>
      </c>
      <c r="C15" s="4" t="s">
        <v>20</v>
      </c>
      <c r="D15" s="4" t="s">
        <v>428</v>
      </c>
      <c r="E15" s="5">
        <v>33843</v>
      </c>
      <c r="F15" s="4" t="s">
        <v>218</v>
      </c>
      <c r="G15" s="4" t="s">
        <v>160</v>
      </c>
      <c r="H15" s="4" t="s">
        <v>326</v>
      </c>
      <c r="I15" s="8" t="s">
        <v>344</v>
      </c>
      <c r="J15" s="1"/>
    </row>
    <row r="16" spans="2:14" ht="11.25">
      <c r="B16" s="44">
        <v>42601</v>
      </c>
      <c r="C16" s="4" t="s">
        <v>17</v>
      </c>
      <c r="D16" s="4" t="s">
        <v>428</v>
      </c>
      <c r="E16" s="5">
        <v>33843</v>
      </c>
      <c r="F16" s="4" t="s">
        <v>218</v>
      </c>
      <c r="G16" s="4" t="s">
        <v>186</v>
      </c>
      <c r="H16" s="4" t="s">
        <v>297</v>
      </c>
      <c r="I16" s="8" t="s">
        <v>345</v>
      </c>
      <c r="J16" s="1"/>
    </row>
    <row r="17" spans="2:10" ht="11.25">
      <c r="B17" s="44">
        <v>42601</v>
      </c>
      <c r="C17" s="4" t="s">
        <v>19</v>
      </c>
      <c r="D17" s="4" t="s">
        <v>428</v>
      </c>
      <c r="E17" s="5">
        <v>33843</v>
      </c>
      <c r="F17" s="4" t="s">
        <v>218</v>
      </c>
      <c r="G17" s="4" t="s">
        <v>211</v>
      </c>
      <c r="H17" s="4" t="s">
        <v>285</v>
      </c>
      <c r="I17" s="8" t="s">
        <v>346</v>
      </c>
      <c r="J17" s="1"/>
    </row>
    <row r="18" spans="2:10" ht="11.25">
      <c r="B18" s="44">
        <v>42601</v>
      </c>
      <c r="C18" s="4" t="s">
        <v>17</v>
      </c>
      <c r="D18" s="4" t="s">
        <v>428</v>
      </c>
      <c r="E18" s="5">
        <v>33843</v>
      </c>
      <c r="F18" s="4" t="s">
        <v>218</v>
      </c>
      <c r="G18" s="4" t="s">
        <v>216</v>
      </c>
      <c r="H18" s="4" t="s">
        <v>279</v>
      </c>
      <c r="I18" s="8" t="s">
        <v>347</v>
      </c>
      <c r="J18" s="1"/>
    </row>
    <row r="19" spans="2:10" ht="11.25">
      <c r="B19" s="44">
        <v>42601</v>
      </c>
      <c r="C19" s="4" t="s">
        <v>12</v>
      </c>
      <c r="D19" s="4" t="s">
        <v>428</v>
      </c>
      <c r="E19" s="5">
        <v>28033</v>
      </c>
      <c r="F19" s="4" t="s">
        <v>217</v>
      </c>
      <c r="G19" s="4" t="s">
        <v>172</v>
      </c>
      <c r="H19" s="4" t="s">
        <v>21</v>
      </c>
      <c r="I19" s="8" t="s">
        <v>348</v>
      </c>
      <c r="J19" s="1"/>
    </row>
    <row r="20" spans="2:10" ht="11.25">
      <c r="B20" s="44">
        <v>42609</v>
      </c>
      <c r="C20" s="4" t="s">
        <v>22</v>
      </c>
      <c r="D20" s="4" t="s">
        <v>428</v>
      </c>
      <c r="E20" s="5">
        <v>34700</v>
      </c>
      <c r="F20" s="4" t="s">
        <v>217</v>
      </c>
      <c r="G20" s="4" t="s">
        <v>198</v>
      </c>
      <c r="H20" s="4" t="s">
        <v>328</v>
      </c>
      <c r="I20" s="8" t="s">
        <v>344</v>
      </c>
      <c r="J20" s="1"/>
    </row>
    <row r="21" spans="2:10" ht="11.25">
      <c r="B21" s="44">
        <v>42615</v>
      </c>
      <c r="C21" s="4" t="s">
        <v>17</v>
      </c>
      <c r="D21" s="4" t="s">
        <v>428</v>
      </c>
      <c r="E21" s="5">
        <v>39700</v>
      </c>
      <c r="F21" s="4" t="s">
        <v>218</v>
      </c>
      <c r="G21" s="4" t="s">
        <v>216</v>
      </c>
      <c r="H21" s="4" t="s">
        <v>280</v>
      </c>
      <c r="I21" s="9" t="s">
        <v>349</v>
      </c>
      <c r="J21" s="1"/>
    </row>
    <row r="22" spans="2:10" ht="11.25">
      <c r="B22" s="44">
        <v>42616</v>
      </c>
      <c r="C22" s="4" t="s">
        <v>17</v>
      </c>
      <c r="D22" s="4" t="s">
        <v>428</v>
      </c>
      <c r="E22" s="5">
        <v>47533</v>
      </c>
      <c r="F22" s="4" t="s">
        <v>218</v>
      </c>
      <c r="G22" s="4" t="s">
        <v>214</v>
      </c>
      <c r="H22" s="4" t="s">
        <v>23</v>
      </c>
      <c r="I22" s="8" t="s">
        <v>350</v>
      </c>
      <c r="J22" s="1"/>
    </row>
    <row r="23" spans="2:10" ht="11.25">
      <c r="B23" s="44">
        <v>42616</v>
      </c>
      <c r="C23" s="4" t="s">
        <v>17</v>
      </c>
      <c r="D23" s="4" t="s">
        <v>428</v>
      </c>
      <c r="E23" s="5">
        <v>47533</v>
      </c>
      <c r="F23" s="4" t="s">
        <v>218</v>
      </c>
      <c r="G23" s="4" t="s">
        <v>216</v>
      </c>
      <c r="H23" s="4" t="s">
        <v>288</v>
      </c>
      <c r="I23" s="8" t="s">
        <v>351</v>
      </c>
      <c r="J23" s="1"/>
    </row>
    <row r="24" spans="2:10" ht="11.25">
      <c r="B24" s="44">
        <v>42616</v>
      </c>
      <c r="C24" s="4" t="s">
        <v>17</v>
      </c>
      <c r="D24" s="4" t="s">
        <v>428</v>
      </c>
      <c r="E24" s="5">
        <v>47533</v>
      </c>
      <c r="F24" s="4" t="s">
        <v>218</v>
      </c>
      <c r="G24" s="4" t="s">
        <v>216</v>
      </c>
      <c r="H24" s="4" t="s">
        <v>300</v>
      </c>
      <c r="I24" s="8" t="s">
        <v>352</v>
      </c>
      <c r="J24" s="1"/>
    </row>
    <row r="25" spans="2:10" ht="11.25">
      <c r="B25" s="44">
        <v>42616</v>
      </c>
      <c r="C25" s="4" t="s">
        <v>17</v>
      </c>
      <c r="D25" s="4" t="s">
        <v>428</v>
      </c>
      <c r="E25" s="5">
        <v>47533</v>
      </c>
      <c r="F25" s="4" t="s">
        <v>218</v>
      </c>
      <c r="G25" s="4" t="s">
        <v>216</v>
      </c>
      <c r="H25" s="4" t="s">
        <v>24</v>
      </c>
      <c r="I25" s="8" t="s">
        <v>344</v>
      </c>
      <c r="J25" s="1"/>
    </row>
    <row r="26" spans="2:10" ht="11.25">
      <c r="B26" s="44">
        <v>42616</v>
      </c>
      <c r="C26" s="4" t="s">
        <v>17</v>
      </c>
      <c r="D26" s="4" t="s">
        <v>428</v>
      </c>
      <c r="E26" s="5">
        <v>47533</v>
      </c>
      <c r="F26" s="4" t="s">
        <v>218</v>
      </c>
      <c r="G26" s="4" t="s">
        <v>216</v>
      </c>
      <c r="H26" s="4" t="s">
        <v>289</v>
      </c>
      <c r="I26" s="8" t="s">
        <v>353</v>
      </c>
      <c r="J26" s="1"/>
    </row>
    <row r="27" spans="2:10" ht="11.25">
      <c r="B27" s="44">
        <v>42618</v>
      </c>
      <c r="C27" s="4" t="s">
        <v>17</v>
      </c>
      <c r="D27" s="4" t="s">
        <v>428</v>
      </c>
      <c r="E27" s="5">
        <v>153255</v>
      </c>
      <c r="F27" s="4" t="s">
        <v>217</v>
      </c>
      <c r="G27" s="4" t="s">
        <v>186</v>
      </c>
      <c r="H27" s="4" t="s">
        <v>26</v>
      </c>
      <c r="I27" s="8" t="s">
        <v>354</v>
      </c>
      <c r="J27" s="1"/>
    </row>
    <row r="28" spans="2:10" ht="11.25">
      <c r="B28" s="44">
        <v>42632</v>
      </c>
      <c r="C28" s="4" t="s">
        <v>17</v>
      </c>
      <c r="D28" s="4" t="s">
        <v>25</v>
      </c>
      <c r="E28" s="5">
        <v>69700</v>
      </c>
      <c r="F28" s="4" t="s">
        <v>222</v>
      </c>
      <c r="G28" s="4" t="s">
        <v>182</v>
      </c>
      <c r="H28" s="4" t="s">
        <v>329</v>
      </c>
      <c r="I28" s="8" t="s">
        <v>355</v>
      </c>
      <c r="J28" s="1"/>
    </row>
    <row r="29" spans="2:10" ht="11.25">
      <c r="B29" s="44">
        <v>42632</v>
      </c>
      <c r="C29" s="4" t="s">
        <v>91</v>
      </c>
      <c r="D29" s="4" t="s">
        <v>92</v>
      </c>
      <c r="E29" s="5">
        <v>69700</v>
      </c>
      <c r="F29" s="4" t="s">
        <v>222</v>
      </c>
      <c r="G29" s="4" t="s">
        <v>162</v>
      </c>
      <c r="H29" s="4" t="s">
        <v>93</v>
      </c>
      <c r="I29" s="8" t="s">
        <v>356</v>
      </c>
      <c r="J29" s="1"/>
    </row>
    <row r="30" spans="2:10" ht="11.25">
      <c r="B30" s="44">
        <v>42639</v>
      </c>
      <c r="C30" s="4" t="s">
        <v>94</v>
      </c>
      <c r="D30" s="4" t="s">
        <v>428</v>
      </c>
      <c r="E30" s="5">
        <v>613700</v>
      </c>
      <c r="F30" s="4" t="s">
        <v>217</v>
      </c>
      <c r="G30" s="4" t="s">
        <v>160</v>
      </c>
      <c r="H30" s="4" t="s">
        <v>319</v>
      </c>
      <c r="I30" s="8" t="s">
        <v>357</v>
      </c>
      <c r="J30" s="1"/>
    </row>
    <row r="31" spans="2:10" ht="11.25">
      <c r="B31" s="44">
        <v>42642</v>
      </c>
      <c r="C31" s="4" t="s">
        <v>95</v>
      </c>
      <c r="D31" s="4" t="s">
        <v>428</v>
      </c>
      <c r="E31" s="5">
        <v>32700</v>
      </c>
      <c r="F31" s="4" t="s">
        <v>222</v>
      </c>
      <c r="G31" s="4" t="s">
        <v>184</v>
      </c>
      <c r="H31" s="4" t="s">
        <v>324</v>
      </c>
      <c r="I31" s="8" t="s">
        <v>358</v>
      </c>
      <c r="J31" s="1"/>
    </row>
    <row r="32" spans="2:10" ht="11.25">
      <c r="B32" s="44">
        <v>42658</v>
      </c>
      <c r="C32" s="4" t="s">
        <v>95</v>
      </c>
      <c r="D32" s="4" t="s">
        <v>428</v>
      </c>
      <c r="E32" s="5">
        <f>(70666/2)-2300</f>
        <v>33033</v>
      </c>
      <c r="F32" s="4" t="s">
        <v>218</v>
      </c>
      <c r="G32" s="4" t="s">
        <v>213</v>
      </c>
      <c r="H32" s="4" t="s">
        <v>305</v>
      </c>
      <c r="I32" s="8" t="s">
        <v>359</v>
      </c>
      <c r="J32" s="1"/>
    </row>
    <row r="33" spans="2:10" ht="11.25">
      <c r="B33" s="44">
        <v>42658</v>
      </c>
      <c r="C33" s="4" t="s">
        <v>95</v>
      </c>
      <c r="D33" s="4" t="s">
        <v>428</v>
      </c>
      <c r="E33" s="5">
        <f>(70666/2)-2300</f>
        <v>33033</v>
      </c>
      <c r="F33" s="4" t="s">
        <v>218</v>
      </c>
      <c r="G33" s="4" t="s">
        <v>213</v>
      </c>
      <c r="H33" s="4" t="s">
        <v>332</v>
      </c>
      <c r="I33" s="8" t="s">
        <v>360</v>
      </c>
      <c r="J33" s="1"/>
    </row>
    <row r="34" spans="2:10" ht="11.25">
      <c r="B34" s="44">
        <v>42665</v>
      </c>
      <c r="C34" s="4" t="s">
        <v>114</v>
      </c>
      <c r="D34" s="4" t="s">
        <v>424</v>
      </c>
      <c r="E34" s="5">
        <f t="shared" ref="E34:E56" si="0">(1849200/23)-2300</f>
        <v>78100</v>
      </c>
      <c r="F34" s="4" t="s">
        <v>115</v>
      </c>
      <c r="G34" s="4" t="s">
        <v>178</v>
      </c>
      <c r="H34" s="4" t="s">
        <v>30</v>
      </c>
      <c r="I34" s="8" t="s">
        <v>361</v>
      </c>
      <c r="J34" s="1"/>
    </row>
    <row r="35" spans="2:10" ht="11.25">
      <c r="B35" s="44">
        <v>42665</v>
      </c>
      <c r="C35" s="4" t="s">
        <v>114</v>
      </c>
      <c r="D35" s="4" t="s">
        <v>424</v>
      </c>
      <c r="E35" s="5">
        <f t="shared" si="0"/>
        <v>78100</v>
      </c>
      <c r="F35" s="4" t="s">
        <v>115</v>
      </c>
      <c r="G35" s="4" t="s">
        <v>187</v>
      </c>
      <c r="H35" s="4" t="s">
        <v>317</v>
      </c>
      <c r="I35" s="8" t="s">
        <v>362</v>
      </c>
      <c r="J35" s="1"/>
    </row>
    <row r="36" spans="2:10" ht="11.25">
      <c r="B36" s="44">
        <v>42665</v>
      </c>
      <c r="C36" s="4" t="s">
        <v>114</v>
      </c>
      <c r="D36" s="4" t="s">
        <v>424</v>
      </c>
      <c r="E36" s="5">
        <f t="shared" si="0"/>
        <v>78100</v>
      </c>
      <c r="F36" s="4" t="s">
        <v>219</v>
      </c>
      <c r="G36" s="4" t="s">
        <v>183</v>
      </c>
      <c r="H36" s="4" t="s">
        <v>330</v>
      </c>
      <c r="I36" s="8" t="s">
        <v>363</v>
      </c>
      <c r="J36" s="1"/>
    </row>
    <row r="37" spans="2:10" ht="11.25">
      <c r="B37" s="44">
        <v>42665</v>
      </c>
      <c r="C37" s="4" t="s">
        <v>114</v>
      </c>
      <c r="D37" s="4" t="s">
        <v>424</v>
      </c>
      <c r="E37" s="5">
        <f t="shared" si="0"/>
        <v>78100</v>
      </c>
      <c r="F37" s="4" t="s">
        <v>220</v>
      </c>
      <c r="G37" s="4" t="s">
        <v>173</v>
      </c>
      <c r="H37" s="4" t="s">
        <v>29</v>
      </c>
      <c r="I37" s="8" t="s">
        <v>364</v>
      </c>
      <c r="J37" s="1"/>
    </row>
    <row r="38" spans="2:10" ht="11.25">
      <c r="B38" s="44">
        <v>42665</v>
      </c>
      <c r="C38" s="4" t="s">
        <v>114</v>
      </c>
      <c r="D38" s="4" t="s">
        <v>424</v>
      </c>
      <c r="E38" s="5">
        <f t="shared" si="0"/>
        <v>78100</v>
      </c>
      <c r="F38" s="4" t="s">
        <v>115</v>
      </c>
      <c r="G38" s="4" t="s">
        <v>187</v>
      </c>
      <c r="H38" s="4" t="s">
        <v>108</v>
      </c>
      <c r="I38" s="8" t="s">
        <v>365</v>
      </c>
      <c r="J38" s="1"/>
    </row>
    <row r="39" spans="2:10" ht="11.25">
      <c r="B39" s="44">
        <v>42665</v>
      </c>
      <c r="C39" s="4" t="s">
        <v>114</v>
      </c>
      <c r="D39" s="4" t="s">
        <v>424</v>
      </c>
      <c r="E39" s="5">
        <f t="shared" si="0"/>
        <v>78100</v>
      </c>
      <c r="F39" s="4" t="s">
        <v>115</v>
      </c>
      <c r="G39" s="4" t="s">
        <v>187</v>
      </c>
      <c r="H39" s="4" t="s">
        <v>109</v>
      </c>
      <c r="I39" s="8" t="s">
        <v>366</v>
      </c>
      <c r="J39" s="1"/>
    </row>
    <row r="40" spans="2:10" ht="11.25">
      <c r="B40" s="44">
        <v>42665</v>
      </c>
      <c r="C40" s="4" t="s">
        <v>114</v>
      </c>
      <c r="D40" s="4" t="s">
        <v>424</v>
      </c>
      <c r="E40" s="5">
        <f t="shared" si="0"/>
        <v>78100</v>
      </c>
      <c r="F40" s="4" t="s">
        <v>220</v>
      </c>
      <c r="G40" s="4" t="s">
        <v>187</v>
      </c>
      <c r="H40" s="4" t="s">
        <v>282</v>
      </c>
      <c r="I40" s="8" t="s">
        <v>367</v>
      </c>
      <c r="J40" s="1"/>
    </row>
    <row r="41" spans="2:10" ht="11.25">
      <c r="B41" s="44">
        <v>42665</v>
      </c>
      <c r="C41" s="4" t="s">
        <v>114</v>
      </c>
      <c r="D41" s="4" t="s">
        <v>424</v>
      </c>
      <c r="E41" s="5">
        <f t="shared" si="0"/>
        <v>78100</v>
      </c>
      <c r="F41" s="4" t="s">
        <v>220</v>
      </c>
      <c r="G41" s="4" t="s">
        <v>173</v>
      </c>
      <c r="H41" s="4" t="s">
        <v>310</v>
      </c>
      <c r="I41" s="8" t="s">
        <v>344</v>
      </c>
      <c r="J41" s="1"/>
    </row>
    <row r="42" spans="2:10" ht="11.25">
      <c r="B42" s="44">
        <v>42665</v>
      </c>
      <c r="C42" s="4" t="s">
        <v>114</v>
      </c>
      <c r="D42" s="4" t="s">
        <v>424</v>
      </c>
      <c r="E42" s="5">
        <f t="shared" si="0"/>
        <v>78100</v>
      </c>
      <c r="F42" s="4" t="s">
        <v>219</v>
      </c>
      <c r="G42" s="4" t="s">
        <v>173</v>
      </c>
      <c r="H42" s="4" t="s">
        <v>98</v>
      </c>
      <c r="I42" s="8" t="s">
        <v>368</v>
      </c>
      <c r="J42" s="1"/>
    </row>
    <row r="43" spans="2:10" ht="11.25">
      <c r="B43" s="44">
        <v>42665</v>
      </c>
      <c r="C43" s="4" t="s">
        <v>114</v>
      </c>
      <c r="D43" s="4" t="s">
        <v>424</v>
      </c>
      <c r="E43" s="5">
        <f t="shared" si="0"/>
        <v>78100</v>
      </c>
      <c r="F43" s="4" t="s">
        <v>221</v>
      </c>
      <c r="G43" s="4" t="s">
        <v>196</v>
      </c>
      <c r="H43" s="4" t="s">
        <v>100</v>
      </c>
      <c r="I43" s="8" t="s">
        <v>369</v>
      </c>
      <c r="J43" s="1"/>
    </row>
    <row r="44" spans="2:10" ht="11.25">
      <c r="B44" s="44">
        <v>42665</v>
      </c>
      <c r="C44" s="4" t="s">
        <v>114</v>
      </c>
      <c r="D44" s="4" t="s">
        <v>424</v>
      </c>
      <c r="E44" s="5">
        <f t="shared" si="0"/>
        <v>78100</v>
      </c>
      <c r="F44" s="4" t="s">
        <v>221</v>
      </c>
      <c r="G44" s="4" t="s">
        <v>187</v>
      </c>
      <c r="H44" s="4" t="s">
        <v>309</v>
      </c>
      <c r="I44" s="8" t="s">
        <v>370</v>
      </c>
      <c r="J44" s="1"/>
    </row>
    <row r="45" spans="2:10" ht="11.25">
      <c r="B45" s="44">
        <v>42665</v>
      </c>
      <c r="C45" s="4" t="s">
        <v>114</v>
      </c>
      <c r="D45" s="4" t="s">
        <v>424</v>
      </c>
      <c r="E45" s="5">
        <f t="shared" si="0"/>
        <v>78100</v>
      </c>
      <c r="F45" s="4" t="s">
        <v>115</v>
      </c>
      <c r="G45" s="4" t="s">
        <v>187</v>
      </c>
      <c r="H45" s="4" t="s">
        <v>323</v>
      </c>
      <c r="I45" s="8" t="s">
        <v>371</v>
      </c>
      <c r="J45" s="1"/>
    </row>
    <row r="46" spans="2:10" ht="11.25">
      <c r="B46" s="44">
        <v>42665</v>
      </c>
      <c r="C46" s="4" t="s">
        <v>114</v>
      </c>
      <c r="D46" s="4" t="s">
        <v>424</v>
      </c>
      <c r="E46" s="5">
        <f t="shared" si="0"/>
        <v>78100</v>
      </c>
      <c r="F46" s="4" t="s">
        <v>221</v>
      </c>
      <c r="G46" s="4" t="s">
        <v>187</v>
      </c>
      <c r="H46" s="4" t="s">
        <v>307</v>
      </c>
      <c r="I46" s="8" t="s">
        <v>372</v>
      </c>
      <c r="J46" s="1"/>
    </row>
    <row r="47" spans="2:10" ht="11.25">
      <c r="B47" s="44">
        <v>42665</v>
      </c>
      <c r="C47" s="4" t="s">
        <v>114</v>
      </c>
      <c r="D47" s="4" t="s">
        <v>424</v>
      </c>
      <c r="E47" s="5">
        <f t="shared" si="0"/>
        <v>78100</v>
      </c>
      <c r="F47" s="4" t="s">
        <v>219</v>
      </c>
      <c r="G47" s="4" t="s">
        <v>158</v>
      </c>
      <c r="H47" s="4" t="s">
        <v>110</v>
      </c>
      <c r="I47" s="8" t="s">
        <v>373</v>
      </c>
      <c r="J47" s="1"/>
    </row>
    <row r="48" spans="2:10" ht="11.25">
      <c r="B48" s="44">
        <v>42665</v>
      </c>
      <c r="C48" s="4" t="s">
        <v>114</v>
      </c>
      <c r="D48" s="4" t="s">
        <v>424</v>
      </c>
      <c r="E48" s="5">
        <f t="shared" si="0"/>
        <v>78100</v>
      </c>
      <c r="F48" s="4" t="s">
        <v>221</v>
      </c>
      <c r="G48" s="4" t="s">
        <v>200</v>
      </c>
      <c r="H48" s="4" t="s">
        <v>111</v>
      </c>
      <c r="I48" s="8" t="s">
        <v>374</v>
      </c>
      <c r="J48" s="1"/>
    </row>
    <row r="49" spans="2:10" ht="11.25">
      <c r="B49" s="44">
        <v>42665</v>
      </c>
      <c r="C49" s="4" t="s">
        <v>114</v>
      </c>
      <c r="D49" s="4" t="s">
        <v>424</v>
      </c>
      <c r="E49" s="5">
        <f t="shared" si="0"/>
        <v>78100</v>
      </c>
      <c r="F49" s="4" t="s">
        <v>219</v>
      </c>
      <c r="G49" s="4" t="s">
        <v>191</v>
      </c>
      <c r="H49" s="4" t="s">
        <v>322</v>
      </c>
      <c r="I49" s="8" t="s">
        <v>375</v>
      </c>
      <c r="J49" s="1"/>
    </row>
    <row r="50" spans="2:10" ht="11.25">
      <c r="B50" s="44">
        <v>42665</v>
      </c>
      <c r="C50" s="4" t="s">
        <v>114</v>
      </c>
      <c r="D50" s="4" t="s">
        <v>424</v>
      </c>
      <c r="E50" s="5">
        <f t="shared" si="0"/>
        <v>78100</v>
      </c>
      <c r="F50" s="4" t="s">
        <v>221</v>
      </c>
      <c r="G50" s="4" t="s">
        <v>163</v>
      </c>
      <c r="H50" s="4" t="s">
        <v>304</v>
      </c>
      <c r="I50" s="8" t="s">
        <v>376</v>
      </c>
      <c r="J50" s="1"/>
    </row>
    <row r="51" spans="2:10" ht="11.25">
      <c r="B51" s="44">
        <v>42665</v>
      </c>
      <c r="C51" s="4" t="s">
        <v>114</v>
      </c>
      <c r="D51" s="4" t="s">
        <v>424</v>
      </c>
      <c r="E51" s="5">
        <f t="shared" si="0"/>
        <v>78100</v>
      </c>
      <c r="F51" s="4" t="s">
        <v>219</v>
      </c>
      <c r="G51" s="4" t="s">
        <v>187</v>
      </c>
      <c r="H51" s="4" t="s">
        <v>318</v>
      </c>
      <c r="I51" s="8" t="s">
        <v>377</v>
      </c>
      <c r="J51" s="1"/>
    </row>
    <row r="52" spans="2:10" ht="11.25">
      <c r="B52" s="44">
        <v>42665</v>
      </c>
      <c r="C52" s="4" t="s">
        <v>114</v>
      </c>
      <c r="D52" s="4" t="s">
        <v>424</v>
      </c>
      <c r="E52" s="5">
        <f t="shared" si="0"/>
        <v>78100</v>
      </c>
      <c r="F52" s="4" t="s">
        <v>221</v>
      </c>
      <c r="G52" s="4" t="s">
        <v>174</v>
      </c>
      <c r="H52" s="4" t="s">
        <v>112</v>
      </c>
      <c r="I52" s="8" t="s">
        <v>378</v>
      </c>
      <c r="J52" s="1"/>
    </row>
    <row r="53" spans="2:10" ht="11.25">
      <c r="B53" s="44">
        <v>42665</v>
      </c>
      <c r="C53" s="4" t="s">
        <v>114</v>
      </c>
      <c r="D53" s="4" t="s">
        <v>424</v>
      </c>
      <c r="E53" s="5">
        <f t="shared" si="0"/>
        <v>78100</v>
      </c>
      <c r="F53" s="4" t="s">
        <v>219</v>
      </c>
      <c r="G53" s="4" t="s">
        <v>164</v>
      </c>
      <c r="H53" s="4" t="s">
        <v>286</v>
      </c>
      <c r="I53" s="8" t="s">
        <v>379</v>
      </c>
      <c r="J53" s="1"/>
    </row>
    <row r="54" spans="2:10" ht="11.25">
      <c r="B54" s="44">
        <v>42665</v>
      </c>
      <c r="C54" s="4" t="s">
        <v>114</v>
      </c>
      <c r="D54" s="4" t="s">
        <v>424</v>
      </c>
      <c r="E54" s="5">
        <f t="shared" si="0"/>
        <v>78100</v>
      </c>
      <c r="F54" s="4" t="s">
        <v>220</v>
      </c>
      <c r="G54" s="4" t="s">
        <v>170</v>
      </c>
      <c r="H54" s="4" t="s">
        <v>313</v>
      </c>
      <c r="I54" s="8" t="s">
        <v>380</v>
      </c>
      <c r="J54" s="1"/>
    </row>
    <row r="55" spans="2:10" ht="11.25">
      <c r="B55" s="44">
        <v>42665</v>
      </c>
      <c r="C55" s="4" t="s">
        <v>114</v>
      </c>
      <c r="D55" s="4" t="s">
        <v>424</v>
      </c>
      <c r="E55" s="5">
        <f t="shared" si="0"/>
        <v>78100</v>
      </c>
      <c r="F55" s="4" t="s">
        <v>220</v>
      </c>
      <c r="G55" s="4" t="s">
        <v>170</v>
      </c>
      <c r="H55" s="4" t="s">
        <v>113</v>
      </c>
      <c r="I55" s="8" t="s">
        <v>381</v>
      </c>
      <c r="J55" s="1"/>
    </row>
    <row r="56" spans="2:10" ht="11.25">
      <c r="B56" s="44">
        <v>42665</v>
      </c>
      <c r="C56" s="4" t="s">
        <v>114</v>
      </c>
      <c r="D56" s="4" t="s">
        <v>424</v>
      </c>
      <c r="E56" s="5">
        <f t="shared" si="0"/>
        <v>78100</v>
      </c>
      <c r="F56" s="4" t="s">
        <v>221</v>
      </c>
      <c r="G56" s="4" t="s">
        <v>213</v>
      </c>
      <c r="H56" s="4" t="s">
        <v>306</v>
      </c>
      <c r="I56" s="8" t="s">
        <v>382</v>
      </c>
      <c r="J56" s="1"/>
    </row>
    <row r="57" spans="2:10" ht="11.25">
      <c r="B57" s="44">
        <v>42665</v>
      </c>
      <c r="C57" s="4" t="s">
        <v>95</v>
      </c>
      <c r="D57" s="4" t="s">
        <v>428</v>
      </c>
      <c r="E57" s="5">
        <v>124450</v>
      </c>
      <c r="F57" s="4" t="s">
        <v>217</v>
      </c>
      <c r="G57" s="4" t="s">
        <v>194</v>
      </c>
      <c r="H57" s="4" t="s">
        <v>281</v>
      </c>
      <c r="I57" s="8" t="s">
        <v>383</v>
      </c>
      <c r="J57" s="1"/>
    </row>
    <row r="58" spans="2:10" ht="11.25">
      <c r="B58" s="44">
        <v>42666</v>
      </c>
      <c r="C58" s="4" t="s">
        <v>94</v>
      </c>
      <c r="D58" s="4" t="s">
        <v>428</v>
      </c>
      <c r="E58" s="5">
        <v>548950</v>
      </c>
      <c r="F58" s="4" t="s">
        <v>217</v>
      </c>
      <c r="G58" s="4" t="s">
        <v>212</v>
      </c>
      <c r="H58" s="4" t="s">
        <v>320</v>
      </c>
      <c r="I58" s="8" t="s">
        <v>384</v>
      </c>
      <c r="J58" s="1"/>
    </row>
    <row r="59" spans="2:10" ht="11.25">
      <c r="B59" s="44">
        <v>42677</v>
      </c>
      <c r="C59" s="4" t="s">
        <v>95</v>
      </c>
      <c r="D59" s="4" t="s">
        <v>428</v>
      </c>
      <c r="E59" s="5">
        <v>179366</v>
      </c>
      <c r="F59" s="4" t="s">
        <v>217</v>
      </c>
      <c r="G59" s="4" t="s">
        <v>212</v>
      </c>
      <c r="H59" s="4" t="s">
        <v>321</v>
      </c>
      <c r="I59" s="8" t="s">
        <v>385</v>
      </c>
      <c r="J59" s="1"/>
    </row>
    <row r="60" spans="2:10" ht="11.25">
      <c r="B60" s="44">
        <v>42686</v>
      </c>
      <c r="C60" s="4" t="s">
        <v>95</v>
      </c>
      <c r="D60" s="4" t="s">
        <v>428</v>
      </c>
      <c r="E60" s="5">
        <v>32700</v>
      </c>
      <c r="F60" s="4" t="s">
        <v>218</v>
      </c>
      <c r="G60" s="4" t="s">
        <v>203</v>
      </c>
      <c r="H60" s="4" t="s">
        <v>333</v>
      </c>
      <c r="I60" s="8" t="s">
        <v>386</v>
      </c>
      <c r="J60" s="1"/>
    </row>
    <row r="61" spans="2:10" ht="11.25">
      <c r="B61" s="44">
        <v>42692</v>
      </c>
      <c r="C61" s="4" t="s">
        <v>95</v>
      </c>
      <c r="D61" s="4" t="s">
        <v>428</v>
      </c>
      <c r="E61" s="5">
        <f>(80666/2)-2300</f>
        <v>38033</v>
      </c>
      <c r="F61" s="4" t="s">
        <v>218</v>
      </c>
      <c r="G61" s="4" t="s">
        <v>197</v>
      </c>
      <c r="H61" s="4" t="s">
        <v>31</v>
      </c>
      <c r="I61" s="8" t="s">
        <v>387</v>
      </c>
      <c r="J61" s="1"/>
    </row>
    <row r="62" spans="2:10" ht="11.25">
      <c r="B62" s="44">
        <v>42692</v>
      </c>
      <c r="C62" s="4" t="s">
        <v>95</v>
      </c>
      <c r="D62" s="4" t="s">
        <v>428</v>
      </c>
      <c r="E62" s="5">
        <f>(80666/2)-2300</f>
        <v>38033</v>
      </c>
      <c r="F62" s="4" t="s">
        <v>218</v>
      </c>
      <c r="G62" s="4" t="s">
        <v>175</v>
      </c>
      <c r="H62" s="4" t="s">
        <v>99</v>
      </c>
      <c r="I62" s="8" t="s">
        <v>388</v>
      </c>
      <c r="J62" s="1"/>
    </row>
    <row r="63" spans="2:10" ht="11.25">
      <c r="B63" s="44">
        <v>42699</v>
      </c>
      <c r="C63" s="4" t="s">
        <v>94</v>
      </c>
      <c r="D63" s="4" t="s">
        <v>428</v>
      </c>
      <c r="E63" s="5">
        <v>736714</v>
      </c>
      <c r="F63" s="4" t="s">
        <v>217</v>
      </c>
      <c r="G63" s="4" t="s">
        <v>215</v>
      </c>
      <c r="H63" s="4" t="s">
        <v>101</v>
      </c>
      <c r="I63" s="8" t="s">
        <v>389</v>
      </c>
      <c r="J63" s="1"/>
    </row>
    <row r="64" spans="2:10" ht="11.25">
      <c r="B64" s="44">
        <v>42706</v>
      </c>
      <c r="C64" s="4" t="s">
        <v>95</v>
      </c>
      <c r="D64" s="4" t="s">
        <v>428</v>
      </c>
      <c r="E64" s="5">
        <v>32200</v>
      </c>
      <c r="F64" s="4" t="s">
        <v>218</v>
      </c>
      <c r="G64" s="4" t="s">
        <v>182</v>
      </c>
      <c r="H64" s="4" t="s">
        <v>314</v>
      </c>
      <c r="I64" s="8" t="s">
        <v>390</v>
      </c>
      <c r="J64" s="1"/>
    </row>
    <row r="65" spans="2:10" ht="11.25">
      <c r="B65" s="44">
        <v>42707</v>
      </c>
      <c r="C65" s="4" t="s">
        <v>7</v>
      </c>
      <c r="D65" s="4" t="s">
        <v>428</v>
      </c>
      <c r="E65" s="5">
        <f>(111750/3)-2300</f>
        <v>34950</v>
      </c>
      <c r="F65" s="4" t="s">
        <v>218</v>
      </c>
      <c r="G65" s="4" t="s">
        <v>210</v>
      </c>
      <c r="H65" s="4" t="s">
        <v>287</v>
      </c>
      <c r="I65" s="8" t="s">
        <v>391</v>
      </c>
      <c r="J65" s="1"/>
    </row>
    <row r="66" spans="2:10" ht="11.25">
      <c r="B66" s="44">
        <v>42707</v>
      </c>
      <c r="C66" s="4" t="s">
        <v>7</v>
      </c>
      <c r="D66" s="4" t="s">
        <v>428</v>
      </c>
      <c r="E66" s="5">
        <f>(111750/3)-2300</f>
        <v>34950</v>
      </c>
      <c r="F66" s="4" t="s">
        <v>218</v>
      </c>
      <c r="G66" s="4" t="s">
        <v>210</v>
      </c>
      <c r="H66" s="4" t="s">
        <v>102</v>
      </c>
      <c r="I66" s="8" t="s">
        <v>392</v>
      </c>
      <c r="J66" s="1"/>
    </row>
    <row r="67" spans="2:10" ht="11.25">
      <c r="B67" s="44">
        <v>42707</v>
      </c>
      <c r="C67" s="4" t="s">
        <v>7</v>
      </c>
      <c r="D67" s="4" t="s">
        <v>428</v>
      </c>
      <c r="E67" s="5">
        <f>(111750/3)-2300</f>
        <v>34950</v>
      </c>
      <c r="F67" s="4" t="s">
        <v>218</v>
      </c>
      <c r="G67" s="4" t="s">
        <v>210</v>
      </c>
      <c r="H67" s="4" t="s">
        <v>312</v>
      </c>
      <c r="I67" s="8" t="s">
        <v>393</v>
      </c>
      <c r="J67" s="1"/>
    </row>
    <row r="68" spans="2:10" ht="11.25">
      <c r="B68" s="44">
        <v>42719</v>
      </c>
      <c r="C68" s="4" t="s">
        <v>95</v>
      </c>
      <c r="D68" s="4" t="s">
        <v>428</v>
      </c>
      <c r="E68" s="5">
        <v>211033</v>
      </c>
      <c r="F68" s="4" t="s">
        <v>217</v>
      </c>
      <c r="G68" s="4" t="s">
        <v>190</v>
      </c>
      <c r="H68" s="4" t="s">
        <v>301</v>
      </c>
      <c r="I68" s="8" t="s">
        <v>394</v>
      </c>
      <c r="J68" s="1"/>
    </row>
    <row r="69" spans="2:10" ht="11.25">
      <c r="B69" s="44">
        <v>42728</v>
      </c>
      <c r="C69" s="4" t="s">
        <v>95</v>
      </c>
      <c r="D69" s="4" t="s">
        <v>428</v>
      </c>
      <c r="E69" s="5">
        <f>(283333/5)-2300</f>
        <v>54366.6</v>
      </c>
      <c r="F69" s="4" t="s">
        <v>218</v>
      </c>
      <c r="G69" s="4" t="s">
        <v>207</v>
      </c>
      <c r="H69" s="4" t="s">
        <v>278</v>
      </c>
      <c r="I69" s="8" t="s">
        <v>395</v>
      </c>
      <c r="J69" s="1"/>
    </row>
    <row r="70" spans="2:10" ht="11.25">
      <c r="B70" s="44">
        <v>42728</v>
      </c>
      <c r="C70" s="4" t="s">
        <v>95</v>
      </c>
      <c r="D70" s="4" t="s">
        <v>428</v>
      </c>
      <c r="E70" s="5">
        <f>(283333/5)-2300</f>
        <v>54366.6</v>
      </c>
      <c r="F70" s="4" t="s">
        <v>218</v>
      </c>
      <c r="G70" s="4" t="s">
        <v>161</v>
      </c>
      <c r="H70" s="4" t="s">
        <v>302</v>
      </c>
      <c r="I70" s="8" t="s">
        <v>396</v>
      </c>
      <c r="J70" s="1"/>
    </row>
    <row r="71" spans="2:10" ht="11.25">
      <c r="B71" s="44">
        <v>42728</v>
      </c>
      <c r="C71" s="4" t="s">
        <v>95</v>
      </c>
      <c r="D71" s="4" t="s">
        <v>428</v>
      </c>
      <c r="E71" s="5">
        <f>(283333/5)-2300</f>
        <v>54366.6</v>
      </c>
      <c r="F71" s="4" t="s">
        <v>218</v>
      </c>
      <c r="G71" s="4" t="s">
        <v>177</v>
      </c>
      <c r="H71" s="4" t="s">
        <v>308</v>
      </c>
      <c r="I71" s="8" t="s">
        <v>397</v>
      </c>
      <c r="J71" s="1"/>
    </row>
    <row r="72" spans="2:10" ht="11.25">
      <c r="B72" s="44">
        <v>42728</v>
      </c>
      <c r="C72" s="4" t="s">
        <v>95</v>
      </c>
      <c r="D72" s="4" t="s">
        <v>428</v>
      </c>
      <c r="E72" s="5">
        <f>(283333/5)-2300</f>
        <v>54366.6</v>
      </c>
      <c r="F72" s="4" t="s">
        <v>218</v>
      </c>
      <c r="G72" s="4" t="s">
        <v>204</v>
      </c>
      <c r="H72" s="4" t="s">
        <v>299</v>
      </c>
      <c r="I72" s="8" t="s">
        <v>398</v>
      </c>
      <c r="J72" s="1"/>
    </row>
    <row r="73" spans="2:10" ht="11.25">
      <c r="B73" s="44">
        <v>42728</v>
      </c>
      <c r="C73" s="4" t="s">
        <v>95</v>
      </c>
      <c r="D73" s="4" t="s">
        <v>428</v>
      </c>
      <c r="E73" s="5">
        <f>(283333/5)-2300</f>
        <v>54366.6</v>
      </c>
      <c r="F73" s="4" t="s">
        <v>218</v>
      </c>
      <c r="G73" s="4" t="s">
        <v>192</v>
      </c>
      <c r="H73" s="4" t="s">
        <v>334</v>
      </c>
      <c r="I73" s="8" t="s">
        <v>399</v>
      </c>
      <c r="J73" s="1"/>
    </row>
    <row r="74" spans="2:10" ht="11.25">
      <c r="B74" s="44">
        <v>42730</v>
      </c>
      <c r="C74" s="4" t="s">
        <v>94</v>
      </c>
      <c r="D74" s="4" t="s">
        <v>428</v>
      </c>
      <c r="E74" s="5">
        <v>468700</v>
      </c>
      <c r="F74" s="4" t="s">
        <v>217</v>
      </c>
      <c r="G74" s="4" t="s">
        <v>188</v>
      </c>
      <c r="H74" s="4" t="s">
        <v>283</v>
      </c>
      <c r="I74" s="8" t="s">
        <v>400</v>
      </c>
      <c r="J74" s="1"/>
    </row>
    <row r="75" spans="2:10" ht="11.25">
      <c r="B75" s="44">
        <v>42730</v>
      </c>
      <c r="C75" s="4" t="s">
        <v>95</v>
      </c>
      <c r="D75" s="4" t="s">
        <v>428</v>
      </c>
      <c r="E75" s="5">
        <v>41200</v>
      </c>
      <c r="F75" s="4" t="s">
        <v>217</v>
      </c>
      <c r="G75" s="4" t="s">
        <v>179</v>
      </c>
      <c r="H75" s="4" t="s">
        <v>103</v>
      </c>
      <c r="I75" s="8" t="s">
        <v>400</v>
      </c>
      <c r="J75" s="1"/>
    </row>
    <row r="76" spans="2:10" ht="11.25">
      <c r="B76" s="44">
        <v>42730</v>
      </c>
      <c r="C76" s="4" t="s">
        <v>95</v>
      </c>
      <c r="D76" s="4" t="s">
        <v>428</v>
      </c>
      <c r="E76" s="5">
        <v>35700</v>
      </c>
      <c r="F76" s="4" t="s">
        <v>217</v>
      </c>
      <c r="G76" s="4" t="s">
        <v>186</v>
      </c>
      <c r="H76" s="4" t="s">
        <v>298</v>
      </c>
      <c r="I76" s="8" t="s">
        <v>400</v>
      </c>
      <c r="J76" s="1"/>
    </row>
    <row r="77" spans="2:10" ht="11.25">
      <c r="B77" s="44">
        <v>42741</v>
      </c>
      <c r="C77" s="4" t="s">
        <v>7</v>
      </c>
      <c r="D77" s="4" t="s">
        <v>25</v>
      </c>
      <c r="E77" s="5">
        <f>(91500/3)-2300</f>
        <v>28200</v>
      </c>
      <c r="F77" s="4" t="s">
        <v>218</v>
      </c>
      <c r="G77" s="4" t="s">
        <v>211</v>
      </c>
      <c r="H77" s="4" t="s">
        <v>285</v>
      </c>
      <c r="I77" s="8" t="s">
        <v>401</v>
      </c>
      <c r="J77" s="1"/>
    </row>
    <row r="78" spans="2:10" ht="11.25">
      <c r="B78" s="44">
        <v>42741</v>
      </c>
      <c r="C78" s="4" t="s">
        <v>7</v>
      </c>
      <c r="D78" s="4" t="s">
        <v>25</v>
      </c>
      <c r="E78" s="5">
        <f>(91500/3)-2300</f>
        <v>28200</v>
      </c>
      <c r="F78" s="4" t="s">
        <v>218</v>
      </c>
      <c r="G78" s="4" t="s">
        <v>211</v>
      </c>
      <c r="H78" s="4" t="s">
        <v>295</v>
      </c>
      <c r="I78" s="8" t="s">
        <v>402</v>
      </c>
      <c r="J78" s="1"/>
    </row>
    <row r="79" spans="2:10" ht="11.25">
      <c r="B79" s="44">
        <v>42741</v>
      </c>
      <c r="C79" s="4" t="s">
        <v>7</v>
      </c>
      <c r="D79" s="4" t="s">
        <v>25</v>
      </c>
      <c r="E79" s="5">
        <f>(91500/3)-2300</f>
        <v>28200</v>
      </c>
      <c r="F79" s="4" t="s">
        <v>218</v>
      </c>
      <c r="G79" s="4" t="s">
        <v>210</v>
      </c>
      <c r="H79" s="4" t="s">
        <v>102</v>
      </c>
      <c r="I79" s="8" t="s">
        <v>403</v>
      </c>
      <c r="J79" s="1"/>
    </row>
    <row r="80" spans="2:10" ht="11.25">
      <c r="B80" s="44">
        <v>42748</v>
      </c>
      <c r="C80" s="4" t="s">
        <v>95</v>
      </c>
      <c r="D80" s="4" t="s">
        <v>25</v>
      </c>
      <c r="E80" s="5">
        <f>(283333/5)-2300</f>
        <v>54366.6</v>
      </c>
      <c r="F80" s="4" t="s">
        <v>218</v>
      </c>
      <c r="G80" s="4" t="s">
        <v>214</v>
      </c>
      <c r="H80" s="4" t="s">
        <v>104</v>
      </c>
      <c r="I80" s="8" t="s">
        <v>404</v>
      </c>
      <c r="J80" s="1"/>
    </row>
    <row r="81" spans="2:10" ht="11.25">
      <c r="B81" s="44">
        <v>42748</v>
      </c>
      <c r="C81" s="4" t="s">
        <v>95</v>
      </c>
      <c r="D81" s="4" t="s">
        <v>25</v>
      </c>
      <c r="E81" s="5">
        <f>(283333/5)-2300</f>
        <v>54366.6</v>
      </c>
      <c r="F81" s="4" t="s">
        <v>218</v>
      </c>
      <c r="G81" s="4" t="s">
        <v>216</v>
      </c>
      <c r="H81" s="4" t="s">
        <v>280</v>
      </c>
      <c r="I81" s="8" t="s">
        <v>405</v>
      </c>
      <c r="J81" s="1"/>
    </row>
    <row r="82" spans="2:10" ht="11.25">
      <c r="B82" s="44">
        <v>42748</v>
      </c>
      <c r="C82" s="4" t="s">
        <v>95</v>
      </c>
      <c r="D82" s="4" t="s">
        <v>25</v>
      </c>
      <c r="E82" s="5">
        <f>(283333/5)-2300</f>
        <v>54366.6</v>
      </c>
      <c r="F82" s="4" t="s">
        <v>218</v>
      </c>
      <c r="G82" s="4" t="s">
        <v>193</v>
      </c>
      <c r="H82" s="4" t="s">
        <v>292</v>
      </c>
      <c r="I82" s="8" t="s">
        <v>367</v>
      </c>
      <c r="J82" s="1"/>
    </row>
    <row r="83" spans="2:10" ht="11.25">
      <c r="B83" s="44">
        <v>42748</v>
      </c>
      <c r="C83" s="4" t="s">
        <v>95</v>
      </c>
      <c r="D83" s="4" t="s">
        <v>25</v>
      </c>
      <c r="E83" s="5">
        <f>(283333/5)-2300</f>
        <v>54366.6</v>
      </c>
      <c r="F83" s="4" t="s">
        <v>218</v>
      </c>
      <c r="G83" s="4" t="s">
        <v>165</v>
      </c>
      <c r="H83" s="4" t="s">
        <v>105</v>
      </c>
      <c r="I83" s="8" t="s">
        <v>406</v>
      </c>
      <c r="J83" s="1"/>
    </row>
    <row r="84" spans="2:10" ht="11.25">
      <c r="B84" s="44">
        <v>42748</v>
      </c>
      <c r="C84" s="4" t="s">
        <v>95</v>
      </c>
      <c r="D84" s="4" t="s">
        <v>25</v>
      </c>
      <c r="E84" s="5">
        <f>(283333/5)-2300</f>
        <v>54366.6</v>
      </c>
      <c r="F84" s="4" t="s">
        <v>218</v>
      </c>
      <c r="G84" s="4" t="s">
        <v>176</v>
      </c>
      <c r="H84" s="4" t="s">
        <v>106</v>
      </c>
      <c r="I84" s="8" t="s">
        <v>400</v>
      </c>
      <c r="J84" s="1"/>
    </row>
    <row r="85" spans="2:10" ht="11.25">
      <c r="B85" s="44">
        <v>42754</v>
      </c>
      <c r="C85" s="4" t="s">
        <v>95</v>
      </c>
      <c r="D85" s="4" t="s">
        <v>25</v>
      </c>
      <c r="E85" s="5">
        <f>(66666/2)-2300</f>
        <v>31033</v>
      </c>
      <c r="F85" s="4" t="s">
        <v>218</v>
      </c>
      <c r="G85" s="4" t="s">
        <v>168</v>
      </c>
      <c r="H85" s="4" t="s">
        <v>294</v>
      </c>
      <c r="I85" s="8" t="s">
        <v>407</v>
      </c>
      <c r="J85" s="1"/>
    </row>
    <row r="86" spans="2:10" ht="11.25">
      <c r="B86" s="44">
        <v>42754</v>
      </c>
      <c r="C86" s="4" t="s">
        <v>95</v>
      </c>
      <c r="D86" s="4" t="s">
        <v>25</v>
      </c>
      <c r="E86" s="5">
        <f>(66666/2)-2300</f>
        <v>31033</v>
      </c>
      <c r="F86" s="4" t="s">
        <v>218</v>
      </c>
      <c r="G86" s="4" t="s">
        <v>168</v>
      </c>
      <c r="H86" s="4" t="s">
        <v>107</v>
      </c>
      <c r="I86" s="8" t="s">
        <v>408</v>
      </c>
      <c r="J86" s="1"/>
    </row>
    <row r="87" spans="2:10" ht="11.25">
      <c r="B87" s="44">
        <v>42758</v>
      </c>
      <c r="C87" s="4" t="s">
        <v>117</v>
      </c>
      <c r="D87" s="4" t="s">
        <v>425</v>
      </c>
      <c r="E87" s="5">
        <v>75100</v>
      </c>
      <c r="F87" s="4" t="s">
        <v>118</v>
      </c>
      <c r="G87" s="4" t="s">
        <v>169</v>
      </c>
      <c r="H87" s="4" t="s">
        <v>119</v>
      </c>
      <c r="I87" s="8" t="s">
        <v>409</v>
      </c>
      <c r="J87" s="1"/>
    </row>
    <row r="88" spans="2:10" ht="11.25">
      <c r="B88" s="44">
        <v>42758</v>
      </c>
      <c r="C88" s="4" t="s">
        <v>117</v>
      </c>
      <c r="D88" s="4" t="s">
        <v>425</v>
      </c>
      <c r="E88" s="5">
        <v>75100</v>
      </c>
      <c r="F88" s="4" t="s">
        <v>118</v>
      </c>
      <c r="G88" s="4" t="s">
        <v>207</v>
      </c>
      <c r="H88" s="4" t="s">
        <v>120</v>
      </c>
      <c r="I88" s="8" t="s">
        <v>410</v>
      </c>
      <c r="J88" s="1"/>
    </row>
    <row r="89" spans="2:10" ht="11.25">
      <c r="B89" s="44">
        <v>42758</v>
      </c>
      <c r="C89" s="4" t="s">
        <v>117</v>
      </c>
      <c r="D89" s="4" t="s">
        <v>425</v>
      </c>
      <c r="E89" s="5">
        <v>75100</v>
      </c>
      <c r="F89" s="4" t="s">
        <v>118</v>
      </c>
      <c r="G89" s="4" t="s">
        <v>208</v>
      </c>
      <c r="H89" s="4" t="s">
        <v>327</v>
      </c>
      <c r="I89" s="8" t="s">
        <v>411</v>
      </c>
      <c r="J89" s="1"/>
    </row>
    <row r="90" spans="2:10" ht="11.25">
      <c r="B90" s="44">
        <v>42758</v>
      </c>
      <c r="C90" s="4" t="s">
        <v>117</v>
      </c>
      <c r="D90" s="4" t="s">
        <v>425</v>
      </c>
      <c r="E90" s="5">
        <v>75100</v>
      </c>
      <c r="F90" s="4" t="s">
        <v>118</v>
      </c>
      <c r="G90" s="4" t="s">
        <v>199</v>
      </c>
      <c r="H90" s="4" t="s">
        <v>311</v>
      </c>
      <c r="I90" s="8" t="s">
        <v>422</v>
      </c>
      <c r="J90" s="1"/>
    </row>
    <row r="91" spans="2:10" ht="11.25">
      <c r="B91" s="44">
        <v>42758</v>
      </c>
      <c r="C91" s="4" t="s">
        <v>117</v>
      </c>
      <c r="D91" s="4" t="s">
        <v>425</v>
      </c>
      <c r="E91" s="5">
        <v>75100</v>
      </c>
      <c r="F91" s="4" t="s">
        <v>118</v>
      </c>
      <c r="G91" s="4" t="s">
        <v>189</v>
      </c>
      <c r="H91" s="4" t="s">
        <v>303</v>
      </c>
      <c r="I91" s="8" t="s">
        <v>423</v>
      </c>
      <c r="J91" s="1"/>
    </row>
    <row r="92" spans="2:10" ht="11.25">
      <c r="B92" s="44">
        <v>42758</v>
      </c>
      <c r="C92" s="4" t="s">
        <v>114</v>
      </c>
      <c r="D92" s="4" t="s">
        <v>425</v>
      </c>
      <c r="E92" s="5">
        <v>75100</v>
      </c>
      <c r="F92" s="4" t="s">
        <v>118</v>
      </c>
      <c r="G92" s="4" t="s">
        <v>166</v>
      </c>
      <c r="H92" s="4" t="s">
        <v>325</v>
      </c>
      <c r="I92" s="8" t="s">
        <v>412</v>
      </c>
      <c r="J92" s="1"/>
    </row>
    <row r="93" spans="2:10" ht="11.25">
      <c r="B93" s="44">
        <v>42758</v>
      </c>
      <c r="C93" s="4" t="s">
        <v>114</v>
      </c>
      <c r="D93" s="4" t="s">
        <v>425</v>
      </c>
      <c r="E93" s="5">
        <v>75100</v>
      </c>
      <c r="F93" s="4" t="s">
        <v>115</v>
      </c>
      <c r="G93" s="4" t="s">
        <v>201</v>
      </c>
      <c r="H93" s="4" t="s">
        <v>277</v>
      </c>
      <c r="I93" s="8" t="s">
        <v>412</v>
      </c>
      <c r="J93" s="1"/>
    </row>
    <row r="94" spans="2:10" ht="11.25">
      <c r="B94" s="44">
        <v>42758</v>
      </c>
      <c r="C94" s="4" t="s">
        <v>117</v>
      </c>
      <c r="D94" s="4" t="s">
        <v>425</v>
      </c>
      <c r="E94" s="5">
        <v>75100</v>
      </c>
      <c r="F94" s="4" t="s">
        <v>115</v>
      </c>
      <c r="G94" s="4" t="s">
        <v>180</v>
      </c>
      <c r="H94" s="4" t="s">
        <v>296</v>
      </c>
      <c r="I94" s="8" t="s">
        <v>412</v>
      </c>
      <c r="J94" s="1"/>
    </row>
    <row r="95" spans="2:10" ht="11.25">
      <c r="B95" s="44">
        <v>42758</v>
      </c>
      <c r="C95" s="4" t="s">
        <v>117</v>
      </c>
      <c r="D95" s="4" t="s">
        <v>425</v>
      </c>
      <c r="E95" s="5">
        <v>75100</v>
      </c>
      <c r="F95" s="4" t="s">
        <v>115</v>
      </c>
      <c r="G95" s="4" t="s">
        <v>206</v>
      </c>
      <c r="H95" s="4" t="s">
        <v>116</v>
      </c>
      <c r="I95" s="8" t="s">
        <v>413</v>
      </c>
      <c r="J95" s="1"/>
    </row>
    <row r="96" spans="2:10" ht="11.25">
      <c r="B96" s="44">
        <v>42758</v>
      </c>
      <c r="C96" s="4" t="s">
        <v>117</v>
      </c>
      <c r="D96" s="4" t="s">
        <v>425</v>
      </c>
      <c r="E96" s="5">
        <v>75100</v>
      </c>
      <c r="F96" s="4" t="s">
        <v>118</v>
      </c>
      <c r="G96" s="4" t="s">
        <v>181</v>
      </c>
      <c r="H96" s="4" t="s">
        <v>291</v>
      </c>
      <c r="I96" s="8" t="s">
        <v>414</v>
      </c>
      <c r="J96" s="1"/>
    </row>
    <row r="97" spans="2:10" ht="11.25">
      <c r="B97" s="44">
        <v>42762</v>
      </c>
      <c r="C97" s="4" t="s">
        <v>7</v>
      </c>
      <c r="D97" s="4" t="s">
        <v>121</v>
      </c>
      <c r="E97" s="5">
        <v>610331</v>
      </c>
      <c r="F97" s="4" t="s">
        <v>217</v>
      </c>
      <c r="G97" s="4" t="s">
        <v>186</v>
      </c>
      <c r="H97" s="4" t="s">
        <v>96</v>
      </c>
      <c r="I97" s="8" t="s">
        <v>415</v>
      </c>
      <c r="J97" s="1"/>
    </row>
    <row r="98" spans="2:10" ht="11.25">
      <c r="B98" s="44">
        <v>42768</v>
      </c>
      <c r="C98" s="4" t="s">
        <v>7</v>
      </c>
      <c r="D98" s="4" t="s">
        <v>25</v>
      </c>
      <c r="E98" s="5">
        <v>31200</v>
      </c>
      <c r="F98" s="4" t="s">
        <v>218</v>
      </c>
      <c r="G98" s="4" t="s">
        <v>157</v>
      </c>
      <c r="H98" s="4" t="s">
        <v>315</v>
      </c>
      <c r="I98" s="8" t="s">
        <v>416</v>
      </c>
      <c r="J98" s="1"/>
    </row>
    <row r="99" spans="2:10" ht="11.25">
      <c r="B99" s="44">
        <v>42769</v>
      </c>
      <c r="C99" s="4" t="s">
        <v>95</v>
      </c>
      <c r="D99" s="4" t="s">
        <v>25</v>
      </c>
      <c r="E99" s="5">
        <v>232366</v>
      </c>
      <c r="F99" s="4" t="s">
        <v>217</v>
      </c>
      <c r="G99" s="4" t="s">
        <v>186</v>
      </c>
      <c r="H99" s="4" t="s">
        <v>331</v>
      </c>
      <c r="I99" s="8" t="s">
        <v>417</v>
      </c>
      <c r="J99" s="1"/>
    </row>
    <row r="100" spans="2:10" ht="11.25">
      <c r="B100" s="44">
        <v>42772</v>
      </c>
      <c r="C100" s="4" t="s">
        <v>7</v>
      </c>
      <c r="D100" s="4" t="s">
        <v>25</v>
      </c>
      <c r="E100" s="5">
        <v>36600</v>
      </c>
      <c r="F100" s="4" t="s">
        <v>218</v>
      </c>
      <c r="G100" s="4" t="s">
        <v>159</v>
      </c>
      <c r="H100" s="4" t="s">
        <v>97</v>
      </c>
      <c r="I100" s="8" t="s">
        <v>418</v>
      </c>
      <c r="J100" s="1"/>
    </row>
    <row r="101" spans="2:10" ht="11.25">
      <c r="B101" s="44">
        <v>42772</v>
      </c>
      <c r="C101" s="4" t="s">
        <v>7</v>
      </c>
      <c r="D101" s="4" t="s">
        <v>428</v>
      </c>
      <c r="E101" s="5">
        <v>981700</v>
      </c>
      <c r="F101" s="4" t="s">
        <v>217</v>
      </c>
      <c r="G101" s="4" t="s">
        <v>205</v>
      </c>
      <c r="H101" s="4" t="s">
        <v>290</v>
      </c>
      <c r="I101" s="8" t="s">
        <v>419</v>
      </c>
      <c r="J101" s="1"/>
    </row>
    <row r="102" spans="2:10" ht="11.25">
      <c r="B102" s="44">
        <v>42776</v>
      </c>
      <c r="C102" s="4" t="s">
        <v>7</v>
      </c>
      <c r="D102" s="4" t="s">
        <v>25</v>
      </c>
      <c r="E102" s="5">
        <v>89950</v>
      </c>
      <c r="F102" s="4" t="s">
        <v>217</v>
      </c>
      <c r="G102" s="4" t="s">
        <v>185</v>
      </c>
      <c r="H102" s="4" t="s">
        <v>122</v>
      </c>
      <c r="I102" s="8" t="s">
        <v>420</v>
      </c>
      <c r="J102" s="1"/>
    </row>
    <row r="103" spans="2:10" ht="11.25">
      <c r="B103" s="44">
        <v>42784</v>
      </c>
      <c r="C103" s="4" t="s">
        <v>7</v>
      </c>
      <c r="D103" s="4" t="s">
        <v>25</v>
      </c>
      <c r="E103" s="5">
        <v>41700</v>
      </c>
      <c r="F103" s="4" t="s">
        <v>218</v>
      </c>
      <c r="G103" s="4" t="s">
        <v>156</v>
      </c>
      <c r="H103" s="4" t="s">
        <v>105</v>
      </c>
      <c r="I103" s="8" t="s">
        <v>421</v>
      </c>
      <c r="J103" s="1"/>
    </row>
    <row r="104" spans="2:10" ht="11.25">
      <c r="B104" s="44"/>
      <c r="C104" s="4"/>
      <c r="D104" s="4"/>
      <c r="E104" s="5"/>
      <c r="F104" s="4"/>
      <c r="G104" s="4"/>
      <c r="H104" s="4"/>
      <c r="I104" s="8"/>
      <c r="J104" s="1"/>
    </row>
    <row r="105" spans="2:10" ht="12" thickBot="1">
      <c r="B105" s="45"/>
      <c r="E105" s="1"/>
      <c r="I105" s="19"/>
      <c r="J105" s="1"/>
    </row>
    <row r="106" spans="2:10" ht="14.25" customHeight="1" thickBot="1">
      <c r="B106" s="20"/>
      <c r="C106" s="21"/>
      <c r="D106" s="21"/>
      <c r="E106" s="22"/>
      <c r="F106" s="21"/>
      <c r="G106" s="21"/>
      <c r="H106" s="21"/>
      <c r="I106" s="23"/>
      <c r="J106" s="1"/>
    </row>
    <row r="107" spans="2:10" ht="14.25" customHeight="1">
      <c r="J107" s="1"/>
    </row>
    <row r="108" spans="2:10" ht="14.25" customHeight="1">
      <c r="J108" s="1"/>
    </row>
    <row r="109" spans="2:10" ht="14.25" customHeight="1">
      <c r="J109" s="1"/>
    </row>
    <row r="110" spans="2:10" ht="14.25" customHeight="1">
      <c r="J110" s="1"/>
    </row>
  </sheetData>
  <phoneticPr fontId="4" type="noConversion"/>
  <pageMargins left="0.70866141732283472" right="0.70866141732283472" top="0.74803149606299213" bottom="0.74803149606299213" header="0.31496062992125984" footer="0.31496062992125984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H87"/>
  <sheetViews>
    <sheetView showGridLines="0" workbookViewId="0">
      <selection activeCell="F10" sqref="F10"/>
    </sheetView>
  </sheetViews>
  <sheetFormatPr defaultRowHeight="16.5"/>
  <cols>
    <col min="1" max="1" width="1" customWidth="1"/>
    <col min="2" max="2" width="15.5" style="38" customWidth="1"/>
    <col min="3" max="3" width="17.33203125" style="29" bestFit="1" customWidth="1"/>
    <col min="4" max="4" width="13.1640625" style="30" bestFit="1" customWidth="1"/>
    <col min="5" max="6" width="13" style="30" bestFit="1" customWidth="1"/>
    <col min="7" max="8" width="14.5" style="30" bestFit="1" customWidth="1"/>
    <col min="9" max="9" width="13" style="30" bestFit="1" customWidth="1"/>
    <col min="10" max="10" width="14.5" style="30" bestFit="1" customWidth="1"/>
    <col min="11" max="14" width="11.5" style="30" bestFit="1" customWidth="1"/>
    <col min="15" max="16" width="12.83203125" style="30" bestFit="1" customWidth="1"/>
    <col min="17" max="21" width="11.5" style="30" bestFit="1" customWidth="1"/>
    <col min="22" max="22" width="13" style="30" bestFit="1" customWidth="1"/>
    <col min="23" max="24" width="12.83203125" style="30" bestFit="1" customWidth="1"/>
    <col min="25" max="61" width="11.33203125" style="30" customWidth="1"/>
    <col min="62" max="62" width="15.1640625" style="30" bestFit="1" customWidth="1"/>
    <col min="63" max="66" width="11.5" style="30" bestFit="1" customWidth="1"/>
    <col min="67" max="67" width="13" style="30" bestFit="1" customWidth="1"/>
    <col min="68" max="70" width="11.5" style="30" bestFit="1" customWidth="1"/>
    <col min="71" max="72" width="13" style="30" bestFit="1" customWidth="1"/>
    <col min="73" max="73" width="11.5" style="30" bestFit="1" customWidth="1"/>
    <col min="74" max="74" width="13" style="30" bestFit="1" customWidth="1"/>
    <col min="75" max="75" width="11.5" style="30" bestFit="1" customWidth="1"/>
    <col min="76" max="76" width="13" style="30" bestFit="1" customWidth="1"/>
    <col min="77" max="80" width="11.5" style="30" bestFit="1" customWidth="1"/>
    <col min="81" max="81" width="13" style="30" bestFit="1" customWidth="1"/>
    <col min="82" max="82" width="11.5" style="30" bestFit="1" customWidth="1"/>
    <col min="83" max="83" width="13" style="30" bestFit="1" customWidth="1"/>
    <col min="84" max="84" width="11.5" style="30" bestFit="1" customWidth="1"/>
    <col min="85" max="85" width="13" style="30" bestFit="1" customWidth="1"/>
    <col min="86" max="86" width="11.5" style="30" bestFit="1" customWidth="1"/>
    <col min="87" max="16384" width="9.33203125" style="30"/>
  </cols>
  <sheetData>
    <row r="1" spans="1:86" customFormat="1" ht="45.75" customHeight="1">
      <c r="C1" s="46" t="s">
        <v>437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</row>
    <row r="2" spans="1:86" customFormat="1">
      <c r="B2" s="35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</row>
    <row r="3" spans="1:86" s="34" customFormat="1">
      <c r="A3" s="2"/>
      <c r="B3" s="7" t="s">
        <v>27</v>
      </c>
      <c r="C3" s="31"/>
      <c r="D3" s="32" t="s">
        <v>432</v>
      </c>
      <c r="E3" s="32" t="s">
        <v>433</v>
      </c>
      <c r="F3" s="32" t="s">
        <v>434</v>
      </c>
      <c r="G3" s="32" t="s">
        <v>436</v>
      </c>
      <c r="H3" s="32" t="s">
        <v>435</v>
      </c>
      <c r="I3" s="32" t="s">
        <v>429</v>
      </c>
      <c r="J3" s="32" t="s">
        <v>430</v>
      </c>
      <c r="K3" s="32" t="s">
        <v>431</v>
      </c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  <c r="BF3" s="32"/>
      <c r="BG3" s="32"/>
      <c r="BH3" s="32"/>
      <c r="BI3" s="32"/>
      <c r="BJ3" s="32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</row>
    <row r="4" spans="1:86">
      <c r="B4" s="37">
        <f t="shared" ref="B4:B35" ca="1" si="0">SUM(인별합계)</f>
        <v>76483</v>
      </c>
      <c r="C4" s="29" t="s">
        <v>245</v>
      </c>
      <c r="D4" s="30">
        <v>28950</v>
      </c>
      <c r="E4" s="30">
        <v>0</v>
      </c>
      <c r="F4" s="30">
        <v>47533</v>
      </c>
      <c r="G4" s="30">
        <v>0</v>
      </c>
      <c r="H4" s="30">
        <v>0</v>
      </c>
      <c r="I4" s="30">
        <v>0</v>
      </c>
      <c r="J4" s="30">
        <v>0</v>
      </c>
      <c r="K4" s="30">
        <v>0</v>
      </c>
    </row>
    <row r="5" spans="1:86">
      <c r="B5" s="37">
        <f t="shared" ca="1" si="0"/>
        <v>137800</v>
      </c>
      <c r="C5" s="29" t="s">
        <v>260</v>
      </c>
      <c r="D5" s="30">
        <v>59700</v>
      </c>
      <c r="E5" s="30">
        <v>0</v>
      </c>
      <c r="F5" s="30">
        <v>0</v>
      </c>
      <c r="G5" s="30">
        <v>78100</v>
      </c>
      <c r="H5" s="30">
        <v>0</v>
      </c>
      <c r="I5" s="30">
        <v>0</v>
      </c>
      <c r="J5" s="30">
        <v>0</v>
      </c>
      <c r="K5" s="30">
        <v>0</v>
      </c>
    </row>
    <row r="6" spans="1:86">
      <c r="B6" s="37">
        <f t="shared" ca="1" si="0"/>
        <v>59700</v>
      </c>
      <c r="C6" s="29" t="s">
        <v>135</v>
      </c>
      <c r="D6" s="30">
        <v>59700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</row>
    <row r="7" spans="1:86">
      <c r="B7" s="37">
        <f t="shared" ca="1" si="0"/>
        <v>38033</v>
      </c>
      <c r="C7" s="29" t="s">
        <v>136</v>
      </c>
      <c r="D7" s="30">
        <v>38033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</row>
    <row r="8" spans="1:86">
      <c r="B8" s="37">
        <f t="shared" ca="1" si="0"/>
        <v>70400</v>
      </c>
      <c r="C8" s="29" t="s">
        <v>271</v>
      </c>
      <c r="D8" s="30">
        <v>35700</v>
      </c>
      <c r="E8" s="30">
        <v>34700</v>
      </c>
      <c r="F8" s="30">
        <v>0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</row>
    <row r="9" spans="1:86">
      <c r="B9" s="37">
        <f t="shared" ca="1" si="0"/>
        <v>35700</v>
      </c>
      <c r="C9" s="29" t="s">
        <v>137</v>
      </c>
      <c r="D9" s="30">
        <v>35700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</row>
    <row r="10" spans="1:86">
      <c r="B10" s="37">
        <f t="shared" ca="1" si="0"/>
        <v>88700</v>
      </c>
      <c r="C10" s="29" t="s">
        <v>138</v>
      </c>
      <c r="D10" s="30">
        <v>0</v>
      </c>
      <c r="E10" s="30">
        <v>88700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</row>
    <row r="11" spans="1:86">
      <c r="B11" s="37">
        <f t="shared" ca="1" si="0"/>
        <v>33843</v>
      </c>
      <c r="C11" s="29" t="s">
        <v>238</v>
      </c>
      <c r="D11" s="30">
        <v>0</v>
      </c>
      <c r="E11" s="30">
        <v>33843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</row>
    <row r="12" spans="1:86">
      <c r="B12" s="37">
        <f t="shared" ca="1" si="0"/>
        <v>33843</v>
      </c>
      <c r="C12" s="29" t="s">
        <v>229</v>
      </c>
      <c r="D12" s="30">
        <v>0</v>
      </c>
      <c r="E12" s="30">
        <v>33843</v>
      </c>
      <c r="F12" s="30">
        <v>0</v>
      </c>
      <c r="G12" s="30">
        <v>0</v>
      </c>
      <c r="H12" s="30">
        <v>0</v>
      </c>
      <c r="I12" s="30">
        <v>0</v>
      </c>
      <c r="J12" s="30">
        <v>0</v>
      </c>
      <c r="K12" s="30">
        <v>0</v>
      </c>
    </row>
    <row r="13" spans="1:86">
      <c r="B13" s="37">
        <f t="shared" ca="1" si="0"/>
        <v>33843</v>
      </c>
      <c r="C13" s="29" t="s">
        <v>269</v>
      </c>
      <c r="D13" s="30">
        <v>0</v>
      </c>
      <c r="E13" s="30">
        <v>33843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</row>
    <row r="14" spans="1:86">
      <c r="B14" s="37">
        <f t="shared" ca="1" si="0"/>
        <v>33843</v>
      </c>
      <c r="C14" s="29" t="s">
        <v>242</v>
      </c>
      <c r="D14" s="30">
        <v>0</v>
      </c>
      <c r="E14" s="30">
        <v>33843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</row>
    <row r="15" spans="1:86">
      <c r="B15" s="37">
        <f t="shared" ca="1" si="0"/>
        <v>62043</v>
      </c>
      <c r="C15" s="29" t="s">
        <v>230</v>
      </c>
      <c r="D15" s="30">
        <v>0</v>
      </c>
      <c r="E15" s="30">
        <v>33843</v>
      </c>
      <c r="F15" s="30">
        <v>0</v>
      </c>
      <c r="G15" s="30">
        <v>0</v>
      </c>
      <c r="H15" s="30">
        <v>0</v>
      </c>
      <c r="I15" s="30">
        <v>0</v>
      </c>
      <c r="J15" s="30">
        <v>28200</v>
      </c>
      <c r="K15" s="30">
        <v>0</v>
      </c>
    </row>
    <row r="16" spans="1:86">
      <c r="B16" s="37">
        <f t="shared" ca="1" si="0"/>
        <v>127910</v>
      </c>
      <c r="C16" s="29" t="s">
        <v>225</v>
      </c>
      <c r="D16" s="30">
        <v>0</v>
      </c>
      <c r="E16" s="30">
        <v>33843</v>
      </c>
      <c r="F16" s="30">
        <v>39700</v>
      </c>
      <c r="G16" s="30">
        <v>0</v>
      </c>
      <c r="H16" s="30">
        <v>0</v>
      </c>
      <c r="I16" s="30">
        <v>0</v>
      </c>
      <c r="J16" s="30">
        <v>54367</v>
      </c>
      <c r="K16" s="30">
        <v>0</v>
      </c>
    </row>
    <row r="17" spans="2:11">
      <c r="B17" s="37">
        <f t="shared" ca="1" si="0"/>
        <v>106133</v>
      </c>
      <c r="C17" s="29" t="s">
        <v>29</v>
      </c>
      <c r="D17" s="30">
        <v>0</v>
      </c>
      <c r="E17" s="30">
        <v>28033</v>
      </c>
      <c r="F17" s="30">
        <v>0</v>
      </c>
      <c r="G17" s="30">
        <v>78100</v>
      </c>
      <c r="H17" s="30">
        <v>0</v>
      </c>
      <c r="I17" s="30">
        <v>0</v>
      </c>
      <c r="J17" s="30">
        <v>0</v>
      </c>
      <c r="K17" s="30">
        <v>0</v>
      </c>
    </row>
    <row r="18" spans="2:11">
      <c r="B18" s="37">
        <f t="shared" ca="1" si="0"/>
        <v>47533</v>
      </c>
      <c r="C18" s="29" t="s">
        <v>139</v>
      </c>
      <c r="D18" s="30">
        <v>0</v>
      </c>
      <c r="E18" s="30">
        <v>0</v>
      </c>
      <c r="F18" s="30">
        <v>47533</v>
      </c>
      <c r="G18" s="30">
        <v>0</v>
      </c>
      <c r="H18" s="30">
        <v>0</v>
      </c>
      <c r="I18" s="30">
        <v>0</v>
      </c>
      <c r="J18" s="30">
        <v>0</v>
      </c>
      <c r="K18" s="30">
        <v>0</v>
      </c>
    </row>
    <row r="19" spans="2:11">
      <c r="B19" s="37">
        <f t="shared" ca="1" si="0"/>
        <v>47533</v>
      </c>
      <c r="C19" s="29" t="s">
        <v>233</v>
      </c>
      <c r="D19" s="30">
        <v>0</v>
      </c>
      <c r="E19" s="30">
        <v>0</v>
      </c>
      <c r="F19" s="30">
        <v>47533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</row>
    <row r="20" spans="2:11">
      <c r="B20" s="37">
        <f t="shared" ca="1" si="0"/>
        <v>47533</v>
      </c>
      <c r="C20" s="29" t="s">
        <v>140</v>
      </c>
      <c r="D20" s="30">
        <v>0</v>
      </c>
      <c r="E20" s="30">
        <v>0</v>
      </c>
      <c r="F20" s="30">
        <v>47533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</row>
    <row r="21" spans="2:11">
      <c r="B21" s="37">
        <f t="shared" ca="1" si="0"/>
        <v>47533</v>
      </c>
      <c r="C21" s="29" t="s">
        <v>234</v>
      </c>
      <c r="D21" s="30">
        <v>0</v>
      </c>
      <c r="E21" s="30">
        <v>0</v>
      </c>
      <c r="F21" s="30">
        <v>47533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</row>
    <row r="22" spans="2:11">
      <c r="B22" s="37">
        <f t="shared" ca="1" si="0"/>
        <v>153255</v>
      </c>
      <c r="C22" s="29" t="s">
        <v>141</v>
      </c>
      <c r="D22" s="30">
        <v>0</v>
      </c>
      <c r="E22" s="30">
        <v>0</v>
      </c>
      <c r="F22" s="30">
        <v>153255</v>
      </c>
      <c r="G22" s="30">
        <v>0</v>
      </c>
      <c r="H22" s="30">
        <v>0</v>
      </c>
      <c r="I22" s="30">
        <v>0</v>
      </c>
      <c r="J22" s="30">
        <v>0</v>
      </c>
      <c r="K22" s="30">
        <v>0</v>
      </c>
    </row>
    <row r="23" spans="2:11">
      <c r="B23" s="37">
        <f t="shared" ca="1" si="0"/>
        <v>147800</v>
      </c>
      <c r="C23" s="29" t="s">
        <v>272</v>
      </c>
      <c r="D23" s="30">
        <v>0</v>
      </c>
      <c r="E23" s="30">
        <v>0</v>
      </c>
      <c r="F23" s="30">
        <v>69700</v>
      </c>
      <c r="G23" s="30">
        <v>78100</v>
      </c>
      <c r="H23" s="30">
        <v>0</v>
      </c>
      <c r="I23" s="30">
        <v>0</v>
      </c>
      <c r="J23" s="30">
        <v>0</v>
      </c>
      <c r="K23" s="30">
        <v>0</v>
      </c>
    </row>
    <row r="24" spans="2:11">
      <c r="B24" s="37">
        <f t="shared" ca="1" si="0"/>
        <v>147800</v>
      </c>
      <c r="C24" s="29" t="s">
        <v>30</v>
      </c>
      <c r="D24" s="30">
        <v>0</v>
      </c>
      <c r="E24" s="30">
        <v>0</v>
      </c>
      <c r="F24" s="30">
        <v>69700</v>
      </c>
      <c r="G24" s="30">
        <v>78100</v>
      </c>
      <c r="H24" s="30">
        <v>0</v>
      </c>
      <c r="I24" s="30">
        <v>0</v>
      </c>
      <c r="J24" s="30">
        <v>0</v>
      </c>
      <c r="K24" s="30">
        <v>0</v>
      </c>
    </row>
    <row r="25" spans="2:11">
      <c r="B25" s="37">
        <f t="shared" ca="1" si="0"/>
        <v>613700</v>
      </c>
      <c r="C25" s="29" t="s">
        <v>262</v>
      </c>
      <c r="D25" s="30">
        <v>0</v>
      </c>
      <c r="E25" s="30">
        <v>0</v>
      </c>
      <c r="F25" s="30">
        <v>613700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</row>
    <row r="26" spans="2:11">
      <c r="B26" s="37">
        <f t="shared" ca="1" si="0"/>
        <v>32700</v>
      </c>
      <c r="C26" s="29" t="s">
        <v>267</v>
      </c>
      <c r="D26" s="30">
        <v>0</v>
      </c>
      <c r="E26" s="30">
        <v>0</v>
      </c>
      <c r="F26" s="30">
        <v>32700</v>
      </c>
      <c r="G26" s="30">
        <v>0</v>
      </c>
      <c r="H26" s="30">
        <v>0</v>
      </c>
      <c r="I26" s="30">
        <v>0</v>
      </c>
      <c r="J26" s="30">
        <v>0</v>
      </c>
      <c r="K26" s="30">
        <v>0</v>
      </c>
    </row>
    <row r="27" spans="2:11">
      <c r="B27" s="37">
        <f t="shared" ca="1" si="0"/>
        <v>111133</v>
      </c>
      <c r="C27" s="29" t="s">
        <v>250</v>
      </c>
      <c r="D27" s="30">
        <v>0</v>
      </c>
      <c r="E27" s="30">
        <v>0</v>
      </c>
      <c r="F27" s="30">
        <v>0</v>
      </c>
      <c r="G27" s="30">
        <v>111133</v>
      </c>
      <c r="H27" s="30">
        <v>0</v>
      </c>
      <c r="I27" s="30">
        <v>0</v>
      </c>
      <c r="J27" s="30">
        <v>0</v>
      </c>
      <c r="K27" s="30">
        <v>0</v>
      </c>
    </row>
    <row r="28" spans="2:11">
      <c r="B28" s="37">
        <f t="shared" ca="1" si="0"/>
        <v>33033</v>
      </c>
      <c r="C28" s="29" t="s">
        <v>274</v>
      </c>
      <c r="D28" s="30">
        <v>0</v>
      </c>
      <c r="E28" s="30">
        <v>0</v>
      </c>
      <c r="F28" s="30">
        <v>0</v>
      </c>
      <c r="G28" s="30">
        <v>33033</v>
      </c>
      <c r="H28" s="30">
        <v>0</v>
      </c>
      <c r="I28" s="30">
        <v>0</v>
      </c>
      <c r="J28" s="30">
        <v>0</v>
      </c>
      <c r="K28" s="30">
        <v>0</v>
      </c>
    </row>
    <row r="29" spans="2:11">
      <c r="B29" s="37">
        <f t="shared" ca="1" si="0"/>
        <v>78100</v>
      </c>
      <c r="C29" s="29" t="s">
        <v>108</v>
      </c>
      <c r="D29" s="30">
        <v>0</v>
      </c>
      <c r="E29" s="30">
        <v>0</v>
      </c>
      <c r="F29" s="30">
        <v>0</v>
      </c>
      <c r="G29" s="30">
        <v>78100</v>
      </c>
      <c r="H29" s="30">
        <v>0</v>
      </c>
      <c r="I29" s="30">
        <v>0</v>
      </c>
      <c r="J29" s="30">
        <v>0</v>
      </c>
      <c r="K29" s="30">
        <v>0</v>
      </c>
    </row>
    <row r="30" spans="2:11">
      <c r="B30" s="37">
        <f t="shared" ca="1" si="0"/>
        <v>78100</v>
      </c>
      <c r="C30" s="29" t="s">
        <v>109</v>
      </c>
      <c r="D30" s="30">
        <v>0</v>
      </c>
      <c r="E30" s="30">
        <v>0</v>
      </c>
      <c r="F30" s="30">
        <v>0</v>
      </c>
      <c r="G30" s="30">
        <v>78100</v>
      </c>
      <c r="H30" s="30">
        <v>0</v>
      </c>
      <c r="I30" s="30">
        <v>0</v>
      </c>
      <c r="J30" s="30">
        <v>0</v>
      </c>
      <c r="K30" s="30">
        <v>0</v>
      </c>
    </row>
    <row r="31" spans="2:11">
      <c r="B31" s="37">
        <f t="shared" ca="1" si="0"/>
        <v>78100</v>
      </c>
      <c r="C31" s="29" t="s">
        <v>227</v>
      </c>
      <c r="D31" s="30">
        <v>0</v>
      </c>
      <c r="E31" s="30">
        <v>0</v>
      </c>
      <c r="F31" s="30">
        <v>0</v>
      </c>
      <c r="G31" s="30">
        <v>78100</v>
      </c>
      <c r="H31" s="30">
        <v>0</v>
      </c>
      <c r="I31" s="30">
        <v>0</v>
      </c>
      <c r="J31" s="30">
        <v>0</v>
      </c>
      <c r="K31" s="30">
        <v>0</v>
      </c>
    </row>
    <row r="32" spans="2:11">
      <c r="B32" s="37">
        <f t="shared" ca="1" si="0"/>
        <v>78100</v>
      </c>
      <c r="C32" s="29" t="s">
        <v>254</v>
      </c>
      <c r="D32" s="30">
        <v>0</v>
      </c>
      <c r="E32" s="30">
        <v>0</v>
      </c>
      <c r="F32" s="30">
        <v>0</v>
      </c>
      <c r="G32" s="30">
        <v>78100</v>
      </c>
      <c r="H32" s="30">
        <v>0</v>
      </c>
      <c r="I32" s="30">
        <v>0</v>
      </c>
      <c r="J32" s="30">
        <v>0</v>
      </c>
      <c r="K32" s="30">
        <v>0</v>
      </c>
    </row>
    <row r="33" spans="2:11">
      <c r="B33" s="37">
        <f t="shared" ca="1" si="0"/>
        <v>116133</v>
      </c>
      <c r="C33" s="29" t="s">
        <v>98</v>
      </c>
      <c r="D33" s="30">
        <v>0</v>
      </c>
      <c r="E33" s="30">
        <v>0</v>
      </c>
      <c r="F33" s="30">
        <v>0</v>
      </c>
      <c r="G33" s="30">
        <v>78100</v>
      </c>
      <c r="H33" s="30">
        <v>38033</v>
      </c>
      <c r="I33" s="30">
        <v>0</v>
      </c>
      <c r="J33" s="30">
        <v>0</v>
      </c>
      <c r="K33" s="30">
        <v>0</v>
      </c>
    </row>
    <row r="34" spans="2:11">
      <c r="B34" s="37">
        <f t="shared" ca="1" si="0"/>
        <v>116133</v>
      </c>
      <c r="C34" s="29" t="s">
        <v>100</v>
      </c>
      <c r="D34" s="30">
        <v>0</v>
      </c>
      <c r="E34" s="30">
        <v>0</v>
      </c>
      <c r="F34" s="30">
        <v>0</v>
      </c>
      <c r="G34" s="30">
        <v>78100</v>
      </c>
      <c r="H34" s="30">
        <v>38033</v>
      </c>
      <c r="I34" s="30">
        <v>0</v>
      </c>
      <c r="J34" s="30">
        <v>0</v>
      </c>
      <c r="K34" s="30">
        <v>0</v>
      </c>
    </row>
    <row r="35" spans="2:11">
      <c r="B35" s="37">
        <f t="shared" ca="1" si="0"/>
        <v>78100</v>
      </c>
      <c r="C35" s="29" t="s">
        <v>253</v>
      </c>
      <c r="D35" s="30">
        <v>0</v>
      </c>
      <c r="E35" s="30">
        <v>0</v>
      </c>
      <c r="F35" s="30">
        <v>0</v>
      </c>
      <c r="G35" s="30">
        <v>78100</v>
      </c>
      <c r="H35" s="30">
        <v>0</v>
      </c>
      <c r="I35" s="30">
        <v>0</v>
      </c>
      <c r="J35" s="30">
        <v>0</v>
      </c>
      <c r="K35" s="30">
        <v>0</v>
      </c>
    </row>
    <row r="36" spans="2:11">
      <c r="B36" s="37">
        <f t="shared" ref="B36:B67" ca="1" si="1">SUM(인별합계)</f>
        <v>78100</v>
      </c>
      <c r="C36" s="29" t="s">
        <v>266</v>
      </c>
      <c r="D36" s="30">
        <v>0</v>
      </c>
      <c r="E36" s="30">
        <v>0</v>
      </c>
      <c r="F36" s="30">
        <v>0</v>
      </c>
      <c r="G36" s="30">
        <v>78100</v>
      </c>
      <c r="H36" s="30">
        <v>0</v>
      </c>
      <c r="I36" s="30">
        <v>0</v>
      </c>
      <c r="J36" s="30">
        <v>0</v>
      </c>
      <c r="K36" s="30">
        <v>0</v>
      </c>
    </row>
    <row r="37" spans="2:11">
      <c r="B37" s="37">
        <f t="shared" ca="1" si="1"/>
        <v>78100</v>
      </c>
      <c r="C37" s="29" t="s">
        <v>251</v>
      </c>
      <c r="D37" s="30">
        <v>0</v>
      </c>
      <c r="E37" s="30">
        <v>0</v>
      </c>
      <c r="F37" s="30">
        <v>0</v>
      </c>
      <c r="G37" s="30">
        <v>78100</v>
      </c>
      <c r="H37" s="30">
        <v>0</v>
      </c>
      <c r="I37" s="30">
        <v>0</v>
      </c>
      <c r="J37" s="30">
        <v>0</v>
      </c>
      <c r="K37" s="30">
        <v>0</v>
      </c>
    </row>
    <row r="38" spans="2:11">
      <c r="B38" s="37">
        <f t="shared" ca="1" si="1"/>
        <v>78100</v>
      </c>
      <c r="C38" s="29" t="s">
        <v>110</v>
      </c>
      <c r="D38" s="30">
        <v>0</v>
      </c>
      <c r="E38" s="30">
        <v>0</v>
      </c>
      <c r="F38" s="30">
        <v>0</v>
      </c>
      <c r="G38" s="30">
        <v>78100</v>
      </c>
      <c r="H38" s="30">
        <v>0</v>
      </c>
      <c r="I38" s="30">
        <v>0</v>
      </c>
      <c r="J38" s="30">
        <v>0</v>
      </c>
      <c r="K38" s="30">
        <v>0</v>
      </c>
    </row>
    <row r="39" spans="2:11">
      <c r="B39" s="37">
        <f t="shared" ca="1" si="1"/>
        <v>78100</v>
      </c>
      <c r="C39" s="29" t="s">
        <v>111</v>
      </c>
      <c r="D39" s="30">
        <v>0</v>
      </c>
      <c r="E39" s="30">
        <v>0</v>
      </c>
      <c r="F39" s="30">
        <v>0</v>
      </c>
      <c r="G39" s="30">
        <v>78100</v>
      </c>
      <c r="H39" s="30">
        <v>0</v>
      </c>
      <c r="I39" s="30">
        <v>0</v>
      </c>
      <c r="J39" s="30">
        <v>0</v>
      </c>
      <c r="K39" s="30">
        <v>0</v>
      </c>
    </row>
    <row r="40" spans="2:11">
      <c r="B40" s="37">
        <f t="shared" ca="1" si="1"/>
        <v>78100</v>
      </c>
      <c r="C40" s="29" t="s">
        <v>265</v>
      </c>
      <c r="D40" s="30">
        <v>0</v>
      </c>
      <c r="E40" s="30">
        <v>0</v>
      </c>
      <c r="F40" s="30">
        <v>0</v>
      </c>
      <c r="G40" s="30">
        <v>78100</v>
      </c>
      <c r="H40" s="30">
        <v>0</v>
      </c>
      <c r="I40" s="30">
        <v>0</v>
      </c>
      <c r="J40" s="30">
        <v>0</v>
      </c>
      <c r="K40" s="30">
        <v>0</v>
      </c>
    </row>
    <row r="41" spans="2:11">
      <c r="B41" s="37">
        <f t="shared" ca="1" si="1"/>
        <v>78100</v>
      </c>
      <c r="C41" s="29" t="s">
        <v>249</v>
      </c>
      <c r="D41" s="30">
        <v>0</v>
      </c>
      <c r="E41" s="30">
        <v>0</v>
      </c>
      <c r="F41" s="30">
        <v>0</v>
      </c>
      <c r="G41" s="30">
        <v>78100</v>
      </c>
      <c r="H41" s="30">
        <v>0</v>
      </c>
      <c r="I41" s="30">
        <v>0</v>
      </c>
      <c r="J41" s="30">
        <v>0</v>
      </c>
      <c r="K41" s="30">
        <v>0</v>
      </c>
    </row>
    <row r="42" spans="2:11">
      <c r="B42" s="37">
        <f t="shared" ca="1" si="1"/>
        <v>78100</v>
      </c>
      <c r="C42" s="29" t="s">
        <v>261</v>
      </c>
      <c r="D42" s="30">
        <v>0</v>
      </c>
      <c r="E42" s="30">
        <v>0</v>
      </c>
      <c r="F42" s="30">
        <v>0</v>
      </c>
      <c r="G42" s="30">
        <v>78100</v>
      </c>
      <c r="H42" s="30">
        <v>0</v>
      </c>
      <c r="I42" s="30">
        <v>0</v>
      </c>
      <c r="J42" s="30">
        <v>0</v>
      </c>
      <c r="K42" s="30">
        <v>0</v>
      </c>
    </row>
    <row r="43" spans="2:11">
      <c r="B43" s="37">
        <f t="shared" ca="1" si="1"/>
        <v>78100</v>
      </c>
      <c r="C43" s="29" t="s">
        <v>112</v>
      </c>
      <c r="D43" s="30">
        <v>0</v>
      </c>
      <c r="E43" s="30">
        <v>0</v>
      </c>
      <c r="F43" s="30">
        <v>0</v>
      </c>
      <c r="G43" s="30">
        <v>78100</v>
      </c>
      <c r="H43" s="30">
        <v>0</v>
      </c>
      <c r="I43" s="30">
        <v>0</v>
      </c>
      <c r="J43" s="30">
        <v>0</v>
      </c>
      <c r="K43" s="30">
        <v>0</v>
      </c>
    </row>
    <row r="44" spans="2:11">
      <c r="B44" s="37">
        <f t="shared" ca="1" si="1"/>
        <v>78100</v>
      </c>
      <c r="C44" s="29" t="s">
        <v>231</v>
      </c>
      <c r="D44" s="30">
        <v>0</v>
      </c>
      <c r="E44" s="30">
        <v>0</v>
      </c>
      <c r="F44" s="30">
        <v>0</v>
      </c>
      <c r="G44" s="30">
        <v>78100</v>
      </c>
      <c r="H44" s="30">
        <v>0</v>
      </c>
      <c r="I44" s="30">
        <v>0</v>
      </c>
      <c r="J44" s="30">
        <v>0</v>
      </c>
      <c r="K44" s="30">
        <v>0</v>
      </c>
    </row>
    <row r="45" spans="2:11">
      <c r="B45" s="37">
        <f t="shared" ca="1" si="1"/>
        <v>78100</v>
      </c>
      <c r="C45" s="29" t="s">
        <v>257</v>
      </c>
      <c r="D45" s="30">
        <v>0</v>
      </c>
      <c r="E45" s="30">
        <v>0</v>
      </c>
      <c r="F45" s="30">
        <v>0</v>
      </c>
      <c r="G45" s="30">
        <v>78100</v>
      </c>
      <c r="H45" s="30">
        <v>0</v>
      </c>
      <c r="I45" s="30">
        <v>0</v>
      </c>
      <c r="J45" s="30">
        <v>0</v>
      </c>
      <c r="K45" s="30">
        <v>0</v>
      </c>
    </row>
    <row r="46" spans="2:11">
      <c r="B46" s="37">
        <f t="shared" ca="1" si="1"/>
        <v>78100</v>
      </c>
      <c r="C46" s="29" t="s">
        <v>113</v>
      </c>
      <c r="D46" s="30">
        <v>0</v>
      </c>
      <c r="E46" s="30">
        <v>0</v>
      </c>
      <c r="F46" s="30">
        <v>0</v>
      </c>
      <c r="G46" s="30">
        <v>78100</v>
      </c>
      <c r="H46" s="30">
        <v>0</v>
      </c>
      <c r="I46" s="30">
        <v>0</v>
      </c>
      <c r="J46" s="30">
        <v>0</v>
      </c>
      <c r="K46" s="30">
        <v>0</v>
      </c>
    </row>
    <row r="47" spans="2:11">
      <c r="B47" s="37">
        <f t="shared" ca="1" si="1"/>
        <v>124450</v>
      </c>
      <c r="C47" s="29" t="s">
        <v>226</v>
      </c>
      <c r="D47" s="30">
        <v>0</v>
      </c>
      <c r="E47" s="30">
        <v>0</v>
      </c>
      <c r="F47" s="30">
        <v>0</v>
      </c>
      <c r="G47" s="30">
        <v>124450</v>
      </c>
      <c r="H47" s="30">
        <v>0</v>
      </c>
      <c r="I47" s="30">
        <v>0</v>
      </c>
      <c r="J47" s="30">
        <v>0</v>
      </c>
      <c r="K47" s="30">
        <v>0</v>
      </c>
    </row>
    <row r="48" spans="2:11">
      <c r="B48" s="37">
        <f t="shared" ca="1" si="1"/>
        <v>548950</v>
      </c>
      <c r="C48" s="29" t="s">
        <v>263</v>
      </c>
      <c r="D48" s="30">
        <v>0</v>
      </c>
      <c r="E48" s="30">
        <v>0</v>
      </c>
      <c r="F48" s="30">
        <v>0</v>
      </c>
      <c r="G48" s="30">
        <v>548950</v>
      </c>
      <c r="H48" s="30">
        <v>0</v>
      </c>
      <c r="I48" s="30">
        <v>0</v>
      </c>
      <c r="J48" s="30">
        <v>0</v>
      </c>
      <c r="K48" s="30">
        <v>0</v>
      </c>
    </row>
    <row r="49" spans="2:11">
      <c r="B49" s="37">
        <f t="shared" ca="1" si="1"/>
        <v>179366</v>
      </c>
      <c r="C49" s="29" t="s">
        <v>264</v>
      </c>
      <c r="D49" s="30">
        <v>0</v>
      </c>
      <c r="E49" s="30">
        <v>0</v>
      </c>
      <c r="F49" s="30">
        <v>0</v>
      </c>
      <c r="G49" s="30">
        <v>0</v>
      </c>
      <c r="H49" s="30">
        <v>179366</v>
      </c>
      <c r="I49" s="30">
        <v>0</v>
      </c>
      <c r="J49" s="30">
        <v>0</v>
      </c>
      <c r="K49" s="30">
        <v>0</v>
      </c>
    </row>
    <row r="50" spans="2:11">
      <c r="B50" s="37">
        <f t="shared" ca="1" si="1"/>
        <v>32700</v>
      </c>
      <c r="C50" s="29" t="s">
        <v>275</v>
      </c>
      <c r="D50" s="30">
        <v>0</v>
      </c>
      <c r="E50" s="30">
        <v>0</v>
      </c>
      <c r="F50" s="30">
        <v>0</v>
      </c>
      <c r="G50" s="30">
        <v>0</v>
      </c>
      <c r="H50" s="30">
        <v>32700</v>
      </c>
      <c r="I50" s="30">
        <v>0</v>
      </c>
      <c r="J50" s="30">
        <v>0</v>
      </c>
      <c r="K50" s="30">
        <v>0</v>
      </c>
    </row>
    <row r="51" spans="2:11">
      <c r="B51" s="37">
        <f t="shared" ca="1" si="1"/>
        <v>736714</v>
      </c>
      <c r="C51" s="29" t="s">
        <v>142</v>
      </c>
      <c r="D51" s="30">
        <v>0</v>
      </c>
      <c r="E51" s="30">
        <v>0</v>
      </c>
      <c r="F51" s="30">
        <v>0</v>
      </c>
      <c r="G51" s="30">
        <v>0</v>
      </c>
      <c r="H51" s="30">
        <v>736714</v>
      </c>
      <c r="I51" s="30">
        <v>0</v>
      </c>
      <c r="J51" s="30">
        <v>0</v>
      </c>
      <c r="K51" s="30">
        <v>0</v>
      </c>
    </row>
    <row r="52" spans="2:11">
      <c r="B52" s="37">
        <f t="shared" ca="1" si="1"/>
        <v>32200</v>
      </c>
      <c r="C52" s="29" t="s">
        <v>258</v>
      </c>
      <c r="D52" s="30">
        <v>0</v>
      </c>
      <c r="E52" s="30">
        <v>0</v>
      </c>
      <c r="F52" s="30">
        <v>0</v>
      </c>
      <c r="G52" s="30">
        <v>0</v>
      </c>
      <c r="H52" s="30">
        <v>0</v>
      </c>
      <c r="I52" s="30">
        <v>32200</v>
      </c>
      <c r="J52" s="30">
        <v>0</v>
      </c>
      <c r="K52" s="30">
        <v>0</v>
      </c>
    </row>
    <row r="53" spans="2:11">
      <c r="B53" s="37">
        <f t="shared" ca="1" si="1"/>
        <v>34950</v>
      </c>
      <c r="C53" s="29" t="s">
        <v>232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34950</v>
      </c>
      <c r="J53" s="30">
        <v>0</v>
      </c>
      <c r="K53" s="30">
        <v>0</v>
      </c>
    </row>
    <row r="54" spans="2:11">
      <c r="B54" s="37">
        <f t="shared" ca="1" si="1"/>
        <v>63150</v>
      </c>
      <c r="C54" s="29" t="s">
        <v>143</v>
      </c>
      <c r="D54" s="30">
        <v>0</v>
      </c>
      <c r="E54" s="30">
        <v>0</v>
      </c>
      <c r="F54" s="30">
        <v>0</v>
      </c>
      <c r="G54" s="30">
        <v>0</v>
      </c>
      <c r="H54" s="30">
        <v>0</v>
      </c>
      <c r="I54" s="30">
        <v>34950</v>
      </c>
      <c r="J54" s="30">
        <v>28200</v>
      </c>
      <c r="K54" s="30">
        <v>0</v>
      </c>
    </row>
    <row r="55" spans="2:11">
      <c r="B55" s="37">
        <f t="shared" ca="1" si="1"/>
        <v>34950</v>
      </c>
      <c r="C55" s="29" t="s">
        <v>256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34950</v>
      </c>
      <c r="J55" s="30">
        <v>0</v>
      </c>
      <c r="K55" s="30">
        <v>0</v>
      </c>
    </row>
    <row r="56" spans="2:11">
      <c r="B56" s="37">
        <f t="shared" ca="1" si="1"/>
        <v>211033</v>
      </c>
      <c r="C56" s="29" t="s">
        <v>246</v>
      </c>
      <c r="D56" s="30">
        <v>0</v>
      </c>
      <c r="E56" s="30">
        <v>0</v>
      </c>
      <c r="F56" s="30">
        <v>0</v>
      </c>
      <c r="G56" s="30">
        <v>0</v>
      </c>
      <c r="H56" s="30">
        <v>0</v>
      </c>
      <c r="I56" s="30">
        <v>211033</v>
      </c>
      <c r="J56" s="30">
        <v>0</v>
      </c>
      <c r="K56" s="30">
        <v>0</v>
      </c>
    </row>
    <row r="57" spans="2:11">
      <c r="B57" s="37">
        <f t="shared" ca="1" si="1"/>
        <v>54367</v>
      </c>
      <c r="C57" s="29" t="s">
        <v>224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54367</v>
      </c>
      <c r="J57" s="30">
        <v>0</v>
      </c>
      <c r="K57" s="30">
        <v>0</v>
      </c>
    </row>
    <row r="58" spans="2:11">
      <c r="B58" s="37">
        <f t="shared" ca="1" si="1"/>
        <v>54367</v>
      </c>
      <c r="C58" s="29" t="s">
        <v>247</v>
      </c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54367</v>
      </c>
      <c r="J58" s="30">
        <v>0</v>
      </c>
      <c r="K58" s="30">
        <v>0</v>
      </c>
    </row>
    <row r="59" spans="2:11">
      <c r="B59" s="37">
        <f t="shared" ca="1" si="1"/>
        <v>54367</v>
      </c>
      <c r="C59" s="29" t="s">
        <v>252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54367</v>
      </c>
      <c r="J59" s="30">
        <v>0</v>
      </c>
      <c r="K59" s="30">
        <v>0</v>
      </c>
    </row>
    <row r="60" spans="2:11">
      <c r="B60" s="37">
        <f t="shared" ca="1" si="1"/>
        <v>54367</v>
      </c>
      <c r="C60" s="29" t="s">
        <v>244</v>
      </c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54367</v>
      </c>
      <c r="J60" s="30">
        <v>0</v>
      </c>
      <c r="K60" s="30">
        <v>0</v>
      </c>
    </row>
    <row r="61" spans="2:11">
      <c r="B61" s="37">
        <f t="shared" ca="1" si="1"/>
        <v>54367</v>
      </c>
      <c r="C61" s="29" t="s">
        <v>276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54367</v>
      </c>
      <c r="J61" s="30">
        <v>0</v>
      </c>
      <c r="K61" s="30">
        <v>0</v>
      </c>
    </row>
    <row r="62" spans="2:11">
      <c r="B62" s="37">
        <f t="shared" ca="1" si="1"/>
        <v>468700</v>
      </c>
      <c r="C62" s="29" t="s">
        <v>228</v>
      </c>
      <c r="D62" s="30">
        <v>0</v>
      </c>
      <c r="E62" s="30">
        <v>0</v>
      </c>
      <c r="F62" s="30">
        <v>0</v>
      </c>
      <c r="G62" s="30">
        <v>0</v>
      </c>
      <c r="H62" s="30">
        <v>0</v>
      </c>
      <c r="I62" s="30">
        <v>468700</v>
      </c>
      <c r="J62" s="30">
        <v>0</v>
      </c>
      <c r="K62" s="30">
        <v>0</v>
      </c>
    </row>
    <row r="63" spans="2:11">
      <c r="B63" s="37">
        <f t="shared" ca="1" si="1"/>
        <v>41200</v>
      </c>
      <c r="C63" s="29" t="s">
        <v>144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41200</v>
      </c>
      <c r="J63" s="30">
        <v>0</v>
      </c>
      <c r="K63" s="30">
        <v>0</v>
      </c>
    </row>
    <row r="64" spans="2:11">
      <c r="B64" s="37">
        <f t="shared" ca="1" si="1"/>
        <v>35700</v>
      </c>
      <c r="C64" s="29" t="s">
        <v>243</v>
      </c>
      <c r="D64" s="30">
        <v>0</v>
      </c>
      <c r="E64" s="30">
        <v>0</v>
      </c>
      <c r="F64" s="30">
        <v>0</v>
      </c>
      <c r="G64" s="30">
        <v>0</v>
      </c>
      <c r="H64" s="30">
        <v>0</v>
      </c>
      <c r="I64" s="30">
        <v>35700</v>
      </c>
      <c r="J64" s="30">
        <v>0</v>
      </c>
      <c r="K64" s="30">
        <v>0</v>
      </c>
    </row>
    <row r="65" spans="2:11">
      <c r="B65" s="37">
        <f t="shared" ca="1" si="1"/>
        <v>28200</v>
      </c>
      <c r="C65" s="29" t="s">
        <v>240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28200</v>
      </c>
      <c r="K65" s="30">
        <v>0</v>
      </c>
    </row>
    <row r="66" spans="2:11">
      <c r="B66" s="37">
        <f t="shared" ca="1" si="1"/>
        <v>54367</v>
      </c>
      <c r="C66" s="29" t="s">
        <v>145</v>
      </c>
      <c r="D66" s="30">
        <v>0</v>
      </c>
      <c r="E66" s="30">
        <v>0</v>
      </c>
      <c r="F66" s="30">
        <v>0</v>
      </c>
      <c r="G66" s="30">
        <v>0</v>
      </c>
      <c r="H66" s="30">
        <v>0</v>
      </c>
      <c r="I66" s="30">
        <v>0</v>
      </c>
      <c r="J66" s="30">
        <v>54367</v>
      </c>
      <c r="K66" s="30">
        <v>0</v>
      </c>
    </row>
    <row r="67" spans="2:11">
      <c r="B67" s="37">
        <f t="shared" ca="1" si="1"/>
        <v>54367</v>
      </c>
      <c r="C67" s="29" t="s">
        <v>237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54367</v>
      </c>
      <c r="K67" s="30">
        <v>0</v>
      </c>
    </row>
    <row r="68" spans="2:11">
      <c r="B68" s="37">
        <f t="shared" ref="B68:B87" ca="1" si="2">SUM(인별합계)</f>
        <v>96067</v>
      </c>
      <c r="C68" s="29" t="s">
        <v>146</v>
      </c>
      <c r="D68" s="30">
        <v>0</v>
      </c>
      <c r="E68" s="30">
        <v>0</v>
      </c>
      <c r="F68" s="30">
        <v>0</v>
      </c>
      <c r="G68" s="30">
        <v>0</v>
      </c>
      <c r="H68" s="30">
        <v>0</v>
      </c>
      <c r="I68" s="30">
        <v>0</v>
      </c>
      <c r="J68" s="30">
        <v>54367</v>
      </c>
      <c r="K68" s="30">
        <v>41700</v>
      </c>
    </row>
    <row r="69" spans="2:11">
      <c r="B69" s="37">
        <f t="shared" ca="1" si="2"/>
        <v>54367</v>
      </c>
      <c r="C69" s="29" t="s">
        <v>147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54367</v>
      </c>
      <c r="K69" s="30">
        <v>0</v>
      </c>
    </row>
    <row r="70" spans="2:11">
      <c r="B70" s="37">
        <f t="shared" ca="1" si="2"/>
        <v>31033</v>
      </c>
      <c r="C70" s="29" t="s">
        <v>239</v>
      </c>
      <c r="D70" s="30">
        <v>0</v>
      </c>
      <c r="E70" s="30">
        <v>0</v>
      </c>
      <c r="F70" s="30">
        <v>0</v>
      </c>
      <c r="G70" s="30">
        <v>0</v>
      </c>
      <c r="H70" s="30">
        <v>0</v>
      </c>
      <c r="I70" s="30">
        <v>0</v>
      </c>
      <c r="J70" s="30">
        <v>31033</v>
      </c>
      <c r="K70" s="30">
        <v>0</v>
      </c>
    </row>
    <row r="71" spans="2:11">
      <c r="B71" s="37">
        <f t="shared" ca="1" si="2"/>
        <v>31033</v>
      </c>
      <c r="C71" s="29" t="s">
        <v>148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31033</v>
      </c>
      <c r="K71" s="30">
        <v>0</v>
      </c>
    </row>
    <row r="72" spans="2:11">
      <c r="B72" s="37">
        <f t="shared" ca="1" si="2"/>
        <v>75100</v>
      </c>
      <c r="C72" s="29" t="s">
        <v>149</v>
      </c>
      <c r="D72" s="30">
        <v>0</v>
      </c>
      <c r="E72" s="30">
        <v>0</v>
      </c>
      <c r="F72" s="30">
        <v>0</v>
      </c>
      <c r="G72" s="30">
        <v>0</v>
      </c>
      <c r="H72" s="30">
        <v>0</v>
      </c>
      <c r="I72" s="30">
        <v>0</v>
      </c>
      <c r="J72" s="30">
        <v>75100</v>
      </c>
      <c r="K72" s="30">
        <v>0</v>
      </c>
    </row>
    <row r="73" spans="2:11">
      <c r="B73" s="37">
        <f t="shared" ca="1" si="2"/>
        <v>75100</v>
      </c>
      <c r="C73" s="29" t="s">
        <v>150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75100</v>
      </c>
      <c r="K73" s="30">
        <v>0</v>
      </c>
    </row>
    <row r="74" spans="2:11">
      <c r="B74" s="37">
        <f t="shared" ca="1" si="2"/>
        <v>75100</v>
      </c>
      <c r="C74" s="29" t="s">
        <v>270</v>
      </c>
      <c r="D74" s="30">
        <v>0</v>
      </c>
      <c r="E74" s="30">
        <v>0</v>
      </c>
      <c r="F74" s="30">
        <v>0</v>
      </c>
      <c r="G74" s="30">
        <v>0</v>
      </c>
      <c r="H74" s="30">
        <v>0</v>
      </c>
      <c r="I74" s="30">
        <v>0</v>
      </c>
      <c r="J74" s="30">
        <v>75100</v>
      </c>
      <c r="K74" s="30">
        <v>0</v>
      </c>
    </row>
    <row r="75" spans="2:11">
      <c r="B75" s="37">
        <f t="shared" ca="1" si="2"/>
        <v>75100</v>
      </c>
      <c r="C75" s="29" t="s">
        <v>255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75100</v>
      </c>
      <c r="K75" s="30">
        <v>0</v>
      </c>
    </row>
    <row r="76" spans="2:11">
      <c r="B76" s="37">
        <f t="shared" ca="1" si="2"/>
        <v>75100</v>
      </c>
      <c r="C76" s="29" t="s">
        <v>248</v>
      </c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75100</v>
      </c>
      <c r="K76" s="30">
        <v>0</v>
      </c>
    </row>
    <row r="77" spans="2:11">
      <c r="B77" s="37">
        <f t="shared" ca="1" si="2"/>
        <v>75100</v>
      </c>
      <c r="C77" s="29" t="s">
        <v>268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75100</v>
      </c>
      <c r="K77" s="30">
        <v>0</v>
      </c>
    </row>
    <row r="78" spans="2:11">
      <c r="B78" s="37">
        <f t="shared" ca="1" si="2"/>
        <v>75100</v>
      </c>
      <c r="C78" s="29" t="s">
        <v>223</v>
      </c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75100</v>
      </c>
      <c r="K78" s="30">
        <v>0</v>
      </c>
    </row>
    <row r="79" spans="2:11">
      <c r="B79" s="37">
        <f t="shared" ca="1" si="2"/>
        <v>75100</v>
      </c>
      <c r="C79" s="29" t="s">
        <v>241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75100</v>
      </c>
      <c r="K79" s="30">
        <v>0</v>
      </c>
    </row>
    <row r="80" spans="2:11">
      <c r="B80" s="37">
        <f t="shared" ca="1" si="2"/>
        <v>75100</v>
      </c>
      <c r="C80" s="29" t="s">
        <v>151</v>
      </c>
      <c r="D80" s="30">
        <v>0</v>
      </c>
      <c r="E80" s="30">
        <v>0</v>
      </c>
      <c r="F80" s="30">
        <v>0</v>
      </c>
      <c r="G80" s="30">
        <v>0</v>
      </c>
      <c r="H80" s="30">
        <v>0</v>
      </c>
      <c r="I80" s="30">
        <v>0</v>
      </c>
      <c r="J80" s="30">
        <v>75100</v>
      </c>
      <c r="K80" s="30">
        <v>0</v>
      </c>
    </row>
    <row r="81" spans="2:11">
      <c r="B81" s="37">
        <f t="shared" ca="1" si="2"/>
        <v>75100</v>
      </c>
      <c r="C81" s="29" t="s">
        <v>236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75100</v>
      </c>
      <c r="K81" s="30">
        <v>0</v>
      </c>
    </row>
    <row r="82" spans="2:11">
      <c r="B82" s="37">
        <f t="shared" ca="1" si="2"/>
        <v>610331</v>
      </c>
      <c r="C82" s="29" t="s">
        <v>152</v>
      </c>
      <c r="D82" s="30">
        <v>0</v>
      </c>
      <c r="E82" s="30">
        <v>0</v>
      </c>
      <c r="F82" s="30">
        <v>0</v>
      </c>
      <c r="G82" s="30">
        <v>0</v>
      </c>
      <c r="H82" s="30">
        <v>0</v>
      </c>
      <c r="I82" s="30">
        <v>0</v>
      </c>
      <c r="J82" s="30">
        <v>610331</v>
      </c>
      <c r="K82" s="30">
        <v>0</v>
      </c>
    </row>
    <row r="83" spans="2:11">
      <c r="B83" s="37">
        <f t="shared" ca="1" si="2"/>
        <v>31200</v>
      </c>
      <c r="C83" s="29" t="s">
        <v>259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31200</v>
      </c>
    </row>
    <row r="84" spans="2:11">
      <c r="B84" s="37">
        <f t="shared" ca="1" si="2"/>
        <v>232366</v>
      </c>
      <c r="C84" s="29" t="s">
        <v>273</v>
      </c>
      <c r="D84" s="30">
        <v>0</v>
      </c>
      <c r="E84" s="30">
        <v>0</v>
      </c>
      <c r="F84" s="30">
        <v>0</v>
      </c>
      <c r="G84" s="30">
        <v>0</v>
      </c>
      <c r="H84" s="30">
        <v>0</v>
      </c>
      <c r="I84" s="30">
        <v>0</v>
      </c>
      <c r="J84" s="30">
        <v>0</v>
      </c>
      <c r="K84" s="30">
        <v>232366</v>
      </c>
    </row>
    <row r="85" spans="2:11">
      <c r="B85" s="37">
        <f t="shared" ca="1" si="2"/>
        <v>36600</v>
      </c>
      <c r="C85" s="29" t="s">
        <v>153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36600</v>
      </c>
    </row>
    <row r="86" spans="2:11">
      <c r="B86" s="37">
        <f t="shared" ca="1" si="2"/>
        <v>981700</v>
      </c>
      <c r="C86" s="29" t="s">
        <v>235</v>
      </c>
      <c r="D86" s="30">
        <v>0</v>
      </c>
      <c r="E86" s="30">
        <v>0</v>
      </c>
      <c r="F86" s="30">
        <v>0</v>
      </c>
      <c r="G86" s="30">
        <v>0</v>
      </c>
      <c r="H86" s="30">
        <v>0</v>
      </c>
      <c r="I86" s="30">
        <v>0</v>
      </c>
      <c r="J86" s="30">
        <v>0</v>
      </c>
      <c r="K86" s="30">
        <v>981700</v>
      </c>
    </row>
    <row r="87" spans="2:11">
      <c r="B87" s="37">
        <f t="shared" ca="1" si="2"/>
        <v>89950</v>
      </c>
      <c r="C87" s="29" t="s">
        <v>154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89950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67"/>
  <sheetViews>
    <sheetView showGridLines="0" workbookViewId="0">
      <selection activeCell="C23" sqref="C23"/>
    </sheetView>
  </sheetViews>
  <sheetFormatPr defaultRowHeight="14.25"/>
  <cols>
    <col min="1" max="1" width="5.83203125" style="51" customWidth="1"/>
    <col min="2" max="2" width="5.1640625" style="50" customWidth="1"/>
    <col min="3" max="3" width="113.1640625" style="51" customWidth="1"/>
    <col min="4" max="16384" width="9.33203125" style="51"/>
  </cols>
  <sheetData>
    <row r="1" spans="1:2" s="47" customFormat="1">
      <c r="A1" s="47" t="s">
        <v>123</v>
      </c>
      <c r="B1" s="48"/>
    </row>
    <row r="3" spans="1:2">
      <c r="A3" s="49" t="s">
        <v>125</v>
      </c>
    </row>
    <row r="4" spans="1:2" ht="15">
      <c r="A4" s="52" t="s">
        <v>126</v>
      </c>
    </row>
    <row r="5" spans="1:2" ht="15">
      <c r="A5" s="52" t="s">
        <v>127</v>
      </c>
    </row>
    <row r="6" spans="1:2" ht="15">
      <c r="A6" s="53" t="s">
        <v>128</v>
      </c>
    </row>
    <row r="7" spans="1:2" ht="15">
      <c r="A7" s="53" t="s">
        <v>129</v>
      </c>
    </row>
    <row r="8" spans="1:2" ht="15">
      <c r="A8" s="53" t="s">
        <v>130</v>
      </c>
    </row>
    <row r="9" spans="1:2">
      <c r="A9" s="49" t="s">
        <v>131</v>
      </c>
    </row>
    <row r="10" spans="1:2" ht="15">
      <c r="A10" s="53" t="s">
        <v>128</v>
      </c>
    </row>
    <row r="11" spans="1:2" ht="15">
      <c r="A11" s="53" t="s">
        <v>132</v>
      </c>
    </row>
    <row r="12" spans="1:2" ht="15">
      <c r="A12" s="53" t="s">
        <v>130</v>
      </c>
    </row>
    <row r="16" spans="1:2" s="47" customFormat="1">
      <c r="A16" s="47" t="s">
        <v>124</v>
      </c>
      <c r="B16" s="48"/>
    </row>
    <row r="18" spans="2:3">
      <c r="B18" s="54" t="s">
        <v>32</v>
      </c>
    </row>
    <row r="19" spans="2:3">
      <c r="B19" s="58" t="s">
        <v>87</v>
      </c>
      <c r="C19" s="58"/>
    </row>
    <row r="20" spans="2:3" ht="85.5">
      <c r="B20" s="55" t="s">
        <v>33</v>
      </c>
      <c r="C20" s="56" t="s">
        <v>34</v>
      </c>
    </row>
    <row r="21" spans="2:3" ht="28.5">
      <c r="B21" s="55" t="s">
        <v>35</v>
      </c>
      <c r="C21" s="56" t="s">
        <v>36</v>
      </c>
    </row>
    <row r="22" spans="2:3" ht="28.5">
      <c r="B22" s="55">
        <v>1</v>
      </c>
      <c r="C22" s="56" t="s">
        <v>37</v>
      </c>
    </row>
    <row r="23" spans="2:3">
      <c r="B23" s="55">
        <v>2</v>
      </c>
      <c r="C23" s="56" t="s">
        <v>38</v>
      </c>
    </row>
    <row r="24" spans="2:3">
      <c r="B24" s="55">
        <v>3</v>
      </c>
      <c r="C24" s="56" t="s">
        <v>39</v>
      </c>
    </row>
    <row r="25" spans="2:3">
      <c r="B25" s="55">
        <v>4</v>
      </c>
      <c r="C25" s="56" t="s">
        <v>40</v>
      </c>
    </row>
    <row r="26" spans="2:3" ht="42.75">
      <c r="B26" s="55">
        <v>5</v>
      </c>
      <c r="C26" s="56" t="s">
        <v>41</v>
      </c>
    </row>
    <row r="27" spans="2:3">
      <c r="B27" s="58" t="s">
        <v>42</v>
      </c>
      <c r="C27" s="58"/>
    </row>
    <row r="28" spans="2:3">
      <c r="B28" s="57" t="s">
        <v>43</v>
      </c>
    </row>
    <row r="29" spans="2:3">
      <c r="B29" s="55">
        <v>1</v>
      </c>
      <c r="C29" s="56" t="s">
        <v>44</v>
      </c>
    </row>
    <row r="30" spans="2:3">
      <c r="B30" s="55">
        <v>2</v>
      </c>
      <c r="C30" s="56" t="s">
        <v>45</v>
      </c>
    </row>
    <row r="31" spans="2:3" ht="42.75">
      <c r="B31" s="55">
        <v>3</v>
      </c>
      <c r="C31" s="56" t="s">
        <v>46</v>
      </c>
    </row>
    <row r="32" spans="2:3" ht="28.5">
      <c r="B32" s="55">
        <v>4</v>
      </c>
      <c r="C32" s="56" t="s">
        <v>47</v>
      </c>
    </row>
    <row r="33" spans="2:3" ht="28.5">
      <c r="B33" s="55">
        <v>5</v>
      </c>
      <c r="C33" s="56" t="s">
        <v>48</v>
      </c>
    </row>
    <row r="34" spans="2:3">
      <c r="B34" s="58" t="s">
        <v>49</v>
      </c>
      <c r="C34" s="58"/>
    </row>
    <row r="35" spans="2:3" ht="28.5">
      <c r="B35" s="55" t="s">
        <v>33</v>
      </c>
      <c r="C35" s="56" t="s">
        <v>50</v>
      </c>
    </row>
    <row r="36" spans="2:3" ht="28.5">
      <c r="B36" s="55" t="s">
        <v>35</v>
      </c>
      <c r="C36" s="56" t="s">
        <v>51</v>
      </c>
    </row>
    <row r="37" spans="2:3" ht="71.25">
      <c r="B37" s="55" t="s">
        <v>52</v>
      </c>
      <c r="C37" s="56" t="s">
        <v>53</v>
      </c>
    </row>
    <row r="38" spans="2:3" ht="57">
      <c r="B38" s="55">
        <v>1</v>
      </c>
      <c r="C38" s="56" t="s">
        <v>54</v>
      </c>
    </row>
    <row r="39" spans="2:3" ht="42.75">
      <c r="B39" s="55">
        <v>2</v>
      </c>
      <c r="C39" s="56" t="s">
        <v>55</v>
      </c>
    </row>
    <row r="40" spans="2:3" ht="42.75">
      <c r="B40" s="55">
        <v>3</v>
      </c>
      <c r="C40" s="56" t="s">
        <v>88</v>
      </c>
    </row>
    <row r="41" spans="2:3" ht="99.75">
      <c r="B41" s="55" t="s">
        <v>56</v>
      </c>
      <c r="C41" s="56" t="s">
        <v>89</v>
      </c>
    </row>
    <row r="42" spans="2:3">
      <c r="B42" s="55">
        <v>1</v>
      </c>
      <c r="C42" s="56" t="s">
        <v>57</v>
      </c>
    </row>
    <row r="43" spans="2:3" ht="28.5">
      <c r="B43" s="55">
        <v>2</v>
      </c>
      <c r="C43" s="56" t="s">
        <v>58</v>
      </c>
    </row>
    <row r="44" spans="2:3" ht="99.75">
      <c r="B44" s="55" t="s">
        <v>59</v>
      </c>
      <c r="C44" s="56" t="s">
        <v>90</v>
      </c>
    </row>
    <row r="45" spans="2:3" ht="99.75">
      <c r="B45" s="55" t="s">
        <v>60</v>
      </c>
      <c r="C45" s="56" t="s">
        <v>61</v>
      </c>
    </row>
    <row r="46" spans="2:3">
      <c r="B46" s="58" t="s">
        <v>62</v>
      </c>
      <c r="C46" s="58"/>
    </row>
    <row r="47" spans="2:3" ht="42.75">
      <c r="B47" s="55" t="s">
        <v>33</v>
      </c>
      <c r="C47" s="56" t="s">
        <v>63</v>
      </c>
    </row>
    <row r="48" spans="2:3" ht="42.75">
      <c r="B48" s="55" t="s">
        <v>35</v>
      </c>
      <c r="C48" s="56" t="s">
        <v>64</v>
      </c>
    </row>
    <row r="49" spans="2:3">
      <c r="B49" s="58" t="s">
        <v>65</v>
      </c>
      <c r="C49" s="58"/>
    </row>
    <row r="50" spans="2:3" ht="42.75">
      <c r="B50" s="55" t="s">
        <v>33</v>
      </c>
      <c r="C50" s="56" t="s">
        <v>66</v>
      </c>
    </row>
    <row r="51" spans="2:3" ht="57">
      <c r="B51" s="55" t="s">
        <v>35</v>
      </c>
      <c r="C51" s="56" t="s">
        <v>67</v>
      </c>
    </row>
    <row r="52" spans="2:3">
      <c r="B52" s="58" t="s">
        <v>68</v>
      </c>
      <c r="C52" s="58"/>
    </row>
    <row r="53" spans="2:3" ht="28.5">
      <c r="B53" s="55" t="s">
        <v>33</v>
      </c>
      <c r="C53" s="56" t="s">
        <v>69</v>
      </c>
    </row>
    <row r="54" spans="2:3">
      <c r="B54" s="55">
        <v>1</v>
      </c>
      <c r="C54" s="56" t="s">
        <v>70</v>
      </c>
    </row>
    <row r="55" spans="2:3">
      <c r="B55" s="55">
        <v>2</v>
      </c>
      <c r="C55" s="56" t="s">
        <v>71</v>
      </c>
    </row>
    <row r="56" spans="2:3" ht="28.5">
      <c r="B56" s="55">
        <v>3</v>
      </c>
      <c r="C56" s="56" t="s">
        <v>72</v>
      </c>
    </row>
    <row r="57" spans="2:3" ht="42.75">
      <c r="B57" s="55">
        <v>4</v>
      </c>
      <c r="C57" s="56" t="s">
        <v>73</v>
      </c>
    </row>
    <row r="58" spans="2:3" ht="42.75">
      <c r="B58" s="55" t="s">
        <v>74</v>
      </c>
      <c r="C58" s="56" t="s">
        <v>75</v>
      </c>
    </row>
    <row r="59" spans="2:3">
      <c r="B59" s="55" t="s">
        <v>76</v>
      </c>
      <c r="C59" s="56" t="s">
        <v>77</v>
      </c>
    </row>
    <row r="60" spans="2:3" ht="57">
      <c r="B60" s="55" t="s">
        <v>78</v>
      </c>
      <c r="C60" s="56" t="s">
        <v>79</v>
      </c>
    </row>
    <row r="61" spans="2:3">
      <c r="B61" s="55">
        <v>5</v>
      </c>
      <c r="C61" s="56" t="s">
        <v>80</v>
      </c>
    </row>
    <row r="62" spans="2:3">
      <c r="B62" s="55">
        <v>6</v>
      </c>
      <c r="C62" s="56" t="s">
        <v>81</v>
      </c>
    </row>
    <row r="63" spans="2:3" ht="28.5">
      <c r="B63" s="55">
        <v>7</v>
      </c>
      <c r="C63" s="56" t="s">
        <v>82</v>
      </c>
    </row>
    <row r="64" spans="2:3" ht="42.75">
      <c r="B64" s="55">
        <v>8</v>
      </c>
      <c r="C64" s="56" t="s">
        <v>83</v>
      </c>
    </row>
    <row r="65" spans="2:3" ht="28.5">
      <c r="B65" s="55">
        <v>9</v>
      </c>
      <c r="C65" s="56" t="s">
        <v>84</v>
      </c>
    </row>
    <row r="66" spans="2:3" ht="42.75">
      <c r="B66" s="55" t="s">
        <v>35</v>
      </c>
      <c r="C66" s="56" t="s">
        <v>85</v>
      </c>
    </row>
    <row r="67" spans="2:3" ht="28.5">
      <c r="B67" s="55" t="s">
        <v>52</v>
      </c>
      <c r="C67" s="56" t="s">
        <v>86</v>
      </c>
    </row>
  </sheetData>
  <mergeCells count="6">
    <mergeCell ref="B19:C19"/>
    <mergeCell ref="B27:C27"/>
    <mergeCell ref="B34:C34"/>
    <mergeCell ref="B49:C49"/>
    <mergeCell ref="B52:C52"/>
    <mergeCell ref="B46:C46"/>
  </mergeCells>
  <phoneticPr fontId="4" type="noConversion"/>
  <hyperlinks>
    <hyperlink ref="A9" r:id="rId1" location="AJAX" tooltip="팝업으로 이동" display="http://www.law.go.kr/admRulInfoP.do?admRulSeq=2200000056493&amp;chrClsCd=010201 - AJAX" xr:uid="{00000000-0004-0000-0200-000000000000}"/>
    <hyperlink ref="A3" r:id="rId2" location="AJAX" tooltip="팝업으로 이동" display="http://www.law.go.kr/admRulInfoP.do?admRulSeq=2200000056493&amp;chrClsCd=010201 - AJAX" xr:uid="{00000000-0004-0000-0200-000001000000}"/>
  </hyperlinks>
  <pageMargins left="0.7" right="0.7" top="0.75" bottom="0.75" header="0.3" footer="0.3"/>
</worksheet>
</file>

<file path=customUI/customUI14.xml><?xml version="1.0" encoding="utf-8"?>
<customUI xmlns="http://schemas.microsoft.com/office/2009/07/customui" xmlns:x="MODU" onLoad="RibbonOnLoad">
  <ribbon startFromScratch="false">
    <tabs>
      <tab idQ="x:nsTabAddIns">
        <group id="GroupSol" label="재산상 이익제공" visible="true">
          <button id="g250" imageMso="CatalogMergeGoToNextRecord" label="재산상 이익&#10;제공 관리" onAction="nsSolRun" screentip="재산상 이익을 제공한 내역을 관리/정리합니다" size="large" supertip="*동일인 한도 : 1회 20만원, 연간100만원&#10;다만 준법감시인/대표이사 사전승인이면 초과가능..."/>
          <button id="g258" imageMso="BlankPageInsertMenu" label="이전결과&#10;비우기" onAction="nsReset" screentip="이전 결과를 지운니다" size="large" supertip="이전 결과 비우기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재산상이익현황(승인용)</vt:lpstr>
      <vt:lpstr>연간제공한도관리</vt:lpstr>
      <vt:lpstr>관계법령</vt:lpstr>
      <vt:lpstr>'재산상이익현황(승인용)'!Print_Area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jimsjoo</cp:lastModifiedBy>
  <cp:lastPrinted>2017-01-11T08:53:42Z</cp:lastPrinted>
  <dcterms:created xsi:type="dcterms:W3CDTF">2016-09-01T01:40:31Z</dcterms:created>
  <dcterms:modified xsi:type="dcterms:W3CDTF">2017-11-01T00:21:02Z</dcterms:modified>
</cp:coreProperties>
</file>